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nk Master" sheetId="1" r:id="rId4"/>
    <sheet state="visible" name="HDR Line MOV" sheetId="2" r:id="rId5"/>
    <sheet state="visible" name="Tank Maintenance" sheetId="3" r:id="rId6"/>
    <sheet state="visible" name="Pump Master" sheetId="4" r:id="rId7"/>
    <sheet state="visible" name="Fire Pump Master" sheetId="5" r:id="rId8"/>
    <sheet state="visible" name="UPS Master" sheetId="6" r:id="rId9"/>
    <sheet state="visible" name="PLC Master" sheetId="7" r:id="rId10"/>
    <sheet state="visible" name="HCD Master" sheetId="8" r:id="rId11"/>
    <sheet state="visible" name="Dyke Master" sheetId="9" r:id="rId12"/>
    <sheet state="visible" name="Barrier Gate" sheetId="10" r:id="rId13"/>
    <sheet state="visible" name="Hooter Master" sheetId="11" r:id="rId14"/>
    <sheet state="visible" name="ESD Master" sheetId="12" r:id="rId15"/>
    <sheet state="visible" name="Loading Point Master" sheetId="13" r:id="rId16"/>
    <sheet state="visible" name="Gantry override" sheetId="14" r:id="rId17"/>
    <sheet state="visible" name="Fire Effect" sheetId="15" r:id="rId18"/>
    <sheet state="visible" name="Air Compressor" sheetId="16" r:id="rId19"/>
    <sheet state="visible" name="LRC Switchover" sheetId="17" r:id="rId20"/>
    <sheet state="visible" name="OI" sheetId="18" r:id="rId21"/>
  </sheets>
  <definedNames>
    <definedName hidden="1" localSheetId="0" name="_xlnm._FilterDatabase">'Tank Master'!$A$1:$DH$16</definedName>
  </definedNames>
  <calcPr/>
  <extLst>
    <ext uri="GoogleSheetsCustomDataVersion2">
      <go:sheetsCustomData xmlns:go="http://customooxmlschemas.google.com/" r:id="rId22" roundtripDataChecksum="S4rKuJUbZUAYCtWtHc0pF5wp2In+bgryS6vfmRp1QMg="/>
    </ext>
  </extLst>
</workbook>
</file>

<file path=xl/sharedStrings.xml><?xml version="1.0" encoding="utf-8"?>
<sst xmlns="http://schemas.openxmlformats.org/spreadsheetml/2006/main" count="2410" uniqueCount="1288">
  <si>
    <t>SAPID</t>
  </si>
  <si>
    <t>Location</t>
  </si>
  <si>
    <t>Device Name</t>
  </si>
  <si>
    <t>Tank ID</t>
  </si>
  <si>
    <t>Tank Type</t>
  </si>
  <si>
    <t>Product</t>
  </si>
  <si>
    <t>ESD Active</t>
  </si>
  <si>
    <t>Normal value</t>
  </si>
  <si>
    <t>Primary Gauge Level</t>
  </si>
  <si>
    <t>Sensor_Id</t>
  </si>
  <si>
    <t>Sensor_Type</t>
  </si>
  <si>
    <t>Tank Receipt Mode</t>
  </si>
  <si>
    <t>Primary Gauge HIGH</t>
  </si>
  <si>
    <t>Normal Value</t>
  </si>
  <si>
    <t xml:space="preserve">TANK LEAKAGE STATUS </t>
  </si>
  <si>
    <t>TANK LEAKAGE STATUS Normal value</t>
  </si>
  <si>
    <t>Primary Gauge HIGH HIGH</t>
  </si>
  <si>
    <t>Primary Gauge HIGH HIGH Normal Value</t>
  </si>
  <si>
    <t>LEVEL SWITCH</t>
  </si>
  <si>
    <t>LEVEL SWITCH Normal Value</t>
  </si>
  <si>
    <t xml:space="preserve">LEVEL SWITCH PROOF OK </t>
  </si>
  <si>
    <t>LEVEL SWITCH PROOF OK  Normal Value</t>
  </si>
  <si>
    <t>LEVEL SWITCH PROOF FAILED</t>
  </si>
  <si>
    <t>LEVEL SWITCH PROOF FAILED Normal Value</t>
  </si>
  <si>
    <t>RADAR HHH</t>
  </si>
  <si>
    <t>RADAR HHH Normal Value</t>
  </si>
  <si>
    <t>RADAR PROOF OK</t>
  </si>
  <si>
    <t>RADAR PROOF Normal Value</t>
  </si>
  <si>
    <t>RADAR PROOF FAILED</t>
  </si>
  <si>
    <t>RADAR PROOF FAILED Normal Value</t>
  </si>
  <si>
    <t>ROSOV OPEN STATUS IL1</t>
  </si>
  <si>
    <t>ROSOV FAIL TO CLOSE STATUS IL1</t>
  </si>
  <si>
    <t>ROSOV OPEN STATUS IL2</t>
  </si>
  <si>
    <t>ROSOV FAIL TO CLOSE STATUS IL2</t>
  </si>
  <si>
    <t>ROSOV FAIL TO CLOSE STATUS IL2 Normal value</t>
  </si>
  <si>
    <t>ROSOV OPEN STATUS OL</t>
  </si>
  <si>
    <t>ROSOV OPEN STATUS OL Normal value</t>
  </si>
  <si>
    <t>ROSOV FAIL TO CLOSE STATUS OL</t>
  </si>
  <si>
    <t>ROSOV FAIL TO CLOSE STATUS OL Normal value</t>
  </si>
  <si>
    <t>ROSOV OPEN STATUS RCL</t>
  </si>
  <si>
    <t>ROSOV FAIL TO CLOSE STATUS RCL</t>
  </si>
  <si>
    <t>MOV STATUS IL1</t>
  </si>
  <si>
    <t>MOV REMOTE STATUS IL1</t>
  </si>
  <si>
    <t>MOV STATUS IL2</t>
  </si>
  <si>
    <t>MOV STATUS OL</t>
  </si>
  <si>
    <t>MOV STATUS RCL</t>
  </si>
  <si>
    <t>MOV REMOTE STATUS RCL</t>
  </si>
  <si>
    <t>RIMSEAL FIRE ALARM</t>
  </si>
  <si>
    <t>RIMSEAL FAULT ALARM</t>
  </si>
  <si>
    <t>Jabalpur</t>
  </si>
  <si>
    <t>TK-01</t>
  </si>
  <si>
    <t>AG</t>
  </si>
  <si>
    <t>BS VI HSD</t>
  </si>
  <si>
    <t>PLC.SFTPLC.CAUSE_ANY_ESD_PB_ACTI</t>
  </si>
  <si>
    <t>TANK.TK-01.LEVEL</t>
  </si>
  <si>
    <t>Primary Radar</t>
  </si>
  <si>
    <t>TANK.TK-01.HIGH_LEVEL</t>
  </si>
  <si>
    <t>TANK.TK-01.TANK_ALERT_ALARM</t>
  </si>
  <si>
    <t>TANK.TK-01.HIGH_HIGH_LEVEL</t>
  </si>
  <si>
    <t>LEVELSWITCH.LSW-01.SWITCH_STATUS</t>
  </si>
  <si>
    <t>VFT</t>
  </si>
  <si>
    <t>LEVELSWITCH.LSW-01.PROOF_TEST_OK</t>
  </si>
  <si>
    <t>LEVELSWITCH.LSW-01.PROOF_TEST_FAILED</t>
  </si>
  <si>
    <t>LEVELSWITCH.RDR-01.SWITCH_STATUS</t>
  </si>
  <si>
    <t>RADAR</t>
  </si>
  <si>
    <t>LEVELSWITCH.RDR-01.PROOF_TEST_OK</t>
  </si>
  <si>
    <t>LEVELSWITCH.RDR-01.PROOF_TEST_FAILED</t>
  </si>
  <si>
    <t>MOV.ROSOV-01.OPEN_STATUS</t>
  </si>
  <si>
    <t>ROSOV IL1</t>
  </si>
  <si>
    <t>MOV.ROSOV-01.FAILED_TO_CLOSE</t>
  </si>
  <si>
    <t>ROSOV FAILED IL1</t>
  </si>
  <si>
    <t>MOV.ROSOV-02.OPEN_STATUS</t>
  </si>
  <si>
    <t>ROSOV OL</t>
  </si>
  <si>
    <t>MOV.ROSOV-02.FAILED_TO_CLOSE</t>
  </si>
  <si>
    <t>ROSOV FAILED OL</t>
  </si>
  <si>
    <t>MOV.ROSOV-03.OPEN_STATUS</t>
  </si>
  <si>
    <t>ROSOV RCL</t>
  </si>
  <si>
    <t>MOV.ROSOV-03.FAILED_TO_CLOSE</t>
  </si>
  <si>
    <t>ROSOV FAILED RCL</t>
  </si>
  <si>
    <t>MOV.MOV-001.OPEN_STATUS</t>
  </si>
  <si>
    <t>MOV IL1</t>
  </si>
  <si>
    <t>MOV.MOV-001.REMOTE_STATUS</t>
  </si>
  <si>
    <t>MOV.MOV-002.OPEN_STATUS</t>
  </si>
  <si>
    <t>MOV OL</t>
  </si>
  <si>
    <t>MOV.MOV-003.OPEN_STATUS</t>
  </si>
  <si>
    <t>MOV RCL</t>
  </si>
  <si>
    <t>MOV.MOV-003.REMOTE_STATUS</t>
  </si>
  <si>
    <t>TK-02</t>
  </si>
  <si>
    <t>TANK.TK-02.LEVEL</t>
  </si>
  <si>
    <t>TANK.TK-02.HIGH_LEVEL</t>
  </si>
  <si>
    <t>TANK.TK-02.TANK_ALERT_ALARM</t>
  </si>
  <si>
    <t>TANK.TK-02.HIGH_HIGH_LEVEL</t>
  </si>
  <si>
    <t>LEVELSWITCH.LSW-02.SWITCH_STATUS</t>
  </si>
  <si>
    <t>LEVELSWITCH.LSW-02.PROOF_TEST_OK</t>
  </si>
  <si>
    <t>LEVELSWITCH.LSW-02.PROOF_TEST_FAILED</t>
  </si>
  <si>
    <t>LEVELSWITCH.RDR-02.SWITCH_STATUS</t>
  </si>
  <si>
    <t>LEVELSWITCH.RDR-02.PROOF_TEST_OK</t>
  </si>
  <si>
    <t>LEVELSWITCH.RDR-02.PROOF_TEST_FAILED</t>
  </si>
  <si>
    <t>MOV.ROSOV-04.OPEN_STATUS</t>
  </si>
  <si>
    <t>MOV.ROSOV-04.FAILED_TO_CLOSE</t>
  </si>
  <si>
    <t>MOV.ROSOV-05.OPEN_STATUS</t>
  </si>
  <si>
    <t>MOV.ROSOV-05.FAILED_TO_CLOSE</t>
  </si>
  <si>
    <t>MOV.ROSOV-06.OPEN_STATUS</t>
  </si>
  <si>
    <t>MOV.ROSOV-06.FAILED_TO_CLOSE</t>
  </si>
  <si>
    <t>MOV.MOV-004.OPEN_STATUS</t>
  </si>
  <si>
    <t>MOV.MOV-004.REMOTE_STATUS</t>
  </si>
  <si>
    <t>MOV.MOV-005.OPEN_STATUS</t>
  </si>
  <si>
    <t>MOV.MOV-006.OPEN_STATUS</t>
  </si>
  <si>
    <t>MOV.MOV-006.REMOTE_STATUS</t>
  </si>
  <si>
    <t>TK-03</t>
  </si>
  <si>
    <t>BS VI MS</t>
  </si>
  <si>
    <t>TANK.TK-03.LEVEL</t>
  </si>
  <si>
    <t>TANK.TK-03.HIGH_LEVEL</t>
  </si>
  <si>
    <t>TANK.TK-03.TANK_ALERT_ALARM</t>
  </si>
  <si>
    <t>TANK.TK-03.HIGH_HIGH_LEVEL</t>
  </si>
  <si>
    <t>LEVELSWITCH.LSW-03.SWITCH_STATUS</t>
  </si>
  <si>
    <t>LEVELSWITCH.LSW-03.PROOF_TEST_OK</t>
  </si>
  <si>
    <t>LEVELSWITCH.LSW-03.PROOF_TEST_FAILED</t>
  </si>
  <si>
    <t>LEVELSWITCH.RDR-03.SWITCH_STATUS</t>
  </si>
  <si>
    <t>LEVELSWITCH.RDR-03.PROOF_TEST_OK</t>
  </si>
  <si>
    <t>LEVELSWITCH.RDR-03.PROOF_TEST_FAILED</t>
  </si>
  <si>
    <t>MOV.ROSOV-07.OPEN_STATUS</t>
  </si>
  <si>
    <t>MOV.ROSOV-07.FAILED_TO_CLOSE</t>
  </si>
  <si>
    <t>MOV.ROSOV-08.OPEN_STATUS</t>
  </si>
  <si>
    <t>MOV.ROSOV-08.FAILED_TO_CLOSE</t>
  </si>
  <si>
    <t>MOV.ROSOV-09.OPEN_STATUS</t>
  </si>
  <si>
    <t>MOV.ROSOV-09.FAILED_TO_CLOSE</t>
  </si>
  <si>
    <t>MOV.MOV-007.OPEN_STATUS</t>
  </si>
  <si>
    <t>MOV.MOV-007.REMOTE_STATUS</t>
  </si>
  <si>
    <t>MOV.MOV-008.OPEN_STATUS</t>
  </si>
  <si>
    <t>MOV.MOV-009.OPEN_STATUS</t>
  </si>
  <si>
    <t>MOV.MOV-009.REMOTE_STATUS</t>
  </si>
  <si>
    <t>TK-04</t>
  </si>
  <si>
    <t>TANK.TK-04.LEVEL</t>
  </si>
  <si>
    <t>TANK.TK-04.HIGH_LEVEL</t>
  </si>
  <si>
    <t>TANK.TK-04.TANK_ALERT_ALARM</t>
  </si>
  <si>
    <t>TANK.TK-04.HIGH_HIGH_LEVEL</t>
  </si>
  <si>
    <t>LEVELSWITCH.LSW-04.SWITCH_STATUS</t>
  </si>
  <si>
    <t>LEVELSWITCH.LSW-04.PROOF_TEST_OK</t>
  </si>
  <si>
    <t>LEVELSWITCH.LSW-04.PROOF_TEST_FAILED</t>
  </si>
  <si>
    <t>LEVELSWITCH.RDR-04.SWITCH_STATUS</t>
  </si>
  <si>
    <t>LEVELSWITCH.RDR-04.PROOF_TEST_OK</t>
  </si>
  <si>
    <t>LEVELSWITCH.RDR-04.PROOF_TEST_FAILED</t>
  </si>
  <si>
    <t>MOV.ROSOV-10.OPEN_STATUS</t>
  </si>
  <si>
    <t>MOV.ROSOV-10.FAILED_TO_CLOSE</t>
  </si>
  <si>
    <t>MOV.ROSOV-11.OPEN_STATUS</t>
  </si>
  <si>
    <t>MOV.ROSOV-11.FAILED_TO_CLOSE</t>
  </si>
  <si>
    <t>MOV.ROSOV-12.OPEN_STATUS</t>
  </si>
  <si>
    <t>MOV.ROSOV-12.FAILED_TO_CLOSE</t>
  </si>
  <si>
    <t>MOV.MOV-010.OPEN_STATUS</t>
  </si>
  <si>
    <t>MOV.MOV-010.REMOTE_STATUS</t>
  </si>
  <si>
    <t>MOV.MOV-011.OPEN_STATUS</t>
  </si>
  <si>
    <t>MOV.MOV-012.OPEN_STATUS</t>
  </si>
  <si>
    <t>MOV.MOV-012.REMOTE_STATUS</t>
  </si>
  <si>
    <t>TK-05</t>
  </si>
  <si>
    <t>ETHANOL</t>
  </si>
  <si>
    <t>TANK.TK-05.LEVEL</t>
  </si>
  <si>
    <t>TANK.TK-05.HIGH_LEVEL</t>
  </si>
  <si>
    <t>TANK.TK-05.TANK_ALERT_ALARM</t>
  </si>
  <si>
    <t>TANK.TK-05.HIGH_HIGH_LEVEL</t>
  </si>
  <si>
    <t>LEVELSWITCH.LSW-05.SWITCH_STATUS</t>
  </si>
  <si>
    <t>LEVELSWITCH.LSW-05.PROOF_TEST_OK</t>
  </si>
  <si>
    <t>LEVELSWITCH.LSW-05.PROOF_TEST_FAILED</t>
  </si>
  <si>
    <t>LEVELSWITCH.RDR-05.SWITCH_STATUS</t>
  </si>
  <si>
    <t>LEVELSWITCH.RDR-05.PROOF_TEST_OK</t>
  </si>
  <si>
    <t>LEVELSWITCH.RDR-05.PROOF_TEST_FAILED</t>
  </si>
  <si>
    <t>MOV.ROSOV-13.OPEN_STATUS</t>
  </si>
  <si>
    <t>MOV.ROSOV-13.FAILED_TO_CLOSE</t>
  </si>
  <si>
    <t>MOV.ROSOV-14.OPEN_STATUS</t>
  </si>
  <si>
    <t>MOV.ROSOV-14.FAILED_TO_CLOSE</t>
  </si>
  <si>
    <t>MOV.ROSOV-15.OPEN_STATUS</t>
  </si>
  <si>
    <t>MOV.ROSOV-15.FAILED_TO_CLOSE</t>
  </si>
  <si>
    <t>MOV.MOV-013.OPEN_STATUS</t>
  </si>
  <si>
    <t>MOV.MOV-013.REMOTE_STATUS</t>
  </si>
  <si>
    <t>MOV.MOV-014.OPEN_STATUS</t>
  </si>
  <si>
    <t>MOV.MOV-015.OPEN_STATUS</t>
  </si>
  <si>
    <t>MOV.MOV-015.REMOTE_STATUS</t>
  </si>
  <si>
    <t>TK-06</t>
  </si>
  <si>
    <t>WATER</t>
  </si>
  <si>
    <t>TANK.TK-06.LEVEL</t>
  </si>
  <si>
    <t>TANK.TK-06.HIGH_LEVEL</t>
  </si>
  <si>
    <t>TANK.TK-06.TANK_ALERT_ALARM</t>
  </si>
  <si>
    <t>TANK.TK-06.HIGH_HIGH_LEVEL</t>
  </si>
  <si>
    <t>LEVELSWITCH.RDR-06.SWITCH_STATUS</t>
  </si>
  <si>
    <t>LEVELSWITCH.RDR-06.PROOF_TEST_OK</t>
  </si>
  <si>
    <t>LEVELSWITCH.RDR-06.PROOF_TEST_FAILED</t>
  </si>
  <si>
    <t>TK-07</t>
  </si>
  <si>
    <t>TANK.TK-07.LEVEL</t>
  </si>
  <si>
    <t>TANK.TK-07.HIGH_LEVEL</t>
  </si>
  <si>
    <t>TANK.TK-07.TANK_ALERT_ALARM</t>
  </si>
  <si>
    <t>TANK.TK-07.HIGH_HIGH_LEVEL</t>
  </si>
  <si>
    <t>LEVELSWITCH.RDR-07.SWITCH_STATUS</t>
  </si>
  <si>
    <t>LEVELSWITCH.RDR-07.PROOF_TEST_OK</t>
  </si>
  <si>
    <t>LEVELSWITCH.RDR-07.PROOF_TEST_FAILED</t>
  </si>
  <si>
    <t>TK-08</t>
  </si>
  <si>
    <t>FO</t>
  </si>
  <si>
    <t>TANK.TK-08.LEVEL</t>
  </si>
  <si>
    <t>TANK.TK-08.HIGH_LEVEL</t>
  </si>
  <si>
    <t>TANK.TK-08.TANK_ALERT_ALARM</t>
  </si>
  <si>
    <t>TANK.TK-08.HIGH_HIGH_LEVEL</t>
  </si>
  <si>
    <t>TK-09</t>
  </si>
  <si>
    <t>TANK.TK-09.LEVEL</t>
  </si>
  <si>
    <t>TANK.TK-09.HIGH_LEVEL</t>
  </si>
  <si>
    <t>TANK.TK-09.TANK_ALERT_ALARM</t>
  </si>
  <si>
    <t>TANK.TK-09.HIGH_HIGH_LEVEL</t>
  </si>
  <si>
    <t>TK-10</t>
  </si>
  <si>
    <t>UG</t>
  </si>
  <si>
    <t>TANK.TK-10.LEVEL</t>
  </si>
  <si>
    <t>TANK.TK-10.HIGH_LEVEL</t>
  </si>
  <si>
    <t>TANK.TK-10.TANK_ALERT_ALARM</t>
  </si>
  <si>
    <t>TANK.TK-10.HIGH_HIGH_LEVEL</t>
  </si>
  <si>
    <t>TK-11</t>
  </si>
  <si>
    <t>TANK.TK-11.LEVEL</t>
  </si>
  <si>
    <t>TANK.TK-11.HIGH_LEVEL</t>
  </si>
  <si>
    <t>TANK.TK-11.TANK_ALERT_ALARM</t>
  </si>
  <si>
    <t>TANK.TK-11.HIGH_HIGH_LEVEL</t>
  </si>
  <si>
    <t>TK-12</t>
  </si>
  <si>
    <t>TANK.TK-12.LEVEL</t>
  </si>
  <si>
    <t>TANK.TK-12.HIGH_LEVEL</t>
  </si>
  <si>
    <t>TANK.TK-12.TANK_ALERT_ALARM</t>
  </si>
  <si>
    <t>TANK.TK-12.HIGH_HIGH_LEVEL</t>
  </si>
  <si>
    <t>TK-13</t>
  </si>
  <si>
    <t>TANK.TK-13.LEVEL</t>
  </si>
  <si>
    <t>TANK.TK-13.HIGH_LEVEL</t>
  </si>
  <si>
    <t>TANK.TK-13.TANK_ALERT_ALARM</t>
  </si>
  <si>
    <t>TANK.TK-13.HIGH_HIGH_LEVEL</t>
  </si>
  <si>
    <t>TK-14</t>
  </si>
  <si>
    <t>TANK.TK-14.LEVEL</t>
  </si>
  <si>
    <t>TANK.TK-14.HIGH_LEVEL</t>
  </si>
  <si>
    <t>TANK.TK-14.TANK_ALERT_ALARM</t>
  </si>
  <si>
    <t>TANK.TK-14.HIGH_HIGH_LEVEL</t>
  </si>
  <si>
    <t>TK-15</t>
  </si>
  <si>
    <t>TANK.TK-15.LEVEL</t>
  </si>
  <si>
    <t>TANK.TK-15.HIGH_LEVEL</t>
  </si>
  <si>
    <t>TANK.TK-15.TANK_ALERT_ALARM</t>
  </si>
  <si>
    <t>TANK.TK-15.HIGH_HIGH_LEVEL</t>
  </si>
  <si>
    <t>MOV ID</t>
  </si>
  <si>
    <t>HDR MOV STATUS</t>
  </si>
  <si>
    <t>HDR MOV REMOTE STATUS</t>
  </si>
  <si>
    <t>HDR MOV MAINTENANCE STATUS</t>
  </si>
  <si>
    <t>TOBV-001_BS VI HSD</t>
  </si>
  <si>
    <t>TOBV-001</t>
  </si>
  <si>
    <t>MOV.TOBV-001.OPEN_STATUS</t>
  </si>
  <si>
    <t>MOV.TOBV-001.REMOTE_STATUS</t>
  </si>
  <si>
    <t>MOV.TOBV-001.MAINTENANCE_STATUS</t>
  </si>
  <si>
    <t>TOBV-002_BS VI HSD</t>
  </si>
  <si>
    <t>TOBV-002</t>
  </si>
  <si>
    <t>MOV.TOBV-002.OPEN_STATUS</t>
  </si>
  <si>
    <t>MOV.TOBV-002.REMOTE_STATUS</t>
  </si>
  <si>
    <t>MOV.TOBV-002.MAINTENANCE_STATUS</t>
  </si>
  <si>
    <t>TOBV-003_BS VI MS</t>
  </si>
  <si>
    <t>TOBV-003</t>
  </si>
  <si>
    <t>MOV.TOBV-003.OPEN_STATUS</t>
  </si>
  <si>
    <t>MOV.TOBV-003.REMOTE_STATUS</t>
  </si>
  <si>
    <t>MOV.TOBV-003.MAINTENANCE_STATUS</t>
  </si>
  <si>
    <t>TOBV-004_BS VI MS</t>
  </si>
  <si>
    <t>TOBV-004</t>
  </si>
  <si>
    <t>MOV.TOBV-004.OPEN_STATUS</t>
  </si>
  <si>
    <t>MOV.TOBV-004.REMOTE_STATUS</t>
  </si>
  <si>
    <t>MOV.TOBV-004.MAINTENANCE_STATUS</t>
  </si>
  <si>
    <t>TOBV-005_SKO</t>
  </si>
  <si>
    <t>SKO</t>
  </si>
  <si>
    <t>TOBV-005</t>
  </si>
  <si>
    <t>MOV.TOBV-005.OPEN_STATUS</t>
  </si>
  <si>
    <t>MOV.TOBV-005.REMOTE_STATUS</t>
  </si>
  <si>
    <t>MOV.TOBV-005.MAINTENANCE_STATUS</t>
  </si>
  <si>
    <t>TOBV-006_SKO</t>
  </si>
  <si>
    <t>TOBV-006</t>
  </si>
  <si>
    <t>MOV.TOBV-006.OPEN_STATUS</t>
  </si>
  <si>
    <t>MOV.TOBV-006.REMOTE_STATUS</t>
  </si>
  <si>
    <t>MOV.TOBV-006.MAINTENANCE_STATUS</t>
  </si>
  <si>
    <t>TOBV-007_FO</t>
  </si>
  <si>
    <t>TOBV-007</t>
  </si>
  <si>
    <t>MOV.TOBV-007.OPEN_STATUS</t>
  </si>
  <si>
    <t>MOV.TOBV-007.REMOTE_STATUS</t>
  </si>
  <si>
    <t>MOV.TOBV-007.MAINTENANCE_STATUS</t>
  </si>
  <si>
    <t>TOBV-008_FO</t>
  </si>
  <si>
    <t>TOBV-008</t>
  </si>
  <si>
    <t>MOV.TOBV-008.OPEN_STATUS</t>
  </si>
  <si>
    <t>MOV.TOBV-008.REMOTE_STATUS</t>
  </si>
  <si>
    <t>MOV.TOBV-008.MAINTENANCE_STATUS</t>
  </si>
  <si>
    <t>TOBV-009_ETHANOT</t>
  </si>
  <si>
    <t>TOBV-009</t>
  </si>
  <si>
    <t>MOV.TOBV-009.OPEN_STATUS</t>
  </si>
  <si>
    <t>MOV.TOBV-009.REMOTE_STATUS</t>
  </si>
  <si>
    <t>MOV.TOBV-009.MAINTENANCE_STATUS</t>
  </si>
  <si>
    <t>TOBV-010</t>
  </si>
  <si>
    <t>MOV.TOBV-010.OPEN_STATUS</t>
  </si>
  <si>
    <t>MOV.TOBV-010.REMOTE_STATUS</t>
  </si>
  <si>
    <t>MOV.TOBV-010.MAINTENANCE_STATUS</t>
  </si>
  <si>
    <t>TANK MAINTENANCE</t>
  </si>
  <si>
    <t>LEVEL SWITCH MAINTENANCE</t>
  </si>
  <si>
    <t>RADAR MAINTENANCE</t>
  </si>
  <si>
    <t>ROSOV MAINTENANCE IL1</t>
  </si>
  <si>
    <t>ROSOV MAINTENANCE IL2</t>
  </si>
  <si>
    <t>Sensor_id</t>
  </si>
  <si>
    <t>Sensor_type</t>
  </si>
  <si>
    <t>ROSOV MAINTENANCE OL</t>
  </si>
  <si>
    <t>ROSOV MAINTENANCE RCL</t>
  </si>
  <si>
    <t>MOV MAINTENANCE IL1</t>
  </si>
  <si>
    <t>MOV MAINTENANCE IL2</t>
  </si>
  <si>
    <t>MOV MAINTENANCE RCL</t>
  </si>
  <si>
    <t>MOV MAINTENANCE OL</t>
  </si>
  <si>
    <t>RIM SEAL MAINTENANCE STATUS</t>
  </si>
  <si>
    <t>Jabalpur_M</t>
  </si>
  <si>
    <t>TANK.TK-01.MAINTENANCE_STATUS</t>
  </si>
  <si>
    <t>LEVELSWITCH.LSW-01.MAINTENANCE_STATUS</t>
  </si>
  <si>
    <t>LEVELSWITCH.RDR-01.MAINTENANCE_STATUS</t>
  </si>
  <si>
    <t>MOV.ROSOV-01.MAINTENANCE_STATUS</t>
  </si>
  <si>
    <t>MOV.ROSOV-02.MAINTENANCE_STATUS</t>
  </si>
  <si>
    <t>MOV.ROSOV-03.MAINTENANCE_STATUS</t>
  </si>
  <si>
    <t>MOV.MOV-001.MAINTENANCE_STATUS</t>
  </si>
  <si>
    <t>MOV.MOV-003.MAINTENANCE_STATUS</t>
  </si>
  <si>
    <t>MOV.MOV-002.MAINTENANCE_STATUS</t>
  </si>
  <si>
    <t>TANK.TK-02.MAINTENANCE_STATUS</t>
  </si>
  <si>
    <t>LEVELSWITCH.LSW-02.MAINTENANCE_STATUS</t>
  </si>
  <si>
    <t>LEVELSWITCH.RDR-02.MAINTENANCE_STATUS</t>
  </si>
  <si>
    <t>MOV.ROSOV-04.MAINTENANCE_STATUS</t>
  </si>
  <si>
    <t>MOV.ROSOV-05.MAINTENANCE_STATUS</t>
  </si>
  <si>
    <t>MOV.ROSOV-06.MAINTENANCE_STATUS</t>
  </si>
  <si>
    <t>MOV.MOV-004.MAINTENANCE_STATUS</t>
  </si>
  <si>
    <t>MOV.MOV-006.MAINTENANCE_STATUS</t>
  </si>
  <si>
    <t>MOV.MOV-005.MAINTENANCE_STATUS</t>
  </si>
  <si>
    <t>TANK.TK-03.MAINTENANCE_STATUS</t>
  </si>
  <si>
    <t>LEVELSWITCH.LSW-03.MAINTENANCE_STATUS</t>
  </si>
  <si>
    <t>LEVELSWITCH.RDR-03.MAINTENANCE_STATUS</t>
  </si>
  <si>
    <t>MOV.ROSOV-07.MAINTENANCE_STATUS</t>
  </si>
  <si>
    <t>MOV.ROSOV-08.MAINTENANCE_STATUS</t>
  </si>
  <si>
    <t>MOV.ROSOV-09.MAINTENANCE_STATUS</t>
  </si>
  <si>
    <t>MOV.MOV-007.MAINTENANCE_STATUS</t>
  </si>
  <si>
    <t>MOV.MOV-009.MAINTENANCE_STATUS</t>
  </si>
  <si>
    <t>MOV.MOV-008.MAINTENANCE_STATUS</t>
  </si>
  <si>
    <t>TANK.TK-04.MAINTENANCE_STATUS</t>
  </si>
  <si>
    <t>LEVELSWITCH.LSW-04.MAINTENANCE_STATUS</t>
  </si>
  <si>
    <t>LEVELSWITCH.RDR-04.MAINTENANCE_STATUS</t>
  </si>
  <si>
    <t>MOV.ROSOV-10.MAINTENANCE_STATUS</t>
  </si>
  <si>
    <t>MOV.ROSOV-11.MAINTENANCE_STATUS</t>
  </si>
  <si>
    <t>MOV.ROSOV-12.MAINTENANCE_STATUS</t>
  </si>
  <si>
    <t>MOV.MOV-010.MAINTENANCE_STATUS</t>
  </si>
  <si>
    <t>MOV.MOV-012.MAINTENANCE_STATUS</t>
  </si>
  <si>
    <t>MOV.MOV-011.MAINTENANCE_STATUS</t>
  </si>
  <si>
    <t>TANK.TK-05.MAINTENANCE_STATUS</t>
  </si>
  <si>
    <t>LEVELSWITCH.LSW-05.MAINTENANCE_STATUS</t>
  </si>
  <si>
    <t>LEVELSWITCH.RDR-05.MAINTENANCE_STATUS</t>
  </si>
  <si>
    <t>MOV.ROSOV-13.MAINTENANCE_STATUS</t>
  </si>
  <si>
    <t>MOV.ROSOV-14.MAINTENANCE_STATUS</t>
  </si>
  <si>
    <t>MOV.ROSOV-15.MAINTENANCE_STATUS</t>
  </si>
  <si>
    <t>MOV.MOV-013.MAINTENANCE_STATUS</t>
  </si>
  <si>
    <t>MOV.MOV-015.MAINTENANCE_STATUS</t>
  </si>
  <si>
    <t>MOV.MOV-014.MAINTENANCE_STATUS</t>
  </si>
  <si>
    <t>TANK.TK-06.MAINTENANCE_STATUS</t>
  </si>
  <si>
    <t>TANK.TK-07.MAINTENANCE_STATUS</t>
  </si>
  <si>
    <t>TANK.TK-08.MAINTENANCE_STATUS</t>
  </si>
  <si>
    <t>TANK.TK-09.MAINTENANCE_STATUS</t>
  </si>
  <si>
    <t>TANK.TK-15.MAINTENANCE_STATUS</t>
  </si>
  <si>
    <t>Pump ID</t>
  </si>
  <si>
    <t>Fuel Type</t>
  </si>
  <si>
    <t>Pump Type</t>
  </si>
  <si>
    <t>Pump Direction(Reciept/Dispatch)</t>
  </si>
  <si>
    <t>PUMP ON STATUS</t>
  </si>
  <si>
    <t>PUMP ON STATUS Normal value</t>
  </si>
  <si>
    <t>PUMP LR STATUS</t>
  </si>
  <si>
    <t>PUMP LR STATUS Normal value</t>
  </si>
  <si>
    <t>PUMP MAINTENANCE STATUS</t>
  </si>
  <si>
    <t>ADTV-PMP-01</t>
  </si>
  <si>
    <t>POWERMS</t>
  </si>
  <si>
    <t>TLF</t>
  </si>
  <si>
    <t>DISPATCH</t>
  </si>
  <si>
    <t>PUMP.ADTV-PMP-01.ON</t>
  </si>
  <si>
    <t>FLASE</t>
  </si>
  <si>
    <t>PUMP.ADTV-PMP-01.REMOTE_STATUS</t>
  </si>
  <si>
    <t>PUMP.ADTV-PMP-01.MAINTENANCE_STATUS</t>
  </si>
  <si>
    <t>ADTV-PMP-02</t>
  </si>
  <si>
    <t>PUMP.ADTV-PMP-02.ON</t>
  </si>
  <si>
    <t>PUMP.ADTV-PMP-02.REMOTE_STATUS</t>
  </si>
  <si>
    <t>PUMP.ADTV-PMP-02.MAINTENANCE_STATUS</t>
  </si>
  <si>
    <t>ADTV-PMP-03</t>
  </si>
  <si>
    <t>TURBOHSD</t>
  </si>
  <si>
    <t>PUMP.ADTV-PMP-03.ON</t>
  </si>
  <si>
    <t>PUMP.ADTV-PMP-03.REMOTE_STATUS</t>
  </si>
  <si>
    <t>PUMP.ADTV-PMP-03.MAINTENANCE_STATUS</t>
  </si>
  <si>
    <t>ADTV-PMP-04</t>
  </si>
  <si>
    <t>PUMP.ADTV-PMP-04.ON</t>
  </si>
  <si>
    <t>PUMP.ADTV-PMP-04.REMOTE_STATUS</t>
  </si>
  <si>
    <t>PUMP.ADTV-PMP-04.MAINTENANCE_STATUS</t>
  </si>
  <si>
    <t>ADTV-PMP-05</t>
  </si>
  <si>
    <t>BLUE DYE</t>
  </si>
  <si>
    <t>PUMP.ADTV-PMP-05.ON</t>
  </si>
  <si>
    <t>PUMP.ADTV-PMP-05.REMOTE_STATUS</t>
  </si>
  <si>
    <t>PUMP.ADTV-PMP-05.MAINTENANCE_STATUS</t>
  </si>
  <si>
    <t>ADTV-PMP-06</t>
  </si>
  <si>
    <t>PUMP.ADTV-PMP-06.ON</t>
  </si>
  <si>
    <t>PUMP.ADTV-PMP-06.REMOTE_STATUS</t>
  </si>
  <si>
    <t>PUMP.ADTV-PMP-06.MAINTENANCE_STATUS</t>
  </si>
  <si>
    <t>PMP-01</t>
  </si>
  <si>
    <t>PUMP.PMP-01.ON</t>
  </si>
  <si>
    <t>PUMP.PMP-01.REMOTE_STATUS</t>
  </si>
  <si>
    <t>PUMP.PMP-01.MAINTENANCE_STATUS</t>
  </si>
  <si>
    <t>PMP-02</t>
  </si>
  <si>
    <t>PUMP.PMP-02.ON</t>
  </si>
  <si>
    <t>PUMP.PMP-02.REMOTE_STATUS</t>
  </si>
  <si>
    <t>PUMP.PMP-02.MAINTENANCE_STATUS</t>
  </si>
  <si>
    <t>PMP-03</t>
  </si>
  <si>
    <t>PUMP.PMP-03.ON</t>
  </si>
  <si>
    <t>PUMP.PMP-03.REMOTE_STATUS</t>
  </si>
  <si>
    <t>PUMP.PMP-03.MAINTENANCE_STATUS</t>
  </si>
  <si>
    <t>PMP-04</t>
  </si>
  <si>
    <t>PUMP.PMP-04.ON</t>
  </si>
  <si>
    <t>PUMP.PMP-04.REMOTE_STATUS</t>
  </si>
  <si>
    <t>PUMP.PMP-04.MAINTENANCE_STATUS</t>
  </si>
  <si>
    <t>PMP-05</t>
  </si>
  <si>
    <t>PUMP.PMP-05.ON</t>
  </si>
  <si>
    <t>PUMP.PMP-05.REMOTE_STATUS</t>
  </si>
  <si>
    <t>PUMP.PMP-05.MAINTENANCE_STATUS</t>
  </si>
  <si>
    <t>PMP-06</t>
  </si>
  <si>
    <t>PUMP.PMP-06.ON</t>
  </si>
  <si>
    <t>PUMP.PMP-06.REMOTE_STATUS</t>
  </si>
  <si>
    <t>PUMP.PMP-06.MAINTENANCE_STATUS</t>
  </si>
  <si>
    <t>PMP-07</t>
  </si>
  <si>
    <t>PUMP.PMP-07.ON</t>
  </si>
  <si>
    <t>PUMP.PMP-07.REMOTE_STATUS</t>
  </si>
  <si>
    <t>PUMP.PMP-07.MAINTENANCE_STATUS</t>
  </si>
  <si>
    <t>PMP-08</t>
  </si>
  <si>
    <t>PUMP.PMP-08.ON</t>
  </si>
  <si>
    <t>PUMP.PMP-08.REMOTE_STATUS</t>
  </si>
  <si>
    <t>PUMP.PMP-08.MAINTENANCE_STATUS</t>
  </si>
  <si>
    <t>PMP-09</t>
  </si>
  <si>
    <t>PUMP.PMP-09.ON</t>
  </si>
  <si>
    <t>PUMP.PMP-09.REMOTE_STATUS</t>
  </si>
  <si>
    <t>PUMP.PMP-09.MAINTENANCE_STATUS</t>
  </si>
  <si>
    <t>PMP-11</t>
  </si>
  <si>
    <t>PUMP.PMP-11.ON</t>
  </si>
  <si>
    <t>PUMP.PMP-11.REMOTE_STATUS</t>
  </si>
  <si>
    <t>PUMP.PMP-11.MAINTENANCE_STATUS</t>
  </si>
  <si>
    <t>PMP-12</t>
  </si>
  <si>
    <t>PUMP.PMP-12.ON</t>
  </si>
  <si>
    <t>PUMP.PMP-12.REMOTE_STATUS</t>
  </si>
  <si>
    <t>PUMP.PMP-12.MAINTENANCE_STATUS</t>
  </si>
  <si>
    <t>PMP-14</t>
  </si>
  <si>
    <t>PUMP.PMP-14.ON</t>
  </si>
  <si>
    <t>PUMP.PMP-14.REMOTE_STATUS</t>
  </si>
  <si>
    <t>PUMP.PMP-14.MAINTENANCE_STATUS</t>
  </si>
  <si>
    <t>PMP-15</t>
  </si>
  <si>
    <t>PUMP.PMP-15.ON</t>
  </si>
  <si>
    <t>PUMP.PMP-15.REMOTE_STATUS</t>
  </si>
  <si>
    <t>PUMP.PMP-15.MAINTENANCE_STATUS</t>
  </si>
  <si>
    <t>PMP-16</t>
  </si>
  <si>
    <t>PUMP.PMP-16.ON</t>
  </si>
  <si>
    <t>PUMP.PMP-16.REMOTE_STATUS</t>
  </si>
  <si>
    <t>PUMP.PMP-16.MAINTENANCE_STATUS</t>
  </si>
  <si>
    <t>PMP-17</t>
  </si>
  <si>
    <t>PUMP.PMP-17.ON</t>
  </si>
  <si>
    <t>PUMP.PMP-17.REMOTE_STATUS</t>
  </si>
  <si>
    <t>PUMP.PMP-17.MAINTENANCE_STATUS</t>
  </si>
  <si>
    <t>PMP-18</t>
  </si>
  <si>
    <t>WL</t>
  </si>
  <si>
    <t>RECEIPT</t>
  </si>
  <si>
    <t>PUMP.PMP-18.ON</t>
  </si>
  <si>
    <t>PUMP.PMP-18.REMOTE_STATUS</t>
  </si>
  <si>
    <t>PUMP.PMP-18.MAINTENANCE_STATUS</t>
  </si>
  <si>
    <t>PMP-19</t>
  </si>
  <si>
    <t>PUMP.PMP-19.ON</t>
  </si>
  <si>
    <t>PUMP.PMP-19.REMOTE_STATUS</t>
  </si>
  <si>
    <t>PUMP.PMP-19.MAINTENANCE_STATUS</t>
  </si>
  <si>
    <t>PMP-20</t>
  </si>
  <si>
    <t>PUMP.PMP-20.ON</t>
  </si>
  <si>
    <t>PUMP.PMP-20.REMOTE_STATUS</t>
  </si>
  <si>
    <t>PUMP.PMP-20.MAINTENANCE_STATUS</t>
  </si>
  <si>
    <t>PMP-21</t>
  </si>
  <si>
    <t>PUMP.PMP-21.ON</t>
  </si>
  <si>
    <t>PUMP.PMP-21.REMOTE_STATUS</t>
  </si>
  <si>
    <t>PUMP.PMP-21.MAINTENANCE_STATUS</t>
  </si>
  <si>
    <t>PMP-22</t>
  </si>
  <si>
    <t>PUMP.PMP-22.ON</t>
  </si>
  <si>
    <t>PUMP.PMP-22.REMOTE_STATUS</t>
  </si>
  <si>
    <t>PUMP.PMP-22.MAINTENANCE_STATUS</t>
  </si>
  <si>
    <t>PMP-23</t>
  </si>
  <si>
    <t>PUMP.PMP-23.ON</t>
  </si>
  <si>
    <t>PUMP.PMP-23.REMOTE_STATUS</t>
  </si>
  <si>
    <t>PUMP.PMP-23.MAINTENANCE_STATUS</t>
  </si>
  <si>
    <t>PMP-24</t>
  </si>
  <si>
    <t>PUMP.PMP-24.ON</t>
  </si>
  <si>
    <t>PUMP.PMP-24.REMOTE_STATUS</t>
  </si>
  <si>
    <t>PUMP.PMP-24.MAINTENANCE_STATUS</t>
  </si>
  <si>
    <t>PMP-25</t>
  </si>
  <si>
    <t>PUMP.PMP-25.ON</t>
  </si>
  <si>
    <t>PUMP.PMP-25.REMOTE_STATUS</t>
  </si>
  <si>
    <t>PUMP.PMP-25.MAINTENANCE_STATUS</t>
  </si>
  <si>
    <t>PMP-26</t>
  </si>
  <si>
    <t>PUMP.PMP-26.ON</t>
  </si>
  <si>
    <t>PUMP.PMP-26.REMOTE_STATUS</t>
  </si>
  <si>
    <t>PUMP.PMP-26.MAINTENANCE_STATUS</t>
  </si>
  <si>
    <t>PMP-27</t>
  </si>
  <si>
    <t>PUMP.PMP-27.ON</t>
  </si>
  <si>
    <t>PUMP.PMP-27.REMOTE_STATUS</t>
  </si>
  <si>
    <t>PUMP.PMP-27.MAINTENANCE_STATUS</t>
  </si>
  <si>
    <t>PMP-28</t>
  </si>
  <si>
    <t>PUMP.PMP-28.ON</t>
  </si>
  <si>
    <t>PUMP.PMP-28.REMOTE_STATUS</t>
  </si>
  <si>
    <t>PUMP.PMP-28.MAINTENANCE_STATUS</t>
  </si>
  <si>
    <t>PMP-29</t>
  </si>
  <si>
    <t>PUMP.PMP-29.ON</t>
  </si>
  <si>
    <t>PUMP.PMP-29.REMOTE_STATUS</t>
  </si>
  <si>
    <t>PUMP.PMP-29.MAINTENANCE_STATUS</t>
  </si>
  <si>
    <t>PMP-30</t>
  </si>
  <si>
    <t>PUMP.PMP-30.ON</t>
  </si>
  <si>
    <t>PUMP.PMP-30.REMOTE_STATUS</t>
  </si>
  <si>
    <t>PUMP.PMP-30.MAINTENANCE_STATUS</t>
  </si>
  <si>
    <t>PMP-31</t>
  </si>
  <si>
    <t>PUMP.PMP-31.ON</t>
  </si>
  <si>
    <t>PUMP.PMP-31.REMOTE_STATUS</t>
  </si>
  <si>
    <t>PUMP.PMP-31.MAINTENANCE_STATUS</t>
  </si>
  <si>
    <t>PMP-32</t>
  </si>
  <si>
    <t>PUMP.PMP-32.ON</t>
  </si>
  <si>
    <t>PUMP.PMP-32.REMOTE_STATUS</t>
  </si>
  <si>
    <t>PUMP.PMP-32.MAINTENANCE_STATUS</t>
  </si>
  <si>
    <t>FIRE PUMP MAINTENANCE</t>
  </si>
  <si>
    <t>FIRE PUMP FAIL TO START 1</t>
  </si>
  <si>
    <t>FIRE PUMP FAIL TO START 1 Normal value</t>
  </si>
  <si>
    <t>FIRE PUMP FAIL TO START 2</t>
  </si>
  <si>
    <t>FIRE PUMP FAIL TO START 2 Normal value</t>
  </si>
  <si>
    <t>FIRE PUMP FAIL TO START 3</t>
  </si>
  <si>
    <t>FIRE PUMP FAIL TO START 3 Normal value</t>
  </si>
  <si>
    <t>FIRE PUMP FAIL TO START STANDBY</t>
  </si>
  <si>
    <t>FIRE PUMP FAIL TO START STANDBY Normal value</t>
  </si>
  <si>
    <t>FIRE PUMP TRIPPED FAULT</t>
  </si>
  <si>
    <t>FIRE PUMP TRIPPED FAULT Normal value</t>
  </si>
  <si>
    <t>FIRE PUMP LLOP ALARM</t>
  </si>
  <si>
    <t>FIRE PUMP LLOP ALARM Normal value</t>
  </si>
  <si>
    <t>FIRE PUMP HWT ALARM</t>
  </si>
  <si>
    <t>FIRE PUMP HWT ALARM Normal value</t>
  </si>
  <si>
    <t>FWP-01</t>
  </si>
  <si>
    <t>Water</t>
  </si>
  <si>
    <t>PH</t>
  </si>
  <si>
    <t>PUMP.FWP-01.ON</t>
  </si>
  <si>
    <t>PUMP.FWP-01.REMOTE_STATUS</t>
  </si>
  <si>
    <t>PUMP.FWP-01.MAINTENANCE_STATUS</t>
  </si>
  <si>
    <t>PUMP.FWP-01.FAILED_TO_START_MAIN1</t>
  </si>
  <si>
    <t>PUMP.FWP-01.FAILED_TO_START_MAIN2</t>
  </si>
  <si>
    <t>PUMP.FWP-01.FAILED_TO_START_STANDBY</t>
  </si>
  <si>
    <t>PUMP.FWP-01.PUMP_TRIPPED</t>
  </si>
  <si>
    <t>PUMP.FWP-01.HIGH_TEMPERATURE_ALARM</t>
  </si>
  <si>
    <t>FWP-02</t>
  </si>
  <si>
    <t>PUMP.FWP-02.ON</t>
  </si>
  <si>
    <t>PUMP.FWP-02.REMOTE_STATUS</t>
  </si>
  <si>
    <t>PUMP.FWP-02.MAINTENANCE_STATUS</t>
  </si>
  <si>
    <t>PUMP.FWP-02.FAILED_TO_START_MAIN1</t>
  </si>
  <si>
    <t>PUMP.FWP-02.FAILED_TO_START_MAIN2</t>
  </si>
  <si>
    <t>PUMP.FWP-02.FAILED_TO_START_STANDBY</t>
  </si>
  <si>
    <t>PUMP.FWP-02.PUMP_TRIPPED</t>
  </si>
  <si>
    <t>PUMP.FWP-02.HIGH_TEMPERATURE_ALARM</t>
  </si>
  <si>
    <t>FWP-03</t>
  </si>
  <si>
    <t>PUMP.FWP-03.ON</t>
  </si>
  <si>
    <t>PUMP.FWP-03.REMOTE_STATUS</t>
  </si>
  <si>
    <t>PUMP.FWP-03.MAINTENANCE_STATUS</t>
  </si>
  <si>
    <t>PUMP.FWP-03.FAILED_TO_START_MAIN1</t>
  </si>
  <si>
    <t>PUMP.FWP-03.FAILED_TO_START_MAIN2</t>
  </si>
  <si>
    <t>PUMP.FWP-03.FAILED_TO_START_STANDBY</t>
  </si>
  <si>
    <t>PUMP.FWP-03.PUMP_TRIPPED</t>
  </si>
  <si>
    <t>PUMP.FWP-03.HIGH_TEMPERATURE_ALARM</t>
  </si>
  <si>
    <t>JCY-01</t>
  </si>
  <si>
    <t>PUMP.JCY-01.ON</t>
  </si>
  <si>
    <t>PUMP.JCY-01.REMOTE_STATUS</t>
  </si>
  <si>
    <t>PUMP.JCY-01.MAINTENANCE_STATUS</t>
  </si>
  <si>
    <t>PUMP.JCY-01.FAILED_TO_START_MAIN1</t>
  </si>
  <si>
    <t>PUMP.JCY-01.FAILED_TO_START_STANDBY</t>
  </si>
  <si>
    <t>PUMP.JCY-01.PUMP_TRIPPED</t>
  </si>
  <si>
    <t>JCY-02</t>
  </si>
  <si>
    <t>PUMP.JCY-02.ON</t>
  </si>
  <si>
    <t>PUMP.JCY-02.REMOTE_STATUS</t>
  </si>
  <si>
    <t>PUMP.JCY-02.MAINTENANCE_STATUS</t>
  </si>
  <si>
    <t>PUMP.JCY-02.FAILED_TO_START_MAIN1</t>
  </si>
  <si>
    <t>PUMP.JCY-02.FAILED_TO_START_STANDBY</t>
  </si>
  <si>
    <t>PUMP.JCY-02.PUMP_TRIPPED</t>
  </si>
  <si>
    <t>Farthest Point PT</t>
  </si>
  <si>
    <t>WP</t>
  </si>
  <si>
    <t>PT</t>
  </si>
  <si>
    <t>PressureTransmitter.PT-01.MAINTENANCE_STATUS</t>
  </si>
  <si>
    <t>Nearest Point PT</t>
  </si>
  <si>
    <t>PressureTransmitter.PT-02.MAINTENANCE_STATUS</t>
  </si>
  <si>
    <t>UPS ID</t>
  </si>
  <si>
    <t>UPS FAIL</t>
  </si>
  <si>
    <t>UPS FAIL Normal Value</t>
  </si>
  <si>
    <t>LOW BATTERY</t>
  </si>
  <si>
    <t>LOW BATTERY Normal Value</t>
  </si>
  <si>
    <t>UPS ON</t>
  </si>
  <si>
    <t>UPS ON Normal Value</t>
  </si>
  <si>
    <t>UPS MAIN AC FAIL</t>
  </si>
  <si>
    <t>UPS MAIN AC FAIL Normal Value</t>
  </si>
  <si>
    <t>UPS-01</t>
  </si>
  <si>
    <t>Control Room</t>
  </si>
  <si>
    <t>UPS.UPS-01.LOW_BATTERY</t>
  </si>
  <si>
    <t>UPS.UPS-01.LOAD_ON_UPS</t>
  </si>
  <si>
    <t>UPS.UPS-01.MAIN_AC_FAIL</t>
  </si>
  <si>
    <t>UPS-02</t>
  </si>
  <si>
    <t>UPS.UPS-02.LOW_BATTERY</t>
  </si>
  <si>
    <t>UPS.UPS-02.LOAD_ON_UPS</t>
  </si>
  <si>
    <t>UPS.UPS-02.MAIN_AC_FAIL</t>
  </si>
  <si>
    <t>PLC ID</t>
  </si>
  <si>
    <t>PLC A IS MASTER</t>
  </si>
  <si>
    <t>PLC B IS MASTER</t>
  </si>
  <si>
    <t>PLC A FAIL SAFE</t>
  </si>
  <si>
    <t>PLC B FAIL SAFE</t>
  </si>
  <si>
    <t>Senosr_Type</t>
  </si>
  <si>
    <t>PLC A COOMUNCIATION</t>
  </si>
  <si>
    <t>PLC B COOMUNCIATION</t>
  </si>
  <si>
    <t>GEPLC</t>
  </si>
  <si>
    <t>Process PLC</t>
  </si>
  <si>
    <t>PLC.GEPLC.PLCA_IS_MASTER</t>
  </si>
  <si>
    <t>TASPLC</t>
  </si>
  <si>
    <t>PLCA</t>
  </si>
  <si>
    <t>PLC.GEPLC.PLCB_IS_MASTER</t>
  </si>
  <si>
    <t>PLCB</t>
  </si>
  <si>
    <t>SFT PLC</t>
  </si>
  <si>
    <t>Safety PLC</t>
  </si>
  <si>
    <t>PLC.SFTPLC.PLCA_IS_MASTER</t>
  </si>
  <si>
    <t>SFTPLC</t>
  </si>
  <si>
    <t>PLC.SFTPLC.PLCB_IS_MASTER</t>
  </si>
  <si>
    <t>HCD ID</t>
  </si>
  <si>
    <t>Type</t>
  </si>
  <si>
    <t>HCD 40 % ALARM</t>
  </si>
  <si>
    <t>HCD 40 % ALARM Normal Value</t>
  </si>
  <si>
    <t>HCD 20 % ALARM</t>
  </si>
  <si>
    <t>HCD 20 % ALARM Normal Value</t>
  </si>
  <si>
    <t>HCD FAULT</t>
  </si>
  <si>
    <t>HCD FAULT Normal Value</t>
  </si>
  <si>
    <t>MISALIGNMENT FAULT</t>
  </si>
  <si>
    <t>MISALIGNMENT FAULT Normal Value</t>
  </si>
  <si>
    <t>HCD MAINTENANCE</t>
  </si>
  <si>
    <t>HCD MAINTENANCE Normal Value</t>
  </si>
  <si>
    <t>HCD Hooter Activated</t>
  </si>
  <si>
    <t>HDS-01</t>
  </si>
  <si>
    <t>POINT_TYP</t>
  </si>
  <si>
    <t>TTL PUMP HOUSE</t>
  </si>
  <si>
    <t>GDS.HDS-01.HYDROCARBON_40_PCT_LEL</t>
  </si>
  <si>
    <t>GDS.HDS-01.HYDROCARBON_20_PCT_LEL</t>
  </si>
  <si>
    <t>GDS.HDS-01.CRITICAL_FAULT_ALARM</t>
  </si>
  <si>
    <t>GDS.HDS-01.MISALIGNMENT_FAULT_ALARM</t>
  </si>
  <si>
    <t>GDS.HDS-01.MAINTENANCE_CALL</t>
  </si>
  <si>
    <t>PLC.SFTPLC.EFFECT_HOOTER_FOR_HC_CR</t>
  </si>
  <si>
    <t>HDS-02</t>
  </si>
  <si>
    <t>TANKFARM TK-22 MS</t>
  </si>
  <si>
    <t>GDS.HDS-02.HYDROCARBON_40_PCT_LEL</t>
  </si>
  <si>
    <t>GDS.HDS-02.HYDROCARBON_20_PCT_LEL</t>
  </si>
  <si>
    <t>GDS.HDS-02.CRITICAL_FAULT_ALARM</t>
  </si>
  <si>
    <t>GDS.HDS-02.MISALIGNMENT_FAULT_ALARM</t>
  </si>
  <si>
    <t>GDS.HDS-02.MAINTENANCE_CALL</t>
  </si>
  <si>
    <t>HDS-03</t>
  </si>
  <si>
    <t>TWD PUMP HOUSE</t>
  </si>
  <si>
    <t>GDS.HDS-03.HYDROCARBON_40_PCT_LEL</t>
  </si>
  <si>
    <t>GDS.HDS-03.HYDROCARBON_20_PCT_LEL</t>
  </si>
  <si>
    <t>GDS.HDS-03.CRITICAL_FAULT_ALARM</t>
  </si>
  <si>
    <t>GDS.HDS-03.MISALIGNMENT_FAULT_ALARM</t>
  </si>
  <si>
    <t>GDS.HDS-03.MAINTENANCE_CALL</t>
  </si>
  <si>
    <t>HDS-04</t>
  </si>
  <si>
    <t>FIXED-TYP</t>
  </si>
  <si>
    <t>GDS.HDS-04.HYDROCARBON_40_PCT_LEL</t>
  </si>
  <si>
    <t>GDS.HDS-04.HYDROCARBON_20_PCT_LEL</t>
  </si>
  <si>
    <t>GDS.HDS-04.CRITICAL_FAULT_ALARM</t>
  </si>
  <si>
    <t>GDS.HDS-04.MISALIGNMENT_FAULT_ALARM</t>
  </si>
  <si>
    <t>GDS.HDS-04.MAINTENANCE_CALL</t>
  </si>
  <si>
    <t>HDS-05</t>
  </si>
  <si>
    <t>TANKFARM TK-24 SKO</t>
  </si>
  <si>
    <t>GDS.HDS-05.HYDROCARBON_40_PCT_LEL</t>
  </si>
  <si>
    <t>GDS.HDS-05.HYDROCARBON_20_PCT_LEL</t>
  </si>
  <si>
    <t>GDS.HDS-05.CRITICAL_FAULT_ALARM</t>
  </si>
  <si>
    <t>GDS.HDS-05.MISALIGNMENT_FAULT_ALARM</t>
  </si>
  <si>
    <t>GDS.HDS-05.MAINTENANCE_CALL</t>
  </si>
  <si>
    <t>HDS-06</t>
  </si>
  <si>
    <t>GDS.HDS-06.HYDROCARBON_40_PCT_LEL</t>
  </si>
  <si>
    <t>GDS.HDS-06.HYDROCARBON_20_PCT_LEL</t>
  </si>
  <si>
    <t>GDS.HDS-06.CRITICAL_FAULT_ALARM</t>
  </si>
  <si>
    <t>GDS.HDS-06.MISALIGNMENT_FAULT_ALARM</t>
  </si>
  <si>
    <t>GDS.HDS-06.MAINTENANCE_CALL</t>
  </si>
  <si>
    <t>HDS-07</t>
  </si>
  <si>
    <t>NEAR MANIFOLD TK-22</t>
  </si>
  <si>
    <t>GDS.HDS-07.HYDROCARBON_40_PCT_LEL</t>
  </si>
  <si>
    <t>GDS.HDS-07.HYDROCARBON_20_PCT_LEL</t>
  </si>
  <si>
    <t>GDS.HDS-07.CRITICAL_FAULT_ALARM</t>
  </si>
  <si>
    <t>GDS.HDS-07.MISALIGNMENT_FAULT_ALARM</t>
  </si>
  <si>
    <t>GDS.HDS-07.MAINTENANCE_CALL</t>
  </si>
  <si>
    <t>HDS-08</t>
  </si>
  <si>
    <t>NEAR MANIFOLD TK-23</t>
  </si>
  <si>
    <t>GDS.HDS-08.HYDROCARBON_40_PCT_LEL</t>
  </si>
  <si>
    <t>GDS.HDS-08.HYDROCARBON_20_PCT_LEL</t>
  </si>
  <si>
    <t>GDS.HDS-08.CRITICAL_FAULT_ALARM</t>
  </si>
  <si>
    <t>GDS.HDS-08.MISALIGNMENT_FAULT_ALARM</t>
  </si>
  <si>
    <t>GDS.HDS-08.MAINTENANCE_CALL</t>
  </si>
  <si>
    <t>HDS-09</t>
  </si>
  <si>
    <t>NEAR MANIFOLD TK-24</t>
  </si>
  <si>
    <t>GDS.HDS-09.HYDROCARBON_40_PCT_LEL</t>
  </si>
  <si>
    <t>GDS.HDS-09.HYDROCARBON_20_PCT_LEL</t>
  </si>
  <si>
    <t>GDS.HDS-09.CRITICAL_FAULT_ALARM</t>
  </si>
  <si>
    <t>GDS.HDS-09.MISALIGNMENT_FAULT_ALARM</t>
  </si>
  <si>
    <t>GDS.HDS-09.MAINTENANCE_CALL</t>
  </si>
  <si>
    <t>HDS-10</t>
  </si>
  <si>
    <t>NEAR VRU SYSTEM</t>
  </si>
  <si>
    <t>GDS.HDS-10.HYDROCARBON_40_PCT_LEL</t>
  </si>
  <si>
    <t>GDS.HDS-10.HYDROCARBON_20_PCT_LEL</t>
  </si>
  <si>
    <t>GDS.HDS-10.CRITICAL_FAULT_ALARM</t>
  </si>
  <si>
    <t>GDS.HDS-10.MISALIGNMENT_FAULT_ALARM</t>
  </si>
  <si>
    <t>GDS.HDS-10.MAINTENANCE_CALL</t>
  </si>
  <si>
    <t>HDS-11</t>
  </si>
  <si>
    <t>PTD</t>
  </si>
  <si>
    <t>TANK 09, 10 &amp; 11</t>
  </si>
  <si>
    <t>GDS.HDS-11.HYDROCARBON_40_PCT_LEL</t>
  </si>
  <si>
    <t>GDS.HDS-11.HYDROCARBON_20_PCT_LEL</t>
  </si>
  <si>
    <t>GDS.HDS-11.CRITICAL_FAULT_ALARM</t>
  </si>
  <si>
    <t>GDS.HDS-11.MISALIGNMENT_FAULT_ALARM</t>
  </si>
  <si>
    <t>GDS.HDS-11.MAINTENANCE_CALL</t>
  </si>
  <si>
    <t>HDS-12</t>
  </si>
  <si>
    <t>TANK 17</t>
  </si>
  <si>
    <t>GDS.HDS-12.HYDROCARBON_40_PCT_LEL</t>
  </si>
  <si>
    <t>GDS.HDS-12.HYDROCARBON_20_PCT_LEL</t>
  </si>
  <si>
    <t>GDS.HDS-12.CRITICAL_FAULT_ALARM</t>
  </si>
  <si>
    <t>GDS.HDS-12.MISALIGNMENT_FAULT_ALARM</t>
  </si>
  <si>
    <t>GDS.HDS-12.MAINTENANCE_CALL</t>
  </si>
  <si>
    <t>HDS-13</t>
  </si>
  <si>
    <t>TANK 18</t>
  </si>
  <si>
    <t>GDS.HDS-13.HYDROCARBON_40_PCT_LEL</t>
  </si>
  <si>
    <t>GDS.HDS-13.HYDROCARBON_20_PCT_LEL</t>
  </si>
  <si>
    <t>GDS.HDS-13.CRITICAL_FAULT_ALARM</t>
  </si>
  <si>
    <t>GDS.HDS-13.MISALIGNMENT_FAULT_ALARM</t>
  </si>
  <si>
    <t>GDS.HDS-13.MAINTENANCE_CALL</t>
  </si>
  <si>
    <t>HDS-14</t>
  </si>
  <si>
    <t>TANK 19</t>
  </si>
  <si>
    <t>GDS.HDS-14.HYDROCARBON_40_PCT_LEL</t>
  </si>
  <si>
    <t>GDS.HDS-14.HYDROCARBON_20_PCT_LEL</t>
  </si>
  <si>
    <t>GDS.HDS-14.CRITICAL_FAULT_ALARM</t>
  </si>
  <si>
    <t>GDS.HDS-14.MISALIGNMENT_FAULT_ALARM</t>
  </si>
  <si>
    <t>GDS.HDS-14.MAINTENANCE_CALL</t>
  </si>
  <si>
    <t>Dyke ID</t>
  </si>
  <si>
    <t>DYKE VALVE STATUS</t>
  </si>
  <si>
    <t>Dyke Hooter Activated</t>
  </si>
  <si>
    <t>DV-01</t>
  </si>
  <si>
    <t>DRAINVALVE.DV-02.DRAIN_VALVE_STATUS</t>
  </si>
  <si>
    <t>DV-02</t>
  </si>
  <si>
    <t>DRAINVALVE.DV-03.DRAIN_VALVE_STATUS</t>
  </si>
  <si>
    <t>Barrier ID</t>
  </si>
  <si>
    <t>BARRIER GATE OPEN STATUS</t>
  </si>
  <si>
    <t>BARRIER GATE OPEN STATUS Normal value</t>
  </si>
  <si>
    <t>BARRIER GATE LR STATUS</t>
  </si>
  <si>
    <t>EntryGate</t>
  </si>
  <si>
    <t>GATE.EntryGate.OPEN_STATUS</t>
  </si>
  <si>
    <t>GATE.EntryGate.REMOTE_STATUS</t>
  </si>
  <si>
    <t>ExitGate</t>
  </si>
  <si>
    <t>GATE.ExitGate.OPEN_STATUS</t>
  </si>
  <si>
    <t>GATE.ExitGate.REMOTE_STATUS</t>
  </si>
  <si>
    <t>Hooter ID</t>
  </si>
  <si>
    <t>Hooter Name</t>
  </si>
  <si>
    <t>HOOTER STATUS</t>
  </si>
  <si>
    <t>HOOTER STATUS Normal Value</t>
  </si>
  <si>
    <t>HOOTER</t>
  </si>
  <si>
    <t>HOOTER_FIELD_1</t>
  </si>
  <si>
    <t>PLC.SFTPLC.HOOTER_FIELD_1</t>
  </si>
  <si>
    <t>HOOTER_FIELD_2</t>
  </si>
  <si>
    <t>PLC.SFTPLC.HOOTER_FIELD_2</t>
  </si>
  <si>
    <t>HOOTER_FIELD_3</t>
  </si>
  <si>
    <t>PLC.SFTPLC.HOOTER_FIELD_3</t>
  </si>
  <si>
    <t>HOOTER_FIELD_4</t>
  </si>
  <si>
    <t>PLC.SFTPLC.HOOTER_FIELD_4</t>
  </si>
  <si>
    <t>HOOTER_FIELD_5</t>
  </si>
  <si>
    <t>PLC.SFTPLC.HOOTER_FIELD_5</t>
  </si>
  <si>
    <t>HOOTER_FIELD_6</t>
  </si>
  <si>
    <t>PLC.SFTPLC.HOOTER_FIELD_6</t>
  </si>
  <si>
    <t>HOOTER_FIELD_7</t>
  </si>
  <si>
    <t>PLC.SFTPLC.HOOTER_FIELD_9</t>
  </si>
  <si>
    <t>HOOTER_FIELD_8</t>
  </si>
  <si>
    <t>PLC.SFTPLC.HOOTER_FIELD_10</t>
  </si>
  <si>
    <t>HOOTER_FIELD_9</t>
  </si>
  <si>
    <t>PLC.SFTPLC.HOOTER_FIELD_11</t>
  </si>
  <si>
    <t>ESD ID</t>
  </si>
  <si>
    <t>ESD Name</t>
  </si>
  <si>
    <t>ESD STATUS</t>
  </si>
  <si>
    <t>ESD STATUS Normal Value</t>
  </si>
  <si>
    <t>ESD MAINTENANCE STATUS</t>
  </si>
  <si>
    <t xml:space="preserve">ESD MAINTENANCE STATUS Normal Value
</t>
  </si>
  <si>
    <t>All ROSOVs closed</t>
  </si>
  <si>
    <t>All ROSOVs closed Normal value</t>
  </si>
  <si>
    <t>Barrier Gate opened</t>
  </si>
  <si>
    <t>Barrier Gate opened Normal Value</t>
  </si>
  <si>
    <t>TLF Gantry Permissive Power Off</t>
  </si>
  <si>
    <t>TLF Gantry Permissive Power Off Normal value</t>
  </si>
  <si>
    <t>All TLF Product Pumps Stopped</t>
  </si>
  <si>
    <t>All TLF Product Pumps Stopped Normal value</t>
  </si>
  <si>
    <t>All Tanks in Dormant Mode</t>
  </si>
  <si>
    <t>All Tanks in Dormant Mode Normal value</t>
  </si>
  <si>
    <t>All DBBVs Closed</t>
  </si>
  <si>
    <t>All DBBVs Closed Normal value</t>
  </si>
  <si>
    <t>ESD Command To Process PLC</t>
  </si>
  <si>
    <t>ESD Command To Process PLC Normal value</t>
  </si>
  <si>
    <t>Siren Activated</t>
  </si>
  <si>
    <t>Siren Activated Normal value</t>
  </si>
  <si>
    <t>ESD Hooter activated in control room</t>
  </si>
  <si>
    <t>ESD Hooter activated in control room Normal value</t>
  </si>
  <si>
    <t>Power ESD Activation after 120 Sec</t>
  </si>
  <si>
    <t>Power ESD Activation after 120 Sec Normal value</t>
  </si>
  <si>
    <t>TTL Dispatch in Dormant Mode</t>
  </si>
  <si>
    <t>TTL Dispatch in Dormant Mode Normal value</t>
  </si>
  <si>
    <t>ESD-01</t>
  </si>
  <si>
    <t>ESD 01</t>
  </si>
  <si>
    <t>Inside Contol room</t>
  </si>
  <si>
    <t>ESD.ESD-01.ESD_STATUS</t>
  </si>
  <si>
    <t>ESD.ESD-01.MAINTENANCE_STATUS</t>
  </si>
  <si>
    <t>PLC.SFTPLC.EFFECT_ALL_ROSOV_CLOSED</t>
  </si>
  <si>
    <t>PLC.SFTPLC.EFFECT_GATE_BARRIER_OPENED</t>
  </si>
  <si>
    <t>PLC.SFTPLC.EFFECT_TLF_GANTRY_PERMISSIVE_OFF</t>
  </si>
  <si>
    <t>PLC.SFTPLC.EFFECT_ALL_TLF_PUMP_STOPPED</t>
  </si>
  <si>
    <t>PLC.SFTPLC.EFFECT_ALL_TANKS_IN_DORMANT_EXCP_RECIEPT</t>
  </si>
  <si>
    <t>PLC.SFTPLC.EFFECT_ALL_MOV_CLOSED</t>
  </si>
  <si>
    <t>PLC.SFTPLC.EFFECT_ESD_RELAY_PCC_PANEL</t>
  </si>
  <si>
    <t>PLC.SFTPLC.EFFECT_SIREN_ACTIVATED</t>
  </si>
  <si>
    <t>PLC.SFTPLC.EFFECT_HOOTER_FOR_ESD_CR</t>
  </si>
  <si>
    <t>PLC.SFTPLC.EFFECT_POWER_ESD_ACTI</t>
  </si>
  <si>
    <t>ESD-02</t>
  </si>
  <si>
    <t>ESD 02</t>
  </si>
  <si>
    <t>Near Control room</t>
  </si>
  <si>
    <t>ESD.ESD-02.ESD_STATUS</t>
  </si>
  <si>
    <t>ESD.ESD-02.MAINTENANCE_STATUS</t>
  </si>
  <si>
    <t>ESD-03</t>
  </si>
  <si>
    <t>ESD 03</t>
  </si>
  <si>
    <t>Terminal Manager Room</t>
  </si>
  <si>
    <t>ESD.ESD-03.ESD_STATUS</t>
  </si>
  <si>
    <t>ESD.ESD-03.MAINTENANCE_STATUS</t>
  </si>
  <si>
    <t>ESD-04</t>
  </si>
  <si>
    <t>ESD 04</t>
  </si>
  <si>
    <t>Near Admin Building</t>
  </si>
  <si>
    <t>ESD.ESD-04.ESD_STATUS</t>
  </si>
  <si>
    <t>ESD.ESD-04.MAINTENANCE_STATUS</t>
  </si>
  <si>
    <t>ESD-05</t>
  </si>
  <si>
    <t>ESD 11</t>
  </si>
  <si>
    <t>MCC DG Shed</t>
  </si>
  <si>
    <t>ESD.ESD-05.ESD_STATUS</t>
  </si>
  <si>
    <t>ESD.ESD-05.MAINTENANCE_STATUS</t>
  </si>
  <si>
    <t>ESD-06</t>
  </si>
  <si>
    <t>ESD 05</t>
  </si>
  <si>
    <t>Near Security room</t>
  </si>
  <si>
    <t>ESD.ESD-06.ESD_STATUS</t>
  </si>
  <si>
    <t>ESD.ESD-06.MAINTENANCE_STATUS</t>
  </si>
  <si>
    <t>ESD-08</t>
  </si>
  <si>
    <t>ESD 12</t>
  </si>
  <si>
    <t>Rly.Siding Near BPC Gate</t>
  </si>
  <si>
    <t>ESD.ESD-08.ESD_STATUS</t>
  </si>
  <si>
    <t>ESD.ESD-08.MAINTENANCE_STATUS</t>
  </si>
  <si>
    <t>ESD-09</t>
  </si>
  <si>
    <t>ESD 13</t>
  </si>
  <si>
    <t>UG Tank Farm Area</t>
  </si>
  <si>
    <t>ESD.ESD-09.ESD_STATUS</t>
  </si>
  <si>
    <t>ESD.ESD-09.MAINTENANCE_STATUS</t>
  </si>
  <si>
    <t>ESD-10</t>
  </si>
  <si>
    <t>ESD 07</t>
  </si>
  <si>
    <t>Quality Control Lab</t>
  </si>
  <si>
    <t>ESD.ESD-10.ESD_STATUS</t>
  </si>
  <si>
    <t>ESD.ESD-10.MAINTENANCE_STATUS</t>
  </si>
  <si>
    <t>ESD-11</t>
  </si>
  <si>
    <t>ESD 08</t>
  </si>
  <si>
    <t>Fire Water Pump House</t>
  </si>
  <si>
    <t>ESD.ESD-11.ESD_STATUS</t>
  </si>
  <si>
    <t>ESD.ESD-11.MAINTENANCE_STATUS</t>
  </si>
  <si>
    <t>ESD-12</t>
  </si>
  <si>
    <t>ESD 06</t>
  </si>
  <si>
    <t>Rly.Siding Near IOC Gate</t>
  </si>
  <si>
    <t>ESD.ESD-12.ESD_STATUS</t>
  </si>
  <si>
    <t>ESD.ESD-12.MAINTENANCE_STATUS</t>
  </si>
  <si>
    <t>ESD-14</t>
  </si>
  <si>
    <t>ESD 14</t>
  </si>
  <si>
    <t>New Gantry Bay no. 06</t>
  </si>
  <si>
    <t>ESD.ESD-14.ESD_STATUS</t>
  </si>
  <si>
    <t>ESD.ESD-14.MAINTENANCE_STATUS</t>
  </si>
  <si>
    <t>ESD-15</t>
  </si>
  <si>
    <t>ESD 15</t>
  </si>
  <si>
    <t>New Gantry Bay no. 03</t>
  </si>
  <si>
    <t>ESD.ESD-15.ESD_STATUS</t>
  </si>
  <si>
    <t>ESD.ESD-15.MAINTENANCE_STATUS</t>
  </si>
  <si>
    <t>ESD-16</t>
  </si>
  <si>
    <t>ESD 10</t>
  </si>
  <si>
    <t>MCC Room</t>
  </si>
  <si>
    <t>ESD.ESD-16.ESD_STATUS</t>
  </si>
  <si>
    <t>ESD.ESD-16.MAINTENANCE_STATUS</t>
  </si>
  <si>
    <t>ESD-17</t>
  </si>
  <si>
    <t>ESD 21</t>
  </si>
  <si>
    <t>TWD MCC Room</t>
  </si>
  <si>
    <t>ESD.ESD-17.ESD_STATUS</t>
  </si>
  <si>
    <t>ESD.ESD-17.MAINTENANCE_STATUS</t>
  </si>
  <si>
    <t>ESD-18</t>
  </si>
  <si>
    <t>ESD 22</t>
  </si>
  <si>
    <t>TWD Pump House</t>
  </si>
  <si>
    <t>ESD.ESD-18.ESD_STATUS</t>
  </si>
  <si>
    <t>ESD.ESD-18.MAINTENANCE_STATUS</t>
  </si>
  <si>
    <t>ESD-19</t>
  </si>
  <si>
    <t>ESD 23</t>
  </si>
  <si>
    <t>ETP</t>
  </si>
  <si>
    <t>ESD.ESD-19.ESD_STATUS</t>
  </si>
  <si>
    <t>ESD.ESD-19.MAINTENANCE_STATUS</t>
  </si>
  <si>
    <t>ESD-20</t>
  </si>
  <si>
    <t>ESD 24</t>
  </si>
  <si>
    <t>Railway siding Entrance Gate</t>
  </si>
  <si>
    <t>ESD.ESD-20.ESD_STATUS</t>
  </si>
  <si>
    <t>ESD.ESD-20.MAINTENANCE_STATUS</t>
  </si>
  <si>
    <t>ESD-22</t>
  </si>
  <si>
    <t>ESD 17</t>
  </si>
  <si>
    <t>Near TKHSD 20</t>
  </si>
  <si>
    <t>ESD.ESD-22.ESD_STATUS</t>
  </si>
  <si>
    <t>ESD.ESD-22.MAINTENANCE_STATUS</t>
  </si>
  <si>
    <t>ESD-23</t>
  </si>
  <si>
    <t>ESD 20</t>
  </si>
  <si>
    <t>Near Future Tank Dyke</t>
  </si>
  <si>
    <t>ESD.ESD-23.ESD_STATUS</t>
  </si>
  <si>
    <t>ESD.ESD-23.MAINTENANCE_STATUS</t>
  </si>
  <si>
    <t>ESD-24</t>
  </si>
  <si>
    <t>ESD 18</t>
  </si>
  <si>
    <t>Near TKMS 22</t>
  </si>
  <si>
    <t>ESD.ESD-24.ESD_STATUS</t>
  </si>
  <si>
    <t>ESD.ESD-24.MAINTENANCE_STATUS</t>
  </si>
  <si>
    <t>ESD-25</t>
  </si>
  <si>
    <t>ESD 19</t>
  </si>
  <si>
    <t>Near TKMS 23</t>
  </si>
  <si>
    <t>ESD.ESD-25.ESD_STATUS</t>
  </si>
  <si>
    <t>ESD.ESD-25.MAINTENANCE_STATUS</t>
  </si>
  <si>
    <t>ESD-26</t>
  </si>
  <si>
    <t>ESD 09</t>
  </si>
  <si>
    <t>Near TKFO 13 / 14</t>
  </si>
  <si>
    <t>ESD.ESD-26.ESD_STATUS</t>
  </si>
  <si>
    <t>ESD.ESD-26.MAINTENANCE_STATUS</t>
  </si>
  <si>
    <t>ESD-28</t>
  </si>
  <si>
    <t>ESD 16</t>
  </si>
  <si>
    <t>TLF Pump House</t>
  </si>
  <si>
    <t>ESD.ESD-28.ESD_STATUS</t>
  </si>
  <si>
    <t>ESD.ESD-28.MAINTENANCE_STATUS</t>
  </si>
  <si>
    <t>ESD-29</t>
  </si>
  <si>
    <t>ESD-SYSTEM</t>
  </si>
  <si>
    <t>CENTRAL ESD</t>
  </si>
  <si>
    <t>ESD.ESD-29.ESD_STATUS</t>
  </si>
  <si>
    <t>ESD-SOFT</t>
  </si>
  <si>
    <t>SOFT FROM OIC</t>
  </si>
  <si>
    <t>ESD.ESD-SOFT.ESD_STATUS</t>
  </si>
  <si>
    <t>Loading Point ID</t>
  </si>
  <si>
    <t>Loading Point Type(TLF/TWF/TLFG/TWD)</t>
  </si>
  <si>
    <t>BCU Number</t>
  </si>
  <si>
    <t>LP Earthing STATUS</t>
  </si>
  <si>
    <t>NO FLOW STATUS OF MAIN</t>
  </si>
  <si>
    <t>NO FLOW STATUS OF BLEND</t>
  </si>
  <si>
    <t>LOW FLOW STATUS OF MAIN</t>
  </si>
  <si>
    <t>LOW FLOW STATUS OF BLEND</t>
  </si>
  <si>
    <t>HIGH FLOW STATUS OF MAIN</t>
  </si>
  <si>
    <t>HIGH FLOW STATUS OF BLEND</t>
  </si>
  <si>
    <t>UNAUTHORISE FLOW STATUS OF MAIN</t>
  </si>
  <si>
    <t>METER OVERRUN STATUS OF MAIN</t>
  </si>
  <si>
    <t>BLEND OVERDOSE STATUS OF MAIN</t>
  </si>
  <si>
    <t>BLEND UNDERDOSE STATUS OF MAIN</t>
  </si>
  <si>
    <t>ADD OVERDOSE STATUS OF MAIN</t>
  </si>
  <si>
    <t>ADD UNDERDOSE STATUS OF MAIN</t>
  </si>
  <si>
    <t>BCU LOADING STATUS</t>
  </si>
  <si>
    <t xml:space="preserve">K-FACTOR CHANGE STATUS </t>
  </si>
  <si>
    <t>K-FACTOR CHANGE STATUS BLEND</t>
  </si>
  <si>
    <t>BCU VS MFM TOTALIZER MISMATCH</t>
  </si>
  <si>
    <t>DAY START TOTALIZER MISMATCH</t>
  </si>
  <si>
    <t>DAY START TOTALIZER MISMATCH BLEND</t>
  </si>
  <si>
    <t>LP 01</t>
  </si>
  <si>
    <t>BC-501A</t>
  </si>
  <si>
    <t>SmartLoad-Dual.BC-501A.EARTH_ALARM_STATUS</t>
  </si>
  <si>
    <t>SmartLoad-Dual.BC-501A.NO_FLOW_ALARM_STATUS_M1</t>
  </si>
  <si>
    <t>SmartLoad-Dual.BC-501A.LOW_FLOW_ALARM_STATUS_M1</t>
  </si>
  <si>
    <t>SmartLoad-Dual.BC-501A.HIGH_FLOW_ALARM_STATUS_M1</t>
  </si>
  <si>
    <t>SmartLoad-Dual.BC-501A.UNAUTHORIZE_FLOW_ALARM_STATUS_M1</t>
  </si>
  <si>
    <t>SmartLoad-Dual.BC-501A.METER_OVERRUN_ALARM_STATUS_M1</t>
  </si>
  <si>
    <t>SmartLoad-Dual.BC-501A.BLEND_OVERDOSE_ALARM_STATUS</t>
  </si>
  <si>
    <t>SmartLoad-Dual.BC-501A.BLEND_UNDERDOSE_ALARM_STATUS</t>
  </si>
  <si>
    <t>SmartLoad-Dual.BC-501A.ADDITIVE_OVERDOSE_ALARM_STATUS</t>
  </si>
  <si>
    <t>SmartLoad-Dual.BC-501A.ADDITIVE_UNDERDOSE_ALARM_STATUS</t>
  </si>
  <si>
    <t>SmartLoad-Dual.BC-501A.BATCH_STATUS</t>
  </si>
  <si>
    <t>SmartLoad-Dual.BC-501A.NOMINAL_ARM1_COMP1_KFACTOR_CHANGED</t>
  </si>
  <si>
    <t>SmartLoad-Dual.BC-501A.MFM_BCU_QTY_BEYOND_TOLERANCE_LIMIT_STATUS</t>
  </si>
  <si>
    <t>SmartLoad-Dual.BC-501A.BCU_C1_TOTALIZER_MISMATCH_ALARM</t>
  </si>
  <si>
    <t>LP 02</t>
  </si>
  <si>
    <t>BC-501B</t>
  </si>
  <si>
    <t>SmartLoad-Dual.BC-501B.EARTH_ALARM_STATUS</t>
  </si>
  <si>
    <t>SmartLoad-Dual.BC-501B.NO_FLOW_ALARM_STATUS_M3</t>
  </si>
  <si>
    <t>SmartLoad-Dual.BC-501B.LOW_FLOW_ALARM_STATUS_M3</t>
  </si>
  <si>
    <t>SmartLoad-Dual.BC-501B.HIGH_FLOW_ALARM_STATUS_M3</t>
  </si>
  <si>
    <t>SmartLoad-Dual.BC-501B.UNAUTHORIZE_FLOW_ALARM_STATUS_M3</t>
  </si>
  <si>
    <t>SmartLoad-Dual.BC-501B.METER_OVERRUN_ALARM_STATUS_M3</t>
  </si>
  <si>
    <t>SmartLoad-Dual.BC-501B.BLEND_OVERDOSE_ALARM_STATUS</t>
  </si>
  <si>
    <t>SmartLoad-Dual.BC-501B.BLEND_UNDERDOSE_ALARM_STATUS</t>
  </si>
  <si>
    <t>SmartLoad-Dual.BC-501B.ADDITIVE_OVERDOSE_ALARM_STATUS</t>
  </si>
  <si>
    <t>SmartLoad-Dual.BC-501B.ADDITIVE_UNDERDOSE_ALARM_STATUS</t>
  </si>
  <si>
    <t>SmartLoad-Dual.BC-501B.BATCH_STATUS</t>
  </si>
  <si>
    <t>SmartLoad-Dual.BC-501B.NOMINAL_ARM2_COMP1_KFACTOR_CHANGED</t>
  </si>
  <si>
    <t>SmartLoad-Dual.BC-501B.MFM_BCU_QTY_BEYOND_TOLERANCE_LIMIT_STATUS</t>
  </si>
  <si>
    <t>SmartLoad-Dual.BC-501B.BCU_C3_TOTALIZER_MISMATCH_ALARM</t>
  </si>
  <si>
    <t>LP 03</t>
  </si>
  <si>
    <t>BC-502A</t>
  </si>
  <si>
    <t>SmartLoad-Dual.BC-502A.EARTH_ALARM_STATUS</t>
  </si>
  <si>
    <t>SmartLoad-Dual.BC-502A.NO_FLOW_ALARM_STATUS_M1</t>
  </si>
  <si>
    <t>SmartLoad-Dual.BC-502A.NO_FLOW_ALARM_STATUS_M2</t>
  </si>
  <si>
    <t>SmartLoad-Dual.BC-502A.LOW_FLOW_ALARM_STATUS_M1</t>
  </si>
  <si>
    <t>SmartLoad-Dual.BC-502A.LOW_FLOW_ALARM_STATUS_M2</t>
  </si>
  <si>
    <t>SmartLoad-Dual.BC-502A.HIGH_FLOW_ALARM_STATUS_M1</t>
  </si>
  <si>
    <t>SmartLoad-Dual.BC-502A.UNAUTHORIZE_FLOW_ALARM_STATUS_M1</t>
  </si>
  <si>
    <t>SmartLoad-Dual.BC-502A.METER_OVERRUN_ALARM_STATUS_M1</t>
  </si>
  <si>
    <t>SmartLoad-Dual.BC-502A.BLEND_OVERDOSE_ALARM_STATUS</t>
  </si>
  <si>
    <t>SmartLoad-Dual.BC-502A.BLEND_UNDERDOSE_ALARM_STATUS</t>
  </si>
  <si>
    <t>SmartLoad-Dual.BC-502A.ADDITIVE_OVERDOSE_ALARM_STATUS</t>
  </si>
  <si>
    <t>SmartLoad-Dual.BC-502A.ADDITIVE_UNDERDOSE_ALARM_STATUS</t>
  </si>
  <si>
    <t>SmartLoad-Dual.BC-502A.BATCH_STATUS</t>
  </si>
  <si>
    <t>SmartLoad-Dual.BC-502A.NOMINAL_ARM1_COMP1_KFACTOR_CHANGED</t>
  </si>
  <si>
    <t>SmartLoad-Dual.BC-502A.NOMINAL_ARM1_COMP2_KFACTOR_CHANGED</t>
  </si>
  <si>
    <t>SmartLoad-Dual.BC-502A.MFM_BCU_QTY_BEYOND_TOLERANCE_LIMIT_STATUS</t>
  </si>
  <si>
    <t>SmartLoad-Dual.BC-502A.BCU_C1_TOTALIZER_MISMATCH_ALARM</t>
  </si>
  <si>
    <t>SmartLoad-Dual.BC-502A.BCU_C2_TOTALIZER_MISMATCH_ALARM</t>
  </si>
  <si>
    <t>LP 04</t>
  </si>
  <si>
    <t>BC-502B</t>
  </si>
  <si>
    <t>SmartLoad-Dual.BC-502B.EARTH_ALARM_STATUS</t>
  </si>
  <si>
    <t>SmartLoad-Dual.BC-502B.NO_FLOW_ALARM_STATUS_M3</t>
  </si>
  <si>
    <t>SmartLoad-Dual.BC-502B.LOW_FLOW_ALARM_STATUS_M3</t>
  </si>
  <si>
    <t>SmartLoad-Dual.BC-502B.HIGH_FLOW_ALARM_STATUS_M3</t>
  </si>
  <si>
    <t>SmartLoad-Dual.BC-502B.UNAUTHORIZE_FLOW_ALARM_STATUS_M3</t>
  </si>
  <si>
    <t>SmartLoad-Dual.BC-502B.METER_OVERRUN_ALARM_STATUS_M3</t>
  </si>
  <si>
    <t>SmartLoad-Dual.BC-502B.BLEND_OVERDOSE_ALARM_STATUS</t>
  </si>
  <si>
    <t>SmartLoad-Dual.BC-502B.BLEND_UNDERDOSE_ALARM_STATUS</t>
  </si>
  <si>
    <t>SmartLoad-Dual.BC-502B.ADDITIVE_OVERDOSE_ALARM_STATUS</t>
  </si>
  <si>
    <t>SmartLoad-Dual.BC-502B.ADDITIVE_UNDERDOSE_ALARM_STATUS</t>
  </si>
  <si>
    <t>SmartLoad-Dual.BC-502B.BATCH_STATUS</t>
  </si>
  <si>
    <t>SmartLoad-Dual.BC-502B.NOMINAL_ARM2_COMP1_KFACTOR_CHANGED</t>
  </si>
  <si>
    <t>SmartLoad-Dual.BC-502B.MFM_BCU_QTY_BEYOND_TOLERANCE_LIMIT_STATUS</t>
  </si>
  <si>
    <t>SmartLoad-Dual.BC-502B.BCU_C3_TOTALIZER_MISMATCH_ALARM</t>
  </si>
  <si>
    <t>LP 05</t>
  </si>
  <si>
    <t>BC-503A</t>
  </si>
  <si>
    <t>SmartLoad-Dual.BC-503A.EARTH_ALARM_STATUS</t>
  </si>
  <si>
    <t>SmartLoad-Dual.BC-503A.NO_FLOW_ALARM_STATUS_M1</t>
  </si>
  <si>
    <t>SmartLoad-Dual.BC-503A.NO_FLOW_ALARM_STATUS_M2</t>
  </si>
  <si>
    <t>SmartLoad-Dual.BC-503A.LOW_FLOW_ALARM_STATUS_M1</t>
  </si>
  <si>
    <t>SmartLoad-Dual.BC-503A.LOW_FLOW_ALARM_STATUS_M2</t>
  </si>
  <si>
    <t>SmartLoad-Dual.BC-503A.HIGH_FLOW_ALARM_STATUS_M1</t>
  </si>
  <si>
    <t>SmartLoad-Dual.BC-503A.UNAUTHORIZE_FLOW_ALARM_STATUS_M1</t>
  </si>
  <si>
    <t>SmartLoad-Dual.BC-503A.METER_OVERRUN_ALARM_STATUS_M1</t>
  </si>
  <si>
    <t>SmartLoad-Dual.BC-503A.BLEND_OVERDOSE_ALARM_STATUS</t>
  </si>
  <si>
    <t>SmartLoad-Dual.BC-503A.BLEND_UNDERDOSE_ALARM_STATUS</t>
  </si>
  <si>
    <t>SmartLoad-Dual.BC-503A.ADDITIVE_OVERDOSE_ALARM_STATUS</t>
  </si>
  <si>
    <t>SmartLoad-Dual.BC-503A.ADDITIVE_UNDERDOSE_ALARM_STATUS</t>
  </si>
  <si>
    <t>SmartLoad-Dual.BC-503A.BATCH_STATUS</t>
  </si>
  <si>
    <t>SmartLoad-Dual.BC-503A.NOMINAL_ARM1_COMP1_KFACTOR_CHANGED</t>
  </si>
  <si>
    <t>SmartLoad-Dual.BC-503A.NOMINAL_ARM1_COMP2_KFACTOR_CHANGED</t>
  </si>
  <si>
    <t>SmartLoad-Dual.BC-503A.MFM_BCU_QTY_BEYOND_TOLERANCE_LIMIT_STATUS</t>
  </si>
  <si>
    <t>SmartLoad-Dual.BC-503A.BCU_C1_TOTALIZER_MISMATCH_ALARM</t>
  </si>
  <si>
    <t>SmartLoad-Dual.BC-503A.BCU_C2_TOTALIZER_MISMATCH_ALARM</t>
  </si>
  <si>
    <t>LP 06</t>
  </si>
  <si>
    <t>BC-503B</t>
  </si>
  <si>
    <t>SmartLoad-Dual.BC-503B.EARTH_ALARM_STATUS</t>
  </si>
  <si>
    <t>SmartLoad-Dual.BC-503B.NO_FLOW_ALARM_STATUS_M3</t>
  </si>
  <si>
    <t>SmartLoad-Dual.BC-503B.LOW_FLOW_ALARM_STATUS_M3</t>
  </si>
  <si>
    <t>SmartLoad-Dual.BC-503B.HIGH_FLOW_ALARM_STATUS_M3</t>
  </si>
  <si>
    <t>SmartLoad-Dual.BC-503B.UNAUTHORIZE_FLOW_ALARM_STATUS_M3</t>
  </si>
  <si>
    <t>SmartLoad-Dual.BC-503B.METER_OVERRUN_ALARM_STATUS_M3</t>
  </si>
  <si>
    <t>SmartLoad-Dual.BC-503B.BLEND_OVERDOSE_ALARM_STATUS</t>
  </si>
  <si>
    <t>SmartLoad-Dual.BC-503B.BLEND_UNDERDOSE_ALARM_STATUS</t>
  </si>
  <si>
    <t>SmartLoad-Dual.BC-503B.ADDITIVE_OVERDOSE_ALARM_STATUS</t>
  </si>
  <si>
    <t>SmartLoad-Dual.BC-503B.ADDITIVE_UNDERDOSE_ALARM_STATUS</t>
  </si>
  <si>
    <t>SmartLoad-Dual.BC-503B.BATCH_STATUS</t>
  </si>
  <si>
    <t>SmartLoad-Dual.BC-503B.NOMINAL_ARM2_COMP1_KFACTOR_CHANGED</t>
  </si>
  <si>
    <t>SmartLoad-Dual.BC-503B.MFM_BCU_QTY_BEYOND_TOLERANCE_LIMIT_STATUS</t>
  </si>
  <si>
    <t>SmartLoad-Dual.BC-503B.BCU_C3_TOTALIZER_MISMATCH_ALARM</t>
  </si>
  <si>
    <t>LP 07</t>
  </si>
  <si>
    <t>BC-504A</t>
  </si>
  <si>
    <t>SmartLoad-Dual.BC-504A.EARTH_ALARM_STATUS</t>
  </si>
  <si>
    <t>SmartLoad-Dual.BC-504A.NO_FLOW_ALARM_STATUS_M1</t>
  </si>
  <si>
    <t>SmartLoad-Dual.BC-504A.NO_FLOW_ALARM_STATUS_M2</t>
  </si>
  <si>
    <t>SmartLoad-Dual.BC-504A.LOW_FLOW_ALARM_STATUS_M1</t>
  </si>
  <si>
    <t>SmartLoad-Dual.BC-504A.LOW_FLOW_ALARM_STATUS_M2</t>
  </si>
  <si>
    <t>SmartLoad-Dual.BC-504A.HIGH_FLOW_ALARM_STATUS_M1</t>
  </si>
  <si>
    <t>SmartLoad-Dual.BC-504A.UNAUTHORIZE_FLOW_ALARM_STATUS_M1</t>
  </si>
  <si>
    <t>SmartLoad-Dual.BC-504A.METER_OVERRUN_ALARM_STATUS_M1</t>
  </si>
  <si>
    <t>SmartLoad-Dual.BC-504A.BLEND_OVERDOSE_ALARM_STATUS</t>
  </si>
  <si>
    <t>SmartLoad-Dual.BC-504A.BLEND_UNDERDOSE_ALARM_STATUS</t>
  </si>
  <si>
    <t>SmartLoad-Dual.BC-504A.ADDITIVE_OVERDOSE_ALARM_STATUS</t>
  </si>
  <si>
    <t>SmartLoad-Dual.BC-504A.ADDITIVE_UNDERDOSE_ALARM_STATUS</t>
  </si>
  <si>
    <t>SmartLoad-Dual.BC-504A.BATCH_STATUS</t>
  </si>
  <si>
    <t>SmartLoad-Dual.BC-504A.NOMINAL_ARM1_COMP1_KFACTOR_CHANGED</t>
  </si>
  <si>
    <t>SmartLoad-Dual.BC-504A.NOMINAL_ARM1_COMP2_KFACTOR_CHANGED</t>
  </si>
  <si>
    <t>SmartLoad-Dual.BC-504A.MFM_BCU_QTY_BEYOND_TOLERANCE_LIMIT_STATUS</t>
  </si>
  <si>
    <t>SmartLoad-Dual.BC-504A.BCU_C1_TOTALIZER_MISMATCH_ALARM</t>
  </si>
  <si>
    <t>SmartLoad-Dual.BC-504A.BCU_C2_TOTALIZER_MISMATCH_ALARM</t>
  </si>
  <si>
    <t>LP 08</t>
  </si>
  <si>
    <t>BC-504B</t>
  </si>
  <si>
    <t>SmartLoad-Dual.BC-504B.EARTH_ALARM_STATUS</t>
  </si>
  <si>
    <t>SmartLoad-Dual.BC-504B.NO_FLOW_ALARM_STATUS_M3</t>
  </si>
  <si>
    <t>SmartLoad-Dual.BC-504B.LOW_FLOW_ALARM_STATUS_M3</t>
  </si>
  <si>
    <t>SmartLoad-Dual.BC-504B.HIGH_FLOW_ALARM_STATUS_M3</t>
  </si>
  <si>
    <t>SmartLoad-Dual.BC-504B.UNAUTHORIZE_FLOW_ALARM_STATUS_M3</t>
  </si>
  <si>
    <t>SmartLoad-Dual.BC-504B.METER_OVERRUN_ALARM_STATUS_M3</t>
  </si>
  <si>
    <t>SmartLoad-Dual.BC-504B.BLEND_OVERDOSE_ALARM_STATUS</t>
  </si>
  <si>
    <t>SmartLoad-Dual.BC-504B.BLEND_UNDERDOSE_ALARM_STATUS</t>
  </si>
  <si>
    <t>SmartLoad-Dual.BC-504B.ADDITIVE_OVERDOSE_ALARM_STATUS</t>
  </si>
  <si>
    <t>SmartLoad-Dual.BC-504B.ADDITIVE_UNDERDOSE_ALARM_STATUS</t>
  </si>
  <si>
    <t>SmartLoad-Dual.BC-504B.BATCH_STATUS</t>
  </si>
  <si>
    <t>SmartLoad-Dual.BC-504B.NOMINAL_ARM2_COMP1_KFACTOR_CHANGED</t>
  </si>
  <si>
    <t>SmartLoad-Dual.BC-504B.MFM_BCU_QTY_BEYOND_TOLERANCE_LIMIT_STATUS</t>
  </si>
  <si>
    <t>SmartLoad-Dual.BC-504B.BCU_C3_TOTALIZER_MISMATCH_ALARM</t>
  </si>
  <si>
    <t>LP 09</t>
  </si>
  <si>
    <t>BC-505A</t>
  </si>
  <si>
    <t>SmartLoad-Dual.BC-505A.EARTH_ALARM_STATUS</t>
  </si>
  <si>
    <t>SmartLoad-Dual.BC-505A.NO_FLOW_ALARM_STATUS_M1</t>
  </si>
  <si>
    <t>SmartLoad-Dual.BC-505A.NO_FLOW_ALARM_STATUS_M2</t>
  </si>
  <si>
    <t>SmartLoad-Dual.BC-505A.LOW_FLOW_ALARM_STATUS_M1</t>
  </si>
  <si>
    <t>SmartLoad-Dual.BC-505A.LOW_FLOW_ALARM_STATUS_M2</t>
  </si>
  <si>
    <t>SmartLoad-Dual.BC-505A.HIGH_FLOW_ALARM_STATUS_M1</t>
  </si>
  <si>
    <t>SmartLoad-Dual.BC-505A.UNAUTHORIZE_FLOW_ALARM_STATUS_M1</t>
  </si>
  <si>
    <t>SmartLoad-Dual.BC-505A.METER_OVERRUN_ALARM_STATUS_M1</t>
  </si>
  <si>
    <t>SmartLoad-Dual.BC-505A.BLEND_OVERDOSE_ALARM_STATUS</t>
  </si>
  <si>
    <t>SmartLoad-Dual.BC-505A.BLEND_UNDERDOSE_ALARM_STATUS</t>
  </si>
  <si>
    <t>SmartLoad-Dual.BC-505A.ADDITIVE_OVERDOSE_ALARM_STATUS</t>
  </si>
  <si>
    <t>SmartLoad-Dual.BC-505A.ADDITIVE_UNDERDOSE_ALARM_STATUS</t>
  </si>
  <si>
    <t>SmartLoad-Dual.BC-505A.BATCH_STATUS</t>
  </si>
  <si>
    <t>SmartLoad-Dual.BC-505A.NOMINAL_ARM1_COMP1_KFACTOR_CHANGED</t>
  </si>
  <si>
    <t>SmartLoad-Dual.BC-505A.NOMINAL_ARM1_COMP2_KFACTOR_CHANGED</t>
  </si>
  <si>
    <t>SmartLoad-Dual.BC-505A.MFM_BCU_QTY_BEYOND_TOLERANCE_LIMIT_STATUS</t>
  </si>
  <si>
    <t>SmartLoad-Dual.BC-505A.BCU_C1_TOTALIZER_MISMATCH_ALARM</t>
  </si>
  <si>
    <t>SmartLoad-Dual.BC-505A.BCU_C2_TOTALIZER_MISMATCH_ALARM</t>
  </si>
  <si>
    <t>LP 10</t>
  </si>
  <si>
    <t>BC-505B</t>
  </si>
  <si>
    <t>SmartLoad-Dual.BC-505B.EARTH_ALARM_STATUS</t>
  </si>
  <si>
    <t>SmartLoad-Dual.BC-505B.NO_FLOW_ALARM_STATUS_M3</t>
  </si>
  <si>
    <t>SmartLoad-Dual.BC-505B.LOW_FLOW_ALARM_STATUS_M3</t>
  </si>
  <si>
    <t>SmartLoad-Dual.BC-505B.HIGH_FLOW_ALARM_STATUS_M3</t>
  </si>
  <si>
    <t>SmartLoad-Dual.BC-505B.UNAUTHORIZE_FLOW_ALARM_STATUS_M3</t>
  </si>
  <si>
    <t>SmartLoad-Dual.BC-505B.METER_OVERRUN_ALARM_STATUS_M3</t>
  </si>
  <si>
    <t>SmartLoad-Dual.BC-505B.BLEND_OVERDOSE_ALARM_STATUS</t>
  </si>
  <si>
    <t>SmartLoad-Dual.BC-505B.BLEND_UNDERDOSE_ALARM_STATUS</t>
  </si>
  <si>
    <t>SmartLoad-Dual.BC-505B.ADDITIVE_OVERDOSE_ALARM_STATUS</t>
  </si>
  <si>
    <t>SmartLoad-Dual.BC-505B.ADDITIVE_UNDERDOSE_ALARM_STATUS</t>
  </si>
  <si>
    <t>SmartLoad-Dual.BC-505B.BATCH_STATUS</t>
  </si>
  <si>
    <t>SmartLoad-Dual.BC-505B.NOMINAL_ARM2_COMP1_KFACTOR_CHANGED</t>
  </si>
  <si>
    <t>SmartLoad-Dual.BC-505B.MFM_BCU_QTY_BEYOND_TOLERANCE_LIMIT_STATUS</t>
  </si>
  <si>
    <t>SmartLoad-Dual.BC-505B.BCU_C3_TOTALIZER_MISMATCH_ALARM</t>
  </si>
  <si>
    <t>LP 11</t>
  </si>
  <si>
    <t>BC-506A</t>
  </si>
  <si>
    <t>SmartLoad-Dual.BC-506A.EARTH_ALARM_STATUS</t>
  </si>
  <si>
    <t>SmartLoad-Dual.BC-506A.NO_FLOW_ALARM_STATUS_M1</t>
  </si>
  <si>
    <t>SmartLoad-Dual.BC-506A.NO_FLOW_ALARM_STATUS_M2</t>
  </si>
  <si>
    <t>SmartLoad-Dual.BC-506A.LOW_FLOW_ALARM_STATUS_M1</t>
  </si>
  <si>
    <t>SmartLoad-Dual.BC-506A.LOW_FLOW_ALARM_STATUS_M2</t>
  </si>
  <si>
    <t>SmartLoad-Dual.BC-506A.HIGH_FLOW_ALARM_STATUS_M1</t>
  </si>
  <si>
    <t>SmartLoad-Dual.BC-506A.UNAUTHORIZE_FLOW_ALARM_STATUS_M1</t>
  </si>
  <si>
    <t>SmartLoad-Dual.BC-506A.METER_OVERRUN_ALARM_STATUS_M1</t>
  </si>
  <si>
    <t>SmartLoad-Dual.BC-506A.BLEND_OVERDOSE_ALARM_STATUS</t>
  </si>
  <si>
    <t>SmartLoad-Dual.BC-506A.BLEND_UNDERDOSE_ALARM_STATUS</t>
  </si>
  <si>
    <t>SmartLoad-Dual.BC-506A.ADDITIVE_OVERDOSE_ALARM_STATUS</t>
  </si>
  <si>
    <t>SmartLoad-Dual.BC-506A.ADDITIVE_UNDERDOSE_ALARM_STATUS</t>
  </si>
  <si>
    <t>SmartLoad-Dual.BC-506A.BATCH_STATUS</t>
  </si>
  <si>
    <t>SmartLoad-Dual.BC-506A.NOMINAL_ARM1_COMP1_KFACTOR_CHANGED</t>
  </si>
  <si>
    <t>SmartLoad-Dual.BC-506A.NOMINAL_ARM1_COMP2_KFACTOR_CHANGED</t>
  </si>
  <si>
    <t>SmartLoad-Dual.BC-506A.MFM_BCU_QTY_BEYOND_TOLERANCE_LIMIT_STATUS</t>
  </si>
  <si>
    <t>SmartLoad-Dual.BC-506A.BCU_C1_TOTALIZER_MISMATCH_ALARM</t>
  </si>
  <si>
    <t>SmartLoad-Dual.BC-506A.BCU_C2_TOTALIZER_MISMATCH_ALARM</t>
  </si>
  <si>
    <t>LP 12</t>
  </si>
  <si>
    <t>BC-506B</t>
  </si>
  <si>
    <t>SmartLoad-Dual.BC-506B.EARTH_ALARM_STATUS</t>
  </si>
  <si>
    <t>SmartLoad-Dual.BC-506B.NO_FLOW_ALARM_STATUS_M3</t>
  </si>
  <si>
    <t>SmartLoad-Dual.BC-506B.LOW_FLOW_ALARM_STATUS_M3</t>
  </si>
  <si>
    <t>SmartLoad-Dual.BC-506B.HIGH_FLOW_ALARM_STATUS_M3</t>
  </si>
  <si>
    <t>SmartLoad-Dual.BC-506B.UNAUTHORIZE_FLOW_ALARM_STATUS_M3</t>
  </si>
  <si>
    <t>SmartLoad-Dual.BC-506B.METER_OVERRUN_ALARM_STATUS_M3</t>
  </si>
  <si>
    <t>SmartLoad-Dual.BC-506B.BLEND_OVERDOSE_ALARM_STATUS</t>
  </si>
  <si>
    <t>SmartLoad-Dual.BC-506B.BLEND_UNDERDOSE_ALARM_STATUS</t>
  </si>
  <si>
    <t>SmartLoad-Dual.BC-506B.ADDITIVE_OVERDOSE_ALARM_STATUS</t>
  </si>
  <si>
    <t>SmartLoad-Dual.BC-506B.ADDITIVE_UNDERDOSE_ALARM_STATUS</t>
  </si>
  <si>
    <t>SmartLoad-Dual.BC-506B.BATCH_STATUS</t>
  </si>
  <si>
    <t>SmartLoad-Dual.BC-506B.NOMINAL_ARM2_COMP1_KFACTOR_CHANGED</t>
  </si>
  <si>
    <t>SmartLoad-Dual.BC-506B.MFM_BCU_QTY_BEYOND_TOLERANCE_LIMIT_STATUS</t>
  </si>
  <si>
    <t>SmartLoad-Dual.BC-506B.BCU_C3_TOTALIZER_MISMATCH_ALARM</t>
  </si>
  <si>
    <t>LP 13</t>
  </si>
  <si>
    <t>BC-507A</t>
  </si>
  <si>
    <t>SmartLoad-Dual.BC-507A.EARTH_ALARM_STATUS</t>
  </si>
  <si>
    <t>SmartLoad-Dual.BC-507A.NO_FLOW_ALARM_STATUS_M1</t>
  </si>
  <si>
    <t>SmartLoad-Dual.BC-507A.NO_FLOW_ALARM_STATUS_M2</t>
  </si>
  <si>
    <t>SmartLoad-Dual.BC-507A.LOW_FLOW_ALARM_STATUS_M1</t>
  </si>
  <si>
    <t>SmartLoad-Dual.BC-507A.LOW_FLOW_ALARM_STATUS_M2</t>
  </si>
  <si>
    <t>SmartLoad-Dual.BC-507A.HIGH_FLOW_ALARM_STATUS_M1</t>
  </si>
  <si>
    <t>SmartLoad-Dual.BC-507A.UNAUTHORIZE_FLOW_ALARM_STATUS_M1</t>
  </si>
  <si>
    <t>SmartLoad-Dual.BC-507A.METER_OVERRUN_ALARM_STATUS_M1</t>
  </si>
  <si>
    <t>SmartLoad-Dual.BC-507A.BLEND_OVERDOSE_ALARM_STATUS</t>
  </si>
  <si>
    <t>SmartLoad-Dual.BC-507A.BLEND_UNDERDOSE_ALARM_STATUS</t>
  </si>
  <si>
    <t>SmartLoad-Dual.BC-507A.ADDITIVE_OVERDOSE_ALARM_STATUS</t>
  </si>
  <si>
    <t>SmartLoad-Dual.BC-507A.ADDITIVE_UNDERDOSE_ALARM_STATUS</t>
  </si>
  <si>
    <t>SmartLoad-Dual.BC-507A.BATCH_STATUS</t>
  </si>
  <si>
    <t>SmartLoad-Dual.BC-507A.NOMINAL_ARM1_COMP1_KFACTOR_CHANGED</t>
  </si>
  <si>
    <t>SmartLoad-Dual.BC-507A.NOMINAL_ARM1_COMP2_KFACTOR_CHANGED</t>
  </si>
  <si>
    <t>SmartLoad-Dual.BC-507A.MFM_BCU_QTY_BEYOND_TOLERANCE_LIMIT_STATUS</t>
  </si>
  <si>
    <t>SmartLoad-Dual.BC-507A.BCU_C1_TOTALIZER_MISMATCH_ALARM</t>
  </si>
  <si>
    <t>SmartLoad-Dual.BC-507A.BCU_C2_TOTALIZER_MISMATCH_ALARM</t>
  </si>
  <si>
    <t>LP 14</t>
  </si>
  <si>
    <t>BC-507B</t>
  </si>
  <si>
    <t>SmartLoad-Dual.BC-507B.EARTH_ALARM_STATUS</t>
  </si>
  <si>
    <t>SmartLoad-Dual.BC-507B.NO_FLOW_ALARM_STATUS_M3</t>
  </si>
  <si>
    <t>SmartLoad-Dual.BC-507B.LOW_FLOW_ALARM_STATUS_M3</t>
  </si>
  <si>
    <t>SmartLoad-Dual.BC-507B.HIGH_FLOW_ALARM_STATUS_M3</t>
  </si>
  <si>
    <t>SmartLoad-Dual.BC-507B.UNAUTHORIZE_FLOW_ALARM_STATUS_M3</t>
  </si>
  <si>
    <t>SmartLoad-Dual.BC-507B.METER_OVERRUN_ALARM_STATUS_M3</t>
  </si>
  <si>
    <t>SmartLoad-Dual.BC-507B.BLEND_OVERDOSE_ALARM_STATUS</t>
  </si>
  <si>
    <t>SmartLoad-Dual.BC-507B.BLEND_UNDERDOSE_ALARM_STATUS</t>
  </si>
  <si>
    <t>SmartLoad-Dual.BC-507B.ADDITIVE_OVERDOSE_ALARM_STATUS</t>
  </si>
  <si>
    <t>SmartLoad-Dual.BC-507B.ADDITIVE_UNDERDOSE_ALARM_STATUS</t>
  </si>
  <si>
    <t>SmartLoad-Dual.BC-507B.BATCH_STATUS</t>
  </si>
  <si>
    <t>SmartLoad-Dual.BC-507B.NOMINAL_ARM2_COMP1_KFACTOR_CHANGED</t>
  </si>
  <si>
    <t>SmartLoad-Dual.BC-507B.MFM_BCU_QTY_BEYOND_TOLERANCE_LIMIT_STATUS</t>
  </si>
  <si>
    <t>SmartLoad-Dual.BC-507B.BCU_C3_TOTALIZER_MISMATCH_ALARM</t>
  </si>
  <si>
    <t>LP 15</t>
  </si>
  <si>
    <t>BC-508A</t>
  </si>
  <si>
    <t>SmartLoad-Dual.BC-508A.EARTH_ALARM_STATUS</t>
  </si>
  <si>
    <t>SmartLoad-Dual.BC-508A.NO_FLOW_ALARM_STATUS_M1</t>
  </si>
  <si>
    <t>SmartLoad-Dual.BC-508A.NO_FLOW_ALARM_STATUS_M2</t>
  </si>
  <si>
    <t>SmartLoad-Dual.BC-508A.LOW_FLOW_ALARM_STATUS_M1</t>
  </si>
  <si>
    <t>SmartLoad-Dual.BC-508A.LOW_FLOW_ALARM_STATUS_M2</t>
  </si>
  <si>
    <t>SmartLoad-Dual.BC-508A.HIGH_FLOW_ALARM_STATUS_M1</t>
  </si>
  <si>
    <t>SmartLoad-Dual.BC-508A.UNAUTHORIZE_FLOW_ALARM_STATUS_M1</t>
  </si>
  <si>
    <t>SmartLoad-Dual.BC-508A.METER_OVERRUN_ALARM_STATUS_M1</t>
  </si>
  <si>
    <t>SmartLoad-Dual.BC-508A.BLEND_OVERDOSE_ALARM_STATUS</t>
  </si>
  <si>
    <t>SmartLoad-Dual.BC-508A.BLEND_UNDERDOSE_ALARM_STATUS</t>
  </si>
  <si>
    <t>SmartLoad-Dual.BC-508A.ADDITIVE_OVERDOSE_ALARM_STATUS</t>
  </si>
  <si>
    <t>SmartLoad-Dual.BC-508A.ADDITIVE_UNDERDOSE_ALARM_STATUS</t>
  </si>
  <si>
    <t>SmartLoad-Dual.BC-508A.BATCH_STATUS</t>
  </si>
  <si>
    <t>SmartLoad-Dual.BC-508A.NOMINAL_ARM1_COMP1_KFACTOR_CHANGED</t>
  </si>
  <si>
    <t>SmartLoad-Dual.BC-508A.NOMINAL_ARM1_COMP2_KFACTOR_CHANGED</t>
  </si>
  <si>
    <t>SmartLoad-Dual.BC-508A.MFM_BCU_QTY_BEYOND_TOLERANCE_LIMIT_STATUS</t>
  </si>
  <si>
    <t>SmartLoad-Dual.BC-508A.BCU_C1_TOTALIZER_MISMATCH_ALARM</t>
  </si>
  <si>
    <t>SmartLoad-Dual.BC-508A.BCU_C2_TOTALIZER_MISMATCH_ALARM</t>
  </si>
  <si>
    <t>LP 16</t>
  </si>
  <si>
    <t>BC-508B</t>
  </si>
  <si>
    <t>SmartLoad-Dual.BC-508B.EARTH_ALARM_STATUS</t>
  </si>
  <si>
    <t>SmartLoad-Dual.BC-508B.NO_FLOW_ALARM_STATUS_M3</t>
  </si>
  <si>
    <t>SmartLoad-Dual.BC-508B.LOW_FLOW_ALARM_STATUS_M3</t>
  </si>
  <si>
    <t>SmartLoad-Dual.BC-508B.HIGH_FLOW_ALARM_STATUS_M3</t>
  </si>
  <si>
    <t>SmartLoad-Dual.BC-508B.UNAUTHORIZE_FLOW_ALARM_STATUS_M3</t>
  </si>
  <si>
    <t>SmartLoad-Dual.BC-508B.METER_OVERRUN_ALARM_STATUS_M3</t>
  </si>
  <si>
    <t>SmartLoad-Dual.BC-508B.BLEND_OVERDOSE_ALARM_STATUS</t>
  </si>
  <si>
    <t>SmartLoad-Dual.BC-508B.BLEND_UNDERDOSE_ALARM_STATUS</t>
  </si>
  <si>
    <t>SmartLoad-Dual.BC-508B.ADDITIVE_OVERDOSE_ALARM_STATUS</t>
  </si>
  <si>
    <t>SmartLoad-Dual.BC-508B.ADDITIVE_UNDERDOSE_ALARM_STATUS</t>
  </si>
  <si>
    <t>SmartLoad-Dual.BC-508B.BATCH_STATUS</t>
  </si>
  <si>
    <t>SmartLoad-Dual.BC-508B.NOMINAL_ARM2_COMP1_KFACTOR_CHANGED</t>
  </si>
  <si>
    <t>SmartLoad-Dual.BC-508B.MFM_BCU_QTY_BEYOND_TOLERANCE_LIMIT_STATUS</t>
  </si>
  <si>
    <t>SmartLoad-Dual.BC-508B.BCU_C3_TOTALIZER_MISMATCH_ALARM</t>
  </si>
  <si>
    <t xml:space="preserve"> Permissive override ID</t>
  </si>
  <si>
    <t xml:space="preserve">OVERRIDE STATUS </t>
  </si>
  <si>
    <t>Gantry Permissive override</t>
  </si>
  <si>
    <t>PLC.SFTPLC.RESET_GANTRY_OPERATION</t>
  </si>
  <si>
    <t>Gantry Permissive Write CMD status</t>
  </si>
  <si>
    <t>SmartLoad-Dual.BC-501A.PERMISSIVE_FROM_DNC_STATUS</t>
  </si>
  <si>
    <t>ESD Write CMD status</t>
  </si>
  <si>
    <t>PLC.SFTPLC.ESD_FROM_DNC_STATUS</t>
  </si>
  <si>
    <t>Cause ID</t>
  </si>
  <si>
    <t>Cause</t>
  </si>
  <si>
    <t>Cause Normal value</t>
  </si>
  <si>
    <t>TLF Header Line MOV Close</t>
  </si>
  <si>
    <t>Hooter activated in control room</t>
  </si>
  <si>
    <t>Two Fire Engine Running status</t>
  </si>
  <si>
    <t>PLC.SFTPLC.CAUSE_ANY_FWP_IS_RUNNING</t>
  </si>
  <si>
    <t>WATER Level below Ref. Volume</t>
  </si>
  <si>
    <t>PLC.SFTPLC.WATERTK_VOL_BELOW_REF_VOL</t>
  </si>
  <si>
    <t>Main Fire Engines not in REMOTE</t>
  </si>
  <si>
    <t>PLC.SFTPLC.CAUSE_ANY_MAIN_FWP_IN_REMOTE_MANUAL</t>
  </si>
  <si>
    <t>Gantry Permissive Off</t>
  </si>
  <si>
    <t>Air Compressor ID</t>
  </si>
  <si>
    <t>AIR COMPRESSOR FAULT STATUS</t>
  </si>
  <si>
    <t>AIR COMPRESSOR FAULT STATUS Normal value</t>
  </si>
  <si>
    <t>LRC ID</t>
  </si>
  <si>
    <t>LRC SWITCHOVER 30 DAYS STATUS</t>
  </si>
  <si>
    <t>LRC Switch Over</t>
  </si>
  <si>
    <t>CLIENT.LRCA.HSB_COMMS_FAIL</t>
  </si>
  <si>
    <t>OI ID</t>
  </si>
  <si>
    <t>Fire Engine1</t>
  </si>
  <si>
    <t>Fire Engine2</t>
  </si>
  <si>
    <t>Fire Engine3</t>
  </si>
  <si>
    <t>Jockey Pump Run1</t>
  </si>
  <si>
    <t>Jockey Pump Run2</t>
  </si>
  <si>
    <t>Farthest Point Pt</t>
  </si>
  <si>
    <t>Water Volume</t>
  </si>
  <si>
    <t>Main Fire Engine not in Remote</t>
  </si>
  <si>
    <t>Jockey Pump1 Remote</t>
  </si>
  <si>
    <t>Jockey Pump1 Auto</t>
  </si>
  <si>
    <t>Jockey Pump2 Remote</t>
  </si>
  <si>
    <t>Jockey Pump2 Auto</t>
  </si>
  <si>
    <t>Operability Index</t>
  </si>
  <si>
    <t>PressureTransmitter.PT-01.PRESSURE</t>
  </si>
  <si>
    <t>PressureTransmitter.PT-02.PRESSURE</t>
  </si>
  <si>
    <t>PLC.GEPLC.TOV_ON_SCREEN</t>
  </si>
  <si>
    <t>PUMP.JCY-01.AUTO_STATUS</t>
  </si>
  <si>
    <t>PUMP.JCY-02.AUTO_STATUS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</si>
</sst>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color theme="1"/>
      <name val="Arial"/>
    </font>
    <font>
      <color rgb="FF000000"/>
      <name val="Arial"/>
    </font>
    <font>
      <sz val="10.0"/>
      <color rgb="FF000000"/>
      <name val="Arial"/>
    </font>
    <font>
      <color theme="1"/>
      <name val="Arial"/>
    </font>
    <font>
      <sz val="11.0"/>
      <color rgb="FF000000"/>
      <name val="Calibri"/>
    </font>
    <font>
      <color theme="1"/>
      <name val="Arial"/>
      <scheme val="minor"/>
    </font>
    <font>
      <sz val="11.0"/>
      <color theme="1"/>
      <name val="Arial"/>
    </font>
    <font>
      <b/>
      <sz val="11.0"/>
      <color rgb="FF222222"/>
      <name val="Arial"/>
    </font>
    <font>
      <b/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F7F7E7"/>
        <bgColor rgb="FFF7F7E7"/>
      </patternFill>
    </fill>
    <fill>
      <patternFill patternType="solid">
        <fgColor rgb="FFFAD9D6"/>
        <bgColor rgb="FFFAD9D6"/>
      </patternFill>
    </fill>
    <fill>
      <patternFill patternType="solid">
        <fgColor rgb="FFD8E5F8"/>
        <bgColor rgb="FFD8E5F8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/>
      <bottom/>
    </border>
    <border>
      <left/>
      <right/>
      <top/>
      <bottom/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2" fontId="1" numFmtId="0" xfId="0" applyAlignment="1" applyBorder="1" applyFont="1">
      <alignment horizontal="center" shrinkToFit="0" wrapText="1"/>
    </xf>
    <xf borderId="1" fillId="3" fontId="1" numFmtId="0" xfId="0" applyAlignment="1" applyBorder="1" applyFill="1" applyFont="1">
      <alignment horizontal="center" shrinkToFit="0" wrapText="1"/>
    </xf>
    <xf borderId="1" fillId="3" fontId="2" numFmtId="0" xfId="0" applyBorder="1" applyFont="1"/>
    <xf borderId="1" fillId="0" fontId="2" numFmtId="0" xfId="0" applyBorder="1" applyFont="1"/>
    <xf borderId="1" fillId="0" fontId="3" numFmtId="0" xfId="0" applyAlignment="1" applyBorder="1" applyFont="1">
      <alignment horizontal="center" shrinkToFit="0" wrapText="1"/>
    </xf>
    <xf borderId="1" fillId="3" fontId="1" numFmtId="0" xfId="0" applyAlignment="1" applyBorder="1" applyFont="1">
      <alignment horizontal="center" readingOrder="0" shrinkToFit="0" wrapText="1"/>
    </xf>
    <xf borderId="1" fillId="3" fontId="4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/>
    </xf>
    <xf borderId="1" fillId="0" fontId="6" numFmtId="0" xfId="0" applyAlignment="1" applyBorder="1" applyFont="1">
      <alignment shrinkToFit="0" vertical="bottom" wrapText="1"/>
    </xf>
    <xf borderId="1" fillId="0" fontId="6" numFmtId="0" xfId="0" applyAlignment="1" applyBorder="1" applyFont="1">
      <alignment shrinkToFit="0" vertical="top" wrapText="1"/>
    </xf>
    <xf borderId="1" fillId="0" fontId="5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readingOrder="0"/>
    </xf>
    <xf borderId="1" fillId="0" fontId="6" numFmtId="0" xfId="0" applyAlignment="1" applyBorder="1" applyFont="1">
      <alignment vertical="top"/>
    </xf>
    <xf borderId="1" fillId="0" fontId="7" numFmtId="0" xfId="0" applyAlignment="1" applyBorder="1" applyFont="1">
      <alignment shrinkToFit="0" vertical="bottom" wrapText="0"/>
    </xf>
    <xf borderId="1" fillId="0" fontId="7" numFmtId="0" xfId="0" applyAlignment="1" applyBorder="1" applyFont="1">
      <alignment readingOrder="0" shrinkToFit="0" vertical="bottom" wrapText="0"/>
    </xf>
    <xf borderId="1" fillId="0" fontId="6" numFmtId="0" xfId="0" applyAlignment="1" applyBorder="1" applyFont="1">
      <alignment readingOrder="0" vertical="top"/>
    </xf>
    <xf borderId="1" fillId="0" fontId="7" numFmtId="0" xfId="0" applyAlignment="1" applyBorder="1" applyFont="1">
      <alignment readingOrder="0" shrinkToFit="0" vertical="bottom" wrapText="0"/>
    </xf>
    <xf borderId="1" fillId="3" fontId="2" numFmtId="0" xfId="0" applyAlignment="1" applyBorder="1" applyFont="1">
      <alignment horizontal="center"/>
    </xf>
    <xf borderId="1" fillId="0" fontId="6" numFmtId="0" xfId="0" applyAlignment="1" applyBorder="1" applyFont="1">
      <alignment readingOrder="0"/>
    </xf>
    <xf borderId="1" fillId="3" fontId="2" numFmtId="0" xfId="0" applyAlignment="1" applyBorder="1" applyFont="1">
      <alignment horizontal="center" readingOrder="0"/>
    </xf>
    <xf borderId="2" fillId="0" fontId="6" numFmtId="0" xfId="0" applyAlignment="1" applyBorder="1" applyFont="1">
      <alignment vertical="top"/>
    </xf>
    <xf borderId="2" fillId="0" fontId="2" numFmtId="0" xfId="0" applyAlignment="1" applyBorder="1" applyFont="1">
      <alignment horizontal="center" readingOrder="0"/>
    </xf>
    <xf borderId="2" fillId="0" fontId="6" numFmtId="0" xfId="0" applyAlignment="1" applyBorder="1" applyFont="1">
      <alignment shrinkToFit="0" vertical="top" wrapText="1"/>
    </xf>
    <xf borderId="2" fillId="0" fontId="2" numFmtId="0" xfId="0" applyAlignment="1" applyBorder="1" applyFont="1">
      <alignment readingOrder="0"/>
    </xf>
    <xf borderId="1" fillId="0" fontId="6" numFmtId="0" xfId="0" applyAlignment="1" applyBorder="1" applyFont="1">
      <alignment shrinkToFit="0" vertical="bottom" wrapText="1"/>
    </xf>
    <xf borderId="1" fillId="0" fontId="6" numFmtId="0" xfId="0" applyAlignment="1" applyBorder="1" applyFont="1">
      <alignment shrinkToFit="0" vertical="top" wrapText="1"/>
    </xf>
    <xf borderId="1" fillId="0" fontId="2" numFmtId="0" xfId="0" applyAlignment="1" applyBorder="1" applyFont="1">
      <alignment readingOrder="0"/>
    </xf>
    <xf borderId="3" fillId="0" fontId="6" numFmtId="0" xfId="0" applyAlignment="1" applyBorder="1" applyFont="1">
      <alignment vertical="top"/>
    </xf>
    <xf borderId="3" fillId="0" fontId="6" numFmtId="0" xfId="0" applyAlignment="1" applyBorder="1" applyFont="1">
      <alignment shrinkToFit="0" vertical="top" wrapText="1"/>
    </xf>
    <xf borderId="3" fillId="0" fontId="2" numFmtId="0" xfId="0" applyAlignment="1" applyBorder="1" applyFont="1">
      <alignment readingOrder="0"/>
    </xf>
    <xf borderId="1" fillId="0" fontId="8" numFmtId="0" xfId="0" applyBorder="1" applyFont="1"/>
    <xf borderId="1" fillId="0" fontId="6" numFmtId="0" xfId="0" applyBorder="1" applyFont="1"/>
    <xf borderId="0" fillId="0" fontId="2" numFmtId="0" xfId="0" applyFont="1"/>
    <xf borderId="4" fillId="3" fontId="2" numFmtId="0" xfId="0" applyBorder="1" applyFont="1"/>
    <xf borderId="5" fillId="3" fontId="2" numFmtId="0" xfId="0" applyBorder="1" applyFont="1"/>
    <xf borderId="1" fillId="2" fontId="3" numFmtId="0" xfId="0" applyAlignment="1" applyBorder="1" applyFont="1">
      <alignment horizontal="center" shrinkToFit="0" vertical="bottom" wrapText="1"/>
    </xf>
    <xf borderId="1" fillId="0" fontId="6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0" fillId="0" fontId="8" numFmtId="0" xfId="0" applyAlignment="1" applyFont="1">
      <alignment readingOrder="0"/>
    </xf>
    <xf borderId="0" fillId="0" fontId="6" numFmtId="0" xfId="0" applyAlignment="1" applyFont="1">
      <alignment horizontal="center"/>
    </xf>
    <xf borderId="1" fillId="4" fontId="6" numFmtId="0" xfId="0" applyAlignment="1" applyBorder="1" applyFill="1" applyFont="1">
      <alignment shrinkToFit="0" vertical="bottom" wrapText="1"/>
    </xf>
    <xf borderId="2" fillId="0" fontId="6" numFmtId="0" xfId="0" applyAlignment="1" applyBorder="1" applyFont="1">
      <alignment shrinkToFit="0" vertical="bottom" wrapText="1"/>
    </xf>
    <xf borderId="3" fillId="0" fontId="6" numFmtId="0" xfId="0" applyAlignment="1" applyBorder="1" applyFont="1">
      <alignment vertical="top"/>
    </xf>
    <xf borderId="3" fillId="0" fontId="6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1" fillId="0" fontId="5" numFmtId="0" xfId="0" applyAlignment="1" applyBorder="1" applyFont="1">
      <alignment horizontal="center" readingOrder="0" vertical="center"/>
    </xf>
    <xf borderId="0" fillId="0" fontId="6" numFmtId="0" xfId="0" applyAlignment="1" applyFont="1">
      <alignment vertical="top"/>
    </xf>
    <xf borderId="0" fillId="0" fontId="6" numFmtId="0" xfId="0" applyAlignment="1" applyFont="1">
      <alignment readingOrder="0" vertical="top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readingOrder="0" shrinkToFit="0" vertical="bottom" wrapText="0"/>
    </xf>
    <xf borderId="2" fillId="0" fontId="6" numFmtId="0" xfId="0" applyAlignment="1" applyBorder="1" applyFont="1">
      <alignment readingOrder="0" vertical="top"/>
    </xf>
    <xf borderId="2" fillId="0" fontId="6" numFmtId="0" xfId="0" applyAlignment="1" applyBorder="1" applyFont="1">
      <alignment readingOrder="0"/>
    </xf>
    <xf borderId="3" fillId="0" fontId="6" numFmtId="0" xfId="0" applyAlignment="1" applyBorder="1" applyFont="1">
      <alignment readingOrder="0" vertical="top"/>
    </xf>
    <xf borderId="3" fillId="0" fontId="6" numFmtId="0" xfId="0" applyAlignment="1" applyBorder="1" applyFont="1">
      <alignment readingOrder="0"/>
    </xf>
    <xf borderId="1" fillId="2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shrinkToFit="0" vertical="bottom" wrapText="1"/>
    </xf>
    <xf borderId="1" fillId="4" fontId="6" numFmtId="0" xfId="0" applyAlignment="1" applyBorder="1" applyFont="1">
      <alignment shrinkToFit="0" vertical="bottom" wrapText="1"/>
    </xf>
    <xf borderId="1" fillId="4" fontId="6" numFmtId="0" xfId="0" applyAlignment="1" applyBorder="1" applyFont="1">
      <alignment readingOrder="0" shrinkToFit="0" vertical="bottom" wrapText="1"/>
    </xf>
    <xf borderId="2" fillId="0" fontId="6" numFmtId="0" xfId="0" applyBorder="1" applyFont="1"/>
    <xf borderId="1" fillId="0" fontId="6" numFmtId="0" xfId="0" applyAlignment="1" applyBorder="1" applyFont="1">
      <alignment horizontal="center" readingOrder="0"/>
    </xf>
    <xf borderId="3" fillId="0" fontId="6" numFmtId="0" xfId="0" applyBorder="1" applyFont="1"/>
    <xf borderId="3" fillId="0" fontId="6" numFmtId="0" xfId="0" applyBorder="1" applyFont="1"/>
    <xf borderId="1" fillId="2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/>
    </xf>
    <xf borderId="1" fillId="0" fontId="6" numFmtId="0" xfId="0" applyBorder="1" applyFont="1"/>
    <xf borderId="1" fillId="0" fontId="6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center" vertical="bottom"/>
    </xf>
    <xf borderId="0" fillId="0" fontId="5" numFmtId="0" xfId="0" applyAlignment="1" applyFont="1">
      <alignment horizontal="left" vertical="center"/>
    </xf>
    <xf borderId="0" fillId="0" fontId="2" numFmtId="0" xfId="0" applyAlignment="1" applyFont="1">
      <alignment horizontal="center"/>
    </xf>
    <xf borderId="1" fillId="5" fontId="2" numFmtId="0" xfId="0" applyAlignment="1" applyBorder="1" applyFill="1" applyFont="1">
      <alignment horizontal="center"/>
    </xf>
    <xf borderId="1" fillId="0" fontId="9" numFmtId="0" xfId="0" applyAlignment="1" applyBorder="1" applyFont="1">
      <alignment horizontal="center"/>
    </xf>
    <xf borderId="2" fillId="0" fontId="6" numFmtId="0" xfId="0" applyAlignment="1" applyBorder="1" applyFont="1">
      <alignment horizontal="center"/>
    </xf>
    <xf borderId="2" fillId="0" fontId="6" numFmtId="0" xfId="0" applyAlignment="1" applyBorder="1" applyFont="1">
      <alignment horizontal="center" readingOrder="0"/>
    </xf>
    <xf borderId="3" fillId="0" fontId="6" numFmtId="0" xfId="0" applyAlignment="1" applyBorder="1" applyFont="1">
      <alignment horizontal="center"/>
    </xf>
    <xf borderId="3" fillId="0" fontId="6" numFmtId="0" xfId="0" applyAlignment="1" applyBorder="1" applyFont="1">
      <alignment horizontal="center" readingOrder="0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1" fillId="0" fontId="9" numFmtId="0" xfId="0" applyAlignment="1" applyBorder="1" applyFont="1">
      <alignment horizontal="center" vertical="bottom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wrapText="1"/>
    </xf>
    <xf borderId="0" fillId="0" fontId="3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6" fillId="0" fontId="5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center" readingOrder="0" shrinkToFit="0" wrapText="1"/>
    </xf>
    <xf borderId="1" fillId="6" fontId="10" numFmtId="0" xfId="0" applyBorder="1" applyFill="1" applyFont="1"/>
    <xf borderId="1" fillId="0" fontId="11" numFmtId="0" xfId="0" applyAlignment="1" applyBorder="1" applyFont="1">
      <alignment horizontal="center" vertical="top"/>
    </xf>
    <xf borderId="0" fillId="0" fontId="6" numFmtId="0" xfId="0" applyFont="1"/>
    <xf borderId="1" fillId="3" fontId="1" numFmtId="0" xfId="0" applyBorder="1" applyFont="1"/>
    <xf borderId="1" fillId="3" fontId="1" numFmtId="0" xfId="0" applyAlignment="1" applyBorder="1" applyFont="1">
      <alignment horizontal="center"/>
    </xf>
    <xf borderId="1" fillId="0" fontId="2" numFmtId="0" xfId="0" applyAlignment="1" applyBorder="1" applyFont="1">
      <alignment horizontal="left"/>
    </xf>
    <xf borderId="7" fillId="0" fontId="6" numFmtId="0" xfId="0" applyBorder="1" applyFont="1"/>
    <xf borderId="0" fillId="3" fontId="5" numFmtId="0" xfId="0" applyAlignment="1" applyFont="1">
      <alignment horizontal="left" vertical="center"/>
    </xf>
    <xf borderId="1" fillId="3" fontId="5" numFmtId="0" xfId="0" applyAlignment="1" applyBorder="1" applyFont="1">
      <alignment horizontal="left" vertical="center"/>
    </xf>
    <xf borderId="0" fillId="0" fontId="8" numFmtId="0" xfId="0" applyAlignment="1" applyFont="1">
      <alignment horizontal="center"/>
    </xf>
    <xf borderId="0" fillId="3" fontId="8" numFmtId="0" xfId="0" applyFont="1"/>
    <xf borderId="1" fillId="0" fontId="11" numFmtId="0" xfId="0" applyAlignment="1" applyBorder="1" applyFont="1">
      <alignment horizontal="left" vertical="top"/>
    </xf>
    <xf borderId="0" fillId="0" fontId="1" numFmtId="0" xfId="0" applyFont="1"/>
    <xf borderId="1" fillId="0" fontId="5" numFmtId="0" xfId="0" applyAlignment="1" applyBorder="1" applyFont="1">
      <alignment horizontal="left" readingOrder="0" vertical="center"/>
    </xf>
    <xf borderId="1" fillId="3" fontId="2" numFmtId="0" xfId="0" applyAlignment="1" applyBorder="1" applyFont="1">
      <alignment horizontal="left" vertical="center"/>
    </xf>
    <xf borderId="1" fillId="3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8.63"/>
    <col customWidth="1" min="2" max="2" width="10.5"/>
    <col customWidth="1" min="3" max="3" width="14.75"/>
    <col customWidth="1" min="4" max="4" width="9.38"/>
    <col customWidth="1" min="5" max="5" width="11.5"/>
    <col customWidth="1" min="6" max="6" width="9.75"/>
    <col customWidth="1" min="7" max="7" width="27.25"/>
    <col customWidth="1" min="8" max="8" width="14.0"/>
    <col customWidth="1" min="9" max="9" width="20.13"/>
    <col customWidth="1" min="10" max="10" width="14.0"/>
    <col customWidth="1" min="11" max="11" width="11.5"/>
    <col customWidth="1" min="12" max="12" width="13.88"/>
    <col customWidth="1" min="13" max="13" width="18.5"/>
    <col customWidth="1" min="14" max="14" width="14.0"/>
    <col customWidth="1" min="15" max="15" width="21.13"/>
    <col customWidth="1" min="16" max="16" width="14.0"/>
    <col customWidth="1" min="17" max="17" width="11.5"/>
    <col customWidth="1" min="18" max="18" width="13.88"/>
    <col customWidth="1" min="19" max="19" width="28.0"/>
    <col customWidth="1" min="20" max="20" width="34.38"/>
    <col customWidth="1" min="21" max="21" width="26.13"/>
    <col customWidth="1" min="22" max="22" width="24.63"/>
    <col customWidth="1" min="23" max="23" width="11.5"/>
    <col customWidth="1" min="24" max="24" width="13.88"/>
    <col customWidth="1" min="25" max="25" width="33.5"/>
    <col customWidth="1" min="26" max="26" width="26.88"/>
    <col customWidth="1" min="27" max="27" width="11.5"/>
    <col customWidth="1" min="28" max="28" width="13.88"/>
    <col customWidth="1" min="29" max="29" width="34.13"/>
    <col customWidth="1" min="30" max="30" width="25.25"/>
    <col customWidth="1" min="31" max="31" width="11.5"/>
    <col customWidth="1" min="32" max="32" width="13.88"/>
    <col customWidth="1" min="33" max="33" width="37.5"/>
    <col customWidth="1" min="34" max="34" width="22.25"/>
    <col customWidth="1" min="35" max="35" width="11.5"/>
    <col customWidth="1" min="36" max="36" width="13.88"/>
    <col customWidth="1" min="37" max="37" width="33.5"/>
    <col customWidth="1" min="38" max="38" width="24.63"/>
    <col customWidth="1" min="39" max="39" width="11.5"/>
    <col customWidth="1" min="40" max="40" width="13.88"/>
    <col customWidth="1" min="41" max="41" width="34.13"/>
    <col customWidth="1" min="42" max="42" width="26.88"/>
    <col customWidth="1" min="43" max="43" width="11.5"/>
    <col customWidth="1" min="44" max="44" width="13.88"/>
    <col customWidth="1" min="45" max="45" width="37.5"/>
    <col customWidth="1" min="46" max="46" width="22.25"/>
    <col customWidth="1" min="47" max="47" width="11.5"/>
    <col customWidth="1" min="48" max="48" width="13.88"/>
    <col customWidth="1" min="49" max="49" width="25.88"/>
    <col customWidth="1" min="50" max="50" width="14.0"/>
    <col customWidth="1" min="51" max="51" width="11.5"/>
    <col customWidth="1" min="52" max="52" width="13.88"/>
    <col customWidth="1" min="53" max="53" width="29.38"/>
    <col customWidth="1" min="54" max="54" width="14.0"/>
    <col customWidth="1" min="55" max="55" width="11.5"/>
    <col customWidth="1" min="56" max="56" width="14.25"/>
    <col customWidth="1" min="57" max="57" width="24.5"/>
    <col customWidth="1" min="58" max="58" width="14.0"/>
    <col customWidth="1" min="59" max="59" width="11.5"/>
    <col customWidth="1" min="60" max="60" width="13.88"/>
    <col customWidth="1" min="61" max="61" width="22.5"/>
    <col customWidth="1" min="62" max="62" width="23.75"/>
    <col customWidth="1" min="63" max="63" width="11.5"/>
    <col customWidth="1" min="64" max="64" width="13.88"/>
    <col customWidth="1" min="65" max="65" width="25.88"/>
    <col customWidth="1" min="66" max="66" width="24.38"/>
    <col customWidth="1" min="67" max="67" width="11.5"/>
    <col customWidth="1" min="68" max="68" width="13.88"/>
    <col customWidth="1" min="69" max="69" width="27.25"/>
    <col customWidth="1" min="70" max="70" width="23.63"/>
    <col customWidth="1" min="71" max="71" width="11.5"/>
    <col customWidth="1" min="72" max="72" width="14.13"/>
    <col customWidth="1" min="73" max="73" width="25.5"/>
    <col customWidth="1" min="74" max="74" width="14.0"/>
    <col customWidth="1" min="75" max="75" width="11.5"/>
    <col customWidth="1" min="76" max="76" width="13.88"/>
    <col customWidth="1" min="77" max="77" width="22.5"/>
    <col customWidth="1" min="78" max="78" width="14.0"/>
    <col customWidth="1" min="79" max="79" width="11.5"/>
    <col customWidth="1" min="80" max="80" width="21.38"/>
    <col customWidth="1" min="81" max="81" width="24.38"/>
    <col customWidth="1" min="82" max="82" width="14.0"/>
    <col customWidth="1" min="83" max="83" width="11.5"/>
    <col customWidth="1" min="84" max="84" width="13.88"/>
    <col customWidth="1" min="85" max="85" width="27.0"/>
    <col customWidth="1" min="86" max="89" width="17.0"/>
    <col customWidth="1" min="90" max="90" width="14.0"/>
    <col customWidth="1" min="91" max="91" width="11.5"/>
    <col customWidth="1" min="92" max="92" width="13.88"/>
    <col customWidth="1" min="93" max="93" width="26.0"/>
    <col customWidth="1" min="94" max="94" width="14.0"/>
    <col customWidth="1" min="95" max="95" width="11.5"/>
    <col customWidth="1" min="96" max="96" width="13.88"/>
    <col customWidth="1" min="97" max="97" width="18.13"/>
    <col customWidth="1" min="98" max="98" width="14.0"/>
    <col customWidth="1" min="99" max="99" width="11.5"/>
    <col customWidth="1" min="100" max="100" width="13.88"/>
    <col customWidth="1" min="101" max="105" width="21.75"/>
    <col customWidth="1" min="106" max="106" width="14.0"/>
    <col customWidth="1" min="107" max="107" width="11.5"/>
    <col customWidth="1" min="108" max="108" width="13.88"/>
    <col customWidth="1" min="109" max="109" width="23.13"/>
    <col customWidth="1" min="110" max="110" width="14.0"/>
    <col customWidth="1" min="111" max="111" width="11.5"/>
    <col customWidth="1" min="112" max="112" width="13.88"/>
  </cols>
  <sheetData>
    <row r="1" ht="63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7</v>
      </c>
      <c r="K1" s="3" t="s">
        <v>9</v>
      </c>
      <c r="L1" s="3" t="s">
        <v>10</v>
      </c>
      <c r="M1" s="3" t="s">
        <v>11</v>
      </c>
      <c r="N1" s="3" t="s">
        <v>7</v>
      </c>
      <c r="O1" s="3" t="s">
        <v>12</v>
      </c>
      <c r="P1" s="3" t="s">
        <v>13</v>
      </c>
      <c r="Q1" s="3" t="s">
        <v>9</v>
      </c>
      <c r="R1" s="3" t="s">
        <v>10</v>
      </c>
      <c r="S1" s="4" t="s">
        <v>14</v>
      </c>
      <c r="T1" s="5" t="s">
        <v>15</v>
      </c>
      <c r="U1" s="3" t="s">
        <v>16</v>
      </c>
      <c r="V1" s="3" t="s">
        <v>17</v>
      </c>
      <c r="W1" s="3" t="s">
        <v>9</v>
      </c>
      <c r="X1" s="3" t="s">
        <v>10</v>
      </c>
      <c r="Y1" s="3" t="s">
        <v>18</v>
      </c>
      <c r="Z1" s="3" t="s">
        <v>19</v>
      </c>
      <c r="AA1" s="3" t="s">
        <v>9</v>
      </c>
      <c r="AB1" s="3" t="s">
        <v>10</v>
      </c>
      <c r="AC1" s="3" t="s">
        <v>20</v>
      </c>
      <c r="AD1" s="3" t="s">
        <v>21</v>
      </c>
      <c r="AE1" s="3" t="s">
        <v>9</v>
      </c>
      <c r="AF1" s="3" t="s">
        <v>10</v>
      </c>
      <c r="AG1" s="3" t="s">
        <v>22</v>
      </c>
      <c r="AH1" s="3" t="s">
        <v>23</v>
      </c>
      <c r="AI1" s="3" t="s">
        <v>9</v>
      </c>
      <c r="AJ1" s="3" t="s">
        <v>10</v>
      </c>
      <c r="AK1" s="3" t="s">
        <v>24</v>
      </c>
      <c r="AL1" s="3" t="s">
        <v>25</v>
      </c>
      <c r="AM1" s="3" t="s">
        <v>9</v>
      </c>
      <c r="AN1" s="3" t="s">
        <v>10</v>
      </c>
      <c r="AO1" s="3" t="s">
        <v>26</v>
      </c>
      <c r="AP1" s="3" t="s">
        <v>27</v>
      </c>
      <c r="AQ1" s="3" t="s">
        <v>9</v>
      </c>
      <c r="AR1" s="3" t="s">
        <v>10</v>
      </c>
      <c r="AS1" s="3" t="s">
        <v>28</v>
      </c>
      <c r="AT1" s="3" t="s">
        <v>29</v>
      </c>
      <c r="AU1" s="3" t="s">
        <v>9</v>
      </c>
      <c r="AV1" s="3" t="s">
        <v>10</v>
      </c>
      <c r="AW1" s="3" t="s">
        <v>30</v>
      </c>
      <c r="AX1" s="3" t="s">
        <v>7</v>
      </c>
      <c r="AY1" s="3" t="s">
        <v>9</v>
      </c>
      <c r="AZ1" s="3" t="s">
        <v>10</v>
      </c>
      <c r="BA1" s="3" t="s">
        <v>31</v>
      </c>
      <c r="BB1" s="3" t="s">
        <v>13</v>
      </c>
      <c r="BC1" s="3" t="s">
        <v>9</v>
      </c>
      <c r="BD1" s="3" t="s">
        <v>10</v>
      </c>
      <c r="BE1" s="3" t="s">
        <v>32</v>
      </c>
      <c r="BF1" s="3" t="s">
        <v>7</v>
      </c>
      <c r="BG1" s="3" t="s">
        <v>9</v>
      </c>
      <c r="BH1" s="3" t="s">
        <v>10</v>
      </c>
      <c r="BI1" s="3" t="s">
        <v>33</v>
      </c>
      <c r="BJ1" s="3" t="s">
        <v>34</v>
      </c>
      <c r="BK1" s="3" t="s">
        <v>9</v>
      </c>
      <c r="BL1" s="3" t="s">
        <v>10</v>
      </c>
      <c r="BM1" s="3" t="s">
        <v>35</v>
      </c>
      <c r="BN1" s="3" t="s">
        <v>36</v>
      </c>
      <c r="BO1" s="3" t="s">
        <v>9</v>
      </c>
      <c r="BP1" s="3" t="s">
        <v>10</v>
      </c>
      <c r="BQ1" s="3" t="s">
        <v>37</v>
      </c>
      <c r="BR1" s="3" t="s">
        <v>38</v>
      </c>
      <c r="BS1" s="3" t="s">
        <v>9</v>
      </c>
      <c r="BT1" s="3" t="s">
        <v>10</v>
      </c>
      <c r="BU1" s="3" t="s">
        <v>39</v>
      </c>
      <c r="BV1" s="3" t="s">
        <v>7</v>
      </c>
      <c r="BW1" s="3" t="s">
        <v>9</v>
      </c>
      <c r="BX1" s="3" t="s">
        <v>10</v>
      </c>
      <c r="BY1" s="3" t="s">
        <v>40</v>
      </c>
      <c r="BZ1" s="3" t="s">
        <v>7</v>
      </c>
      <c r="CA1" s="3" t="s">
        <v>9</v>
      </c>
      <c r="CB1" s="3" t="s">
        <v>10</v>
      </c>
      <c r="CC1" s="3" t="s">
        <v>41</v>
      </c>
      <c r="CD1" s="3" t="s">
        <v>13</v>
      </c>
      <c r="CE1" s="3" t="s">
        <v>9</v>
      </c>
      <c r="CF1" s="3" t="s">
        <v>10</v>
      </c>
      <c r="CG1" s="6" t="s">
        <v>42</v>
      </c>
      <c r="CH1" s="7" t="s">
        <v>13</v>
      </c>
      <c r="CI1" s="3" t="s">
        <v>9</v>
      </c>
      <c r="CJ1" s="3" t="s">
        <v>10</v>
      </c>
      <c r="CK1" s="3" t="s">
        <v>43</v>
      </c>
      <c r="CL1" s="3" t="s">
        <v>13</v>
      </c>
      <c r="CM1" s="3" t="s">
        <v>9</v>
      </c>
      <c r="CN1" s="3" t="s">
        <v>10</v>
      </c>
      <c r="CO1" s="3" t="s">
        <v>44</v>
      </c>
      <c r="CP1" s="3" t="s">
        <v>13</v>
      </c>
      <c r="CQ1" s="3" t="s">
        <v>9</v>
      </c>
      <c r="CR1" s="3" t="s">
        <v>10</v>
      </c>
      <c r="CS1" s="3" t="s">
        <v>45</v>
      </c>
      <c r="CT1" s="3" t="s">
        <v>13</v>
      </c>
      <c r="CU1" s="3" t="s">
        <v>9</v>
      </c>
      <c r="CV1" s="3" t="s">
        <v>10</v>
      </c>
      <c r="CW1" s="6" t="s">
        <v>46</v>
      </c>
      <c r="CX1" s="7" t="s">
        <v>13</v>
      </c>
      <c r="CY1" s="3" t="s">
        <v>9</v>
      </c>
      <c r="CZ1" s="3" t="s">
        <v>10</v>
      </c>
      <c r="DA1" s="3" t="s">
        <v>47</v>
      </c>
      <c r="DB1" s="3" t="s">
        <v>13</v>
      </c>
      <c r="DC1" s="3" t="s">
        <v>9</v>
      </c>
      <c r="DD1" s="3" t="s">
        <v>10</v>
      </c>
      <c r="DE1" s="3" t="s">
        <v>48</v>
      </c>
      <c r="DF1" s="3" t="s">
        <v>13</v>
      </c>
      <c r="DG1" s="3" t="s">
        <v>9</v>
      </c>
      <c r="DH1" s="3" t="s">
        <v>10</v>
      </c>
    </row>
    <row r="2" ht="15.75" customHeight="1">
      <c r="A2" s="8">
        <v>1424.0</v>
      </c>
      <c r="B2" s="9" t="s">
        <v>49</v>
      </c>
      <c r="C2" s="10" t="str">
        <f t="shared" ref="C2:C16" si="1">CONCATENATE(D2,"_",F2)</f>
        <v>TK-01_BS VI HSD</v>
      </c>
      <c r="D2" s="11" t="s">
        <v>50</v>
      </c>
      <c r="E2" s="12" t="s">
        <v>51</v>
      </c>
      <c r="F2" s="11" t="s">
        <v>52</v>
      </c>
      <c r="G2" s="13" t="s">
        <v>53</v>
      </c>
      <c r="H2" s="14">
        <v>0.0</v>
      </c>
      <c r="I2" s="15" t="s">
        <v>54</v>
      </c>
      <c r="J2" s="10"/>
      <c r="K2" s="16" t="str">
        <f t="shared" ref="K2:K16" si="2">MID(I2,6,5)</f>
        <v>TK-01</v>
      </c>
      <c r="L2" s="17" t="s">
        <v>55</v>
      </c>
      <c r="M2" s="10"/>
      <c r="N2" s="10"/>
      <c r="O2" s="15" t="s">
        <v>56</v>
      </c>
      <c r="P2" s="18">
        <v>0.0</v>
      </c>
      <c r="Q2" s="16" t="str">
        <f t="shared" ref="Q2:Q16" si="3">MID(O2,6,5)</f>
        <v>TK-01</v>
      </c>
      <c r="R2" s="17" t="s">
        <v>55</v>
      </c>
      <c r="S2" s="15" t="s">
        <v>57</v>
      </c>
      <c r="T2" s="18">
        <v>0.0</v>
      </c>
      <c r="U2" s="15" t="s">
        <v>58</v>
      </c>
      <c r="V2" s="18">
        <v>0.0</v>
      </c>
      <c r="W2" s="16" t="str">
        <f t="shared" ref="W2:W16" si="4">MID(U2,6,5)</f>
        <v>TK-01</v>
      </c>
      <c r="X2" s="17" t="s">
        <v>55</v>
      </c>
      <c r="Y2" s="15" t="s">
        <v>59</v>
      </c>
      <c r="Z2" s="18">
        <v>0.0</v>
      </c>
      <c r="AA2" s="16" t="str">
        <f t="shared" ref="AA2:AA16" si="5">mid(Y2,13,6)</f>
        <v>LSW-01</v>
      </c>
      <c r="AB2" s="17" t="s">
        <v>60</v>
      </c>
      <c r="AC2" s="15" t="s">
        <v>61</v>
      </c>
      <c r="AD2" s="18">
        <v>0.0</v>
      </c>
      <c r="AE2" s="16" t="str">
        <f t="shared" ref="AE2:AE6" si="6">mid(AC2,13,6)</f>
        <v>LSW-01</v>
      </c>
      <c r="AF2" s="17" t="s">
        <v>60</v>
      </c>
      <c r="AG2" s="15" t="s">
        <v>62</v>
      </c>
      <c r="AH2" s="18">
        <v>0.0</v>
      </c>
      <c r="AI2" s="16" t="str">
        <f t="shared" ref="AI2:AI6" si="7">mid(AG2,13,6)</f>
        <v>LSW-01</v>
      </c>
      <c r="AJ2" s="17" t="s">
        <v>60</v>
      </c>
      <c r="AK2" s="15" t="s">
        <v>63</v>
      </c>
      <c r="AL2" s="18">
        <v>0.0</v>
      </c>
      <c r="AM2" s="16" t="str">
        <f t="shared" ref="AM2:AM16" si="8">mid(AK2,13,6)</f>
        <v>RDR-01</v>
      </c>
      <c r="AN2" s="19" t="s">
        <v>64</v>
      </c>
      <c r="AO2" s="15" t="s">
        <v>65</v>
      </c>
      <c r="AP2" s="18">
        <v>0.0</v>
      </c>
      <c r="AQ2" s="16" t="str">
        <f t="shared" ref="AQ2:AQ16" si="9">mid(AO2,13,6)</f>
        <v>RDR-01</v>
      </c>
      <c r="AR2" s="19" t="s">
        <v>64</v>
      </c>
      <c r="AS2" s="15" t="s">
        <v>66</v>
      </c>
      <c r="AT2" s="18">
        <v>0.0</v>
      </c>
      <c r="AU2" s="16" t="str">
        <f t="shared" ref="AU2:AU16" si="10">mid(AS2,13,6)</f>
        <v>RDR-01</v>
      </c>
      <c r="AV2" s="19" t="s">
        <v>64</v>
      </c>
      <c r="AW2" s="15" t="s">
        <v>67</v>
      </c>
      <c r="AX2" s="18">
        <v>0.0</v>
      </c>
      <c r="AY2" s="16" t="str">
        <f t="shared" ref="AY2:AY16" si="11">MID(AW2,5,8)</f>
        <v>ROSOV-01</v>
      </c>
      <c r="AZ2" s="19" t="s">
        <v>68</v>
      </c>
      <c r="BA2" s="15" t="s">
        <v>69</v>
      </c>
      <c r="BB2" s="18">
        <v>0.0</v>
      </c>
      <c r="BC2" s="16" t="str">
        <f t="shared" ref="BC2:BC16" si="12">MID(BA2,5,8)</f>
        <v>ROSOV-01</v>
      </c>
      <c r="BD2" s="17" t="s">
        <v>70</v>
      </c>
      <c r="BE2" s="10"/>
      <c r="BF2" s="10"/>
      <c r="BG2" s="10"/>
      <c r="BH2" s="20"/>
      <c r="BI2" s="20"/>
      <c r="BJ2" s="20"/>
      <c r="BK2" s="10"/>
      <c r="BL2" s="20"/>
      <c r="BM2" s="12" t="s">
        <v>71</v>
      </c>
      <c r="BN2" s="18">
        <v>0.0</v>
      </c>
      <c r="BO2" s="16" t="str">
        <f t="shared" ref="BO2:BO16" si="13">MID(BM2,5,8)</f>
        <v>ROSOV-02</v>
      </c>
      <c r="BP2" s="19" t="s">
        <v>72</v>
      </c>
      <c r="BQ2" s="12" t="s">
        <v>73</v>
      </c>
      <c r="BR2" s="21">
        <v>0.0</v>
      </c>
      <c r="BS2" s="16" t="str">
        <f t="shared" ref="BS2:BS16" si="14">MID(BQ2,5,8)</f>
        <v>ROSOV-02</v>
      </c>
      <c r="BT2" s="19" t="s">
        <v>74</v>
      </c>
      <c r="BU2" s="12" t="s">
        <v>75</v>
      </c>
      <c r="BV2" s="21">
        <v>0.0</v>
      </c>
      <c r="BW2" s="20" t="str">
        <f t="shared" ref="BW2:BW6" si="15">MID(BU2,5,8)</f>
        <v>ROSOV-03</v>
      </c>
      <c r="BX2" s="22" t="s">
        <v>76</v>
      </c>
      <c r="BY2" s="12" t="s">
        <v>77</v>
      </c>
      <c r="BZ2" s="21">
        <v>0.0</v>
      </c>
      <c r="CA2" s="20" t="str">
        <f t="shared" ref="CA2:CA6" si="16">MID(BY2,5,8)</f>
        <v>ROSOV-03</v>
      </c>
      <c r="CB2" s="14" t="s">
        <v>78</v>
      </c>
      <c r="CC2" s="15" t="s">
        <v>79</v>
      </c>
      <c r="CD2" s="21">
        <v>0.0</v>
      </c>
      <c r="CE2" s="16" t="str">
        <f t="shared" ref="CE2:CE16" si="17">MID(CC2,5,7)</f>
        <v>MOV-001</v>
      </c>
      <c r="CF2" s="19" t="s">
        <v>80</v>
      </c>
      <c r="CG2" s="23" t="s">
        <v>81</v>
      </c>
      <c r="CH2" s="24">
        <v>1.0</v>
      </c>
      <c r="CI2" s="16" t="str">
        <f t="shared" ref="CI2:CI6" si="18">MID(CG2,5,7)</f>
        <v>MOV-001</v>
      </c>
      <c r="CJ2" s="19" t="s">
        <v>80</v>
      </c>
      <c r="CK2" s="10"/>
      <c r="CL2" s="20"/>
      <c r="CM2" s="10"/>
      <c r="CN2" s="10"/>
      <c r="CO2" s="12" t="s">
        <v>82</v>
      </c>
      <c r="CP2" s="21">
        <v>0.0</v>
      </c>
      <c r="CQ2" s="16" t="str">
        <f t="shared" ref="CQ2:CQ6" si="19">MID(CO2,5,7)</f>
        <v>MOV-002</v>
      </c>
      <c r="CR2" s="19" t="s">
        <v>83</v>
      </c>
      <c r="CS2" s="12" t="s">
        <v>84</v>
      </c>
      <c r="CT2" s="21">
        <v>0.0</v>
      </c>
      <c r="CU2" s="16" t="str">
        <f t="shared" ref="CU2:CU6" si="20">MID(CS2,5,7)</f>
        <v>MOV-003</v>
      </c>
      <c r="CV2" s="14" t="s">
        <v>85</v>
      </c>
      <c r="CW2" s="25" t="s">
        <v>86</v>
      </c>
      <c r="CX2" s="26">
        <v>1.0</v>
      </c>
      <c r="CY2" s="16" t="str">
        <f t="shared" ref="CY2:CY6" si="21">MID(CW2,5,7)</f>
        <v>MOV-003</v>
      </c>
      <c r="CZ2" s="14" t="s">
        <v>85</v>
      </c>
      <c r="DA2" s="5"/>
      <c r="DB2" s="4"/>
      <c r="DC2" s="5"/>
      <c r="DD2" s="5"/>
      <c r="DE2" s="5"/>
      <c r="DF2" s="4"/>
      <c r="DG2" s="5"/>
      <c r="DH2" s="5"/>
    </row>
    <row r="3" ht="15.75" customHeight="1">
      <c r="A3" s="8">
        <v>1424.0</v>
      </c>
      <c r="B3" s="9" t="s">
        <v>49</v>
      </c>
      <c r="C3" s="10" t="str">
        <f t="shared" si="1"/>
        <v>TK-02_BS VI HSD</v>
      </c>
      <c r="D3" s="27" t="s">
        <v>87</v>
      </c>
      <c r="E3" s="28" t="s">
        <v>51</v>
      </c>
      <c r="F3" s="27" t="s">
        <v>52</v>
      </c>
      <c r="G3" s="13" t="s">
        <v>53</v>
      </c>
      <c r="H3" s="14">
        <v>0.0</v>
      </c>
      <c r="I3" s="15" t="s">
        <v>88</v>
      </c>
      <c r="J3" s="5"/>
      <c r="K3" s="16" t="str">
        <f t="shared" si="2"/>
        <v>TK-02</v>
      </c>
      <c r="L3" s="17" t="s">
        <v>55</v>
      </c>
      <c r="M3" s="5"/>
      <c r="N3" s="5"/>
      <c r="O3" s="15" t="s">
        <v>89</v>
      </c>
      <c r="P3" s="18">
        <v>0.0</v>
      </c>
      <c r="Q3" s="16" t="str">
        <f t="shared" si="3"/>
        <v>TK-02</v>
      </c>
      <c r="R3" s="17" t="s">
        <v>55</v>
      </c>
      <c r="S3" s="15" t="s">
        <v>90</v>
      </c>
      <c r="T3" s="18">
        <v>0.0</v>
      </c>
      <c r="U3" s="15" t="s">
        <v>91</v>
      </c>
      <c r="V3" s="18">
        <v>0.0</v>
      </c>
      <c r="W3" s="16" t="str">
        <f t="shared" si="4"/>
        <v>TK-02</v>
      </c>
      <c r="X3" s="17" t="s">
        <v>55</v>
      </c>
      <c r="Y3" s="15" t="s">
        <v>92</v>
      </c>
      <c r="Z3" s="18">
        <v>0.0</v>
      </c>
      <c r="AA3" s="16" t="str">
        <f t="shared" si="5"/>
        <v>LSW-02</v>
      </c>
      <c r="AB3" s="17" t="s">
        <v>60</v>
      </c>
      <c r="AC3" s="15" t="s">
        <v>93</v>
      </c>
      <c r="AD3" s="18">
        <v>0.0</v>
      </c>
      <c r="AE3" s="16" t="str">
        <f t="shared" si="6"/>
        <v>LSW-02</v>
      </c>
      <c r="AF3" s="17" t="s">
        <v>60</v>
      </c>
      <c r="AG3" s="15" t="s">
        <v>94</v>
      </c>
      <c r="AH3" s="18">
        <v>0.0</v>
      </c>
      <c r="AI3" s="16" t="str">
        <f t="shared" si="7"/>
        <v>LSW-02</v>
      </c>
      <c r="AJ3" s="17" t="s">
        <v>60</v>
      </c>
      <c r="AK3" s="15" t="s">
        <v>95</v>
      </c>
      <c r="AL3" s="18">
        <v>0.0</v>
      </c>
      <c r="AM3" s="16" t="str">
        <f t="shared" si="8"/>
        <v>RDR-02</v>
      </c>
      <c r="AN3" s="19" t="s">
        <v>64</v>
      </c>
      <c r="AO3" s="15" t="s">
        <v>96</v>
      </c>
      <c r="AP3" s="18">
        <v>0.0</v>
      </c>
      <c r="AQ3" s="16" t="str">
        <f t="shared" si="9"/>
        <v>RDR-02</v>
      </c>
      <c r="AR3" s="19" t="s">
        <v>64</v>
      </c>
      <c r="AS3" s="15" t="s">
        <v>97</v>
      </c>
      <c r="AT3" s="18">
        <v>0.0</v>
      </c>
      <c r="AU3" s="16" t="str">
        <f t="shared" si="10"/>
        <v>RDR-02</v>
      </c>
      <c r="AV3" s="19" t="s">
        <v>64</v>
      </c>
      <c r="AW3" s="15" t="s">
        <v>98</v>
      </c>
      <c r="AX3" s="18">
        <v>0.0</v>
      </c>
      <c r="AY3" s="16" t="str">
        <f t="shared" si="11"/>
        <v>ROSOV-04</v>
      </c>
      <c r="AZ3" s="19" t="s">
        <v>68</v>
      </c>
      <c r="BA3" s="15" t="s">
        <v>99</v>
      </c>
      <c r="BB3" s="18">
        <v>0.0</v>
      </c>
      <c r="BC3" s="16" t="str">
        <f t="shared" si="12"/>
        <v>ROSOV-04</v>
      </c>
      <c r="BD3" s="17" t="s">
        <v>70</v>
      </c>
      <c r="BE3" s="5"/>
      <c r="BF3" s="5"/>
      <c r="BG3" s="5"/>
      <c r="BH3" s="5"/>
      <c r="BI3" s="5"/>
      <c r="BJ3" s="5"/>
      <c r="BK3" s="5"/>
      <c r="BL3" s="5"/>
      <c r="BM3" s="12" t="s">
        <v>100</v>
      </c>
      <c r="BN3" s="18">
        <v>0.0</v>
      </c>
      <c r="BO3" s="16" t="str">
        <f t="shared" si="13"/>
        <v>ROSOV-05</v>
      </c>
      <c r="BP3" s="19" t="s">
        <v>72</v>
      </c>
      <c r="BQ3" s="12" t="s">
        <v>101</v>
      </c>
      <c r="BR3" s="21">
        <v>0.0</v>
      </c>
      <c r="BS3" s="16" t="str">
        <f t="shared" si="14"/>
        <v>ROSOV-05</v>
      </c>
      <c r="BT3" s="19" t="s">
        <v>74</v>
      </c>
      <c r="BU3" s="12" t="s">
        <v>102</v>
      </c>
      <c r="BV3" s="21">
        <v>0.0</v>
      </c>
      <c r="BW3" s="20" t="str">
        <f t="shared" si="15"/>
        <v>ROSOV-06</v>
      </c>
      <c r="BX3" s="29" t="s">
        <v>76</v>
      </c>
      <c r="BY3" s="12" t="s">
        <v>103</v>
      </c>
      <c r="BZ3" s="21">
        <v>0.0</v>
      </c>
      <c r="CA3" s="20" t="str">
        <f t="shared" si="16"/>
        <v>ROSOV-06</v>
      </c>
      <c r="CB3" s="14" t="s">
        <v>78</v>
      </c>
      <c r="CC3" s="15" t="s">
        <v>104</v>
      </c>
      <c r="CD3" s="21">
        <v>0.0</v>
      </c>
      <c r="CE3" s="16" t="str">
        <f t="shared" si="17"/>
        <v>MOV-004</v>
      </c>
      <c r="CF3" s="19" t="s">
        <v>80</v>
      </c>
      <c r="CG3" s="30" t="s">
        <v>105</v>
      </c>
      <c r="CH3" s="24">
        <v>1.0</v>
      </c>
      <c r="CI3" s="16" t="str">
        <f t="shared" si="18"/>
        <v>MOV-004</v>
      </c>
      <c r="CJ3" s="19" t="s">
        <v>80</v>
      </c>
      <c r="CK3" s="5"/>
      <c r="CL3" s="5"/>
      <c r="CM3" s="5"/>
      <c r="CN3" s="5"/>
      <c r="CO3" s="12" t="s">
        <v>106</v>
      </c>
      <c r="CP3" s="21">
        <v>0.0</v>
      </c>
      <c r="CQ3" s="16" t="str">
        <f t="shared" si="19"/>
        <v>MOV-005</v>
      </c>
      <c r="CR3" s="19" t="s">
        <v>83</v>
      </c>
      <c r="CS3" s="12" t="s">
        <v>107</v>
      </c>
      <c r="CT3" s="21">
        <v>0.0</v>
      </c>
      <c r="CU3" s="16" t="str">
        <f t="shared" si="20"/>
        <v>MOV-006</v>
      </c>
      <c r="CV3" s="14" t="s">
        <v>85</v>
      </c>
      <c r="CW3" s="31" t="s">
        <v>108</v>
      </c>
      <c r="CX3" s="32">
        <v>1.0</v>
      </c>
      <c r="CY3" s="16" t="str">
        <f t="shared" si="21"/>
        <v>MOV-006</v>
      </c>
      <c r="CZ3" s="14" t="s">
        <v>85</v>
      </c>
      <c r="DA3" s="5"/>
      <c r="DB3" s="5"/>
      <c r="DC3" s="5"/>
      <c r="DD3" s="5"/>
      <c r="DE3" s="5"/>
      <c r="DF3" s="5"/>
      <c r="DG3" s="5"/>
      <c r="DH3" s="5"/>
    </row>
    <row r="4" ht="15.75" customHeight="1">
      <c r="A4" s="8">
        <v>1424.0</v>
      </c>
      <c r="B4" s="9" t="s">
        <v>49</v>
      </c>
      <c r="C4" s="10" t="str">
        <f t="shared" si="1"/>
        <v>TK-03_BS VI MS</v>
      </c>
      <c r="D4" s="27" t="s">
        <v>109</v>
      </c>
      <c r="E4" s="28" t="s">
        <v>51</v>
      </c>
      <c r="F4" s="27" t="s">
        <v>110</v>
      </c>
      <c r="G4" s="13" t="s">
        <v>53</v>
      </c>
      <c r="H4" s="14">
        <v>0.0</v>
      </c>
      <c r="I4" s="15" t="s">
        <v>111</v>
      </c>
      <c r="J4" s="5"/>
      <c r="K4" s="16" t="str">
        <f t="shared" si="2"/>
        <v>TK-03</v>
      </c>
      <c r="L4" s="17" t="s">
        <v>55</v>
      </c>
      <c r="M4" s="5"/>
      <c r="N4" s="5"/>
      <c r="O4" s="15" t="s">
        <v>112</v>
      </c>
      <c r="P4" s="18">
        <v>0.0</v>
      </c>
      <c r="Q4" s="16" t="str">
        <f t="shared" si="3"/>
        <v>TK-03</v>
      </c>
      <c r="R4" s="17" t="s">
        <v>55</v>
      </c>
      <c r="S4" s="15" t="s">
        <v>113</v>
      </c>
      <c r="T4" s="18">
        <v>0.0</v>
      </c>
      <c r="U4" s="15" t="s">
        <v>114</v>
      </c>
      <c r="V4" s="18">
        <v>0.0</v>
      </c>
      <c r="W4" s="16" t="str">
        <f t="shared" si="4"/>
        <v>TK-03</v>
      </c>
      <c r="X4" s="17" t="s">
        <v>55</v>
      </c>
      <c r="Y4" s="15" t="s">
        <v>115</v>
      </c>
      <c r="Z4" s="18">
        <v>0.0</v>
      </c>
      <c r="AA4" s="16" t="str">
        <f t="shared" si="5"/>
        <v>LSW-03</v>
      </c>
      <c r="AB4" s="17" t="s">
        <v>60</v>
      </c>
      <c r="AC4" s="15" t="s">
        <v>116</v>
      </c>
      <c r="AD4" s="18">
        <v>0.0</v>
      </c>
      <c r="AE4" s="16" t="str">
        <f t="shared" si="6"/>
        <v>LSW-03</v>
      </c>
      <c r="AF4" s="17" t="s">
        <v>60</v>
      </c>
      <c r="AG4" s="15" t="s">
        <v>117</v>
      </c>
      <c r="AH4" s="18">
        <v>0.0</v>
      </c>
      <c r="AI4" s="16" t="str">
        <f t="shared" si="7"/>
        <v>LSW-03</v>
      </c>
      <c r="AJ4" s="17" t="s">
        <v>60</v>
      </c>
      <c r="AK4" s="15" t="s">
        <v>118</v>
      </c>
      <c r="AL4" s="18">
        <v>0.0</v>
      </c>
      <c r="AM4" s="16" t="str">
        <f t="shared" si="8"/>
        <v>RDR-03</v>
      </c>
      <c r="AN4" s="19" t="s">
        <v>64</v>
      </c>
      <c r="AO4" s="15" t="s">
        <v>119</v>
      </c>
      <c r="AP4" s="18">
        <v>0.0</v>
      </c>
      <c r="AQ4" s="16" t="str">
        <f t="shared" si="9"/>
        <v>RDR-03</v>
      </c>
      <c r="AR4" s="19" t="s">
        <v>64</v>
      </c>
      <c r="AS4" s="15" t="s">
        <v>120</v>
      </c>
      <c r="AT4" s="18">
        <v>0.0</v>
      </c>
      <c r="AU4" s="16" t="str">
        <f t="shared" si="10"/>
        <v>RDR-03</v>
      </c>
      <c r="AV4" s="19" t="s">
        <v>64</v>
      </c>
      <c r="AW4" s="15" t="s">
        <v>121</v>
      </c>
      <c r="AX4" s="18">
        <v>0.0</v>
      </c>
      <c r="AY4" s="16" t="str">
        <f t="shared" si="11"/>
        <v>ROSOV-07</v>
      </c>
      <c r="AZ4" s="19" t="s">
        <v>68</v>
      </c>
      <c r="BA4" s="15" t="s">
        <v>122</v>
      </c>
      <c r="BB4" s="18">
        <v>0.0</v>
      </c>
      <c r="BC4" s="16" t="str">
        <f t="shared" si="12"/>
        <v>ROSOV-07</v>
      </c>
      <c r="BD4" s="17" t="s">
        <v>70</v>
      </c>
      <c r="BE4" s="5"/>
      <c r="BF4" s="5"/>
      <c r="BG4" s="5"/>
      <c r="BH4" s="5"/>
      <c r="BI4" s="5"/>
      <c r="BJ4" s="5"/>
      <c r="BK4" s="5"/>
      <c r="BL4" s="5"/>
      <c r="BM4" s="12" t="s">
        <v>123</v>
      </c>
      <c r="BN4" s="18">
        <v>0.0</v>
      </c>
      <c r="BO4" s="16" t="str">
        <f t="shared" si="13"/>
        <v>ROSOV-08</v>
      </c>
      <c r="BP4" s="19" t="s">
        <v>72</v>
      </c>
      <c r="BQ4" s="12" t="s">
        <v>124</v>
      </c>
      <c r="BR4" s="21">
        <v>0.0</v>
      </c>
      <c r="BS4" s="16" t="str">
        <f t="shared" si="14"/>
        <v>ROSOV-08</v>
      </c>
      <c r="BT4" s="19" t="s">
        <v>74</v>
      </c>
      <c r="BU4" s="12" t="s">
        <v>125</v>
      </c>
      <c r="BV4" s="21">
        <v>0.0</v>
      </c>
      <c r="BW4" s="20" t="str">
        <f t="shared" si="15"/>
        <v>ROSOV-09</v>
      </c>
      <c r="BX4" s="29" t="s">
        <v>76</v>
      </c>
      <c r="BY4" s="12" t="s">
        <v>126</v>
      </c>
      <c r="BZ4" s="21">
        <v>0.0</v>
      </c>
      <c r="CA4" s="20" t="str">
        <f t="shared" si="16"/>
        <v>ROSOV-09</v>
      </c>
      <c r="CB4" s="14" t="s">
        <v>78</v>
      </c>
      <c r="CC4" s="15" t="s">
        <v>127</v>
      </c>
      <c r="CD4" s="21">
        <v>0.0</v>
      </c>
      <c r="CE4" s="16" t="str">
        <f t="shared" si="17"/>
        <v>MOV-007</v>
      </c>
      <c r="CF4" s="19" t="s">
        <v>80</v>
      </c>
      <c r="CG4" s="30" t="s">
        <v>128</v>
      </c>
      <c r="CH4" s="24">
        <v>1.0</v>
      </c>
      <c r="CI4" s="16" t="str">
        <f t="shared" si="18"/>
        <v>MOV-007</v>
      </c>
      <c r="CJ4" s="19" t="s">
        <v>80</v>
      </c>
      <c r="CK4" s="5"/>
      <c r="CL4" s="5"/>
      <c r="CM4" s="5"/>
      <c r="CN4" s="5"/>
      <c r="CO4" s="12" t="s">
        <v>129</v>
      </c>
      <c r="CP4" s="21">
        <v>0.0</v>
      </c>
      <c r="CQ4" s="16" t="str">
        <f t="shared" si="19"/>
        <v>MOV-008</v>
      </c>
      <c r="CR4" s="19" t="s">
        <v>83</v>
      </c>
      <c r="CS4" s="12" t="s">
        <v>130</v>
      </c>
      <c r="CT4" s="21">
        <v>0.0</v>
      </c>
      <c r="CU4" s="16" t="str">
        <f t="shared" si="20"/>
        <v>MOV-009</v>
      </c>
      <c r="CV4" s="14" t="s">
        <v>85</v>
      </c>
      <c r="CW4" s="31" t="s">
        <v>131</v>
      </c>
      <c r="CX4" s="32">
        <v>1.0</v>
      </c>
      <c r="CY4" s="16" t="str">
        <f t="shared" si="21"/>
        <v>MOV-009</v>
      </c>
      <c r="CZ4" s="14" t="s">
        <v>85</v>
      </c>
      <c r="DA4" s="5"/>
      <c r="DB4" s="5"/>
      <c r="DC4" s="5"/>
      <c r="DD4" s="5"/>
      <c r="DE4" s="5"/>
      <c r="DF4" s="5"/>
      <c r="DG4" s="5"/>
      <c r="DH4" s="5"/>
    </row>
    <row r="5" ht="15.75" customHeight="1">
      <c r="A5" s="8">
        <v>1424.0</v>
      </c>
      <c r="B5" s="9" t="s">
        <v>49</v>
      </c>
      <c r="C5" s="10" t="str">
        <f t="shared" si="1"/>
        <v>TK-04_BS VI MS</v>
      </c>
      <c r="D5" s="27" t="s">
        <v>132</v>
      </c>
      <c r="E5" s="28" t="s">
        <v>51</v>
      </c>
      <c r="F5" s="27" t="s">
        <v>110</v>
      </c>
      <c r="G5" s="13" t="s">
        <v>53</v>
      </c>
      <c r="H5" s="14">
        <v>0.0</v>
      </c>
      <c r="I5" s="15" t="s">
        <v>133</v>
      </c>
      <c r="J5" s="5"/>
      <c r="K5" s="16" t="str">
        <f t="shared" si="2"/>
        <v>TK-04</v>
      </c>
      <c r="L5" s="17" t="s">
        <v>55</v>
      </c>
      <c r="M5" s="5"/>
      <c r="N5" s="5"/>
      <c r="O5" s="15" t="s">
        <v>134</v>
      </c>
      <c r="P5" s="18">
        <v>0.0</v>
      </c>
      <c r="Q5" s="16" t="str">
        <f t="shared" si="3"/>
        <v>TK-04</v>
      </c>
      <c r="R5" s="17" t="s">
        <v>55</v>
      </c>
      <c r="S5" s="15" t="s">
        <v>135</v>
      </c>
      <c r="T5" s="18">
        <v>0.0</v>
      </c>
      <c r="U5" s="15" t="s">
        <v>136</v>
      </c>
      <c r="V5" s="18">
        <v>0.0</v>
      </c>
      <c r="W5" s="16" t="str">
        <f t="shared" si="4"/>
        <v>TK-04</v>
      </c>
      <c r="X5" s="17" t="s">
        <v>55</v>
      </c>
      <c r="Y5" s="15" t="s">
        <v>137</v>
      </c>
      <c r="Z5" s="18">
        <v>0.0</v>
      </c>
      <c r="AA5" s="16" t="str">
        <f t="shared" si="5"/>
        <v>LSW-04</v>
      </c>
      <c r="AB5" s="17" t="s">
        <v>60</v>
      </c>
      <c r="AC5" s="15" t="s">
        <v>138</v>
      </c>
      <c r="AD5" s="18">
        <v>0.0</v>
      </c>
      <c r="AE5" s="16" t="str">
        <f t="shared" si="6"/>
        <v>LSW-04</v>
      </c>
      <c r="AF5" s="17" t="s">
        <v>60</v>
      </c>
      <c r="AG5" s="15" t="s">
        <v>139</v>
      </c>
      <c r="AH5" s="18">
        <v>0.0</v>
      </c>
      <c r="AI5" s="16" t="str">
        <f t="shared" si="7"/>
        <v>LSW-04</v>
      </c>
      <c r="AJ5" s="17" t="s">
        <v>60</v>
      </c>
      <c r="AK5" s="15" t="s">
        <v>140</v>
      </c>
      <c r="AL5" s="18">
        <v>0.0</v>
      </c>
      <c r="AM5" s="16" t="str">
        <f t="shared" si="8"/>
        <v>RDR-04</v>
      </c>
      <c r="AN5" s="19" t="s">
        <v>64</v>
      </c>
      <c r="AO5" s="15" t="s">
        <v>141</v>
      </c>
      <c r="AP5" s="18">
        <v>0.0</v>
      </c>
      <c r="AQ5" s="16" t="str">
        <f t="shared" si="9"/>
        <v>RDR-04</v>
      </c>
      <c r="AR5" s="19" t="s">
        <v>64</v>
      </c>
      <c r="AS5" s="15" t="s">
        <v>142</v>
      </c>
      <c r="AT5" s="18">
        <v>0.0</v>
      </c>
      <c r="AU5" s="16" t="str">
        <f t="shared" si="10"/>
        <v>RDR-04</v>
      </c>
      <c r="AV5" s="19" t="s">
        <v>64</v>
      </c>
      <c r="AW5" s="15" t="s">
        <v>143</v>
      </c>
      <c r="AX5" s="18">
        <v>0.0</v>
      </c>
      <c r="AY5" s="16" t="str">
        <f t="shared" si="11"/>
        <v>ROSOV-10</v>
      </c>
      <c r="AZ5" s="19" t="s">
        <v>68</v>
      </c>
      <c r="BA5" s="15" t="s">
        <v>144</v>
      </c>
      <c r="BB5" s="18">
        <v>0.0</v>
      </c>
      <c r="BC5" s="16" t="str">
        <f t="shared" si="12"/>
        <v>ROSOV-10</v>
      </c>
      <c r="BD5" s="17" t="s">
        <v>70</v>
      </c>
      <c r="BE5" s="5"/>
      <c r="BF5" s="5"/>
      <c r="BG5" s="5"/>
      <c r="BH5" s="5"/>
      <c r="BI5" s="5"/>
      <c r="BJ5" s="5"/>
      <c r="BK5" s="5"/>
      <c r="BL5" s="5"/>
      <c r="BM5" s="12" t="s">
        <v>145</v>
      </c>
      <c r="BN5" s="18">
        <v>0.0</v>
      </c>
      <c r="BO5" s="16" t="str">
        <f t="shared" si="13"/>
        <v>ROSOV-11</v>
      </c>
      <c r="BP5" s="19" t="s">
        <v>72</v>
      </c>
      <c r="BQ5" s="12" t="s">
        <v>146</v>
      </c>
      <c r="BR5" s="21">
        <v>0.0</v>
      </c>
      <c r="BS5" s="16" t="str">
        <f t="shared" si="14"/>
        <v>ROSOV-11</v>
      </c>
      <c r="BT5" s="19" t="s">
        <v>74</v>
      </c>
      <c r="BU5" s="12" t="s">
        <v>147</v>
      </c>
      <c r="BV5" s="21">
        <v>0.0</v>
      </c>
      <c r="BW5" s="20" t="str">
        <f t="shared" si="15"/>
        <v>ROSOV-12</v>
      </c>
      <c r="BX5" s="29" t="s">
        <v>76</v>
      </c>
      <c r="BY5" s="12" t="s">
        <v>148</v>
      </c>
      <c r="BZ5" s="21">
        <v>0.0</v>
      </c>
      <c r="CA5" s="20" t="str">
        <f t="shared" si="16"/>
        <v>ROSOV-12</v>
      </c>
      <c r="CB5" s="14" t="s">
        <v>78</v>
      </c>
      <c r="CC5" s="15" t="s">
        <v>149</v>
      </c>
      <c r="CD5" s="21">
        <v>0.0</v>
      </c>
      <c r="CE5" s="16" t="str">
        <f t="shared" si="17"/>
        <v>MOV-010</v>
      </c>
      <c r="CF5" s="19" t="s">
        <v>80</v>
      </c>
      <c r="CG5" s="30" t="s">
        <v>150</v>
      </c>
      <c r="CH5" s="24">
        <v>1.0</v>
      </c>
      <c r="CI5" s="16" t="str">
        <f t="shared" si="18"/>
        <v>MOV-010</v>
      </c>
      <c r="CJ5" s="19" t="s">
        <v>80</v>
      </c>
      <c r="CK5" s="5"/>
      <c r="CL5" s="5"/>
      <c r="CM5" s="5"/>
      <c r="CN5" s="5"/>
      <c r="CO5" s="12" t="s">
        <v>151</v>
      </c>
      <c r="CP5" s="21">
        <v>0.0</v>
      </c>
      <c r="CQ5" s="16" t="str">
        <f t="shared" si="19"/>
        <v>MOV-011</v>
      </c>
      <c r="CR5" s="19" t="s">
        <v>83</v>
      </c>
      <c r="CS5" s="12" t="s">
        <v>152</v>
      </c>
      <c r="CT5" s="21">
        <v>0.0</v>
      </c>
      <c r="CU5" s="16" t="str">
        <f t="shared" si="20"/>
        <v>MOV-012</v>
      </c>
      <c r="CV5" s="14" t="s">
        <v>85</v>
      </c>
      <c r="CW5" s="31" t="s">
        <v>153</v>
      </c>
      <c r="CX5" s="32">
        <v>1.0</v>
      </c>
      <c r="CY5" s="16" t="str">
        <f t="shared" si="21"/>
        <v>MOV-012</v>
      </c>
      <c r="CZ5" s="14" t="s">
        <v>85</v>
      </c>
      <c r="DA5" s="5"/>
      <c r="DB5" s="5"/>
      <c r="DC5" s="5"/>
      <c r="DD5" s="5"/>
      <c r="DE5" s="5"/>
      <c r="DF5" s="5"/>
      <c r="DG5" s="5"/>
      <c r="DH5" s="5"/>
    </row>
    <row r="6" ht="15.75" customHeight="1">
      <c r="A6" s="8">
        <v>1424.0</v>
      </c>
      <c r="B6" s="9" t="s">
        <v>49</v>
      </c>
      <c r="C6" s="10" t="str">
        <f t="shared" si="1"/>
        <v>TK-05_ETHANOL</v>
      </c>
      <c r="D6" s="27" t="s">
        <v>154</v>
      </c>
      <c r="E6" s="28" t="s">
        <v>51</v>
      </c>
      <c r="F6" s="27" t="s">
        <v>155</v>
      </c>
      <c r="G6" s="13" t="s">
        <v>53</v>
      </c>
      <c r="H6" s="14">
        <v>0.0</v>
      </c>
      <c r="I6" s="15" t="s">
        <v>156</v>
      </c>
      <c r="J6" s="5"/>
      <c r="K6" s="16" t="str">
        <f t="shared" si="2"/>
        <v>TK-05</v>
      </c>
      <c r="L6" s="17" t="s">
        <v>55</v>
      </c>
      <c r="M6" s="5"/>
      <c r="N6" s="5"/>
      <c r="O6" s="15" t="s">
        <v>157</v>
      </c>
      <c r="P6" s="18">
        <v>0.0</v>
      </c>
      <c r="Q6" s="16" t="str">
        <f t="shared" si="3"/>
        <v>TK-05</v>
      </c>
      <c r="R6" s="17" t="s">
        <v>55</v>
      </c>
      <c r="S6" s="15" t="s">
        <v>158</v>
      </c>
      <c r="T6" s="18">
        <v>0.0</v>
      </c>
      <c r="U6" s="15" t="s">
        <v>159</v>
      </c>
      <c r="V6" s="18">
        <v>0.0</v>
      </c>
      <c r="W6" s="16" t="str">
        <f t="shared" si="4"/>
        <v>TK-05</v>
      </c>
      <c r="X6" s="17" t="s">
        <v>55</v>
      </c>
      <c r="Y6" s="15" t="s">
        <v>160</v>
      </c>
      <c r="Z6" s="18">
        <v>0.0</v>
      </c>
      <c r="AA6" s="16" t="str">
        <f t="shared" si="5"/>
        <v>LSW-05</v>
      </c>
      <c r="AB6" s="17" t="s">
        <v>60</v>
      </c>
      <c r="AC6" s="15" t="s">
        <v>161</v>
      </c>
      <c r="AD6" s="18">
        <v>0.0</v>
      </c>
      <c r="AE6" s="16" t="str">
        <f t="shared" si="6"/>
        <v>LSW-05</v>
      </c>
      <c r="AF6" s="17" t="s">
        <v>60</v>
      </c>
      <c r="AG6" s="15" t="s">
        <v>162</v>
      </c>
      <c r="AH6" s="18">
        <v>0.0</v>
      </c>
      <c r="AI6" s="16" t="str">
        <f t="shared" si="7"/>
        <v>LSW-05</v>
      </c>
      <c r="AJ6" s="17" t="s">
        <v>60</v>
      </c>
      <c r="AK6" s="15" t="s">
        <v>163</v>
      </c>
      <c r="AL6" s="18">
        <v>0.0</v>
      </c>
      <c r="AM6" s="16" t="str">
        <f t="shared" si="8"/>
        <v>RDR-05</v>
      </c>
      <c r="AN6" s="19" t="s">
        <v>64</v>
      </c>
      <c r="AO6" s="15" t="s">
        <v>164</v>
      </c>
      <c r="AP6" s="18">
        <v>0.0</v>
      </c>
      <c r="AQ6" s="16" t="str">
        <f t="shared" si="9"/>
        <v>RDR-05</v>
      </c>
      <c r="AR6" s="19" t="s">
        <v>64</v>
      </c>
      <c r="AS6" s="15" t="s">
        <v>165</v>
      </c>
      <c r="AT6" s="18">
        <v>0.0</v>
      </c>
      <c r="AU6" s="16" t="str">
        <f t="shared" si="10"/>
        <v>RDR-05</v>
      </c>
      <c r="AV6" s="19" t="s">
        <v>64</v>
      </c>
      <c r="AW6" s="15" t="s">
        <v>166</v>
      </c>
      <c r="AX6" s="18">
        <v>0.0</v>
      </c>
      <c r="AY6" s="16" t="str">
        <f t="shared" si="11"/>
        <v>ROSOV-13</v>
      </c>
      <c r="AZ6" s="19" t="s">
        <v>68</v>
      </c>
      <c r="BA6" s="15" t="s">
        <v>167</v>
      </c>
      <c r="BB6" s="18">
        <v>0.0</v>
      </c>
      <c r="BC6" s="16" t="str">
        <f t="shared" si="12"/>
        <v>ROSOV-13</v>
      </c>
      <c r="BD6" s="17" t="s">
        <v>70</v>
      </c>
      <c r="BE6" s="5"/>
      <c r="BF6" s="5"/>
      <c r="BG6" s="5"/>
      <c r="BH6" s="5"/>
      <c r="BI6" s="5"/>
      <c r="BJ6" s="5"/>
      <c r="BK6" s="5"/>
      <c r="BL6" s="5"/>
      <c r="BM6" s="12" t="s">
        <v>168</v>
      </c>
      <c r="BN6" s="18">
        <v>0.0</v>
      </c>
      <c r="BO6" s="16" t="str">
        <f t="shared" si="13"/>
        <v>ROSOV-14</v>
      </c>
      <c r="BP6" s="19" t="s">
        <v>72</v>
      </c>
      <c r="BQ6" s="12" t="s">
        <v>169</v>
      </c>
      <c r="BR6" s="21">
        <v>0.0</v>
      </c>
      <c r="BS6" s="16" t="str">
        <f t="shared" si="14"/>
        <v>ROSOV-14</v>
      </c>
      <c r="BT6" s="19" t="s">
        <v>74</v>
      </c>
      <c r="BU6" s="12" t="s">
        <v>170</v>
      </c>
      <c r="BV6" s="21">
        <v>0.0</v>
      </c>
      <c r="BW6" s="20" t="str">
        <f t="shared" si="15"/>
        <v>ROSOV-15</v>
      </c>
      <c r="BX6" s="29" t="s">
        <v>76</v>
      </c>
      <c r="BY6" s="12" t="s">
        <v>171</v>
      </c>
      <c r="BZ6" s="21">
        <v>0.0</v>
      </c>
      <c r="CA6" s="20" t="str">
        <f t="shared" si="16"/>
        <v>ROSOV-15</v>
      </c>
      <c r="CB6" s="14" t="s">
        <v>78</v>
      </c>
      <c r="CC6" s="15" t="s">
        <v>172</v>
      </c>
      <c r="CD6" s="21">
        <v>0.0</v>
      </c>
      <c r="CE6" s="16" t="str">
        <f t="shared" si="17"/>
        <v>MOV-013</v>
      </c>
      <c r="CF6" s="19" t="s">
        <v>80</v>
      </c>
      <c r="CG6" s="30" t="s">
        <v>173</v>
      </c>
      <c r="CH6" s="24">
        <v>1.0</v>
      </c>
      <c r="CI6" s="16" t="str">
        <f t="shared" si="18"/>
        <v>MOV-013</v>
      </c>
      <c r="CJ6" s="19" t="s">
        <v>80</v>
      </c>
      <c r="CK6" s="5"/>
      <c r="CL6" s="5"/>
      <c r="CM6" s="5"/>
      <c r="CN6" s="5"/>
      <c r="CO6" s="12" t="s">
        <v>174</v>
      </c>
      <c r="CP6" s="21">
        <v>0.0</v>
      </c>
      <c r="CQ6" s="16" t="str">
        <f t="shared" si="19"/>
        <v>MOV-014</v>
      </c>
      <c r="CR6" s="19" t="s">
        <v>83</v>
      </c>
      <c r="CS6" s="12" t="s">
        <v>175</v>
      </c>
      <c r="CT6" s="21">
        <v>0.0</v>
      </c>
      <c r="CU6" s="16" t="str">
        <f t="shared" si="20"/>
        <v>MOV-015</v>
      </c>
      <c r="CV6" s="14" t="s">
        <v>85</v>
      </c>
      <c r="CW6" s="31" t="s">
        <v>176</v>
      </c>
      <c r="CX6" s="32">
        <v>1.0</v>
      </c>
      <c r="CY6" s="16" t="str">
        <f t="shared" si="21"/>
        <v>MOV-015</v>
      </c>
      <c r="CZ6" s="14" t="s">
        <v>85</v>
      </c>
      <c r="DA6" s="5"/>
      <c r="DB6" s="5"/>
      <c r="DC6" s="5"/>
      <c r="DD6" s="5"/>
      <c r="DE6" s="5"/>
      <c r="DF6" s="5"/>
      <c r="DG6" s="5"/>
      <c r="DH6" s="5"/>
    </row>
    <row r="7" ht="15.75" customHeight="1">
      <c r="A7" s="8">
        <v>1424.0</v>
      </c>
      <c r="B7" s="9" t="s">
        <v>49</v>
      </c>
      <c r="C7" s="10" t="str">
        <f t="shared" si="1"/>
        <v>TK-06_WATER</v>
      </c>
      <c r="D7" s="27" t="s">
        <v>177</v>
      </c>
      <c r="E7" s="28" t="s">
        <v>51</v>
      </c>
      <c r="F7" s="27" t="s">
        <v>178</v>
      </c>
      <c r="G7" s="13" t="s">
        <v>53</v>
      </c>
      <c r="H7" s="14">
        <v>0.0</v>
      </c>
      <c r="I7" s="15" t="s">
        <v>179</v>
      </c>
      <c r="J7" s="5"/>
      <c r="K7" s="16" t="str">
        <f t="shared" si="2"/>
        <v>TK-06</v>
      </c>
      <c r="L7" s="17" t="s">
        <v>55</v>
      </c>
      <c r="M7" s="5"/>
      <c r="N7" s="5"/>
      <c r="O7" s="15" t="s">
        <v>180</v>
      </c>
      <c r="P7" s="18">
        <v>0.0</v>
      </c>
      <c r="Q7" s="16" t="str">
        <f t="shared" si="3"/>
        <v>TK-06</v>
      </c>
      <c r="R7" s="17" t="s">
        <v>55</v>
      </c>
      <c r="S7" s="15" t="s">
        <v>181</v>
      </c>
      <c r="T7" s="18">
        <v>0.0</v>
      </c>
      <c r="U7" s="15" t="s">
        <v>182</v>
      </c>
      <c r="V7" s="18">
        <v>0.0</v>
      </c>
      <c r="W7" s="16" t="str">
        <f t="shared" si="4"/>
        <v>TK-06</v>
      </c>
      <c r="X7" s="17" t="s">
        <v>55</v>
      </c>
      <c r="Y7" s="5"/>
      <c r="Z7" s="5"/>
      <c r="AA7" s="16" t="str">
        <f t="shared" si="5"/>
        <v/>
      </c>
      <c r="AB7" s="5"/>
      <c r="AC7" s="5"/>
      <c r="AD7" s="5"/>
      <c r="AE7" s="5"/>
      <c r="AF7" s="5"/>
      <c r="AG7" s="5"/>
      <c r="AH7" s="5"/>
      <c r="AI7" s="5"/>
      <c r="AJ7" s="5"/>
      <c r="AK7" s="15" t="s">
        <v>183</v>
      </c>
      <c r="AL7" s="18">
        <v>0.0</v>
      </c>
      <c r="AM7" s="16" t="str">
        <f t="shared" si="8"/>
        <v>RDR-06</v>
      </c>
      <c r="AN7" s="19" t="s">
        <v>64</v>
      </c>
      <c r="AO7" s="15" t="s">
        <v>184</v>
      </c>
      <c r="AP7" s="18">
        <v>0.0</v>
      </c>
      <c r="AQ7" s="16" t="str">
        <f t="shared" si="9"/>
        <v>RDR-06</v>
      </c>
      <c r="AR7" s="19" t="s">
        <v>64</v>
      </c>
      <c r="AS7" s="15" t="s">
        <v>185</v>
      </c>
      <c r="AT7" s="18">
        <v>0.0</v>
      </c>
      <c r="AU7" s="16" t="str">
        <f t="shared" si="10"/>
        <v>RDR-06</v>
      </c>
      <c r="AV7" s="19" t="s">
        <v>64</v>
      </c>
      <c r="AW7" s="5"/>
      <c r="AX7" s="5"/>
      <c r="AY7" s="16" t="str">
        <f t="shared" si="11"/>
        <v/>
      </c>
      <c r="AZ7" s="5"/>
      <c r="BA7" s="5"/>
      <c r="BB7" s="5"/>
      <c r="BC7" s="16" t="str">
        <f t="shared" si="12"/>
        <v/>
      </c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16" t="str">
        <f t="shared" si="13"/>
        <v/>
      </c>
      <c r="BP7" s="5"/>
      <c r="BQ7" s="5"/>
      <c r="BR7" s="5"/>
      <c r="BS7" s="16" t="str">
        <f t="shared" si="14"/>
        <v/>
      </c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16" t="str">
        <f t="shared" si="17"/>
        <v/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33"/>
    </row>
    <row r="8" ht="15.75" customHeight="1">
      <c r="A8" s="8">
        <v>1424.0</v>
      </c>
      <c r="B8" s="9" t="s">
        <v>49</v>
      </c>
      <c r="C8" s="10" t="str">
        <f t="shared" si="1"/>
        <v>TK-07_WATER</v>
      </c>
      <c r="D8" s="27" t="s">
        <v>186</v>
      </c>
      <c r="E8" s="28" t="s">
        <v>51</v>
      </c>
      <c r="F8" s="27" t="s">
        <v>178</v>
      </c>
      <c r="G8" s="13" t="s">
        <v>53</v>
      </c>
      <c r="H8" s="14">
        <v>0.0</v>
      </c>
      <c r="I8" s="15" t="s">
        <v>187</v>
      </c>
      <c r="J8" s="5"/>
      <c r="K8" s="16" t="str">
        <f t="shared" si="2"/>
        <v>TK-07</v>
      </c>
      <c r="L8" s="17" t="s">
        <v>55</v>
      </c>
      <c r="M8" s="5"/>
      <c r="N8" s="5"/>
      <c r="O8" s="15" t="s">
        <v>188</v>
      </c>
      <c r="P8" s="18">
        <v>0.0</v>
      </c>
      <c r="Q8" s="16" t="str">
        <f t="shared" si="3"/>
        <v>TK-07</v>
      </c>
      <c r="R8" s="17" t="s">
        <v>55</v>
      </c>
      <c r="S8" s="15" t="s">
        <v>189</v>
      </c>
      <c r="T8" s="18">
        <v>0.0</v>
      </c>
      <c r="U8" s="15" t="s">
        <v>190</v>
      </c>
      <c r="V8" s="18">
        <v>0.0</v>
      </c>
      <c r="W8" s="16" t="str">
        <f t="shared" si="4"/>
        <v>TK-07</v>
      </c>
      <c r="X8" s="17" t="s">
        <v>55</v>
      </c>
      <c r="Y8" s="5"/>
      <c r="Z8" s="5"/>
      <c r="AA8" s="16" t="str">
        <f t="shared" si="5"/>
        <v/>
      </c>
      <c r="AB8" s="5"/>
      <c r="AC8" s="5"/>
      <c r="AD8" s="5"/>
      <c r="AE8" s="5"/>
      <c r="AF8" s="5"/>
      <c r="AG8" s="5"/>
      <c r="AH8" s="5"/>
      <c r="AI8" s="5"/>
      <c r="AJ8" s="5"/>
      <c r="AK8" s="15" t="s">
        <v>191</v>
      </c>
      <c r="AL8" s="18">
        <v>0.0</v>
      </c>
      <c r="AM8" s="16" t="str">
        <f t="shared" si="8"/>
        <v>RDR-07</v>
      </c>
      <c r="AN8" s="19" t="s">
        <v>64</v>
      </c>
      <c r="AO8" s="15" t="s">
        <v>192</v>
      </c>
      <c r="AP8" s="18">
        <v>0.0</v>
      </c>
      <c r="AQ8" s="16" t="str">
        <f t="shared" si="9"/>
        <v>RDR-07</v>
      </c>
      <c r="AR8" s="19" t="s">
        <v>64</v>
      </c>
      <c r="AS8" s="15" t="s">
        <v>193</v>
      </c>
      <c r="AT8" s="18">
        <v>0.0</v>
      </c>
      <c r="AU8" s="16" t="str">
        <f t="shared" si="10"/>
        <v>RDR-07</v>
      </c>
      <c r="AV8" s="19" t="s">
        <v>64</v>
      </c>
      <c r="AW8" s="5"/>
      <c r="AX8" s="5"/>
      <c r="AY8" s="16" t="str">
        <f t="shared" si="11"/>
        <v/>
      </c>
      <c r="AZ8" s="5"/>
      <c r="BA8" s="5"/>
      <c r="BB8" s="5"/>
      <c r="BC8" s="16" t="str">
        <f t="shared" si="12"/>
        <v/>
      </c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16" t="str">
        <f t="shared" si="13"/>
        <v/>
      </c>
      <c r="BP8" s="5"/>
      <c r="BQ8" s="5"/>
      <c r="BR8" s="5"/>
      <c r="BS8" s="16" t="str">
        <f t="shared" si="14"/>
        <v/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16" t="str">
        <f t="shared" si="17"/>
        <v/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33"/>
    </row>
    <row r="9" ht="15.75" customHeight="1">
      <c r="A9" s="8">
        <v>1424.0</v>
      </c>
      <c r="B9" s="9" t="s">
        <v>49</v>
      </c>
      <c r="C9" s="10" t="str">
        <f t="shared" si="1"/>
        <v>TK-08_FO</v>
      </c>
      <c r="D9" s="27" t="s">
        <v>194</v>
      </c>
      <c r="E9" s="28" t="s">
        <v>51</v>
      </c>
      <c r="F9" s="27" t="s">
        <v>195</v>
      </c>
      <c r="G9" s="13" t="s">
        <v>53</v>
      </c>
      <c r="H9" s="14">
        <v>0.0</v>
      </c>
      <c r="I9" s="15" t="s">
        <v>196</v>
      </c>
      <c r="J9" s="5"/>
      <c r="K9" s="16" t="str">
        <f t="shared" si="2"/>
        <v>TK-08</v>
      </c>
      <c r="L9" s="17" t="s">
        <v>55</v>
      </c>
      <c r="M9" s="5"/>
      <c r="N9" s="5"/>
      <c r="O9" s="15" t="s">
        <v>197</v>
      </c>
      <c r="P9" s="18">
        <v>0.0</v>
      </c>
      <c r="Q9" s="16" t="str">
        <f t="shared" si="3"/>
        <v>TK-08</v>
      </c>
      <c r="R9" s="17" t="s">
        <v>55</v>
      </c>
      <c r="S9" s="15" t="s">
        <v>198</v>
      </c>
      <c r="T9" s="18">
        <v>0.0</v>
      </c>
      <c r="U9" s="15" t="s">
        <v>199</v>
      </c>
      <c r="V9" s="18">
        <v>0.0</v>
      </c>
      <c r="W9" s="16" t="str">
        <f t="shared" si="4"/>
        <v>TK-08</v>
      </c>
      <c r="X9" s="17" t="s">
        <v>55</v>
      </c>
      <c r="Y9" s="5"/>
      <c r="Z9" s="5"/>
      <c r="AA9" s="16" t="str">
        <f t="shared" si="5"/>
        <v/>
      </c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16" t="str">
        <f t="shared" si="8"/>
        <v/>
      </c>
      <c r="AN9" s="5"/>
      <c r="AO9" s="5"/>
      <c r="AP9" s="5"/>
      <c r="AQ9" s="16" t="str">
        <f t="shared" si="9"/>
        <v/>
      </c>
      <c r="AR9" s="5"/>
      <c r="AS9" s="5"/>
      <c r="AT9" s="5"/>
      <c r="AU9" s="16" t="str">
        <f t="shared" si="10"/>
        <v/>
      </c>
      <c r="AV9" s="5"/>
      <c r="AW9" s="5"/>
      <c r="AX9" s="5"/>
      <c r="AY9" s="16" t="str">
        <f t="shared" si="11"/>
        <v/>
      </c>
      <c r="AZ9" s="5"/>
      <c r="BA9" s="5"/>
      <c r="BB9" s="5"/>
      <c r="BC9" s="16" t="str">
        <f t="shared" si="12"/>
        <v/>
      </c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16" t="str">
        <f t="shared" si="13"/>
        <v/>
      </c>
      <c r="BP9" s="5"/>
      <c r="BQ9" s="5"/>
      <c r="BR9" s="5"/>
      <c r="BS9" s="16" t="str">
        <f t="shared" si="14"/>
        <v/>
      </c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16" t="str">
        <f t="shared" si="17"/>
        <v/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33"/>
    </row>
    <row r="10" ht="15.75" customHeight="1">
      <c r="A10" s="8">
        <v>1424.0</v>
      </c>
      <c r="B10" s="9" t="s">
        <v>49</v>
      </c>
      <c r="C10" s="10" t="str">
        <f t="shared" si="1"/>
        <v>TK-09_FO</v>
      </c>
      <c r="D10" s="27" t="s">
        <v>200</v>
      </c>
      <c r="E10" s="28" t="s">
        <v>51</v>
      </c>
      <c r="F10" s="27" t="s">
        <v>195</v>
      </c>
      <c r="G10" s="13" t="s">
        <v>53</v>
      </c>
      <c r="H10" s="14">
        <v>0.0</v>
      </c>
      <c r="I10" s="15" t="s">
        <v>201</v>
      </c>
      <c r="J10" s="5"/>
      <c r="K10" s="16" t="str">
        <f t="shared" si="2"/>
        <v>TK-09</v>
      </c>
      <c r="L10" s="17" t="s">
        <v>55</v>
      </c>
      <c r="M10" s="5"/>
      <c r="N10" s="5"/>
      <c r="O10" s="15" t="s">
        <v>202</v>
      </c>
      <c r="P10" s="18">
        <v>0.0</v>
      </c>
      <c r="Q10" s="16" t="str">
        <f t="shared" si="3"/>
        <v>TK-09</v>
      </c>
      <c r="R10" s="17" t="s">
        <v>55</v>
      </c>
      <c r="S10" s="15" t="s">
        <v>203</v>
      </c>
      <c r="T10" s="18">
        <v>0.0</v>
      </c>
      <c r="U10" s="15" t="s">
        <v>204</v>
      </c>
      <c r="V10" s="18">
        <v>0.0</v>
      </c>
      <c r="W10" s="16" t="str">
        <f t="shared" si="4"/>
        <v>TK-09</v>
      </c>
      <c r="X10" s="17" t="s">
        <v>55</v>
      </c>
      <c r="Y10" s="5"/>
      <c r="Z10" s="5"/>
      <c r="AA10" s="16" t="str">
        <f t="shared" si="5"/>
        <v/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16" t="str">
        <f t="shared" si="8"/>
        <v/>
      </c>
      <c r="AN10" s="5"/>
      <c r="AO10" s="5"/>
      <c r="AP10" s="5"/>
      <c r="AQ10" s="16" t="str">
        <f t="shared" si="9"/>
        <v/>
      </c>
      <c r="AR10" s="5"/>
      <c r="AS10" s="5"/>
      <c r="AT10" s="5"/>
      <c r="AU10" s="16" t="str">
        <f t="shared" si="10"/>
        <v/>
      </c>
      <c r="AV10" s="5"/>
      <c r="AW10" s="5"/>
      <c r="AX10" s="5"/>
      <c r="AY10" s="16" t="str">
        <f t="shared" si="11"/>
        <v/>
      </c>
      <c r="AZ10" s="5"/>
      <c r="BA10" s="5"/>
      <c r="BB10" s="5"/>
      <c r="BC10" s="16" t="str">
        <f t="shared" si="12"/>
        <v/>
      </c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16" t="str">
        <f t="shared" si="13"/>
        <v/>
      </c>
      <c r="BP10" s="5"/>
      <c r="BQ10" s="5"/>
      <c r="BR10" s="5"/>
      <c r="BS10" s="16" t="str">
        <f t="shared" si="14"/>
        <v/>
      </c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16" t="str">
        <f t="shared" si="17"/>
        <v/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33"/>
    </row>
    <row r="11" ht="15.75" customHeight="1">
      <c r="A11" s="8">
        <v>1424.0</v>
      </c>
      <c r="B11" s="9" t="s">
        <v>49</v>
      </c>
      <c r="C11" s="10" t="str">
        <f t="shared" si="1"/>
        <v>TK-10_BS VI MS</v>
      </c>
      <c r="D11" s="27" t="s">
        <v>205</v>
      </c>
      <c r="E11" s="34" t="s">
        <v>206</v>
      </c>
      <c r="F11" s="27" t="s">
        <v>110</v>
      </c>
      <c r="G11" s="13" t="s">
        <v>53</v>
      </c>
      <c r="H11" s="14">
        <v>0.0</v>
      </c>
      <c r="I11" s="15" t="s">
        <v>207</v>
      </c>
      <c r="J11" s="5"/>
      <c r="K11" s="16" t="str">
        <f t="shared" si="2"/>
        <v>TK-10</v>
      </c>
      <c r="L11" s="17" t="s">
        <v>55</v>
      </c>
      <c r="M11" s="5"/>
      <c r="N11" s="5"/>
      <c r="O11" s="15" t="s">
        <v>208</v>
      </c>
      <c r="P11" s="18">
        <v>0.0</v>
      </c>
      <c r="Q11" s="16" t="str">
        <f t="shared" si="3"/>
        <v>TK-10</v>
      </c>
      <c r="R11" s="17" t="s">
        <v>55</v>
      </c>
      <c r="S11" s="15" t="s">
        <v>209</v>
      </c>
      <c r="T11" s="18">
        <v>0.0</v>
      </c>
      <c r="U11" s="15" t="s">
        <v>210</v>
      </c>
      <c r="V11" s="18">
        <v>0.0</v>
      </c>
      <c r="W11" s="16" t="str">
        <f t="shared" si="4"/>
        <v>TK-10</v>
      </c>
      <c r="X11" s="17" t="s">
        <v>55</v>
      </c>
      <c r="Y11" s="5"/>
      <c r="Z11" s="5"/>
      <c r="AA11" s="16" t="str">
        <f t="shared" si="5"/>
        <v/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16" t="str">
        <f t="shared" si="8"/>
        <v/>
      </c>
      <c r="AN11" s="5"/>
      <c r="AO11" s="5"/>
      <c r="AP11" s="5"/>
      <c r="AQ11" s="16" t="str">
        <f t="shared" si="9"/>
        <v/>
      </c>
      <c r="AR11" s="5"/>
      <c r="AS11" s="5"/>
      <c r="AT11" s="5"/>
      <c r="AU11" s="16" t="str">
        <f t="shared" si="10"/>
        <v/>
      </c>
      <c r="AV11" s="5"/>
      <c r="AW11" s="5"/>
      <c r="AX11" s="5"/>
      <c r="AY11" s="16" t="str">
        <f t="shared" si="11"/>
        <v/>
      </c>
      <c r="AZ11" s="5"/>
      <c r="BA11" s="5"/>
      <c r="BB11" s="5"/>
      <c r="BC11" s="16" t="str">
        <f t="shared" si="12"/>
        <v/>
      </c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16" t="str">
        <f t="shared" si="13"/>
        <v/>
      </c>
      <c r="BP11" s="5"/>
      <c r="BQ11" s="5"/>
      <c r="BR11" s="5"/>
      <c r="BS11" s="16" t="str">
        <f t="shared" si="14"/>
        <v/>
      </c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16" t="str">
        <f t="shared" si="17"/>
        <v/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33"/>
    </row>
    <row r="12" ht="15.75" customHeight="1">
      <c r="A12" s="8">
        <v>1424.0</v>
      </c>
      <c r="B12" s="9" t="s">
        <v>49</v>
      </c>
      <c r="C12" s="10" t="str">
        <f t="shared" si="1"/>
        <v>TK-11_ETHANOL</v>
      </c>
      <c r="D12" s="27" t="s">
        <v>211</v>
      </c>
      <c r="E12" s="34" t="s">
        <v>206</v>
      </c>
      <c r="F12" s="27" t="s">
        <v>155</v>
      </c>
      <c r="G12" s="13" t="s">
        <v>53</v>
      </c>
      <c r="H12" s="14">
        <v>0.0</v>
      </c>
      <c r="I12" s="15" t="s">
        <v>212</v>
      </c>
      <c r="J12" s="5"/>
      <c r="K12" s="16" t="str">
        <f t="shared" si="2"/>
        <v>TK-11</v>
      </c>
      <c r="L12" s="17" t="s">
        <v>55</v>
      </c>
      <c r="M12" s="5"/>
      <c r="N12" s="5"/>
      <c r="O12" s="15" t="s">
        <v>213</v>
      </c>
      <c r="P12" s="18">
        <v>0.0</v>
      </c>
      <c r="Q12" s="16" t="str">
        <f t="shared" si="3"/>
        <v>TK-11</v>
      </c>
      <c r="R12" s="17" t="s">
        <v>55</v>
      </c>
      <c r="S12" s="15" t="s">
        <v>214</v>
      </c>
      <c r="T12" s="18">
        <v>0.0</v>
      </c>
      <c r="U12" s="15" t="s">
        <v>215</v>
      </c>
      <c r="V12" s="18">
        <v>0.0</v>
      </c>
      <c r="W12" s="16" t="str">
        <f t="shared" si="4"/>
        <v>TK-11</v>
      </c>
      <c r="X12" s="17" t="s">
        <v>55</v>
      </c>
      <c r="Y12" s="5"/>
      <c r="Z12" s="5"/>
      <c r="AA12" s="16" t="str">
        <f t="shared" si="5"/>
        <v/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16" t="str">
        <f t="shared" si="8"/>
        <v/>
      </c>
      <c r="AN12" s="5"/>
      <c r="AO12" s="5"/>
      <c r="AP12" s="5"/>
      <c r="AQ12" s="16" t="str">
        <f t="shared" si="9"/>
        <v/>
      </c>
      <c r="AR12" s="5"/>
      <c r="AS12" s="5"/>
      <c r="AT12" s="5"/>
      <c r="AU12" s="16" t="str">
        <f t="shared" si="10"/>
        <v/>
      </c>
      <c r="AV12" s="5"/>
      <c r="AW12" s="5"/>
      <c r="AX12" s="5"/>
      <c r="AY12" s="16" t="str">
        <f t="shared" si="11"/>
        <v/>
      </c>
      <c r="AZ12" s="5"/>
      <c r="BA12" s="5"/>
      <c r="BB12" s="5"/>
      <c r="BC12" s="16" t="str">
        <f t="shared" si="12"/>
        <v/>
      </c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16" t="str">
        <f t="shared" si="13"/>
        <v/>
      </c>
      <c r="BP12" s="5"/>
      <c r="BQ12" s="5"/>
      <c r="BR12" s="5"/>
      <c r="BS12" s="16" t="str">
        <f t="shared" si="14"/>
        <v/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16" t="str">
        <f t="shared" si="17"/>
        <v/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33"/>
    </row>
    <row r="13" ht="15.75" customHeight="1">
      <c r="A13" s="8">
        <v>1424.0</v>
      </c>
      <c r="B13" s="9" t="s">
        <v>49</v>
      </c>
      <c r="C13" s="10" t="str">
        <f t="shared" si="1"/>
        <v>TK-12_BS VI HSD</v>
      </c>
      <c r="D13" s="27" t="s">
        <v>216</v>
      </c>
      <c r="E13" s="34" t="s">
        <v>206</v>
      </c>
      <c r="F13" s="27" t="s">
        <v>52</v>
      </c>
      <c r="G13" s="13" t="s">
        <v>53</v>
      </c>
      <c r="H13" s="14">
        <v>0.0</v>
      </c>
      <c r="I13" s="15" t="s">
        <v>217</v>
      </c>
      <c r="J13" s="5"/>
      <c r="K13" s="16" t="str">
        <f t="shared" si="2"/>
        <v>TK-12</v>
      </c>
      <c r="L13" s="17" t="s">
        <v>55</v>
      </c>
      <c r="M13" s="5"/>
      <c r="N13" s="5"/>
      <c r="O13" s="15" t="s">
        <v>218</v>
      </c>
      <c r="P13" s="18">
        <v>0.0</v>
      </c>
      <c r="Q13" s="16" t="str">
        <f t="shared" si="3"/>
        <v>TK-12</v>
      </c>
      <c r="R13" s="17" t="s">
        <v>55</v>
      </c>
      <c r="S13" s="15" t="s">
        <v>219</v>
      </c>
      <c r="T13" s="18">
        <v>0.0</v>
      </c>
      <c r="U13" s="15" t="s">
        <v>220</v>
      </c>
      <c r="V13" s="18">
        <v>0.0</v>
      </c>
      <c r="W13" s="16" t="str">
        <f t="shared" si="4"/>
        <v>TK-12</v>
      </c>
      <c r="X13" s="17" t="s">
        <v>55</v>
      </c>
      <c r="Y13" s="5"/>
      <c r="Z13" s="5"/>
      <c r="AA13" s="16" t="str">
        <f t="shared" si="5"/>
        <v/>
      </c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16" t="str">
        <f t="shared" si="8"/>
        <v/>
      </c>
      <c r="AN13" s="5"/>
      <c r="AO13" s="5"/>
      <c r="AP13" s="5"/>
      <c r="AQ13" s="16" t="str">
        <f t="shared" si="9"/>
        <v/>
      </c>
      <c r="AR13" s="5"/>
      <c r="AS13" s="5"/>
      <c r="AT13" s="5"/>
      <c r="AU13" s="16" t="str">
        <f t="shared" si="10"/>
        <v/>
      </c>
      <c r="AV13" s="5"/>
      <c r="AW13" s="5"/>
      <c r="AX13" s="5"/>
      <c r="AY13" s="16" t="str">
        <f t="shared" si="11"/>
        <v/>
      </c>
      <c r="AZ13" s="5"/>
      <c r="BA13" s="5"/>
      <c r="BB13" s="5"/>
      <c r="BC13" s="16" t="str">
        <f t="shared" si="12"/>
        <v/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16" t="str">
        <f t="shared" si="13"/>
        <v/>
      </c>
      <c r="BP13" s="5"/>
      <c r="BQ13" s="5"/>
      <c r="BR13" s="5"/>
      <c r="BS13" s="16" t="str">
        <f t="shared" si="14"/>
        <v/>
      </c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16" t="str">
        <f t="shared" si="17"/>
        <v/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33"/>
    </row>
    <row r="14" ht="15.75" customHeight="1">
      <c r="A14" s="8">
        <v>1424.0</v>
      </c>
      <c r="B14" s="9" t="s">
        <v>49</v>
      </c>
      <c r="C14" s="10" t="str">
        <f t="shared" si="1"/>
        <v>TK-13_ETHANOL</v>
      </c>
      <c r="D14" s="27" t="s">
        <v>221</v>
      </c>
      <c r="E14" s="34" t="s">
        <v>206</v>
      </c>
      <c r="F14" s="27" t="s">
        <v>155</v>
      </c>
      <c r="G14" s="13" t="s">
        <v>53</v>
      </c>
      <c r="H14" s="14">
        <v>0.0</v>
      </c>
      <c r="I14" s="15" t="s">
        <v>222</v>
      </c>
      <c r="J14" s="5"/>
      <c r="K14" s="16" t="str">
        <f t="shared" si="2"/>
        <v>TK-13</v>
      </c>
      <c r="L14" s="17" t="s">
        <v>55</v>
      </c>
      <c r="M14" s="5"/>
      <c r="N14" s="5"/>
      <c r="O14" s="15" t="s">
        <v>223</v>
      </c>
      <c r="P14" s="18">
        <v>0.0</v>
      </c>
      <c r="Q14" s="16" t="str">
        <f t="shared" si="3"/>
        <v>TK-13</v>
      </c>
      <c r="R14" s="17" t="s">
        <v>55</v>
      </c>
      <c r="S14" s="15" t="s">
        <v>224</v>
      </c>
      <c r="T14" s="18">
        <v>0.0</v>
      </c>
      <c r="U14" s="15" t="s">
        <v>225</v>
      </c>
      <c r="V14" s="18">
        <v>0.0</v>
      </c>
      <c r="W14" s="16" t="str">
        <f t="shared" si="4"/>
        <v>TK-13</v>
      </c>
      <c r="X14" s="17" t="s">
        <v>55</v>
      </c>
      <c r="Y14" s="5"/>
      <c r="Z14" s="5"/>
      <c r="AA14" s="16" t="str">
        <f t="shared" si="5"/>
        <v/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16" t="str">
        <f t="shared" si="8"/>
        <v/>
      </c>
      <c r="AN14" s="5"/>
      <c r="AO14" s="5"/>
      <c r="AP14" s="5"/>
      <c r="AQ14" s="16" t="str">
        <f t="shared" si="9"/>
        <v/>
      </c>
      <c r="AR14" s="5"/>
      <c r="AS14" s="5"/>
      <c r="AT14" s="5"/>
      <c r="AU14" s="16" t="str">
        <f t="shared" si="10"/>
        <v/>
      </c>
      <c r="AV14" s="5"/>
      <c r="AW14" s="5"/>
      <c r="AX14" s="5"/>
      <c r="AY14" s="16" t="str">
        <f t="shared" si="11"/>
        <v/>
      </c>
      <c r="AZ14" s="5"/>
      <c r="BA14" s="5"/>
      <c r="BB14" s="5"/>
      <c r="BC14" s="16" t="str">
        <f t="shared" si="12"/>
        <v/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16" t="str">
        <f t="shared" si="13"/>
        <v/>
      </c>
      <c r="BP14" s="5"/>
      <c r="BQ14" s="5"/>
      <c r="BR14" s="5"/>
      <c r="BS14" s="16" t="str">
        <f t="shared" si="14"/>
        <v/>
      </c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16" t="str">
        <f t="shared" si="17"/>
        <v/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33"/>
    </row>
    <row r="15" ht="15.75" customHeight="1">
      <c r="A15" s="8">
        <v>1424.0</v>
      </c>
      <c r="B15" s="9" t="s">
        <v>49</v>
      </c>
      <c r="C15" s="10" t="str">
        <f t="shared" si="1"/>
        <v>TK-14_ETHANOL</v>
      </c>
      <c r="D15" s="27" t="s">
        <v>226</v>
      </c>
      <c r="E15" s="34" t="s">
        <v>206</v>
      </c>
      <c r="F15" s="27" t="s">
        <v>155</v>
      </c>
      <c r="G15" s="13" t="s">
        <v>53</v>
      </c>
      <c r="H15" s="14">
        <v>0.0</v>
      </c>
      <c r="I15" s="15" t="s">
        <v>227</v>
      </c>
      <c r="J15" s="5"/>
      <c r="K15" s="16" t="str">
        <f t="shared" si="2"/>
        <v>TK-14</v>
      </c>
      <c r="L15" s="17" t="s">
        <v>55</v>
      </c>
      <c r="M15" s="5"/>
      <c r="N15" s="5"/>
      <c r="O15" s="15" t="s">
        <v>228</v>
      </c>
      <c r="P15" s="18">
        <v>0.0</v>
      </c>
      <c r="Q15" s="16" t="str">
        <f t="shared" si="3"/>
        <v>TK-14</v>
      </c>
      <c r="R15" s="17" t="s">
        <v>55</v>
      </c>
      <c r="S15" s="15" t="s">
        <v>229</v>
      </c>
      <c r="T15" s="18">
        <v>0.0</v>
      </c>
      <c r="U15" s="15" t="s">
        <v>230</v>
      </c>
      <c r="V15" s="18">
        <v>0.0</v>
      </c>
      <c r="W15" s="16" t="str">
        <f t="shared" si="4"/>
        <v>TK-14</v>
      </c>
      <c r="X15" s="17" t="s">
        <v>55</v>
      </c>
      <c r="Y15" s="5"/>
      <c r="Z15" s="5"/>
      <c r="AA15" s="16" t="str">
        <f t="shared" si="5"/>
        <v/>
      </c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16" t="str">
        <f t="shared" si="8"/>
        <v/>
      </c>
      <c r="AN15" s="5"/>
      <c r="AO15" s="5"/>
      <c r="AP15" s="5"/>
      <c r="AQ15" s="16" t="str">
        <f t="shared" si="9"/>
        <v/>
      </c>
      <c r="AR15" s="5"/>
      <c r="AS15" s="5"/>
      <c r="AT15" s="5"/>
      <c r="AU15" s="16" t="str">
        <f t="shared" si="10"/>
        <v/>
      </c>
      <c r="AV15" s="5"/>
      <c r="AW15" s="5"/>
      <c r="AX15" s="5"/>
      <c r="AY15" s="16" t="str">
        <f t="shared" si="11"/>
        <v/>
      </c>
      <c r="AZ15" s="5"/>
      <c r="BA15" s="5"/>
      <c r="BB15" s="5"/>
      <c r="BC15" s="16" t="str">
        <f t="shared" si="12"/>
        <v/>
      </c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16" t="str">
        <f t="shared" si="13"/>
        <v/>
      </c>
      <c r="BP15" s="5"/>
      <c r="BQ15" s="5"/>
      <c r="BR15" s="5"/>
      <c r="BS15" s="16" t="str">
        <f t="shared" si="14"/>
        <v/>
      </c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16" t="str">
        <f t="shared" si="17"/>
        <v/>
      </c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33"/>
    </row>
    <row r="16" ht="15.75" customHeight="1">
      <c r="A16" s="8">
        <v>1424.0</v>
      </c>
      <c r="B16" s="9" t="s">
        <v>49</v>
      </c>
      <c r="C16" s="10" t="str">
        <f t="shared" si="1"/>
        <v>TK-15_ETHANOL</v>
      </c>
      <c r="D16" s="27" t="s">
        <v>231</v>
      </c>
      <c r="E16" s="34" t="s">
        <v>206</v>
      </c>
      <c r="F16" s="27" t="s">
        <v>155</v>
      </c>
      <c r="G16" s="13" t="s">
        <v>53</v>
      </c>
      <c r="H16" s="14">
        <v>0.0</v>
      </c>
      <c r="I16" s="15" t="s">
        <v>232</v>
      </c>
      <c r="J16" s="5"/>
      <c r="K16" s="16" t="str">
        <f t="shared" si="2"/>
        <v>TK-15</v>
      </c>
      <c r="L16" s="17" t="s">
        <v>55</v>
      </c>
      <c r="M16" s="5"/>
      <c r="N16" s="5"/>
      <c r="O16" s="15" t="s">
        <v>233</v>
      </c>
      <c r="P16" s="18">
        <v>0.0</v>
      </c>
      <c r="Q16" s="16" t="str">
        <f t="shared" si="3"/>
        <v>TK-15</v>
      </c>
      <c r="R16" s="17" t="s">
        <v>55</v>
      </c>
      <c r="S16" s="15" t="s">
        <v>234</v>
      </c>
      <c r="T16" s="18">
        <v>0.0</v>
      </c>
      <c r="U16" s="15" t="s">
        <v>235</v>
      </c>
      <c r="V16" s="18">
        <v>0.0</v>
      </c>
      <c r="W16" s="16" t="str">
        <f t="shared" si="4"/>
        <v>TK-15</v>
      </c>
      <c r="X16" s="17" t="s">
        <v>55</v>
      </c>
      <c r="Y16" s="5"/>
      <c r="Z16" s="5"/>
      <c r="AA16" s="16" t="str">
        <f t="shared" si="5"/>
        <v/>
      </c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16" t="str">
        <f t="shared" si="8"/>
        <v/>
      </c>
      <c r="AN16" s="5"/>
      <c r="AO16" s="5"/>
      <c r="AP16" s="5"/>
      <c r="AQ16" s="16" t="str">
        <f t="shared" si="9"/>
        <v/>
      </c>
      <c r="AR16" s="5"/>
      <c r="AS16" s="5"/>
      <c r="AT16" s="5"/>
      <c r="AU16" s="16" t="str">
        <f t="shared" si="10"/>
        <v/>
      </c>
      <c r="AV16" s="5"/>
      <c r="AW16" s="5"/>
      <c r="AX16" s="5"/>
      <c r="AY16" s="16" t="str">
        <f t="shared" si="11"/>
        <v/>
      </c>
      <c r="AZ16" s="5"/>
      <c r="BA16" s="5"/>
      <c r="BB16" s="5"/>
      <c r="BC16" s="16" t="str">
        <f t="shared" si="12"/>
        <v/>
      </c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16" t="str">
        <f t="shared" si="13"/>
        <v/>
      </c>
      <c r="BP16" s="5"/>
      <c r="BQ16" s="5"/>
      <c r="BR16" s="5"/>
      <c r="BS16" s="16" t="str">
        <f t="shared" si="14"/>
        <v/>
      </c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16" t="str">
        <f t="shared" si="17"/>
        <v/>
      </c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33"/>
    </row>
    <row r="17" ht="15.75" customHeight="1"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6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</row>
    <row r="18" ht="15.75" customHeight="1"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7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</row>
    <row r="19" ht="15.75" customHeight="1"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7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</row>
    <row r="20" ht="15.75" customHeight="1"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7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</row>
    <row r="21" ht="15.75" customHeight="1"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7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</row>
    <row r="22" ht="15.75" customHeight="1"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7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</row>
    <row r="23" ht="15.75" customHeight="1"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7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</row>
    <row r="24" ht="15.75" customHeight="1"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7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</row>
    <row r="25" ht="15.75" customHeight="1"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7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5"/>
      <c r="CY25" s="35"/>
      <c r="CZ25" s="35"/>
      <c r="DA25" s="35"/>
      <c r="DB25" s="35"/>
      <c r="DC25" s="35"/>
      <c r="DD25" s="35"/>
      <c r="DE25" s="35"/>
      <c r="DF25" s="35"/>
      <c r="DG25" s="35"/>
      <c r="DH25" s="35"/>
    </row>
    <row r="26" ht="15.75" customHeight="1"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7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5"/>
      <c r="CY26" s="35"/>
      <c r="CZ26" s="35"/>
      <c r="DA26" s="35"/>
      <c r="DB26" s="35"/>
      <c r="DC26" s="35"/>
      <c r="DD26" s="35"/>
      <c r="DE26" s="35"/>
      <c r="DF26" s="35"/>
      <c r="DG26" s="35"/>
      <c r="DH26" s="35"/>
    </row>
    <row r="27" ht="15.75" customHeight="1"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7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5"/>
      <c r="CY27" s="35"/>
      <c r="CZ27" s="35"/>
      <c r="DA27" s="35"/>
      <c r="DB27" s="35"/>
      <c r="DC27" s="35"/>
      <c r="DD27" s="35"/>
      <c r="DE27" s="35"/>
      <c r="DF27" s="35"/>
      <c r="DG27" s="35"/>
      <c r="DH27" s="35"/>
    </row>
    <row r="28" ht="15.75" customHeight="1"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7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5"/>
      <c r="CY28" s="35"/>
      <c r="CZ28" s="35"/>
      <c r="DA28" s="35"/>
      <c r="DB28" s="35"/>
      <c r="DC28" s="35"/>
      <c r="DD28" s="35"/>
      <c r="DE28" s="35"/>
      <c r="DF28" s="35"/>
      <c r="DG28" s="35"/>
      <c r="DH28" s="35"/>
    </row>
    <row r="29" ht="15.75" customHeight="1"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7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  <c r="CX29" s="35"/>
      <c r="CY29" s="35"/>
      <c r="CZ29" s="35"/>
      <c r="DA29" s="35"/>
      <c r="DB29" s="35"/>
      <c r="DC29" s="35"/>
      <c r="DD29" s="35"/>
      <c r="DE29" s="35"/>
      <c r="DF29" s="35"/>
      <c r="DG29" s="35"/>
      <c r="DH29" s="35"/>
    </row>
    <row r="30" ht="15.75" customHeight="1"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7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  <c r="CX30" s="35"/>
      <c r="CY30" s="35"/>
      <c r="CZ30" s="35"/>
      <c r="DA30" s="35"/>
      <c r="DB30" s="35"/>
      <c r="DC30" s="35"/>
      <c r="DD30" s="35"/>
      <c r="DE30" s="35"/>
      <c r="DF30" s="35"/>
      <c r="DG30" s="35"/>
      <c r="DH30" s="35"/>
    </row>
    <row r="31" ht="15.75" customHeight="1"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7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  <c r="CX31" s="35"/>
      <c r="CY31" s="35"/>
      <c r="CZ31" s="35"/>
      <c r="DA31" s="35"/>
      <c r="DB31" s="35"/>
      <c r="DC31" s="35"/>
      <c r="DD31" s="35"/>
      <c r="DE31" s="35"/>
      <c r="DF31" s="35"/>
      <c r="DG31" s="35"/>
      <c r="DH31" s="35"/>
    </row>
    <row r="32" ht="15.75" customHeight="1"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7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  <c r="CX32" s="35"/>
      <c r="CY32" s="35"/>
      <c r="CZ32" s="35"/>
      <c r="DA32" s="35"/>
      <c r="DB32" s="35"/>
      <c r="DC32" s="35"/>
      <c r="DD32" s="35"/>
      <c r="DE32" s="35"/>
      <c r="DF32" s="35"/>
      <c r="DG32" s="35"/>
      <c r="DH32" s="35"/>
    </row>
    <row r="33" ht="15.75" customHeight="1"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7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  <c r="CX33" s="35"/>
      <c r="CY33" s="35"/>
      <c r="CZ33" s="35"/>
      <c r="DA33" s="35"/>
      <c r="DB33" s="35"/>
      <c r="DC33" s="35"/>
      <c r="DD33" s="35"/>
      <c r="DE33" s="35"/>
      <c r="DF33" s="35"/>
      <c r="DG33" s="35"/>
      <c r="DH33" s="35"/>
    </row>
    <row r="34" ht="15.75" customHeight="1"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7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  <c r="CX34" s="35"/>
      <c r="CY34" s="35"/>
      <c r="CZ34" s="35"/>
      <c r="DA34" s="35"/>
      <c r="DB34" s="35"/>
      <c r="DC34" s="35"/>
      <c r="DD34" s="35"/>
      <c r="DE34" s="35"/>
      <c r="DF34" s="35"/>
      <c r="DG34" s="35"/>
      <c r="DH34" s="35"/>
    </row>
    <row r="35" ht="15.75" customHeight="1"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7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  <c r="CX35" s="35"/>
      <c r="CY35" s="35"/>
      <c r="CZ35" s="35"/>
      <c r="DA35" s="35"/>
      <c r="DB35" s="35"/>
      <c r="DC35" s="35"/>
      <c r="DD35" s="35"/>
      <c r="DE35" s="35"/>
      <c r="DF35" s="35"/>
      <c r="DG35" s="35"/>
      <c r="DH35" s="35"/>
    </row>
    <row r="36" ht="15.75" customHeight="1"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7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  <c r="CX36" s="35"/>
      <c r="CY36" s="35"/>
      <c r="CZ36" s="35"/>
      <c r="DA36" s="35"/>
      <c r="DB36" s="35"/>
      <c r="DC36" s="35"/>
      <c r="DD36" s="35"/>
      <c r="DE36" s="35"/>
      <c r="DF36" s="35"/>
      <c r="DG36" s="35"/>
      <c r="DH36" s="35"/>
    </row>
    <row r="37" ht="15.75" customHeight="1"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7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  <c r="CX37" s="35"/>
      <c r="CY37" s="35"/>
      <c r="CZ37" s="35"/>
      <c r="DA37" s="35"/>
      <c r="DB37" s="35"/>
      <c r="DC37" s="35"/>
      <c r="DD37" s="35"/>
      <c r="DE37" s="35"/>
      <c r="DF37" s="35"/>
      <c r="DG37" s="35"/>
      <c r="DH37" s="35"/>
    </row>
    <row r="38" ht="15.75" customHeight="1"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7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  <c r="CX38" s="35"/>
      <c r="CY38" s="35"/>
      <c r="CZ38" s="35"/>
      <c r="DA38" s="35"/>
      <c r="DB38" s="35"/>
      <c r="DC38" s="35"/>
      <c r="DD38" s="35"/>
      <c r="DE38" s="35"/>
      <c r="DF38" s="35"/>
      <c r="DG38" s="35"/>
      <c r="DH38" s="35"/>
    </row>
    <row r="39" ht="15.75" customHeight="1"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7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  <c r="CX39" s="35"/>
      <c r="CY39" s="35"/>
      <c r="CZ39" s="35"/>
      <c r="DA39" s="35"/>
      <c r="DB39" s="35"/>
      <c r="DC39" s="35"/>
      <c r="DD39" s="35"/>
      <c r="DE39" s="35"/>
      <c r="DF39" s="35"/>
      <c r="DG39" s="35"/>
      <c r="DH39" s="35"/>
    </row>
    <row r="40" ht="15.75" customHeight="1"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7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  <c r="CX40" s="35"/>
      <c r="CY40" s="35"/>
      <c r="CZ40" s="35"/>
      <c r="DA40" s="35"/>
      <c r="DB40" s="35"/>
      <c r="DC40" s="35"/>
      <c r="DD40" s="35"/>
      <c r="DE40" s="35"/>
      <c r="DF40" s="35"/>
      <c r="DG40" s="35"/>
      <c r="DH40" s="35"/>
    </row>
    <row r="41" ht="15.75" customHeight="1"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7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  <c r="CX41" s="35"/>
      <c r="CY41" s="35"/>
      <c r="CZ41" s="35"/>
      <c r="DA41" s="35"/>
      <c r="DB41" s="35"/>
      <c r="DC41" s="35"/>
      <c r="DD41" s="35"/>
      <c r="DE41" s="35"/>
      <c r="DF41" s="35"/>
      <c r="DG41" s="35"/>
      <c r="DH41" s="35"/>
    </row>
    <row r="42" ht="15.75" customHeight="1"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7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  <c r="CX42" s="35"/>
      <c r="CY42" s="35"/>
      <c r="CZ42" s="35"/>
      <c r="DA42" s="35"/>
      <c r="DB42" s="35"/>
      <c r="DC42" s="35"/>
      <c r="DD42" s="35"/>
      <c r="DE42" s="35"/>
      <c r="DF42" s="35"/>
      <c r="DG42" s="35"/>
      <c r="DH42" s="35"/>
    </row>
    <row r="43" ht="15.75" customHeight="1"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7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  <c r="CX43" s="35"/>
      <c r="CY43" s="35"/>
      <c r="CZ43" s="35"/>
      <c r="DA43" s="35"/>
      <c r="DB43" s="35"/>
      <c r="DC43" s="35"/>
      <c r="DD43" s="35"/>
      <c r="DE43" s="35"/>
      <c r="DF43" s="35"/>
      <c r="DG43" s="35"/>
      <c r="DH43" s="35"/>
    </row>
    <row r="44" ht="15.75" customHeight="1"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7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  <c r="CX44" s="35"/>
      <c r="CY44" s="35"/>
      <c r="CZ44" s="35"/>
      <c r="DA44" s="35"/>
      <c r="DB44" s="35"/>
      <c r="DC44" s="35"/>
      <c r="DD44" s="35"/>
      <c r="DE44" s="35"/>
      <c r="DF44" s="35"/>
      <c r="DG44" s="35"/>
      <c r="DH44" s="35"/>
    </row>
    <row r="45" ht="15.75" customHeight="1"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7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  <c r="CX45" s="35"/>
      <c r="CY45" s="35"/>
      <c r="CZ45" s="35"/>
      <c r="DA45" s="35"/>
      <c r="DB45" s="35"/>
      <c r="DC45" s="35"/>
      <c r="DD45" s="35"/>
      <c r="DE45" s="35"/>
      <c r="DF45" s="35"/>
      <c r="DG45" s="35"/>
      <c r="DH45" s="35"/>
    </row>
    <row r="46" ht="15.75" customHeight="1"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7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  <c r="CX46" s="35"/>
      <c r="CY46" s="35"/>
      <c r="CZ46" s="35"/>
      <c r="DA46" s="35"/>
      <c r="DB46" s="35"/>
      <c r="DC46" s="35"/>
      <c r="DD46" s="35"/>
      <c r="DE46" s="35"/>
      <c r="DF46" s="35"/>
      <c r="DG46" s="35"/>
      <c r="DH46" s="35"/>
    </row>
    <row r="47" ht="15.75" customHeight="1"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7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  <c r="CX47" s="35"/>
      <c r="CY47" s="35"/>
      <c r="CZ47" s="35"/>
      <c r="DA47" s="35"/>
      <c r="DB47" s="35"/>
      <c r="DC47" s="35"/>
      <c r="DD47" s="35"/>
      <c r="DE47" s="35"/>
      <c r="DF47" s="35"/>
      <c r="DG47" s="35"/>
      <c r="DH47" s="35"/>
    </row>
    <row r="48" ht="15.75" customHeight="1"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7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5"/>
      <c r="CV48" s="35"/>
      <c r="CW48" s="35"/>
      <c r="CX48" s="35"/>
      <c r="CY48" s="35"/>
      <c r="CZ48" s="35"/>
      <c r="DA48" s="35"/>
      <c r="DB48" s="35"/>
      <c r="DC48" s="35"/>
      <c r="DD48" s="35"/>
      <c r="DE48" s="35"/>
      <c r="DF48" s="35"/>
      <c r="DG48" s="35"/>
      <c r="DH48" s="35"/>
    </row>
    <row r="49" ht="15.75" customHeight="1"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7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5"/>
      <c r="BI49" s="35"/>
      <c r="BJ49" s="35"/>
      <c r="BK49" s="35"/>
      <c r="BL49" s="35"/>
      <c r="BM49" s="35"/>
      <c r="BN49" s="35"/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5"/>
      <c r="CV49" s="35"/>
      <c r="CW49" s="35"/>
      <c r="CX49" s="35"/>
      <c r="CY49" s="35"/>
      <c r="CZ49" s="35"/>
      <c r="DA49" s="35"/>
      <c r="DB49" s="35"/>
      <c r="DC49" s="35"/>
      <c r="DD49" s="35"/>
      <c r="DE49" s="35"/>
      <c r="DF49" s="35"/>
      <c r="DG49" s="35"/>
      <c r="DH49" s="35"/>
    </row>
    <row r="50" ht="15.75" customHeight="1"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7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5"/>
      <c r="BK50" s="35"/>
      <c r="BL50" s="35"/>
      <c r="BM50" s="35"/>
      <c r="BN50" s="35"/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  <c r="CX50" s="35"/>
      <c r="CY50" s="35"/>
      <c r="CZ50" s="35"/>
      <c r="DA50" s="35"/>
      <c r="DB50" s="35"/>
      <c r="DC50" s="35"/>
      <c r="DD50" s="35"/>
      <c r="DE50" s="35"/>
      <c r="DF50" s="35"/>
      <c r="DG50" s="35"/>
      <c r="DH50" s="35"/>
    </row>
    <row r="51" ht="15.75" customHeight="1"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7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  <c r="CX51" s="35"/>
      <c r="CY51" s="35"/>
      <c r="CZ51" s="35"/>
      <c r="DA51" s="35"/>
      <c r="DB51" s="35"/>
      <c r="DC51" s="35"/>
      <c r="DD51" s="35"/>
      <c r="DE51" s="35"/>
      <c r="DF51" s="35"/>
      <c r="DG51" s="35"/>
      <c r="DH51" s="35"/>
    </row>
    <row r="52" ht="15.75" customHeight="1"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7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  <c r="CX52" s="35"/>
      <c r="CY52" s="35"/>
      <c r="CZ52" s="35"/>
      <c r="DA52" s="35"/>
      <c r="DB52" s="35"/>
      <c r="DC52" s="35"/>
      <c r="DD52" s="35"/>
      <c r="DE52" s="35"/>
      <c r="DF52" s="35"/>
      <c r="DG52" s="35"/>
      <c r="DH52" s="35"/>
    </row>
    <row r="53" ht="15.75" customHeight="1"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7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  <c r="CX53" s="35"/>
      <c r="CY53" s="35"/>
      <c r="CZ53" s="35"/>
      <c r="DA53" s="35"/>
      <c r="DB53" s="35"/>
      <c r="DC53" s="35"/>
      <c r="DD53" s="35"/>
      <c r="DE53" s="35"/>
      <c r="DF53" s="35"/>
      <c r="DG53" s="35"/>
      <c r="DH53" s="35"/>
    </row>
    <row r="54" ht="15.75" customHeight="1"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7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  <c r="CX54" s="35"/>
      <c r="CY54" s="35"/>
      <c r="CZ54" s="35"/>
      <c r="DA54" s="35"/>
      <c r="DB54" s="35"/>
      <c r="DC54" s="35"/>
      <c r="DD54" s="35"/>
      <c r="DE54" s="35"/>
      <c r="DF54" s="35"/>
      <c r="DG54" s="35"/>
      <c r="DH54" s="35"/>
    </row>
    <row r="55" ht="15.75" customHeight="1"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7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  <c r="CX55" s="35"/>
      <c r="CY55" s="35"/>
      <c r="CZ55" s="35"/>
      <c r="DA55" s="35"/>
      <c r="DB55" s="35"/>
      <c r="DC55" s="35"/>
      <c r="DD55" s="35"/>
      <c r="DE55" s="35"/>
      <c r="DF55" s="35"/>
      <c r="DG55" s="35"/>
      <c r="DH55" s="35"/>
    </row>
    <row r="56" ht="15.75" customHeight="1"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7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5"/>
      <c r="CV56" s="35"/>
      <c r="CW56" s="35"/>
      <c r="CX56" s="35"/>
      <c r="CY56" s="35"/>
      <c r="CZ56" s="35"/>
      <c r="DA56" s="35"/>
      <c r="DB56" s="35"/>
      <c r="DC56" s="35"/>
      <c r="DD56" s="35"/>
      <c r="DE56" s="35"/>
      <c r="DF56" s="35"/>
      <c r="DG56" s="35"/>
      <c r="DH56" s="35"/>
    </row>
    <row r="57" ht="15.75" customHeight="1"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7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5"/>
      <c r="BH57" s="35"/>
      <c r="BI57" s="35"/>
      <c r="BJ57" s="35"/>
      <c r="BK57" s="35"/>
      <c r="BL57" s="35"/>
      <c r="BM57" s="35"/>
      <c r="BN57" s="35"/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35"/>
      <c r="CW57" s="35"/>
      <c r="CX57" s="35"/>
      <c r="CY57" s="35"/>
      <c r="CZ57" s="35"/>
      <c r="DA57" s="35"/>
      <c r="DB57" s="35"/>
      <c r="DC57" s="35"/>
      <c r="DD57" s="35"/>
      <c r="DE57" s="35"/>
      <c r="DF57" s="35"/>
      <c r="DG57" s="35"/>
      <c r="DH57" s="35"/>
    </row>
    <row r="58" ht="15.75" customHeight="1"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7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35"/>
      <c r="BK58" s="35"/>
      <c r="BL58" s="35"/>
      <c r="BM58" s="35"/>
      <c r="BN58" s="35"/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  <c r="CX58" s="35"/>
      <c r="CY58" s="35"/>
      <c r="CZ58" s="35"/>
      <c r="DA58" s="35"/>
      <c r="DB58" s="35"/>
      <c r="DC58" s="35"/>
      <c r="DD58" s="35"/>
      <c r="DE58" s="35"/>
      <c r="DF58" s="35"/>
      <c r="DG58" s="35"/>
      <c r="DH58" s="35"/>
    </row>
    <row r="59" ht="15.75" customHeight="1"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7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  <c r="CX59" s="35"/>
      <c r="CY59" s="35"/>
      <c r="CZ59" s="35"/>
      <c r="DA59" s="35"/>
      <c r="DB59" s="35"/>
      <c r="DC59" s="35"/>
      <c r="DD59" s="35"/>
      <c r="DE59" s="35"/>
      <c r="DF59" s="35"/>
      <c r="DG59" s="35"/>
      <c r="DH59" s="35"/>
    </row>
    <row r="60" ht="15.75" customHeight="1"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7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35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  <c r="CX60" s="35"/>
      <c r="CY60" s="35"/>
      <c r="CZ60" s="35"/>
      <c r="DA60" s="35"/>
      <c r="DB60" s="35"/>
      <c r="DC60" s="35"/>
      <c r="DD60" s="35"/>
      <c r="DE60" s="35"/>
      <c r="DF60" s="35"/>
      <c r="DG60" s="35"/>
      <c r="DH60" s="35"/>
    </row>
    <row r="61" ht="15.75" customHeight="1"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7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  <c r="CX61" s="35"/>
      <c r="CY61" s="35"/>
      <c r="CZ61" s="35"/>
      <c r="DA61" s="35"/>
      <c r="DB61" s="35"/>
      <c r="DC61" s="35"/>
      <c r="DD61" s="35"/>
      <c r="DE61" s="35"/>
      <c r="DF61" s="35"/>
      <c r="DG61" s="35"/>
      <c r="DH61" s="35"/>
    </row>
    <row r="62" ht="15.75" customHeight="1"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7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35"/>
      <c r="BI62" s="35"/>
      <c r="BJ62" s="35"/>
      <c r="BK62" s="35"/>
      <c r="BL62" s="35"/>
      <c r="BM62" s="35"/>
      <c r="BN62" s="35"/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  <c r="CX62" s="35"/>
      <c r="CY62" s="35"/>
      <c r="CZ62" s="35"/>
      <c r="DA62" s="35"/>
      <c r="DB62" s="35"/>
      <c r="DC62" s="35"/>
      <c r="DD62" s="35"/>
      <c r="DE62" s="35"/>
      <c r="DF62" s="35"/>
      <c r="DG62" s="35"/>
      <c r="DH62" s="35"/>
    </row>
    <row r="63" ht="15.75" customHeight="1"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7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  <c r="BE63" s="35"/>
      <c r="BF63" s="35"/>
      <c r="BG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  <c r="CO63" s="35"/>
      <c r="CP63" s="35"/>
      <c r="CQ63" s="35"/>
      <c r="CR63" s="35"/>
      <c r="CS63" s="35"/>
      <c r="CT63" s="35"/>
      <c r="CU63" s="35"/>
      <c r="CV63" s="35"/>
      <c r="CW63" s="35"/>
      <c r="CX63" s="35"/>
      <c r="CY63" s="35"/>
      <c r="CZ63" s="35"/>
      <c r="DA63" s="35"/>
      <c r="DB63" s="35"/>
      <c r="DC63" s="35"/>
      <c r="DD63" s="35"/>
      <c r="DE63" s="35"/>
      <c r="DF63" s="35"/>
      <c r="DG63" s="35"/>
      <c r="DH63" s="35"/>
    </row>
    <row r="64" ht="15.75" customHeight="1"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7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35"/>
      <c r="CV64" s="35"/>
      <c r="CW64" s="35"/>
      <c r="CX64" s="35"/>
      <c r="CY64" s="35"/>
      <c r="CZ64" s="35"/>
      <c r="DA64" s="35"/>
      <c r="DB64" s="35"/>
      <c r="DC64" s="35"/>
      <c r="DD64" s="35"/>
      <c r="DE64" s="35"/>
      <c r="DF64" s="35"/>
      <c r="DG64" s="35"/>
      <c r="DH64" s="35"/>
    </row>
    <row r="65" ht="15.75" customHeight="1"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7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L65" s="35"/>
      <c r="BM65" s="35"/>
      <c r="BN65" s="35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  <c r="CO65" s="35"/>
      <c r="CP65" s="35"/>
      <c r="CQ65" s="35"/>
      <c r="CR65" s="35"/>
      <c r="CS65" s="35"/>
      <c r="CT65" s="35"/>
      <c r="CU65" s="35"/>
      <c r="CV65" s="35"/>
      <c r="CW65" s="35"/>
      <c r="CX65" s="35"/>
      <c r="CY65" s="35"/>
      <c r="CZ65" s="35"/>
      <c r="DA65" s="35"/>
      <c r="DB65" s="35"/>
      <c r="DC65" s="35"/>
      <c r="DD65" s="35"/>
      <c r="DE65" s="35"/>
      <c r="DF65" s="35"/>
      <c r="DG65" s="35"/>
      <c r="DH65" s="35"/>
    </row>
    <row r="66" ht="15.75" customHeight="1"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7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5"/>
      <c r="BE66" s="35"/>
      <c r="BF66" s="35"/>
      <c r="BG66" s="35"/>
      <c r="BH66" s="35"/>
      <c r="BI66" s="35"/>
      <c r="BJ66" s="35"/>
      <c r="BK66" s="35"/>
      <c r="BL66" s="35"/>
      <c r="BM66" s="35"/>
      <c r="BN66" s="35"/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5"/>
      <c r="CA66" s="35"/>
      <c r="CB66" s="35"/>
      <c r="CC66" s="35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  <c r="CO66" s="35"/>
      <c r="CP66" s="35"/>
      <c r="CQ66" s="35"/>
      <c r="CR66" s="35"/>
      <c r="CS66" s="35"/>
      <c r="CT66" s="35"/>
      <c r="CU66" s="35"/>
      <c r="CV66" s="35"/>
      <c r="CW66" s="35"/>
      <c r="CX66" s="35"/>
      <c r="CY66" s="35"/>
      <c r="CZ66" s="35"/>
      <c r="DA66" s="35"/>
      <c r="DB66" s="35"/>
      <c r="DC66" s="35"/>
      <c r="DD66" s="35"/>
      <c r="DE66" s="35"/>
      <c r="DF66" s="35"/>
      <c r="DG66" s="35"/>
      <c r="DH66" s="35"/>
    </row>
    <row r="67" ht="15.75" customHeight="1"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7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5"/>
      <c r="BF67" s="35"/>
      <c r="BG67" s="35"/>
      <c r="BH67" s="35"/>
      <c r="BI67" s="35"/>
      <c r="BJ67" s="35"/>
      <c r="BK67" s="35"/>
      <c r="BL67" s="35"/>
      <c r="BM67" s="35"/>
      <c r="BN67" s="35"/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5"/>
      <c r="CS67" s="35"/>
      <c r="CT67" s="35"/>
      <c r="CU67" s="35"/>
      <c r="CV67" s="35"/>
      <c r="CW67" s="35"/>
      <c r="CX67" s="35"/>
      <c r="CY67" s="35"/>
      <c r="CZ67" s="35"/>
      <c r="DA67" s="35"/>
      <c r="DB67" s="35"/>
      <c r="DC67" s="35"/>
      <c r="DD67" s="35"/>
      <c r="DE67" s="35"/>
      <c r="DF67" s="35"/>
      <c r="DG67" s="35"/>
      <c r="DH67" s="35"/>
    </row>
    <row r="68" ht="15.75" customHeight="1"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7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5"/>
      <c r="BF68" s="35"/>
      <c r="BG68" s="35"/>
      <c r="BH68" s="35"/>
      <c r="BI68" s="35"/>
      <c r="BJ68" s="35"/>
      <c r="BK68" s="35"/>
      <c r="BL68" s="35"/>
      <c r="BM68" s="35"/>
      <c r="BN68" s="35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35"/>
      <c r="CP68" s="35"/>
      <c r="CQ68" s="35"/>
      <c r="CR68" s="35"/>
      <c r="CS68" s="35"/>
      <c r="CT68" s="35"/>
      <c r="CU68" s="35"/>
      <c r="CV68" s="35"/>
      <c r="CW68" s="35"/>
      <c r="CX68" s="35"/>
      <c r="CY68" s="35"/>
      <c r="CZ68" s="35"/>
      <c r="DA68" s="35"/>
      <c r="DB68" s="35"/>
      <c r="DC68" s="35"/>
      <c r="DD68" s="35"/>
      <c r="DE68" s="35"/>
      <c r="DF68" s="35"/>
      <c r="DG68" s="35"/>
      <c r="DH68" s="35"/>
    </row>
    <row r="69" ht="15.75" customHeight="1"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7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35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  <c r="CO69" s="35"/>
      <c r="CP69" s="35"/>
      <c r="CQ69" s="35"/>
      <c r="CR69" s="35"/>
      <c r="CS69" s="35"/>
      <c r="CT69" s="35"/>
      <c r="CU69" s="35"/>
      <c r="CV69" s="35"/>
      <c r="CW69" s="35"/>
      <c r="CX69" s="35"/>
      <c r="CY69" s="35"/>
      <c r="CZ69" s="35"/>
      <c r="DA69" s="35"/>
      <c r="DB69" s="35"/>
      <c r="DC69" s="35"/>
      <c r="DD69" s="35"/>
      <c r="DE69" s="35"/>
      <c r="DF69" s="35"/>
      <c r="DG69" s="35"/>
      <c r="DH69" s="35"/>
    </row>
    <row r="70" ht="15.75" customHeight="1"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7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5"/>
      <c r="BF70" s="35"/>
      <c r="BG70" s="35"/>
      <c r="BH70" s="35"/>
      <c r="BI70" s="35"/>
      <c r="BJ70" s="35"/>
      <c r="BK70" s="35"/>
      <c r="BL70" s="35"/>
      <c r="BM70" s="35"/>
      <c r="BN70" s="35"/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35"/>
      <c r="CP70" s="35"/>
      <c r="CQ70" s="35"/>
      <c r="CR70" s="35"/>
      <c r="CS70" s="35"/>
      <c r="CT70" s="35"/>
      <c r="CU70" s="35"/>
      <c r="CV70" s="35"/>
      <c r="CW70" s="35"/>
      <c r="CX70" s="35"/>
      <c r="CY70" s="35"/>
      <c r="CZ70" s="35"/>
      <c r="DA70" s="35"/>
      <c r="DB70" s="35"/>
      <c r="DC70" s="35"/>
      <c r="DD70" s="35"/>
      <c r="DE70" s="35"/>
      <c r="DF70" s="35"/>
      <c r="DG70" s="35"/>
      <c r="DH70" s="35"/>
    </row>
    <row r="71" ht="15.75" customHeight="1"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7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5"/>
      <c r="BE71" s="35"/>
      <c r="BF71" s="35"/>
      <c r="BG71" s="35"/>
      <c r="BH71" s="35"/>
      <c r="BI71" s="35"/>
      <c r="BJ71" s="35"/>
      <c r="BK71" s="35"/>
      <c r="BL71" s="35"/>
      <c r="BM71" s="35"/>
      <c r="BN71" s="35"/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  <c r="CO71" s="35"/>
      <c r="CP71" s="35"/>
      <c r="CQ71" s="35"/>
      <c r="CR71" s="35"/>
      <c r="CS71" s="35"/>
      <c r="CT71" s="35"/>
      <c r="CU71" s="35"/>
      <c r="CV71" s="35"/>
      <c r="CW71" s="35"/>
      <c r="CX71" s="35"/>
      <c r="CY71" s="35"/>
      <c r="CZ71" s="35"/>
      <c r="DA71" s="35"/>
      <c r="DB71" s="35"/>
      <c r="DC71" s="35"/>
      <c r="DD71" s="35"/>
      <c r="DE71" s="35"/>
      <c r="DF71" s="35"/>
      <c r="DG71" s="35"/>
      <c r="DH71" s="35"/>
    </row>
    <row r="72" ht="15.75" customHeight="1"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7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5"/>
      <c r="BE72" s="35"/>
      <c r="BF72" s="35"/>
      <c r="BG72" s="35"/>
      <c r="BH72" s="35"/>
      <c r="BI72" s="35"/>
      <c r="BJ72" s="35"/>
      <c r="BK72" s="35"/>
      <c r="BL72" s="35"/>
      <c r="BM72" s="35"/>
      <c r="BN72" s="35"/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/>
      <c r="CT72" s="35"/>
      <c r="CU72" s="35"/>
      <c r="CV72" s="35"/>
      <c r="CW72" s="35"/>
      <c r="CX72" s="35"/>
      <c r="CY72" s="35"/>
      <c r="CZ72" s="35"/>
      <c r="DA72" s="35"/>
      <c r="DB72" s="35"/>
      <c r="DC72" s="35"/>
      <c r="DD72" s="35"/>
      <c r="DE72" s="35"/>
      <c r="DF72" s="35"/>
      <c r="DG72" s="35"/>
      <c r="DH72" s="35"/>
    </row>
    <row r="73" ht="15.75" customHeight="1"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7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5"/>
      <c r="BE73" s="35"/>
      <c r="BF73" s="35"/>
      <c r="BG73" s="35"/>
      <c r="BH73" s="35"/>
      <c r="BI73" s="35"/>
      <c r="BJ73" s="35"/>
      <c r="BK73" s="35"/>
      <c r="BL73" s="35"/>
      <c r="BM73" s="35"/>
      <c r="BN73" s="35"/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  <c r="CV73" s="35"/>
      <c r="CW73" s="35"/>
      <c r="CX73" s="35"/>
      <c r="CY73" s="35"/>
      <c r="CZ73" s="35"/>
      <c r="DA73" s="35"/>
      <c r="DB73" s="35"/>
      <c r="DC73" s="35"/>
      <c r="DD73" s="35"/>
      <c r="DE73" s="35"/>
      <c r="DF73" s="35"/>
      <c r="DG73" s="35"/>
      <c r="DH73" s="35"/>
    </row>
    <row r="74" ht="15.75" customHeight="1"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7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5"/>
      <c r="BE74" s="35"/>
      <c r="BF74" s="35"/>
      <c r="BG74" s="35"/>
      <c r="BH74" s="35"/>
      <c r="BI74" s="35"/>
      <c r="BJ74" s="35"/>
      <c r="BK74" s="35"/>
      <c r="BL74" s="35"/>
      <c r="BM74" s="35"/>
      <c r="BN74" s="35"/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/>
      <c r="CU74" s="35"/>
      <c r="CV74" s="35"/>
      <c r="CW74" s="35"/>
      <c r="CX74" s="35"/>
      <c r="CY74" s="35"/>
      <c r="CZ74" s="35"/>
      <c r="DA74" s="35"/>
      <c r="DB74" s="35"/>
      <c r="DC74" s="35"/>
      <c r="DD74" s="35"/>
      <c r="DE74" s="35"/>
      <c r="DF74" s="35"/>
      <c r="DG74" s="35"/>
      <c r="DH74" s="35"/>
    </row>
    <row r="75" ht="15.75" customHeight="1"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7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5"/>
      <c r="BE75" s="35"/>
      <c r="BF75" s="35"/>
      <c r="BG75" s="35"/>
      <c r="BH75" s="35"/>
      <c r="BI75" s="35"/>
      <c r="BJ75" s="35"/>
      <c r="BK75" s="35"/>
      <c r="BL75" s="35"/>
      <c r="BM75" s="35"/>
      <c r="BN75" s="35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  <c r="CV75" s="35"/>
      <c r="CW75" s="35"/>
      <c r="CX75" s="35"/>
      <c r="CY75" s="35"/>
      <c r="CZ75" s="35"/>
      <c r="DA75" s="35"/>
      <c r="DB75" s="35"/>
      <c r="DC75" s="35"/>
      <c r="DD75" s="35"/>
      <c r="DE75" s="35"/>
      <c r="DF75" s="35"/>
      <c r="DG75" s="35"/>
      <c r="DH75" s="35"/>
    </row>
    <row r="76" ht="15.75" customHeight="1"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7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5"/>
      <c r="BE76" s="35"/>
      <c r="BF76" s="35"/>
      <c r="BG76" s="35"/>
      <c r="BH76" s="35"/>
      <c r="BI76" s="35"/>
      <c r="BJ76" s="35"/>
      <c r="BK76" s="35"/>
      <c r="BL76" s="35"/>
      <c r="BM76" s="35"/>
      <c r="BN76" s="35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35"/>
      <c r="CP76" s="35"/>
      <c r="CQ76" s="35"/>
      <c r="CR76" s="35"/>
      <c r="CS76" s="35"/>
      <c r="CT76" s="35"/>
      <c r="CU76" s="35"/>
      <c r="CV76" s="35"/>
      <c r="CW76" s="35"/>
      <c r="CX76" s="35"/>
      <c r="CY76" s="35"/>
      <c r="CZ76" s="35"/>
      <c r="DA76" s="35"/>
      <c r="DB76" s="35"/>
      <c r="DC76" s="35"/>
      <c r="DD76" s="35"/>
      <c r="DE76" s="35"/>
      <c r="DF76" s="35"/>
      <c r="DG76" s="35"/>
      <c r="DH76" s="35"/>
    </row>
    <row r="77" ht="15.75" customHeight="1"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7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5"/>
      <c r="BE77" s="35"/>
      <c r="BF77" s="35"/>
      <c r="BG77" s="35"/>
      <c r="BH77" s="35"/>
      <c r="BI77" s="35"/>
      <c r="BJ77" s="35"/>
      <c r="BK77" s="35"/>
      <c r="BL77" s="35"/>
      <c r="BM77" s="35"/>
      <c r="BN77" s="35"/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35"/>
      <c r="CP77" s="35"/>
      <c r="CQ77" s="35"/>
      <c r="CR77" s="35"/>
      <c r="CS77" s="35"/>
      <c r="CT77" s="35"/>
      <c r="CU77" s="35"/>
      <c r="CV77" s="35"/>
      <c r="CW77" s="35"/>
      <c r="CX77" s="35"/>
      <c r="CY77" s="35"/>
      <c r="CZ77" s="35"/>
      <c r="DA77" s="35"/>
      <c r="DB77" s="35"/>
      <c r="DC77" s="35"/>
      <c r="DD77" s="35"/>
      <c r="DE77" s="35"/>
      <c r="DF77" s="35"/>
      <c r="DG77" s="35"/>
      <c r="DH77" s="35"/>
    </row>
    <row r="78" ht="15.75" customHeight="1"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7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5"/>
      <c r="BE78" s="35"/>
      <c r="BF78" s="35"/>
      <c r="BG78" s="35"/>
      <c r="BH78" s="35"/>
      <c r="BI78" s="35"/>
      <c r="BJ78" s="35"/>
      <c r="BK78" s="35"/>
      <c r="BL78" s="35"/>
      <c r="BM78" s="35"/>
      <c r="BN78" s="35"/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  <c r="CO78" s="35"/>
      <c r="CP78" s="35"/>
      <c r="CQ78" s="35"/>
      <c r="CR78" s="35"/>
      <c r="CS78" s="35"/>
      <c r="CT78" s="35"/>
      <c r="CU78" s="35"/>
      <c r="CV78" s="35"/>
      <c r="CW78" s="35"/>
      <c r="CX78" s="35"/>
      <c r="CY78" s="35"/>
      <c r="CZ78" s="35"/>
      <c r="DA78" s="35"/>
      <c r="DB78" s="35"/>
      <c r="DC78" s="35"/>
      <c r="DD78" s="35"/>
      <c r="DE78" s="35"/>
      <c r="DF78" s="35"/>
      <c r="DG78" s="35"/>
      <c r="DH78" s="35"/>
    </row>
    <row r="79" ht="15.75" customHeight="1"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7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5"/>
      <c r="BE79" s="35"/>
      <c r="BF79" s="35"/>
      <c r="BG79" s="35"/>
      <c r="BH79" s="35"/>
      <c r="BI79" s="35"/>
      <c r="BJ79" s="35"/>
      <c r="BK79" s="35"/>
      <c r="BL79" s="35"/>
      <c r="BM79" s="35"/>
      <c r="BN79" s="35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35"/>
      <c r="CP79" s="35"/>
      <c r="CQ79" s="35"/>
      <c r="CR79" s="35"/>
      <c r="CS79" s="35"/>
      <c r="CT79" s="35"/>
      <c r="CU79" s="35"/>
      <c r="CV79" s="35"/>
      <c r="CW79" s="35"/>
      <c r="CX79" s="35"/>
      <c r="CY79" s="35"/>
      <c r="CZ79" s="35"/>
      <c r="DA79" s="35"/>
      <c r="DB79" s="35"/>
      <c r="DC79" s="35"/>
      <c r="DD79" s="35"/>
      <c r="DE79" s="35"/>
      <c r="DF79" s="35"/>
      <c r="DG79" s="35"/>
      <c r="DH79" s="35"/>
    </row>
    <row r="80" ht="15.75" customHeight="1"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7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5"/>
      <c r="BE80" s="35"/>
      <c r="BF80" s="35"/>
      <c r="BG80" s="35"/>
      <c r="BH80" s="35"/>
      <c r="BI80" s="35"/>
      <c r="BJ80" s="35"/>
      <c r="BK80" s="35"/>
      <c r="BL80" s="35"/>
      <c r="BM80" s="35"/>
      <c r="BN80" s="35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/>
      <c r="CU80" s="35"/>
      <c r="CV80" s="35"/>
      <c r="CW80" s="35"/>
      <c r="CX80" s="35"/>
      <c r="CY80" s="35"/>
      <c r="CZ80" s="35"/>
      <c r="DA80" s="35"/>
      <c r="DB80" s="35"/>
      <c r="DC80" s="35"/>
      <c r="DD80" s="35"/>
      <c r="DE80" s="35"/>
      <c r="DF80" s="35"/>
      <c r="DG80" s="35"/>
      <c r="DH80" s="35"/>
    </row>
    <row r="81" ht="15.75" customHeight="1"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7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35"/>
      <c r="BE81" s="35"/>
      <c r="BF81" s="35"/>
      <c r="BG81" s="35"/>
      <c r="BH81" s="35"/>
      <c r="BI81" s="35"/>
      <c r="BJ81" s="35"/>
      <c r="BK81" s="35"/>
      <c r="BL81" s="35"/>
      <c r="BM81" s="35"/>
      <c r="BN81" s="35"/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  <c r="CB81" s="35"/>
      <c r="CC81" s="35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  <c r="CO81" s="35"/>
      <c r="CP81" s="35"/>
      <c r="CQ81" s="35"/>
      <c r="CR81" s="35"/>
      <c r="CS81" s="35"/>
      <c r="CT81" s="35"/>
      <c r="CU81" s="35"/>
      <c r="CV81" s="35"/>
      <c r="CW81" s="35"/>
      <c r="CX81" s="35"/>
      <c r="CY81" s="35"/>
      <c r="CZ81" s="35"/>
      <c r="DA81" s="35"/>
      <c r="DB81" s="35"/>
      <c r="DC81" s="35"/>
      <c r="DD81" s="35"/>
      <c r="DE81" s="35"/>
      <c r="DF81" s="35"/>
      <c r="DG81" s="35"/>
      <c r="DH81" s="35"/>
    </row>
    <row r="82" ht="15.75" customHeight="1"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7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5"/>
      <c r="BE82" s="35"/>
      <c r="BF82" s="35"/>
      <c r="BG82" s="35"/>
      <c r="BH82" s="35"/>
      <c r="BI82" s="35"/>
      <c r="BJ82" s="35"/>
      <c r="BK82" s="35"/>
      <c r="BL82" s="35"/>
      <c r="BM82" s="35"/>
      <c r="BN82" s="35"/>
      <c r="BO82" s="35"/>
      <c r="BP82" s="35"/>
      <c r="BQ82" s="35"/>
      <c r="BR82" s="35"/>
      <c r="BS82" s="35"/>
      <c r="BT82" s="35"/>
      <c r="BU82" s="35"/>
      <c r="BV82" s="35"/>
      <c r="BW82" s="35"/>
      <c r="BX82" s="35"/>
      <c r="BY82" s="35"/>
      <c r="BZ82" s="35"/>
      <c r="CA82" s="35"/>
      <c r="CB82" s="35"/>
      <c r="CC82" s="35"/>
      <c r="CD82" s="35"/>
      <c r="CE82" s="35"/>
      <c r="CF82" s="35"/>
      <c r="CG82" s="35"/>
      <c r="CH82" s="35"/>
      <c r="CI82" s="35"/>
      <c r="CJ82" s="35"/>
      <c r="CK82" s="35"/>
      <c r="CL82" s="35"/>
      <c r="CM82" s="35"/>
      <c r="CN82" s="35"/>
      <c r="CO82" s="35"/>
      <c r="CP82" s="35"/>
      <c r="CQ82" s="35"/>
      <c r="CR82" s="35"/>
      <c r="CS82" s="35"/>
      <c r="CT82" s="35"/>
      <c r="CU82" s="35"/>
      <c r="CV82" s="35"/>
      <c r="CW82" s="35"/>
      <c r="CX82" s="35"/>
      <c r="CY82" s="35"/>
      <c r="CZ82" s="35"/>
      <c r="DA82" s="35"/>
      <c r="DB82" s="35"/>
      <c r="DC82" s="35"/>
      <c r="DD82" s="35"/>
      <c r="DE82" s="35"/>
      <c r="DF82" s="35"/>
      <c r="DG82" s="35"/>
      <c r="DH82" s="35"/>
    </row>
    <row r="83" ht="15.75" customHeight="1"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7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5"/>
      <c r="BE83" s="35"/>
      <c r="BF83" s="35"/>
      <c r="BG83" s="35"/>
      <c r="BH83" s="35"/>
      <c r="BI83" s="35"/>
      <c r="BJ83" s="35"/>
      <c r="BK83" s="35"/>
      <c r="BL83" s="35"/>
      <c r="BM83" s="35"/>
      <c r="BN83" s="35"/>
      <c r="BO83" s="35"/>
      <c r="BP83" s="35"/>
      <c r="BQ83" s="35"/>
      <c r="BR83" s="35"/>
      <c r="BS83" s="35"/>
      <c r="BT83" s="35"/>
      <c r="BU83" s="35"/>
      <c r="BV83" s="35"/>
      <c r="BW83" s="35"/>
      <c r="BX83" s="35"/>
      <c r="BY83" s="35"/>
      <c r="BZ83" s="35"/>
      <c r="CA83" s="35"/>
      <c r="CB83" s="35"/>
      <c r="CC83" s="35"/>
      <c r="CD83" s="35"/>
      <c r="CE83" s="35"/>
      <c r="CF83" s="35"/>
      <c r="CG83" s="35"/>
      <c r="CH83" s="35"/>
      <c r="CI83" s="35"/>
      <c r="CJ83" s="35"/>
      <c r="CK83" s="35"/>
      <c r="CL83" s="35"/>
      <c r="CM83" s="35"/>
      <c r="CN83" s="35"/>
      <c r="CO83" s="35"/>
      <c r="CP83" s="35"/>
      <c r="CQ83" s="35"/>
      <c r="CR83" s="35"/>
      <c r="CS83" s="35"/>
      <c r="CT83" s="35"/>
      <c r="CU83" s="35"/>
      <c r="CV83" s="35"/>
      <c r="CW83" s="35"/>
      <c r="CX83" s="35"/>
      <c r="CY83" s="35"/>
      <c r="CZ83" s="35"/>
      <c r="DA83" s="35"/>
      <c r="DB83" s="35"/>
      <c r="DC83" s="35"/>
      <c r="DD83" s="35"/>
      <c r="DE83" s="35"/>
      <c r="DF83" s="35"/>
      <c r="DG83" s="35"/>
      <c r="DH83" s="35"/>
    </row>
    <row r="84" ht="15.75" customHeight="1"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7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5"/>
      <c r="BE84" s="35"/>
      <c r="BF84" s="35"/>
      <c r="BG84" s="35"/>
      <c r="BH84" s="35"/>
      <c r="BI84" s="35"/>
      <c r="BJ84" s="35"/>
      <c r="BK84" s="35"/>
      <c r="BL84" s="35"/>
      <c r="BM84" s="35"/>
      <c r="BN84" s="35"/>
      <c r="BO84" s="35"/>
      <c r="BP84" s="35"/>
      <c r="BQ84" s="35"/>
      <c r="BR84" s="35"/>
      <c r="BS84" s="35"/>
      <c r="BT84" s="35"/>
      <c r="BU84" s="35"/>
      <c r="BV84" s="35"/>
      <c r="BW84" s="35"/>
      <c r="BX84" s="35"/>
      <c r="BY84" s="35"/>
      <c r="BZ84" s="35"/>
      <c r="CA84" s="35"/>
      <c r="CB84" s="35"/>
      <c r="CC84" s="35"/>
      <c r="CD84" s="35"/>
      <c r="CE84" s="35"/>
      <c r="CF84" s="35"/>
      <c r="CG84" s="35"/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  <c r="CS84" s="35"/>
      <c r="CT84" s="35"/>
      <c r="CU84" s="35"/>
      <c r="CV84" s="35"/>
      <c r="CW84" s="35"/>
      <c r="CX84" s="35"/>
      <c r="CY84" s="35"/>
      <c r="CZ84" s="35"/>
      <c r="DA84" s="35"/>
      <c r="DB84" s="35"/>
      <c r="DC84" s="35"/>
      <c r="DD84" s="35"/>
      <c r="DE84" s="35"/>
      <c r="DF84" s="35"/>
      <c r="DG84" s="35"/>
      <c r="DH84" s="35"/>
    </row>
    <row r="85" ht="15.75" customHeight="1"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7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  <c r="BD85" s="35"/>
      <c r="BE85" s="35"/>
      <c r="BF85" s="35"/>
      <c r="BG85" s="35"/>
      <c r="BH85" s="35"/>
      <c r="BI85" s="35"/>
      <c r="BJ85" s="35"/>
      <c r="BK85" s="35"/>
      <c r="BL85" s="35"/>
      <c r="BM85" s="35"/>
      <c r="BN85" s="35"/>
      <c r="BO85" s="35"/>
      <c r="BP85" s="35"/>
      <c r="BQ85" s="35"/>
      <c r="BR85" s="35"/>
      <c r="BS85" s="35"/>
      <c r="BT85" s="35"/>
      <c r="BU85" s="35"/>
      <c r="BV85" s="35"/>
      <c r="BW85" s="35"/>
      <c r="BX85" s="35"/>
      <c r="BY85" s="35"/>
      <c r="BZ85" s="35"/>
      <c r="CA85" s="35"/>
      <c r="CB85" s="35"/>
      <c r="CC85" s="35"/>
      <c r="CD85" s="35"/>
      <c r="CE85" s="35"/>
      <c r="CF85" s="35"/>
      <c r="CG85" s="35"/>
      <c r="CH85" s="35"/>
      <c r="CI85" s="35"/>
      <c r="CJ85" s="35"/>
      <c r="CK85" s="35"/>
      <c r="CL85" s="35"/>
      <c r="CM85" s="35"/>
      <c r="CN85" s="35"/>
      <c r="CO85" s="35"/>
      <c r="CP85" s="35"/>
      <c r="CQ85" s="35"/>
      <c r="CR85" s="35"/>
      <c r="CS85" s="35"/>
      <c r="CT85" s="35"/>
      <c r="CU85" s="35"/>
      <c r="CV85" s="35"/>
      <c r="CW85" s="35"/>
      <c r="CX85" s="35"/>
      <c r="CY85" s="35"/>
      <c r="CZ85" s="35"/>
      <c r="DA85" s="35"/>
      <c r="DB85" s="35"/>
      <c r="DC85" s="35"/>
      <c r="DD85" s="35"/>
      <c r="DE85" s="35"/>
      <c r="DF85" s="35"/>
      <c r="DG85" s="35"/>
      <c r="DH85" s="35"/>
    </row>
    <row r="86" ht="15.75" customHeight="1"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7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5"/>
      <c r="BE86" s="35"/>
      <c r="BF86" s="35"/>
      <c r="BG86" s="35"/>
      <c r="BH86" s="35"/>
      <c r="BI86" s="35"/>
      <c r="BJ86" s="35"/>
      <c r="BK86" s="35"/>
      <c r="BL86" s="35"/>
      <c r="BM86" s="35"/>
      <c r="BN86" s="35"/>
      <c r="BO86" s="35"/>
      <c r="BP86" s="35"/>
      <c r="BQ86" s="35"/>
      <c r="BR86" s="35"/>
      <c r="BS86" s="35"/>
      <c r="BT86" s="35"/>
      <c r="BU86" s="35"/>
      <c r="BV86" s="35"/>
      <c r="BW86" s="35"/>
      <c r="BX86" s="35"/>
      <c r="BY86" s="35"/>
      <c r="BZ86" s="35"/>
      <c r="CA86" s="35"/>
      <c r="CB86" s="35"/>
      <c r="CC86" s="35"/>
      <c r="CD86" s="35"/>
      <c r="CE86" s="35"/>
      <c r="CF86" s="35"/>
      <c r="CG86" s="35"/>
      <c r="CH86" s="35"/>
      <c r="CI86" s="35"/>
      <c r="CJ86" s="35"/>
      <c r="CK86" s="35"/>
      <c r="CL86" s="35"/>
      <c r="CM86" s="35"/>
      <c r="CN86" s="35"/>
      <c r="CO86" s="35"/>
      <c r="CP86" s="35"/>
      <c r="CQ86" s="35"/>
      <c r="CR86" s="35"/>
      <c r="CS86" s="35"/>
      <c r="CT86" s="35"/>
      <c r="CU86" s="35"/>
      <c r="CV86" s="35"/>
      <c r="CW86" s="35"/>
      <c r="CX86" s="35"/>
      <c r="CY86" s="35"/>
      <c r="CZ86" s="35"/>
      <c r="DA86" s="35"/>
      <c r="DB86" s="35"/>
      <c r="DC86" s="35"/>
      <c r="DD86" s="35"/>
      <c r="DE86" s="35"/>
      <c r="DF86" s="35"/>
      <c r="DG86" s="35"/>
      <c r="DH86" s="35"/>
    </row>
    <row r="87" ht="15.75" customHeight="1"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7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5"/>
      <c r="BE87" s="35"/>
      <c r="BF87" s="35"/>
      <c r="BG87" s="35"/>
      <c r="BH87" s="35"/>
      <c r="BI87" s="35"/>
      <c r="BJ87" s="35"/>
      <c r="BK87" s="35"/>
      <c r="BL87" s="35"/>
      <c r="BM87" s="35"/>
      <c r="BN87" s="35"/>
      <c r="BO87" s="35"/>
      <c r="BP87" s="35"/>
      <c r="BQ87" s="35"/>
      <c r="BR87" s="35"/>
      <c r="BS87" s="35"/>
      <c r="BT87" s="35"/>
      <c r="BU87" s="35"/>
      <c r="BV87" s="35"/>
      <c r="BW87" s="35"/>
      <c r="BX87" s="35"/>
      <c r="BY87" s="35"/>
      <c r="BZ87" s="35"/>
      <c r="CA87" s="35"/>
      <c r="CB87" s="35"/>
      <c r="CC87" s="35"/>
      <c r="CD87" s="35"/>
      <c r="CE87" s="35"/>
      <c r="CF87" s="35"/>
      <c r="CG87" s="35"/>
      <c r="CH87" s="35"/>
      <c r="CI87" s="35"/>
      <c r="CJ87" s="35"/>
      <c r="CK87" s="35"/>
      <c r="CL87" s="35"/>
      <c r="CM87" s="35"/>
      <c r="CN87" s="35"/>
      <c r="CO87" s="35"/>
      <c r="CP87" s="35"/>
      <c r="CQ87" s="35"/>
      <c r="CR87" s="35"/>
      <c r="CS87" s="35"/>
      <c r="CT87" s="35"/>
      <c r="CU87" s="35"/>
      <c r="CV87" s="35"/>
      <c r="CW87" s="35"/>
      <c r="CX87" s="35"/>
      <c r="CY87" s="35"/>
      <c r="CZ87" s="35"/>
      <c r="DA87" s="35"/>
      <c r="DB87" s="35"/>
      <c r="DC87" s="35"/>
      <c r="DD87" s="35"/>
      <c r="DE87" s="35"/>
      <c r="DF87" s="35"/>
      <c r="DG87" s="35"/>
      <c r="DH87" s="35"/>
    </row>
    <row r="88" ht="15.75" customHeight="1"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7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5"/>
      <c r="BE88" s="35"/>
      <c r="BF88" s="35"/>
      <c r="BG88" s="35"/>
      <c r="BH88" s="35"/>
      <c r="BI88" s="35"/>
      <c r="BJ88" s="35"/>
      <c r="BK88" s="35"/>
      <c r="BL88" s="35"/>
      <c r="BM88" s="35"/>
      <c r="BN88" s="35"/>
      <c r="BO88" s="35"/>
      <c r="BP88" s="35"/>
      <c r="BQ88" s="35"/>
      <c r="BR88" s="35"/>
      <c r="BS88" s="35"/>
      <c r="BT88" s="35"/>
      <c r="BU88" s="35"/>
      <c r="BV88" s="35"/>
      <c r="BW88" s="35"/>
      <c r="BX88" s="35"/>
      <c r="BY88" s="35"/>
      <c r="BZ88" s="35"/>
      <c r="CA88" s="35"/>
      <c r="CB88" s="35"/>
      <c r="CC88" s="35"/>
      <c r="CD88" s="35"/>
      <c r="CE88" s="35"/>
      <c r="CF88" s="35"/>
      <c r="CG88" s="35"/>
      <c r="CH88" s="35"/>
      <c r="CI88" s="35"/>
      <c r="CJ88" s="35"/>
      <c r="CK88" s="35"/>
      <c r="CL88" s="35"/>
      <c r="CM88" s="35"/>
      <c r="CN88" s="35"/>
      <c r="CO88" s="35"/>
      <c r="CP88" s="35"/>
      <c r="CQ88" s="35"/>
      <c r="CR88" s="35"/>
      <c r="CS88" s="35"/>
      <c r="CT88" s="35"/>
      <c r="CU88" s="35"/>
      <c r="CV88" s="35"/>
      <c r="CW88" s="35"/>
      <c r="CX88" s="35"/>
      <c r="CY88" s="35"/>
      <c r="CZ88" s="35"/>
      <c r="DA88" s="35"/>
      <c r="DB88" s="35"/>
      <c r="DC88" s="35"/>
      <c r="DD88" s="35"/>
      <c r="DE88" s="35"/>
      <c r="DF88" s="35"/>
      <c r="DG88" s="35"/>
      <c r="DH88" s="35"/>
    </row>
    <row r="89" ht="15.75" customHeight="1"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7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5"/>
      <c r="BE89" s="35"/>
      <c r="BF89" s="35"/>
      <c r="BG89" s="35"/>
      <c r="BH89" s="35"/>
      <c r="BI89" s="35"/>
      <c r="BJ89" s="35"/>
      <c r="BK89" s="35"/>
      <c r="BL89" s="35"/>
      <c r="BM89" s="35"/>
      <c r="BN89" s="35"/>
      <c r="BO89" s="35"/>
      <c r="BP89" s="35"/>
      <c r="BQ89" s="35"/>
      <c r="BR89" s="35"/>
      <c r="BS89" s="35"/>
      <c r="BT89" s="35"/>
      <c r="BU89" s="35"/>
      <c r="BV89" s="35"/>
      <c r="BW89" s="35"/>
      <c r="BX89" s="35"/>
      <c r="BY89" s="35"/>
      <c r="BZ89" s="35"/>
      <c r="CA89" s="35"/>
      <c r="CB89" s="35"/>
      <c r="CC89" s="35"/>
      <c r="CD89" s="35"/>
      <c r="CE89" s="35"/>
      <c r="CF89" s="35"/>
      <c r="CG89" s="35"/>
      <c r="CH89" s="35"/>
      <c r="CI89" s="35"/>
      <c r="CJ89" s="35"/>
      <c r="CK89" s="35"/>
      <c r="CL89" s="35"/>
      <c r="CM89" s="35"/>
      <c r="CN89" s="35"/>
      <c r="CO89" s="35"/>
      <c r="CP89" s="35"/>
      <c r="CQ89" s="35"/>
      <c r="CR89" s="35"/>
      <c r="CS89" s="35"/>
      <c r="CT89" s="35"/>
      <c r="CU89" s="35"/>
      <c r="CV89" s="35"/>
      <c r="CW89" s="35"/>
      <c r="CX89" s="35"/>
      <c r="CY89" s="35"/>
      <c r="CZ89" s="35"/>
      <c r="DA89" s="35"/>
      <c r="DB89" s="35"/>
      <c r="DC89" s="35"/>
      <c r="DD89" s="35"/>
      <c r="DE89" s="35"/>
      <c r="DF89" s="35"/>
      <c r="DG89" s="35"/>
      <c r="DH89" s="35"/>
    </row>
    <row r="90" ht="15.75" customHeight="1"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7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  <c r="BE90" s="35"/>
      <c r="BF90" s="35"/>
      <c r="BG90" s="35"/>
      <c r="BH90" s="35"/>
      <c r="BI90" s="35"/>
      <c r="BJ90" s="35"/>
      <c r="BK90" s="35"/>
      <c r="BL90" s="35"/>
      <c r="BM90" s="35"/>
      <c r="BN90" s="35"/>
      <c r="BO90" s="35"/>
      <c r="BP90" s="35"/>
      <c r="BQ90" s="35"/>
      <c r="BR90" s="35"/>
      <c r="BS90" s="35"/>
      <c r="BT90" s="35"/>
      <c r="BU90" s="35"/>
      <c r="BV90" s="35"/>
      <c r="BW90" s="35"/>
      <c r="BX90" s="35"/>
      <c r="BY90" s="35"/>
      <c r="BZ90" s="35"/>
      <c r="CA90" s="35"/>
      <c r="CB90" s="35"/>
      <c r="CC90" s="35"/>
      <c r="CD90" s="35"/>
      <c r="CE90" s="35"/>
      <c r="CF90" s="35"/>
      <c r="CG90" s="35"/>
      <c r="CH90" s="35"/>
      <c r="CI90" s="35"/>
      <c r="CJ90" s="35"/>
      <c r="CK90" s="35"/>
      <c r="CL90" s="35"/>
      <c r="CM90" s="35"/>
      <c r="CN90" s="35"/>
      <c r="CO90" s="35"/>
      <c r="CP90" s="35"/>
      <c r="CQ90" s="35"/>
      <c r="CR90" s="35"/>
      <c r="CS90" s="35"/>
      <c r="CT90" s="35"/>
      <c r="CU90" s="35"/>
      <c r="CV90" s="35"/>
      <c r="CW90" s="35"/>
      <c r="CX90" s="35"/>
      <c r="CY90" s="35"/>
      <c r="CZ90" s="35"/>
      <c r="DA90" s="35"/>
      <c r="DB90" s="35"/>
      <c r="DC90" s="35"/>
      <c r="DD90" s="35"/>
      <c r="DE90" s="35"/>
      <c r="DF90" s="35"/>
      <c r="DG90" s="35"/>
      <c r="DH90" s="35"/>
    </row>
    <row r="91" ht="15.75" customHeight="1"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7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5"/>
      <c r="BE91" s="35"/>
      <c r="BF91" s="35"/>
      <c r="BG91" s="35"/>
      <c r="BH91" s="35"/>
      <c r="BI91" s="35"/>
      <c r="BJ91" s="35"/>
      <c r="BK91" s="35"/>
      <c r="BL91" s="35"/>
      <c r="BM91" s="35"/>
      <c r="BN91" s="35"/>
      <c r="BO91" s="35"/>
      <c r="BP91" s="35"/>
      <c r="BQ91" s="35"/>
      <c r="BR91" s="35"/>
      <c r="BS91" s="35"/>
      <c r="BT91" s="35"/>
      <c r="BU91" s="35"/>
      <c r="BV91" s="35"/>
      <c r="BW91" s="35"/>
      <c r="BX91" s="35"/>
      <c r="BY91" s="35"/>
      <c r="BZ91" s="35"/>
      <c r="CA91" s="35"/>
      <c r="CB91" s="35"/>
      <c r="CC91" s="35"/>
      <c r="CD91" s="35"/>
      <c r="CE91" s="35"/>
      <c r="CF91" s="35"/>
      <c r="CG91" s="35"/>
      <c r="CH91" s="35"/>
      <c r="CI91" s="35"/>
      <c r="CJ91" s="35"/>
      <c r="CK91" s="35"/>
      <c r="CL91" s="35"/>
      <c r="CM91" s="35"/>
      <c r="CN91" s="35"/>
      <c r="CO91" s="35"/>
      <c r="CP91" s="35"/>
      <c r="CQ91" s="35"/>
      <c r="CR91" s="35"/>
      <c r="CS91" s="35"/>
      <c r="CT91" s="35"/>
      <c r="CU91" s="35"/>
      <c r="CV91" s="35"/>
      <c r="CW91" s="35"/>
      <c r="CX91" s="35"/>
      <c r="CY91" s="35"/>
      <c r="CZ91" s="35"/>
      <c r="DA91" s="35"/>
      <c r="DB91" s="35"/>
      <c r="DC91" s="35"/>
      <c r="DD91" s="35"/>
      <c r="DE91" s="35"/>
      <c r="DF91" s="35"/>
      <c r="DG91" s="35"/>
      <c r="DH91" s="35"/>
    </row>
    <row r="92" ht="15.75" customHeight="1"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7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5"/>
      <c r="BE92" s="35"/>
      <c r="BF92" s="35"/>
      <c r="BG92" s="35"/>
      <c r="BH92" s="35"/>
      <c r="BI92" s="35"/>
      <c r="BJ92" s="35"/>
      <c r="BK92" s="35"/>
      <c r="BL92" s="35"/>
      <c r="BM92" s="35"/>
      <c r="BN92" s="35"/>
      <c r="BO92" s="35"/>
      <c r="BP92" s="35"/>
      <c r="BQ92" s="35"/>
      <c r="BR92" s="35"/>
      <c r="BS92" s="35"/>
      <c r="BT92" s="35"/>
      <c r="BU92" s="35"/>
      <c r="BV92" s="35"/>
      <c r="BW92" s="35"/>
      <c r="BX92" s="35"/>
      <c r="BY92" s="35"/>
      <c r="BZ92" s="35"/>
      <c r="CA92" s="35"/>
      <c r="CB92" s="35"/>
      <c r="CC92" s="35"/>
      <c r="CD92" s="35"/>
      <c r="CE92" s="35"/>
      <c r="CF92" s="35"/>
      <c r="CG92" s="35"/>
      <c r="CH92" s="35"/>
      <c r="CI92" s="35"/>
      <c r="CJ92" s="35"/>
      <c r="CK92" s="35"/>
      <c r="CL92" s="35"/>
      <c r="CM92" s="35"/>
      <c r="CN92" s="35"/>
      <c r="CO92" s="35"/>
      <c r="CP92" s="35"/>
      <c r="CQ92" s="35"/>
      <c r="CR92" s="35"/>
      <c r="CS92" s="35"/>
      <c r="CT92" s="35"/>
      <c r="CU92" s="35"/>
      <c r="CV92" s="35"/>
      <c r="CW92" s="35"/>
      <c r="CX92" s="35"/>
      <c r="CY92" s="35"/>
      <c r="CZ92" s="35"/>
      <c r="DA92" s="35"/>
      <c r="DB92" s="35"/>
      <c r="DC92" s="35"/>
      <c r="DD92" s="35"/>
      <c r="DE92" s="35"/>
      <c r="DF92" s="35"/>
      <c r="DG92" s="35"/>
      <c r="DH92" s="35"/>
    </row>
    <row r="93" ht="15.75" customHeight="1"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7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5"/>
      <c r="BE93" s="35"/>
      <c r="BF93" s="35"/>
      <c r="BG93" s="35"/>
      <c r="BH93" s="35"/>
      <c r="BI93" s="35"/>
      <c r="BJ93" s="35"/>
      <c r="BK93" s="35"/>
      <c r="BL93" s="35"/>
      <c r="BM93" s="35"/>
      <c r="BN93" s="35"/>
      <c r="BO93" s="35"/>
      <c r="BP93" s="35"/>
      <c r="BQ93" s="35"/>
      <c r="BR93" s="35"/>
      <c r="BS93" s="35"/>
      <c r="BT93" s="35"/>
      <c r="BU93" s="35"/>
      <c r="BV93" s="35"/>
      <c r="BW93" s="35"/>
      <c r="BX93" s="35"/>
      <c r="BY93" s="35"/>
      <c r="BZ93" s="35"/>
      <c r="CA93" s="35"/>
      <c r="CB93" s="35"/>
      <c r="CC93" s="35"/>
      <c r="CD93" s="35"/>
      <c r="CE93" s="35"/>
      <c r="CF93" s="35"/>
      <c r="CG93" s="35"/>
      <c r="CH93" s="35"/>
      <c r="CI93" s="35"/>
      <c r="CJ93" s="35"/>
      <c r="CK93" s="35"/>
      <c r="CL93" s="35"/>
      <c r="CM93" s="35"/>
      <c r="CN93" s="35"/>
      <c r="CO93" s="35"/>
      <c r="CP93" s="35"/>
      <c r="CQ93" s="35"/>
      <c r="CR93" s="35"/>
      <c r="CS93" s="35"/>
      <c r="CT93" s="35"/>
      <c r="CU93" s="35"/>
      <c r="CV93" s="35"/>
      <c r="CW93" s="35"/>
      <c r="CX93" s="35"/>
      <c r="CY93" s="35"/>
      <c r="CZ93" s="35"/>
      <c r="DA93" s="35"/>
      <c r="DB93" s="35"/>
      <c r="DC93" s="35"/>
      <c r="DD93" s="35"/>
      <c r="DE93" s="35"/>
      <c r="DF93" s="35"/>
      <c r="DG93" s="35"/>
      <c r="DH93" s="35"/>
    </row>
    <row r="94" ht="15.75" customHeight="1"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7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5"/>
      <c r="BE94" s="35"/>
      <c r="BF94" s="35"/>
      <c r="BG94" s="35"/>
      <c r="BH94" s="35"/>
      <c r="BI94" s="35"/>
      <c r="BJ94" s="35"/>
      <c r="BK94" s="35"/>
      <c r="BL94" s="35"/>
      <c r="BM94" s="35"/>
      <c r="BN94" s="35"/>
      <c r="BO94" s="35"/>
      <c r="BP94" s="35"/>
      <c r="BQ94" s="35"/>
      <c r="BR94" s="35"/>
      <c r="BS94" s="35"/>
      <c r="BT94" s="35"/>
      <c r="BU94" s="35"/>
      <c r="BV94" s="35"/>
      <c r="BW94" s="35"/>
      <c r="BX94" s="35"/>
      <c r="BY94" s="35"/>
      <c r="BZ94" s="35"/>
      <c r="CA94" s="35"/>
      <c r="CB94" s="35"/>
      <c r="CC94" s="35"/>
      <c r="CD94" s="35"/>
      <c r="CE94" s="35"/>
      <c r="CF94" s="35"/>
      <c r="CG94" s="35"/>
      <c r="CH94" s="35"/>
      <c r="CI94" s="35"/>
      <c r="CJ94" s="35"/>
      <c r="CK94" s="35"/>
      <c r="CL94" s="35"/>
      <c r="CM94" s="35"/>
      <c r="CN94" s="35"/>
      <c r="CO94" s="35"/>
      <c r="CP94" s="35"/>
      <c r="CQ94" s="35"/>
      <c r="CR94" s="35"/>
      <c r="CS94" s="35"/>
      <c r="CT94" s="35"/>
      <c r="CU94" s="35"/>
      <c r="CV94" s="35"/>
      <c r="CW94" s="35"/>
      <c r="CX94" s="35"/>
      <c r="CY94" s="35"/>
      <c r="CZ94" s="35"/>
      <c r="DA94" s="35"/>
      <c r="DB94" s="35"/>
      <c r="DC94" s="35"/>
      <c r="DD94" s="35"/>
      <c r="DE94" s="35"/>
      <c r="DF94" s="35"/>
      <c r="DG94" s="35"/>
      <c r="DH94" s="35"/>
    </row>
    <row r="95" ht="15.75" customHeight="1"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7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5"/>
      <c r="BE95" s="35"/>
      <c r="BF95" s="35"/>
      <c r="BG95" s="35"/>
      <c r="BH95" s="35"/>
      <c r="BI95" s="35"/>
      <c r="BJ95" s="35"/>
      <c r="BK95" s="35"/>
      <c r="BL95" s="35"/>
      <c r="BM95" s="35"/>
      <c r="BN95" s="35"/>
      <c r="BO95" s="35"/>
      <c r="BP95" s="35"/>
      <c r="BQ95" s="35"/>
      <c r="BR95" s="35"/>
      <c r="BS95" s="35"/>
      <c r="BT95" s="35"/>
      <c r="BU95" s="35"/>
      <c r="BV95" s="35"/>
      <c r="BW95" s="35"/>
      <c r="BX95" s="35"/>
      <c r="BY95" s="35"/>
      <c r="BZ95" s="35"/>
      <c r="CA95" s="35"/>
      <c r="CB95" s="35"/>
      <c r="CC95" s="35"/>
      <c r="CD95" s="35"/>
      <c r="CE95" s="35"/>
      <c r="CF95" s="35"/>
      <c r="CG95" s="35"/>
      <c r="CH95" s="35"/>
      <c r="CI95" s="35"/>
      <c r="CJ95" s="35"/>
      <c r="CK95" s="35"/>
      <c r="CL95" s="35"/>
      <c r="CM95" s="35"/>
      <c r="CN95" s="35"/>
      <c r="CO95" s="35"/>
      <c r="CP95" s="35"/>
      <c r="CQ95" s="35"/>
      <c r="CR95" s="35"/>
      <c r="CS95" s="35"/>
      <c r="CT95" s="35"/>
      <c r="CU95" s="35"/>
      <c r="CV95" s="35"/>
      <c r="CW95" s="35"/>
      <c r="CX95" s="35"/>
      <c r="CY95" s="35"/>
      <c r="CZ95" s="35"/>
      <c r="DA95" s="35"/>
      <c r="DB95" s="35"/>
      <c r="DC95" s="35"/>
      <c r="DD95" s="35"/>
      <c r="DE95" s="35"/>
      <c r="DF95" s="35"/>
      <c r="DG95" s="35"/>
      <c r="DH95" s="35"/>
    </row>
    <row r="96" ht="15.75" customHeight="1"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7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5"/>
      <c r="BE96" s="35"/>
      <c r="BF96" s="35"/>
      <c r="BG96" s="35"/>
      <c r="BH96" s="35"/>
      <c r="BI96" s="35"/>
      <c r="BJ96" s="35"/>
      <c r="BK96" s="35"/>
      <c r="BL96" s="35"/>
      <c r="BM96" s="35"/>
      <c r="BN96" s="35"/>
      <c r="BO96" s="35"/>
      <c r="BP96" s="35"/>
      <c r="BQ96" s="35"/>
      <c r="BR96" s="35"/>
      <c r="BS96" s="35"/>
      <c r="BT96" s="35"/>
      <c r="BU96" s="35"/>
      <c r="BV96" s="35"/>
      <c r="BW96" s="35"/>
      <c r="BX96" s="35"/>
      <c r="BY96" s="35"/>
      <c r="BZ96" s="35"/>
      <c r="CA96" s="35"/>
      <c r="CB96" s="35"/>
      <c r="CC96" s="35"/>
      <c r="CD96" s="35"/>
      <c r="CE96" s="35"/>
      <c r="CF96" s="35"/>
      <c r="CG96" s="35"/>
      <c r="CH96" s="35"/>
      <c r="CI96" s="35"/>
      <c r="CJ96" s="35"/>
      <c r="CK96" s="35"/>
      <c r="CL96" s="35"/>
      <c r="CM96" s="35"/>
      <c r="CN96" s="35"/>
      <c r="CO96" s="35"/>
      <c r="CP96" s="35"/>
      <c r="CQ96" s="35"/>
      <c r="CR96" s="35"/>
      <c r="CS96" s="35"/>
      <c r="CT96" s="35"/>
      <c r="CU96" s="35"/>
      <c r="CV96" s="35"/>
      <c r="CW96" s="35"/>
      <c r="CX96" s="35"/>
      <c r="CY96" s="35"/>
      <c r="CZ96" s="35"/>
      <c r="DA96" s="35"/>
      <c r="DB96" s="35"/>
      <c r="DC96" s="35"/>
      <c r="DD96" s="35"/>
      <c r="DE96" s="35"/>
      <c r="DF96" s="35"/>
      <c r="DG96" s="35"/>
      <c r="DH96" s="35"/>
    </row>
    <row r="97" ht="15.75" customHeight="1"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7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5"/>
      <c r="BE97" s="35"/>
      <c r="BF97" s="35"/>
      <c r="BG97" s="35"/>
      <c r="BH97" s="35"/>
      <c r="BI97" s="35"/>
      <c r="BJ97" s="35"/>
      <c r="BK97" s="35"/>
      <c r="BL97" s="35"/>
      <c r="BM97" s="35"/>
      <c r="BN97" s="35"/>
      <c r="BO97" s="35"/>
      <c r="BP97" s="35"/>
      <c r="BQ97" s="35"/>
      <c r="BR97" s="35"/>
      <c r="BS97" s="35"/>
      <c r="BT97" s="35"/>
      <c r="BU97" s="35"/>
      <c r="BV97" s="35"/>
      <c r="BW97" s="35"/>
      <c r="BX97" s="35"/>
      <c r="BY97" s="35"/>
      <c r="BZ97" s="35"/>
      <c r="CA97" s="35"/>
      <c r="CB97" s="35"/>
      <c r="CC97" s="35"/>
      <c r="CD97" s="35"/>
      <c r="CE97" s="35"/>
      <c r="CF97" s="35"/>
      <c r="CG97" s="35"/>
      <c r="CH97" s="35"/>
      <c r="CI97" s="35"/>
      <c r="CJ97" s="35"/>
      <c r="CK97" s="35"/>
      <c r="CL97" s="35"/>
      <c r="CM97" s="35"/>
      <c r="CN97" s="35"/>
      <c r="CO97" s="35"/>
      <c r="CP97" s="35"/>
      <c r="CQ97" s="35"/>
      <c r="CR97" s="35"/>
      <c r="CS97" s="35"/>
      <c r="CT97" s="35"/>
      <c r="CU97" s="35"/>
      <c r="CV97" s="35"/>
      <c r="CW97" s="35"/>
      <c r="CX97" s="35"/>
      <c r="CY97" s="35"/>
      <c r="CZ97" s="35"/>
      <c r="DA97" s="35"/>
      <c r="DB97" s="35"/>
      <c r="DC97" s="35"/>
      <c r="DD97" s="35"/>
      <c r="DE97" s="35"/>
      <c r="DF97" s="35"/>
      <c r="DG97" s="35"/>
      <c r="DH97" s="35"/>
    </row>
    <row r="98" ht="15.75" customHeight="1"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7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  <c r="BD98" s="35"/>
      <c r="BE98" s="35"/>
      <c r="BF98" s="35"/>
      <c r="BG98" s="35"/>
      <c r="BH98" s="35"/>
      <c r="BI98" s="35"/>
      <c r="BJ98" s="35"/>
      <c r="BK98" s="35"/>
      <c r="BL98" s="35"/>
      <c r="BM98" s="35"/>
      <c r="BN98" s="35"/>
      <c r="BO98" s="35"/>
      <c r="BP98" s="35"/>
      <c r="BQ98" s="35"/>
      <c r="BR98" s="35"/>
      <c r="BS98" s="35"/>
      <c r="BT98" s="35"/>
      <c r="BU98" s="35"/>
      <c r="BV98" s="35"/>
      <c r="BW98" s="35"/>
      <c r="BX98" s="35"/>
      <c r="BY98" s="35"/>
      <c r="BZ98" s="35"/>
      <c r="CA98" s="35"/>
      <c r="CB98" s="35"/>
      <c r="CC98" s="35"/>
      <c r="CD98" s="35"/>
      <c r="CE98" s="35"/>
      <c r="CF98" s="35"/>
      <c r="CG98" s="35"/>
      <c r="CH98" s="35"/>
      <c r="CI98" s="35"/>
      <c r="CJ98" s="35"/>
      <c r="CK98" s="35"/>
      <c r="CL98" s="35"/>
      <c r="CM98" s="35"/>
      <c r="CN98" s="35"/>
      <c r="CO98" s="35"/>
      <c r="CP98" s="35"/>
      <c r="CQ98" s="35"/>
      <c r="CR98" s="35"/>
      <c r="CS98" s="35"/>
      <c r="CT98" s="35"/>
      <c r="CU98" s="35"/>
      <c r="CV98" s="35"/>
      <c r="CW98" s="35"/>
      <c r="CX98" s="35"/>
      <c r="CY98" s="35"/>
      <c r="CZ98" s="35"/>
      <c r="DA98" s="35"/>
      <c r="DB98" s="35"/>
      <c r="DC98" s="35"/>
      <c r="DD98" s="35"/>
      <c r="DE98" s="35"/>
      <c r="DF98" s="35"/>
      <c r="DG98" s="35"/>
      <c r="DH98" s="35"/>
    </row>
    <row r="99" ht="15.75" customHeight="1"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7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35"/>
      <c r="BD99" s="35"/>
      <c r="BE99" s="35"/>
      <c r="BF99" s="35"/>
      <c r="BG99" s="35"/>
      <c r="BH99" s="35"/>
      <c r="BI99" s="35"/>
      <c r="BJ99" s="35"/>
      <c r="BK99" s="35"/>
      <c r="BL99" s="35"/>
      <c r="BM99" s="35"/>
      <c r="BN99" s="35"/>
      <c r="BO99" s="35"/>
      <c r="BP99" s="35"/>
      <c r="BQ99" s="35"/>
      <c r="BR99" s="35"/>
      <c r="BS99" s="35"/>
      <c r="BT99" s="35"/>
      <c r="BU99" s="35"/>
      <c r="BV99" s="35"/>
      <c r="BW99" s="35"/>
      <c r="BX99" s="35"/>
      <c r="BY99" s="35"/>
      <c r="BZ99" s="35"/>
      <c r="CA99" s="35"/>
      <c r="CB99" s="35"/>
      <c r="CC99" s="35"/>
      <c r="CD99" s="35"/>
      <c r="CE99" s="35"/>
      <c r="CF99" s="35"/>
      <c r="CG99" s="35"/>
      <c r="CH99" s="35"/>
      <c r="CI99" s="35"/>
      <c r="CJ99" s="35"/>
      <c r="CK99" s="35"/>
      <c r="CL99" s="35"/>
      <c r="CM99" s="35"/>
      <c r="CN99" s="35"/>
      <c r="CO99" s="35"/>
      <c r="CP99" s="35"/>
      <c r="CQ99" s="35"/>
      <c r="CR99" s="35"/>
      <c r="CS99" s="35"/>
      <c r="CT99" s="35"/>
      <c r="CU99" s="35"/>
      <c r="CV99" s="35"/>
      <c r="CW99" s="35"/>
      <c r="CX99" s="35"/>
      <c r="CY99" s="35"/>
      <c r="CZ99" s="35"/>
      <c r="DA99" s="35"/>
      <c r="DB99" s="35"/>
      <c r="DC99" s="35"/>
      <c r="DD99" s="35"/>
      <c r="DE99" s="35"/>
      <c r="DF99" s="35"/>
      <c r="DG99" s="35"/>
      <c r="DH99" s="35"/>
    </row>
    <row r="100" ht="15.75" customHeight="1"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7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5"/>
      <c r="BC100" s="35"/>
      <c r="BD100" s="35"/>
      <c r="BE100" s="35"/>
      <c r="BF100" s="35"/>
      <c r="BG100" s="35"/>
      <c r="BH100" s="35"/>
      <c r="BI100" s="35"/>
      <c r="BJ100" s="35"/>
      <c r="BK100" s="35"/>
      <c r="BL100" s="35"/>
      <c r="BM100" s="35"/>
      <c r="BN100" s="35"/>
      <c r="BO100" s="35"/>
      <c r="BP100" s="35"/>
      <c r="BQ100" s="35"/>
      <c r="BR100" s="35"/>
      <c r="BS100" s="35"/>
      <c r="BT100" s="35"/>
      <c r="BU100" s="35"/>
      <c r="BV100" s="35"/>
      <c r="BW100" s="35"/>
      <c r="BX100" s="35"/>
      <c r="BY100" s="35"/>
      <c r="BZ100" s="35"/>
      <c r="CA100" s="35"/>
      <c r="CB100" s="35"/>
      <c r="CC100" s="35"/>
      <c r="CD100" s="35"/>
      <c r="CE100" s="35"/>
      <c r="CF100" s="35"/>
      <c r="CG100" s="35"/>
      <c r="CH100" s="35"/>
      <c r="CI100" s="35"/>
      <c r="CJ100" s="35"/>
      <c r="CK100" s="35"/>
      <c r="CL100" s="35"/>
      <c r="CM100" s="35"/>
      <c r="CN100" s="35"/>
      <c r="CO100" s="35"/>
      <c r="CP100" s="35"/>
      <c r="CQ100" s="35"/>
      <c r="CR100" s="35"/>
      <c r="CS100" s="35"/>
      <c r="CT100" s="35"/>
      <c r="CU100" s="35"/>
      <c r="CV100" s="35"/>
      <c r="CW100" s="35"/>
      <c r="CX100" s="35"/>
      <c r="CY100" s="35"/>
      <c r="CZ100" s="35"/>
      <c r="DA100" s="35"/>
      <c r="DB100" s="35"/>
      <c r="DC100" s="35"/>
      <c r="DD100" s="35"/>
      <c r="DE100" s="35"/>
      <c r="DF100" s="35"/>
      <c r="DG100" s="35"/>
      <c r="DH100" s="35"/>
    </row>
    <row r="101" ht="15.75" customHeight="1"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7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  <c r="BC101" s="35"/>
      <c r="BD101" s="35"/>
      <c r="BE101" s="35"/>
      <c r="BF101" s="35"/>
      <c r="BG101" s="35"/>
      <c r="BH101" s="35"/>
      <c r="BI101" s="35"/>
      <c r="BJ101" s="35"/>
      <c r="BK101" s="35"/>
      <c r="BL101" s="35"/>
      <c r="BM101" s="35"/>
      <c r="BN101" s="35"/>
      <c r="BO101" s="35"/>
      <c r="BP101" s="35"/>
      <c r="BQ101" s="35"/>
      <c r="BR101" s="35"/>
      <c r="BS101" s="35"/>
      <c r="BT101" s="35"/>
      <c r="BU101" s="35"/>
      <c r="BV101" s="35"/>
      <c r="BW101" s="35"/>
      <c r="BX101" s="35"/>
      <c r="BY101" s="35"/>
      <c r="BZ101" s="35"/>
      <c r="CA101" s="35"/>
      <c r="CB101" s="35"/>
      <c r="CC101" s="35"/>
      <c r="CD101" s="35"/>
      <c r="CE101" s="35"/>
      <c r="CF101" s="35"/>
      <c r="CG101" s="35"/>
      <c r="CH101" s="35"/>
      <c r="CI101" s="35"/>
      <c r="CJ101" s="35"/>
      <c r="CK101" s="35"/>
      <c r="CL101" s="35"/>
      <c r="CM101" s="35"/>
      <c r="CN101" s="35"/>
      <c r="CO101" s="35"/>
      <c r="CP101" s="35"/>
      <c r="CQ101" s="35"/>
      <c r="CR101" s="35"/>
      <c r="CS101" s="35"/>
      <c r="CT101" s="35"/>
      <c r="CU101" s="35"/>
      <c r="CV101" s="35"/>
      <c r="CW101" s="35"/>
      <c r="CX101" s="35"/>
      <c r="CY101" s="35"/>
      <c r="CZ101" s="35"/>
      <c r="DA101" s="35"/>
      <c r="DB101" s="35"/>
      <c r="DC101" s="35"/>
      <c r="DD101" s="35"/>
      <c r="DE101" s="35"/>
      <c r="DF101" s="35"/>
      <c r="DG101" s="35"/>
      <c r="DH101" s="35"/>
    </row>
    <row r="102" ht="15.75" customHeight="1"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7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  <c r="BC102" s="35"/>
      <c r="BD102" s="35"/>
      <c r="BE102" s="35"/>
      <c r="BF102" s="35"/>
      <c r="BG102" s="35"/>
      <c r="BH102" s="35"/>
      <c r="BI102" s="35"/>
      <c r="BJ102" s="35"/>
      <c r="BK102" s="35"/>
      <c r="BL102" s="35"/>
      <c r="BM102" s="35"/>
      <c r="BN102" s="35"/>
      <c r="BO102" s="35"/>
      <c r="BP102" s="35"/>
      <c r="BQ102" s="35"/>
      <c r="BR102" s="35"/>
      <c r="BS102" s="35"/>
      <c r="BT102" s="35"/>
      <c r="BU102" s="35"/>
      <c r="BV102" s="35"/>
      <c r="BW102" s="35"/>
      <c r="BX102" s="35"/>
      <c r="BY102" s="35"/>
      <c r="BZ102" s="35"/>
      <c r="CA102" s="35"/>
      <c r="CB102" s="35"/>
      <c r="CC102" s="35"/>
      <c r="CD102" s="35"/>
      <c r="CE102" s="35"/>
      <c r="CF102" s="35"/>
      <c r="CG102" s="35"/>
      <c r="CH102" s="35"/>
      <c r="CI102" s="35"/>
      <c r="CJ102" s="35"/>
      <c r="CK102" s="35"/>
      <c r="CL102" s="35"/>
      <c r="CM102" s="35"/>
      <c r="CN102" s="35"/>
      <c r="CO102" s="35"/>
      <c r="CP102" s="35"/>
      <c r="CQ102" s="35"/>
      <c r="CR102" s="35"/>
      <c r="CS102" s="35"/>
      <c r="CT102" s="35"/>
      <c r="CU102" s="35"/>
      <c r="CV102" s="35"/>
      <c r="CW102" s="35"/>
      <c r="CX102" s="35"/>
      <c r="CY102" s="35"/>
      <c r="CZ102" s="35"/>
      <c r="DA102" s="35"/>
      <c r="DB102" s="35"/>
      <c r="DC102" s="35"/>
      <c r="DD102" s="35"/>
      <c r="DE102" s="35"/>
      <c r="DF102" s="35"/>
      <c r="DG102" s="35"/>
      <c r="DH102" s="35"/>
    </row>
    <row r="103" ht="15.75" customHeight="1"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7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  <c r="BD103" s="35"/>
      <c r="BE103" s="35"/>
      <c r="BF103" s="35"/>
      <c r="BG103" s="35"/>
      <c r="BH103" s="35"/>
      <c r="BI103" s="35"/>
      <c r="BJ103" s="35"/>
      <c r="BK103" s="35"/>
      <c r="BL103" s="35"/>
      <c r="BM103" s="35"/>
      <c r="BN103" s="35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  <c r="CO103" s="35"/>
      <c r="CP103" s="35"/>
      <c r="CQ103" s="35"/>
      <c r="CR103" s="35"/>
      <c r="CS103" s="35"/>
      <c r="CT103" s="35"/>
      <c r="CU103" s="35"/>
      <c r="CV103" s="35"/>
      <c r="CW103" s="35"/>
      <c r="CX103" s="35"/>
      <c r="CY103" s="35"/>
      <c r="CZ103" s="35"/>
      <c r="DA103" s="35"/>
      <c r="DB103" s="35"/>
      <c r="DC103" s="35"/>
      <c r="DD103" s="35"/>
      <c r="DE103" s="35"/>
      <c r="DF103" s="35"/>
      <c r="DG103" s="35"/>
      <c r="DH103" s="35"/>
    </row>
    <row r="104" ht="15.75" customHeight="1"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7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  <c r="BC104" s="35"/>
      <c r="BD104" s="35"/>
      <c r="BE104" s="35"/>
      <c r="BF104" s="35"/>
      <c r="BG104" s="35"/>
      <c r="BH104" s="35"/>
      <c r="BI104" s="35"/>
      <c r="BJ104" s="35"/>
      <c r="BK104" s="35"/>
      <c r="BL104" s="35"/>
      <c r="BM104" s="35"/>
      <c r="BN104" s="35"/>
      <c r="BO104" s="35"/>
      <c r="BP104" s="35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  <c r="CA104" s="35"/>
      <c r="CB104" s="35"/>
      <c r="CC104" s="35"/>
      <c r="CD104" s="35"/>
      <c r="CE104" s="35"/>
      <c r="CF104" s="35"/>
      <c r="CG104" s="35"/>
      <c r="CH104" s="35"/>
      <c r="CI104" s="35"/>
      <c r="CJ104" s="35"/>
      <c r="CK104" s="35"/>
      <c r="CL104" s="35"/>
      <c r="CM104" s="35"/>
      <c r="CN104" s="35"/>
      <c r="CO104" s="35"/>
      <c r="CP104" s="35"/>
      <c r="CQ104" s="35"/>
      <c r="CR104" s="35"/>
      <c r="CS104" s="35"/>
      <c r="CT104" s="35"/>
      <c r="CU104" s="35"/>
      <c r="CV104" s="35"/>
      <c r="CW104" s="35"/>
      <c r="CX104" s="35"/>
      <c r="CY104" s="35"/>
      <c r="CZ104" s="35"/>
      <c r="DA104" s="35"/>
      <c r="DB104" s="35"/>
      <c r="DC104" s="35"/>
      <c r="DD104" s="35"/>
      <c r="DE104" s="35"/>
      <c r="DF104" s="35"/>
      <c r="DG104" s="35"/>
      <c r="DH104" s="35"/>
    </row>
    <row r="105" ht="15.75" customHeight="1"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7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35"/>
      <c r="BA105" s="35"/>
      <c r="BB105" s="35"/>
      <c r="BC105" s="35"/>
      <c r="BD105" s="35"/>
      <c r="BE105" s="35"/>
      <c r="BF105" s="35"/>
      <c r="BG105" s="35"/>
      <c r="BH105" s="35"/>
      <c r="BI105" s="35"/>
      <c r="BJ105" s="35"/>
      <c r="BK105" s="35"/>
      <c r="BL105" s="35"/>
      <c r="BM105" s="35"/>
      <c r="BN105" s="35"/>
      <c r="BO105" s="35"/>
      <c r="BP105" s="35"/>
      <c r="BQ105" s="35"/>
      <c r="BR105" s="35"/>
      <c r="BS105" s="35"/>
      <c r="BT105" s="35"/>
      <c r="BU105" s="35"/>
      <c r="BV105" s="35"/>
      <c r="BW105" s="35"/>
      <c r="BX105" s="35"/>
      <c r="BY105" s="35"/>
      <c r="BZ105" s="35"/>
      <c r="CA105" s="35"/>
      <c r="CB105" s="35"/>
      <c r="CC105" s="35"/>
      <c r="CD105" s="35"/>
      <c r="CE105" s="35"/>
      <c r="CF105" s="35"/>
      <c r="CG105" s="35"/>
      <c r="CH105" s="35"/>
      <c r="CI105" s="35"/>
      <c r="CJ105" s="35"/>
      <c r="CK105" s="35"/>
      <c r="CL105" s="35"/>
      <c r="CM105" s="35"/>
      <c r="CN105" s="35"/>
      <c r="CO105" s="35"/>
      <c r="CP105" s="35"/>
      <c r="CQ105" s="35"/>
      <c r="CR105" s="35"/>
      <c r="CS105" s="35"/>
      <c r="CT105" s="35"/>
      <c r="CU105" s="35"/>
      <c r="CV105" s="35"/>
      <c r="CW105" s="35"/>
      <c r="CX105" s="35"/>
      <c r="CY105" s="35"/>
      <c r="CZ105" s="35"/>
      <c r="DA105" s="35"/>
      <c r="DB105" s="35"/>
      <c r="DC105" s="35"/>
      <c r="DD105" s="35"/>
      <c r="DE105" s="35"/>
      <c r="DF105" s="35"/>
      <c r="DG105" s="35"/>
      <c r="DH105" s="35"/>
    </row>
    <row r="106" ht="15.75" customHeight="1"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7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  <c r="BC106" s="35"/>
      <c r="BD106" s="35"/>
      <c r="BE106" s="35"/>
      <c r="BF106" s="35"/>
      <c r="BG106" s="35"/>
      <c r="BH106" s="35"/>
      <c r="BI106" s="35"/>
      <c r="BJ106" s="35"/>
      <c r="BK106" s="35"/>
      <c r="BL106" s="35"/>
      <c r="BM106" s="35"/>
      <c r="BN106" s="35"/>
      <c r="BO106" s="35"/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5"/>
      <c r="CA106" s="35"/>
      <c r="CB106" s="35"/>
      <c r="CC106" s="35"/>
      <c r="CD106" s="35"/>
      <c r="CE106" s="35"/>
      <c r="CF106" s="35"/>
      <c r="CG106" s="35"/>
      <c r="CH106" s="35"/>
      <c r="CI106" s="35"/>
      <c r="CJ106" s="35"/>
      <c r="CK106" s="35"/>
      <c r="CL106" s="35"/>
      <c r="CM106" s="35"/>
      <c r="CN106" s="35"/>
      <c r="CO106" s="35"/>
      <c r="CP106" s="35"/>
      <c r="CQ106" s="35"/>
      <c r="CR106" s="35"/>
      <c r="CS106" s="35"/>
      <c r="CT106" s="35"/>
      <c r="CU106" s="35"/>
      <c r="CV106" s="35"/>
      <c r="CW106" s="35"/>
      <c r="CX106" s="35"/>
      <c r="CY106" s="35"/>
      <c r="CZ106" s="35"/>
      <c r="DA106" s="35"/>
      <c r="DB106" s="35"/>
      <c r="DC106" s="35"/>
      <c r="DD106" s="35"/>
      <c r="DE106" s="35"/>
      <c r="DF106" s="35"/>
      <c r="DG106" s="35"/>
      <c r="DH106" s="35"/>
    </row>
    <row r="107" ht="15.75" customHeight="1"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7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  <c r="BA107" s="35"/>
      <c r="BB107" s="35"/>
      <c r="BC107" s="35"/>
      <c r="BD107" s="35"/>
      <c r="BE107" s="35"/>
      <c r="BF107" s="35"/>
      <c r="BG107" s="35"/>
      <c r="BH107" s="35"/>
      <c r="BI107" s="35"/>
      <c r="BJ107" s="35"/>
      <c r="BK107" s="35"/>
      <c r="BL107" s="35"/>
      <c r="BM107" s="35"/>
      <c r="BN107" s="35"/>
      <c r="BO107" s="35"/>
      <c r="BP107" s="35"/>
      <c r="BQ107" s="35"/>
      <c r="BR107" s="35"/>
      <c r="BS107" s="35"/>
      <c r="BT107" s="35"/>
      <c r="BU107" s="35"/>
      <c r="BV107" s="35"/>
      <c r="BW107" s="35"/>
      <c r="BX107" s="35"/>
      <c r="BY107" s="35"/>
      <c r="BZ107" s="35"/>
      <c r="CA107" s="35"/>
      <c r="CB107" s="35"/>
      <c r="CC107" s="35"/>
      <c r="CD107" s="35"/>
      <c r="CE107" s="35"/>
      <c r="CF107" s="35"/>
      <c r="CG107" s="35"/>
      <c r="CH107" s="35"/>
      <c r="CI107" s="35"/>
      <c r="CJ107" s="35"/>
      <c r="CK107" s="35"/>
      <c r="CL107" s="35"/>
      <c r="CM107" s="35"/>
      <c r="CN107" s="35"/>
      <c r="CO107" s="35"/>
      <c r="CP107" s="35"/>
      <c r="CQ107" s="35"/>
      <c r="CR107" s="35"/>
      <c r="CS107" s="35"/>
      <c r="CT107" s="35"/>
      <c r="CU107" s="35"/>
      <c r="CV107" s="35"/>
      <c r="CW107" s="35"/>
      <c r="CX107" s="35"/>
      <c r="CY107" s="35"/>
      <c r="CZ107" s="35"/>
      <c r="DA107" s="35"/>
      <c r="DB107" s="35"/>
      <c r="DC107" s="35"/>
      <c r="DD107" s="35"/>
      <c r="DE107" s="35"/>
      <c r="DF107" s="35"/>
      <c r="DG107" s="35"/>
      <c r="DH107" s="35"/>
    </row>
    <row r="108" ht="15.75" customHeight="1"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7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/>
      <c r="BC108" s="35"/>
      <c r="BD108" s="35"/>
      <c r="BE108" s="35"/>
      <c r="BF108" s="35"/>
      <c r="BG108" s="35"/>
      <c r="BH108" s="35"/>
      <c r="BI108" s="35"/>
      <c r="BJ108" s="35"/>
      <c r="BK108" s="35"/>
      <c r="BL108" s="35"/>
      <c r="BM108" s="35"/>
      <c r="BN108" s="35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  <c r="CX108" s="35"/>
      <c r="CY108" s="35"/>
      <c r="CZ108" s="35"/>
      <c r="DA108" s="35"/>
      <c r="DB108" s="35"/>
      <c r="DC108" s="35"/>
      <c r="DD108" s="35"/>
      <c r="DE108" s="35"/>
      <c r="DF108" s="35"/>
      <c r="DG108" s="35"/>
      <c r="DH108" s="35"/>
    </row>
    <row r="109" ht="15.75" customHeight="1"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7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  <c r="BC109" s="35"/>
      <c r="BD109" s="35"/>
      <c r="BE109" s="35"/>
      <c r="BF109" s="35"/>
      <c r="BG109" s="35"/>
      <c r="BH109" s="35"/>
      <c r="BI109" s="35"/>
      <c r="BJ109" s="35"/>
      <c r="BK109" s="35"/>
      <c r="BL109" s="35"/>
      <c r="BM109" s="35"/>
      <c r="BN109" s="35"/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  <c r="CA109" s="35"/>
      <c r="CB109" s="35"/>
      <c r="CC109" s="35"/>
      <c r="CD109" s="35"/>
      <c r="CE109" s="35"/>
      <c r="CF109" s="35"/>
      <c r="CG109" s="35"/>
      <c r="CH109" s="35"/>
      <c r="CI109" s="35"/>
      <c r="CJ109" s="35"/>
      <c r="CK109" s="35"/>
      <c r="CL109" s="35"/>
      <c r="CM109" s="35"/>
      <c r="CN109" s="35"/>
      <c r="CO109" s="35"/>
      <c r="CP109" s="35"/>
      <c r="CQ109" s="35"/>
      <c r="CR109" s="35"/>
      <c r="CS109" s="35"/>
      <c r="CT109" s="35"/>
      <c r="CU109" s="35"/>
      <c r="CV109" s="35"/>
      <c r="CW109" s="35"/>
      <c r="CX109" s="35"/>
      <c r="CY109" s="35"/>
      <c r="CZ109" s="35"/>
      <c r="DA109" s="35"/>
      <c r="DB109" s="35"/>
      <c r="DC109" s="35"/>
      <c r="DD109" s="35"/>
      <c r="DE109" s="35"/>
      <c r="DF109" s="35"/>
      <c r="DG109" s="35"/>
      <c r="DH109" s="35"/>
    </row>
    <row r="110" ht="15.75" customHeight="1"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7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35"/>
      <c r="BA110" s="35"/>
      <c r="BB110" s="35"/>
      <c r="BC110" s="35"/>
      <c r="BD110" s="35"/>
      <c r="BE110" s="35"/>
      <c r="BF110" s="35"/>
      <c r="BG110" s="35"/>
      <c r="BH110" s="35"/>
      <c r="BI110" s="35"/>
      <c r="BJ110" s="35"/>
      <c r="BK110" s="35"/>
      <c r="BL110" s="35"/>
      <c r="BM110" s="35"/>
      <c r="BN110" s="35"/>
      <c r="BO110" s="35"/>
      <c r="BP110" s="35"/>
      <c r="BQ110" s="35"/>
      <c r="BR110" s="35"/>
      <c r="BS110" s="35"/>
      <c r="BT110" s="35"/>
      <c r="BU110" s="35"/>
      <c r="BV110" s="35"/>
      <c r="BW110" s="35"/>
      <c r="BX110" s="35"/>
      <c r="BY110" s="35"/>
      <c r="BZ110" s="35"/>
      <c r="CA110" s="35"/>
      <c r="CB110" s="35"/>
      <c r="CC110" s="35"/>
      <c r="CD110" s="35"/>
      <c r="CE110" s="35"/>
      <c r="CF110" s="35"/>
      <c r="CG110" s="35"/>
      <c r="CH110" s="35"/>
      <c r="CI110" s="35"/>
      <c r="CJ110" s="35"/>
      <c r="CK110" s="35"/>
      <c r="CL110" s="35"/>
      <c r="CM110" s="35"/>
      <c r="CN110" s="35"/>
      <c r="CO110" s="35"/>
      <c r="CP110" s="35"/>
      <c r="CQ110" s="35"/>
      <c r="CR110" s="35"/>
      <c r="CS110" s="35"/>
      <c r="CT110" s="35"/>
      <c r="CU110" s="35"/>
      <c r="CV110" s="35"/>
      <c r="CW110" s="35"/>
      <c r="CX110" s="35"/>
      <c r="CY110" s="35"/>
      <c r="CZ110" s="35"/>
      <c r="DA110" s="35"/>
      <c r="DB110" s="35"/>
      <c r="DC110" s="35"/>
      <c r="DD110" s="35"/>
      <c r="DE110" s="35"/>
      <c r="DF110" s="35"/>
      <c r="DG110" s="35"/>
      <c r="DH110" s="35"/>
    </row>
    <row r="111" ht="15.75" customHeight="1"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7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  <c r="AZ111" s="35"/>
      <c r="BA111" s="35"/>
      <c r="BB111" s="35"/>
      <c r="BC111" s="35"/>
      <c r="BD111" s="35"/>
      <c r="BE111" s="35"/>
      <c r="BF111" s="35"/>
      <c r="BG111" s="35"/>
      <c r="BH111" s="35"/>
      <c r="BI111" s="35"/>
      <c r="BJ111" s="35"/>
      <c r="BK111" s="35"/>
      <c r="BL111" s="35"/>
      <c r="BM111" s="35"/>
      <c r="BN111" s="35"/>
      <c r="BO111" s="35"/>
      <c r="BP111" s="35"/>
      <c r="BQ111" s="35"/>
      <c r="BR111" s="35"/>
      <c r="BS111" s="35"/>
      <c r="BT111" s="35"/>
      <c r="BU111" s="35"/>
      <c r="BV111" s="35"/>
      <c r="BW111" s="35"/>
      <c r="BX111" s="35"/>
      <c r="BY111" s="35"/>
      <c r="BZ111" s="35"/>
      <c r="CA111" s="35"/>
      <c r="CB111" s="35"/>
      <c r="CC111" s="35"/>
      <c r="CD111" s="35"/>
      <c r="CE111" s="35"/>
      <c r="CF111" s="35"/>
      <c r="CG111" s="35"/>
      <c r="CH111" s="35"/>
      <c r="CI111" s="35"/>
      <c r="CJ111" s="35"/>
      <c r="CK111" s="35"/>
      <c r="CL111" s="35"/>
      <c r="CM111" s="35"/>
      <c r="CN111" s="35"/>
      <c r="CO111" s="35"/>
      <c r="CP111" s="35"/>
      <c r="CQ111" s="35"/>
      <c r="CR111" s="35"/>
      <c r="CS111" s="35"/>
      <c r="CT111" s="35"/>
      <c r="CU111" s="35"/>
      <c r="CV111" s="35"/>
      <c r="CW111" s="35"/>
      <c r="CX111" s="35"/>
      <c r="CY111" s="35"/>
      <c r="CZ111" s="35"/>
      <c r="DA111" s="35"/>
      <c r="DB111" s="35"/>
      <c r="DC111" s="35"/>
      <c r="DD111" s="35"/>
      <c r="DE111" s="35"/>
      <c r="DF111" s="35"/>
      <c r="DG111" s="35"/>
      <c r="DH111" s="35"/>
    </row>
    <row r="112" ht="15.75" customHeight="1"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7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5"/>
      <c r="BC112" s="35"/>
      <c r="BD112" s="35"/>
      <c r="BE112" s="35"/>
      <c r="BF112" s="35"/>
      <c r="BG112" s="35"/>
      <c r="BH112" s="35"/>
      <c r="BI112" s="35"/>
      <c r="BJ112" s="35"/>
      <c r="BK112" s="35"/>
      <c r="BL112" s="35"/>
      <c r="BM112" s="35"/>
      <c r="BN112" s="35"/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  <c r="CA112" s="35"/>
      <c r="CB112" s="35"/>
      <c r="CC112" s="35"/>
      <c r="CD112" s="35"/>
      <c r="CE112" s="35"/>
      <c r="CF112" s="35"/>
      <c r="CG112" s="35"/>
      <c r="CH112" s="35"/>
      <c r="CI112" s="35"/>
      <c r="CJ112" s="35"/>
      <c r="CK112" s="35"/>
      <c r="CL112" s="35"/>
      <c r="CM112" s="35"/>
      <c r="CN112" s="35"/>
      <c r="CO112" s="35"/>
      <c r="CP112" s="35"/>
      <c r="CQ112" s="35"/>
      <c r="CR112" s="35"/>
      <c r="CS112" s="35"/>
      <c r="CT112" s="35"/>
      <c r="CU112" s="35"/>
      <c r="CV112" s="35"/>
      <c r="CW112" s="35"/>
      <c r="CX112" s="35"/>
      <c r="CY112" s="35"/>
      <c r="CZ112" s="35"/>
      <c r="DA112" s="35"/>
      <c r="DB112" s="35"/>
      <c r="DC112" s="35"/>
      <c r="DD112" s="35"/>
      <c r="DE112" s="35"/>
      <c r="DF112" s="35"/>
      <c r="DG112" s="35"/>
      <c r="DH112" s="35"/>
    </row>
    <row r="113" ht="15.75" customHeight="1"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7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5"/>
      <c r="BC113" s="35"/>
      <c r="BD113" s="35"/>
      <c r="BE113" s="35"/>
      <c r="BF113" s="35"/>
      <c r="BG113" s="35"/>
      <c r="BH113" s="35"/>
      <c r="BI113" s="35"/>
      <c r="BJ113" s="35"/>
      <c r="BK113" s="35"/>
      <c r="BL113" s="35"/>
      <c r="BM113" s="35"/>
      <c r="BN113" s="35"/>
      <c r="BO113" s="35"/>
      <c r="BP113" s="35"/>
      <c r="BQ113" s="35"/>
      <c r="BR113" s="35"/>
      <c r="BS113" s="35"/>
      <c r="BT113" s="35"/>
      <c r="BU113" s="35"/>
      <c r="BV113" s="35"/>
      <c r="BW113" s="35"/>
      <c r="BX113" s="35"/>
      <c r="BY113" s="35"/>
      <c r="BZ113" s="35"/>
      <c r="CA113" s="35"/>
      <c r="CB113" s="35"/>
      <c r="CC113" s="35"/>
      <c r="CD113" s="35"/>
      <c r="CE113" s="35"/>
      <c r="CF113" s="35"/>
      <c r="CG113" s="35"/>
      <c r="CH113" s="35"/>
      <c r="CI113" s="35"/>
      <c r="CJ113" s="35"/>
      <c r="CK113" s="35"/>
      <c r="CL113" s="35"/>
      <c r="CM113" s="35"/>
      <c r="CN113" s="35"/>
      <c r="CO113" s="35"/>
      <c r="CP113" s="35"/>
      <c r="CQ113" s="35"/>
      <c r="CR113" s="35"/>
      <c r="CS113" s="35"/>
      <c r="CT113" s="35"/>
      <c r="CU113" s="35"/>
      <c r="CV113" s="35"/>
      <c r="CW113" s="35"/>
      <c r="CX113" s="35"/>
      <c r="CY113" s="35"/>
      <c r="CZ113" s="35"/>
      <c r="DA113" s="35"/>
      <c r="DB113" s="35"/>
      <c r="DC113" s="35"/>
      <c r="DD113" s="35"/>
      <c r="DE113" s="35"/>
      <c r="DF113" s="35"/>
      <c r="DG113" s="35"/>
      <c r="DH113" s="35"/>
    </row>
    <row r="114" ht="15.75" customHeight="1"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7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  <c r="BM114" s="35"/>
      <c r="BN114" s="35"/>
      <c r="BO114" s="35"/>
      <c r="BP114" s="35"/>
      <c r="BQ114" s="35"/>
      <c r="BR114" s="35"/>
      <c r="BS114" s="35"/>
      <c r="BT114" s="35"/>
      <c r="BU114" s="35"/>
      <c r="BV114" s="35"/>
      <c r="BW114" s="35"/>
      <c r="BX114" s="35"/>
      <c r="BY114" s="35"/>
      <c r="BZ114" s="35"/>
      <c r="CA114" s="35"/>
      <c r="CB114" s="35"/>
      <c r="CC114" s="35"/>
      <c r="CD114" s="35"/>
      <c r="CE114" s="35"/>
      <c r="CF114" s="35"/>
      <c r="CG114" s="35"/>
      <c r="CH114" s="35"/>
      <c r="CI114" s="35"/>
      <c r="CJ114" s="35"/>
      <c r="CK114" s="35"/>
      <c r="CL114" s="35"/>
      <c r="CM114" s="35"/>
      <c r="CN114" s="35"/>
      <c r="CO114" s="35"/>
      <c r="CP114" s="35"/>
      <c r="CQ114" s="35"/>
      <c r="CR114" s="35"/>
      <c r="CS114" s="35"/>
      <c r="CT114" s="35"/>
      <c r="CU114" s="35"/>
      <c r="CV114" s="35"/>
      <c r="CW114" s="35"/>
      <c r="CX114" s="35"/>
      <c r="CY114" s="35"/>
      <c r="CZ114" s="35"/>
      <c r="DA114" s="35"/>
      <c r="DB114" s="35"/>
      <c r="DC114" s="35"/>
      <c r="DD114" s="35"/>
      <c r="DE114" s="35"/>
      <c r="DF114" s="35"/>
      <c r="DG114" s="35"/>
      <c r="DH114" s="35"/>
    </row>
    <row r="115" ht="15.75" customHeight="1"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7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  <c r="BC115" s="35"/>
      <c r="BD115" s="35"/>
      <c r="BE115" s="35"/>
      <c r="BF115" s="35"/>
      <c r="BG115" s="35"/>
      <c r="BH115" s="35"/>
      <c r="BI115" s="35"/>
      <c r="BJ115" s="35"/>
      <c r="BK115" s="35"/>
      <c r="BL115" s="35"/>
      <c r="BM115" s="35"/>
      <c r="BN115" s="35"/>
      <c r="BO115" s="35"/>
      <c r="BP115" s="35"/>
      <c r="BQ115" s="35"/>
      <c r="BR115" s="35"/>
      <c r="BS115" s="35"/>
      <c r="BT115" s="35"/>
      <c r="BU115" s="35"/>
      <c r="BV115" s="35"/>
      <c r="BW115" s="35"/>
      <c r="BX115" s="35"/>
      <c r="BY115" s="35"/>
      <c r="BZ115" s="35"/>
      <c r="CA115" s="35"/>
      <c r="CB115" s="35"/>
      <c r="CC115" s="35"/>
      <c r="CD115" s="35"/>
      <c r="CE115" s="35"/>
      <c r="CF115" s="35"/>
      <c r="CG115" s="35"/>
      <c r="CH115" s="35"/>
      <c r="CI115" s="35"/>
      <c r="CJ115" s="35"/>
      <c r="CK115" s="35"/>
      <c r="CL115" s="35"/>
      <c r="CM115" s="35"/>
      <c r="CN115" s="35"/>
      <c r="CO115" s="35"/>
      <c r="CP115" s="35"/>
      <c r="CQ115" s="35"/>
      <c r="CR115" s="35"/>
      <c r="CS115" s="35"/>
      <c r="CT115" s="35"/>
      <c r="CU115" s="35"/>
      <c r="CV115" s="35"/>
      <c r="CW115" s="35"/>
      <c r="CX115" s="35"/>
      <c r="CY115" s="35"/>
      <c r="CZ115" s="35"/>
      <c r="DA115" s="35"/>
      <c r="DB115" s="35"/>
      <c r="DC115" s="35"/>
      <c r="DD115" s="35"/>
      <c r="DE115" s="35"/>
      <c r="DF115" s="35"/>
      <c r="DG115" s="35"/>
      <c r="DH115" s="35"/>
    </row>
    <row r="116" ht="15.75" customHeight="1"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7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/>
      <c r="BB116" s="35"/>
      <c r="BC116" s="35"/>
      <c r="BD116" s="35"/>
      <c r="BE116" s="35"/>
      <c r="BF116" s="35"/>
      <c r="BG116" s="35"/>
      <c r="BH116" s="35"/>
      <c r="BI116" s="35"/>
      <c r="BJ116" s="35"/>
      <c r="BK116" s="35"/>
      <c r="BL116" s="35"/>
      <c r="BM116" s="35"/>
      <c r="BN116" s="35"/>
      <c r="BO116" s="35"/>
      <c r="BP116" s="35"/>
      <c r="BQ116" s="35"/>
      <c r="BR116" s="35"/>
      <c r="BS116" s="35"/>
      <c r="BT116" s="35"/>
      <c r="BU116" s="35"/>
      <c r="BV116" s="35"/>
      <c r="BW116" s="35"/>
      <c r="BX116" s="35"/>
      <c r="BY116" s="35"/>
      <c r="BZ116" s="35"/>
      <c r="CA116" s="35"/>
      <c r="CB116" s="35"/>
      <c r="CC116" s="35"/>
      <c r="CD116" s="35"/>
      <c r="CE116" s="35"/>
      <c r="CF116" s="35"/>
      <c r="CG116" s="35"/>
      <c r="CH116" s="35"/>
      <c r="CI116" s="35"/>
      <c r="CJ116" s="35"/>
      <c r="CK116" s="35"/>
      <c r="CL116" s="35"/>
      <c r="CM116" s="35"/>
      <c r="CN116" s="35"/>
      <c r="CO116" s="35"/>
      <c r="CP116" s="35"/>
      <c r="CQ116" s="35"/>
      <c r="CR116" s="35"/>
      <c r="CS116" s="35"/>
      <c r="CT116" s="35"/>
      <c r="CU116" s="35"/>
      <c r="CV116" s="35"/>
      <c r="CW116" s="35"/>
      <c r="CX116" s="35"/>
      <c r="CY116" s="35"/>
      <c r="CZ116" s="35"/>
      <c r="DA116" s="35"/>
      <c r="DB116" s="35"/>
      <c r="DC116" s="35"/>
      <c r="DD116" s="35"/>
      <c r="DE116" s="35"/>
      <c r="DF116" s="35"/>
      <c r="DG116" s="35"/>
      <c r="DH116" s="35"/>
    </row>
    <row r="117" ht="15.75" customHeight="1"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7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  <c r="BB117" s="35"/>
      <c r="BC117" s="35"/>
      <c r="BD117" s="35"/>
      <c r="BE117" s="35"/>
      <c r="BF117" s="35"/>
      <c r="BG117" s="35"/>
      <c r="BH117" s="35"/>
      <c r="BI117" s="35"/>
      <c r="BJ117" s="35"/>
      <c r="BK117" s="35"/>
      <c r="BL117" s="35"/>
      <c r="BM117" s="35"/>
      <c r="BN117" s="35"/>
      <c r="BO117" s="35"/>
      <c r="BP117" s="35"/>
      <c r="BQ117" s="35"/>
      <c r="BR117" s="35"/>
      <c r="BS117" s="35"/>
      <c r="BT117" s="35"/>
      <c r="BU117" s="35"/>
      <c r="BV117" s="35"/>
      <c r="BW117" s="35"/>
      <c r="BX117" s="35"/>
      <c r="BY117" s="35"/>
      <c r="BZ117" s="35"/>
      <c r="CA117" s="35"/>
      <c r="CB117" s="35"/>
      <c r="CC117" s="35"/>
      <c r="CD117" s="35"/>
      <c r="CE117" s="35"/>
      <c r="CF117" s="35"/>
      <c r="CG117" s="35"/>
      <c r="CH117" s="35"/>
      <c r="CI117" s="35"/>
      <c r="CJ117" s="35"/>
      <c r="CK117" s="35"/>
      <c r="CL117" s="35"/>
      <c r="CM117" s="35"/>
      <c r="CN117" s="35"/>
      <c r="CO117" s="35"/>
      <c r="CP117" s="35"/>
      <c r="CQ117" s="35"/>
      <c r="CR117" s="35"/>
      <c r="CS117" s="35"/>
      <c r="CT117" s="35"/>
      <c r="CU117" s="35"/>
      <c r="CV117" s="35"/>
      <c r="CW117" s="35"/>
      <c r="CX117" s="35"/>
      <c r="CY117" s="35"/>
      <c r="CZ117" s="35"/>
      <c r="DA117" s="35"/>
      <c r="DB117" s="35"/>
      <c r="DC117" s="35"/>
      <c r="DD117" s="35"/>
      <c r="DE117" s="35"/>
      <c r="DF117" s="35"/>
      <c r="DG117" s="35"/>
      <c r="DH117" s="35"/>
    </row>
    <row r="118" ht="15.75" customHeight="1"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7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5"/>
      <c r="BC118" s="35"/>
      <c r="BD118" s="35"/>
      <c r="BE118" s="35"/>
      <c r="BF118" s="35"/>
      <c r="BG118" s="35"/>
      <c r="BH118" s="35"/>
      <c r="BI118" s="35"/>
      <c r="BJ118" s="35"/>
      <c r="BK118" s="35"/>
      <c r="BL118" s="35"/>
      <c r="BM118" s="35"/>
      <c r="BN118" s="35"/>
      <c r="BO118" s="35"/>
      <c r="BP118" s="35"/>
      <c r="BQ118" s="35"/>
      <c r="BR118" s="35"/>
      <c r="BS118" s="35"/>
      <c r="BT118" s="35"/>
      <c r="BU118" s="35"/>
      <c r="BV118" s="35"/>
      <c r="BW118" s="35"/>
      <c r="BX118" s="35"/>
      <c r="BY118" s="35"/>
      <c r="BZ118" s="35"/>
      <c r="CA118" s="35"/>
      <c r="CB118" s="35"/>
      <c r="CC118" s="35"/>
      <c r="CD118" s="35"/>
      <c r="CE118" s="35"/>
      <c r="CF118" s="35"/>
      <c r="CG118" s="35"/>
      <c r="CH118" s="35"/>
      <c r="CI118" s="35"/>
      <c r="CJ118" s="35"/>
      <c r="CK118" s="35"/>
      <c r="CL118" s="35"/>
      <c r="CM118" s="35"/>
      <c r="CN118" s="35"/>
      <c r="CO118" s="35"/>
      <c r="CP118" s="35"/>
      <c r="CQ118" s="35"/>
      <c r="CR118" s="35"/>
      <c r="CS118" s="35"/>
      <c r="CT118" s="35"/>
      <c r="CU118" s="35"/>
      <c r="CV118" s="35"/>
      <c r="CW118" s="35"/>
      <c r="CX118" s="35"/>
      <c r="CY118" s="35"/>
      <c r="CZ118" s="35"/>
      <c r="DA118" s="35"/>
      <c r="DB118" s="35"/>
      <c r="DC118" s="35"/>
      <c r="DD118" s="35"/>
      <c r="DE118" s="35"/>
      <c r="DF118" s="35"/>
      <c r="DG118" s="35"/>
      <c r="DH118" s="35"/>
    </row>
    <row r="119" ht="15.75" customHeight="1"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7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  <c r="AZ119" s="35"/>
      <c r="BA119" s="35"/>
      <c r="BB119" s="35"/>
      <c r="BC119" s="35"/>
      <c r="BD119" s="35"/>
      <c r="BE119" s="35"/>
      <c r="BF119" s="35"/>
      <c r="BG119" s="35"/>
      <c r="BH119" s="35"/>
      <c r="BI119" s="35"/>
      <c r="BJ119" s="35"/>
      <c r="BK119" s="35"/>
      <c r="BL119" s="35"/>
      <c r="BM119" s="35"/>
      <c r="BN119" s="35"/>
      <c r="BO119" s="35"/>
      <c r="BP119" s="35"/>
      <c r="BQ119" s="35"/>
      <c r="BR119" s="35"/>
      <c r="BS119" s="35"/>
      <c r="BT119" s="35"/>
      <c r="BU119" s="35"/>
      <c r="BV119" s="35"/>
      <c r="BW119" s="35"/>
      <c r="BX119" s="35"/>
      <c r="BY119" s="35"/>
      <c r="BZ119" s="35"/>
      <c r="CA119" s="35"/>
      <c r="CB119" s="35"/>
      <c r="CC119" s="35"/>
      <c r="CD119" s="35"/>
      <c r="CE119" s="35"/>
      <c r="CF119" s="35"/>
      <c r="CG119" s="35"/>
      <c r="CH119" s="35"/>
      <c r="CI119" s="35"/>
      <c r="CJ119" s="35"/>
      <c r="CK119" s="35"/>
      <c r="CL119" s="35"/>
      <c r="CM119" s="35"/>
      <c r="CN119" s="35"/>
      <c r="CO119" s="35"/>
      <c r="CP119" s="35"/>
      <c r="CQ119" s="35"/>
      <c r="CR119" s="35"/>
      <c r="CS119" s="35"/>
      <c r="CT119" s="35"/>
      <c r="CU119" s="35"/>
      <c r="CV119" s="35"/>
      <c r="CW119" s="35"/>
      <c r="CX119" s="35"/>
      <c r="CY119" s="35"/>
      <c r="CZ119" s="35"/>
      <c r="DA119" s="35"/>
      <c r="DB119" s="35"/>
      <c r="DC119" s="35"/>
      <c r="DD119" s="35"/>
      <c r="DE119" s="35"/>
      <c r="DF119" s="35"/>
      <c r="DG119" s="35"/>
      <c r="DH119" s="35"/>
    </row>
    <row r="120" ht="15.75" customHeight="1"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7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  <c r="BB120" s="35"/>
      <c r="BC120" s="35"/>
      <c r="BD120" s="35"/>
      <c r="BE120" s="35"/>
      <c r="BF120" s="35"/>
      <c r="BG120" s="35"/>
      <c r="BH120" s="35"/>
      <c r="BI120" s="35"/>
      <c r="BJ120" s="35"/>
      <c r="BK120" s="35"/>
      <c r="BL120" s="35"/>
      <c r="BM120" s="35"/>
      <c r="BN120" s="35"/>
      <c r="BO120" s="35"/>
      <c r="BP120" s="35"/>
      <c r="BQ120" s="35"/>
      <c r="BR120" s="35"/>
      <c r="BS120" s="35"/>
      <c r="BT120" s="35"/>
      <c r="BU120" s="35"/>
      <c r="BV120" s="35"/>
      <c r="BW120" s="35"/>
      <c r="BX120" s="35"/>
      <c r="BY120" s="35"/>
      <c r="BZ120" s="35"/>
      <c r="CA120" s="35"/>
      <c r="CB120" s="35"/>
      <c r="CC120" s="35"/>
      <c r="CD120" s="35"/>
      <c r="CE120" s="35"/>
      <c r="CF120" s="35"/>
      <c r="CG120" s="35"/>
      <c r="CH120" s="35"/>
      <c r="CI120" s="35"/>
      <c r="CJ120" s="35"/>
      <c r="CK120" s="35"/>
      <c r="CL120" s="35"/>
      <c r="CM120" s="35"/>
      <c r="CN120" s="35"/>
      <c r="CO120" s="35"/>
      <c r="CP120" s="35"/>
      <c r="CQ120" s="35"/>
      <c r="CR120" s="35"/>
      <c r="CS120" s="35"/>
      <c r="CT120" s="35"/>
      <c r="CU120" s="35"/>
      <c r="CV120" s="35"/>
      <c r="CW120" s="35"/>
      <c r="CX120" s="35"/>
      <c r="CY120" s="35"/>
      <c r="CZ120" s="35"/>
      <c r="DA120" s="35"/>
      <c r="DB120" s="35"/>
      <c r="DC120" s="35"/>
      <c r="DD120" s="35"/>
      <c r="DE120" s="35"/>
      <c r="DF120" s="35"/>
      <c r="DG120" s="35"/>
      <c r="DH120" s="35"/>
    </row>
    <row r="121" ht="15.75" customHeight="1"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7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  <c r="AZ121" s="35"/>
      <c r="BA121" s="35"/>
      <c r="BB121" s="35"/>
      <c r="BC121" s="35"/>
      <c r="BD121" s="35"/>
      <c r="BE121" s="35"/>
      <c r="BF121" s="35"/>
      <c r="BG121" s="35"/>
      <c r="BH121" s="35"/>
      <c r="BI121" s="35"/>
      <c r="BJ121" s="35"/>
      <c r="BK121" s="35"/>
      <c r="BL121" s="35"/>
      <c r="BM121" s="35"/>
      <c r="BN121" s="35"/>
      <c r="BO121" s="35"/>
      <c r="BP121" s="35"/>
      <c r="BQ121" s="35"/>
      <c r="BR121" s="35"/>
      <c r="BS121" s="35"/>
      <c r="BT121" s="35"/>
      <c r="BU121" s="35"/>
      <c r="BV121" s="35"/>
      <c r="BW121" s="35"/>
      <c r="BX121" s="35"/>
      <c r="BY121" s="35"/>
      <c r="BZ121" s="35"/>
      <c r="CA121" s="35"/>
      <c r="CB121" s="35"/>
      <c r="CC121" s="35"/>
      <c r="CD121" s="35"/>
      <c r="CE121" s="35"/>
      <c r="CF121" s="35"/>
      <c r="CG121" s="35"/>
      <c r="CH121" s="35"/>
      <c r="CI121" s="35"/>
      <c r="CJ121" s="35"/>
      <c r="CK121" s="35"/>
      <c r="CL121" s="35"/>
      <c r="CM121" s="35"/>
      <c r="CN121" s="35"/>
      <c r="CO121" s="35"/>
      <c r="CP121" s="35"/>
      <c r="CQ121" s="35"/>
      <c r="CR121" s="35"/>
      <c r="CS121" s="35"/>
      <c r="CT121" s="35"/>
      <c r="CU121" s="35"/>
      <c r="CV121" s="35"/>
      <c r="CW121" s="35"/>
      <c r="CX121" s="35"/>
      <c r="CY121" s="35"/>
      <c r="CZ121" s="35"/>
      <c r="DA121" s="35"/>
      <c r="DB121" s="35"/>
      <c r="DC121" s="35"/>
      <c r="DD121" s="35"/>
      <c r="DE121" s="35"/>
      <c r="DF121" s="35"/>
      <c r="DG121" s="35"/>
      <c r="DH121" s="35"/>
    </row>
    <row r="122" ht="15.75" customHeight="1"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7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  <c r="BC122" s="35"/>
      <c r="BD122" s="35"/>
      <c r="BE122" s="35"/>
      <c r="BF122" s="35"/>
      <c r="BG122" s="35"/>
      <c r="BH122" s="35"/>
      <c r="BI122" s="35"/>
      <c r="BJ122" s="35"/>
      <c r="BK122" s="35"/>
      <c r="BL122" s="35"/>
      <c r="BM122" s="35"/>
      <c r="BN122" s="35"/>
      <c r="BO122" s="35"/>
      <c r="BP122" s="35"/>
      <c r="BQ122" s="35"/>
      <c r="BR122" s="35"/>
      <c r="BS122" s="35"/>
      <c r="BT122" s="35"/>
      <c r="BU122" s="35"/>
      <c r="BV122" s="35"/>
      <c r="BW122" s="35"/>
      <c r="BX122" s="35"/>
      <c r="BY122" s="35"/>
      <c r="BZ122" s="35"/>
      <c r="CA122" s="35"/>
      <c r="CB122" s="35"/>
      <c r="CC122" s="35"/>
      <c r="CD122" s="35"/>
      <c r="CE122" s="35"/>
      <c r="CF122" s="35"/>
      <c r="CG122" s="35"/>
      <c r="CH122" s="35"/>
      <c r="CI122" s="35"/>
      <c r="CJ122" s="35"/>
      <c r="CK122" s="35"/>
      <c r="CL122" s="35"/>
      <c r="CM122" s="35"/>
      <c r="CN122" s="35"/>
      <c r="CO122" s="35"/>
      <c r="CP122" s="35"/>
      <c r="CQ122" s="35"/>
      <c r="CR122" s="35"/>
      <c r="CS122" s="35"/>
      <c r="CT122" s="35"/>
      <c r="CU122" s="35"/>
      <c r="CV122" s="35"/>
      <c r="CW122" s="35"/>
      <c r="CX122" s="35"/>
      <c r="CY122" s="35"/>
      <c r="CZ122" s="35"/>
      <c r="DA122" s="35"/>
      <c r="DB122" s="35"/>
      <c r="DC122" s="35"/>
      <c r="DD122" s="35"/>
      <c r="DE122" s="35"/>
      <c r="DF122" s="35"/>
      <c r="DG122" s="35"/>
      <c r="DH122" s="35"/>
    </row>
    <row r="123" ht="15.75" customHeight="1"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7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  <c r="AZ123" s="35"/>
      <c r="BA123" s="35"/>
      <c r="BB123" s="35"/>
      <c r="BC123" s="35"/>
      <c r="BD123" s="35"/>
      <c r="BE123" s="35"/>
      <c r="BF123" s="35"/>
      <c r="BG123" s="35"/>
      <c r="BH123" s="35"/>
      <c r="BI123" s="35"/>
      <c r="BJ123" s="35"/>
      <c r="BK123" s="35"/>
      <c r="BL123" s="35"/>
      <c r="BM123" s="35"/>
      <c r="BN123" s="35"/>
      <c r="BO123" s="35"/>
      <c r="BP123" s="35"/>
      <c r="BQ123" s="35"/>
      <c r="BR123" s="35"/>
      <c r="BS123" s="35"/>
      <c r="BT123" s="35"/>
      <c r="BU123" s="35"/>
      <c r="BV123" s="35"/>
      <c r="BW123" s="35"/>
      <c r="BX123" s="35"/>
      <c r="BY123" s="35"/>
      <c r="BZ123" s="35"/>
      <c r="CA123" s="35"/>
      <c r="CB123" s="35"/>
      <c r="CC123" s="35"/>
      <c r="CD123" s="35"/>
      <c r="CE123" s="35"/>
      <c r="CF123" s="35"/>
      <c r="CG123" s="35"/>
      <c r="CH123" s="35"/>
      <c r="CI123" s="35"/>
      <c r="CJ123" s="35"/>
      <c r="CK123" s="35"/>
      <c r="CL123" s="35"/>
      <c r="CM123" s="35"/>
      <c r="CN123" s="35"/>
      <c r="CO123" s="35"/>
      <c r="CP123" s="35"/>
      <c r="CQ123" s="35"/>
      <c r="CR123" s="35"/>
      <c r="CS123" s="35"/>
      <c r="CT123" s="35"/>
      <c r="CU123" s="35"/>
      <c r="CV123" s="35"/>
      <c r="CW123" s="35"/>
      <c r="CX123" s="35"/>
      <c r="CY123" s="35"/>
      <c r="CZ123" s="35"/>
      <c r="DA123" s="35"/>
      <c r="DB123" s="35"/>
      <c r="DC123" s="35"/>
      <c r="DD123" s="35"/>
      <c r="DE123" s="35"/>
      <c r="DF123" s="35"/>
      <c r="DG123" s="35"/>
      <c r="DH123" s="35"/>
    </row>
    <row r="124" ht="15.75" customHeight="1"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7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  <c r="AZ124" s="35"/>
      <c r="BA124" s="35"/>
      <c r="BB124" s="35"/>
      <c r="BC124" s="35"/>
      <c r="BD124" s="35"/>
      <c r="BE124" s="35"/>
      <c r="BF124" s="35"/>
      <c r="BG124" s="35"/>
      <c r="BH124" s="35"/>
      <c r="BI124" s="35"/>
      <c r="BJ124" s="35"/>
      <c r="BK124" s="35"/>
      <c r="BL124" s="35"/>
      <c r="BM124" s="35"/>
      <c r="BN124" s="35"/>
      <c r="BO124" s="35"/>
      <c r="BP124" s="35"/>
      <c r="BQ124" s="35"/>
      <c r="BR124" s="35"/>
      <c r="BS124" s="35"/>
      <c r="BT124" s="35"/>
      <c r="BU124" s="35"/>
      <c r="BV124" s="35"/>
      <c r="BW124" s="35"/>
      <c r="BX124" s="35"/>
      <c r="BY124" s="35"/>
      <c r="BZ124" s="35"/>
      <c r="CA124" s="35"/>
      <c r="CB124" s="35"/>
      <c r="CC124" s="35"/>
      <c r="CD124" s="35"/>
      <c r="CE124" s="35"/>
      <c r="CF124" s="35"/>
      <c r="CG124" s="35"/>
      <c r="CH124" s="35"/>
      <c r="CI124" s="35"/>
      <c r="CJ124" s="35"/>
      <c r="CK124" s="35"/>
      <c r="CL124" s="35"/>
      <c r="CM124" s="35"/>
      <c r="CN124" s="35"/>
      <c r="CO124" s="35"/>
      <c r="CP124" s="35"/>
      <c r="CQ124" s="35"/>
      <c r="CR124" s="35"/>
      <c r="CS124" s="35"/>
      <c r="CT124" s="35"/>
      <c r="CU124" s="35"/>
      <c r="CV124" s="35"/>
      <c r="CW124" s="35"/>
      <c r="CX124" s="35"/>
      <c r="CY124" s="35"/>
      <c r="CZ124" s="35"/>
      <c r="DA124" s="35"/>
      <c r="DB124" s="35"/>
      <c r="DC124" s="35"/>
      <c r="DD124" s="35"/>
      <c r="DE124" s="35"/>
      <c r="DF124" s="35"/>
      <c r="DG124" s="35"/>
      <c r="DH124" s="35"/>
    </row>
    <row r="125" ht="15.75" customHeight="1"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7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  <c r="AZ125" s="35"/>
      <c r="BA125" s="35"/>
      <c r="BB125" s="35"/>
      <c r="BC125" s="35"/>
      <c r="BD125" s="35"/>
      <c r="BE125" s="35"/>
      <c r="BF125" s="35"/>
      <c r="BG125" s="35"/>
      <c r="BH125" s="35"/>
      <c r="BI125" s="35"/>
      <c r="BJ125" s="35"/>
      <c r="BK125" s="35"/>
      <c r="BL125" s="35"/>
      <c r="BM125" s="35"/>
      <c r="BN125" s="35"/>
      <c r="BO125" s="35"/>
      <c r="BP125" s="35"/>
      <c r="BQ125" s="35"/>
      <c r="BR125" s="35"/>
      <c r="BS125" s="35"/>
      <c r="BT125" s="35"/>
      <c r="BU125" s="35"/>
      <c r="BV125" s="35"/>
      <c r="BW125" s="35"/>
      <c r="BX125" s="35"/>
      <c r="BY125" s="35"/>
      <c r="BZ125" s="35"/>
      <c r="CA125" s="35"/>
      <c r="CB125" s="35"/>
      <c r="CC125" s="35"/>
      <c r="CD125" s="35"/>
      <c r="CE125" s="35"/>
      <c r="CF125" s="35"/>
      <c r="CG125" s="35"/>
      <c r="CH125" s="35"/>
      <c r="CI125" s="35"/>
      <c r="CJ125" s="35"/>
      <c r="CK125" s="35"/>
      <c r="CL125" s="35"/>
      <c r="CM125" s="35"/>
      <c r="CN125" s="35"/>
      <c r="CO125" s="35"/>
      <c r="CP125" s="35"/>
      <c r="CQ125" s="35"/>
      <c r="CR125" s="35"/>
      <c r="CS125" s="35"/>
      <c r="CT125" s="35"/>
      <c r="CU125" s="35"/>
      <c r="CV125" s="35"/>
      <c r="CW125" s="35"/>
      <c r="CX125" s="35"/>
      <c r="CY125" s="35"/>
      <c r="CZ125" s="35"/>
      <c r="DA125" s="35"/>
      <c r="DB125" s="35"/>
      <c r="DC125" s="35"/>
      <c r="DD125" s="35"/>
      <c r="DE125" s="35"/>
      <c r="DF125" s="35"/>
      <c r="DG125" s="35"/>
      <c r="DH125" s="35"/>
    </row>
    <row r="126" ht="15.75" customHeight="1"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7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  <c r="AZ126" s="35"/>
      <c r="BA126" s="35"/>
      <c r="BB126" s="35"/>
      <c r="BC126" s="35"/>
      <c r="BD126" s="35"/>
      <c r="BE126" s="35"/>
      <c r="BF126" s="35"/>
      <c r="BG126" s="35"/>
      <c r="BH126" s="35"/>
      <c r="BI126" s="35"/>
      <c r="BJ126" s="35"/>
      <c r="BK126" s="35"/>
      <c r="BL126" s="35"/>
      <c r="BM126" s="35"/>
      <c r="BN126" s="35"/>
      <c r="BO126" s="35"/>
      <c r="BP126" s="35"/>
      <c r="BQ126" s="35"/>
      <c r="BR126" s="35"/>
      <c r="BS126" s="35"/>
      <c r="BT126" s="35"/>
      <c r="BU126" s="35"/>
      <c r="BV126" s="35"/>
      <c r="BW126" s="35"/>
      <c r="BX126" s="35"/>
      <c r="BY126" s="35"/>
      <c r="BZ126" s="35"/>
      <c r="CA126" s="35"/>
      <c r="CB126" s="35"/>
      <c r="CC126" s="35"/>
      <c r="CD126" s="35"/>
      <c r="CE126" s="35"/>
      <c r="CF126" s="35"/>
      <c r="CG126" s="35"/>
      <c r="CH126" s="35"/>
      <c r="CI126" s="35"/>
      <c r="CJ126" s="35"/>
      <c r="CK126" s="35"/>
      <c r="CL126" s="35"/>
      <c r="CM126" s="35"/>
      <c r="CN126" s="35"/>
      <c r="CO126" s="35"/>
      <c r="CP126" s="35"/>
      <c r="CQ126" s="35"/>
      <c r="CR126" s="35"/>
      <c r="CS126" s="35"/>
      <c r="CT126" s="35"/>
      <c r="CU126" s="35"/>
      <c r="CV126" s="35"/>
      <c r="CW126" s="35"/>
      <c r="CX126" s="35"/>
      <c r="CY126" s="35"/>
      <c r="CZ126" s="35"/>
      <c r="DA126" s="35"/>
      <c r="DB126" s="35"/>
      <c r="DC126" s="35"/>
      <c r="DD126" s="35"/>
      <c r="DE126" s="35"/>
      <c r="DF126" s="35"/>
      <c r="DG126" s="35"/>
      <c r="DH126" s="35"/>
    </row>
    <row r="127" ht="15.75" customHeight="1"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7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  <c r="AZ127" s="35"/>
      <c r="BA127" s="35"/>
      <c r="BB127" s="35"/>
      <c r="BC127" s="35"/>
      <c r="BD127" s="35"/>
      <c r="BE127" s="35"/>
      <c r="BF127" s="35"/>
      <c r="BG127" s="35"/>
      <c r="BH127" s="35"/>
      <c r="BI127" s="35"/>
      <c r="BJ127" s="35"/>
      <c r="BK127" s="35"/>
      <c r="BL127" s="35"/>
      <c r="BM127" s="35"/>
      <c r="BN127" s="35"/>
      <c r="BO127" s="35"/>
      <c r="BP127" s="35"/>
      <c r="BQ127" s="35"/>
      <c r="BR127" s="35"/>
      <c r="BS127" s="35"/>
      <c r="BT127" s="35"/>
      <c r="BU127" s="35"/>
      <c r="BV127" s="35"/>
      <c r="BW127" s="35"/>
      <c r="BX127" s="35"/>
      <c r="BY127" s="35"/>
      <c r="BZ127" s="35"/>
      <c r="CA127" s="35"/>
      <c r="CB127" s="35"/>
      <c r="CC127" s="35"/>
      <c r="CD127" s="35"/>
      <c r="CE127" s="35"/>
      <c r="CF127" s="35"/>
      <c r="CG127" s="35"/>
      <c r="CH127" s="35"/>
      <c r="CI127" s="35"/>
      <c r="CJ127" s="35"/>
      <c r="CK127" s="35"/>
      <c r="CL127" s="35"/>
      <c r="CM127" s="35"/>
      <c r="CN127" s="35"/>
      <c r="CO127" s="35"/>
      <c r="CP127" s="35"/>
      <c r="CQ127" s="35"/>
      <c r="CR127" s="35"/>
      <c r="CS127" s="35"/>
      <c r="CT127" s="35"/>
      <c r="CU127" s="35"/>
      <c r="CV127" s="35"/>
      <c r="CW127" s="35"/>
      <c r="CX127" s="35"/>
      <c r="CY127" s="35"/>
      <c r="CZ127" s="35"/>
      <c r="DA127" s="35"/>
      <c r="DB127" s="35"/>
      <c r="DC127" s="35"/>
      <c r="DD127" s="35"/>
      <c r="DE127" s="35"/>
      <c r="DF127" s="35"/>
      <c r="DG127" s="35"/>
      <c r="DH127" s="35"/>
    </row>
    <row r="128" ht="15.75" customHeight="1"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7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  <c r="AZ128" s="35"/>
      <c r="BA128" s="35"/>
      <c r="BB128" s="35"/>
      <c r="BC128" s="35"/>
      <c r="BD128" s="35"/>
      <c r="BE128" s="35"/>
      <c r="BF128" s="35"/>
      <c r="BG128" s="35"/>
      <c r="BH128" s="35"/>
      <c r="BI128" s="35"/>
      <c r="BJ128" s="35"/>
      <c r="BK128" s="35"/>
      <c r="BL128" s="35"/>
      <c r="BM128" s="35"/>
      <c r="BN128" s="35"/>
      <c r="BO128" s="35"/>
      <c r="BP128" s="35"/>
      <c r="BQ128" s="35"/>
      <c r="BR128" s="35"/>
      <c r="BS128" s="35"/>
      <c r="BT128" s="35"/>
      <c r="BU128" s="35"/>
      <c r="BV128" s="35"/>
      <c r="BW128" s="35"/>
      <c r="BX128" s="35"/>
      <c r="BY128" s="35"/>
      <c r="BZ128" s="35"/>
      <c r="CA128" s="35"/>
      <c r="CB128" s="35"/>
      <c r="CC128" s="35"/>
      <c r="CD128" s="35"/>
      <c r="CE128" s="35"/>
      <c r="CF128" s="35"/>
      <c r="CG128" s="35"/>
      <c r="CH128" s="35"/>
      <c r="CI128" s="35"/>
      <c r="CJ128" s="35"/>
      <c r="CK128" s="35"/>
      <c r="CL128" s="35"/>
      <c r="CM128" s="35"/>
      <c r="CN128" s="35"/>
      <c r="CO128" s="35"/>
      <c r="CP128" s="35"/>
      <c r="CQ128" s="35"/>
      <c r="CR128" s="35"/>
      <c r="CS128" s="35"/>
      <c r="CT128" s="35"/>
      <c r="CU128" s="35"/>
      <c r="CV128" s="35"/>
      <c r="CW128" s="35"/>
      <c r="CX128" s="35"/>
      <c r="CY128" s="35"/>
      <c r="CZ128" s="35"/>
      <c r="DA128" s="35"/>
      <c r="DB128" s="35"/>
      <c r="DC128" s="35"/>
      <c r="DD128" s="35"/>
      <c r="DE128" s="35"/>
      <c r="DF128" s="35"/>
      <c r="DG128" s="35"/>
      <c r="DH128" s="35"/>
    </row>
    <row r="129" ht="15.75" customHeight="1"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7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35"/>
      <c r="BA129" s="35"/>
      <c r="BB129" s="35"/>
      <c r="BC129" s="35"/>
      <c r="BD129" s="35"/>
      <c r="BE129" s="35"/>
      <c r="BF129" s="35"/>
      <c r="BG129" s="35"/>
      <c r="BH129" s="35"/>
      <c r="BI129" s="35"/>
      <c r="BJ129" s="35"/>
      <c r="BK129" s="35"/>
      <c r="BL129" s="35"/>
      <c r="BM129" s="35"/>
      <c r="BN129" s="35"/>
      <c r="BO129" s="35"/>
      <c r="BP129" s="35"/>
      <c r="BQ129" s="35"/>
      <c r="BR129" s="35"/>
      <c r="BS129" s="35"/>
      <c r="BT129" s="35"/>
      <c r="BU129" s="35"/>
      <c r="BV129" s="35"/>
      <c r="BW129" s="35"/>
      <c r="BX129" s="35"/>
      <c r="BY129" s="35"/>
      <c r="BZ129" s="35"/>
      <c r="CA129" s="35"/>
      <c r="CB129" s="35"/>
      <c r="CC129" s="35"/>
      <c r="CD129" s="35"/>
      <c r="CE129" s="35"/>
      <c r="CF129" s="35"/>
      <c r="CG129" s="35"/>
      <c r="CH129" s="35"/>
      <c r="CI129" s="35"/>
      <c r="CJ129" s="35"/>
      <c r="CK129" s="35"/>
      <c r="CL129" s="35"/>
      <c r="CM129" s="35"/>
      <c r="CN129" s="35"/>
      <c r="CO129" s="35"/>
      <c r="CP129" s="35"/>
      <c r="CQ129" s="35"/>
      <c r="CR129" s="35"/>
      <c r="CS129" s="35"/>
      <c r="CT129" s="35"/>
      <c r="CU129" s="35"/>
      <c r="CV129" s="35"/>
      <c r="CW129" s="35"/>
      <c r="CX129" s="35"/>
      <c r="CY129" s="35"/>
      <c r="CZ129" s="35"/>
      <c r="DA129" s="35"/>
      <c r="DB129" s="35"/>
      <c r="DC129" s="35"/>
      <c r="DD129" s="35"/>
      <c r="DE129" s="35"/>
      <c r="DF129" s="35"/>
      <c r="DG129" s="35"/>
      <c r="DH129" s="35"/>
    </row>
    <row r="130" ht="15.75" customHeight="1"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7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  <c r="AZ130" s="35"/>
      <c r="BA130" s="35"/>
      <c r="BB130" s="35"/>
      <c r="BC130" s="35"/>
      <c r="BD130" s="35"/>
      <c r="BE130" s="35"/>
      <c r="BF130" s="35"/>
      <c r="BG130" s="35"/>
      <c r="BH130" s="35"/>
      <c r="BI130" s="35"/>
      <c r="BJ130" s="35"/>
      <c r="BK130" s="35"/>
      <c r="BL130" s="35"/>
      <c r="BM130" s="35"/>
      <c r="BN130" s="35"/>
      <c r="BO130" s="35"/>
      <c r="BP130" s="35"/>
      <c r="BQ130" s="35"/>
      <c r="BR130" s="35"/>
      <c r="BS130" s="35"/>
      <c r="BT130" s="35"/>
      <c r="BU130" s="35"/>
      <c r="BV130" s="35"/>
      <c r="BW130" s="35"/>
      <c r="BX130" s="35"/>
      <c r="BY130" s="35"/>
      <c r="BZ130" s="35"/>
      <c r="CA130" s="35"/>
      <c r="CB130" s="35"/>
      <c r="CC130" s="35"/>
      <c r="CD130" s="35"/>
      <c r="CE130" s="35"/>
      <c r="CF130" s="35"/>
      <c r="CG130" s="35"/>
      <c r="CH130" s="35"/>
      <c r="CI130" s="35"/>
      <c r="CJ130" s="35"/>
      <c r="CK130" s="35"/>
      <c r="CL130" s="35"/>
      <c r="CM130" s="35"/>
      <c r="CN130" s="35"/>
      <c r="CO130" s="35"/>
      <c r="CP130" s="35"/>
      <c r="CQ130" s="35"/>
      <c r="CR130" s="35"/>
      <c r="CS130" s="35"/>
      <c r="CT130" s="35"/>
      <c r="CU130" s="35"/>
      <c r="CV130" s="35"/>
      <c r="CW130" s="35"/>
      <c r="CX130" s="35"/>
      <c r="CY130" s="35"/>
      <c r="CZ130" s="35"/>
      <c r="DA130" s="35"/>
      <c r="DB130" s="35"/>
      <c r="DC130" s="35"/>
      <c r="DD130" s="35"/>
      <c r="DE130" s="35"/>
      <c r="DF130" s="35"/>
      <c r="DG130" s="35"/>
      <c r="DH130" s="35"/>
    </row>
    <row r="131" ht="15.75" customHeight="1"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7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  <c r="BA131" s="35"/>
      <c r="BB131" s="35"/>
      <c r="BC131" s="35"/>
      <c r="BD131" s="35"/>
      <c r="BE131" s="35"/>
      <c r="BF131" s="35"/>
      <c r="BG131" s="35"/>
      <c r="BH131" s="35"/>
      <c r="BI131" s="35"/>
      <c r="BJ131" s="35"/>
      <c r="BK131" s="35"/>
      <c r="BL131" s="35"/>
      <c r="BM131" s="35"/>
      <c r="BN131" s="35"/>
      <c r="BO131" s="35"/>
      <c r="BP131" s="35"/>
      <c r="BQ131" s="35"/>
      <c r="BR131" s="35"/>
      <c r="BS131" s="35"/>
      <c r="BT131" s="35"/>
      <c r="BU131" s="35"/>
      <c r="BV131" s="35"/>
      <c r="BW131" s="35"/>
      <c r="BX131" s="35"/>
      <c r="BY131" s="35"/>
      <c r="BZ131" s="35"/>
      <c r="CA131" s="35"/>
      <c r="CB131" s="35"/>
      <c r="CC131" s="35"/>
      <c r="CD131" s="35"/>
      <c r="CE131" s="35"/>
      <c r="CF131" s="35"/>
      <c r="CG131" s="35"/>
      <c r="CH131" s="35"/>
      <c r="CI131" s="35"/>
      <c r="CJ131" s="35"/>
      <c r="CK131" s="35"/>
      <c r="CL131" s="35"/>
      <c r="CM131" s="35"/>
      <c r="CN131" s="35"/>
      <c r="CO131" s="35"/>
      <c r="CP131" s="35"/>
      <c r="CQ131" s="35"/>
      <c r="CR131" s="35"/>
      <c r="CS131" s="35"/>
      <c r="CT131" s="35"/>
      <c r="CU131" s="35"/>
      <c r="CV131" s="35"/>
      <c r="CW131" s="35"/>
      <c r="CX131" s="35"/>
      <c r="CY131" s="35"/>
      <c r="CZ131" s="35"/>
      <c r="DA131" s="35"/>
      <c r="DB131" s="35"/>
      <c r="DC131" s="35"/>
      <c r="DD131" s="35"/>
      <c r="DE131" s="35"/>
      <c r="DF131" s="35"/>
      <c r="DG131" s="35"/>
      <c r="DH131" s="35"/>
    </row>
    <row r="132" ht="15.75" customHeight="1"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7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  <c r="BC132" s="35"/>
      <c r="BD132" s="35"/>
      <c r="BE132" s="35"/>
      <c r="BF132" s="35"/>
      <c r="BG132" s="35"/>
      <c r="BH132" s="35"/>
      <c r="BI132" s="35"/>
      <c r="BJ132" s="35"/>
      <c r="BK132" s="35"/>
      <c r="BL132" s="35"/>
      <c r="BM132" s="35"/>
      <c r="BN132" s="35"/>
      <c r="BO132" s="35"/>
      <c r="BP132" s="35"/>
      <c r="BQ132" s="35"/>
      <c r="BR132" s="35"/>
      <c r="BS132" s="35"/>
      <c r="BT132" s="35"/>
      <c r="BU132" s="35"/>
      <c r="BV132" s="35"/>
      <c r="BW132" s="35"/>
      <c r="BX132" s="35"/>
      <c r="BY132" s="35"/>
      <c r="BZ132" s="35"/>
      <c r="CA132" s="35"/>
      <c r="CB132" s="35"/>
      <c r="CC132" s="35"/>
      <c r="CD132" s="35"/>
      <c r="CE132" s="35"/>
      <c r="CF132" s="35"/>
      <c r="CG132" s="35"/>
      <c r="CH132" s="35"/>
      <c r="CI132" s="35"/>
      <c r="CJ132" s="35"/>
      <c r="CK132" s="35"/>
      <c r="CL132" s="35"/>
      <c r="CM132" s="35"/>
      <c r="CN132" s="35"/>
      <c r="CO132" s="35"/>
      <c r="CP132" s="35"/>
      <c r="CQ132" s="35"/>
      <c r="CR132" s="35"/>
      <c r="CS132" s="35"/>
      <c r="CT132" s="35"/>
      <c r="CU132" s="35"/>
      <c r="CV132" s="35"/>
      <c r="CW132" s="35"/>
      <c r="CX132" s="35"/>
      <c r="CY132" s="35"/>
      <c r="CZ132" s="35"/>
      <c r="DA132" s="35"/>
      <c r="DB132" s="35"/>
      <c r="DC132" s="35"/>
      <c r="DD132" s="35"/>
      <c r="DE132" s="35"/>
      <c r="DF132" s="35"/>
      <c r="DG132" s="35"/>
      <c r="DH132" s="35"/>
    </row>
    <row r="133" ht="15.75" customHeight="1"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7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35"/>
      <c r="BD133" s="35"/>
      <c r="BE133" s="35"/>
      <c r="BF133" s="35"/>
      <c r="BG133" s="35"/>
      <c r="BH133" s="35"/>
      <c r="BI133" s="35"/>
      <c r="BJ133" s="35"/>
      <c r="BK133" s="35"/>
      <c r="BL133" s="35"/>
      <c r="BM133" s="35"/>
      <c r="BN133" s="35"/>
      <c r="BO133" s="35"/>
      <c r="BP133" s="35"/>
      <c r="BQ133" s="35"/>
      <c r="BR133" s="35"/>
      <c r="BS133" s="35"/>
      <c r="BT133" s="35"/>
      <c r="BU133" s="35"/>
      <c r="BV133" s="35"/>
      <c r="BW133" s="35"/>
      <c r="BX133" s="35"/>
      <c r="BY133" s="35"/>
      <c r="BZ133" s="35"/>
      <c r="CA133" s="35"/>
      <c r="CB133" s="35"/>
      <c r="CC133" s="35"/>
      <c r="CD133" s="35"/>
      <c r="CE133" s="35"/>
      <c r="CF133" s="35"/>
      <c r="CG133" s="35"/>
      <c r="CH133" s="35"/>
      <c r="CI133" s="35"/>
      <c r="CJ133" s="35"/>
      <c r="CK133" s="35"/>
      <c r="CL133" s="35"/>
      <c r="CM133" s="35"/>
      <c r="CN133" s="35"/>
      <c r="CO133" s="35"/>
      <c r="CP133" s="35"/>
      <c r="CQ133" s="35"/>
      <c r="CR133" s="35"/>
      <c r="CS133" s="35"/>
      <c r="CT133" s="35"/>
      <c r="CU133" s="35"/>
      <c r="CV133" s="35"/>
      <c r="CW133" s="35"/>
      <c r="CX133" s="35"/>
      <c r="CY133" s="35"/>
      <c r="CZ133" s="35"/>
      <c r="DA133" s="35"/>
      <c r="DB133" s="35"/>
      <c r="DC133" s="35"/>
      <c r="DD133" s="35"/>
      <c r="DE133" s="35"/>
      <c r="DF133" s="35"/>
      <c r="DG133" s="35"/>
      <c r="DH133" s="35"/>
    </row>
    <row r="134" ht="15.75" customHeight="1"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7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5"/>
      <c r="BA134" s="35"/>
      <c r="BB134" s="35"/>
      <c r="BC134" s="35"/>
      <c r="BD134" s="35"/>
      <c r="BE134" s="35"/>
      <c r="BF134" s="35"/>
      <c r="BG134" s="35"/>
      <c r="BH134" s="35"/>
      <c r="BI134" s="35"/>
      <c r="BJ134" s="35"/>
      <c r="BK134" s="35"/>
      <c r="BL134" s="35"/>
      <c r="BM134" s="35"/>
      <c r="BN134" s="35"/>
      <c r="BO134" s="35"/>
      <c r="BP134" s="35"/>
      <c r="BQ134" s="35"/>
      <c r="BR134" s="35"/>
      <c r="BS134" s="35"/>
      <c r="BT134" s="35"/>
      <c r="BU134" s="35"/>
      <c r="BV134" s="35"/>
      <c r="BW134" s="35"/>
      <c r="BX134" s="35"/>
      <c r="BY134" s="35"/>
      <c r="BZ134" s="35"/>
      <c r="CA134" s="35"/>
      <c r="CB134" s="35"/>
      <c r="CC134" s="35"/>
      <c r="CD134" s="35"/>
      <c r="CE134" s="35"/>
      <c r="CF134" s="35"/>
      <c r="CG134" s="35"/>
      <c r="CH134" s="35"/>
      <c r="CI134" s="35"/>
      <c r="CJ134" s="35"/>
      <c r="CK134" s="35"/>
      <c r="CL134" s="35"/>
      <c r="CM134" s="35"/>
      <c r="CN134" s="35"/>
      <c r="CO134" s="35"/>
      <c r="CP134" s="35"/>
      <c r="CQ134" s="35"/>
      <c r="CR134" s="35"/>
      <c r="CS134" s="35"/>
      <c r="CT134" s="35"/>
      <c r="CU134" s="35"/>
      <c r="CV134" s="35"/>
      <c r="CW134" s="35"/>
      <c r="CX134" s="35"/>
      <c r="CY134" s="35"/>
      <c r="CZ134" s="35"/>
      <c r="DA134" s="35"/>
      <c r="DB134" s="35"/>
      <c r="DC134" s="35"/>
      <c r="DD134" s="35"/>
      <c r="DE134" s="35"/>
      <c r="DF134" s="35"/>
      <c r="DG134" s="35"/>
      <c r="DH134" s="35"/>
    </row>
    <row r="135" ht="15.75" customHeight="1"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7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  <c r="BA135" s="35"/>
      <c r="BB135" s="35"/>
      <c r="BC135" s="35"/>
      <c r="BD135" s="35"/>
      <c r="BE135" s="35"/>
      <c r="BF135" s="35"/>
      <c r="BG135" s="35"/>
      <c r="BH135" s="35"/>
      <c r="BI135" s="35"/>
      <c r="BJ135" s="35"/>
      <c r="BK135" s="35"/>
      <c r="BL135" s="35"/>
      <c r="BM135" s="35"/>
      <c r="BN135" s="35"/>
      <c r="BO135" s="35"/>
      <c r="BP135" s="35"/>
      <c r="BQ135" s="35"/>
      <c r="BR135" s="35"/>
      <c r="BS135" s="35"/>
      <c r="BT135" s="35"/>
      <c r="BU135" s="35"/>
      <c r="BV135" s="35"/>
      <c r="BW135" s="35"/>
      <c r="BX135" s="35"/>
      <c r="BY135" s="35"/>
      <c r="BZ135" s="35"/>
      <c r="CA135" s="35"/>
      <c r="CB135" s="35"/>
      <c r="CC135" s="35"/>
      <c r="CD135" s="35"/>
      <c r="CE135" s="35"/>
      <c r="CF135" s="35"/>
      <c r="CG135" s="35"/>
      <c r="CH135" s="35"/>
      <c r="CI135" s="35"/>
      <c r="CJ135" s="35"/>
      <c r="CK135" s="35"/>
      <c r="CL135" s="35"/>
      <c r="CM135" s="35"/>
      <c r="CN135" s="35"/>
      <c r="CO135" s="35"/>
      <c r="CP135" s="35"/>
      <c r="CQ135" s="35"/>
      <c r="CR135" s="35"/>
      <c r="CS135" s="35"/>
      <c r="CT135" s="35"/>
      <c r="CU135" s="35"/>
      <c r="CV135" s="35"/>
      <c r="CW135" s="35"/>
      <c r="CX135" s="35"/>
      <c r="CY135" s="35"/>
      <c r="CZ135" s="35"/>
      <c r="DA135" s="35"/>
      <c r="DB135" s="35"/>
      <c r="DC135" s="35"/>
      <c r="DD135" s="35"/>
      <c r="DE135" s="35"/>
      <c r="DF135" s="35"/>
      <c r="DG135" s="35"/>
      <c r="DH135" s="35"/>
    </row>
    <row r="136" ht="15.75" customHeight="1"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7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35"/>
      <c r="BA136" s="35"/>
      <c r="BB136" s="35"/>
      <c r="BC136" s="35"/>
      <c r="BD136" s="35"/>
      <c r="BE136" s="35"/>
      <c r="BF136" s="35"/>
      <c r="BG136" s="35"/>
      <c r="BH136" s="35"/>
      <c r="BI136" s="35"/>
      <c r="BJ136" s="35"/>
      <c r="BK136" s="35"/>
      <c r="BL136" s="35"/>
      <c r="BM136" s="35"/>
      <c r="BN136" s="35"/>
      <c r="BO136" s="35"/>
      <c r="BP136" s="35"/>
      <c r="BQ136" s="35"/>
      <c r="BR136" s="35"/>
      <c r="BS136" s="35"/>
      <c r="BT136" s="35"/>
      <c r="BU136" s="35"/>
      <c r="BV136" s="35"/>
      <c r="BW136" s="35"/>
      <c r="BX136" s="35"/>
      <c r="BY136" s="35"/>
      <c r="BZ136" s="35"/>
      <c r="CA136" s="35"/>
      <c r="CB136" s="35"/>
      <c r="CC136" s="35"/>
      <c r="CD136" s="35"/>
      <c r="CE136" s="35"/>
      <c r="CF136" s="35"/>
      <c r="CG136" s="35"/>
      <c r="CH136" s="35"/>
      <c r="CI136" s="35"/>
      <c r="CJ136" s="35"/>
      <c r="CK136" s="35"/>
      <c r="CL136" s="35"/>
      <c r="CM136" s="35"/>
      <c r="CN136" s="35"/>
      <c r="CO136" s="35"/>
      <c r="CP136" s="35"/>
      <c r="CQ136" s="35"/>
      <c r="CR136" s="35"/>
      <c r="CS136" s="35"/>
      <c r="CT136" s="35"/>
      <c r="CU136" s="35"/>
      <c r="CV136" s="35"/>
      <c r="CW136" s="35"/>
      <c r="CX136" s="35"/>
      <c r="CY136" s="35"/>
      <c r="CZ136" s="35"/>
      <c r="DA136" s="35"/>
      <c r="DB136" s="35"/>
      <c r="DC136" s="35"/>
      <c r="DD136" s="35"/>
      <c r="DE136" s="35"/>
      <c r="DF136" s="35"/>
      <c r="DG136" s="35"/>
      <c r="DH136" s="35"/>
    </row>
    <row r="137" ht="15.75" customHeight="1"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7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5"/>
      <c r="BA137" s="35"/>
      <c r="BB137" s="35"/>
      <c r="BC137" s="35"/>
      <c r="BD137" s="35"/>
      <c r="BE137" s="35"/>
      <c r="BF137" s="35"/>
      <c r="BG137" s="35"/>
      <c r="BH137" s="35"/>
      <c r="BI137" s="35"/>
      <c r="BJ137" s="35"/>
      <c r="BK137" s="35"/>
      <c r="BL137" s="35"/>
      <c r="BM137" s="35"/>
      <c r="BN137" s="35"/>
      <c r="BO137" s="35"/>
      <c r="BP137" s="35"/>
      <c r="BQ137" s="35"/>
      <c r="BR137" s="35"/>
      <c r="BS137" s="35"/>
      <c r="BT137" s="35"/>
      <c r="BU137" s="35"/>
      <c r="BV137" s="35"/>
      <c r="BW137" s="35"/>
      <c r="BX137" s="35"/>
      <c r="BY137" s="35"/>
      <c r="BZ137" s="35"/>
      <c r="CA137" s="35"/>
      <c r="CB137" s="35"/>
      <c r="CC137" s="35"/>
      <c r="CD137" s="35"/>
      <c r="CE137" s="35"/>
      <c r="CF137" s="35"/>
      <c r="CG137" s="35"/>
      <c r="CH137" s="35"/>
      <c r="CI137" s="35"/>
      <c r="CJ137" s="35"/>
      <c r="CK137" s="35"/>
      <c r="CL137" s="35"/>
      <c r="CM137" s="35"/>
      <c r="CN137" s="35"/>
      <c r="CO137" s="35"/>
      <c r="CP137" s="35"/>
      <c r="CQ137" s="35"/>
      <c r="CR137" s="35"/>
      <c r="CS137" s="35"/>
      <c r="CT137" s="35"/>
      <c r="CU137" s="35"/>
      <c r="CV137" s="35"/>
      <c r="CW137" s="35"/>
      <c r="CX137" s="35"/>
      <c r="CY137" s="35"/>
      <c r="CZ137" s="35"/>
      <c r="DA137" s="35"/>
      <c r="DB137" s="35"/>
      <c r="DC137" s="35"/>
      <c r="DD137" s="35"/>
      <c r="DE137" s="35"/>
      <c r="DF137" s="35"/>
      <c r="DG137" s="35"/>
      <c r="DH137" s="35"/>
    </row>
    <row r="138" ht="15.75" customHeight="1"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7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  <c r="BA138" s="35"/>
      <c r="BB138" s="35"/>
      <c r="BC138" s="35"/>
      <c r="BD138" s="35"/>
      <c r="BE138" s="35"/>
      <c r="BF138" s="35"/>
      <c r="BG138" s="35"/>
      <c r="BH138" s="35"/>
      <c r="BI138" s="35"/>
      <c r="BJ138" s="35"/>
      <c r="BK138" s="35"/>
      <c r="BL138" s="35"/>
      <c r="BM138" s="35"/>
      <c r="BN138" s="35"/>
      <c r="BO138" s="35"/>
      <c r="BP138" s="35"/>
      <c r="BQ138" s="35"/>
      <c r="BR138" s="35"/>
      <c r="BS138" s="35"/>
      <c r="BT138" s="35"/>
      <c r="BU138" s="35"/>
      <c r="BV138" s="35"/>
      <c r="BW138" s="35"/>
      <c r="BX138" s="35"/>
      <c r="BY138" s="35"/>
      <c r="BZ138" s="35"/>
      <c r="CA138" s="35"/>
      <c r="CB138" s="35"/>
      <c r="CC138" s="35"/>
      <c r="CD138" s="35"/>
      <c r="CE138" s="35"/>
      <c r="CF138" s="35"/>
      <c r="CG138" s="35"/>
      <c r="CH138" s="35"/>
      <c r="CI138" s="35"/>
      <c r="CJ138" s="35"/>
      <c r="CK138" s="35"/>
      <c r="CL138" s="35"/>
      <c r="CM138" s="35"/>
      <c r="CN138" s="35"/>
      <c r="CO138" s="35"/>
      <c r="CP138" s="35"/>
      <c r="CQ138" s="35"/>
      <c r="CR138" s="35"/>
      <c r="CS138" s="35"/>
      <c r="CT138" s="35"/>
      <c r="CU138" s="35"/>
      <c r="CV138" s="35"/>
      <c r="CW138" s="35"/>
      <c r="CX138" s="35"/>
      <c r="CY138" s="35"/>
      <c r="CZ138" s="35"/>
      <c r="DA138" s="35"/>
      <c r="DB138" s="35"/>
      <c r="DC138" s="35"/>
      <c r="DD138" s="35"/>
      <c r="DE138" s="35"/>
      <c r="DF138" s="35"/>
      <c r="DG138" s="35"/>
      <c r="DH138" s="35"/>
    </row>
    <row r="139" ht="15.75" customHeight="1"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7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  <c r="AZ139" s="35"/>
      <c r="BA139" s="35"/>
      <c r="BB139" s="35"/>
      <c r="BC139" s="35"/>
      <c r="BD139" s="35"/>
      <c r="BE139" s="35"/>
      <c r="BF139" s="35"/>
      <c r="BG139" s="35"/>
      <c r="BH139" s="35"/>
      <c r="BI139" s="35"/>
      <c r="BJ139" s="35"/>
      <c r="BK139" s="35"/>
      <c r="BL139" s="35"/>
      <c r="BM139" s="35"/>
      <c r="BN139" s="35"/>
      <c r="BO139" s="35"/>
      <c r="BP139" s="35"/>
      <c r="BQ139" s="35"/>
      <c r="BR139" s="35"/>
      <c r="BS139" s="35"/>
      <c r="BT139" s="35"/>
      <c r="BU139" s="35"/>
      <c r="BV139" s="35"/>
      <c r="BW139" s="35"/>
      <c r="BX139" s="35"/>
      <c r="BY139" s="35"/>
      <c r="BZ139" s="35"/>
      <c r="CA139" s="35"/>
      <c r="CB139" s="35"/>
      <c r="CC139" s="35"/>
      <c r="CD139" s="35"/>
      <c r="CE139" s="35"/>
      <c r="CF139" s="35"/>
      <c r="CG139" s="35"/>
      <c r="CH139" s="35"/>
      <c r="CI139" s="35"/>
      <c r="CJ139" s="35"/>
      <c r="CK139" s="35"/>
      <c r="CL139" s="35"/>
      <c r="CM139" s="35"/>
      <c r="CN139" s="35"/>
      <c r="CO139" s="35"/>
      <c r="CP139" s="35"/>
      <c r="CQ139" s="35"/>
      <c r="CR139" s="35"/>
      <c r="CS139" s="35"/>
      <c r="CT139" s="35"/>
      <c r="CU139" s="35"/>
      <c r="CV139" s="35"/>
      <c r="CW139" s="35"/>
      <c r="CX139" s="35"/>
      <c r="CY139" s="35"/>
      <c r="CZ139" s="35"/>
      <c r="DA139" s="35"/>
      <c r="DB139" s="35"/>
      <c r="DC139" s="35"/>
      <c r="DD139" s="35"/>
      <c r="DE139" s="35"/>
      <c r="DF139" s="35"/>
      <c r="DG139" s="35"/>
      <c r="DH139" s="35"/>
    </row>
    <row r="140" ht="15.75" customHeight="1"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7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5"/>
      <c r="AP140" s="35"/>
      <c r="AQ140" s="35"/>
      <c r="AR140" s="35"/>
      <c r="AS140" s="35"/>
      <c r="AT140" s="35"/>
      <c r="AU140" s="35"/>
      <c r="AV140" s="35"/>
      <c r="AW140" s="35"/>
      <c r="AX140" s="35"/>
      <c r="AY140" s="35"/>
      <c r="AZ140" s="35"/>
      <c r="BA140" s="35"/>
      <c r="BB140" s="35"/>
      <c r="BC140" s="35"/>
      <c r="BD140" s="35"/>
      <c r="BE140" s="35"/>
      <c r="BF140" s="35"/>
      <c r="BG140" s="35"/>
      <c r="BH140" s="35"/>
      <c r="BI140" s="35"/>
      <c r="BJ140" s="35"/>
      <c r="BK140" s="35"/>
      <c r="BL140" s="35"/>
      <c r="BM140" s="35"/>
      <c r="BN140" s="35"/>
      <c r="BO140" s="35"/>
      <c r="BP140" s="35"/>
      <c r="BQ140" s="35"/>
      <c r="BR140" s="35"/>
      <c r="BS140" s="35"/>
      <c r="BT140" s="35"/>
      <c r="BU140" s="35"/>
      <c r="BV140" s="35"/>
      <c r="BW140" s="35"/>
      <c r="BX140" s="35"/>
      <c r="BY140" s="35"/>
      <c r="BZ140" s="35"/>
      <c r="CA140" s="35"/>
      <c r="CB140" s="35"/>
      <c r="CC140" s="35"/>
      <c r="CD140" s="35"/>
      <c r="CE140" s="35"/>
      <c r="CF140" s="35"/>
      <c r="CG140" s="35"/>
      <c r="CH140" s="35"/>
      <c r="CI140" s="35"/>
      <c r="CJ140" s="35"/>
      <c r="CK140" s="35"/>
      <c r="CL140" s="35"/>
      <c r="CM140" s="35"/>
      <c r="CN140" s="35"/>
      <c r="CO140" s="35"/>
      <c r="CP140" s="35"/>
      <c r="CQ140" s="35"/>
      <c r="CR140" s="35"/>
      <c r="CS140" s="35"/>
      <c r="CT140" s="35"/>
      <c r="CU140" s="35"/>
      <c r="CV140" s="35"/>
      <c r="CW140" s="35"/>
      <c r="CX140" s="35"/>
      <c r="CY140" s="35"/>
      <c r="CZ140" s="35"/>
      <c r="DA140" s="35"/>
      <c r="DB140" s="35"/>
      <c r="DC140" s="35"/>
      <c r="DD140" s="35"/>
      <c r="DE140" s="35"/>
      <c r="DF140" s="35"/>
      <c r="DG140" s="35"/>
      <c r="DH140" s="35"/>
    </row>
    <row r="141" ht="15.75" customHeight="1"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7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/>
      <c r="AP141" s="35"/>
      <c r="AQ141" s="35"/>
      <c r="AR141" s="35"/>
      <c r="AS141" s="35"/>
      <c r="AT141" s="35"/>
      <c r="AU141" s="35"/>
      <c r="AV141" s="35"/>
      <c r="AW141" s="35"/>
      <c r="AX141" s="35"/>
      <c r="AY141" s="35"/>
      <c r="AZ141" s="35"/>
      <c r="BA141" s="35"/>
      <c r="BB141" s="35"/>
      <c r="BC141" s="35"/>
      <c r="BD141" s="35"/>
      <c r="BE141" s="35"/>
      <c r="BF141" s="35"/>
      <c r="BG141" s="35"/>
      <c r="BH141" s="35"/>
      <c r="BI141" s="35"/>
      <c r="BJ141" s="35"/>
      <c r="BK141" s="35"/>
      <c r="BL141" s="35"/>
      <c r="BM141" s="35"/>
      <c r="BN141" s="35"/>
      <c r="BO141" s="35"/>
      <c r="BP141" s="35"/>
      <c r="BQ141" s="35"/>
      <c r="BR141" s="35"/>
      <c r="BS141" s="35"/>
      <c r="BT141" s="35"/>
      <c r="BU141" s="35"/>
      <c r="BV141" s="35"/>
      <c r="BW141" s="35"/>
      <c r="BX141" s="35"/>
      <c r="BY141" s="35"/>
      <c r="BZ141" s="35"/>
      <c r="CA141" s="35"/>
      <c r="CB141" s="35"/>
      <c r="CC141" s="35"/>
      <c r="CD141" s="35"/>
      <c r="CE141" s="35"/>
      <c r="CF141" s="35"/>
      <c r="CG141" s="35"/>
      <c r="CH141" s="35"/>
      <c r="CI141" s="35"/>
      <c r="CJ141" s="35"/>
      <c r="CK141" s="35"/>
      <c r="CL141" s="35"/>
      <c r="CM141" s="35"/>
      <c r="CN141" s="35"/>
      <c r="CO141" s="35"/>
      <c r="CP141" s="35"/>
      <c r="CQ141" s="35"/>
      <c r="CR141" s="35"/>
      <c r="CS141" s="35"/>
      <c r="CT141" s="35"/>
      <c r="CU141" s="35"/>
      <c r="CV141" s="35"/>
      <c r="CW141" s="35"/>
      <c r="CX141" s="35"/>
      <c r="CY141" s="35"/>
      <c r="CZ141" s="35"/>
      <c r="DA141" s="35"/>
      <c r="DB141" s="35"/>
      <c r="DC141" s="35"/>
      <c r="DD141" s="35"/>
      <c r="DE141" s="35"/>
      <c r="DF141" s="35"/>
      <c r="DG141" s="35"/>
      <c r="DH141" s="35"/>
    </row>
    <row r="142" ht="15.75" customHeight="1"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7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  <c r="AM142" s="35"/>
      <c r="AN142" s="35"/>
      <c r="AO142" s="35"/>
      <c r="AP142" s="35"/>
      <c r="AQ142" s="35"/>
      <c r="AR142" s="35"/>
      <c r="AS142" s="35"/>
      <c r="AT142" s="35"/>
      <c r="AU142" s="35"/>
      <c r="AV142" s="35"/>
      <c r="AW142" s="35"/>
      <c r="AX142" s="35"/>
      <c r="AY142" s="35"/>
      <c r="AZ142" s="35"/>
      <c r="BA142" s="35"/>
      <c r="BB142" s="35"/>
      <c r="BC142" s="35"/>
      <c r="BD142" s="35"/>
      <c r="BE142" s="35"/>
      <c r="BF142" s="35"/>
      <c r="BG142" s="35"/>
      <c r="BH142" s="35"/>
      <c r="BI142" s="35"/>
      <c r="BJ142" s="35"/>
      <c r="BK142" s="35"/>
      <c r="BL142" s="35"/>
      <c r="BM142" s="35"/>
      <c r="BN142" s="35"/>
      <c r="BO142" s="35"/>
      <c r="BP142" s="35"/>
      <c r="BQ142" s="35"/>
      <c r="BR142" s="35"/>
      <c r="BS142" s="35"/>
      <c r="BT142" s="35"/>
      <c r="BU142" s="35"/>
      <c r="BV142" s="35"/>
      <c r="BW142" s="35"/>
      <c r="BX142" s="35"/>
      <c r="BY142" s="35"/>
      <c r="BZ142" s="35"/>
      <c r="CA142" s="35"/>
      <c r="CB142" s="35"/>
      <c r="CC142" s="35"/>
      <c r="CD142" s="35"/>
      <c r="CE142" s="35"/>
      <c r="CF142" s="35"/>
      <c r="CG142" s="35"/>
      <c r="CH142" s="35"/>
      <c r="CI142" s="35"/>
      <c r="CJ142" s="35"/>
      <c r="CK142" s="35"/>
      <c r="CL142" s="35"/>
      <c r="CM142" s="35"/>
      <c r="CN142" s="35"/>
      <c r="CO142" s="35"/>
      <c r="CP142" s="35"/>
      <c r="CQ142" s="35"/>
      <c r="CR142" s="35"/>
      <c r="CS142" s="35"/>
      <c r="CT142" s="35"/>
      <c r="CU142" s="35"/>
      <c r="CV142" s="35"/>
      <c r="CW142" s="35"/>
      <c r="CX142" s="35"/>
      <c r="CY142" s="35"/>
      <c r="CZ142" s="35"/>
      <c r="DA142" s="35"/>
      <c r="DB142" s="35"/>
      <c r="DC142" s="35"/>
      <c r="DD142" s="35"/>
      <c r="DE142" s="35"/>
      <c r="DF142" s="35"/>
      <c r="DG142" s="35"/>
      <c r="DH142" s="35"/>
    </row>
    <row r="143" ht="15.75" customHeight="1"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7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  <c r="AL143" s="35"/>
      <c r="AM143" s="35"/>
      <c r="AN143" s="35"/>
      <c r="AO143" s="35"/>
      <c r="AP143" s="35"/>
      <c r="AQ143" s="35"/>
      <c r="AR143" s="35"/>
      <c r="AS143" s="35"/>
      <c r="AT143" s="35"/>
      <c r="AU143" s="35"/>
      <c r="AV143" s="35"/>
      <c r="AW143" s="35"/>
      <c r="AX143" s="35"/>
      <c r="AY143" s="35"/>
      <c r="AZ143" s="35"/>
      <c r="BA143" s="35"/>
      <c r="BB143" s="35"/>
      <c r="BC143" s="35"/>
      <c r="BD143" s="35"/>
      <c r="BE143" s="35"/>
      <c r="BF143" s="35"/>
      <c r="BG143" s="35"/>
      <c r="BH143" s="35"/>
      <c r="BI143" s="35"/>
      <c r="BJ143" s="35"/>
      <c r="BK143" s="35"/>
      <c r="BL143" s="35"/>
      <c r="BM143" s="35"/>
      <c r="BN143" s="35"/>
      <c r="BO143" s="35"/>
      <c r="BP143" s="35"/>
      <c r="BQ143" s="35"/>
      <c r="BR143" s="35"/>
      <c r="BS143" s="35"/>
      <c r="BT143" s="35"/>
      <c r="BU143" s="35"/>
      <c r="BV143" s="35"/>
      <c r="BW143" s="35"/>
      <c r="BX143" s="35"/>
      <c r="BY143" s="35"/>
      <c r="BZ143" s="35"/>
      <c r="CA143" s="35"/>
      <c r="CB143" s="35"/>
      <c r="CC143" s="35"/>
      <c r="CD143" s="35"/>
      <c r="CE143" s="35"/>
      <c r="CF143" s="35"/>
      <c r="CG143" s="35"/>
      <c r="CH143" s="35"/>
      <c r="CI143" s="35"/>
      <c r="CJ143" s="35"/>
      <c r="CK143" s="35"/>
      <c r="CL143" s="35"/>
      <c r="CM143" s="35"/>
      <c r="CN143" s="35"/>
      <c r="CO143" s="35"/>
      <c r="CP143" s="35"/>
      <c r="CQ143" s="35"/>
      <c r="CR143" s="35"/>
      <c r="CS143" s="35"/>
      <c r="CT143" s="35"/>
      <c r="CU143" s="35"/>
      <c r="CV143" s="35"/>
      <c r="CW143" s="35"/>
      <c r="CX143" s="35"/>
      <c r="CY143" s="35"/>
      <c r="CZ143" s="35"/>
      <c r="DA143" s="35"/>
      <c r="DB143" s="35"/>
      <c r="DC143" s="35"/>
      <c r="DD143" s="35"/>
      <c r="DE143" s="35"/>
      <c r="DF143" s="35"/>
      <c r="DG143" s="35"/>
      <c r="DH143" s="35"/>
    </row>
    <row r="144" ht="15.75" customHeight="1"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7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/>
      <c r="AM144" s="35"/>
      <c r="AN144" s="35"/>
      <c r="AO144" s="35"/>
      <c r="AP144" s="35"/>
      <c r="AQ144" s="35"/>
      <c r="AR144" s="35"/>
      <c r="AS144" s="35"/>
      <c r="AT144" s="35"/>
      <c r="AU144" s="35"/>
      <c r="AV144" s="35"/>
      <c r="AW144" s="35"/>
      <c r="AX144" s="35"/>
      <c r="AY144" s="35"/>
      <c r="AZ144" s="35"/>
      <c r="BA144" s="35"/>
      <c r="BB144" s="35"/>
      <c r="BC144" s="35"/>
      <c r="BD144" s="35"/>
      <c r="BE144" s="35"/>
      <c r="BF144" s="35"/>
      <c r="BG144" s="35"/>
      <c r="BH144" s="35"/>
      <c r="BI144" s="35"/>
      <c r="BJ144" s="35"/>
      <c r="BK144" s="35"/>
      <c r="BL144" s="35"/>
      <c r="BM144" s="35"/>
      <c r="BN144" s="35"/>
      <c r="BO144" s="35"/>
      <c r="BP144" s="35"/>
      <c r="BQ144" s="35"/>
      <c r="BR144" s="35"/>
      <c r="BS144" s="35"/>
      <c r="BT144" s="35"/>
      <c r="BU144" s="35"/>
      <c r="BV144" s="35"/>
      <c r="BW144" s="35"/>
      <c r="BX144" s="35"/>
      <c r="BY144" s="35"/>
      <c r="BZ144" s="35"/>
      <c r="CA144" s="35"/>
      <c r="CB144" s="35"/>
      <c r="CC144" s="35"/>
      <c r="CD144" s="35"/>
      <c r="CE144" s="35"/>
      <c r="CF144" s="35"/>
      <c r="CG144" s="35"/>
      <c r="CH144" s="35"/>
      <c r="CI144" s="35"/>
      <c r="CJ144" s="35"/>
      <c r="CK144" s="35"/>
      <c r="CL144" s="35"/>
      <c r="CM144" s="35"/>
      <c r="CN144" s="35"/>
      <c r="CO144" s="35"/>
      <c r="CP144" s="35"/>
      <c r="CQ144" s="35"/>
      <c r="CR144" s="35"/>
      <c r="CS144" s="35"/>
      <c r="CT144" s="35"/>
      <c r="CU144" s="35"/>
      <c r="CV144" s="35"/>
      <c r="CW144" s="35"/>
      <c r="CX144" s="35"/>
      <c r="CY144" s="35"/>
      <c r="CZ144" s="35"/>
      <c r="DA144" s="35"/>
      <c r="DB144" s="35"/>
      <c r="DC144" s="35"/>
      <c r="DD144" s="35"/>
      <c r="DE144" s="35"/>
      <c r="DF144" s="35"/>
      <c r="DG144" s="35"/>
      <c r="DH144" s="35"/>
    </row>
    <row r="145" ht="15.75" customHeight="1"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7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  <c r="AM145" s="35"/>
      <c r="AN145" s="35"/>
      <c r="AO145" s="35"/>
      <c r="AP145" s="35"/>
      <c r="AQ145" s="35"/>
      <c r="AR145" s="35"/>
      <c r="AS145" s="35"/>
      <c r="AT145" s="35"/>
      <c r="AU145" s="35"/>
      <c r="AV145" s="35"/>
      <c r="AW145" s="35"/>
      <c r="AX145" s="35"/>
      <c r="AY145" s="35"/>
      <c r="AZ145" s="35"/>
      <c r="BA145" s="35"/>
      <c r="BB145" s="35"/>
      <c r="BC145" s="35"/>
      <c r="BD145" s="35"/>
      <c r="BE145" s="35"/>
      <c r="BF145" s="35"/>
      <c r="BG145" s="35"/>
      <c r="BH145" s="35"/>
      <c r="BI145" s="35"/>
      <c r="BJ145" s="35"/>
      <c r="BK145" s="35"/>
      <c r="BL145" s="35"/>
      <c r="BM145" s="35"/>
      <c r="BN145" s="35"/>
      <c r="BO145" s="35"/>
      <c r="BP145" s="35"/>
      <c r="BQ145" s="35"/>
      <c r="BR145" s="35"/>
      <c r="BS145" s="35"/>
      <c r="BT145" s="35"/>
      <c r="BU145" s="35"/>
      <c r="BV145" s="35"/>
      <c r="BW145" s="35"/>
      <c r="BX145" s="35"/>
      <c r="BY145" s="35"/>
      <c r="BZ145" s="35"/>
      <c r="CA145" s="35"/>
      <c r="CB145" s="35"/>
      <c r="CC145" s="35"/>
      <c r="CD145" s="35"/>
      <c r="CE145" s="35"/>
      <c r="CF145" s="35"/>
      <c r="CG145" s="35"/>
      <c r="CH145" s="35"/>
      <c r="CI145" s="35"/>
      <c r="CJ145" s="35"/>
      <c r="CK145" s="35"/>
      <c r="CL145" s="35"/>
      <c r="CM145" s="35"/>
      <c r="CN145" s="35"/>
      <c r="CO145" s="35"/>
      <c r="CP145" s="35"/>
      <c r="CQ145" s="35"/>
      <c r="CR145" s="35"/>
      <c r="CS145" s="35"/>
      <c r="CT145" s="35"/>
      <c r="CU145" s="35"/>
      <c r="CV145" s="35"/>
      <c r="CW145" s="35"/>
      <c r="CX145" s="35"/>
      <c r="CY145" s="35"/>
      <c r="CZ145" s="35"/>
      <c r="DA145" s="35"/>
      <c r="DB145" s="35"/>
      <c r="DC145" s="35"/>
      <c r="DD145" s="35"/>
      <c r="DE145" s="35"/>
      <c r="DF145" s="35"/>
      <c r="DG145" s="35"/>
      <c r="DH145" s="35"/>
    </row>
    <row r="146" ht="15.75" customHeight="1"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7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/>
      <c r="AK146" s="35"/>
      <c r="AL146" s="35"/>
      <c r="AM146" s="35"/>
      <c r="AN146" s="35"/>
      <c r="AO146" s="35"/>
      <c r="AP146" s="35"/>
      <c r="AQ146" s="35"/>
      <c r="AR146" s="35"/>
      <c r="AS146" s="35"/>
      <c r="AT146" s="35"/>
      <c r="AU146" s="35"/>
      <c r="AV146" s="35"/>
      <c r="AW146" s="35"/>
      <c r="AX146" s="35"/>
      <c r="AY146" s="35"/>
      <c r="AZ146" s="35"/>
      <c r="BA146" s="35"/>
      <c r="BB146" s="35"/>
      <c r="BC146" s="35"/>
      <c r="BD146" s="35"/>
      <c r="BE146" s="35"/>
      <c r="BF146" s="35"/>
      <c r="BG146" s="35"/>
      <c r="BH146" s="35"/>
      <c r="BI146" s="35"/>
      <c r="BJ146" s="35"/>
      <c r="BK146" s="35"/>
      <c r="BL146" s="35"/>
      <c r="BM146" s="35"/>
      <c r="BN146" s="35"/>
      <c r="BO146" s="35"/>
      <c r="BP146" s="35"/>
      <c r="BQ146" s="35"/>
      <c r="BR146" s="35"/>
      <c r="BS146" s="35"/>
      <c r="BT146" s="35"/>
      <c r="BU146" s="35"/>
      <c r="BV146" s="35"/>
      <c r="BW146" s="35"/>
      <c r="BX146" s="35"/>
      <c r="BY146" s="35"/>
      <c r="BZ146" s="35"/>
      <c r="CA146" s="35"/>
      <c r="CB146" s="35"/>
      <c r="CC146" s="35"/>
      <c r="CD146" s="35"/>
      <c r="CE146" s="35"/>
      <c r="CF146" s="35"/>
      <c r="CG146" s="35"/>
      <c r="CH146" s="35"/>
      <c r="CI146" s="35"/>
      <c r="CJ146" s="35"/>
      <c r="CK146" s="35"/>
      <c r="CL146" s="35"/>
      <c r="CM146" s="35"/>
      <c r="CN146" s="35"/>
      <c r="CO146" s="35"/>
      <c r="CP146" s="35"/>
      <c r="CQ146" s="35"/>
      <c r="CR146" s="35"/>
      <c r="CS146" s="35"/>
      <c r="CT146" s="35"/>
      <c r="CU146" s="35"/>
      <c r="CV146" s="35"/>
      <c r="CW146" s="35"/>
      <c r="CX146" s="35"/>
      <c r="CY146" s="35"/>
      <c r="CZ146" s="35"/>
      <c r="DA146" s="35"/>
      <c r="DB146" s="35"/>
      <c r="DC146" s="35"/>
      <c r="DD146" s="35"/>
      <c r="DE146" s="35"/>
      <c r="DF146" s="35"/>
      <c r="DG146" s="35"/>
      <c r="DH146" s="35"/>
    </row>
    <row r="147" ht="15.75" customHeight="1"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7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  <c r="AK147" s="35"/>
      <c r="AL147" s="35"/>
      <c r="AM147" s="35"/>
      <c r="AN147" s="35"/>
      <c r="AO147" s="35"/>
      <c r="AP147" s="35"/>
      <c r="AQ147" s="35"/>
      <c r="AR147" s="35"/>
      <c r="AS147" s="35"/>
      <c r="AT147" s="35"/>
      <c r="AU147" s="35"/>
      <c r="AV147" s="35"/>
      <c r="AW147" s="35"/>
      <c r="AX147" s="35"/>
      <c r="AY147" s="35"/>
      <c r="AZ147" s="35"/>
      <c r="BA147" s="35"/>
      <c r="BB147" s="35"/>
      <c r="BC147" s="35"/>
      <c r="BD147" s="35"/>
      <c r="BE147" s="35"/>
      <c r="BF147" s="35"/>
      <c r="BG147" s="35"/>
      <c r="BH147" s="35"/>
      <c r="BI147" s="35"/>
      <c r="BJ147" s="35"/>
      <c r="BK147" s="35"/>
      <c r="BL147" s="35"/>
      <c r="BM147" s="35"/>
      <c r="BN147" s="35"/>
      <c r="BO147" s="35"/>
      <c r="BP147" s="35"/>
      <c r="BQ147" s="35"/>
      <c r="BR147" s="35"/>
      <c r="BS147" s="35"/>
      <c r="BT147" s="35"/>
      <c r="BU147" s="35"/>
      <c r="BV147" s="35"/>
      <c r="BW147" s="35"/>
      <c r="BX147" s="35"/>
      <c r="BY147" s="35"/>
      <c r="BZ147" s="35"/>
      <c r="CA147" s="35"/>
      <c r="CB147" s="35"/>
      <c r="CC147" s="35"/>
      <c r="CD147" s="35"/>
      <c r="CE147" s="35"/>
      <c r="CF147" s="35"/>
      <c r="CG147" s="35"/>
      <c r="CH147" s="35"/>
      <c r="CI147" s="35"/>
      <c r="CJ147" s="35"/>
      <c r="CK147" s="35"/>
      <c r="CL147" s="35"/>
      <c r="CM147" s="35"/>
      <c r="CN147" s="35"/>
      <c r="CO147" s="35"/>
      <c r="CP147" s="35"/>
      <c r="CQ147" s="35"/>
      <c r="CR147" s="35"/>
      <c r="CS147" s="35"/>
      <c r="CT147" s="35"/>
      <c r="CU147" s="35"/>
      <c r="CV147" s="35"/>
      <c r="CW147" s="35"/>
      <c r="CX147" s="35"/>
      <c r="CY147" s="35"/>
      <c r="CZ147" s="35"/>
      <c r="DA147" s="35"/>
      <c r="DB147" s="35"/>
      <c r="DC147" s="35"/>
      <c r="DD147" s="35"/>
      <c r="DE147" s="35"/>
      <c r="DF147" s="35"/>
      <c r="DG147" s="35"/>
      <c r="DH147" s="35"/>
    </row>
    <row r="148" ht="15.75" customHeight="1"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7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  <c r="AM148" s="35"/>
      <c r="AN148" s="35"/>
      <c r="AO148" s="35"/>
      <c r="AP148" s="35"/>
      <c r="AQ148" s="35"/>
      <c r="AR148" s="35"/>
      <c r="AS148" s="35"/>
      <c r="AT148" s="35"/>
      <c r="AU148" s="35"/>
      <c r="AV148" s="35"/>
      <c r="AW148" s="35"/>
      <c r="AX148" s="35"/>
      <c r="AY148" s="35"/>
      <c r="AZ148" s="35"/>
      <c r="BA148" s="35"/>
      <c r="BB148" s="35"/>
      <c r="BC148" s="35"/>
      <c r="BD148" s="35"/>
      <c r="BE148" s="35"/>
      <c r="BF148" s="35"/>
      <c r="BG148" s="35"/>
      <c r="BH148" s="35"/>
      <c r="BI148" s="35"/>
      <c r="BJ148" s="35"/>
      <c r="BK148" s="35"/>
      <c r="BL148" s="35"/>
      <c r="BM148" s="35"/>
      <c r="BN148" s="35"/>
      <c r="BO148" s="35"/>
      <c r="BP148" s="35"/>
      <c r="BQ148" s="35"/>
      <c r="BR148" s="35"/>
      <c r="BS148" s="35"/>
      <c r="BT148" s="35"/>
      <c r="BU148" s="35"/>
      <c r="BV148" s="35"/>
      <c r="BW148" s="35"/>
      <c r="BX148" s="35"/>
      <c r="BY148" s="35"/>
      <c r="BZ148" s="35"/>
      <c r="CA148" s="35"/>
      <c r="CB148" s="35"/>
      <c r="CC148" s="35"/>
      <c r="CD148" s="35"/>
      <c r="CE148" s="35"/>
      <c r="CF148" s="35"/>
      <c r="CG148" s="35"/>
      <c r="CH148" s="35"/>
      <c r="CI148" s="35"/>
      <c r="CJ148" s="35"/>
      <c r="CK148" s="35"/>
      <c r="CL148" s="35"/>
      <c r="CM148" s="35"/>
      <c r="CN148" s="35"/>
      <c r="CO148" s="35"/>
      <c r="CP148" s="35"/>
      <c r="CQ148" s="35"/>
      <c r="CR148" s="35"/>
      <c r="CS148" s="35"/>
      <c r="CT148" s="35"/>
      <c r="CU148" s="35"/>
      <c r="CV148" s="35"/>
      <c r="CW148" s="35"/>
      <c r="CX148" s="35"/>
      <c r="CY148" s="35"/>
      <c r="CZ148" s="35"/>
      <c r="DA148" s="35"/>
      <c r="DB148" s="35"/>
      <c r="DC148" s="35"/>
      <c r="DD148" s="35"/>
      <c r="DE148" s="35"/>
      <c r="DF148" s="35"/>
      <c r="DG148" s="35"/>
      <c r="DH148" s="35"/>
    </row>
    <row r="149" ht="15.75" customHeight="1"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7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  <c r="AK149" s="35"/>
      <c r="AL149" s="35"/>
      <c r="AM149" s="35"/>
      <c r="AN149" s="35"/>
      <c r="AO149" s="35"/>
      <c r="AP149" s="35"/>
      <c r="AQ149" s="35"/>
      <c r="AR149" s="35"/>
      <c r="AS149" s="35"/>
      <c r="AT149" s="35"/>
      <c r="AU149" s="35"/>
      <c r="AV149" s="35"/>
      <c r="AW149" s="35"/>
      <c r="AX149" s="35"/>
      <c r="AY149" s="35"/>
      <c r="AZ149" s="35"/>
      <c r="BA149" s="35"/>
      <c r="BB149" s="35"/>
      <c r="BC149" s="35"/>
      <c r="BD149" s="35"/>
      <c r="BE149" s="35"/>
      <c r="BF149" s="35"/>
      <c r="BG149" s="35"/>
      <c r="BH149" s="35"/>
      <c r="BI149" s="35"/>
      <c r="BJ149" s="35"/>
      <c r="BK149" s="35"/>
      <c r="BL149" s="35"/>
      <c r="BM149" s="35"/>
      <c r="BN149" s="35"/>
      <c r="BO149" s="35"/>
      <c r="BP149" s="35"/>
      <c r="BQ149" s="35"/>
      <c r="BR149" s="35"/>
      <c r="BS149" s="35"/>
      <c r="BT149" s="35"/>
      <c r="BU149" s="35"/>
      <c r="BV149" s="35"/>
      <c r="BW149" s="35"/>
      <c r="BX149" s="35"/>
      <c r="BY149" s="35"/>
      <c r="BZ149" s="35"/>
      <c r="CA149" s="35"/>
      <c r="CB149" s="35"/>
      <c r="CC149" s="35"/>
      <c r="CD149" s="35"/>
      <c r="CE149" s="35"/>
      <c r="CF149" s="35"/>
      <c r="CG149" s="35"/>
      <c r="CH149" s="35"/>
      <c r="CI149" s="35"/>
      <c r="CJ149" s="35"/>
      <c r="CK149" s="35"/>
      <c r="CL149" s="35"/>
      <c r="CM149" s="35"/>
      <c r="CN149" s="35"/>
      <c r="CO149" s="35"/>
      <c r="CP149" s="35"/>
      <c r="CQ149" s="35"/>
      <c r="CR149" s="35"/>
      <c r="CS149" s="35"/>
      <c r="CT149" s="35"/>
      <c r="CU149" s="35"/>
      <c r="CV149" s="35"/>
      <c r="CW149" s="35"/>
      <c r="CX149" s="35"/>
      <c r="CY149" s="35"/>
      <c r="CZ149" s="35"/>
      <c r="DA149" s="35"/>
      <c r="DB149" s="35"/>
      <c r="DC149" s="35"/>
      <c r="DD149" s="35"/>
      <c r="DE149" s="35"/>
      <c r="DF149" s="35"/>
      <c r="DG149" s="35"/>
      <c r="DH149" s="35"/>
    </row>
    <row r="150" ht="15.75" customHeight="1"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7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  <c r="AK150" s="35"/>
      <c r="AL150" s="35"/>
      <c r="AM150" s="35"/>
      <c r="AN150" s="35"/>
      <c r="AO150" s="35"/>
      <c r="AP150" s="35"/>
      <c r="AQ150" s="35"/>
      <c r="AR150" s="35"/>
      <c r="AS150" s="35"/>
      <c r="AT150" s="35"/>
      <c r="AU150" s="35"/>
      <c r="AV150" s="35"/>
      <c r="AW150" s="35"/>
      <c r="AX150" s="35"/>
      <c r="AY150" s="35"/>
      <c r="AZ150" s="35"/>
      <c r="BA150" s="35"/>
      <c r="BB150" s="35"/>
      <c r="BC150" s="35"/>
      <c r="BD150" s="35"/>
      <c r="BE150" s="35"/>
      <c r="BF150" s="35"/>
      <c r="BG150" s="35"/>
      <c r="BH150" s="35"/>
      <c r="BI150" s="35"/>
      <c r="BJ150" s="35"/>
      <c r="BK150" s="35"/>
      <c r="BL150" s="35"/>
      <c r="BM150" s="35"/>
      <c r="BN150" s="35"/>
      <c r="BO150" s="35"/>
      <c r="BP150" s="35"/>
      <c r="BQ150" s="35"/>
      <c r="BR150" s="35"/>
      <c r="BS150" s="35"/>
      <c r="BT150" s="35"/>
      <c r="BU150" s="35"/>
      <c r="BV150" s="35"/>
      <c r="BW150" s="35"/>
      <c r="BX150" s="35"/>
      <c r="BY150" s="35"/>
      <c r="BZ150" s="35"/>
      <c r="CA150" s="35"/>
      <c r="CB150" s="35"/>
      <c r="CC150" s="35"/>
      <c r="CD150" s="35"/>
      <c r="CE150" s="35"/>
      <c r="CF150" s="35"/>
      <c r="CG150" s="35"/>
      <c r="CH150" s="35"/>
      <c r="CI150" s="35"/>
      <c r="CJ150" s="35"/>
      <c r="CK150" s="35"/>
      <c r="CL150" s="35"/>
      <c r="CM150" s="35"/>
      <c r="CN150" s="35"/>
      <c r="CO150" s="35"/>
      <c r="CP150" s="35"/>
      <c r="CQ150" s="35"/>
      <c r="CR150" s="35"/>
      <c r="CS150" s="35"/>
      <c r="CT150" s="35"/>
      <c r="CU150" s="35"/>
      <c r="CV150" s="35"/>
      <c r="CW150" s="35"/>
      <c r="CX150" s="35"/>
      <c r="CY150" s="35"/>
      <c r="CZ150" s="35"/>
      <c r="DA150" s="35"/>
      <c r="DB150" s="35"/>
      <c r="DC150" s="35"/>
      <c r="DD150" s="35"/>
      <c r="DE150" s="35"/>
      <c r="DF150" s="35"/>
      <c r="DG150" s="35"/>
      <c r="DH150" s="35"/>
    </row>
    <row r="151" ht="15.75" customHeight="1"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7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L151" s="35"/>
      <c r="AM151" s="35"/>
      <c r="AN151" s="35"/>
      <c r="AO151" s="35"/>
      <c r="AP151" s="35"/>
      <c r="AQ151" s="35"/>
      <c r="AR151" s="35"/>
      <c r="AS151" s="35"/>
      <c r="AT151" s="35"/>
      <c r="AU151" s="35"/>
      <c r="AV151" s="35"/>
      <c r="AW151" s="35"/>
      <c r="AX151" s="35"/>
      <c r="AY151" s="35"/>
      <c r="AZ151" s="35"/>
      <c r="BA151" s="35"/>
      <c r="BB151" s="35"/>
      <c r="BC151" s="35"/>
      <c r="BD151" s="35"/>
      <c r="BE151" s="35"/>
      <c r="BF151" s="35"/>
      <c r="BG151" s="35"/>
      <c r="BH151" s="35"/>
      <c r="BI151" s="35"/>
      <c r="BJ151" s="35"/>
      <c r="BK151" s="35"/>
      <c r="BL151" s="35"/>
      <c r="BM151" s="35"/>
      <c r="BN151" s="35"/>
      <c r="BO151" s="35"/>
      <c r="BP151" s="35"/>
      <c r="BQ151" s="35"/>
      <c r="BR151" s="35"/>
      <c r="BS151" s="35"/>
      <c r="BT151" s="35"/>
      <c r="BU151" s="35"/>
      <c r="BV151" s="35"/>
      <c r="BW151" s="35"/>
      <c r="BX151" s="35"/>
      <c r="BY151" s="35"/>
      <c r="BZ151" s="35"/>
      <c r="CA151" s="35"/>
      <c r="CB151" s="35"/>
      <c r="CC151" s="35"/>
      <c r="CD151" s="35"/>
      <c r="CE151" s="35"/>
      <c r="CF151" s="35"/>
      <c r="CG151" s="35"/>
      <c r="CH151" s="35"/>
      <c r="CI151" s="35"/>
      <c r="CJ151" s="35"/>
      <c r="CK151" s="35"/>
      <c r="CL151" s="35"/>
      <c r="CM151" s="35"/>
      <c r="CN151" s="35"/>
      <c r="CO151" s="35"/>
      <c r="CP151" s="35"/>
      <c r="CQ151" s="35"/>
      <c r="CR151" s="35"/>
      <c r="CS151" s="35"/>
      <c r="CT151" s="35"/>
      <c r="CU151" s="35"/>
      <c r="CV151" s="35"/>
      <c r="CW151" s="35"/>
      <c r="CX151" s="35"/>
      <c r="CY151" s="35"/>
      <c r="CZ151" s="35"/>
      <c r="DA151" s="35"/>
      <c r="DB151" s="35"/>
      <c r="DC151" s="35"/>
      <c r="DD151" s="35"/>
      <c r="DE151" s="35"/>
      <c r="DF151" s="35"/>
      <c r="DG151" s="35"/>
      <c r="DH151" s="35"/>
    </row>
    <row r="152" ht="15.75" customHeight="1"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7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/>
      <c r="AK152" s="35"/>
      <c r="AL152" s="35"/>
      <c r="AM152" s="35"/>
      <c r="AN152" s="35"/>
      <c r="AO152" s="35"/>
      <c r="AP152" s="35"/>
      <c r="AQ152" s="35"/>
      <c r="AR152" s="35"/>
      <c r="AS152" s="35"/>
      <c r="AT152" s="35"/>
      <c r="AU152" s="35"/>
      <c r="AV152" s="35"/>
      <c r="AW152" s="35"/>
      <c r="AX152" s="35"/>
      <c r="AY152" s="35"/>
      <c r="AZ152" s="35"/>
      <c r="BA152" s="35"/>
      <c r="BB152" s="35"/>
      <c r="BC152" s="35"/>
      <c r="BD152" s="35"/>
      <c r="BE152" s="35"/>
      <c r="BF152" s="35"/>
      <c r="BG152" s="35"/>
      <c r="BH152" s="35"/>
      <c r="BI152" s="35"/>
      <c r="BJ152" s="35"/>
      <c r="BK152" s="35"/>
      <c r="BL152" s="35"/>
      <c r="BM152" s="35"/>
      <c r="BN152" s="35"/>
      <c r="BO152" s="35"/>
      <c r="BP152" s="35"/>
      <c r="BQ152" s="35"/>
      <c r="BR152" s="35"/>
      <c r="BS152" s="35"/>
      <c r="BT152" s="35"/>
      <c r="BU152" s="35"/>
      <c r="BV152" s="35"/>
      <c r="BW152" s="35"/>
      <c r="BX152" s="35"/>
      <c r="BY152" s="35"/>
      <c r="BZ152" s="35"/>
      <c r="CA152" s="35"/>
      <c r="CB152" s="35"/>
      <c r="CC152" s="35"/>
      <c r="CD152" s="35"/>
      <c r="CE152" s="35"/>
      <c r="CF152" s="35"/>
      <c r="CG152" s="35"/>
      <c r="CH152" s="35"/>
      <c r="CI152" s="35"/>
      <c r="CJ152" s="35"/>
      <c r="CK152" s="35"/>
      <c r="CL152" s="35"/>
      <c r="CM152" s="35"/>
      <c r="CN152" s="35"/>
      <c r="CO152" s="35"/>
      <c r="CP152" s="35"/>
      <c r="CQ152" s="35"/>
      <c r="CR152" s="35"/>
      <c r="CS152" s="35"/>
      <c r="CT152" s="35"/>
      <c r="CU152" s="35"/>
      <c r="CV152" s="35"/>
      <c r="CW152" s="35"/>
      <c r="CX152" s="35"/>
      <c r="CY152" s="35"/>
      <c r="CZ152" s="35"/>
      <c r="DA152" s="35"/>
      <c r="DB152" s="35"/>
      <c r="DC152" s="35"/>
      <c r="DD152" s="35"/>
      <c r="DE152" s="35"/>
      <c r="DF152" s="35"/>
      <c r="DG152" s="35"/>
      <c r="DH152" s="35"/>
    </row>
    <row r="153" ht="15.75" customHeight="1"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7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/>
      <c r="AK153" s="35"/>
      <c r="AL153" s="35"/>
      <c r="AM153" s="35"/>
      <c r="AN153" s="35"/>
      <c r="AO153" s="35"/>
      <c r="AP153" s="35"/>
      <c r="AQ153" s="35"/>
      <c r="AR153" s="35"/>
      <c r="AS153" s="35"/>
      <c r="AT153" s="35"/>
      <c r="AU153" s="35"/>
      <c r="AV153" s="35"/>
      <c r="AW153" s="35"/>
      <c r="AX153" s="35"/>
      <c r="AY153" s="35"/>
      <c r="AZ153" s="35"/>
      <c r="BA153" s="35"/>
      <c r="BB153" s="35"/>
      <c r="BC153" s="35"/>
      <c r="BD153" s="35"/>
      <c r="BE153" s="35"/>
      <c r="BF153" s="35"/>
      <c r="BG153" s="35"/>
      <c r="BH153" s="35"/>
      <c r="BI153" s="35"/>
      <c r="BJ153" s="35"/>
      <c r="BK153" s="35"/>
      <c r="BL153" s="35"/>
      <c r="BM153" s="35"/>
      <c r="BN153" s="35"/>
      <c r="BO153" s="35"/>
      <c r="BP153" s="35"/>
      <c r="BQ153" s="35"/>
      <c r="BR153" s="35"/>
      <c r="BS153" s="35"/>
      <c r="BT153" s="35"/>
      <c r="BU153" s="35"/>
      <c r="BV153" s="35"/>
      <c r="BW153" s="35"/>
      <c r="BX153" s="35"/>
      <c r="BY153" s="35"/>
      <c r="BZ153" s="35"/>
      <c r="CA153" s="35"/>
      <c r="CB153" s="35"/>
      <c r="CC153" s="35"/>
      <c r="CD153" s="35"/>
      <c r="CE153" s="35"/>
      <c r="CF153" s="35"/>
      <c r="CG153" s="35"/>
      <c r="CH153" s="35"/>
      <c r="CI153" s="35"/>
      <c r="CJ153" s="35"/>
      <c r="CK153" s="35"/>
      <c r="CL153" s="35"/>
      <c r="CM153" s="35"/>
      <c r="CN153" s="35"/>
      <c r="CO153" s="35"/>
      <c r="CP153" s="35"/>
      <c r="CQ153" s="35"/>
      <c r="CR153" s="35"/>
      <c r="CS153" s="35"/>
      <c r="CT153" s="35"/>
      <c r="CU153" s="35"/>
      <c r="CV153" s="35"/>
      <c r="CW153" s="35"/>
      <c r="CX153" s="35"/>
      <c r="CY153" s="35"/>
      <c r="CZ153" s="35"/>
      <c r="DA153" s="35"/>
      <c r="DB153" s="35"/>
      <c r="DC153" s="35"/>
      <c r="DD153" s="35"/>
      <c r="DE153" s="35"/>
      <c r="DF153" s="35"/>
      <c r="DG153" s="35"/>
      <c r="DH153" s="35"/>
    </row>
    <row r="154" ht="15.75" customHeight="1"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7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  <c r="AK154" s="35"/>
      <c r="AL154" s="35"/>
      <c r="AM154" s="35"/>
      <c r="AN154" s="35"/>
      <c r="AO154" s="35"/>
      <c r="AP154" s="35"/>
      <c r="AQ154" s="35"/>
      <c r="AR154" s="35"/>
      <c r="AS154" s="35"/>
      <c r="AT154" s="35"/>
      <c r="AU154" s="35"/>
      <c r="AV154" s="35"/>
      <c r="AW154" s="35"/>
      <c r="AX154" s="35"/>
      <c r="AY154" s="35"/>
      <c r="AZ154" s="35"/>
      <c r="BA154" s="35"/>
      <c r="BB154" s="35"/>
      <c r="BC154" s="35"/>
      <c r="BD154" s="35"/>
      <c r="BE154" s="35"/>
      <c r="BF154" s="35"/>
      <c r="BG154" s="35"/>
      <c r="BH154" s="35"/>
      <c r="BI154" s="35"/>
      <c r="BJ154" s="35"/>
      <c r="BK154" s="35"/>
      <c r="BL154" s="35"/>
      <c r="BM154" s="35"/>
      <c r="BN154" s="35"/>
      <c r="BO154" s="35"/>
      <c r="BP154" s="35"/>
      <c r="BQ154" s="35"/>
      <c r="BR154" s="35"/>
      <c r="BS154" s="35"/>
      <c r="BT154" s="35"/>
      <c r="BU154" s="35"/>
      <c r="BV154" s="35"/>
      <c r="BW154" s="35"/>
      <c r="BX154" s="35"/>
      <c r="BY154" s="35"/>
      <c r="BZ154" s="35"/>
      <c r="CA154" s="35"/>
      <c r="CB154" s="35"/>
      <c r="CC154" s="35"/>
      <c r="CD154" s="35"/>
      <c r="CE154" s="35"/>
      <c r="CF154" s="35"/>
      <c r="CG154" s="35"/>
      <c r="CH154" s="35"/>
      <c r="CI154" s="35"/>
      <c r="CJ154" s="35"/>
      <c r="CK154" s="35"/>
      <c r="CL154" s="35"/>
      <c r="CM154" s="35"/>
      <c r="CN154" s="35"/>
      <c r="CO154" s="35"/>
      <c r="CP154" s="35"/>
      <c r="CQ154" s="35"/>
      <c r="CR154" s="35"/>
      <c r="CS154" s="35"/>
      <c r="CT154" s="35"/>
      <c r="CU154" s="35"/>
      <c r="CV154" s="35"/>
      <c r="CW154" s="35"/>
      <c r="CX154" s="35"/>
      <c r="CY154" s="35"/>
      <c r="CZ154" s="35"/>
      <c r="DA154" s="35"/>
      <c r="DB154" s="35"/>
      <c r="DC154" s="35"/>
      <c r="DD154" s="35"/>
      <c r="DE154" s="35"/>
      <c r="DF154" s="35"/>
      <c r="DG154" s="35"/>
      <c r="DH154" s="35"/>
    </row>
    <row r="155" ht="15.75" customHeight="1"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7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  <c r="AK155" s="35"/>
      <c r="AL155" s="35"/>
      <c r="AM155" s="35"/>
      <c r="AN155" s="35"/>
      <c r="AO155" s="35"/>
      <c r="AP155" s="35"/>
      <c r="AQ155" s="35"/>
      <c r="AR155" s="35"/>
      <c r="AS155" s="35"/>
      <c r="AT155" s="35"/>
      <c r="AU155" s="35"/>
      <c r="AV155" s="35"/>
      <c r="AW155" s="35"/>
      <c r="AX155" s="35"/>
      <c r="AY155" s="35"/>
      <c r="AZ155" s="35"/>
      <c r="BA155" s="35"/>
      <c r="BB155" s="35"/>
      <c r="BC155" s="35"/>
      <c r="BD155" s="35"/>
      <c r="BE155" s="35"/>
      <c r="BF155" s="35"/>
      <c r="BG155" s="35"/>
      <c r="BH155" s="35"/>
      <c r="BI155" s="35"/>
      <c r="BJ155" s="35"/>
      <c r="BK155" s="35"/>
      <c r="BL155" s="35"/>
      <c r="BM155" s="35"/>
      <c r="BN155" s="35"/>
      <c r="BO155" s="35"/>
      <c r="BP155" s="35"/>
      <c r="BQ155" s="35"/>
      <c r="BR155" s="35"/>
      <c r="BS155" s="35"/>
      <c r="BT155" s="35"/>
      <c r="BU155" s="35"/>
      <c r="BV155" s="35"/>
      <c r="BW155" s="35"/>
      <c r="BX155" s="35"/>
      <c r="BY155" s="35"/>
      <c r="BZ155" s="35"/>
      <c r="CA155" s="35"/>
      <c r="CB155" s="35"/>
      <c r="CC155" s="35"/>
      <c r="CD155" s="35"/>
      <c r="CE155" s="35"/>
      <c r="CF155" s="35"/>
      <c r="CG155" s="35"/>
      <c r="CH155" s="35"/>
      <c r="CI155" s="35"/>
      <c r="CJ155" s="35"/>
      <c r="CK155" s="35"/>
      <c r="CL155" s="35"/>
      <c r="CM155" s="35"/>
      <c r="CN155" s="35"/>
      <c r="CO155" s="35"/>
      <c r="CP155" s="35"/>
      <c r="CQ155" s="35"/>
      <c r="CR155" s="35"/>
      <c r="CS155" s="35"/>
      <c r="CT155" s="35"/>
      <c r="CU155" s="35"/>
      <c r="CV155" s="35"/>
      <c r="CW155" s="35"/>
      <c r="CX155" s="35"/>
      <c r="CY155" s="35"/>
      <c r="CZ155" s="35"/>
      <c r="DA155" s="35"/>
      <c r="DB155" s="35"/>
      <c r="DC155" s="35"/>
      <c r="DD155" s="35"/>
      <c r="DE155" s="35"/>
      <c r="DF155" s="35"/>
      <c r="DG155" s="35"/>
      <c r="DH155" s="35"/>
    </row>
    <row r="156" ht="15.75" customHeight="1"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7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35"/>
      <c r="AL156" s="35"/>
      <c r="AM156" s="35"/>
      <c r="AN156" s="35"/>
      <c r="AO156" s="35"/>
      <c r="AP156" s="35"/>
      <c r="AQ156" s="35"/>
      <c r="AR156" s="35"/>
      <c r="AS156" s="35"/>
      <c r="AT156" s="35"/>
      <c r="AU156" s="35"/>
      <c r="AV156" s="35"/>
      <c r="AW156" s="35"/>
      <c r="AX156" s="35"/>
      <c r="AY156" s="35"/>
      <c r="AZ156" s="35"/>
      <c r="BA156" s="35"/>
      <c r="BB156" s="35"/>
      <c r="BC156" s="35"/>
      <c r="BD156" s="35"/>
      <c r="BE156" s="35"/>
      <c r="BF156" s="35"/>
      <c r="BG156" s="35"/>
      <c r="BH156" s="35"/>
      <c r="BI156" s="35"/>
      <c r="BJ156" s="35"/>
      <c r="BK156" s="35"/>
      <c r="BL156" s="35"/>
      <c r="BM156" s="35"/>
      <c r="BN156" s="35"/>
      <c r="BO156" s="35"/>
      <c r="BP156" s="35"/>
      <c r="BQ156" s="35"/>
      <c r="BR156" s="35"/>
      <c r="BS156" s="35"/>
      <c r="BT156" s="35"/>
      <c r="BU156" s="35"/>
      <c r="BV156" s="35"/>
      <c r="BW156" s="35"/>
      <c r="BX156" s="35"/>
      <c r="BY156" s="35"/>
      <c r="BZ156" s="35"/>
      <c r="CA156" s="35"/>
      <c r="CB156" s="35"/>
      <c r="CC156" s="35"/>
      <c r="CD156" s="35"/>
      <c r="CE156" s="35"/>
      <c r="CF156" s="35"/>
      <c r="CG156" s="35"/>
      <c r="CH156" s="35"/>
      <c r="CI156" s="35"/>
      <c r="CJ156" s="35"/>
      <c r="CK156" s="35"/>
      <c r="CL156" s="35"/>
      <c r="CM156" s="35"/>
      <c r="CN156" s="35"/>
      <c r="CO156" s="35"/>
      <c r="CP156" s="35"/>
      <c r="CQ156" s="35"/>
      <c r="CR156" s="35"/>
      <c r="CS156" s="35"/>
      <c r="CT156" s="35"/>
      <c r="CU156" s="35"/>
      <c r="CV156" s="35"/>
      <c r="CW156" s="35"/>
      <c r="CX156" s="35"/>
      <c r="CY156" s="35"/>
      <c r="CZ156" s="35"/>
      <c r="DA156" s="35"/>
      <c r="DB156" s="35"/>
      <c r="DC156" s="35"/>
      <c r="DD156" s="35"/>
      <c r="DE156" s="35"/>
      <c r="DF156" s="35"/>
      <c r="DG156" s="35"/>
      <c r="DH156" s="35"/>
    </row>
    <row r="157" ht="15.75" customHeight="1"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7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/>
      <c r="AK157" s="35"/>
      <c r="AL157" s="35"/>
      <c r="AM157" s="35"/>
      <c r="AN157" s="35"/>
      <c r="AO157" s="35"/>
      <c r="AP157" s="35"/>
      <c r="AQ157" s="35"/>
      <c r="AR157" s="35"/>
      <c r="AS157" s="35"/>
      <c r="AT157" s="35"/>
      <c r="AU157" s="35"/>
      <c r="AV157" s="35"/>
      <c r="AW157" s="35"/>
      <c r="AX157" s="35"/>
      <c r="AY157" s="35"/>
      <c r="AZ157" s="35"/>
      <c r="BA157" s="35"/>
      <c r="BB157" s="35"/>
      <c r="BC157" s="35"/>
      <c r="BD157" s="35"/>
      <c r="BE157" s="35"/>
      <c r="BF157" s="35"/>
      <c r="BG157" s="35"/>
      <c r="BH157" s="35"/>
      <c r="BI157" s="35"/>
      <c r="BJ157" s="35"/>
      <c r="BK157" s="35"/>
      <c r="BL157" s="35"/>
      <c r="BM157" s="35"/>
      <c r="BN157" s="35"/>
      <c r="BO157" s="35"/>
      <c r="BP157" s="35"/>
      <c r="BQ157" s="35"/>
      <c r="BR157" s="35"/>
      <c r="BS157" s="35"/>
      <c r="BT157" s="35"/>
      <c r="BU157" s="35"/>
      <c r="BV157" s="35"/>
      <c r="BW157" s="35"/>
      <c r="BX157" s="35"/>
      <c r="BY157" s="35"/>
      <c r="BZ157" s="35"/>
      <c r="CA157" s="35"/>
      <c r="CB157" s="35"/>
      <c r="CC157" s="35"/>
      <c r="CD157" s="35"/>
      <c r="CE157" s="35"/>
      <c r="CF157" s="35"/>
      <c r="CG157" s="35"/>
      <c r="CH157" s="35"/>
      <c r="CI157" s="35"/>
      <c r="CJ157" s="35"/>
      <c r="CK157" s="35"/>
      <c r="CL157" s="35"/>
      <c r="CM157" s="35"/>
      <c r="CN157" s="35"/>
      <c r="CO157" s="35"/>
      <c r="CP157" s="35"/>
      <c r="CQ157" s="35"/>
      <c r="CR157" s="35"/>
      <c r="CS157" s="35"/>
      <c r="CT157" s="35"/>
      <c r="CU157" s="35"/>
      <c r="CV157" s="35"/>
      <c r="CW157" s="35"/>
      <c r="CX157" s="35"/>
      <c r="CY157" s="35"/>
      <c r="CZ157" s="35"/>
      <c r="DA157" s="35"/>
      <c r="DB157" s="35"/>
      <c r="DC157" s="35"/>
      <c r="DD157" s="35"/>
      <c r="DE157" s="35"/>
      <c r="DF157" s="35"/>
      <c r="DG157" s="35"/>
      <c r="DH157" s="35"/>
    </row>
    <row r="158" ht="15.75" customHeight="1"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7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  <c r="AK158" s="35"/>
      <c r="AL158" s="35"/>
      <c r="AM158" s="35"/>
      <c r="AN158" s="35"/>
      <c r="AO158" s="35"/>
      <c r="AP158" s="35"/>
      <c r="AQ158" s="35"/>
      <c r="AR158" s="35"/>
      <c r="AS158" s="35"/>
      <c r="AT158" s="35"/>
      <c r="AU158" s="35"/>
      <c r="AV158" s="35"/>
      <c r="AW158" s="35"/>
      <c r="AX158" s="35"/>
      <c r="AY158" s="35"/>
      <c r="AZ158" s="35"/>
      <c r="BA158" s="35"/>
      <c r="BB158" s="35"/>
      <c r="BC158" s="35"/>
      <c r="BD158" s="35"/>
      <c r="BE158" s="35"/>
      <c r="BF158" s="35"/>
      <c r="BG158" s="35"/>
      <c r="BH158" s="35"/>
      <c r="BI158" s="35"/>
      <c r="BJ158" s="35"/>
      <c r="BK158" s="35"/>
      <c r="BL158" s="35"/>
      <c r="BM158" s="35"/>
      <c r="BN158" s="35"/>
      <c r="BO158" s="35"/>
      <c r="BP158" s="35"/>
      <c r="BQ158" s="35"/>
      <c r="BR158" s="35"/>
      <c r="BS158" s="35"/>
      <c r="BT158" s="35"/>
      <c r="BU158" s="35"/>
      <c r="BV158" s="35"/>
      <c r="BW158" s="35"/>
      <c r="BX158" s="35"/>
      <c r="BY158" s="35"/>
      <c r="BZ158" s="35"/>
      <c r="CA158" s="35"/>
      <c r="CB158" s="35"/>
      <c r="CC158" s="35"/>
      <c r="CD158" s="35"/>
      <c r="CE158" s="35"/>
      <c r="CF158" s="35"/>
      <c r="CG158" s="35"/>
      <c r="CH158" s="35"/>
      <c r="CI158" s="35"/>
      <c r="CJ158" s="35"/>
      <c r="CK158" s="35"/>
      <c r="CL158" s="35"/>
      <c r="CM158" s="35"/>
      <c r="CN158" s="35"/>
      <c r="CO158" s="35"/>
      <c r="CP158" s="35"/>
      <c r="CQ158" s="35"/>
      <c r="CR158" s="35"/>
      <c r="CS158" s="35"/>
      <c r="CT158" s="35"/>
      <c r="CU158" s="35"/>
      <c r="CV158" s="35"/>
      <c r="CW158" s="35"/>
      <c r="CX158" s="35"/>
      <c r="CY158" s="35"/>
      <c r="CZ158" s="35"/>
      <c r="DA158" s="35"/>
      <c r="DB158" s="35"/>
      <c r="DC158" s="35"/>
      <c r="DD158" s="35"/>
      <c r="DE158" s="35"/>
      <c r="DF158" s="35"/>
      <c r="DG158" s="35"/>
      <c r="DH158" s="35"/>
    </row>
    <row r="159" ht="15.75" customHeight="1"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7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  <c r="AM159" s="35"/>
      <c r="AN159" s="35"/>
      <c r="AO159" s="35"/>
      <c r="AP159" s="35"/>
      <c r="AQ159" s="35"/>
      <c r="AR159" s="35"/>
      <c r="AS159" s="35"/>
      <c r="AT159" s="35"/>
      <c r="AU159" s="35"/>
      <c r="AV159" s="35"/>
      <c r="AW159" s="35"/>
      <c r="AX159" s="35"/>
      <c r="AY159" s="35"/>
      <c r="AZ159" s="35"/>
      <c r="BA159" s="35"/>
      <c r="BB159" s="35"/>
      <c r="BC159" s="35"/>
      <c r="BD159" s="35"/>
      <c r="BE159" s="35"/>
      <c r="BF159" s="35"/>
      <c r="BG159" s="35"/>
      <c r="BH159" s="35"/>
      <c r="BI159" s="35"/>
      <c r="BJ159" s="35"/>
      <c r="BK159" s="35"/>
      <c r="BL159" s="35"/>
      <c r="BM159" s="35"/>
      <c r="BN159" s="35"/>
      <c r="BO159" s="35"/>
      <c r="BP159" s="35"/>
      <c r="BQ159" s="35"/>
      <c r="BR159" s="35"/>
      <c r="BS159" s="35"/>
      <c r="BT159" s="35"/>
      <c r="BU159" s="35"/>
      <c r="BV159" s="35"/>
      <c r="BW159" s="35"/>
      <c r="BX159" s="35"/>
      <c r="BY159" s="35"/>
      <c r="BZ159" s="35"/>
      <c r="CA159" s="35"/>
      <c r="CB159" s="35"/>
      <c r="CC159" s="35"/>
      <c r="CD159" s="35"/>
      <c r="CE159" s="35"/>
      <c r="CF159" s="35"/>
      <c r="CG159" s="35"/>
      <c r="CH159" s="35"/>
      <c r="CI159" s="35"/>
      <c r="CJ159" s="35"/>
      <c r="CK159" s="35"/>
      <c r="CL159" s="35"/>
      <c r="CM159" s="35"/>
      <c r="CN159" s="35"/>
      <c r="CO159" s="35"/>
      <c r="CP159" s="35"/>
      <c r="CQ159" s="35"/>
      <c r="CR159" s="35"/>
      <c r="CS159" s="35"/>
      <c r="CT159" s="35"/>
      <c r="CU159" s="35"/>
      <c r="CV159" s="35"/>
      <c r="CW159" s="35"/>
      <c r="CX159" s="35"/>
      <c r="CY159" s="35"/>
      <c r="CZ159" s="35"/>
      <c r="DA159" s="35"/>
      <c r="DB159" s="35"/>
      <c r="DC159" s="35"/>
      <c r="DD159" s="35"/>
      <c r="DE159" s="35"/>
      <c r="DF159" s="35"/>
      <c r="DG159" s="35"/>
      <c r="DH159" s="35"/>
    </row>
    <row r="160" ht="15.75" customHeight="1"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7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  <c r="AM160" s="35"/>
      <c r="AN160" s="35"/>
      <c r="AO160" s="35"/>
      <c r="AP160" s="35"/>
      <c r="AQ160" s="35"/>
      <c r="AR160" s="35"/>
      <c r="AS160" s="35"/>
      <c r="AT160" s="35"/>
      <c r="AU160" s="35"/>
      <c r="AV160" s="35"/>
      <c r="AW160" s="35"/>
      <c r="AX160" s="35"/>
      <c r="AY160" s="35"/>
      <c r="AZ160" s="35"/>
      <c r="BA160" s="35"/>
      <c r="BB160" s="35"/>
      <c r="BC160" s="35"/>
      <c r="BD160" s="35"/>
      <c r="BE160" s="35"/>
      <c r="BF160" s="35"/>
      <c r="BG160" s="35"/>
      <c r="BH160" s="35"/>
      <c r="BI160" s="35"/>
      <c r="BJ160" s="35"/>
      <c r="BK160" s="35"/>
      <c r="BL160" s="35"/>
      <c r="BM160" s="35"/>
      <c r="BN160" s="35"/>
      <c r="BO160" s="35"/>
      <c r="BP160" s="35"/>
      <c r="BQ160" s="35"/>
      <c r="BR160" s="35"/>
      <c r="BS160" s="35"/>
      <c r="BT160" s="35"/>
      <c r="BU160" s="35"/>
      <c r="BV160" s="35"/>
      <c r="BW160" s="35"/>
      <c r="BX160" s="35"/>
      <c r="BY160" s="35"/>
      <c r="BZ160" s="35"/>
      <c r="CA160" s="35"/>
      <c r="CB160" s="35"/>
      <c r="CC160" s="35"/>
      <c r="CD160" s="35"/>
      <c r="CE160" s="35"/>
      <c r="CF160" s="35"/>
      <c r="CG160" s="35"/>
      <c r="CH160" s="35"/>
      <c r="CI160" s="35"/>
      <c r="CJ160" s="35"/>
      <c r="CK160" s="35"/>
      <c r="CL160" s="35"/>
      <c r="CM160" s="35"/>
      <c r="CN160" s="35"/>
      <c r="CO160" s="35"/>
      <c r="CP160" s="35"/>
      <c r="CQ160" s="35"/>
      <c r="CR160" s="35"/>
      <c r="CS160" s="35"/>
      <c r="CT160" s="35"/>
      <c r="CU160" s="35"/>
      <c r="CV160" s="35"/>
      <c r="CW160" s="35"/>
      <c r="CX160" s="35"/>
      <c r="CY160" s="35"/>
      <c r="CZ160" s="35"/>
      <c r="DA160" s="35"/>
      <c r="DB160" s="35"/>
      <c r="DC160" s="35"/>
      <c r="DD160" s="35"/>
      <c r="DE160" s="35"/>
      <c r="DF160" s="35"/>
      <c r="DG160" s="35"/>
      <c r="DH160" s="35"/>
    </row>
    <row r="161" ht="15.75" customHeight="1"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7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/>
      <c r="AK161" s="35"/>
      <c r="AL161" s="35"/>
      <c r="AM161" s="35"/>
      <c r="AN161" s="35"/>
      <c r="AO161" s="35"/>
      <c r="AP161" s="35"/>
      <c r="AQ161" s="35"/>
      <c r="AR161" s="35"/>
      <c r="AS161" s="35"/>
      <c r="AT161" s="35"/>
      <c r="AU161" s="35"/>
      <c r="AV161" s="35"/>
      <c r="AW161" s="35"/>
      <c r="AX161" s="35"/>
      <c r="AY161" s="35"/>
      <c r="AZ161" s="35"/>
      <c r="BA161" s="35"/>
      <c r="BB161" s="35"/>
      <c r="BC161" s="35"/>
      <c r="BD161" s="35"/>
      <c r="BE161" s="35"/>
      <c r="BF161" s="35"/>
      <c r="BG161" s="35"/>
      <c r="BH161" s="35"/>
      <c r="BI161" s="35"/>
      <c r="BJ161" s="35"/>
      <c r="BK161" s="35"/>
      <c r="BL161" s="35"/>
      <c r="BM161" s="35"/>
      <c r="BN161" s="35"/>
      <c r="BO161" s="35"/>
      <c r="BP161" s="35"/>
      <c r="BQ161" s="35"/>
      <c r="BR161" s="35"/>
      <c r="BS161" s="35"/>
      <c r="BT161" s="35"/>
      <c r="BU161" s="35"/>
      <c r="BV161" s="35"/>
      <c r="BW161" s="35"/>
      <c r="BX161" s="35"/>
      <c r="BY161" s="35"/>
      <c r="BZ161" s="35"/>
      <c r="CA161" s="35"/>
      <c r="CB161" s="35"/>
      <c r="CC161" s="35"/>
      <c r="CD161" s="35"/>
      <c r="CE161" s="35"/>
      <c r="CF161" s="35"/>
      <c r="CG161" s="35"/>
      <c r="CH161" s="35"/>
      <c r="CI161" s="35"/>
      <c r="CJ161" s="35"/>
      <c r="CK161" s="35"/>
      <c r="CL161" s="35"/>
      <c r="CM161" s="35"/>
      <c r="CN161" s="35"/>
      <c r="CO161" s="35"/>
      <c r="CP161" s="35"/>
      <c r="CQ161" s="35"/>
      <c r="CR161" s="35"/>
      <c r="CS161" s="35"/>
      <c r="CT161" s="35"/>
      <c r="CU161" s="35"/>
      <c r="CV161" s="35"/>
      <c r="CW161" s="35"/>
      <c r="CX161" s="35"/>
      <c r="CY161" s="35"/>
      <c r="CZ161" s="35"/>
      <c r="DA161" s="35"/>
      <c r="DB161" s="35"/>
      <c r="DC161" s="35"/>
      <c r="DD161" s="35"/>
      <c r="DE161" s="35"/>
      <c r="DF161" s="35"/>
      <c r="DG161" s="35"/>
      <c r="DH161" s="35"/>
    </row>
    <row r="162" ht="15.75" customHeight="1"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7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/>
      <c r="AK162" s="35"/>
      <c r="AL162" s="35"/>
      <c r="AM162" s="35"/>
      <c r="AN162" s="35"/>
      <c r="AO162" s="35"/>
      <c r="AP162" s="35"/>
      <c r="AQ162" s="35"/>
      <c r="AR162" s="35"/>
      <c r="AS162" s="35"/>
      <c r="AT162" s="35"/>
      <c r="AU162" s="35"/>
      <c r="AV162" s="35"/>
      <c r="AW162" s="35"/>
      <c r="AX162" s="35"/>
      <c r="AY162" s="35"/>
      <c r="AZ162" s="35"/>
      <c r="BA162" s="35"/>
      <c r="BB162" s="35"/>
      <c r="BC162" s="35"/>
      <c r="BD162" s="35"/>
      <c r="BE162" s="35"/>
      <c r="BF162" s="35"/>
      <c r="BG162" s="35"/>
      <c r="BH162" s="35"/>
      <c r="BI162" s="35"/>
      <c r="BJ162" s="35"/>
      <c r="BK162" s="35"/>
      <c r="BL162" s="35"/>
      <c r="BM162" s="35"/>
      <c r="BN162" s="35"/>
      <c r="BO162" s="35"/>
      <c r="BP162" s="35"/>
      <c r="BQ162" s="35"/>
      <c r="BR162" s="35"/>
      <c r="BS162" s="35"/>
      <c r="BT162" s="35"/>
      <c r="BU162" s="35"/>
      <c r="BV162" s="35"/>
      <c r="BW162" s="35"/>
      <c r="BX162" s="35"/>
      <c r="BY162" s="35"/>
      <c r="BZ162" s="35"/>
      <c r="CA162" s="35"/>
      <c r="CB162" s="35"/>
      <c r="CC162" s="35"/>
      <c r="CD162" s="35"/>
      <c r="CE162" s="35"/>
      <c r="CF162" s="35"/>
      <c r="CG162" s="35"/>
      <c r="CH162" s="35"/>
      <c r="CI162" s="35"/>
      <c r="CJ162" s="35"/>
      <c r="CK162" s="35"/>
      <c r="CL162" s="35"/>
      <c r="CM162" s="35"/>
      <c r="CN162" s="35"/>
      <c r="CO162" s="35"/>
      <c r="CP162" s="35"/>
      <c r="CQ162" s="35"/>
      <c r="CR162" s="35"/>
      <c r="CS162" s="35"/>
      <c r="CT162" s="35"/>
      <c r="CU162" s="35"/>
      <c r="CV162" s="35"/>
      <c r="CW162" s="35"/>
      <c r="CX162" s="35"/>
      <c r="CY162" s="35"/>
      <c r="CZ162" s="35"/>
      <c r="DA162" s="35"/>
      <c r="DB162" s="35"/>
      <c r="DC162" s="35"/>
      <c r="DD162" s="35"/>
      <c r="DE162" s="35"/>
      <c r="DF162" s="35"/>
      <c r="DG162" s="35"/>
      <c r="DH162" s="35"/>
    </row>
    <row r="163" ht="15.75" customHeight="1"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7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/>
      <c r="AK163" s="35"/>
      <c r="AL163" s="35"/>
      <c r="AM163" s="35"/>
      <c r="AN163" s="35"/>
      <c r="AO163" s="35"/>
      <c r="AP163" s="35"/>
      <c r="AQ163" s="35"/>
      <c r="AR163" s="35"/>
      <c r="AS163" s="35"/>
      <c r="AT163" s="35"/>
      <c r="AU163" s="35"/>
      <c r="AV163" s="35"/>
      <c r="AW163" s="35"/>
      <c r="AX163" s="35"/>
      <c r="AY163" s="35"/>
      <c r="AZ163" s="35"/>
      <c r="BA163" s="35"/>
      <c r="BB163" s="35"/>
      <c r="BC163" s="35"/>
      <c r="BD163" s="35"/>
      <c r="BE163" s="35"/>
      <c r="BF163" s="35"/>
      <c r="BG163" s="35"/>
      <c r="BH163" s="35"/>
      <c r="BI163" s="35"/>
      <c r="BJ163" s="35"/>
      <c r="BK163" s="35"/>
      <c r="BL163" s="35"/>
      <c r="BM163" s="35"/>
      <c r="BN163" s="35"/>
      <c r="BO163" s="35"/>
      <c r="BP163" s="35"/>
      <c r="BQ163" s="35"/>
      <c r="BR163" s="35"/>
      <c r="BS163" s="35"/>
      <c r="BT163" s="35"/>
      <c r="BU163" s="35"/>
      <c r="BV163" s="35"/>
      <c r="BW163" s="35"/>
      <c r="BX163" s="35"/>
      <c r="BY163" s="35"/>
      <c r="BZ163" s="35"/>
      <c r="CA163" s="35"/>
      <c r="CB163" s="35"/>
      <c r="CC163" s="35"/>
      <c r="CD163" s="35"/>
      <c r="CE163" s="35"/>
      <c r="CF163" s="35"/>
      <c r="CG163" s="35"/>
      <c r="CH163" s="35"/>
      <c r="CI163" s="35"/>
      <c r="CJ163" s="35"/>
      <c r="CK163" s="35"/>
      <c r="CL163" s="35"/>
      <c r="CM163" s="35"/>
      <c r="CN163" s="35"/>
      <c r="CO163" s="35"/>
      <c r="CP163" s="35"/>
      <c r="CQ163" s="35"/>
      <c r="CR163" s="35"/>
      <c r="CS163" s="35"/>
      <c r="CT163" s="35"/>
      <c r="CU163" s="35"/>
      <c r="CV163" s="35"/>
      <c r="CW163" s="35"/>
      <c r="CX163" s="35"/>
      <c r="CY163" s="35"/>
      <c r="CZ163" s="35"/>
      <c r="DA163" s="35"/>
      <c r="DB163" s="35"/>
      <c r="DC163" s="35"/>
      <c r="DD163" s="35"/>
      <c r="DE163" s="35"/>
      <c r="DF163" s="35"/>
      <c r="DG163" s="35"/>
      <c r="DH163" s="35"/>
    </row>
    <row r="164" ht="15.75" customHeight="1"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7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  <c r="AL164" s="35"/>
      <c r="AM164" s="35"/>
      <c r="AN164" s="35"/>
      <c r="AO164" s="35"/>
      <c r="AP164" s="35"/>
      <c r="AQ164" s="35"/>
      <c r="AR164" s="35"/>
      <c r="AS164" s="35"/>
      <c r="AT164" s="35"/>
      <c r="AU164" s="35"/>
      <c r="AV164" s="35"/>
      <c r="AW164" s="35"/>
      <c r="AX164" s="35"/>
      <c r="AY164" s="35"/>
      <c r="AZ164" s="35"/>
      <c r="BA164" s="35"/>
      <c r="BB164" s="35"/>
      <c r="BC164" s="35"/>
      <c r="BD164" s="35"/>
      <c r="BE164" s="35"/>
      <c r="BF164" s="35"/>
      <c r="BG164" s="35"/>
      <c r="BH164" s="35"/>
      <c r="BI164" s="35"/>
      <c r="BJ164" s="35"/>
      <c r="BK164" s="35"/>
      <c r="BL164" s="35"/>
      <c r="BM164" s="35"/>
      <c r="BN164" s="35"/>
      <c r="BO164" s="35"/>
      <c r="BP164" s="35"/>
      <c r="BQ164" s="35"/>
      <c r="BR164" s="35"/>
      <c r="BS164" s="35"/>
      <c r="BT164" s="35"/>
      <c r="BU164" s="35"/>
      <c r="BV164" s="35"/>
      <c r="BW164" s="35"/>
      <c r="BX164" s="35"/>
      <c r="BY164" s="35"/>
      <c r="BZ164" s="35"/>
      <c r="CA164" s="35"/>
      <c r="CB164" s="35"/>
      <c r="CC164" s="35"/>
      <c r="CD164" s="35"/>
      <c r="CE164" s="35"/>
      <c r="CF164" s="35"/>
      <c r="CG164" s="35"/>
      <c r="CH164" s="35"/>
      <c r="CI164" s="35"/>
      <c r="CJ164" s="35"/>
      <c r="CK164" s="35"/>
      <c r="CL164" s="35"/>
      <c r="CM164" s="35"/>
      <c r="CN164" s="35"/>
      <c r="CO164" s="35"/>
      <c r="CP164" s="35"/>
      <c r="CQ164" s="35"/>
      <c r="CR164" s="35"/>
      <c r="CS164" s="35"/>
      <c r="CT164" s="35"/>
      <c r="CU164" s="35"/>
      <c r="CV164" s="35"/>
      <c r="CW164" s="35"/>
      <c r="CX164" s="35"/>
      <c r="CY164" s="35"/>
      <c r="CZ164" s="35"/>
      <c r="DA164" s="35"/>
      <c r="DB164" s="35"/>
      <c r="DC164" s="35"/>
      <c r="DD164" s="35"/>
      <c r="DE164" s="35"/>
      <c r="DF164" s="35"/>
      <c r="DG164" s="35"/>
      <c r="DH164" s="35"/>
    </row>
    <row r="165" ht="15.75" customHeight="1"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7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  <c r="AK165" s="35"/>
      <c r="AL165" s="35"/>
      <c r="AM165" s="35"/>
      <c r="AN165" s="35"/>
      <c r="AO165" s="35"/>
      <c r="AP165" s="35"/>
      <c r="AQ165" s="35"/>
      <c r="AR165" s="35"/>
      <c r="AS165" s="35"/>
      <c r="AT165" s="35"/>
      <c r="AU165" s="35"/>
      <c r="AV165" s="35"/>
      <c r="AW165" s="35"/>
      <c r="AX165" s="35"/>
      <c r="AY165" s="35"/>
      <c r="AZ165" s="35"/>
      <c r="BA165" s="35"/>
      <c r="BB165" s="35"/>
      <c r="BC165" s="35"/>
      <c r="BD165" s="35"/>
      <c r="BE165" s="35"/>
      <c r="BF165" s="35"/>
      <c r="BG165" s="35"/>
      <c r="BH165" s="35"/>
      <c r="BI165" s="35"/>
      <c r="BJ165" s="35"/>
      <c r="BK165" s="35"/>
      <c r="BL165" s="35"/>
      <c r="BM165" s="35"/>
      <c r="BN165" s="35"/>
      <c r="BO165" s="35"/>
      <c r="BP165" s="35"/>
      <c r="BQ165" s="35"/>
      <c r="BR165" s="35"/>
      <c r="BS165" s="35"/>
      <c r="BT165" s="35"/>
      <c r="BU165" s="35"/>
      <c r="BV165" s="35"/>
      <c r="BW165" s="35"/>
      <c r="BX165" s="35"/>
      <c r="BY165" s="35"/>
      <c r="BZ165" s="35"/>
      <c r="CA165" s="35"/>
      <c r="CB165" s="35"/>
      <c r="CC165" s="35"/>
      <c r="CD165" s="35"/>
      <c r="CE165" s="35"/>
      <c r="CF165" s="35"/>
      <c r="CG165" s="35"/>
      <c r="CH165" s="35"/>
      <c r="CI165" s="35"/>
      <c r="CJ165" s="35"/>
      <c r="CK165" s="35"/>
      <c r="CL165" s="35"/>
      <c r="CM165" s="35"/>
      <c r="CN165" s="35"/>
      <c r="CO165" s="35"/>
      <c r="CP165" s="35"/>
      <c r="CQ165" s="35"/>
      <c r="CR165" s="35"/>
      <c r="CS165" s="35"/>
      <c r="CT165" s="35"/>
      <c r="CU165" s="35"/>
      <c r="CV165" s="35"/>
      <c r="CW165" s="35"/>
      <c r="CX165" s="35"/>
      <c r="CY165" s="35"/>
      <c r="CZ165" s="35"/>
      <c r="DA165" s="35"/>
      <c r="DB165" s="35"/>
      <c r="DC165" s="35"/>
      <c r="DD165" s="35"/>
      <c r="DE165" s="35"/>
      <c r="DF165" s="35"/>
      <c r="DG165" s="35"/>
      <c r="DH165" s="35"/>
    </row>
    <row r="166" ht="15.75" customHeight="1"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7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/>
      <c r="AK166" s="35"/>
      <c r="AL166" s="35"/>
      <c r="AM166" s="35"/>
      <c r="AN166" s="35"/>
      <c r="AO166" s="35"/>
      <c r="AP166" s="35"/>
      <c r="AQ166" s="35"/>
      <c r="AR166" s="35"/>
      <c r="AS166" s="35"/>
      <c r="AT166" s="35"/>
      <c r="AU166" s="35"/>
      <c r="AV166" s="35"/>
      <c r="AW166" s="35"/>
      <c r="AX166" s="35"/>
      <c r="AY166" s="35"/>
      <c r="AZ166" s="35"/>
      <c r="BA166" s="35"/>
      <c r="BB166" s="35"/>
      <c r="BC166" s="35"/>
      <c r="BD166" s="35"/>
      <c r="BE166" s="35"/>
      <c r="BF166" s="35"/>
      <c r="BG166" s="35"/>
      <c r="BH166" s="35"/>
      <c r="BI166" s="35"/>
      <c r="BJ166" s="35"/>
      <c r="BK166" s="35"/>
      <c r="BL166" s="35"/>
      <c r="BM166" s="35"/>
      <c r="BN166" s="35"/>
      <c r="BO166" s="35"/>
      <c r="BP166" s="35"/>
      <c r="BQ166" s="35"/>
      <c r="BR166" s="35"/>
      <c r="BS166" s="35"/>
      <c r="BT166" s="35"/>
      <c r="BU166" s="35"/>
      <c r="BV166" s="35"/>
      <c r="BW166" s="35"/>
      <c r="BX166" s="35"/>
      <c r="BY166" s="35"/>
      <c r="BZ166" s="35"/>
      <c r="CA166" s="35"/>
      <c r="CB166" s="35"/>
      <c r="CC166" s="35"/>
      <c r="CD166" s="35"/>
      <c r="CE166" s="35"/>
      <c r="CF166" s="35"/>
      <c r="CG166" s="35"/>
      <c r="CH166" s="35"/>
      <c r="CI166" s="35"/>
      <c r="CJ166" s="35"/>
      <c r="CK166" s="35"/>
      <c r="CL166" s="35"/>
      <c r="CM166" s="35"/>
      <c r="CN166" s="35"/>
      <c r="CO166" s="35"/>
      <c r="CP166" s="35"/>
      <c r="CQ166" s="35"/>
      <c r="CR166" s="35"/>
      <c r="CS166" s="35"/>
      <c r="CT166" s="35"/>
      <c r="CU166" s="35"/>
      <c r="CV166" s="35"/>
      <c r="CW166" s="35"/>
      <c r="CX166" s="35"/>
      <c r="CY166" s="35"/>
      <c r="CZ166" s="35"/>
      <c r="DA166" s="35"/>
      <c r="DB166" s="35"/>
      <c r="DC166" s="35"/>
      <c r="DD166" s="35"/>
      <c r="DE166" s="35"/>
      <c r="DF166" s="35"/>
      <c r="DG166" s="35"/>
      <c r="DH166" s="35"/>
    </row>
    <row r="167" ht="15.75" customHeight="1"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7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/>
      <c r="AK167" s="35"/>
      <c r="AL167" s="35"/>
      <c r="AM167" s="35"/>
      <c r="AN167" s="35"/>
      <c r="AO167" s="35"/>
      <c r="AP167" s="35"/>
      <c r="AQ167" s="35"/>
      <c r="AR167" s="35"/>
      <c r="AS167" s="35"/>
      <c r="AT167" s="35"/>
      <c r="AU167" s="35"/>
      <c r="AV167" s="35"/>
      <c r="AW167" s="35"/>
      <c r="AX167" s="35"/>
      <c r="AY167" s="35"/>
      <c r="AZ167" s="35"/>
      <c r="BA167" s="35"/>
      <c r="BB167" s="35"/>
      <c r="BC167" s="35"/>
      <c r="BD167" s="35"/>
      <c r="BE167" s="35"/>
      <c r="BF167" s="35"/>
      <c r="BG167" s="35"/>
      <c r="BH167" s="35"/>
      <c r="BI167" s="35"/>
      <c r="BJ167" s="35"/>
      <c r="BK167" s="35"/>
      <c r="BL167" s="35"/>
      <c r="BM167" s="35"/>
      <c r="BN167" s="35"/>
      <c r="BO167" s="35"/>
      <c r="BP167" s="35"/>
      <c r="BQ167" s="35"/>
      <c r="BR167" s="35"/>
      <c r="BS167" s="35"/>
      <c r="BT167" s="35"/>
      <c r="BU167" s="35"/>
      <c r="BV167" s="35"/>
      <c r="BW167" s="35"/>
      <c r="BX167" s="35"/>
      <c r="BY167" s="35"/>
      <c r="BZ167" s="35"/>
      <c r="CA167" s="35"/>
      <c r="CB167" s="35"/>
      <c r="CC167" s="35"/>
      <c r="CD167" s="35"/>
      <c r="CE167" s="35"/>
      <c r="CF167" s="35"/>
      <c r="CG167" s="35"/>
      <c r="CH167" s="35"/>
      <c r="CI167" s="35"/>
      <c r="CJ167" s="35"/>
      <c r="CK167" s="35"/>
      <c r="CL167" s="35"/>
      <c r="CM167" s="35"/>
      <c r="CN167" s="35"/>
      <c r="CO167" s="35"/>
      <c r="CP167" s="35"/>
      <c r="CQ167" s="35"/>
      <c r="CR167" s="35"/>
      <c r="CS167" s="35"/>
      <c r="CT167" s="35"/>
      <c r="CU167" s="35"/>
      <c r="CV167" s="35"/>
      <c r="CW167" s="35"/>
      <c r="CX167" s="35"/>
      <c r="CY167" s="35"/>
      <c r="CZ167" s="35"/>
      <c r="DA167" s="35"/>
      <c r="DB167" s="35"/>
      <c r="DC167" s="35"/>
      <c r="DD167" s="35"/>
      <c r="DE167" s="35"/>
      <c r="DF167" s="35"/>
      <c r="DG167" s="35"/>
      <c r="DH167" s="35"/>
    </row>
    <row r="168" ht="15.75" customHeight="1"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7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/>
      <c r="AK168" s="35"/>
      <c r="AL168" s="35"/>
      <c r="AM168" s="35"/>
      <c r="AN168" s="35"/>
      <c r="AO168" s="35"/>
      <c r="AP168" s="35"/>
      <c r="AQ168" s="35"/>
      <c r="AR168" s="35"/>
      <c r="AS168" s="35"/>
      <c r="AT168" s="35"/>
      <c r="AU168" s="35"/>
      <c r="AV168" s="35"/>
      <c r="AW168" s="35"/>
      <c r="AX168" s="35"/>
      <c r="AY168" s="35"/>
      <c r="AZ168" s="35"/>
      <c r="BA168" s="35"/>
      <c r="BB168" s="35"/>
      <c r="BC168" s="35"/>
      <c r="BD168" s="35"/>
      <c r="BE168" s="35"/>
      <c r="BF168" s="35"/>
      <c r="BG168" s="35"/>
      <c r="BH168" s="35"/>
      <c r="BI168" s="35"/>
      <c r="BJ168" s="35"/>
      <c r="BK168" s="35"/>
      <c r="BL168" s="35"/>
      <c r="BM168" s="35"/>
      <c r="BN168" s="35"/>
      <c r="BO168" s="35"/>
      <c r="BP168" s="35"/>
      <c r="BQ168" s="35"/>
      <c r="BR168" s="35"/>
      <c r="BS168" s="35"/>
      <c r="BT168" s="35"/>
      <c r="BU168" s="35"/>
      <c r="BV168" s="35"/>
      <c r="BW168" s="35"/>
      <c r="BX168" s="35"/>
      <c r="BY168" s="35"/>
      <c r="BZ168" s="35"/>
      <c r="CA168" s="35"/>
      <c r="CB168" s="35"/>
      <c r="CC168" s="35"/>
      <c r="CD168" s="35"/>
      <c r="CE168" s="35"/>
      <c r="CF168" s="35"/>
      <c r="CG168" s="35"/>
      <c r="CH168" s="35"/>
      <c r="CI168" s="35"/>
      <c r="CJ168" s="35"/>
      <c r="CK168" s="35"/>
      <c r="CL168" s="35"/>
      <c r="CM168" s="35"/>
      <c r="CN168" s="35"/>
      <c r="CO168" s="35"/>
      <c r="CP168" s="35"/>
      <c r="CQ168" s="35"/>
      <c r="CR168" s="35"/>
      <c r="CS168" s="35"/>
      <c r="CT168" s="35"/>
      <c r="CU168" s="35"/>
      <c r="CV168" s="35"/>
      <c r="CW168" s="35"/>
      <c r="CX168" s="35"/>
      <c r="CY168" s="35"/>
      <c r="CZ168" s="35"/>
      <c r="DA168" s="35"/>
      <c r="DB168" s="35"/>
      <c r="DC168" s="35"/>
      <c r="DD168" s="35"/>
      <c r="DE168" s="35"/>
      <c r="DF168" s="35"/>
      <c r="DG168" s="35"/>
      <c r="DH168" s="35"/>
    </row>
    <row r="169" ht="15.75" customHeight="1"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7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/>
      <c r="AK169" s="35"/>
      <c r="AL169" s="35"/>
      <c r="AM169" s="35"/>
      <c r="AN169" s="35"/>
      <c r="AO169" s="35"/>
      <c r="AP169" s="35"/>
      <c r="AQ169" s="35"/>
      <c r="AR169" s="35"/>
      <c r="AS169" s="35"/>
      <c r="AT169" s="35"/>
      <c r="AU169" s="35"/>
      <c r="AV169" s="35"/>
      <c r="AW169" s="35"/>
      <c r="AX169" s="35"/>
      <c r="AY169" s="35"/>
      <c r="AZ169" s="35"/>
      <c r="BA169" s="35"/>
      <c r="BB169" s="35"/>
      <c r="BC169" s="35"/>
      <c r="BD169" s="35"/>
      <c r="BE169" s="35"/>
      <c r="BF169" s="35"/>
      <c r="BG169" s="35"/>
      <c r="BH169" s="35"/>
      <c r="BI169" s="35"/>
      <c r="BJ169" s="35"/>
      <c r="BK169" s="35"/>
      <c r="BL169" s="35"/>
      <c r="BM169" s="35"/>
      <c r="BN169" s="35"/>
      <c r="BO169" s="35"/>
      <c r="BP169" s="35"/>
      <c r="BQ169" s="35"/>
      <c r="BR169" s="35"/>
      <c r="BS169" s="35"/>
      <c r="BT169" s="35"/>
      <c r="BU169" s="35"/>
      <c r="BV169" s="35"/>
      <c r="BW169" s="35"/>
      <c r="BX169" s="35"/>
      <c r="BY169" s="35"/>
      <c r="BZ169" s="35"/>
      <c r="CA169" s="35"/>
      <c r="CB169" s="35"/>
      <c r="CC169" s="35"/>
      <c r="CD169" s="35"/>
      <c r="CE169" s="35"/>
      <c r="CF169" s="35"/>
      <c r="CG169" s="35"/>
      <c r="CH169" s="35"/>
      <c r="CI169" s="35"/>
      <c r="CJ169" s="35"/>
      <c r="CK169" s="35"/>
      <c r="CL169" s="35"/>
      <c r="CM169" s="35"/>
      <c r="CN169" s="35"/>
      <c r="CO169" s="35"/>
      <c r="CP169" s="35"/>
      <c r="CQ169" s="35"/>
      <c r="CR169" s="35"/>
      <c r="CS169" s="35"/>
      <c r="CT169" s="35"/>
      <c r="CU169" s="35"/>
      <c r="CV169" s="35"/>
      <c r="CW169" s="35"/>
      <c r="CX169" s="35"/>
      <c r="CY169" s="35"/>
      <c r="CZ169" s="35"/>
      <c r="DA169" s="35"/>
      <c r="DB169" s="35"/>
      <c r="DC169" s="35"/>
      <c r="DD169" s="35"/>
      <c r="DE169" s="35"/>
      <c r="DF169" s="35"/>
      <c r="DG169" s="35"/>
      <c r="DH169" s="35"/>
    </row>
    <row r="170" ht="15.75" customHeight="1"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7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/>
      <c r="AK170" s="35"/>
      <c r="AL170" s="35"/>
      <c r="AM170" s="35"/>
      <c r="AN170" s="35"/>
      <c r="AO170" s="35"/>
      <c r="AP170" s="35"/>
      <c r="AQ170" s="35"/>
      <c r="AR170" s="35"/>
      <c r="AS170" s="35"/>
      <c r="AT170" s="35"/>
      <c r="AU170" s="35"/>
      <c r="AV170" s="35"/>
      <c r="AW170" s="35"/>
      <c r="AX170" s="35"/>
      <c r="AY170" s="35"/>
      <c r="AZ170" s="35"/>
      <c r="BA170" s="35"/>
      <c r="BB170" s="35"/>
      <c r="BC170" s="35"/>
      <c r="BD170" s="35"/>
      <c r="BE170" s="35"/>
      <c r="BF170" s="35"/>
      <c r="BG170" s="35"/>
      <c r="BH170" s="35"/>
      <c r="BI170" s="35"/>
      <c r="BJ170" s="35"/>
      <c r="BK170" s="35"/>
      <c r="BL170" s="35"/>
      <c r="BM170" s="35"/>
      <c r="BN170" s="35"/>
      <c r="BO170" s="35"/>
      <c r="BP170" s="35"/>
      <c r="BQ170" s="35"/>
      <c r="BR170" s="35"/>
      <c r="BS170" s="35"/>
      <c r="BT170" s="35"/>
      <c r="BU170" s="35"/>
      <c r="BV170" s="35"/>
      <c r="BW170" s="35"/>
      <c r="BX170" s="35"/>
      <c r="BY170" s="35"/>
      <c r="BZ170" s="35"/>
      <c r="CA170" s="35"/>
      <c r="CB170" s="35"/>
      <c r="CC170" s="35"/>
      <c r="CD170" s="35"/>
      <c r="CE170" s="35"/>
      <c r="CF170" s="35"/>
      <c r="CG170" s="35"/>
      <c r="CH170" s="35"/>
      <c r="CI170" s="35"/>
      <c r="CJ170" s="35"/>
      <c r="CK170" s="35"/>
      <c r="CL170" s="35"/>
      <c r="CM170" s="35"/>
      <c r="CN170" s="35"/>
      <c r="CO170" s="35"/>
      <c r="CP170" s="35"/>
      <c r="CQ170" s="35"/>
      <c r="CR170" s="35"/>
      <c r="CS170" s="35"/>
      <c r="CT170" s="35"/>
      <c r="CU170" s="35"/>
      <c r="CV170" s="35"/>
      <c r="CW170" s="35"/>
      <c r="CX170" s="35"/>
      <c r="CY170" s="35"/>
      <c r="CZ170" s="35"/>
      <c r="DA170" s="35"/>
      <c r="DB170" s="35"/>
      <c r="DC170" s="35"/>
      <c r="DD170" s="35"/>
      <c r="DE170" s="35"/>
      <c r="DF170" s="35"/>
      <c r="DG170" s="35"/>
      <c r="DH170" s="35"/>
    </row>
    <row r="171" ht="15.75" customHeight="1"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7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  <c r="AK171" s="35"/>
      <c r="AL171" s="35"/>
      <c r="AM171" s="35"/>
      <c r="AN171" s="35"/>
      <c r="AO171" s="35"/>
      <c r="AP171" s="35"/>
      <c r="AQ171" s="35"/>
      <c r="AR171" s="35"/>
      <c r="AS171" s="35"/>
      <c r="AT171" s="35"/>
      <c r="AU171" s="35"/>
      <c r="AV171" s="35"/>
      <c r="AW171" s="35"/>
      <c r="AX171" s="35"/>
      <c r="AY171" s="35"/>
      <c r="AZ171" s="35"/>
      <c r="BA171" s="35"/>
      <c r="BB171" s="35"/>
      <c r="BC171" s="35"/>
      <c r="BD171" s="35"/>
      <c r="BE171" s="35"/>
      <c r="BF171" s="35"/>
      <c r="BG171" s="35"/>
      <c r="BH171" s="35"/>
      <c r="BI171" s="35"/>
      <c r="BJ171" s="35"/>
      <c r="BK171" s="35"/>
      <c r="BL171" s="35"/>
      <c r="BM171" s="35"/>
      <c r="BN171" s="35"/>
      <c r="BO171" s="35"/>
      <c r="BP171" s="35"/>
      <c r="BQ171" s="35"/>
      <c r="BR171" s="35"/>
      <c r="BS171" s="35"/>
      <c r="BT171" s="35"/>
      <c r="BU171" s="35"/>
      <c r="BV171" s="35"/>
      <c r="BW171" s="35"/>
      <c r="BX171" s="35"/>
      <c r="BY171" s="35"/>
      <c r="BZ171" s="35"/>
      <c r="CA171" s="35"/>
      <c r="CB171" s="35"/>
      <c r="CC171" s="35"/>
      <c r="CD171" s="35"/>
      <c r="CE171" s="35"/>
      <c r="CF171" s="35"/>
      <c r="CG171" s="35"/>
      <c r="CH171" s="35"/>
      <c r="CI171" s="35"/>
      <c r="CJ171" s="35"/>
      <c r="CK171" s="35"/>
      <c r="CL171" s="35"/>
      <c r="CM171" s="35"/>
      <c r="CN171" s="35"/>
      <c r="CO171" s="35"/>
      <c r="CP171" s="35"/>
      <c r="CQ171" s="35"/>
      <c r="CR171" s="35"/>
      <c r="CS171" s="35"/>
      <c r="CT171" s="35"/>
      <c r="CU171" s="35"/>
      <c r="CV171" s="35"/>
      <c r="CW171" s="35"/>
      <c r="CX171" s="35"/>
      <c r="CY171" s="35"/>
      <c r="CZ171" s="35"/>
      <c r="DA171" s="35"/>
      <c r="DB171" s="35"/>
      <c r="DC171" s="35"/>
      <c r="DD171" s="35"/>
      <c r="DE171" s="35"/>
      <c r="DF171" s="35"/>
      <c r="DG171" s="35"/>
      <c r="DH171" s="35"/>
    </row>
    <row r="172" ht="15.75" customHeight="1"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7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/>
      <c r="AK172" s="35"/>
      <c r="AL172" s="35"/>
      <c r="AM172" s="35"/>
      <c r="AN172" s="35"/>
      <c r="AO172" s="35"/>
      <c r="AP172" s="35"/>
      <c r="AQ172" s="35"/>
      <c r="AR172" s="35"/>
      <c r="AS172" s="35"/>
      <c r="AT172" s="35"/>
      <c r="AU172" s="35"/>
      <c r="AV172" s="35"/>
      <c r="AW172" s="35"/>
      <c r="AX172" s="35"/>
      <c r="AY172" s="35"/>
      <c r="AZ172" s="35"/>
      <c r="BA172" s="35"/>
      <c r="BB172" s="35"/>
      <c r="BC172" s="35"/>
      <c r="BD172" s="35"/>
      <c r="BE172" s="35"/>
      <c r="BF172" s="35"/>
      <c r="BG172" s="35"/>
      <c r="BH172" s="35"/>
      <c r="BI172" s="35"/>
      <c r="BJ172" s="35"/>
      <c r="BK172" s="35"/>
      <c r="BL172" s="35"/>
      <c r="BM172" s="35"/>
      <c r="BN172" s="35"/>
      <c r="BO172" s="35"/>
      <c r="BP172" s="35"/>
      <c r="BQ172" s="35"/>
      <c r="BR172" s="35"/>
      <c r="BS172" s="35"/>
      <c r="BT172" s="35"/>
      <c r="BU172" s="35"/>
      <c r="BV172" s="35"/>
      <c r="BW172" s="35"/>
      <c r="BX172" s="35"/>
      <c r="BY172" s="35"/>
      <c r="BZ172" s="35"/>
      <c r="CA172" s="35"/>
      <c r="CB172" s="35"/>
      <c r="CC172" s="35"/>
      <c r="CD172" s="35"/>
      <c r="CE172" s="35"/>
      <c r="CF172" s="35"/>
      <c r="CG172" s="35"/>
      <c r="CH172" s="35"/>
      <c r="CI172" s="35"/>
      <c r="CJ172" s="35"/>
      <c r="CK172" s="35"/>
      <c r="CL172" s="35"/>
      <c r="CM172" s="35"/>
      <c r="CN172" s="35"/>
      <c r="CO172" s="35"/>
      <c r="CP172" s="35"/>
      <c r="CQ172" s="35"/>
      <c r="CR172" s="35"/>
      <c r="CS172" s="35"/>
      <c r="CT172" s="35"/>
      <c r="CU172" s="35"/>
      <c r="CV172" s="35"/>
      <c r="CW172" s="35"/>
      <c r="CX172" s="35"/>
      <c r="CY172" s="35"/>
      <c r="CZ172" s="35"/>
      <c r="DA172" s="35"/>
      <c r="DB172" s="35"/>
      <c r="DC172" s="35"/>
      <c r="DD172" s="35"/>
      <c r="DE172" s="35"/>
      <c r="DF172" s="35"/>
      <c r="DG172" s="35"/>
      <c r="DH172" s="35"/>
    </row>
    <row r="173" ht="15.75" customHeight="1"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7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/>
      <c r="AK173" s="35"/>
      <c r="AL173" s="35"/>
      <c r="AM173" s="35"/>
      <c r="AN173" s="35"/>
      <c r="AO173" s="35"/>
      <c r="AP173" s="35"/>
      <c r="AQ173" s="35"/>
      <c r="AR173" s="35"/>
      <c r="AS173" s="35"/>
      <c r="AT173" s="35"/>
      <c r="AU173" s="35"/>
      <c r="AV173" s="35"/>
      <c r="AW173" s="35"/>
      <c r="AX173" s="35"/>
      <c r="AY173" s="35"/>
      <c r="AZ173" s="35"/>
      <c r="BA173" s="35"/>
      <c r="BB173" s="35"/>
      <c r="BC173" s="35"/>
      <c r="BD173" s="35"/>
      <c r="BE173" s="35"/>
      <c r="BF173" s="35"/>
      <c r="BG173" s="35"/>
      <c r="BH173" s="35"/>
      <c r="BI173" s="35"/>
      <c r="BJ173" s="35"/>
      <c r="BK173" s="35"/>
      <c r="BL173" s="35"/>
      <c r="BM173" s="35"/>
      <c r="BN173" s="35"/>
      <c r="BO173" s="35"/>
      <c r="BP173" s="35"/>
      <c r="BQ173" s="35"/>
      <c r="BR173" s="35"/>
      <c r="BS173" s="35"/>
      <c r="BT173" s="35"/>
      <c r="BU173" s="35"/>
      <c r="BV173" s="35"/>
      <c r="BW173" s="35"/>
      <c r="BX173" s="35"/>
      <c r="BY173" s="35"/>
      <c r="BZ173" s="35"/>
      <c r="CA173" s="35"/>
      <c r="CB173" s="35"/>
      <c r="CC173" s="35"/>
      <c r="CD173" s="35"/>
      <c r="CE173" s="35"/>
      <c r="CF173" s="35"/>
      <c r="CG173" s="35"/>
      <c r="CH173" s="35"/>
      <c r="CI173" s="35"/>
      <c r="CJ173" s="35"/>
      <c r="CK173" s="35"/>
      <c r="CL173" s="35"/>
      <c r="CM173" s="35"/>
      <c r="CN173" s="35"/>
      <c r="CO173" s="35"/>
      <c r="CP173" s="35"/>
      <c r="CQ173" s="35"/>
      <c r="CR173" s="35"/>
      <c r="CS173" s="35"/>
      <c r="CT173" s="35"/>
      <c r="CU173" s="35"/>
      <c r="CV173" s="35"/>
      <c r="CW173" s="35"/>
      <c r="CX173" s="35"/>
      <c r="CY173" s="35"/>
      <c r="CZ173" s="35"/>
      <c r="DA173" s="35"/>
      <c r="DB173" s="35"/>
      <c r="DC173" s="35"/>
      <c r="DD173" s="35"/>
      <c r="DE173" s="35"/>
      <c r="DF173" s="35"/>
      <c r="DG173" s="35"/>
      <c r="DH173" s="35"/>
    </row>
    <row r="174" ht="15.75" customHeight="1"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7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/>
      <c r="AK174" s="35"/>
      <c r="AL174" s="35"/>
      <c r="AM174" s="35"/>
      <c r="AN174" s="35"/>
      <c r="AO174" s="35"/>
      <c r="AP174" s="35"/>
      <c r="AQ174" s="35"/>
      <c r="AR174" s="35"/>
      <c r="AS174" s="35"/>
      <c r="AT174" s="35"/>
      <c r="AU174" s="35"/>
      <c r="AV174" s="35"/>
      <c r="AW174" s="35"/>
      <c r="AX174" s="35"/>
      <c r="AY174" s="35"/>
      <c r="AZ174" s="35"/>
      <c r="BA174" s="35"/>
      <c r="BB174" s="35"/>
      <c r="BC174" s="35"/>
      <c r="BD174" s="35"/>
      <c r="BE174" s="35"/>
      <c r="BF174" s="35"/>
      <c r="BG174" s="35"/>
      <c r="BH174" s="35"/>
      <c r="BI174" s="35"/>
      <c r="BJ174" s="35"/>
      <c r="BK174" s="35"/>
      <c r="BL174" s="35"/>
      <c r="BM174" s="35"/>
      <c r="BN174" s="35"/>
      <c r="BO174" s="35"/>
      <c r="BP174" s="35"/>
      <c r="BQ174" s="35"/>
      <c r="BR174" s="35"/>
      <c r="BS174" s="35"/>
      <c r="BT174" s="35"/>
      <c r="BU174" s="35"/>
      <c r="BV174" s="35"/>
      <c r="BW174" s="35"/>
      <c r="BX174" s="35"/>
      <c r="BY174" s="35"/>
      <c r="BZ174" s="35"/>
      <c r="CA174" s="35"/>
      <c r="CB174" s="35"/>
      <c r="CC174" s="35"/>
      <c r="CD174" s="35"/>
      <c r="CE174" s="35"/>
      <c r="CF174" s="35"/>
      <c r="CG174" s="35"/>
      <c r="CH174" s="35"/>
      <c r="CI174" s="35"/>
      <c r="CJ174" s="35"/>
      <c r="CK174" s="35"/>
      <c r="CL174" s="35"/>
      <c r="CM174" s="35"/>
      <c r="CN174" s="35"/>
      <c r="CO174" s="35"/>
      <c r="CP174" s="35"/>
      <c r="CQ174" s="35"/>
      <c r="CR174" s="35"/>
      <c r="CS174" s="35"/>
      <c r="CT174" s="35"/>
      <c r="CU174" s="35"/>
      <c r="CV174" s="35"/>
      <c r="CW174" s="35"/>
      <c r="CX174" s="35"/>
      <c r="CY174" s="35"/>
      <c r="CZ174" s="35"/>
      <c r="DA174" s="35"/>
      <c r="DB174" s="35"/>
      <c r="DC174" s="35"/>
      <c r="DD174" s="35"/>
      <c r="DE174" s="35"/>
      <c r="DF174" s="35"/>
      <c r="DG174" s="35"/>
      <c r="DH174" s="35"/>
    </row>
    <row r="175" ht="15.75" customHeight="1"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7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/>
      <c r="AK175" s="35"/>
      <c r="AL175" s="35"/>
      <c r="AM175" s="35"/>
      <c r="AN175" s="35"/>
      <c r="AO175" s="35"/>
      <c r="AP175" s="35"/>
      <c r="AQ175" s="35"/>
      <c r="AR175" s="35"/>
      <c r="AS175" s="35"/>
      <c r="AT175" s="35"/>
      <c r="AU175" s="35"/>
      <c r="AV175" s="35"/>
      <c r="AW175" s="35"/>
      <c r="AX175" s="35"/>
      <c r="AY175" s="35"/>
      <c r="AZ175" s="35"/>
      <c r="BA175" s="35"/>
      <c r="BB175" s="35"/>
      <c r="BC175" s="35"/>
      <c r="BD175" s="35"/>
      <c r="BE175" s="35"/>
      <c r="BF175" s="35"/>
      <c r="BG175" s="35"/>
      <c r="BH175" s="35"/>
      <c r="BI175" s="35"/>
      <c r="BJ175" s="35"/>
      <c r="BK175" s="35"/>
      <c r="BL175" s="35"/>
      <c r="BM175" s="35"/>
      <c r="BN175" s="35"/>
      <c r="BO175" s="35"/>
      <c r="BP175" s="35"/>
      <c r="BQ175" s="35"/>
      <c r="BR175" s="35"/>
      <c r="BS175" s="35"/>
      <c r="BT175" s="35"/>
      <c r="BU175" s="35"/>
      <c r="BV175" s="35"/>
      <c r="BW175" s="35"/>
      <c r="BX175" s="35"/>
      <c r="BY175" s="35"/>
      <c r="BZ175" s="35"/>
      <c r="CA175" s="35"/>
      <c r="CB175" s="35"/>
      <c r="CC175" s="35"/>
      <c r="CD175" s="35"/>
      <c r="CE175" s="35"/>
      <c r="CF175" s="35"/>
      <c r="CG175" s="35"/>
      <c r="CH175" s="35"/>
      <c r="CI175" s="35"/>
      <c r="CJ175" s="35"/>
      <c r="CK175" s="35"/>
      <c r="CL175" s="35"/>
      <c r="CM175" s="35"/>
      <c r="CN175" s="35"/>
      <c r="CO175" s="35"/>
      <c r="CP175" s="35"/>
      <c r="CQ175" s="35"/>
      <c r="CR175" s="35"/>
      <c r="CS175" s="35"/>
      <c r="CT175" s="35"/>
      <c r="CU175" s="35"/>
      <c r="CV175" s="35"/>
      <c r="CW175" s="35"/>
      <c r="CX175" s="35"/>
      <c r="CY175" s="35"/>
      <c r="CZ175" s="35"/>
      <c r="DA175" s="35"/>
      <c r="DB175" s="35"/>
      <c r="DC175" s="35"/>
      <c r="DD175" s="35"/>
      <c r="DE175" s="35"/>
      <c r="DF175" s="35"/>
      <c r="DG175" s="35"/>
      <c r="DH175" s="35"/>
    </row>
    <row r="176" ht="15.75" customHeight="1"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7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/>
      <c r="AK176" s="35"/>
      <c r="AL176" s="35"/>
      <c r="AM176" s="35"/>
      <c r="AN176" s="35"/>
      <c r="AO176" s="35"/>
      <c r="AP176" s="35"/>
      <c r="AQ176" s="35"/>
      <c r="AR176" s="35"/>
      <c r="AS176" s="35"/>
      <c r="AT176" s="35"/>
      <c r="AU176" s="35"/>
      <c r="AV176" s="35"/>
      <c r="AW176" s="35"/>
      <c r="AX176" s="35"/>
      <c r="AY176" s="35"/>
      <c r="AZ176" s="35"/>
      <c r="BA176" s="35"/>
      <c r="BB176" s="35"/>
      <c r="BC176" s="35"/>
      <c r="BD176" s="35"/>
      <c r="BE176" s="35"/>
      <c r="BF176" s="35"/>
      <c r="BG176" s="35"/>
      <c r="BH176" s="35"/>
      <c r="BI176" s="35"/>
      <c r="BJ176" s="35"/>
      <c r="BK176" s="35"/>
      <c r="BL176" s="35"/>
      <c r="BM176" s="35"/>
      <c r="BN176" s="35"/>
      <c r="BO176" s="35"/>
      <c r="BP176" s="35"/>
      <c r="BQ176" s="35"/>
      <c r="BR176" s="35"/>
      <c r="BS176" s="35"/>
      <c r="BT176" s="35"/>
      <c r="BU176" s="35"/>
      <c r="BV176" s="35"/>
      <c r="BW176" s="35"/>
      <c r="BX176" s="35"/>
      <c r="BY176" s="35"/>
      <c r="BZ176" s="35"/>
      <c r="CA176" s="35"/>
      <c r="CB176" s="35"/>
      <c r="CC176" s="35"/>
      <c r="CD176" s="35"/>
      <c r="CE176" s="35"/>
      <c r="CF176" s="35"/>
      <c r="CG176" s="35"/>
      <c r="CH176" s="35"/>
      <c r="CI176" s="35"/>
      <c r="CJ176" s="35"/>
      <c r="CK176" s="35"/>
      <c r="CL176" s="35"/>
      <c r="CM176" s="35"/>
      <c r="CN176" s="35"/>
      <c r="CO176" s="35"/>
      <c r="CP176" s="35"/>
      <c r="CQ176" s="35"/>
      <c r="CR176" s="35"/>
      <c r="CS176" s="35"/>
      <c r="CT176" s="35"/>
      <c r="CU176" s="35"/>
      <c r="CV176" s="35"/>
      <c r="CW176" s="35"/>
      <c r="CX176" s="35"/>
      <c r="CY176" s="35"/>
      <c r="CZ176" s="35"/>
      <c r="DA176" s="35"/>
      <c r="DB176" s="35"/>
      <c r="DC176" s="35"/>
      <c r="DD176" s="35"/>
      <c r="DE176" s="35"/>
      <c r="DF176" s="35"/>
      <c r="DG176" s="35"/>
      <c r="DH176" s="35"/>
    </row>
    <row r="177" ht="15.75" customHeight="1"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7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/>
      <c r="AK177" s="35"/>
      <c r="AL177" s="35"/>
      <c r="AM177" s="35"/>
      <c r="AN177" s="35"/>
      <c r="AO177" s="35"/>
      <c r="AP177" s="35"/>
      <c r="AQ177" s="35"/>
      <c r="AR177" s="35"/>
      <c r="AS177" s="35"/>
      <c r="AT177" s="35"/>
      <c r="AU177" s="35"/>
      <c r="AV177" s="35"/>
      <c r="AW177" s="35"/>
      <c r="AX177" s="35"/>
      <c r="AY177" s="35"/>
      <c r="AZ177" s="35"/>
      <c r="BA177" s="35"/>
      <c r="BB177" s="35"/>
      <c r="BC177" s="35"/>
      <c r="BD177" s="35"/>
      <c r="BE177" s="35"/>
      <c r="BF177" s="35"/>
      <c r="BG177" s="35"/>
      <c r="BH177" s="35"/>
      <c r="BI177" s="35"/>
      <c r="BJ177" s="35"/>
      <c r="BK177" s="35"/>
      <c r="BL177" s="35"/>
      <c r="BM177" s="35"/>
      <c r="BN177" s="35"/>
      <c r="BO177" s="35"/>
      <c r="BP177" s="35"/>
      <c r="BQ177" s="35"/>
      <c r="BR177" s="35"/>
      <c r="BS177" s="35"/>
      <c r="BT177" s="35"/>
      <c r="BU177" s="35"/>
      <c r="BV177" s="35"/>
      <c r="BW177" s="35"/>
      <c r="BX177" s="35"/>
      <c r="BY177" s="35"/>
      <c r="BZ177" s="35"/>
      <c r="CA177" s="35"/>
      <c r="CB177" s="35"/>
      <c r="CC177" s="35"/>
      <c r="CD177" s="35"/>
      <c r="CE177" s="35"/>
      <c r="CF177" s="35"/>
      <c r="CG177" s="35"/>
      <c r="CH177" s="35"/>
      <c r="CI177" s="35"/>
      <c r="CJ177" s="35"/>
      <c r="CK177" s="35"/>
      <c r="CL177" s="35"/>
      <c r="CM177" s="35"/>
      <c r="CN177" s="35"/>
      <c r="CO177" s="35"/>
      <c r="CP177" s="35"/>
      <c r="CQ177" s="35"/>
      <c r="CR177" s="35"/>
      <c r="CS177" s="35"/>
      <c r="CT177" s="35"/>
      <c r="CU177" s="35"/>
      <c r="CV177" s="35"/>
      <c r="CW177" s="35"/>
      <c r="CX177" s="35"/>
      <c r="CY177" s="35"/>
      <c r="CZ177" s="35"/>
      <c r="DA177" s="35"/>
      <c r="DB177" s="35"/>
      <c r="DC177" s="35"/>
      <c r="DD177" s="35"/>
      <c r="DE177" s="35"/>
      <c r="DF177" s="35"/>
      <c r="DG177" s="35"/>
      <c r="DH177" s="35"/>
    </row>
    <row r="178" ht="15.75" customHeight="1"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7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/>
      <c r="AK178" s="35"/>
      <c r="AL178" s="35"/>
      <c r="AM178" s="35"/>
      <c r="AN178" s="35"/>
      <c r="AO178" s="35"/>
      <c r="AP178" s="35"/>
      <c r="AQ178" s="35"/>
      <c r="AR178" s="35"/>
      <c r="AS178" s="35"/>
      <c r="AT178" s="35"/>
      <c r="AU178" s="35"/>
      <c r="AV178" s="35"/>
      <c r="AW178" s="35"/>
      <c r="AX178" s="35"/>
      <c r="AY178" s="35"/>
      <c r="AZ178" s="35"/>
      <c r="BA178" s="35"/>
      <c r="BB178" s="35"/>
      <c r="BC178" s="35"/>
      <c r="BD178" s="35"/>
      <c r="BE178" s="35"/>
      <c r="BF178" s="35"/>
      <c r="BG178" s="35"/>
      <c r="BH178" s="35"/>
      <c r="BI178" s="35"/>
      <c r="BJ178" s="35"/>
      <c r="BK178" s="35"/>
      <c r="BL178" s="35"/>
      <c r="BM178" s="35"/>
      <c r="BN178" s="35"/>
      <c r="BO178" s="35"/>
      <c r="BP178" s="35"/>
      <c r="BQ178" s="35"/>
      <c r="BR178" s="35"/>
      <c r="BS178" s="35"/>
      <c r="BT178" s="35"/>
      <c r="BU178" s="35"/>
      <c r="BV178" s="35"/>
      <c r="BW178" s="35"/>
      <c r="BX178" s="35"/>
      <c r="BY178" s="35"/>
      <c r="BZ178" s="35"/>
      <c r="CA178" s="35"/>
      <c r="CB178" s="35"/>
      <c r="CC178" s="35"/>
      <c r="CD178" s="35"/>
      <c r="CE178" s="35"/>
      <c r="CF178" s="35"/>
      <c r="CG178" s="35"/>
      <c r="CH178" s="35"/>
      <c r="CI178" s="35"/>
      <c r="CJ178" s="35"/>
      <c r="CK178" s="35"/>
      <c r="CL178" s="35"/>
      <c r="CM178" s="35"/>
      <c r="CN178" s="35"/>
      <c r="CO178" s="35"/>
      <c r="CP178" s="35"/>
      <c r="CQ178" s="35"/>
      <c r="CR178" s="35"/>
      <c r="CS178" s="35"/>
      <c r="CT178" s="35"/>
      <c r="CU178" s="35"/>
      <c r="CV178" s="35"/>
      <c r="CW178" s="35"/>
      <c r="CX178" s="35"/>
      <c r="CY178" s="35"/>
      <c r="CZ178" s="35"/>
      <c r="DA178" s="35"/>
      <c r="DB178" s="35"/>
      <c r="DC178" s="35"/>
      <c r="DD178" s="35"/>
      <c r="DE178" s="35"/>
      <c r="DF178" s="35"/>
      <c r="DG178" s="35"/>
      <c r="DH178" s="35"/>
    </row>
    <row r="179" ht="15.75" customHeight="1"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7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/>
      <c r="AK179" s="35"/>
      <c r="AL179" s="35"/>
      <c r="AM179" s="35"/>
      <c r="AN179" s="35"/>
      <c r="AO179" s="35"/>
      <c r="AP179" s="35"/>
      <c r="AQ179" s="35"/>
      <c r="AR179" s="35"/>
      <c r="AS179" s="35"/>
      <c r="AT179" s="35"/>
      <c r="AU179" s="35"/>
      <c r="AV179" s="35"/>
      <c r="AW179" s="35"/>
      <c r="AX179" s="35"/>
      <c r="AY179" s="35"/>
      <c r="AZ179" s="35"/>
      <c r="BA179" s="35"/>
      <c r="BB179" s="35"/>
      <c r="BC179" s="35"/>
      <c r="BD179" s="35"/>
      <c r="BE179" s="35"/>
      <c r="BF179" s="35"/>
      <c r="BG179" s="35"/>
      <c r="BH179" s="35"/>
      <c r="BI179" s="35"/>
      <c r="BJ179" s="35"/>
      <c r="BK179" s="35"/>
      <c r="BL179" s="35"/>
      <c r="BM179" s="35"/>
      <c r="BN179" s="35"/>
      <c r="BO179" s="35"/>
      <c r="BP179" s="35"/>
      <c r="BQ179" s="35"/>
      <c r="BR179" s="35"/>
      <c r="BS179" s="35"/>
      <c r="BT179" s="35"/>
      <c r="BU179" s="35"/>
      <c r="BV179" s="35"/>
      <c r="BW179" s="35"/>
      <c r="BX179" s="35"/>
      <c r="BY179" s="35"/>
      <c r="BZ179" s="35"/>
      <c r="CA179" s="35"/>
      <c r="CB179" s="35"/>
      <c r="CC179" s="35"/>
      <c r="CD179" s="35"/>
      <c r="CE179" s="35"/>
      <c r="CF179" s="35"/>
      <c r="CG179" s="35"/>
      <c r="CH179" s="35"/>
      <c r="CI179" s="35"/>
      <c r="CJ179" s="35"/>
      <c r="CK179" s="35"/>
      <c r="CL179" s="35"/>
      <c r="CM179" s="35"/>
      <c r="CN179" s="35"/>
      <c r="CO179" s="35"/>
      <c r="CP179" s="35"/>
      <c r="CQ179" s="35"/>
      <c r="CR179" s="35"/>
      <c r="CS179" s="35"/>
      <c r="CT179" s="35"/>
      <c r="CU179" s="35"/>
      <c r="CV179" s="35"/>
      <c r="CW179" s="35"/>
      <c r="CX179" s="35"/>
      <c r="CY179" s="35"/>
      <c r="CZ179" s="35"/>
      <c r="DA179" s="35"/>
      <c r="DB179" s="35"/>
      <c r="DC179" s="35"/>
      <c r="DD179" s="35"/>
      <c r="DE179" s="35"/>
      <c r="DF179" s="35"/>
      <c r="DG179" s="35"/>
      <c r="DH179" s="35"/>
    </row>
    <row r="180" ht="15.75" customHeight="1"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7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/>
      <c r="AK180" s="35"/>
      <c r="AL180" s="35"/>
      <c r="AM180" s="35"/>
      <c r="AN180" s="35"/>
      <c r="AO180" s="35"/>
      <c r="AP180" s="35"/>
      <c r="AQ180" s="35"/>
      <c r="AR180" s="35"/>
      <c r="AS180" s="35"/>
      <c r="AT180" s="35"/>
      <c r="AU180" s="35"/>
      <c r="AV180" s="35"/>
      <c r="AW180" s="35"/>
      <c r="AX180" s="35"/>
      <c r="AY180" s="35"/>
      <c r="AZ180" s="35"/>
      <c r="BA180" s="35"/>
      <c r="BB180" s="35"/>
      <c r="BC180" s="35"/>
      <c r="BD180" s="35"/>
      <c r="BE180" s="35"/>
      <c r="BF180" s="35"/>
      <c r="BG180" s="35"/>
      <c r="BH180" s="35"/>
      <c r="BI180" s="35"/>
      <c r="BJ180" s="35"/>
      <c r="BK180" s="35"/>
      <c r="BL180" s="35"/>
      <c r="BM180" s="35"/>
      <c r="BN180" s="35"/>
      <c r="BO180" s="35"/>
      <c r="BP180" s="35"/>
      <c r="BQ180" s="35"/>
      <c r="BR180" s="35"/>
      <c r="BS180" s="35"/>
      <c r="BT180" s="35"/>
      <c r="BU180" s="35"/>
      <c r="BV180" s="35"/>
      <c r="BW180" s="35"/>
      <c r="BX180" s="35"/>
      <c r="BY180" s="35"/>
      <c r="BZ180" s="35"/>
      <c r="CA180" s="35"/>
      <c r="CB180" s="35"/>
      <c r="CC180" s="35"/>
      <c r="CD180" s="35"/>
      <c r="CE180" s="35"/>
      <c r="CF180" s="35"/>
      <c r="CG180" s="35"/>
      <c r="CH180" s="35"/>
      <c r="CI180" s="35"/>
      <c r="CJ180" s="35"/>
      <c r="CK180" s="35"/>
      <c r="CL180" s="35"/>
      <c r="CM180" s="35"/>
      <c r="CN180" s="35"/>
      <c r="CO180" s="35"/>
      <c r="CP180" s="35"/>
      <c r="CQ180" s="35"/>
      <c r="CR180" s="35"/>
      <c r="CS180" s="35"/>
      <c r="CT180" s="35"/>
      <c r="CU180" s="35"/>
      <c r="CV180" s="35"/>
      <c r="CW180" s="35"/>
      <c r="CX180" s="35"/>
      <c r="CY180" s="35"/>
      <c r="CZ180" s="35"/>
      <c r="DA180" s="35"/>
      <c r="DB180" s="35"/>
      <c r="DC180" s="35"/>
      <c r="DD180" s="35"/>
      <c r="DE180" s="35"/>
      <c r="DF180" s="35"/>
      <c r="DG180" s="35"/>
      <c r="DH180" s="35"/>
    </row>
    <row r="181" ht="15.75" customHeight="1"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7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/>
      <c r="AK181" s="35"/>
      <c r="AL181" s="35"/>
      <c r="AM181" s="35"/>
      <c r="AN181" s="35"/>
      <c r="AO181" s="35"/>
      <c r="AP181" s="35"/>
      <c r="AQ181" s="35"/>
      <c r="AR181" s="35"/>
      <c r="AS181" s="35"/>
      <c r="AT181" s="35"/>
      <c r="AU181" s="35"/>
      <c r="AV181" s="35"/>
      <c r="AW181" s="35"/>
      <c r="AX181" s="35"/>
      <c r="AY181" s="35"/>
      <c r="AZ181" s="35"/>
      <c r="BA181" s="35"/>
      <c r="BB181" s="35"/>
      <c r="BC181" s="35"/>
      <c r="BD181" s="35"/>
      <c r="BE181" s="35"/>
      <c r="BF181" s="35"/>
      <c r="BG181" s="35"/>
      <c r="BH181" s="35"/>
      <c r="BI181" s="35"/>
      <c r="BJ181" s="35"/>
      <c r="BK181" s="35"/>
      <c r="BL181" s="35"/>
      <c r="BM181" s="35"/>
      <c r="BN181" s="35"/>
      <c r="BO181" s="35"/>
      <c r="BP181" s="35"/>
      <c r="BQ181" s="35"/>
      <c r="BR181" s="35"/>
      <c r="BS181" s="35"/>
      <c r="BT181" s="35"/>
      <c r="BU181" s="35"/>
      <c r="BV181" s="35"/>
      <c r="BW181" s="35"/>
      <c r="BX181" s="35"/>
      <c r="BY181" s="35"/>
      <c r="BZ181" s="35"/>
      <c r="CA181" s="35"/>
      <c r="CB181" s="35"/>
      <c r="CC181" s="35"/>
      <c r="CD181" s="35"/>
      <c r="CE181" s="35"/>
      <c r="CF181" s="35"/>
      <c r="CG181" s="35"/>
      <c r="CH181" s="35"/>
      <c r="CI181" s="35"/>
      <c r="CJ181" s="35"/>
      <c r="CK181" s="35"/>
      <c r="CL181" s="35"/>
      <c r="CM181" s="35"/>
      <c r="CN181" s="35"/>
      <c r="CO181" s="35"/>
      <c r="CP181" s="35"/>
      <c r="CQ181" s="35"/>
      <c r="CR181" s="35"/>
      <c r="CS181" s="35"/>
      <c r="CT181" s="35"/>
      <c r="CU181" s="35"/>
      <c r="CV181" s="35"/>
      <c r="CW181" s="35"/>
      <c r="CX181" s="35"/>
      <c r="CY181" s="35"/>
      <c r="CZ181" s="35"/>
      <c r="DA181" s="35"/>
      <c r="DB181" s="35"/>
      <c r="DC181" s="35"/>
      <c r="DD181" s="35"/>
      <c r="DE181" s="35"/>
      <c r="DF181" s="35"/>
      <c r="DG181" s="35"/>
      <c r="DH181" s="35"/>
    </row>
    <row r="182" ht="15.75" customHeight="1"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7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/>
      <c r="AK182" s="35"/>
      <c r="AL182" s="35"/>
      <c r="AM182" s="35"/>
      <c r="AN182" s="35"/>
      <c r="AO182" s="35"/>
      <c r="AP182" s="35"/>
      <c r="AQ182" s="35"/>
      <c r="AR182" s="35"/>
      <c r="AS182" s="35"/>
      <c r="AT182" s="35"/>
      <c r="AU182" s="35"/>
      <c r="AV182" s="35"/>
      <c r="AW182" s="35"/>
      <c r="AX182" s="35"/>
      <c r="AY182" s="35"/>
      <c r="AZ182" s="35"/>
      <c r="BA182" s="35"/>
      <c r="BB182" s="35"/>
      <c r="BC182" s="35"/>
      <c r="BD182" s="35"/>
      <c r="BE182" s="35"/>
      <c r="BF182" s="35"/>
      <c r="BG182" s="35"/>
      <c r="BH182" s="35"/>
      <c r="BI182" s="35"/>
      <c r="BJ182" s="35"/>
      <c r="BK182" s="35"/>
      <c r="BL182" s="35"/>
      <c r="BM182" s="35"/>
      <c r="BN182" s="35"/>
      <c r="BO182" s="35"/>
      <c r="BP182" s="35"/>
      <c r="BQ182" s="35"/>
      <c r="BR182" s="35"/>
      <c r="BS182" s="35"/>
      <c r="BT182" s="35"/>
      <c r="BU182" s="35"/>
      <c r="BV182" s="35"/>
      <c r="BW182" s="35"/>
      <c r="BX182" s="35"/>
      <c r="BY182" s="35"/>
      <c r="BZ182" s="35"/>
      <c r="CA182" s="35"/>
      <c r="CB182" s="35"/>
      <c r="CC182" s="35"/>
      <c r="CD182" s="35"/>
      <c r="CE182" s="35"/>
      <c r="CF182" s="35"/>
      <c r="CG182" s="35"/>
      <c r="CH182" s="35"/>
      <c r="CI182" s="35"/>
      <c r="CJ182" s="35"/>
      <c r="CK182" s="35"/>
      <c r="CL182" s="35"/>
      <c r="CM182" s="35"/>
      <c r="CN182" s="35"/>
      <c r="CO182" s="35"/>
      <c r="CP182" s="35"/>
      <c r="CQ182" s="35"/>
      <c r="CR182" s="35"/>
      <c r="CS182" s="35"/>
      <c r="CT182" s="35"/>
      <c r="CU182" s="35"/>
      <c r="CV182" s="35"/>
      <c r="CW182" s="35"/>
      <c r="CX182" s="35"/>
      <c r="CY182" s="35"/>
      <c r="CZ182" s="35"/>
      <c r="DA182" s="35"/>
      <c r="DB182" s="35"/>
      <c r="DC182" s="35"/>
      <c r="DD182" s="35"/>
      <c r="DE182" s="35"/>
      <c r="DF182" s="35"/>
      <c r="DG182" s="35"/>
      <c r="DH182" s="35"/>
    </row>
    <row r="183" ht="15.75" customHeight="1"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7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/>
      <c r="AK183" s="35"/>
      <c r="AL183" s="35"/>
      <c r="AM183" s="35"/>
      <c r="AN183" s="35"/>
      <c r="AO183" s="35"/>
      <c r="AP183" s="35"/>
      <c r="AQ183" s="35"/>
      <c r="AR183" s="35"/>
      <c r="AS183" s="35"/>
      <c r="AT183" s="35"/>
      <c r="AU183" s="35"/>
      <c r="AV183" s="35"/>
      <c r="AW183" s="35"/>
      <c r="AX183" s="35"/>
      <c r="AY183" s="35"/>
      <c r="AZ183" s="35"/>
      <c r="BA183" s="35"/>
      <c r="BB183" s="35"/>
      <c r="BC183" s="35"/>
      <c r="BD183" s="35"/>
      <c r="BE183" s="35"/>
      <c r="BF183" s="35"/>
      <c r="BG183" s="35"/>
      <c r="BH183" s="35"/>
      <c r="BI183" s="35"/>
      <c r="BJ183" s="35"/>
      <c r="BK183" s="35"/>
      <c r="BL183" s="35"/>
      <c r="BM183" s="35"/>
      <c r="BN183" s="35"/>
      <c r="BO183" s="35"/>
      <c r="BP183" s="35"/>
      <c r="BQ183" s="35"/>
      <c r="BR183" s="35"/>
      <c r="BS183" s="35"/>
      <c r="BT183" s="35"/>
      <c r="BU183" s="35"/>
      <c r="BV183" s="35"/>
      <c r="BW183" s="35"/>
      <c r="BX183" s="35"/>
      <c r="BY183" s="35"/>
      <c r="BZ183" s="35"/>
      <c r="CA183" s="35"/>
      <c r="CB183" s="35"/>
      <c r="CC183" s="35"/>
      <c r="CD183" s="35"/>
      <c r="CE183" s="35"/>
      <c r="CF183" s="35"/>
      <c r="CG183" s="35"/>
      <c r="CH183" s="35"/>
      <c r="CI183" s="35"/>
      <c r="CJ183" s="35"/>
      <c r="CK183" s="35"/>
      <c r="CL183" s="35"/>
      <c r="CM183" s="35"/>
      <c r="CN183" s="35"/>
      <c r="CO183" s="35"/>
      <c r="CP183" s="35"/>
      <c r="CQ183" s="35"/>
      <c r="CR183" s="35"/>
      <c r="CS183" s="35"/>
      <c r="CT183" s="35"/>
      <c r="CU183" s="35"/>
      <c r="CV183" s="35"/>
      <c r="CW183" s="35"/>
      <c r="CX183" s="35"/>
      <c r="CY183" s="35"/>
      <c r="CZ183" s="35"/>
      <c r="DA183" s="35"/>
      <c r="DB183" s="35"/>
      <c r="DC183" s="35"/>
      <c r="DD183" s="35"/>
      <c r="DE183" s="35"/>
      <c r="DF183" s="35"/>
      <c r="DG183" s="35"/>
      <c r="DH183" s="35"/>
    </row>
    <row r="184" ht="15.75" customHeight="1"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7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/>
      <c r="AK184" s="35"/>
      <c r="AL184" s="35"/>
      <c r="AM184" s="35"/>
      <c r="AN184" s="35"/>
      <c r="AO184" s="35"/>
      <c r="AP184" s="35"/>
      <c r="AQ184" s="35"/>
      <c r="AR184" s="35"/>
      <c r="AS184" s="35"/>
      <c r="AT184" s="35"/>
      <c r="AU184" s="35"/>
      <c r="AV184" s="35"/>
      <c r="AW184" s="35"/>
      <c r="AX184" s="35"/>
      <c r="AY184" s="35"/>
      <c r="AZ184" s="35"/>
      <c r="BA184" s="35"/>
      <c r="BB184" s="35"/>
      <c r="BC184" s="35"/>
      <c r="BD184" s="35"/>
      <c r="BE184" s="35"/>
      <c r="BF184" s="35"/>
      <c r="BG184" s="35"/>
      <c r="BH184" s="35"/>
      <c r="BI184" s="35"/>
      <c r="BJ184" s="35"/>
      <c r="BK184" s="35"/>
      <c r="BL184" s="35"/>
      <c r="BM184" s="35"/>
      <c r="BN184" s="35"/>
      <c r="BO184" s="35"/>
      <c r="BP184" s="35"/>
      <c r="BQ184" s="35"/>
      <c r="BR184" s="35"/>
      <c r="BS184" s="35"/>
      <c r="BT184" s="35"/>
      <c r="BU184" s="35"/>
      <c r="BV184" s="35"/>
      <c r="BW184" s="35"/>
      <c r="BX184" s="35"/>
      <c r="BY184" s="35"/>
      <c r="BZ184" s="35"/>
      <c r="CA184" s="35"/>
      <c r="CB184" s="35"/>
      <c r="CC184" s="35"/>
      <c r="CD184" s="35"/>
      <c r="CE184" s="35"/>
      <c r="CF184" s="35"/>
      <c r="CG184" s="35"/>
      <c r="CH184" s="35"/>
      <c r="CI184" s="35"/>
      <c r="CJ184" s="35"/>
      <c r="CK184" s="35"/>
      <c r="CL184" s="35"/>
      <c r="CM184" s="35"/>
      <c r="CN184" s="35"/>
      <c r="CO184" s="35"/>
      <c r="CP184" s="35"/>
      <c r="CQ184" s="35"/>
      <c r="CR184" s="35"/>
      <c r="CS184" s="35"/>
      <c r="CT184" s="35"/>
      <c r="CU184" s="35"/>
      <c r="CV184" s="35"/>
      <c r="CW184" s="35"/>
      <c r="CX184" s="35"/>
      <c r="CY184" s="35"/>
      <c r="CZ184" s="35"/>
      <c r="DA184" s="35"/>
      <c r="DB184" s="35"/>
      <c r="DC184" s="35"/>
      <c r="DD184" s="35"/>
      <c r="DE184" s="35"/>
      <c r="DF184" s="35"/>
      <c r="DG184" s="35"/>
      <c r="DH184" s="35"/>
    </row>
    <row r="185" ht="15.75" customHeight="1"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7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/>
      <c r="AK185" s="35"/>
      <c r="AL185" s="35"/>
      <c r="AM185" s="35"/>
      <c r="AN185" s="35"/>
      <c r="AO185" s="35"/>
      <c r="AP185" s="35"/>
      <c r="AQ185" s="35"/>
      <c r="AR185" s="35"/>
      <c r="AS185" s="35"/>
      <c r="AT185" s="35"/>
      <c r="AU185" s="35"/>
      <c r="AV185" s="35"/>
      <c r="AW185" s="35"/>
      <c r="AX185" s="35"/>
      <c r="AY185" s="35"/>
      <c r="AZ185" s="35"/>
      <c r="BA185" s="35"/>
      <c r="BB185" s="35"/>
      <c r="BC185" s="35"/>
      <c r="BD185" s="35"/>
      <c r="BE185" s="35"/>
      <c r="BF185" s="35"/>
      <c r="BG185" s="35"/>
      <c r="BH185" s="35"/>
      <c r="BI185" s="35"/>
      <c r="BJ185" s="35"/>
      <c r="BK185" s="35"/>
      <c r="BL185" s="35"/>
      <c r="BM185" s="35"/>
      <c r="BN185" s="35"/>
      <c r="BO185" s="35"/>
      <c r="BP185" s="35"/>
      <c r="BQ185" s="35"/>
      <c r="BR185" s="35"/>
      <c r="BS185" s="35"/>
      <c r="BT185" s="35"/>
      <c r="BU185" s="35"/>
      <c r="BV185" s="35"/>
      <c r="BW185" s="35"/>
      <c r="BX185" s="35"/>
      <c r="BY185" s="35"/>
      <c r="BZ185" s="35"/>
      <c r="CA185" s="35"/>
      <c r="CB185" s="35"/>
      <c r="CC185" s="35"/>
      <c r="CD185" s="35"/>
      <c r="CE185" s="35"/>
      <c r="CF185" s="35"/>
      <c r="CG185" s="35"/>
      <c r="CH185" s="35"/>
      <c r="CI185" s="35"/>
      <c r="CJ185" s="35"/>
      <c r="CK185" s="35"/>
      <c r="CL185" s="35"/>
      <c r="CM185" s="35"/>
      <c r="CN185" s="35"/>
      <c r="CO185" s="35"/>
      <c r="CP185" s="35"/>
      <c r="CQ185" s="35"/>
      <c r="CR185" s="35"/>
      <c r="CS185" s="35"/>
      <c r="CT185" s="35"/>
      <c r="CU185" s="35"/>
      <c r="CV185" s="35"/>
      <c r="CW185" s="35"/>
      <c r="CX185" s="35"/>
      <c r="CY185" s="35"/>
      <c r="CZ185" s="35"/>
      <c r="DA185" s="35"/>
      <c r="DB185" s="35"/>
      <c r="DC185" s="35"/>
      <c r="DD185" s="35"/>
      <c r="DE185" s="35"/>
      <c r="DF185" s="35"/>
      <c r="DG185" s="35"/>
      <c r="DH185" s="35"/>
    </row>
    <row r="186" ht="15.75" customHeight="1"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7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/>
      <c r="AK186" s="35"/>
      <c r="AL186" s="35"/>
      <c r="AM186" s="35"/>
      <c r="AN186" s="35"/>
      <c r="AO186" s="35"/>
      <c r="AP186" s="35"/>
      <c r="AQ186" s="35"/>
      <c r="AR186" s="35"/>
      <c r="AS186" s="35"/>
      <c r="AT186" s="35"/>
      <c r="AU186" s="35"/>
      <c r="AV186" s="35"/>
      <c r="AW186" s="35"/>
      <c r="AX186" s="35"/>
      <c r="AY186" s="35"/>
      <c r="AZ186" s="35"/>
      <c r="BA186" s="35"/>
      <c r="BB186" s="35"/>
      <c r="BC186" s="35"/>
      <c r="BD186" s="35"/>
      <c r="BE186" s="35"/>
      <c r="BF186" s="35"/>
      <c r="BG186" s="35"/>
      <c r="BH186" s="35"/>
      <c r="BI186" s="35"/>
      <c r="BJ186" s="35"/>
      <c r="BK186" s="35"/>
      <c r="BL186" s="35"/>
      <c r="BM186" s="35"/>
      <c r="BN186" s="35"/>
      <c r="BO186" s="35"/>
      <c r="BP186" s="35"/>
      <c r="BQ186" s="35"/>
      <c r="BR186" s="35"/>
      <c r="BS186" s="35"/>
      <c r="BT186" s="35"/>
      <c r="BU186" s="35"/>
      <c r="BV186" s="35"/>
      <c r="BW186" s="35"/>
      <c r="BX186" s="35"/>
      <c r="BY186" s="35"/>
      <c r="BZ186" s="35"/>
      <c r="CA186" s="35"/>
      <c r="CB186" s="35"/>
      <c r="CC186" s="35"/>
      <c r="CD186" s="35"/>
      <c r="CE186" s="35"/>
      <c r="CF186" s="35"/>
      <c r="CG186" s="35"/>
      <c r="CH186" s="35"/>
      <c r="CI186" s="35"/>
      <c r="CJ186" s="35"/>
      <c r="CK186" s="35"/>
      <c r="CL186" s="35"/>
      <c r="CM186" s="35"/>
      <c r="CN186" s="35"/>
      <c r="CO186" s="35"/>
      <c r="CP186" s="35"/>
      <c r="CQ186" s="35"/>
      <c r="CR186" s="35"/>
      <c r="CS186" s="35"/>
      <c r="CT186" s="35"/>
      <c r="CU186" s="35"/>
      <c r="CV186" s="35"/>
      <c r="CW186" s="35"/>
      <c r="CX186" s="35"/>
      <c r="CY186" s="35"/>
      <c r="CZ186" s="35"/>
      <c r="DA186" s="35"/>
      <c r="DB186" s="35"/>
      <c r="DC186" s="35"/>
      <c r="DD186" s="35"/>
      <c r="DE186" s="35"/>
      <c r="DF186" s="35"/>
      <c r="DG186" s="35"/>
      <c r="DH186" s="35"/>
    </row>
    <row r="187" ht="15.75" customHeight="1"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7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/>
      <c r="AK187" s="35"/>
      <c r="AL187" s="35"/>
      <c r="AM187" s="35"/>
      <c r="AN187" s="35"/>
      <c r="AO187" s="35"/>
      <c r="AP187" s="35"/>
      <c r="AQ187" s="35"/>
      <c r="AR187" s="35"/>
      <c r="AS187" s="35"/>
      <c r="AT187" s="35"/>
      <c r="AU187" s="35"/>
      <c r="AV187" s="35"/>
      <c r="AW187" s="35"/>
      <c r="AX187" s="35"/>
      <c r="AY187" s="35"/>
      <c r="AZ187" s="35"/>
      <c r="BA187" s="35"/>
      <c r="BB187" s="35"/>
      <c r="BC187" s="35"/>
      <c r="BD187" s="35"/>
      <c r="BE187" s="35"/>
      <c r="BF187" s="35"/>
      <c r="BG187" s="35"/>
      <c r="BH187" s="35"/>
      <c r="BI187" s="35"/>
      <c r="BJ187" s="35"/>
      <c r="BK187" s="35"/>
      <c r="BL187" s="35"/>
      <c r="BM187" s="35"/>
      <c r="BN187" s="35"/>
      <c r="BO187" s="35"/>
      <c r="BP187" s="35"/>
      <c r="BQ187" s="35"/>
      <c r="BR187" s="35"/>
      <c r="BS187" s="35"/>
      <c r="BT187" s="35"/>
      <c r="BU187" s="35"/>
      <c r="BV187" s="35"/>
      <c r="BW187" s="35"/>
      <c r="BX187" s="35"/>
      <c r="BY187" s="35"/>
      <c r="BZ187" s="35"/>
      <c r="CA187" s="35"/>
      <c r="CB187" s="35"/>
      <c r="CC187" s="35"/>
      <c r="CD187" s="35"/>
      <c r="CE187" s="35"/>
      <c r="CF187" s="35"/>
      <c r="CG187" s="35"/>
      <c r="CH187" s="35"/>
      <c r="CI187" s="35"/>
      <c r="CJ187" s="35"/>
      <c r="CK187" s="35"/>
      <c r="CL187" s="35"/>
      <c r="CM187" s="35"/>
      <c r="CN187" s="35"/>
      <c r="CO187" s="35"/>
      <c r="CP187" s="35"/>
      <c r="CQ187" s="35"/>
      <c r="CR187" s="35"/>
      <c r="CS187" s="35"/>
      <c r="CT187" s="35"/>
      <c r="CU187" s="35"/>
      <c r="CV187" s="35"/>
      <c r="CW187" s="35"/>
      <c r="CX187" s="35"/>
      <c r="CY187" s="35"/>
      <c r="CZ187" s="35"/>
      <c r="DA187" s="35"/>
      <c r="DB187" s="35"/>
      <c r="DC187" s="35"/>
      <c r="DD187" s="35"/>
      <c r="DE187" s="35"/>
      <c r="DF187" s="35"/>
      <c r="DG187" s="35"/>
      <c r="DH187" s="35"/>
    </row>
    <row r="188" ht="15.75" customHeight="1"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7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/>
      <c r="AK188" s="35"/>
      <c r="AL188" s="35"/>
      <c r="AM188" s="35"/>
      <c r="AN188" s="35"/>
      <c r="AO188" s="35"/>
      <c r="AP188" s="35"/>
      <c r="AQ188" s="35"/>
      <c r="AR188" s="35"/>
      <c r="AS188" s="35"/>
      <c r="AT188" s="35"/>
      <c r="AU188" s="35"/>
      <c r="AV188" s="35"/>
      <c r="AW188" s="35"/>
      <c r="AX188" s="35"/>
      <c r="AY188" s="35"/>
      <c r="AZ188" s="35"/>
      <c r="BA188" s="35"/>
      <c r="BB188" s="35"/>
      <c r="BC188" s="35"/>
      <c r="BD188" s="35"/>
      <c r="BE188" s="35"/>
      <c r="BF188" s="35"/>
      <c r="BG188" s="35"/>
      <c r="BH188" s="35"/>
      <c r="BI188" s="35"/>
      <c r="BJ188" s="35"/>
      <c r="BK188" s="35"/>
      <c r="BL188" s="35"/>
      <c r="BM188" s="35"/>
      <c r="BN188" s="35"/>
      <c r="BO188" s="35"/>
      <c r="BP188" s="35"/>
      <c r="BQ188" s="35"/>
      <c r="BR188" s="35"/>
      <c r="BS188" s="35"/>
      <c r="BT188" s="35"/>
      <c r="BU188" s="35"/>
      <c r="BV188" s="35"/>
      <c r="BW188" s="35"/>
      <c r="BX188" s="35"/>
      <c r="BY188" s="35"/>
      <c r="BZ188" s="35"/>
      <c r="CA188" s="35"/>
      <c r="CB188" s="35"/>
      <c r="CC188" s="35"/>
      <c r="CD188" s="35"/>
      <c r="CE188" s="35"/>
      <c r="CF188" s="35"/>
      <c r="CG188" s="35"/>
      <c r="CH188" s="35"/>
      <c r="CI188" s="35"/>
      <c r="CJ188" s="35"/>
      <c r="CK188" s="35"/>
      <c r="CL188" s="35"/>
      <c r="CM188" s="35"/>
      <c r="CN188" s="35"/>
      <c r="CO188" s="35"/>
      <c r="CP188" s="35"/>
      <c r="CQ188" s="35"/>
      <c r="CR188" s="35"/>
      <c r="CS188" s="35"/>
      <c r="CT188" s="35"/>
      <c r="CU188" s="35"/>
      <c r="CV188" s="35"/>
      <c r="CW188" s="35"/>
      <c r="CX188" s="35"/>
      <c r="CY188" s="35"/>
      <c r="CZ188" s="35"/>
      <c r="DA188" s="35"/>
      <c r="DB188" s="35"/>
      <c r="DC188" s="35"/>
      <c r="DD188" s="35"/>
      <c r="DE188" s="35"/>
      <c r="DF188" s="35"/>
      <c r="DG188" s="35"/>
      <c r="DH188" s="35"/>
    </row>
    <row r="189" ht="15.75" customHeight="1">
      <c r="S189" s="37"/>
    </row>
    <row r="190" ht="15.75" customHeight="1">
      <c r="S190" s="37"/>
    </row>
    <row r="191" ht="15.75" customHeight="1">
      <c r="S191" s="37"/>
    </row>
    <row r="192" ht="15.75" customHeight="1">
      <c r="S192" s="37"/>
    </row>
    <row r="193" ht="15.75" customHeight="1">
      <c r="S193" s="37"/>
    </row>
    <row r="194" ht="15.75" customHeight="1">
      <c r="S194" s="37"/>
    </row>
    <row r="195" ht="15.75" customHeight="1">
      <c r="S195" s="37"/>
    </row>
    <row r="196" ht="15.75" customHeight="1">
      <c r="S196" s="37"/>
    </row>
    <row r="197" ht="15.75" customHeight="1">
      <c r="S197" s="37"/>
    </row>
    <row r="198" ht="15.75" customHeight="1">
      <c r="S198" s="37"/>
    </row>
    <row r="199" ht="15.75" customHeight="1">
      <c r="S199" s="37"/>
    </row>
    <row r="200" ht="15.75" customHeight="1">
      <c r="S200" s="37"/>
    </row>
    <row r="201" ht="15.75" customHeight="1">
      <c r="S201" s="37"/>
    </row>
    <row r="202" ht="15.75" customHeight="1">
      <c r="S202" s="37"/>
    </row>
    <row r="203" ht="15.75" customHeight="1">
      <c r="S203" s="37"/>
    </row>
    <row r="204" ht="15.75" customHeight="1">
      <c r="S204" s="37"/>
    </row>
    <row r="205" ht="15.75" customHeight="1">
      <c r="S205" s="37"/>
    </row>
    <row r="206" ht="15.75" customHeight="1">
      <c r="S206" s="37"/>
    </row>
    <row r="207" ht="15.75" customHeight="1">
      <c r="S207" s="37"/>
    </row>
    <row r="208" ht="15.75" customHeight="1">
      <c r="S208" s="37"/>
    </row>
    <row r="209" ht="15.75" customHeight="1">
      <c r="S209" s="37"/>
    </row>
    <row r="210" ht="15.75" customHeight="1">
      <c r="S210" s="37"/>
    </row>
    <row r="211" ht="15.75" customHeight="1">
      <c r="S211" s="37"/>
    </row>
    <row r="212" ht="15.75" customHeight="1">
      <c r="S212" s="37"/>
    </row>
    <row r="213" ht="15.75" customHeight="1">
      <c r="S213" s="37"/>
    </row>
    <row r="214" ht="15.75" customHeight="1">
      <c r="S214" s="37"/>
    </row>
    <row r="215" ht="15.75" customHeight="1">
      <c r="S215" s="37"/>
    </row>
    <row r="216" ht="15.75" customHeight="1">
      <c r="S216" s="37"/>
    </row>
    <row r="217" ht="15.75" customHeight="1">
      <c r="S217" s="37"/>
    </row>
    <row r="218" ht="15.75" customHeight="1">
      <c r="S218" s="37"/>
    </row>
    <row r="219" ht="15.75" customHeight="1">
      <c r="S219" s="37"/>
    </row>
    <row r="220" ht="15.75" customHeight="1">
      <c r="S220" s="37"/>
    </row>
    <row r="221" ht="15.75" customHeight="1">
      <c r="S221" s="37"/>
    </row>
    <row r="222" ht="15.75" customHeight="1">
      <c r="S222" s="37"/>
    </row>
    <row r="223" ht="15.75" customHeight="1">
      <c r="S223" s="37"/>
    </row>
    <row r="224" ht="15.75" customHeight="1">
      <c r="S224" s="37"/>
    </row>
    <row r="225" ht="15.75" customHeight="1">
      <c r="S225" s="37"/>
    </row>
    <row r="226" ht="15.75" customHeight="1">
      <c r="S226" s="37"/>
    </row>
    <row r="227" ht="15.75" customHeight="1">
      <c r="S227" s="37"/>
    </row>
    <row r="228" ht="15.75" customHeight="1">
      <c r="S228" s="37"/>
    </row>
    <row r="229" ht="15.75" customHeight="1">
      <c r="S229" s="37"/>
    </row>
    <row r="230" ht="15.75" customHeight="1">
      <c r="S230" s="37"/>
    </row>
    <row r="231" ht="15.75" customHeight="1">
      <c r="S231" s="37"/>
    </row>
    <row r="232" ht="15.75" customHeight="1">
      <c r="S232" s="37"/>
    </row>
    <row r="233" ht="15.75" customHeight="1">
      <c r="S233" s="37"/>
    </row>
    <row r="234" ht="15.75" customHeight="1">
      <c r="S234" s="37"/>
    </row>
    <row r="235" ht="15.75" customHeight="1">
      <c r="S235" s="37"/>
    </row>
    <row r="236" ht="15.75" customHeight="1">
      <c r="S236" s="37"/>
    </row>
    <row r="237" ht="15.75" customHeight="1">
      <c r="S237" s="37"/>
    </row>
    <row r="238" ht="15.75" customHeight="1">
      <c r="S238" s="37"/>
    </row>
    <row r="239" ht="15.75" customHeight="1">
      <c r="S239" s="37"/>
    </row>
    <row r="240" ht="15.75" customHeight="1">
      <c r="S240" s="37"/>
    </row>
    <row r="241" ht="15.75" customHeight="1">
      <c r="S241" s="37"/>
    </row>
    <row r="242" ht="15.75" customHeight="1">
      <c r="S242" s="37"/>
    </row>
    <row r="243" ht="15.75" customHeight="1">
      <c r="S243" s="37"/>
    </row>
    <row r="244" ht="15.75" customHeight="1">
      <c r="S244" s="37"/>
    </row>
    <row r="245" ht="15.75" customHeight="1">
      <c r="S245" s="37"/>
    </row>
    <row r="246" ht="15.75" customHeight="1">
      <c r="S246" s="37"/>
    </row>
    <row r="247" ht="15.75" customHeight="1">
      <c r="S247" s="37"/>
    </row>
    <row r="248" ht="15.75" customHeight="1">
      <c r="S248" s="37"/>
    </row>
    <row r="249" ht="15.75" customHeight="1">
      <c r="S249" s="37"/>
    </row>
    <row r="250" ht="15.75" customHeight="1">
      <c r="S250" s="37"/>
    </row>
    <row r="251" ht="15.75" customHeight="1">
      <c r="S251" s="37"/>
    </row>
    <row r="252" ht="15.75" customHeight="1">
      <c r="S252" s="37"/>
    </row>
    <row r="253" ht="15.75" customHeight="1">
      <c r="S253" s="37"/>
    </row>
    <row r="254" ht="15.75" customHeight="1">
      <c r="S254" s="37"/>
    </row>
    <row r="255" ht="15.75" customHeight="1">
      <c r="S255" s="37"/>
    </row>
    <row r="256" ht="15.75" customHeight="1">
      <c r="S256" s="37"/>
    </row>
    <row r="257" ht="15.75" customHeight="1">
      <c r="S257" s="37"/>
    </row>
    <row r="258" ht="15.75" customHeight="1">
      <c r="S258" s="37"/>
    </row>
    <row r="259" ht="15.75" customHeight="1">
      <c r="S259" s="37"/>
    </row>
    <row r="260" ht="15.75" customHeight="1">
      <c r="S260" s="37"/>
    </row>
    <row r="261" ht="15.75" customHeight="1">
      <c r="S261" s="37"/>
    </row>
    <row r="262" ht="15.75" customHeight="1">
      <c r="S262" s="37"/>
    </row>
    <row r="263" ht="15.75" customHeight="1">
      <c r="S263" s="37"/>
    </row>
    <row r="264" ht="15.75" customHeight="1">
      <c r="S264" s="37"/>
    </row>
    <row r="265" ht="15.75" customHeight="1">
      <c r="S265" s="37"/>
    </row>
    <row r="266" ht="15.75" customHeight="1">
      <c r="S266" s="37"/>
    </row>
    <row r="267" ht="15.75" customHeight="1">
      <c r="S267" s="37"/>
    </row>
    <row r="268" ht="15.75" customHeight="1">
      <c r="S268" s="37"/>
    </row>
    <row r="269" ht="15.75" customHeight="1">
      <c r="S269" s="37"/>
    </row>
    <row r="270" ht="15.75" customHeight="1">
      <c r="S270" s="37"/>
    </row>
    <row r="271" ht="15.75" customHeight="1">
      <c r="S271" s="37"/>
    </row>
    <row r="272" ht="15.75" customHeight="1">
      <c r="S272" s="37"/>
    </row>
    <row r="273" ht="15.75" customHeight="1">
      <c r="S273" s="37"/>
    </row>
    <row r="274" ht="15.75" customHeight="1">
      <c r="S274" s="37"/>
    </row>
    <row r="275" ht="15.75" customHeight="1">
      <c r="S275" s="37"/>
    </row>
    <row r="276" ht="15.75" customHeight="1">
      <c r="S276" s="37"/>
    </row>
    <row r="277" ht="15.75" customHeight="1">
      <c r="S277" s="37"/>
    </row>
    <row r="278" ht="15.75" customHeight="1">
      <c r="S278" s="37"/>
    </row>
    <row r="279" ht="15.75" customHeight="1">
      <c r="S279" s="37"/>
    </row>
    <row r="280" ht="15.75" customHeight="1">
      <c r="S280" s="37"/>
    </row>
    <row r="281" ht="15.75" customHeight="1">
      <c r="S281" s="37"/>
    </row>
    <row r="282" ht="15.75" customHeight="1">
      <c r="S282" s="37"/>
    </row>
    <row r="283" ht="15.75" customHeight="1">
      <c r="S283" s="37"/>
    </row>
    <row r="284" ht="15.75" customHeight="1">
      <c r="S284" s="37"/>
    </row>
    <row r="285" ht="15.75" customHeight="1">
      <c r="S285" s="37"/>
    </row>
    <row r="286" ht="15.75" customHeight="1">
      <c r="S286" s="37"/>
    </row>
    <row r="287" ht="15.75" customHeight="1">
      <c r="S287" s="37"/>
    </row>
    <row r="288" ht="15.75" customHeight="1">
      <c r="S288" s="37"/>
    </row>
    <row r="289" ht="15.75" customHeight="1">
      <c r="S289" s="37"/>
    </row>
    <row r="290" ht="15.75" customHeight="1">
      <c r="S290" s="37"/>
    </row>
    <row r="291" ht="15.75" customHeight="1">
      <c r="S291" s="37"/>
    </row>
    <row r="292" ht="15.75" customHeight="1">
      <c r="S292" s="37"/>
    </row>
    <row r="293" ht="15.75" customHeight="1">
      <c r="S293" s="37"/>
    </row>
    <row r="294" ht="15.75" customHeight="1">
      <c r="S294" s="37"/>
    </row>
    <row r="295" ht="15.75" customHeight="1">
      <c r="S295" s="37"/>
    </row>
    <row r="296" ht="15.75" customHeight="1">
      <c r="S296" s="37"/>
    </row>
    <row r="297" ht="15.75" customHeight="1">
      <c r="S297" s="37"/>
    </row>
    <row r="298" ht="15.75" customHeight="1">
      <c r="S298" s="37"/>
    </row>
    <row r="299" ht="15.75" customHeight="1">
      <c r="S299" s="37"/>
    </row>
    <row r="300" ht="15.75" customHeight="1">
      <c r="S300" s="37"/>
    </row>
    <row r="301" ht="15.75" customHeight="1">
      <c r="S301" s="37"/>
    </row>
    <row r="302" ht="15.75" customHeight="1">
      <c r="S302" s="37"/>
    </row>
    <row r="303" ht="15.75" customHeight="1">
      <c r="S303" s="37"/>
    </row>
    <row r="304" ht="15.75" customHeight="1">
      <c r="S304" s="37"/>
    </row>
    <row r="305" ht="15.75" customHeight="1">
      <c r="S305" s="37"/>
    </row>
    <row r="306" ht="15.75" customHeight="1">
      <c r="S306" s="37"/>
    </row>
    <row r="307" ht="15.75" customHeight="1">
      <c r="S307" s="37"/>
    </row>
    <row r="308" ht="15.75" customHeight="1">
      <c r="S308" s="37"/>
    </row>
    <row r="309" ht="15.75" customHeight="1">
      <c r="S309" s="37"/>
    </row>
    <row r="310" ht="15.75" customHeight="1">
      <c r="S310" s="37"/>
    </row>
    <row r="311" ht="15.75" customHeight="1">
      <c r="S311" s="37"/>
    </row>
    <row r="312" ht="15.75" customHeight="1">
      <c r="S312" s="37"/>
    </row>
    <row r="313" ht="15.75" customHeight="1">
      <c r="S313" s="37"/>
    </row>
    <row r="314" ht="15.75" customHeight="1">
      <c r="S314" s="37"/>
    </row>
    <row r="315" ht="15.75" customHeight="1">
      <c r="S315" s="37"/>
    </row>
    <row r="316" ht="15.75" customHeight="1">
      <c r="S316" s="37"/>
    </row>
    <row r="317" ht="15.75" customHeight="1">
      <c r="S317" s="37"/>
    </row>
    <row r="318" ht="15.75" customHeight="1">
      <c r="S318" s="37"/>
    </row>
    <row r="319" ht="15.75" customHeight="1">
      <c r="S319" s="37"/>
    </row>
    <row r="320" ht="15.75" customHeight="1">
      <c r="S320" s="37"/>
    </row>
    <row r="321" ht="15.75" customHeight="1">
      <c r="S321" s="37"/>
    </row>
    <row r="322" ht="15.75" customHeight="1">
      <c r="S322" s="37"/>
    </row>
    <row r="323" ht="15.75" customHeight="1">
      <c r="S323" s="37"/>
    </row>
    <row r="324" ht="15.75" customHeight="1">
      <c r="S324" s="37"/>
    </row>
    <row r="325" ht="15.75" customHeight="1">
      <c r="S325" s="37"/>
    </row>
    <row r="326" ht="15.75" customHeight="1">
      <c r="S326" s="37"/>
    </row>
    <row r="327" ht="15.75" customHeight="1">
      <c r="S327" s="37"/>
    </row>
    <row r="328" ht="15.75" customHeight="1">
      <c r="S328" s="37"/>
    </row>
    <row r="329" ht="15.75" customHeight="1">
      <c r="S329" s="37"/>
    </row>
    <row r="330" ht="15.75" customHeight="1">
      <c r="S330" s="37"/>
    </row>
    <row r="331" ht="15.75" customHeight="1">
      <c r="S331" s="37"/>
    </row>
    <row r="332" ht="15.75" customHeight="1">
      <c r="S332" s="37"/>
    </row>
    <row r="333" ht="15.75" customHeight="1">
      <c r="S333" s="37"/>
    </row>
    <row r="334" ht="15.75" customHeight="1">
      <c r="S334" s="37"/>
    </row>
    <row r="335" ht="15.75" customHeight="1">
      <c r="S335" s="37"/>
    </row>
    <row r="336" ht="15.75" customHeight="1">
      <c r="S336" s="37"/>
    </row>
    <row r="337" ht="15.75" customHeight="1">
      <c r="S337" s="37"/>
    </row>
    <row r="338" ht="15.75" customHeight="1">
      <c r="S338" s="37"/>
    </row>
    <row r="339" ht="15.75" customHeight="1">
      <c r="S339" s="37"/>
    </row>
    <row r="340" ht="15.75" customHeight="1">
      <c r="S340" s="37"/>
    </row>
    <row r="341" ht="15.75" customHeight="1">
      <c r="S341" s="37"/>
    </row>
    <row r="342" ht="15.75" customHeight="1">
      <c r="S342" s="37"/>
    </row>
    <row r="343" ht="15.75" customHeight="1">
      <c r="S343" s="37"/>
    </row>
    <row r="344" ht="15.75" customHeight="1">
      <c r="S344" s="37"/>
    </row>
    <row r="345" ht="15.75" customHeight="1">
      <c r="S345" s="37"/>
    </row>
    <row r="346" ht="15.75" customHeight="1">
      <c r="S346" s="37"/>
    </row>
    <row r="347" ht="15.75" customHeight="1">
      <c r="S347" s="37"/>
    </row>
    <row r="348" ht="15.75" customHeight="1">
      <c r="S348" s="37"/>
    </row>
    <row r="349" ht="15.75" customHeight="1">
      <c r="S349" s="37"/>
    </row>
    <row r="350" ht="15.75" customHeight="1">
      <c r="S350" s="37"/>
    </row>
    <row r="351" ht="15.75" customHeight="1">
      <c r="S351" s="37"/>
    </row>
    <row r="352" ht="15.75" customHeight="1">
      <c r="S352" s="37"/>
    </row>
    <row r="353" ht="15.75" customHeight="1">
      <c r="S353" s="37"/>
    </row>
    <row r="354" ht="15.75" customHeight="1">
      <c r="S354" s="37"/>
    </row>
    <row r="355" ht="15.75" customHeight="1">
      <c r="S355" s="37"/>
    </row>
    <row r="356" ht="15.75" customHeight="1">
      <c r="S356" s="37"/>
    </row>
    <row r="357" ht="15.75" customHeight="1">
      <c r="S357" s="37"/>
    </row>
    <row r="358" ht="15.75" customHeight="1">
      <c r="S358" s="37"/>
    </row>
    <row r="359" ht="15.75" customHeight="1">
      <c r="S359" s="37"/>
    </row>
    <row r="360" ht="15.75" customHeight="1">
      <c r="S360" s="37"/>
    </row>
    <row r="361" ht="15.75" customHeight="1">
      <c r="S361" s="37"/>
    </row>
    <row r="362" ht="15.75" customHeight="1">
      <c r="S362" s="37"/>
    </row>
    <row r="363" ht="15.75" customHeight="1">
      <c r="S363" s="37"/>
    </row>
    <row r="364" ht="15.75" customHeight="1">
      <c r="S364" s="37"/>
    </row>
    <row r="365" ht="15.75" customHeight="1">
      <c r="S365" s="37"/>
    </row>
    <row r="366" ht="15.75" customHeight="1">
      <c r="S366" s="37"/>
    </row>
    <row r="367" ht="15.75" customHeight="1">
      <c r="S367" s="37"/>
    </row>
    <row r="368" ht="15.75" customHeight="1">
      <c r="S368" s="37"/>
    </row>
    <row r="369" ht="15.75" customHeight="1">
      <c r="S369" s="37"/>
    </row>
    <row r="370" ht="15.75" customHeight="1">
      <c r="S370" s="37"/>
    </row>
    <row r="371" ht="15.75" customHeight="1">
      <c r="S371" s="37"/>
    </row>
    <row r="372" ht="15.75" customHeight="1">
      <c r="S372" s="37"/>
    </row>
    <row r="373" ht="15.75" customHeight="1">
      <c r="S373" s="37"/>
    </row>
    <row r="374" ht="15.75" customHeight="1">
      <c r="S374" s="37"/>
    </row>
    <row r="375" ht="15.75" customHeight="1">
      <c r="S375" s="37"/>
    </row>
    <row r="376" ht="15.75" customHeight="1">
      <c r="S376" s="37"/>
    </row>
    <row r="377" ht="15.75" customHeight="1">
      <c r="S377" s="37"/>
    </row>
    <row r="378" ht="15.75" customHeight="1">
      <c r="S378" s="37"/>
    </row>
    <row r="379" ht="15.75" customHeight="1">
      <c r="S379" s="37"/>
    </row>
    <row r="380" ht="15.75" customHeight="1">
      <c r="S380" s="37"/>
    </row>
    <row r="381" ht="15.75" customHeight="1">
      <c r="S381" s="37"/>
    </row>
    <row r="382" ht="15.75" customHeight="1">
      <c r="S382" s="37"/>
    </row>
    <row r="383" ht="15.75" customHeight="1">
      <c r="S383" s="37"/>
    </row>
    <row r="384" ht="15.75" customHeight="1">
      <c r="S384" s="37"/>
    </row>
    <row r="385" ht="15.75" customHeight="1">
      <c r="S385" s="37"/>
    </row>
    <row r="386" ht="15.75" customHeight="1">
      <c r="S386" s="37"/>
    </row>
    <row r="387" ht="15.75" customHeight="1">
      <c r="S387" s="37"/>
    </row>
    <row r="388" ht="15.75" customHeight="1">
      <c r="S388" s="37"/>
    </row>
    <row r="389" ht="15.75" customHeight="1">
      <c r="S389" s="37"/>
    </row>
    <row r="390" ht="15.75" customHeight="1">
      <c r="S390" s="37"/>
    </row>
    <row r="391" ht="15.75" customHeight="1">
      <c r="S391" s="37"/>
    </row>
    <row r="392" ht="15.75" customHeight="1">
      <c r="S392" s="37"/>
    </row>
    <row r="393" ht="15.75" customHeight="1">
      <c r="S393" s="37"/>
    </row>
    <row r="394" ht="15.75" customHeight="1">
      <c r="S394" s="37"/>
    </row>
    <row r="395" ht="15.75" customHeight="1">
      <c r="S395" s="37"/>
    </row>
    <row r="396" ht="15.75" customHeight="1">
      <c r="S396" s="37"/>
    </row>
    <row r="397" ht="15.75" customHeight="1">
      <c r="S397" s="37"/>
    </row>
    <row r="398" ht="15.75" customHeight="1">
      <c r="S398" s="37"/>
    </row>
    <row r="399" ht="15.75" customHeight="1">
      <c r="S399" s="37"/>
    </row>
    <row r="400" ht="15.75" customHeight="1">
      <c r="S400" s="37"/>
    </row>
    <row r="401" ht="15.75" customHeight="1">
      <c r="S401" s="37"/>
    </row>
    <row r="402" ht="15.75" customHeight="1">
      <c r="S402" s="37"/>
    </row>
    <row r="403" ht="15.75" customHeight="1">
      <c r="S403" s="37"/>
    </row>
    <row r="404" ht="15.75" customHeight="1">
      <c r="S404" s="37"/>
    </row>
    <row r="405" ht="15.75" customHeight="1">
      <c r="S405" s="37"/>
    </row>
    <row r="406" ht="15.75" customHeight="1">
      <c r="S406" s="37"/>
    </row>
    <row r="407" ht="15.75" customHeight="1">
      <c r="S407" s="37"/>
    </row>
    <row r="408" ht="15.75" customHeight="1">
      <c r="S408" s="37"/>
    </row>
    <row r="409" ht="15.75" customHeight="1">
      <c r="S409" s="37"/>
    </row>
    <row r="410" ht="15.75" customHeight="1">
      <c r="S410" s="37"/>
    </row>
    <row r="411" ht="15.75" customHeight="1">
      <c r="S411" s="37"/>
    </row>
    <row r="412" ht="15.75" customHeight="1">
      <c r="S412" s="37"/>
    </row>
    <row r="413" ht="15.75" customHeight="1">
      <c r="S413" s="37"/>
    </row>
    <row r="414" ht="15.75" customHeight="1">
      <c r="S414" s="37"/>
    </row>
    <row r="415" ht="15.75" customHeight="1">
      <c r="S415" s="37"/>
    </row>
    <row r="416" ht="15.75" customHeight="1">
      <c r="S416" s="37"/>
    </row>
    <row r="417" ht="15.75" customHeight="1">
      <c r="S417" s="37"/>
    </row>
    <row r="418" ht="15.75" customHeight="1">
      <c r="S418" s="37"/>
    </row>
    <row r="419" ht="15.75" customHeight="1">
      <c r="S419" s="37"/>
    </row>
    <row r="420" ht="15.75" customHeight="1">
      <c r="S420" s="37"/>
    </row>
    <row r="421" ht="15.75" customHeight="1">
      <c r="S421" s="37"/>
    </row>
    <row r="422" ht="15.75" customHeight="1">
      <c r="S422" s="37"/>
    </row>
    <row r="423" ht="15.75" customHeight="1">
      <c r="S423" s="37"/>
    </row>
    <row r="424" ht="15.75" customHeight="1">
      <c r="S424" s="37"/>
    </row>
    <row r="425" ht="15.75" customHeight="1">
      <c r="S425" s="37"/>
    </row>
    <row r="426" ht="15.75" customHeight="1">
      <c r="S426" s="37"/>
    </row>
    <row r="427" ht="15.75" customHeight="1">
      <c r="S427" s="37"/>
    </row>
    <row r="428" ht="15.75" customHeight="1">
      <c r="S428" s="37"/>
    </row>
    <row r="429" ht="15.75" customHeight="1">
      <c r="S429" s="37"/>
    </row>
    <row r="430" ht="15.75" customHeight="1">
      <c r="S430" s="37"/>
    </row>
    <row r="431" ht="15.75" customHeight="1">
      <c r="S431" s="37"/>
    </row>
    <row r="432" ht="15.75" customHeight="1">
      <c r="S432" s="37"/>
    </row>
    <row r="433" ht="15.75" customHeight="1">
      <c r="S433" s="37"/>
    </row>
    <row r="434" ht="15.75" customHeight="1">
      <c r="S434" s="37"/>
    </row>
    <row r="435" ht="15.75" customHeight="1">
      <c r="S435" s="37"/>
    </row>
    <row r="436" ht="15.75" customHeight="1">
      <c r="S436" s="37"/>
    </row>
    <row r="437" ht="15.75" customHeight="1">
      <c r="S437" s="37"/>
    </row>
    <row r="438" ht="15.75" customHeight="1">
      <c r="S438" s="37"/>
    </row>
    <row r="439" ht="15.75" customHeight="1">
      <c r="S439" s="37"/>
    </row>
    <row r="440" ht="15.75" customHeight="1">
      <c r="S440" s="37"/>
    </row>
    <row r="441" ht="15.75" customHeight="1">
      <c r="S441" s="37"/>
    </row>
    <row r="442" ht="15.75" customHeight="1">
      <c r="S442" s="37"/>
    </row>
    <row r="443" ht="15.75" customHeight="1">
      <c r="S443" s="37"/>
    </row>
    <row r="444" ht="15.75" customHeight="1">
      <c r="S444" s="37"/>
    </row>
    <row r="445" ht="15.75" customHeight="1">
      <c r="S445" s="37"/>
    </row>
    <row r="446" ht="15.75" customHeight="1">
      <c r="S446" s="37"/>
    </row>
    <row r="447" ht="15.75" customHeight="1">
      <c r="S447" s="37"/>
    </row>
    <row r="448" ht="15.75" customHeight="1">
      <c r="S448" s="37"/>
    </row>
    <row r="449" ht="15.75" customHeight="1">
      <c r="S449" s="37"/>
    </row>
    <row r="450" ht="15.75" customHeight="1">
      <c r="S450" s="37"/>
    </row>
    <row r="451" ht="15.75" customHeight="1">
      <c r="S451" s="37"/>
    </row>
    <row r="452" ht="15.75" customHeight="1">
      <c r="S452" s="37"/>
    </row>
    <row r="453" ht="15.75" customHeight="1">
      <c r="S453" s="37"/>
    </row>
    <row r="454" ht="15.75" customHeight="1">
      <c r="S454" s="37"/>
    </row>
    <row r="455" ht="15.75" customHeight="1">
      <c r="S455" s="37"/>
    </row>
    <row r="456" ht="15.75" customHeight="1">
      <c r="S456" s="37"/>
    </row>
    <row r="457" ht="15.75" customHeight="1">
      <c r="S457" s="37"/>
    </row>
    <row r="458" ht="15.75" customHeight="1">
      <c r="S458" s="37"/>
    </row>
    <row r="459" ht="15.75" customHeight="1">
      <c r="S459" s="37"/>
    </row>
    <row r="460" ht="15.75" customHeight="1">
      <c r="S460" s="37"/>
    </row>
    <row r="461" ht="15.75" customHeight="1">
      <c r="S461" s="37"/>
    </row>
    <row r="462" ht="15.75" customHeight="1">
      <c r="S462" s="37"/>
    </row>
    <row r="463" ht="15.75" customHeight="1">
      <c r="S463" s="37"/>
    </row>
    <row r="464" ht="15.75" customHeight="1">
      <c r="S464" s="37"/>
    </row>
    <row r="465" ht="15.75" customHeight="1">
      <c r="S465" s="37"/>
    </row>
    <row r="466" ht="15.75" customHeight="1">
      <c r="S466" s="37"/>
    </row>
    <row r="467" ht="15.75" customHeight="1">
      <c r="S467" s="37"/>
    </row>
    <row r="468" ht="15.75" customHeight="1">
      <c r="S468" s="37"/>
    </row>
    <row r="469" ht="15.75" customHeight="1">
      <c r="S469" s="37"/>
    </row>
    <row r="470" ht="15.75" customHeight="1">
      <c r="S470" s="37"/>
    </row>
    <row r="471" ht="15.75" customHeight="1">
      <c r="S471" s="37"/>
    </row>
    <row r="472" ht="15.75" customHeight="1">
      <c r="S472" s="37"/>
    </row>
    <row r="473" ht="15.75" customHeight="1">
      <c r="S473" s="37"/>
    </row>
    <row r="474" ht="15.75" customHeight="1">
      <c r="S474" s="37"/>
    </row>
    <row r="475" ht="15.75" customHeight="1">
      <c r="S475" s="37"/>
    </row>
    <row r="476" ht="15.75" customHeight="1">
      <c r="S476" s="37"/>
    </row>
    <row r="477" ht="15.75" customHeight="1">
      <c r="S477" s="37"/>
    </row>
    <row r="478" ht="15.75" customHeight="1">
      <c r="S478" s="37"/>
    </row>
    <row r="479" ht="15.75" customHeight="1">
      <c r="S479" s="37"/>
    </row>
    <row r="480" ht="15.75" customHeight="1">
      <c r="S480" s="37"/>
    </row>
    <row r="481" ht="15.75" customHeight="1">
      <c r="S481" s="37"/>
    </row>
    <row r="482" ht="15.75" customHeight="1">
      <c r="S482" s="37"/>
    </row>
    <row r="483" ht="15.75" customHeight="1">
      <c r="S483" s="37"/>
    </row>
    <row r="484" ht="15.75" customHeight="1">
      <c r="S484" s="37"/>
    </row>
    <row r="485" ht="15.75" customHeight="1">
      <c r="S485" s="37"/>
    </row>
    <row r="486" ht="15.75" customHeight="1">
      <c r="S486" s="37"/>
    </row>
    <row r="487" ht="15.75" customHeight="1">
      <c r="S487" s="37"/>
    </row>
    <row r="488" ht="15.75" customHeight="1">
      <c r="S488" s="37"/>
    </row>
    <row r="489" ht="15.75" customHeight="1">
      <c r="S489" s="37"/>
    </row>
    <row r="490" ht="15.75" customHeight="1">
      <c r="S490" s="37"/>
    </row>
    <row r="491" ht="15.75" customHeight="1">
      <c r="S491" s="37"/>
    </row>
    <row r="492" ht="15.75" customHeight="1">
      <c r="S492" s="37"/>
    </row>
    <row r="493" ht="15.75" customHeight="1">
      <c r="S493" s="37"/>
    </row>
    <row r="494" ht="15.75" customHeight="1">
      <c r="S494" s="37"/>
    </row>
    <row r="495" ht="15.75" customHeight="1">
      <c r="S495" s="37"/>
    </row>
    <row r="496" ht="15.75" customHeight="1">
      <c r="S496" s="37"/>
    </row>
    <row r="497" ht="15.75" customHeight="1">
      <c r="S497" s="37"/>
    </row>
    <row r="498" ht="15.75" customHeight="1">
      <c r="S498" s="37"/>
    </row>
    <row r="499" ht="15.75" customHeight="1">
      <c r="S499" s="37"/>
    </row>
    <row r="500" ht="15.75" customHeight="1">
      <c r="S500" s="37"/>
    </row>
    <row r="501" ht="15.75" customHeight="1">
      <c r="S501" s="37"/>
    </row>
    <row r="502" ht="15.75" customHeight="1">
      <c r="S502" s="37"/>
    </row>
    <row r="503" ht="15.75" customHeight="1">
      <c r="S503" s="37"/>
    </row>
    <row r="504" ht="15.75" customHeight="1">
      <c r="S504" s="37"/>
    </row>
    <row r="505" ht="15.75" customHeight="1">
      <c r="S505" s="37"/>
    </row>
    <row r="506" ht="15.75" customHeight="1">
      <c r="S506" s="37"/>
    </row>
    <row r="507" ht="15.75" customHeight="1">
      <c r="S507" s="37"/>
    </row>
    <row r="508" ht="15.75" customHeight="1">
      <c r="S508" s="37"/>
    </row>
    <row r="509" ht="15.75" customHeight="1">
      <c r="S509" s="37"/>
    </row>
    <row r="510" ht="15.75" customHeight="1">
      <c r="S510" s="37"/>
    </row>
    <row r="511" ht="15.75" customHeight="1">
      <c r="S511" s="37"/>
    </row>
    <row r="512" ht="15.75" customHeight="1">
      <c r="S512" s="37"/>
    </row>
    <row r="513" ht="15.75" customHeight="1">
      <c r="S513" s="37"/>
    </row>
    <row r="514" ht="15.75" customHeight="1">
      <c r="S514" s="37"/>
    </row>
    <row r="515" ht="15.75" customHeight="1">
      <c r="S515" s="37"/>
    </row>
    <row r="516" ht="15.75" customHeight="1">
      <c r="S516" s="37"/>
    </row>
    <row r="517" ht="15.75" customHeight="1">
      <c r="S517" s="37"/>
    </row>
    <row r="518" ht="15.75" customHeight="1">
      <c r="S518" s="37"/>
    </row>
    <row r="519" ht="15.75" customHeight="1">
      <c r="S519" s="37"/>
    </row>
    <row r="520" ht="15.75" customHeight="1">
      <c r="S520" s="37"/>
    </row>
    <row r="521" ht="15.75" customHeight="1">
      <c r="S521" s="37"/>
    </row>
    <row r="522" ht="15.75" customHeight="1">
      <c r="S522" s="37"/>
    </row>
    <row r="523" ht="15.75" customHeight="1">
      <c r="S523" s="37"/>
    </row>
    <row r="524" ht="15.75" customHeight="1">
      <c r="S524" s="37"/>
    </row>
    <row r="525" ht="15.75" customHeight="1">
      <c r="S525" s="37"/>
    </row>
    <row r="526" ht="15.75" customHeight="1">
      <c r="S526" s="37"/>
    </row>
    <row r="527" ht="15.75" customHeight="1">
      <c r="S527" s="37"/>
    </row>
    <row r="528" ht="15.75" customHeight="1">
      <c r="S528" s="37"/>
    </row>
    <row r="529" ht="15.75" customHeight="1">
      <c r="S529" s="37"/>
    </row>
    <row r="530" ht="15.75" customHeight="1">
      <c r="S530" s="37"/>
    </row>
    <row r="531" ht="15.75" customHeight="1">
      <c r="S531" s="37"/>
    </row>
    <row r="532" ht="15.75" customHeight="1">
      <c r="S532" s="37"/>
    </row>
    <row r="533" ht="15.75" customHeight="1">
      <c r="S533" s="37"/>
    </row>
    <row r="534" ht="15.75" customHeight="1">
      <c r="S534" s="37"/>
    </row>
    <row r="535" ht="15.75" customHeight="1">
      <c r="S535" s="37"/>
    </row>
    <row r="536" ht="15.75" customHeight="1">
      <c r="S536" s="37"/>
    </row>
    <row r="537" ht="15.75" customHeight="1">
      <c r="S537" s="37"/>
    </row>
    <row r="538" ht="15.75" customHeight="1">
      <c r="S538" s="37"/>
    </row>
    <row r="539" ht="15.75" customHeight="1">
      <c r="S539" s="37"/>
    </row>
    <row r="540" ht="15.75" customHeight="1">
      <c r="S540" s="37"/>
    </row>
    <row r="541" ht="15.75" customHeight="1">
      <c r="S541" s="37"/>
    </row>
    <row r="542" ht="15.75" customHeight="1">
      <c r="S542" s="37"/>
    </row>
    <row r="543" ht="15.75" customHeight="1">
      <c r="S543" s="37"/>
    </row>
    <row r="544" ht="15.75" customHeight="1">
      <c r="S544" s="37"/>
    </row>
    <row r="545" ht="15.75" customHeight="1">
      <c r="S545" s="37"/>
    </row>
    <row r="546" ht="15.75" customHeight="1">
      <c r="S546" s="37"/>
    </row>
    <row r="547" ht="15.75" customHeight="1">
      <c r="S547" s="37"/>
    </row>
    <row r="548" ht="15.75" customHeight="1">
      <c r="S548" s="37"/>
    </row>
    <row r="549" ht="15.75" customHeight="1">
      <c r="S549" s="37"/>
    </row>
    <row r="550" ht="15.75" customHeight="1">
      <c r="S550" s="37"/>
    </row>
    <row r="551" ht="15.75" customHeight="1">
      <c r="S551" s="37"/>
    </row>
    <row r="552" ht="15.75" customHeight="1">
      <c r="S552" s="37"/>
    </row>
    <row r="553" ht="15.75" customHeight="1">
      <c r="S553" s="37"/>
    </row>
    <row r="554" ht="15.75" customHeight="1">
      <c r="S554" s="37"/>
    </row>
    <row r="555" ht="15.75" customHeight="1">
      <c r="S555" s="37"/>
    </row>
    <row r="556" ht="15.75" customHeight="1">
      <c r="S556" s="37"/>
    </row>
    <row r="557" ht="15.75" customHeight="1">
      <c r="S557" s="37"/>
    </row>
    <row r="558" ht="15.75" customHeight="1">
      <c r="S558" s="37"/>
    </row>
    <row r="559" ht="15.75" customHeight="1">
      <c r="S559" s="37"/>
    </row>
    <row r="560" ht="15.75" customHeight="1">
      <c r="S560" s="37"/>
    </row>
    <row r="561" ht="15.75" customHeight="1">
      <c r="S561" s="37"/>
    </row>
    <row r="562" ht="15.75" customHeight="1">
      <c r="S562" s="37"/>
    </row>
    <row r="563" ht="15.75" customHeight="1">
      <c r="S563" s="37"/>
    </row>
    <row r="564" ht="15.75" customHeight="1">
      <c r="S564" s="37"/>
    </row>
    <row r="565" ht="15.75" customHeight="1">
      <c r="S565" s="37"/>
    </row>
    <row r="566" ht="15.75" customHeight="1">
      <c r="S566" s="37"/>
    </row>
    <row r="567" ht="15.75" customHeight="1">
      <c r="S567" s="37"/>
    </row>
    <row r="568" ht="15.75" customHeight="1">
      <c r="S568" s="37"/>
    </row>
    <row r="569" ht="15.75" customHeight="1">
      <c r="S569" s="37"/>
    </row>
    <row r="570" ht="15.75" customHeight="1">
      <c r="S570" s="37"/>
    </row>
    <row r="571" ht="15.75" customHeight="1">
      <c r="S571" s="37"/>
    </row>
    <row r="572" ht="15.75" customHeight="1">
      <c r="S572" s="37"/>
    </row>
    <row r="573" ht="15.75" customHeight="1">
      <c r="S573" s="37"/>
    </row>
    <row r="574" ht="15.75" customHeight="1">
      <c r="S574" s="37"/>
    </row>
    <row r="575" ht="15.75" customHeight="1">
      <c r="S575" s="37"/>
    </row>
    <row r="576" ht="15.75" customHeight="1">
      <c r="S576" s="37"/>
    </row>
    <row r="577" ht="15.75" customHeight="1">
      <c r="S577" s="37"/>
    </row>
    <row r="578" ht="15.75" customHeight="1">
      <c r="S578" s="37"/>
    </row>
    <row r="579" ht="15.75" customHeight="1">
      <c r="S579" s="37"/>
    </row>
    <row r="580" ht="15.75" customHeight="1">
      <c r="S580" s="37"/>
    </row>
    <row r="581" ht="15.75" customHeight="1">
      <c r="S581" s="37"/>
    </row>
    <row r="582" ht="15.75" customHeight="1">
      <c r="S582" s="37"/>
    </row>
    <row r="583" ht="15.75" customHeight="1">
      <c r="S583" s="37"/>
    </row>
    <row r="584" ht="15.75" customHeight="1">
      <c r="S584" s="37"/>
    </row>
    <row r="585" ht="15.75" customHeight="1">
      <c r="S585" s="37"/>
    </row>
    <row r="586" ht="15.75" customHeight="1">
      <c r="S586" s="37"/>
    </row>
    <row r="587" ht="15.75" customHeight="1">
      <c r="S587" s="37"/>
    </row>
    <row r="588" ht="15.75" customHeight="1">
      <c r="S588" s="37"/>
    </row>
    <row r="589" ht="15.75" customHeight="1">
      <c r="S589" s="37"/>
    </row>
    <row r="590" ht="15.75" customHeight="1">
      <c r="S590" s="37"/>
    </row>
    <row r="591" ht="15.75" customHeight="1">
      <c r="S591" s="37"/>
    </row>
    <row r="592" ht="15.75" customHeight="1">
      <c r="S592" s="37"/>
    </row>
    <row r="593" ht="15.75" customHeight="1">
      <c r="S593" s="37"/>
    </row>
    <row r="594" ht="15.75" customHeight="1">
      <c r="S594" s="37"/>
    </row>
    <row r="595" ht="15.75" customHeight="1">
      <c r="S595" s="37"/>
    </row>
    <row r="596" ht="15.75" customHeight="1">
      <c r="S596" s="37"/>
    </row>
    <row r="597" ht="15.75" customHeight="1">
      <c r="S597" s="37"/>
    </row>
    <row r="598" ht="15.75" customHeight="1">
      <c r="S598" s="37"/>
    </row>
    <row r="599" ht="15.75" customHeight="1">
      <c r="S599" s="37"/>
    </row>
    <row r="600" ht="15.75" customHeight="1">
      <c r="S600" s="37"/>
    </row>
    <row r="601" ht="15.75" customHeight="1">
      <c r="S601" s="37"/>
    </row>
    <row r="602" ht="15.75" customHeight="1">
      <c r="S602" s="37"/>
    </row>
    <row r="603" ht="15.75" customHeight="1">
      <c r="S603" s="37"/>
    </row>
    <row r="604" ht="15.75" customHeight="1">
      <c r="S604" s="37"/>
    </row>
    <row r="605" ht="15.75" customHeight="1">
      <c r="S605" s="37"/>
    </row>
    <row r="606" ht="15.75" customHeight="1">
      <c r="S606" s="37"/>
    </row>
    <row r="607" ht="15.75" customHeight="1">
      <c r="S607" s="37"/>
    </row>
    <row r="608" ht="15.75" customHeight="1">
      <c r="S608" s="37"/>
    </row>
    <row r="609" ht="15.75" customHeight="1">
      <c r="S609" s="37"/>
    </row>
    <row r="610" ht="15.75" customHeight="1">
      <c r="S610" s="37"/>
    </row>
    <row r="611" ht="15.75" customHeight="1">
      <c r="S611" s="37"/>
    </row>
    <row r="612" ht="15.75" customHeight="1">
      <c r="S612" s="37"/>
    </row>
    <row r="613" ht="15.75" customHeight="1">
      <c r="S613" s="37"/>
    </row>
    <row r="614" ht="15.75" customHeight="1">
      <c r="S614" s="37"/>
    </row>
    <row r="615" ht="15.75" customHeight="1">
      <c r="S615" s="37"/>
    </row>
    <row r="616" ht="15.75" customHeight="1">
      <c r="S616" s="37"/>
    </row>
    <row r="617" ht="15.75" customHeight="1">
      <c r="S617" s="37"/>
    </row>
    <row r="618" ht="15.75" customHeight="1">
      <c r="S618" s="37"/>
    </row>
    <row r="619" ht="15.75" customHeight="1">
      <c r="S619" s="37"/>
    </row>
    <row r="620" ht="15.75" customHeight="1">
      <c r="S620" s="37"/>
    </row>
    <row r="621" ht="15.75" customHeight="1">
      <c r="S621" s="37"/>
    </row>
    <row r="622" ht="15.75" customHeight="1">
      <c r="S622" s="37"/>
    </row>
    <row r="623" ht="15.75" customHeight="1">
      <c r="S623" s="37"/>
    </row>
    <row r="624" ht="15.75" customHeight="1">
      <c r="S624" s="37"/>
    </row>
    <row r="625" ht="15.75" customHeight="1">
      <c r="S625" s="37"/>
    </row>
    <row r="626" ht="15.75" customHeight="1">
      <c r="S626" s="37"/>
    </row>
    <row r="627" ht="15.75" customHeight="1">
      <c r="S627" s="37"/>
    </row>
    <row r="628" ht="15.75" customHeight="1">
      <c r="S628" s="37"/>
    </row>
    <row r="629" ht="15.75" customHeight="1">
      <c r="S629" s="37"/>
    </row>
    <row r="630" ht="15.75" customHeight="1">
      <c r="S630" s="37"/>
    </row>
    <row r="631" ht="15.75" customHeight="1">
      <c r="S631" s="37"/>
    </row>
    <row r="632" ht="15.75" customHeight="1">
      <c r="S632" s="37"/>
    </row>
    <row r="633" ht="15.75" customHeight="1">
      <c r="S633" s="37"/>
    </row>
    <row r="634" ht="15.75" customHeight="1">
      <c r="S634" s="37"/>
    </row>
    <row r="635" ht="15.75" customHeight="1">
      <c r="S635" s="37"/>
    </row>
    <row r="636" ht="15.75" customHeight="1">
      <c r="S636" s="37"/>
    </row>
    <row r="637" ht="15.75" customHeight="1">
      <c r="S637" s="37"/>
    </row>
    <row r="638" ht="15.75" customHeight="1">
      <c r="S638" s="37"/>
    </row>
    <row r="639" ht="15.75" customHeight="1">
      <c r="S639" s="37"/>
    </row>
    <row r="640" ht="15.75" customHeight="1">
      <c r="S640" s="37"/>
    </row>
    <row r="641" ht="15.75" customHeight="1">
      <c r="S641" s="37"/>
    </row>
    <row r="642" ht="15.75" customHeight="1">
      <c r="S642" s="37"/>
    </row>
    <row r="643" ht="15.75" customHeight="1">
      <c r="S643" s="37"/>
    </row>
    <row r="644" ht="15.75" customHeight="1">
      <c r="S644" s="37"/>
    </row>
    <row r="645" ht="15.75" customHeight="1">
      <c r="S645" s="37"/>
    </row>
    <row r="646" ht="15.75" customHeight="1">
      <c r="S646" s="37"/>
    </row>
    <row r="647" ht="15.75" customHeight="1">
      <c r="S647" s="37"/>
    </row>
    <row r="648" ht="15.75" customHeight="1">
      <c r="S648" s="37"/>
    </row>
    <row r="649" ht="15.75" customHeight="1">
      <c r="S649" s="37"/>
    </row>
    <row r="650" ht="15.75" customHeight="1">
      <c r="S650" s="37"/>
    </row>
    <row r="651" ht="15.75" customHeight="1">
      <c r="S651" s="37"/>
    </row>
    <row r="652" ht="15.75" customHeight="1">
      <c r="S652" s="37"/>
    </row>
    <row r="653" ht="15.75" customHeight="1">
      <c r="S653" s="37"/>
    </row>
    <row r="654" ht="15.75" customHeight="1">
      <c r="S654" s="37"/>
    </row>
    <row r="655" ht="15.75" customHeight="1">
      <c r="S655" s="37"/>
    </row>
    <row r="656" ht="15.75" customHeight="1">
      <c r="S656" s="37"/>
    </row>
    <row r="657" ht="15.75" customHeight="1">
      <c r="S657" s="37"/>
    </row>
    <row r="658" ht="15.75" customHeight="1">
      <c r="S658" s="37"/>
    </row>
    <row r="659" ht="15.75" customHeight="1">
      <c r="S659" s="37"/>
    </row>
    <row r="660" ht="15.75" customHeight="1">
      <c r="S660" s="37"/>
    </row>
    <row r="661" ht="15.75" customHeight="1">
      <c r="S661" s="37"/>
    </row>
    <row r="662" ht="15.75" customHeight="1">
      <c r="S662" s="37"/>
    </row>
    <row r="663" ht="15.75" customHeight="1">
      <c r="S663" s="37"/>
    </row>
    <row r="664" ht="15.75" customHeight="1">
      <c r="S664" s="37"/>
    </row>
    <row r="665" ht="15.75" customHeight="1">
      <c r="S665" s="37"/>
    </row>
    <row r="666" ht="15.75" customHeight="1">
      <c r="S666" s="37"/>
    </row>
    <row r="667" ht="15.75" customHeight="1">
      <c r="S667" s="37"/>
    </row>
    <row r="668" ht="15.75" customHeight="1">
      <c r="S668" s="37"/>
    </row>
    <row r="669" ht="15.75" customHeight="1">
      <c r="S669" s="37"/>
    </row>
    <row r="670" ht="15.75" customHeight="1">
      <c r="S670" s="37"/>
    </row>
    <row r="671" ht="15.75" customHeight="1">
      <c r="S671" s="37"/>
    </row>
    <row r="672" ht="15.75" customHeight="1">
      <c r="S672" s="37"/>
    </row>
    <row r="673" ht="15.75" customHeight="1">
      <c r="S673" s="37"/>
    </row>
    <row r="674" ht="15.75" customHeight="1">
      <c r="S674" s="37"/>
    </row>
    <row r="675" ht="15.75" customHeight="1">
      <c r="S675" s="37"/>
    </row>
    <row r="676" ht="15.75" customHeight="1">
      <c r="S676" s="37"/>
    </row>
    <row r="677" ht="15.75" customHeight="1">
      <c r="S677" s="37"/>
    </row>
    <row r="678" ht="15.75" customHeight="1">
      <c r="S678" s="37"/>
    </row>
    <row r="679" ht="15.75" customHeight="1">
      <c r="S679" s="37"/>
    </row>
    <row r="680" ht="15.75" customHeight="1">
      <c r="S680" s="37"/>
    </row>
    <row r="681" ht="15.75" customHeight="1">
      <c r="S681" s="37"/>
    </row>
    <row r="682" ht="15.75" customHeight="1">
      <c r="S682" s="37"/>
    </row>
    <row r="683" ht="15.75" customHeight="1">
      <c r="S683" s="37"/>
    </row>
    <row r="684" ht="15.75" customHeight="1">
      <c r="S684" s="37"/>
    </row>
    <row r="685" ht="15.75" customHeight="1">
      <c r="S685" s="37"/>
    </row>
    <row r="686" ht="15.75" customHeight="1">
      <c r="S686" s="37"/>
    </row>
    <row r="687" ht="15.75" customHeight="1">
      <c r="S687" s="37"/>
    </row>
    <row r="688" ht="15.75" customHeight="1">
      <c r="S688" s="37"/>
    </row>
    <row r="689" ht="15.75" customHeight="1">
      <c r="S689" s="37"/>
    </row>
    <row r="690" ht="15.75" customHeight="1">
      <c r="S690" s="37"/>
    </row>
    <row r="691" ht="15.75" customHeight="1">
      <c r="S691" s="37"/>
    </row>
    <row r="692" ht="15.75" customHeight="1">
      <c r="S692" s="37"/>
    </row>
    <row r="693" ht="15.75" customHeight="1">
      <c r="S693" s="37"/>
    </row>
    <row r="694" ht="15.75" customHeight="1">
      <c r="S694" s="37"/>
    </row>
    <row r="695" ht="15.75" customHeight="1">
      <c r="S695" s="37"/>
    </row>
    <row r="696" ht="15.75" customHeight="1">
      <c r="S696" s="37"/>
    </row>
    <row r="697" ht="15.75" customHeight="1">
      <c r="S697" s="37"/>
    </row>
    <row r="698" ht="15.75" customHeight="1">
      <c r="S698" s="37"/>
    </row>
    <row r="699" ht="15.75" customHeight="1">
      <c r="S699" s="37"/>
    </row>
    <row r="700" ht="15.75" customHeight="1">
      <c r="S700" s="37"/>
    </row>
    <row r="701" ht="15.75" customHeight="1">
      <c r="S701" s="37"/>
    </row>
    <row r="702" ht="15.75" customHeight="1">
      <c r="S702" s="37"/>
    </row>
    <row r="703" ht="15.75" customHeight="1">
      <c r="S703" s="37"/>
    </row>
    <row r="704" ht="15.75" customHeight="1">
      <c r="S704" s="37"/>
    </row>
    <row r="705" ht="15.75" customHeight="1">
      <c r="S705" s="37"/>
    </row>
    <row r="706" ht="15.75" customHeight="1">
      <c r="S706" s="37"/>
    </row>
    <row r="707" ht="15.75" customHeight="1">
      <c r="S707" s="37"/>
    </row>
    <row r="708" ht="15.75" customHeight="1">
      <c r="S708" s="37"/>
    </row>
    <row r="709" ht="15.75" customHeight="1">
      <c r="S709" s="37"/>
    </row>
    <row r="710" ht="15.75" customHeight="1">
      <c r="S710" s="37"/>
    </row>
    <row r="711" ht="15.75" customHeight="1">
      <c r="S711" s="37"/>
    </row>
    <row r="712" ht="15.75" customHeight="1">
      <c r="S712" s="37"/>
    </row>
    <row r="713" ht="15.75" customHeight="1">
      <c r="S713" s="37"/>
    </row>
    <row r="714" ht="15.75" customHeight="1">
      <c r="S714" s="37"/>
    </row>
    <row r="715" ht="15.75" customHeight="1">
      <c r="S715" s="37"/>
    </row>
    <row r="716" ht="15.75" customHeight="1">
      <c r="S716" s="37"/>
    </row>
    <row r="717" ht="15.75" customHeight="1">
      <c r="S717" s="37"/>
    </row>
    <row r="718" ht="15.75" customHeight="1">
      <c r="S718" s="37"/>
    </row>
    <row r="719" ht="15.75" customHeight="1">
      <c r="S719" s="37"/>
    </row>
    <row r="720" ht="15.75" customHeight="1">
      <c r="S720" s="37"/>
    </row>
    <row r="721" ht="15.75" customHeight="1">
      <c r="S721" s="37"/>
    </row>
    <row r="722" ht="15.75" customHeight="1">
      <c r="S722" s="37"/>
    </row>
    <row r="723" ht="15.75" customHeight="1">
      <c r="S723" s="37"/>
    </row>
    <row r="724" ht="15.75" customHeight="1">
      <c r="S724" s="37"/>
    </row>
    <row r="725" ht="15.75" customHeight="1">
      <c r="S725" s="37"/>
    </row>
    <row r="726" ht="15.75" customHeight="1">
      <c r="S726" s="37"/>
    </row>
    <row r="727" ht="15.75" customHeight="1">
      <c r="S727" s="37"/>
    </row>
    <row r="728" ht="15.75" customHeight="1">
      <c r="S728" s="37"/>
    </row>
    <row r="729" ht="15.75" customHeight="1">
      <c r="S729" s="37"/>
    </row>
    <row r="730" ht="15.75" customHeight="1">
      <c r="S730" s="37"/>
    </row>
    <row r="731" ht="15.75" customHeight="1">
      <c r="S731" s="37"/>
    </row>
    <row r="732" ht="15.75" customHeight="1">
      <c r="S732" s="37"/>
    </row>
    <row r="733" ht="15.75" customHeight="1">
      <c r="S733" s="37"/>
    </row>
    <row r="734" ht="15.75" customHeight="1">
      <c r="S734" s="37"/>
    </row>
    <row r="735" ht="15.75" customHeight="1">
      <c r="S735" s="37"/>
    </row>
    <row r="736" ht="15.75" customHeight="1">
      <c r="S736" s="37"/>
    </row>
    <row r="737" ht="15.75" customHeight="1">
      <c r="S737" s="37"/>
    </row>
    <row r="738" ht="15.75" customHeight="1">
      <c r="S738" s="37"/>
    </row>
    <row r="739" ht="15.75" customHeight="1">
      <c r="S739" s="37"/>
    </row>
    <row r="740" ht="15.75" customHeight="1">
      <c r="S740" s="37"/>
    </row>
    <row r="741" ht="15.75" customHeight="1">
      <c r="S741" s="37"/>
    </row>
    <row r="742" ht="15.75" customHeight="1">
      <c r="S742" s="37"/>
    </row>
    <row r="743" ht="15.75" customHeight="1">
      <c r="S743" s="37"/>
    </row>
    <row r="744" ht="15.75" customHeight="1">
      <c r="S744" s="37"/>
    </row>
    <row r="745" ht="15.75" customHeight="1">
      <c r="S745" s="37"/>
    </row>
    <row r="746" ht="15.75" customHeight="1">
      <c r="S746" s="37"/>
    </row>
    <row r="747" ht="15.75" customHeight="1">
      <c r="S747" s="37"/>
    </row>
    <row r="748" ht="15.75" customHeight="1">
      <c r="S748" s="37"/>
    </row>
    <row r="749" ht="15.75" customHeight="1">
      <c r="S749" s="37"/>
    </row>
    <row r="750" ht="15.75" customHeight="1">
      <c r="S750" s="37"/>
    </row>
    <row r="751" ht="15.75" customHeight="1">
      <c r="S751" s="37"/>
    </row>
    <row r="752" ht="15.75" customHeight="1">
      <c r="S752" s="37"/>
    </row>
    <row r="753" ht="15.75" customHeight="1">
      <c r="S753" s="37"/>
    </row>
    <row r="754" ht="15.75" customHeight="1">
      <c r="S754" s="37"/>
    </row>
    <row r="755" ht="15.75" customHeight="1">
      <c r="S755" s="37"/>
    </row>
    <row r="756" ht="15.75" customHeight="1">
      <c r="S756" s="37"/>
    </row>
    <row r="757" ht="15.75" customHeight="1">
      <c r="S757" s="37"/>
    </row>
    <row r="758" ht="15.75" customHeight="1">
      <c r="S758" s="37"/>
    </row>
    <row r="759" ht="15.75" customHeight="1">
      <c r="S759" s="37"/>
    </row>
    <row r="760" ht="15.75" customHeight="1">
      <c r="S760" s="37"/>
    </row>
    <row r="761" ht="15.75" customHeight="1">
      <c r="S761" s="37"/>
    </row>
    <row r="762" ht="15.75" customHeight="1">
      <c r="S762" s="37"/>
    </row>
    <row r="763" ht="15.75" customHeight="1">
      <c r="S763" s="37"/>
    </row>
    <row r="764" ht="15.75" customHeight="1">
      <c r="S764" s="37"/>
    </row>
    <row r="765" ht="15.75" customHeight="1">
      <c r="S765" s="37"/>
    </row>
    <row r="766" ht="15.75" customHeight="1">
      <c r="S766" s="37"/>
    </row>
    <row r="767" ht="15.75" customHeight="1">
      <c r="S767" s="37"/>
    </row>
    <row r="768" ht="15.75" customHeight="1">
      <c r="S768" s="37"/>
    </row>
    <row r="769" ht="15.75" customHeight="1">
      <c r="S769" s="37"/>
    </row>
    <row r="770" ht="15.75" customHeight="1">
      <c r="S770" s="37"/>
    </row>
    <row r="771" ht="15.75" customHeight="1">
      <c r="S771" s="37"/>
    </row>
    <row r="772" ht="15.75" customHeight="1">
      <c r="S772" s="37"/>
    </row>
    <row r="773" ht="15.75" customHeight="1">
      <c r="S773" s="37"/>
    </row>
    <row r="774" ht="15.75" customHeight="1">
      <c r="S774" s="37"/>
    </row>
    <row r="775" ht="15.75" customHeight="1">
      <c r="S775" s="37"/>
    </row>
    <row r="776" ht="15.75" customHeight="1">
      <c r="S776" s="37"/>
    </row>
    <row r="777" ht="15.75" customHeight="1">
      <c r="S777" s="37"/>
    </row>
    <row r="778" ht="15.75" customHeight="1">
      <c r="S778" s="37"/>
    </row>
    <row r="779" ht="15.75" customHeight="1">
      <c r="S779" s="37"/>
    </row>
    <row r="780" ht="15.75" customHeight="1">
      <c r="S780" s="37"/>
    </row>
    <row r="781" ht="15.75" customHeight="1">
      <c r="S781" s="37"/>
    </row>
    <row r="782" ht="15.75" customHeight="1">
      <c r="S782" s="37"/>
    </row>
    <row r="783" ht="15.75" customHeight="1">
      <c r="S783" s="37"/>
    </row>
    <row r="784" ht="15.75" customHeight="1">
      <c r="S784" s="37"/>
    </row>
    <row r="785" ht="15.75" customHeight="1">
      <c r="S785" s="37"/>
    </row>
    <row r="786" ht="15.75" customHeight="1">
      <c r="S786" s="37"/>
    </row>
    <row r="787" ht="15.75" customHeight="1">
      <c r="S787" s="37"/>
    </row>
    <row r="788" ht="15.75" customHeight="1">
      <c r="S788" s="37"/>
    </row>
    <row r="789" ht="15.75" customHeight="1">
      <c r="S789" s="37"/>
    </row>
    <row r="790" ht="15.75" customHeight="1">
      <c r="S790" s="37"/>
    </row>
    <row r="791" ht="15.75" customHeight="1">
      <c r="S791" s="37"/>
    </row>
    <row r="792" ht="15.75" customHeight="1">
      <c r="S792" s="37"/>
    </row>
    <row r="793" ht="15.75" customHeight="1">
      <c r="S793" s="37"/>
    </row>
    <row r="794" ht="15.75" customHeight="1">
      <c r="S794" s="37"/>
    </row>
    <row r="795" ht="15.75" customHeight="1">
      <c r="S795" s="37"/>
    </row>
    <row r="796" ht="15.75" customHeight="1">
      <c r="S796" s="37"/>
    </row>
    <row r="797" ht="15.75" customHeight="1">
      <c r="S797" s="37"/>
    </row>
    <row r="798" ht="15.75" customHeight="1">
      <c r="S798" s="37"/>
    </row>
    <row r="799" ht="15.75" customHeight="1">
      <c r="S799" s="37"/>
    </row>
    <row r="800" ht="15.75" customHeight="1">
      <c r="S800" s="37"/>
    </row>
    <row r="801" ht="15.75" customHeight="1">
      <c r="S801" s="37"/>
    </row>
    <row r="802" ht="15.75" customHeight="1">
      <c r="S802" s="37"/>
    </row>
    <row r="803" ht="15.75" customHeight="1">
      <c r="S803" s="37"/>
    </row>
    <row r="804" ht="15.75" customHeight="1">
      <c r="S804" s="37"/>
    </row>
    <row r="805" ht="15.75" customHeight="1">
      <c r="S805" s="37"/>
    </row>
    <row r="806" ht="15.75" customHeight="1">
      <c r="S806" s="37"/>
    </row>
    <row r="807" ht="15.75" customHeight="1">
      <c r="S807" s="37"/>
    </row>
    <row r="808" ht="15.75" customHeight="1">
      <c r="S808" s="37"/>
    </row>
    <row r="809" ht="15.75" customHeight="1">
      <c r="S809" s="37"/>
    </row>
    <row r="810" ht="15.75" customHeight="1">
      <c r="S810" s="37"/>
    </row>
    <row r="811" ht="15.75" customHeight="1">
      <c r="S811" s="37"/>
    </row>
    <row r="812" ht="15.75" customHeight="1">
      <c r="S812" s="37"/>
    </row>
    <row r="813" ht="15.75" customHeight="1">
      <c r="S813" s="37"/>
    </row>
    <row r="814" ht="15.75" customHeight="1">
      <c r="S814" s="37"/>
    </row>
    <row r="815" ht="15.75" customHeight="1">
      <c r="S815" s="37"/>
    </row>
    <row r="816" ht="15.75" customHeight="1">
      <c r="S816" s="37"/>
    </row>
    <row r="817" ht="15.75" customHeight="1">
      <c r="S817" s="37"/>
    </row>
    <row r="818" ht="15.75" customHeight="1">
      <c r="S818" s="37"/>
    </row>
    <row r="819" ht="15.75" customHeight="1">
      <c r="S819" s="37"/>
    </row>
    <row r="820" ht="15.75" customHeight="1">
      <c r="S820" s="37"/>
    </row>
    <row r="821" ht="15.75" customHeight="1">
      <c r="S821" s="37"/>
    </row>
    <row r="822" ht="15.75" customHeight="1">
      <c r="S822" s="37"/>
    </row>
    <row r="823" ht="15.75" customHeight="1">
      <c r="S823" s="37"/>
    </row>
    <row r="824" ht="15.75" customHeight="1">
      <c r="S824" s="37"/>
    </row>
    <row r="825" ht="15.75" customHeight="1">
      <c r="S825" s="37"/>
    </row>
    <row r="826" ht="15.75" customHeight="1">
      <c r="S826" s="37"/>
    </row>
    <row r="827" ht="15.75" customHeight="1">
      <c r="S827" s="37"/>
    </row>
    <row r="828" ht="15.75" customHeight="1">
      <c r="S828" s="37"/>
    </row>
    <row r="829" ht="15.75" customHeight="1">
      <c r="S829" s="37"/>
    </row>
    <row r="830" ht="15.75" customHeight="1">
      <c r="S830" s="37"/>
    </row>
    <row r="831" ht="15.75" customHeight="1">
      <c r="S831" s="37"/>
    </row>
    <row r="832" ht="15.75" customHeight="1">
      <c r="S832" s="37"/>
    </row>
    <row r="833" ht="15.75" customHeight="1">
      <c r="S833" s="37"/>
    </row>
    <row r="834" ht="15.75" customHeight="1">
      <c r="S834" s="37"/>
    </row>
    <row r="835" ht="15.75" customHeight="1">
      <c r="S835" s="37"/>
    </row>
    <row r="836" ht="15.75" customHeight="1">
      <c r="S836" s="37"/>
    </row>
    <row r="837" ht="15.75" customHeight="1">
      <c r="S837" s="37"/>
    </row>
    <row r="838" ht="15.75" customHeight="1">
      <c r="S838" s="37"/>
    </row>
    <row r="839" ht="15.75" customHeight="1">
      <c r="S839" s="37"/>
    </row>
    <row r="840" ht="15.75" customHeight="1">
      <c r="S840" s="37"/>
    </row>
    <row r="841" ht="15.75" customHeight="1">
      <c r="S841" s="37"/>
    </row>
    <row r="842" ht="15.75" customHeight="1">
      <c r="S842" s="37"/>
    </row>
    <row r="843" ht="15.75" customHeight="1">
      <c r="S843" s="37"/>
    </row>
    <row r="844" ht="15.75" customHeight="1">
      <c r="S844" s="37"/>
    </row>
    <row r="845" ht="15.75" customHeight="1">
      <c r="S845" s="37"/>
    </row>
    <row r="846" ht="15.75" customHeight="1">
      <c r="S846" s="37"/>
    </row>
    <row r="847" ht="15.75" customHeight="1">
      <c r="S847" s="37"/>
    </row>
    <row r="848" ht="15.75" customHeight="1">
      <c r="S848" s="37"/>
    </row>
    <row r="849" ht="15.75" customHeight="1">
      <c r="S849" s="37"/>
    </row>
    <row r="850" ht="15.75" customHeight="1">
      <c r="S850" s="37"/>
    </row>
    <row r="851" ht="15.75" customHeight="1">
      <c r="S851" s="37"/>
    </row>
    <row r="852" ht="15.75" customHeight="1">
      <c r="S852" s="37"/>
    </row>
    <row r="853" ht="15.75" customHeight="1">
      <c r="S853" s="37"/>
    </row>
    <row r="854" ht="15.75" customHeight="1">
      <c r="S854" s="37"/>
    </row>
    <row r="855" ht="15.75" customHeight="1">
      <c r="S855" s="37"/>
    </row>
    <row r="856" ht="15.75" customHeight="1">
      <c r="S856" s="37"/>
    </row>
    <row r="857" ht="15.75" customHeight="1">
      <c r="S857" s="37"/>
    </row>
    <row r="858" ht="15.75" customHeight="1">
      <c r="S858" s="37"/>
    </row>
    <row r="859" ht="15.75" customHeight="1">
      <c r="S859" s="37"/>
    </row>
    <row r="860" ht="15.75" customHeight="1">
      <c r="S860" s="37"/>
    </row>
    <row r="861" ht="15.75" customHeight="1">
      <c r="S861" s="37"/>
    </row>
    <row r="862" ht="15.75" customHeight="1">
      <c r="S862" s="37"/>
    </row>
    <row r="863" ht="15.75" customHeight="1">
      <c r="S863" s="37"/>
    </row>
    <row r="864" ht="15.75" customHeight="1">
      <c r="S864" s="37"/>
    </row>
    <row r="865" ht="15.75" customHeight="1">
      <c r="S865" s="37"/>
    </row>
    <row r="866" ht="15.75" customHeight="1">
      <c r="S866" s="37"/>
    </row>
    <row r="867" ht="15.75" customHeight="1">
      <c r="S867" s="37"/>
    </row>
    <row r="868" ht="15.75" customHeight="1">
      <c r="S868" s="37"/>
    </row>
    <row r="869" ht="15.75" customHeight="1">
      <c r="S869" s="37"/>
    </row>
    <row r="870" ht="15.75" customHeight="1">
      <c r="S870" s="37"/>
    </row>
    <row r="871" ht="15.75" customHeight="1">
      <c r="S871" s="37"/>
    </row>
    <row r="872" ht="15.75" customHeight="1">
      <c r="S872" s="37"/>
    </row>
    <row r="873" ht="15.75" customHeight="1">
      <c r="S873" s="37"/>
    </row>
    <row r="874" ht="15.75" customHeight="1">
      <c r="S874" s="37"/>
    </row>
    <row r="875" ht="15.75" customHeight="1">
      <c r="S875" s="37"/>
    </row>
    <row r="876" ht="15.75" customHeight="1">
      <c r="S876" s="37"/>
    </row>
    <row r="877" ht="15.75" customHeight="1">
      <c r="S877" s="37"/>
    </row>
    <row r="878" ht="15.75" customHeight="1">
      <c r="S878" s="37"/>
    </row>
    <row r="879" ht="15.75" customHeight="1">
      <c r="S879" s="37"/>
    </row>
    <row r="880" ht="15.75" customHeight="1">
      <c r="S880" s="37"/>
    </row>
    <row r="881" ht="15.75" customHeight="1">
      <c r="S881" s="37"/>
    </row>
    <row r="882" ht="15.75" customHeight="1">
      <c r="S882" s="37"/>
    </row>
    <row r="883" ht="15.75" customHeight="1">
      <c r="S883" s="37"/>
    </row>
    <row r="884" ht="15.75" customHeight="1">
      <c r="S884" s="37"/>
    </row>
    <row r="885" ht="15.75" customHeight="1">
      <c r="S885" s="37"/>
    </row>
    <row r="886" ht="15.75" customHeight="1">
      <c r="S886" s="37"/>
    </row>
    <row r="887" ht="15.75" customHeight="1">
      <c r="S887" s="37"/>
    </row>
    <row r="888" ht="15.75" customHeight="1">
      <c r="S888" s="37"/>
    </row>
    <row r="889" ht="15.75" customHeight="1">
      <c r="S889" s="37"/>
    </row>
    <row r="890" ht="15.75" customHeight="1">
      <c r="S890" s="37"/>
    </row>
    <row r="891" ht="15.75" customHeight="1">
      <c r="S891" s="37"/>
    </row>
    <row r="892" ht="15.75" customHeight="1">
      <c r="S892" s="37"/>
    </row>
    <row r="893" ht="15.75" customHeight="1">
      <c r="S893" s="37"/>
    </row>
    <row r="894" ht="15.75" customHeight="1">
      <c r="S894" s="37"/>
    </row>
    <row r="895" ht="15.75" customHeight="1">
      <c r="S895" s="37"/>
    </row>
    <row r="896" ht="15.75" customHeight="1">
      <c r="S896" s="37"/>
    </row>
    <row r="897" ht="15.75" customHeight="1">
      <c r="S897" s="37"/>
    </row>
    <row r="898" ht="15.75" customHeight="1">
      <c r="S898" s="37"/>
    </row>
    <row r="899" ht="15.75" customHeight="1">
      <c r="S899" s="37"/>
    </row>
    <row r="900" ht="15.75" customHeight="1">
      <c r="S900" s="37"/>
    </row>
    <row r="901" ht="15.75" customHeight="1">
      <c r="S901" s="37"/>
    </row>
    <row r="902" ht="15.75" customHeight="1">
      <c r="S902" s="37"/>
    </row>
    <row r="903" ht="15.75" customHeight="1">
      <c r="S903" s="37"/>
    </row>
    <row r="904" ht="15.75" customHeight="1">
      <c r="S904" s="37"/>
    </row>
    <row r="905" ht="15.75" customHeight="1">
      <c r="S905" s="37"/>
    </row>
    <row r="906" ht="15.75" customHeight="1">
      <c r="S906" s="37"/>
    </row>
    <row r="907" ht="15.75" customHeight="1">
      <c r="S907" s="37"/>
    </row>
    <row r="908" ht="15.75" customHeight="1">
      <c r="S908" s="37"/>
    </row>
    <row r="909" ht="15.75" customHeight="1">
      <c r="S909" s="37"/>
    </row>
    <row r="910" ht="15.75" customHeight="1">
      <c r="S910" s="37"/>
    </row>
    <row r="911" ht="15.75" customHeight="1">
      <c r="S911" s="37"/>
    </row>
    <row r="912" ht="15.75" customHeight="1">
      <c r="S912" s="37"/>
    </row>
    <row r="913" ht="15.75" customHeight="1">
      <c r="S913" s="37"/>
    </row>
    <row r="914" ht="15.75" customHeight="1">
      <c r="S914" s="37"/>
    </row>
    <row r="915" ht="15.75" customHeight="1">
      <c r="S915" s="37"/>
    </row>
    <row r="916" ht="15.75" customHeight="1">
      <c r="S916" s="37"/>
    </row>
    <row r="917" ht="15.75" customHeight="1">
      <c r="S917" s="37"/>
    </row>
    <row r="918" ht="15.75" customHeight="1">
      <c r="S918" s="37"/>
    </row>
    <row r="919" ht="15.75" customHeight="1">
      <c r="S919" s="37"/>
    </row>
    <row r="920" ht="15.75" customHeight="1">
      <c r="S920" s="37"/>
    </row>
    <row r="921" ht="15.75" customHeight="1">
      <c r="S921" s="37"/>
    </row>
    <row r="922" ht="15.75" customHeight="1">
      <c r="S922" s="37"/>
    </row>
    <row r="923" ht="15.75" customHeight="1">
      <c r="S923" s="37"/>
    </row>
    <row r="924" ht="15.75" customHeight="1">
      <c r="S924" s="37"/>
    </row>
    <row r="925" ht="15.75" customHeight="1">
      <c r="S925" s="37"/>
    </row>
    <row r="926" ht="15.75" customHeight="1">
      <c r="S926" s="37"/>
    </row>
    <row r="927" ht="15.75" customHeight="1">
      <c r="S927" s="37"/>
    </row>
    <row r="928" ht="15.75" customHeight="1">
      <c r="S928" s="37"/>
    </row>
    <row r="929" ht="15.75" customHeight="1">
      <c r="S929" s="37"/>
    </row>
    <row r="930" ht="15.75" customHeight="1">
      <c r="S930" s="37"/>
    </row>
    <row r="931" ht="15.75" customHeight="1">
      <c r="S931" s="37"/>
    </row>
    <row r="932" ht="15.75" customHeight="1">
      <c r="S932" s="37"/>
    </row>
    <row r="933" ht="15.75" customHeight="1">
      <c r="S933" s="37"/>
    </row>
    <row r="934" ht="15.75" customHeight="1">
      <c r="S934" s="37"/>
    </row>
    <row r="935" ht="15.75" customHeight="1">
      <c r="S935" s="37"/>
    </row>
    <row r="936" ht="15.75" customHeight="1">
      <c r="S936" s="37"/>
    </row>
    <row r="937" ht="15.75" customHeight="1">
      <c r="S937" s="37"/>
    </row>
    <row r="938" ht="15.75" customHeight="1">
      <c r="S938" s="37"/>
    </row>
    <row r="939" ht="15.75" customHeight="1">
      <c r="S939" s="37"/>
    </row>
    <row r="940" ht="15.75" customHeight="1">
      <c r="S940" s="37"/>
    </row>
    <row r="941" ht="15.75" customHeight="1">
      <c r="S941" s="37"/>
    </row>
    <row r="942" ht="15.75" customHeight="1">
      <c r="S942" s="37"/>
    </row>
    <row r="943" ht="15.75" customHeight="1">
      <c r="S943" s="37"/>
    </row>
    <row r="944" ht="15.75" customHeight="1">
      <c r="S944" s="37"/>
    </row>
    <row r="945" ht="15.75" customHeight="1">
      <c r="S945" s="37"/>
    </row>
    <row r="946" ht="15.75" customHeight="1">
      <c r="S946" s="37"/>
    </row>
    <row r="947" ht="15.75" customHeight="1">
      <c r="S947" s="37"/>
    </row>
    <row r="948" ht="15.75" customHeight="1">
      <c r="S948" s="37"/>
    </row>
    <row r="949" ht="15.75" customHeight="1">
      <c r="S949" s="37"/>
    </row>
    <row r="950" ht="15.75" customHeight="1">
      <c r="S950" s="37"/>
    </row>
    <row r="951" ht="15.75" customHeight="1">
      <c r="S951" s="37"/>
    </row>
    <row r="952" ht="15.75" customHeight="1">
      <c r="S952" s="37"/>
    </row>
    <row r="953" ht="15.75" customHeight="1">
      <c r="S953" s="37"/>
    </row>
    <row r="954" ht="15.75" customHeight="1">
      <c r="S954" s="37"/>
    </row>
    <row r="955" ht="15.75" customHeight="1">
      <c r="S955" s="37"/>
    </row>
    <row r="956" ht="15.75" customHeight="1">
      <c r="S956" s="37"/>
    </row>
    <row r="957" ht="15.75" customHeight="1">
      <c r="S957" s="37"/>
    </row>
    <row r="958" ht="15.75" customHeight="1">
      <c r="S958" s="37"/>
    </row>
    <row r="959" ht="15.75" customHeight="1">
      <c r="S959" s="37"/>
    </row>
    <row r="960" ht="15.75" customHeight="1">
      <c r="S960" s="37"/>
    </row>
    <row r="961" ht="15.75" customHeight="1">
      <c r="S961" s="37"/>
    </row>
  </sheetData>
  <autoFilter ref="$A$1:$DH$16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17.88"/>
    <col customWidth="1" min="6" max="6" width="29.63"/>
    <col customWidth="1" min="8" max="8" width="29.25"/>
    <col customWidth="1" min="10" max="10" width="36.5"/>
  </cols>
  <sheetData>
    <row r="1">
      <c r="A1" s="38" t="s">
        <v>0</v>
      </c>
      <c r="B1" s="38" t="s">
        <v>1</v>
      </c>
      <c r="C1" s="38" t="s">
        <v>2</v>
      </c>
      <c r="D1" s="38" t="s">
        <v>5</v>
      </c>
      <c r="E1" s="39" t="s">
        <v>236</v>
      </c>
      <c r="F1" s="39" t="s">
        <v>237</v>
      </c>
      <c r="G1" s="39" t="s">
        <v>13</v>
      </c>
      <c r="H1" s="39" t="s">
        <v>238</v>
      </c>
      <c r="I1" s="39" t="s">
        <v>13</v>
      </c>
      <c r="J1" s="39" t="s">
        <v>239</v>
      </c>
      <c r="K1" s="39" t="s">
        <v>13</v>
      </c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>
      <c r="A2" s="41">
        <v>1424.0</v>
      </c>
      <c r="B2" s="42" t="s">
        <v>49</v>
      </c>
      <c r="C2" s="41" t="s">
        <v>240</v>
      </c>
      <c r="D2" s="43" t="s">
        <v>52</v>
      </c>
      <c r="E2" s="41" t="s">
        <v>241</v>
      </c>
      <c r="F2" s="44" t="s">
        <v>242</v>
      </c>
      <c r="G2" s="45" t="b">
        <v>1</v>
      </c>
      <c r="H2" s="41" t="s">
        <v>243</v>
      </c>
      <c r="I2" s="41" t="b">
        <v>0</v>
      </c>
      <c r="J2" s="44" t="s">
        <v>244</v>
      </c>
      <c r="K2" s="46" t="b">
        <v>0</v>
      </c>
    </row>
    <row r="3">
      <c r="A3" s="41">
        <v>1424.0</v>
      </c>
      <c r="B3" s="42" t="s">
        <v>49</v>
      </c>
      <c r="C3" s="41" t="s">
        <v>245</v>
      </c>
      <c r="D3" s="43" t="s">
        <v>52</v>
      </c>
      <c r="E3" s="41" t="s">
        <v>246</v>
      </c>
      <c r="F3" s="46" t="s">
        <v>247</v>
      </c>
      <c r="G3" s="45" t="b">
        <v>1</v>
      </c>
      <c r="H3" s="41" t="s">
        <v>248</v>
      </c>
      <c r="I3" s="41" t="b">
        <v>0</v>
      </c>
      <c r="J3" s="46" t="s">
        <v>249</v>
      </c>
      <c r="K3" s="46" t="b">
        <v>0</v>
      </c>
    </row>
    <row r="4">
      <c r="A4" s="41">
        <v>1424.0</v>
      </c>
      <c r="B4" s="42" t="s">
        <v>49</v>
      </c>
      <c r="C4" s="41" t="s">
        <v>250</v>
      </c>
      <c r="D4" s="43" t="s">
        <v>110</v>
      </c>
      <c r="E4" s="41" t="s">
        <v>251</v>
      </c>
      <c r="F4" s="46" t="s">
        <v>252</v>
      </c>
      <c r="G4" s="45" t="b">
        <v>1</v>
      </c>
      <c r="H4" s="41" t="s">
        <v>253</v>
      </c>
      <c r="I4" s="41" t="b">
        <v>0</v>
      </c>
      <c r="J4" s="46" t="s">
        <v>254</v>
      </c>
      <c r="K4" s="46" t="b">
        <v>0</v>
      </c>
    </row>
    <row r="5">
      <c r="A5" s="41">
        <v>1424.0</v>
      </c>
      <c r="B5" s="42" t="s">
        <v>49</v>
      </c>
      <c r="C5" s="41" t="s">
        <v>255</v>
      </c>
      <c r="D5" s="43" t="s">
        <v>110</v>
      </c>
      <c r="E5" s="41" t="s">
        <v>256</v>
      </c>
      <c r="F5" s="46" t="s">
        <v>257</v>
      </c>
      <c r="G5" s="45" t="b">
        <v>1</v>
      </c>
      <c r="H5" s="41" t="s">
        <v>258</v>
      </c>
      <c r="I5" s="41" t="b">
        <v>0</v>
      </c>
      <c r="J5" s="46" t="s">
        <v>259</v>
      </c>
      <c r="K5" s="46" t="b">
        <v>0</v>
      </c>
    </row>
    <row r="6">
      <c r="A6" s="41">
        <v>1424.0</v>
      </c>
      <c r="B6" s="42" t="s">
        <v>49</v>
      </c>
      <c r="C6" s="41" t="s">
        <v>260</v>
      </c>
      <c r="D6" s="43" t="s">
        <v>261</v>
      </c>
      <c r="E6" s="41" t="s">
        <v>262</v>
      </c>
      <c r="F6" s="46" t="s">
        <v>263</v>
      </c>
      <c r="G6" s="45" t="b">
        <v>1</v>
      </c>
      <c r="H6" s="41" t="s">
        <v>264</v>
      </c>
      <c r="I6" s="41" t="b">
        <v>0</v>
      </c>
      <c r="J6" s="46" t="s">
        <v>265</v>
      </c>
      <c r="K6" s="46" t="b">
        <v>0</v>
      </c>
    </row>
    <row r="7">
      <c r="A7" s="41">
        <v>1424.0</v>
      </c>
      <c r="B7" s="42" t="s">
        <v>49</v>
      </c>
      <c r="C7" s="41" t="s">
        <v>266</v>
      </c>
      <c r="D7" s="43" t="s">
        <v>261</v>
      </c>
      <c r="E7" s="41" t="s">
        <v>267</v>
      </c>
      <c r="F7" s="46" t="s">
        <v>268</v>
      </c>
      <c r="G7" s="45" t="b">
        <v>1</v>
      </c>
      <c r="H7" s="41" t="s">
        <v>269</v>
      </c>
      <c r="I7" s="41" t="b">
        <v>0</v>
      </c>
      <c r="J7" s="46" t="s">
        <v>270</v>
      </c>
      <c r="K7" s="46" t="b">
        <v>0</v>
      </c>
    </row>
    <row r="8">
      <c r="A8" s="41">
        <v>1424.0</v>
      </c>
      <c r="B8" s="42" t="s">
        <v>49</v>
      </c>
      <c r="C8" s="41" t="s">
        <v>271</v>
      </c>
      <c r="D8" s="43" t="s">
        <v>195</v>
      </c>
      <c r="E8" s="41" t="s">
        <v>272</v>
      </c>
      <c r="F8" s="46" t="s">
        <v>273</v>
      </c>
      <c r="G8" s="45" t="b">
        <v>1</v>
      </c>
      <c r="H8" s="41" t="s">
        <v>274</v>
      </c>
      <c r="I8" s="41" t="b">
        <v>0</v>
      </c>
      <c r="J8" s="46" t="s">
        <v>275</v>
      </c>
      <c r="K8" s="46" t="b">
        <v>0</v>
      </c>
    </row>
    <row r="9">
      <c r="A9" s="41">
        <v>1424.0</v>
      </c>
      <c r="B9" s="42" t="s">
        <v>49</v>
      </c>
      <c r="C9" s="41" t="s">
        <v>276</v>
      </c>
      <c r="D9" s="43" t="s">
        <v>195</v>
      </c>
      <c r="E9" s="41" t="s">
        <v>277</v>
      </c>
      <c r="F9" s="46" t="s">
        <v>278</v>
      </c>
      <c r="G9" s="45" t="b">
        <v>1</v>
      </c>
      <c r="H9" s="41" t="s">
        <v>279</v>
      </c>
      <c r="I9" s="41" t="b">
        <v>0</v>
      </c>
      <c r="J9" s="46" t="s">
        <v>280</v>
      </c>
      <c r="K9" s="46" t="b">
        <v>0</v>
      </c>
    </row>
    <row r="10">
      <c r="A10" s="41">
        <v>1424.0</v>
      </c>
      <c r="B10" s="42" t="s">
        <v>49</v>
      </c>
      <c r="C10" s="41" t="s">
        <v>281</v>
      </c>
      <c r="D10" s="43" t="s">
        <v>155</v>
      </c>
      <c r="E10" s="41" t="s">
        <v>282</v>
      </c>
      <c r="F10" s="46" t="s">
        <v>283</v>
      </c>
      <c r="G10" s="45" t="b">
        <v>1</v>
      </c>
      <c r="H10" s="41" t="s">
        <v>284</v>
      </c>
      <c r="I10" s="41" t="b">
        <v>0</v>
      </c>
      <c r="J10" s="46" t="s">
        <v>285</v>
      </c>
      <c r="K10" s="46" t="b">
        <v>0</v>
      </c>
    </row>
    <row r="11">
      <c r="A11" s="41">
        <v>1424.0</v>
      </c>
      <c r="B11" s="42" t="s">
        <v>49</v>
      </c>
      <c r="C11" s="41" t="s">
        <v>286</v>
      </c>
      <c r="D11" s="43" t="s">
        <v>155</v>
      </c>
      <c r="E11" s="41" t="s">
        <v>286</v>
      </c>
      <c r="F11" s="46" t="s">
        <v>287</v>
      </c>
      <c r="G11" s="45" t="b">
        <v>1</v>
      </c>
      <c r="H11" s="41" t="s">
        <v>288</v>
      </c>
      <c r="I11" s="41" t="b">
        <v>0</v>
      </c>
      <c r="J11" s="46" t="s">
        <v>289</v>
      </c>
      <c r="K11" s="46" t="b"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9.63"/>
    <col customWidth="1" min="3" max="3" width="14.75"/>
    <col customWidth="1" min="4" max="4" width="6.88"/>
    <col customWidth="1" min="5" max="5" width="9.0"/>
    <col customWidth="1" min="6" max="6" width="9.25"/>
    <col customWidth="1" min="7" max="7" width="30.13"/>
    <col customWidth="1" min="8" max="8" width="11.5"/>
    <col customWidth="1" min="9" max="9" width="39.0"/>
    <col customWidth="1" min="10" max="10" width="11.5"/>
    <col customWidth="1" min="11" max="11" width="9.0"/>
    <col customWidth="1" min="12" max="12" width="11.38"/>
    <col customWidth="1" min="13" max="13" width="39.13"/>
    <col customWidth="1" min="14" max="14" width="11.5"/>
    <col customWidth="1" min="15" max="15" width="9.0"/>
    <col customWidth="1" min="16" max="16" width="11.38"/>
    <col customWidth="1" min="17" max="17" width="33.25"/>
    <col customWidth="1" min="18" max="18" width="11.5"/>
    <col customWidth="1" min="19" max="19" width="9.0"/>
    <col customWidth="1" min="20" max="20" width="11.38"/>
    <col customWidth="1" min="21" max="21" width="22.63"/>
    <col customWidth="1" min="22" max="22" width="11.5"/>
    <col customWidth="1" min="23" max="23" width="9.0"/>
    <col customWidth="1" min="24" max="24" width="11.0"/>
    <col customWidth="1" min="25" max="25" width="26.0"/>
    <col customWidth="1" min="26" max="26" width="11.5"/>
    <col customWidth="1" min="27" max="27" width="9.0"/>
    <col customWidth="1" min="28" max="28" width="11.38"/>
    <col customWidth="1" min="29" max="29" width="23.63"/>
    <col customWidth="1" min="30" max="30" width="11.5"/>
    <col customWidth="1" min="31" max="31" width="9.0"/>
    <col customWidth="1" min="32" max="32" width="11.0"/>
    <col customWidth="1" min="33" max="33" width="31.75"/>
    <col customWidth="1" min="34" max="34" width="11.5"/>
    <col customWidth="1" min="35" max="35" width="9.0"/>
    <col customWidth="1" min="36" max="36" width="11.38"/>
    <col customWidth="1" min="37" max="37" width="20.5"/>
    <col customWidth="1" min="38" max="38" width="11.5"/>
    <col customWidth="1" min="39" max="39" width="9.0"/>
    <col customWidth="1" min="40" max="40" width="11.38"/>
    <col customWidth="1" min="41" max="41" width="21.5"/>
    <col customWidth="1" min="42" max="42" width="11.5"/>
    <col customWidth="1" min="43" max="43" width="9.0"/>
    <col customWidth="1" min="44" max="44" width="11.38"/>
    <col customWidth="1" min="45" max="45" width="26.63"/>
    <col customWidth="1" min="46" max="46" width="11.5"/>
    <col customWidth="1" min="47" max="47" width="9.0"/>
    <col customWidth="1" min="48" max="48" width="11.38"/>
    <col customWidth="1" min="49" max="49" width="21.75"/>
    <col customWidth="1" min="50" max="50" width="11.5"/>
    <col customWidth="1" min="51" max="57" width="26.5"/>
  </cols>
  <sheetData>
    <row r="1" ht="15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290</v>
      </c>
      <c r="H1" s="3" t="s">
        <v>7</v>
      </c>
      <c r="I1" s="3" t="s">
        <v>291</v>
      </c>
      <c r="J1" s="3" t="s">
        <v>13</v>
      </c>
      <c r="K1" s="3" t="s">
        <v>9</v>
      </c>
      <c r="L1" s="3" t="s">
        <v>10</v>
      </c>
      <c r="M1" s="3" t="s">
        <v>292</v>
      </c>
      <c r="N1" s="3" t="s">
        <v>7</v>
      </c>
      <c r="O1" s="3" t="s">
        <v>9</v>
      </c>
      <c r="P1" s="3" t="s">
        <v>10</v>
      </c>
      <c r="Q1" s="3" t="s">
        <v>293</v>
      </c>
      <c r="R1" s="3" t="s">
        <v>13</v>
      </c>
      <c r="S1" s="3" t="s">
        <v>9</v>
      </c>
      <c r="T1" s="3" t="s">
        <v>10</v>
      </c>
      <c r="U1" s="3" t="s">
        <v>294</v>
      </c>
      <c r="V1" s="3" t="s">
        <v>13</v>
      </c>
      <c r="W1" s="3" t="s">
        <v>295</v>
      </c>
      <c r="X1" s="3" t="s">
        <v>296</v>
      </c>
      <c r="Y1" s="3" t="s">
        <v>297</v>
      </c>
      <c r="Z1" s="3" t="s">
        <v>13</v>
      </c>
      <c r="AA1" s="3" t="s">
        <v>295</v>
      </c>
      <c r="AB1" s="3" t="s">
        <v>10</v>
      </c>
      <c r="AC1" s="3" t="s">
        <v>298</v>
      </c>
      <c r="AD1" s="3" t="s">
        <v>13</v>
      </c>
      <c r="AE1" s="3" t="s">
        <v>9</v>
      </c>
      <c r="AF1" s="3" t="s">
        <v>296</v>
      </c>
      <c r="AG1" s="3" t="s">
        <v>299</v>
      </c>
      <c r="AH1" s="3" t="s">
        <v>13</v>
      </c>
      <c r="AI1" s="3" t="s">
        <v>9</v>
      </c>
      <c r="AJ1" s="3" t="s">
        <v>10</v>
      </c>
      <c r="AK1" s="3" t="s">
        <v>300</v>
      </c>
      <c r="AL1" s="3" t="s">
        <v>13</v>
      </c>
      <c r="AM1" s="3" t="s">
        <v>9</v>
      </c>
      <c r="AN1" s="3" t="s">
        <v>10</v>
      </c>
      <c r="AO1" s="3" t="s">
        <v>301</v>
      </c>
      <c r="AP1" s="3" t="s">
        <v>13</v>
      </c>
      <c r="AQ1" s="3" t="s">
        <v>9</v>
      </c>
      <c r="AR1" s="3" t="s">
        <v>10</v>
      </c>
      <c r="AS1" s="3" t="s">
        <v>302</v>
      </c>
      <c r="AT1" s="3" t="s">
        <v>13</v>
      </c>
      <c r="AU1" s="3" t="s">
        <v>295</v>
      </c>
      <c r="AV1" s="3" t="s">
        <v>10</v>
      </c>
      <c r="AW1" s="47" t="s">
        <v>303</v>
      </c>
      <c r="AX1" s="47" t="s">
        <v>13</v>
      </c>
      <c r="AY1" s="48"/>
      <c r="AZ1" s="48"/>
      <c r="BA1" s="48"/>
      <c r="BB1" s="48"/>
      <c r="BC1" s="48"/>
      <c r="BD1" s="48"/>
      <c r="BE1" s="48"/>
    </row>
    <row r="2" ht="15.75" customHeight="1">
      <c r="A2" s="8">
        <v>1424.0</v>
      </c>
      <c r="B2" s="49" t="s">
        <v>304</v>
      </c>
      <c r="C2" s="10" t="str">
        <f t="shared" ref="C2:C11" si="1">CONCATENATE(D2,"_",F2)</f>
        <v>TK-01_BS VI HSD</v>
      </c>
      <c r="D2" s="11" t="s">
        <v>50</v>
      </c>
      <c r="E2" s="12" t="s">
        <v>51</v>
      </c>
      <c r="F2" s="11" t="s">
        <v>52</v>
      </c>
      <c r="G2" s="50" t="s">
        <v>305</v>
      </c>
      <c r="H2" s="51">
        <v>0.0</v>
      </c>
      <c r="I2" s="50" t="s">
        <v>306</v>
      </c>
      <c r="J2" s="51">
        <v>0.0</v>
      </c>
      <c r="K2" s="52" t="str">
        <f t="shared" ref="K2:K11" si="2">MID(I2,13,6)</f>
        <v>LSW-01</v>
      </c>
      <c r="L2" s="53" t="s">
        <v>60</v>
      </c>
      <c r="M2" s="50" t="s">
        <v>307</v>
      </c>
      <c r="N2" s="51">
        <v>0.0</v>
      </c>
      <c r="O2" s="52" t="str">
        <f t="shared" ref="O2:O6" si="3">MID(M2,13,6)</f>
        <v>RDR-01</v>
      </c>
      <c r="P2" s="53" t="s">
        <v>64</v>
      </c>
      <c r="Q2" s="23" t="s">
        <v>308</v>
      </c>
      <c r="R2" s="54">
        <v>0.0</v>
      </c>
      <c r="S2" s="52" t="str">
        <f t="shared" ref="S2:S11" si="4">MID(Q2,5,8)</f>
        <v>ROSOV-01</v>
      </c>
      <c r="T2" s="53" t="s">
        <v>68</v>
      </c>
      <c r="U2" s="20"/>
      <c r="V2" s="20"/>
      <c r="W2" s="20"/>
      <c r="X2" s="20"/>
      <c r="Y2" s="25" t="s">
        <v>309</v>
      </c>
      <c r="Z2" s="55">
        <v>0.0</v>
      </c>
      <c r="AA2" s="52" t="str">
        <f t="shared" ref="AA2:AA6" si="5">MID(Y2,5,8)</f>
        <v>ROSOV-02</v>
      </c>
      <c r="AB2" s="53" t="s">
        <v>72</v>
      </c>
      <c r="AC2" s="25" t="s">
        <v>310</v>
      </c>
      <c r="AD2" s="55">
        <v>0.0</v>
      </c>
      <c r="AE2" s="52" t="str">
        <f t="shared" ref="AE2:AE6" si="6">MID(AC2,5,8)</f>
        <v>ROSOV-03</v>
      </c>
      <c r="AF2" s="22" t="s">
        <v>76</v>
      </c>
      <c r="AG2" s="23" t="s">
        <v>311</v>
      </c>
      <c r="AH2" s="55">
        <v>0.0</v>
      </c>
      <c r="AI2" s="52" t="str">
        <f t="shared" ref="AI2:AI11" si="7">MID(AG2,5,7)</f>
        <v>MOV-001</v>
      </c>
      <c r="AJ2" s="53" t="s">
        <v>80</v>
      </c>
      <c r="AK2" s="20"/>
      <c r="AL2" s="20"/>
      <c r="AM2" s="20"/>
      <c r="AN2" s="20"/>
      <c r="AO2" s="25" t="s">
        <v>312</v>
      </c>
      <c r="AP2" s="55">
        <v>0.0</v>
      </c>
      <c r="AQ2" s="52" t="str">
        <f t="shared" ref="AQ2:AQ6" si="8">MID(AO2,5,7)</f>
        <v>MOV-003</v>
      </c>
      <c r="AR2" s="22" t="s">
        <v>85</v>
      </c>
      <c r="AS2" s="25" t="s">
        <v>313</v>
      </c>
      <c r="AT2" s="55">
        <v>0.0</v>
      </c>
      <c r="AU2" s="52" t="str">
        <f t="shared" ref="AU2:AU6" si="9">MID(AS2,5,7)</f>
        <v>MOV-002</v>
      </c>
      <c r="AV2" s="53" t="s">
        <v>83</v>
      </c>
      <c r="AW2" s="5"/>
      <c r="AX2" s="5"/>
    </row>
    <row r="3" ht="15.75" customHeight="1">
      <c r="A3" s="8">
        <v>1424.0</v>
      </c>
      <c r="B3" s="49" t="s">
        <v>304</v>
      </c>
      <c r="C3" s="10" t="str">
        <f t="shared" si="1"/>
        <v>TK-02_BS VI HSD</v>
      </c>
      <c r="D3" s="27" t="s">
        <v>87</v>
      </c>
      <c r="E3" s="28" t="s">
        <v>51</v>
      </c>
      <c r="F3" s="27" t="s">
        <v>52</v>
      </c>
      <c r="G3" s="50" t="s">
        <v>314</v>
      </c>
      <c r="H3" s="51">
        <v>0.0</v>
      </c>
      <c r="I3" s="50" t="s">
        <v>315</v>
      </c>
      <c r="J3" s="51">
        <v>0.0</v>
      </c>
      <c r="K3" s="52" t="str">
        <f t="shared" si="2"/>
        <v>LSW-02</v>
      </c>
      <c r="L3" s="53" t="s">
        <v>60</v>
      </c>
      <c r="M3" s="50" t="s">
        <v>316</v>
      </c>
      <c r="N3" s="51">
        <v>0.0</v>
      </c>
      <c r="O3" s="52" t="str">
        <f t="shared" si="3"/>
        <v>RDR-02</v>
      </c>
      <c r="P3" s="53" t="s">
        <v>64</v>
      </c>
      <c r="Q3" s="30" t="s">
        <v>317</v>
      </c>
      <c r="R3" s="56">
        <v>0.0</v>
      </c>
      <c r="S3" s="52" t="str">
        <f t="shared" si="4"/>
        <v>ROSOV-04</v>
      </c>
      <c r="T3" s="53" t="s">
        <v>68</v>
      </c>
      <c r="U3" s="36"/>
      <c r="V3" s="36"/>
      <c r="W3" s="36"/>
      <c r="X3" s="36"/>
      <c r="Y3" s="31" t="s">
        <v>318</v>
      </c>
      <c r="Z3" s="57">
        <v>0.0</v>
      </c>
      <c r="AA3" s="52" t="str">
        <f t="shared" si="5"/>
        <v>ROSOV-05</v>
      </c>
      <c r="AB3" s="53" t="s">
        <v>72</v>
      </c>
      <c r="AC3" s="31" t="s">
        <v>319</v>
      </c>
      <c r="AD3" s="57">
        <v>0.0</v>
      </c>
      <c r="AE3" s="52" t="str">
        <f t="shared" si="6"/>
        <v>ROSOV-06</v>
      </c>
      <c r="AF3" s="22" t="s">
        <v>76</v>
      </c>
      <c r="AG3" s="30" t="s">
        <v>320</v>
      </c>
      <c r="AH3" s="57">
        <v>0.0</v>
      </c>
      <c r="AI3" s="52" t="str">
        <f t="shared" si="7"/>
        <v>MOV-004</v>
      </c>
      <c r="AJ3" s="53" t="s">
        <v>80</v>
      </c>
      <c r="AK3" s="36"/>
      <c r="AL3" s="36"/>
      <c r="AM3" s="36"/>
      <c r="AN3" s="36"/>
      <c r="AO3" s="31" t="s">
        <v>321</v>
      </c>
      <c r="AP3" s="57">
        <v>0.0</v>
      </c>
      <c r="AQ3" s="52" t="str">
        <f t="shared" si="8"/>
        <v>MOV-006</v>
      </c>
      <c r="AR3" s="22" t="s">
        <v>85</v>
      </c>
      <c r="AS3" s="31" t="s">
        <v>322</v>
      </c>
      <c r="AT3" s="57">
        <v>0.0</v>
      </c>
      <c r="AU3" s="52" t="str">
        <f t="shared" si="9"/>
        <v>MOV-005</v>
      </c>
      <c r="AV3" s="53" t="s">
        <v>83</v>
      </c>
    </row>
    <row r="4" ht="15.75" customHeight="1">
      <c r="A4" s="8">
        <v>1424.0</v>
      </c>
      <c r="B4" s="49" t="s">
        <v>304</v>
      </c>
      <c r="C4" s="10" t="str">
        <f t="shared" si="1"/>
        <v>TK-03_BS VI MS</v>
      </c>
      <c r="D4" s="27" t="s">
        <v>109</v>
      </c>
      <c r="E4" s="28" t="s">
        <v>51</v>
      </c>
      <c r="F4" s="27" t="s">
        <v>110</v>
      </c>
      <c r="G4" s="50" t="s">
        <v>323</v>
      </c>
      <c r="H4" s="51">
        <v>0.0</v>
      </c>
      <c r="I4" s="50" t="s">
        <v>324</v>
      </c>
      <c r="J4" s="51">
        <v>0.0</v>
      </c>
      <c r="K4" s="52" t="str">
        <f t="shared" si="2"/>
        <v>LSW-03</v>
      </c>
      <c r="L4" s="53" t="s">
        <v>60</v>
      </c>
      <c r="M4" s="50" t="s">
        <v>325</v>
      </c>
      <c r="N4" s="51">
        <v>0.0</v>
      </c>
      <c r="O4" s="52" t="str">
        <f t="shared" si="3"/>
        <v>RDR-03</v>
      </c>
      <c r="P4" s="53" t="s">
        <v>64</v>
      </c>
      <c r="Q4" s="30" t="s">
        <v>326</v>
      </c>
      <c r="R4" s="56">
        <v>0.0</v>
      </c>
      <c r="S4" s="52" t="str">
        <f t="shared" si="4"/>
        <v>ROSOV-07</v>
      </c>
      <c r="T4" s="53" t="s">
        <v>68</v>
      </c>
      <c r="U4" s="37"/>
      <c r="V4" s="37"/>
      <c r="W4" s="37"/>
      <c r="X4" s="37"/>
      <c r="Y4" s="31" t="s">
        <v>327</v>
      </c>
      <c r="Z4" s="57">
        <v>0.0</v>
      </c>
      <c r="AA4" s="52" t="str">
        <f t="shared" si="5"/>
        <v>ROSOV-08</v>
      </c>
      <c r="AB4" s="53" t="s">
        <v>72</v>
      </c>
      <c r="AC4" s="31" t="s">
        <v>328</v>
      </c>
      <c r="AD4" s="57">
        <v>0.0</v>
      </c>
      <c r="AE4" s="52" t="str">
        <f t="shared" si="6"/>
        <v>ROSOV-09</v>
      </c>
      <c r="AF4" s="22" t="s">
        <v>76</v>
      </c>
      <c r="AG4" s="30" t="s">
        <v>329</v>
      </c>
      <c r="AH4" s="57">
        <v>0.0</v>
      </c>
      <c r="AI4" s="52" t="str">
        <f t="shared" si="7"/>
        <v>MOV-007</v>
      </c>
      <c r="AJ4" s="53" t="s">
        <v>80</v>
      </c>
      <c r="AK4" s="37"/>
      <c r="AL4" s="37"/>
      <c r="AM4" s="37"/>
      <c r="AN4" s="37"/>
      <c r="AO4" s="31" t="s">
        <v>330</v>
      </c>
      <c r="AP4" s="57">
        <v>0.0</v>
      </c>
      <c r="AQ4" s="52" t="str">
        <f t="shared" si="8"/>
        <v>MOV-009</v>
      </c>
      <c r="AR4" s="22" t="s">
        <v>85</v>
      </c>
      <c r="AS4" s="31" t="s">
        <v>331</v>
      </c>
      <c r="AT4" s="57">
        <v>0.0</v>
      </c>
      <c r="AU4" s="52" t="str">
        <f t="shared" si="9"/>
        <v>MOV-008</v>
      </c>
      <c r="AV4" s="53" t="s">
        <v>83</v>
      </c>
    </row>
    <row r="5" ht="15.75" customHeight="1">
      <c r="A5" s="8">
        <v>1424.0</v>
      </c>
      <c r="B5" s="49" t="s">
        <v>304</v>
      </c>
      <c r="C5" s="10" t="str">
        <f t="shared" si="1"/>
        <v>TK-04_BS VI MS</v>
      </c>
      <c r="D5" s="27" t="s">
        <v>132</v>
      </c>
      <c r="E5" s="28" t="s">
        <v>51</v>
      </c>
      <c r="F5" s="27" t="s">
        <v>110</v>
      </c>
      <c r="G5" s="50" t="s">
        <v>332</v>
      </c>
      <c r="H5" s="51">
        <v>0.0</v>
      </c>
      <c r="I5" s="50" t="s">
        <v>333</v>
      </c>
      <c r="J5" s="51">
        <v>0.0</v>
      </c>
      <c r="K5" s="52" t="str">
        <f t="shared" si="2"/>
        <v>LSW-04</v>
      </c>
      <c r="L5" s="53" t="s">
        <v>60</v>
      </c>
      <c r="M5" s="50" t="s">
        <v>334</v>
      </c>
      <c r="N5" s="51">
        <v>0.0</v>
      </c>
      <c r="O5" s="52" t="str">
        <f t="shared" si="3"/>
        <v>RDR-04</v>
      </c>
      <c r="P5" s="53" t="s">
        <v>64</v>
      </c>
      <c r="Q5" s="30" t="s">
        <v>335</v>
      </c>
      <c r="R5" s="56">
        <v>0.0</v>
      </c>
      <c r="S5" s="52" t="str">
        <f t="shared" si="4"/>
        <v>ROSOV-10</v>
      </c>
      <c r="T5" s="53" t="s">
        <v>68</v>
      </c>
      <c r="U5" s="37"/>
      <c r="V5" s="37"/>
      <c r="W5" s="37"/>
      <c r="X5" s="37"/>
      <c r="Y5" s="31" t="s">
        <v>336</v>
      </c>
      <c r="Z5" s="57">
        <v>0.0</v>
      </c>
      <c r="AA5" s="52" t="str">
        <f t="shared" si="5"/>
        <v>ROSOV-11</v>
      </c>
      <c r="AB5" s="53" t="s">
        <v>72</v>
      </c>
      <c r="AC5" s="31" t="s">
        <v>337</v>
      </c>
      <c r="AD5" s="57">
        <v>0.0</v>
      </c>
      <c r="AE5" s="52" t="str">
        <f t="shared" si="6"/>
        <v>ROSOV-12</v>
      </c>
      <c r="AF5" s="22" t="s">
        <v>76</v>
      </c>
      <c r="AG5" s="30" t="s">
        <v>338</v>
      </c>
      <c r="AH5" s="57">
        <v>0.0</v>
      </c>
      <c r="AI5" s="52" t="str">
        <f t="shared" si="7"/>
        <v>MOV-010</v>
      </c>
      <c r="AJ5" s="53" t="s">
        <v>80</v>
      </c>
      <c r="AK5" s="37"/>
      <c r="AL5" s="37"/>
      <c r="AM5" s="37"/>
      <c r="AN5" s="37"/>
      <c r="AO5" s="31" t="s">
        <v>339</v>
      </c>
      <c r="AP5" s="57">
        <v>0.0</v>
      </c>
      <c r="AQ5" s="52" t="str">
        <f t="shared" si="8"/>
        <v>MOV-012</v>
      </c>
      <c r="AR5" s="22" t="s">
        <v>85</v>
      </c>
      <c r="AS5" s="31" t="s">
        <v>340</v>
      </c>
      <c r="AT5" s="57">
        <v>0.0</v>
      </c>
      <c r="AU5" s="52" t="str">
        <f t="shared" si="9"/>
        <v>MOV-011</v>
      </c>
      <c r="AV5" s="53" t="s">
        <v>83</v>
      </c>
    </row>
    <row r="6" ht="15.75" customHeight="1">
      <c r="A6" s="8">
        <v>1424.0</v>
      </c>
      <c r="B6" s="49" t="s">
        <v>304</v>
      </c>
      <c r="C6" s="10" t="str">
        <f t="shared" si="1"/>
        <v>TK-05_ETHANOL</v>
      </c>
      <c r="D6" s="27" t="s">
        <v>154</v>
      </c>
      <c r="E6" s="28" t="s">
        <v>51</v>
      </c>
      <c r="F6" s="27" t="s">
        <v>155</v>
      </c>
      <c r="G6" s="50" t="s">
        <v>341</v>
      </c>
      <c r="H6" s="51">
        <v>0.0</v>
      </c>
      <c r="I6" s="50" t="s">
        <v>342</v>
      </c>
      <c r="J6" s="51">
        <v>0.0</v>
      </c>
      <c r="K6" s="52" t="str">
        <f t="shared" si="2"/>
        <v>LSW-05</v>
      </c>
      <c r="L6" s="53" t="s">
        <v>60</v>
      </c>
      <c r="M6" s="50" t="s">
        <v>343</v>
      </c>
      <c r="N6" s="51">
        <v>0.0</v>
      </c>
      <c r="O6" s="52" t="str">
        <f t="shared" si="3"/>
        <v>RDR-05</v>
      </c>
      <c r="P6" s="53" t="s">
        <v>64</v>
      </c>
      <c r="Q6" s="30" t="s">
        <v>344</v>
      </c>
      <c r="R6" s="56">
        <v>0.0</v>
      </c>
      <c r="S6" s="52" t="str">
        <f t="shared" si="4"/>
        <v>ROSOV-13</v>
      </c>
      <c r="T6" s="53" t="s">
        <v>68</v>
      </c>
      <c r="U6" s="37"/>
      <c r="V6" s="37"/>
      <c r="W6" s="37"/>
      <c r="X6" s="37"/>
      <c r="Y6" s="31" t="s">
        <v>345</v>
      </c>
      <c r="Z6" s="57">
        <v>0.0</v>
      </c>
      <c r="AA6" s="52" t="str">
        <f t="shared" si="5"/>
        <v>ROSOV-14</v>
      </c>
      <c r="AB6" s="53" t="s">
        <v>72</v>
      </c>
      <c r="AC6" s="31" t="s">
        <v>346</v>
      </c>
      <c r="AD6" s="57">
        <v>0.0</v>
      </c>
      <c r="AE6" s="52" t="str">
        <f t="shared" si="6"/>
        <v>ROSOV-15</v>
      </c>
      <c r="AF6" s="22" t="s">
        <v>76</v>
      </c>
      <c r="AG6" s="30" t="s">
        <v>347</v>
      </c>
      <c r="AH6" s="57">
        <v>0.0</v>
      </c>
      <c r="AI6" s="52" t="str">
        <f t="shared" si="7"/>
        <v>MOV-013</v>
      </c>
      <c r="AJ6" s="53" t="s">
        <v>80</v>
      </c>
      <c r="AK6" s="37"/>
      <c r="AL6" s="37"/>
      <c r="AM6" s="37"/>
      <c r="AN6" s="37"/>
      <c r="AO6" s="31" t="s">
        <v>348</v>
      </c>
      <c r="AP6" s="57">
        <v>0.0</v>
      </c>
      <c r="AQ6" s="52" t="str">
        <f t="shared" si="8"/>
        <v>MOV-015</v>
      </c>
      <c r="AR6" s="22" t="s">
        <v>85</v>
      </c>
      <c r="AS6" s="31" t="s">
        <v>349</v>
      </c>
      <c r="AT6" s="57">
        <v>0.0</v>
      </c>
      <c r="AU6" s="52" t="str">
        <f t="shared" si="9"/>
        <v>MOV-014</v>
      </c>
      <c r="AV6" s="53" t="s">
        <v>83</v>
      </c>
    </row>
    <row r="7" ht="15.75" customHeight="1">
      <c r="A7" s="8">
        <v>1424.0</v>
      </c>
      <c r="B7" s="49" t="s">
        <v>304</v>
      </c>
      <c r="C7" s="10" t="str">
        <f t="shared" si="1"/>
        <v>TK-06_WATER</v>
      </c>
      <c r="D7" s="27" t="s">
        <v>177</v>
      </c>
      <c r="E7" s="28" t="s">
        <v>51</v>
      </c>
      <c r="F7" s="27" t="s">
        <v>178</v>
      </c>
      <c r="G7" s="50" t="s">
        <v>350</v>
      </c>
      <c r="H7" s="51">
        <v>0.0</v>
      </c>
      <c r="I7" s="35"/>
      <c r="J7" s="35"/>
      <c r="K7" s="52" t="str">
        <f t="shared" si="2"/>
        <v/>
      </c>
      <c r="L7" s="35"/>
      <c r="M7" s="35"/>
      <c r="N7" s="35"/>
      <c r="O7" s="35"/>
      <c r="P7" s="35"/>
      <c r="Q7" s="37"/>
      <c r="R7" s="37"/>
      <c r="S7" s="52" t="str">
        <f t="shared" si="4"/>
        <v/>
      </c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52" t="str">
        <f t="shared" si="7"/>
        <v/>
      </c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</row>
    <row r="8" ht="15.75" customHeight="1">
      <c r="A8" s="8">
        <v>1424.0</v>
      </c>
      <c r="B8" s="49" t="s">
        <v>304</v>
      </c>
      <c r="C8" s="10" t="str">
        <f t="shared" si="1"/>
        <v>TK-07_WATER</v>
      </c>
      <c r="D8" s="27" t="s">
        <v>186</v>
      </c>
      <c r="E8" s="28" t="s">
        <v>51</v>
      </c>
      <c r="F8" s="27" t="s">
        <v>178</v>
      </c>
      <c r="G8" s="50" t="s">
        <v>351</v>
      </c>
      <c r="H8" s="51">
        <v>0.0</v>
      </c>
      <c r="I8" s="35"/>
      <c r="J8" s="35"/>
      <c r="K8" s="52" t="str">
        <f t="shared" si="2"/>
        <v/>
      </c>
      <c r="L8" s="35"/>
      <c r="M8" s="35"/>
      <c r="N8" s="35"/>
      <c r="O8" s="35"/>
      <c r="P8" s="35"/>
      <c r="Q8" s="37"/>
      <c r="R8" s="37"/>
      <c r="S8" s="52" t="str">
        <f t="shared" si="4"/>
        <v/>
      </c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52" t="str">
        <f t="shared" si="7"/>
        <v/>
      </c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</row>
    <row r="9" ht="15.75" customHeight="1">
      <c r="A9" s="8">
        <v>1424.0</v>
      </c>
      <c r="B9" s="49" t="s">
        <v>304</v>
      </c>
      <c r="C9" s="10" t="str">
        <f t="shared" si="1"/>
        <v>TK-08_FO</v>
      </c>
      <c r="D9" s="27" t="s">
        <v>194</v>
      </c>
      <c r="E9" s="28" t="s">
        <v>51</v>
      </c>
      <c r="F9" s="27" t="s">
        <v>195</v>
      </c>
      <c r="G9" s="50" t="s">
        <v>352</v>
      </c>
      <c r="H9" s="51">
        <v>0.0</v>
      </c>
      <c r="I9" s="35"/>
      <c r="J9" s="35"/>
      <c r="K9" s="52" t="str">
        <f t="shared" si="2"/>
        <v/>
      </c>
      <c r="L9" s="35"/>
      <c r="M9" s="35"/>
      <c r="N9" s="35"/>
      <c r="O9" s="35"/>
      <c r="P9" s="35"/>
      <c r="Q9" s="37"/>
      <c r="R9" s="37"/>
      <c r="S9" s="52" t="str">
        <f t="shared" si="4"/>
        <v/>
      </c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52" t="str">
        <f t="shared" si="7"/>
        <v/>
      </c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</row>
    <row r="10" ht="15.75" customHeight="1">
      <c r="A10" s="8">
        <v>1424.0</v>
      </c>
      <c r="B10" s="49" t="s">
        <v>304</v>
      </c>
      <c r="C10" s="10" t="str">
        <f t="shared" si="1"/>
        <v>TK-09_FO</v>
      </c>
      <c r="D10" s="27" t="s">
        <v>200</v>
      </c>
      <c r="E10" s="28" t="s">
        <v>51</v>
      </c>
      <c r="F10" s="27" t="s">
        <v>195</v>
      </c>
      <c r="G10" s="50" t="s">
        <v>353</v>
      </c>
      <c r="H10" s="51">
        <v>0.0</v>
      </c>
      <c r="I10" s="35"/>
      <c r="J10" s="35"/>
      <c r="K10" s="52" t="str">
        <f t="shared" si="2"/>
        <v/>
      </c>
      <c r="L10" s="35"/>
      <c r="M10" s="35"/>
      <c r="N10" s="35"/>
      <c r="O10" s="35"/>
      <c r="P10" s="35"/>
      <c r="Q10" s="37"/>
      <c r="R10" s="37"/>
      <c r="S10" s="52" t="str">
        <f t="shared" si="4"/>
        <v/>
      </c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52" t="str">
        <f t="shared" si="7"/>
        <v/>
      </c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</row>
    <row r="11" ht="15.75" customHeight="1">
      <c r="A11" s="8">
        <v>1424.0</v>
      </c>
      <c r="B11" s="49" t="s">
        <v>304</v>
      </c>
      <c r="C11" s="10" t="str">
        <f t="shared" si="1"/>
        <v>TK-15_ETHANOL</v>
      </c>
      <c r="D11" s="27" t="s">
        <v>231</v>
      </c>
      <c r="E11" s="34" t="s">
        <v>206</v>
      </c>
      <c r="F11" s="27" t="s">
        <v>155</v>
      </c>
      <c r="G11" s="50" t="s">
        <v>354</v>
      </c>
      <c r="H11" s="51">
        <v>0.0</v>
      </c>
      <c r="I11" s="35"/>
      <c r="J11" s="35"/>
      <c r="K11" s="52" t="str">
        <f t="shared" si="2"/>
        <v/>
      </c>
      <c r="L11" s="35"/>
      <c r="M11" s="35"/>
      <c r="N11" s="35"/>
      <c r="O11" s="35"/>
      <c r="P11" s="35"/>
      <c r="Q11" s="37"/>
      <c r="R11" s="37"/>
      <c r="S11" s="52" t="str">
        <f t="shared" si="4"/>
        <v/>
      </c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52" t="str">
        <f t="shared" si="7"/>
        <v/>
      </c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</row>
    <row r="12" ht="15.75" customHeight="1">
      <c r="G12" s="37"/>
      <c r="H12" s="37"/>
      <c r="I12" s="35"/>
      <c r="J12" s="35"/>
      <c r="K12" s="35"/>
      <c r="L12" s="35"/>
      <c r="M12" s="35"/>
      <c r="N12" s="35"/>
      <c r="O12" s="35"/>
      <c r="P12" s="35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</row>
    <row r="13" ht="15.75" customHeight="1">
      <c r="G13" s="37"/>
      <c r="H13" s="37"/>
      <c r="I13" s="35"/>
      <c r="J13" s="35"/>
      <c r="K13" s="35"/>
      <c r="L13" s="35"/>
      <c r="M13" s="35"/>
      <c r="N13" s="35"/>
      <c r="O13" s="35"/>
      <c r="P13" s="35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</row>
    <row r="14" ht="15.75" customHeight="1">
      <c r="G14" s="37"/>
      <c r="H14" s="37"/>
      <c r="I14" s="35"/>
      <c r="J14" s="35"/>
      <c r="K14" s="35"/>
      <c r="L14" s="35"/>
      <c r="M14" s="35"/>
      <c r="N14" s="35"/>
      <c r="O14" s="35"/>
      <c r="P14" s="35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</row>
    <row r="15" ht="15.75" customHeight="1">
      <c r="G15" s="37"/>
      <c r="H15" s="37"/>
      <c r="I15" s="35"/>
      <c r="J15" s="35"/>
      <c r="K15" s="35"/>
      <c r="L15" s="35"/>
      <c r="M15" s="35"/>
      <c r="N15" s="35"/>
      <c r="O15" s="35"/>
      <c r="P15" s="35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</row>
    <row r="16" ht="15.75" customHeight="1">
      <c r="G16" s="37"/>
      <c r="H16" s="37"/>
      <c r="I16" s="35"/>
      <c r="J16" s="35"/>
      <c r="K16" s="35"/>
      <c r="L16" s="35"/>
      <c r="M16" s="35"/>
      <c r="N16" s="35"/>
      <c r="O16" s="35"/>
      <c r="P16" s="35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</row>
    <row r="17" ht="15.75" customHeight="1">
      <c r="G17" s="37"/>
      <c r="H17" s="37"/>
      <c r="I17" s="35"/>
      <c r="J17" s="35"/>
      <c r="K17" s="35"/>
      <c r="L17" s="35"/>
      <c r="M17" s="35"/>
      <c r="N17" s="35"/>
      <c r="O17" s="35"/>
      <c r="P17" s="35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</row>
    <row r="18" ht="15.75" customHeight="1">
      <c r="G18" s="37"/>
      <c r="H18" s="37"/>
      <c r="I18" s="35"/>
      <c r="J18" s="35"/>
      <c r="K18" s="35"/>
      <c r="L18" s="35"/>
      <c r="M18" s="35"/>
      <c r="N18" s="35"/>
      <c r="O18" s="35"/>
      <c r="P18" s="35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</row>
    <row r="19" ht="15.75" customHeight="1">
      <c r="G19" s="37"/>
      <c r="H19" s="37"/>
      <c r="I19" s="35"/>
      <c r="J19" s="35"/>
      <c r="K19" s="35"/>
      <c r="L19" s="35"/>
      <c r="M19" s="35"/>
      <c r="N19" s="35"/>
      <c r="O19" s="35"/>
      <c r="P19" s="35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</row>
    <row r="20" ht="15.75" customHeight="1">
      <c r="G20" s="37"/>
      <c r="H20" s="37"/>
      <c r="I20" s="35"/>
      <c r="J20" s="35"/>
      <c r="K20" s="35"/>
      <c r="L20" s="35"/>
      <c r="M20" s="35"/>
      <c r="N20" s="35"/>
      <c r="O20" s="35"/>
      <c r="P20" s="35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</row>
    <row r="21" ht="15.75" customHeight="1">
      <c r="G21" s="37"/>
      <c r="H21" s="37"/>
      <c r="I21" s="35"/>
      <c r="J21" s="35"/>
      <c r="K21" s="35"/>
      <c r="L21" s="35"/>
      <c r="M21" s="35"/>
      <c r="N21" s="35"/>
      <c r="O21" s="35"/>
      <c r="P21" s="35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</row>
    <row r="22" ht="15.75" customHeight="1">
      <c r="G22" s="37"/>
      <c r="H22" s="37"/>
      <c r="I22" s="35"/>
      <c r="J22" s="35"/>
      <c r="K22" s="35"/>
      <c r="L22" s="35"/>
      <c r="M22" s="35"/>
      <c r="N22" s="35"/>
      <c r="O22" s="35"/>
      <c r="P22" s="35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</row>
    <row r="23" ht="15.75" customHeight="1">
      <c r="G23" s="37"/>
      <c r="H23" s="37"/>
      <c r="I23" s="35"/>
      <c r="J23" s="35"/>
      <c r="K23" s="35"/>
      <c r="L23" s="35"/>
      <c r="M23" s="35"/>
      <c r="N23" s="35"/>
      <c r="O23" s="35"/>
      <c r="P23" s="35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</row>
    <row r="24" ht="15.75" customHeight="1">
      <c r="G24" s="37"/>
      <c r="H24" s="37"/>
      <c r="I24" s="35"/>
      <c r="J24" s="35"/>
      <c r="K24" s="35"/>
      <c r="L24" s="35"/>
      <c r="M24" s="35"/>
      <c r="N24" s="35"/>
      <c r="O24" s="35"/>
      <c r="P24" s="35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</row>
    <row r="25" ht="15.75" customHeight="1">
      <c r="G25" s="37"/>
      <c r="H25" s="37"/>
      <c r="I25" s="35"/>
      <c r="J25" s="35"/>
      <c r="K25" s="35"/>
      <c r="L25" s="35"/>
      <c r="M25" s="35"/>
      <c r="N25" s="35"/>
      <c r="O25" s="35"/>
      <c r="P25" s="35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</row>
    <row r="26" ht="15.75" customHeight="1">
      <c r="G26" s="37"/>
      <c r="H26" s="37"/>
      <c r="I26" s="35"/>
      <c r="J26" s="35"/>
      <c r="K26" s="35"/>
      <c r="L26" s="35"/>
      <c r="M26" s="35"/>
      <c r="N26" s="35"/>
      <c r="O26" s="35"/>
      <c r="P26" s="35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</row>
    <row r="27" ht="15.75" customHeight="1">
      <c r="G27" s="37"/>
      <c r="H27" s="37"/>
      <c r="I27" s="35"/>
      <c r="J27" s="35"/>
      <c r="K27" s="35"/>
      <c r="L27" s="35"/>
      <c r="M27" s="35"/>
      <c r="N27" s="35"/>
      <c r="O27" s="35"/>
      <c r="P27" s="35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</row>
    <row r="28" ht="15.75" customHeight="1">
      <c r="G28" s="37"/>
      <c r="H28" s="37"/>
      <c r="I28" s="35"/>
      <c r="J28" s="35"/>
      <c r="K28" s="35"/>
      <c r="L28" s="35"/>
      <c r="M28" s="35"/>
      <c r="N28" s="35"/>
      <c r="O28" s="35"/>
      <c r="P28" s="35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</row>
    <row r="29" ht="15.75" customHeight="1">
      <c r="G29" s="37"/>
      <c r="H29" s="37"/>
      <c r="I29" s="35"/>
      <c r="J29" s="35"/>
      <c r="K29" s="35"/>
      <c r="L29" s="35"/>
      <c r="M29" s="35"/>
      <c r="N29" s="35"/>
      <c r="O29" s="35"/>
      <c r="P29" s="35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</row>
    <row r="30" ht="15.75" customHeight="1">
      <c r="G30" s="37"/>
      <c r="H30" s="37"/>
      <c r="I30" s="35"/>
      <c r="J30" s="35"/>
      <c r="K30" s="35"/>
      <c r="L30" s="35"/>
      <c r="M30" s="35"/>
      <c r="N30" s="35"/>
      <c r="O30" s="35"/>
      <c r="P30" s="35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</row>
    <row r="31" ht="15.75" customHeight="1">
      <c r="G31" s="37"/>
      <c r="H31" s="37"/>
      <c r="I31" s="35"/>
      <c r="J31" s="35"/>
      <c r="K31" s="35"/>
      <c r="L31" s="35"/>
      <c r="M31" s="35"/>
      <c r="N31" s="35"/>
      <c r="O31" s="35"/>
      <c r="P31" s="35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</row>
    <row r="32" ht="15.75" customHeight="1">
      <c r="G32" s="37"/>
      <c r="H32" s="37"/>
      <c r="I32" s="35"/>
      <c r="J32" s="35"/>
      <c r="K32" s="35"/>
      <c r="L32" s="35"/>
      <c r="M32" s="35"/>
      <c r="N32" s="35"/>
      <c r="O32" s="35"/>
      <c r="P32" s="35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</row>
    <row r="33" ht="15.75" customHeight="1">
      <c r="G33" s="37"/>
      <c r="H33" s="37"/>
      <c r="I33" s="35"/>
      <c r="J33" s="35"/>
      <c r="K33" s="35"/>
      <c r="L33" s="35"/>
      <c r="M33" s="35"/>
      <c r="N33" s="35"/>
      <c r="O33" s="35"/>
      <c r="P33" s="35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</row>
    <row r="34" ht="15.75" customHeight="1">
      <c r="G34" s="37"/>
      <c r="H34" s="37"/>
      <c r="I34" s="35"/>
      <c r="J34" s="35"/>
      <c r="K34" s="35"/>
      <c r="L34" s="35"/>
      <c r="M34" s="35"/>
      <c r="N34" s="35"/>
      <c r="O34" s="35"/>
      <c r="P34" s="35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</row>
    <row r="35" ht="15.75" customHeight="1">
      <c r="G35" s="37"/>
      <c r="H35" s="37"/>
      <c r="I35" s="35"/>
      <c r="J35" s="35"/>
      <c r="K35" s="35"/>
      <c r="L35" s="35"/>
      <c r="M35" s="35"/>
      <c r="N35" s="35"/>
      <c r="O35" s="35"/>
      <c r="P35" s="35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</row>
    <row r="36" ht="15.75" customHeight="1">
      <c r="G36" s="37"/>
      <c r="H36" s="37"/>
      <c r="I36" s="35"/>
      <c r="J36" s="35"/>
      <c r="K36" s="35"/>
      <c r="L36" s="35"/>
      <c r="M36" s="35"/>
      <c r="N36" s="35"/>
      <c r="O36" s="35"/>
      <c r="P36" s="35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</row>
    <row r="37" ht="15.75" customHeight="1">
      <c r="G37" s="37"/>
      <c r="H37" s="37"/>
      <c r="I37" s="35"/>
      <c r="J37" s="35"/>
      <c r="K37" s="35"/>
      <c r="L37" s="35"/>
      <c r="M37" s="35"/>
      <c r="N37" s="35"/>
      <c r="O37" s="35"/>
      <c r="P37" s="35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</row>
    <row r="38" ht="15.75" customHeight="1">
      <c r="G38" s="37"/>
      <c r="H38" s="37"/>
      <c r="I38" s="35"/>
      <c r="J38" s="35"/>
      <c r="K38" s="35"/>
      <c r="L38" s="35"/>
      <c r="M38" s="35"/>
      <c r="N38" s="35"/>
      <c r="O38" s="35"/>
      <c r="P38" s="35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</row>
    <row r="39" ht="15.75" customHeight="1">
      <c r="G39" s="37"/>
      <c r="H39" s="37"/>
      <c r="I39" s="35"/>
      <c r="J39" s="35"/>
      <c r="K39" s="35"/>
      <c r="L39" s="35"/>
      <c r="M39" s="35"/>
      <c r="N39" s="35"/>
      <c r="O39" s="35"/>
      <c r="P39" s="35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</row>
    <row r="40" ht="15.75" customHeight="1">
      <c r="G40" s="37"/>
      <c r="H40" s="37"/>
      <c r="I40" s="35"/>
      <c r="J40" s="35"/>
      <c r="K40" s="35"/>
      <c r="L40" s="35"/>
      <c r="M40" s="35"/>
      <c r="N40" s="35"/>
      <c r="O40" s="35"/>
      <c r="P40" s="35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</row>
    <row r="41" ht="15.75" customHeight="1">
      <c r="G41" s="37"/>
      <c r="H41" s="37"/>
      <c r="I41" s="35"/>
      <c r="J41" s="35"/>
      <c r="K41" s="35"/>
      <c r="L41" s="35"/>
      <c r="M41" s="35"/>
      <c r="N41" s="35"/>
      <c r="O41" s="35"/>
      <c r="P41" s="35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</row>
    <row r="42" ht="15.75" customHeight="1">
      <c r="G42" s="37"/>
      <c r="H42" s="37"/>
      <c r="I42" s="35"/>
      <c r="J42" s="35"/>
      <c r="K42" s="35"/>
      <c r="L42" s="35"/>
      <c r="M42" s="35"/>
      <c r="N42" s="35"/>
      <c r="O42" s="35"/>
      <c r="P42" s="35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</row>
    <row r="43" ht="15.75" customHeight="1">
      <c r="G43" s="37"/>
      <c r="H43" s="37"/>
      <c r="I43" s="35"/>
      <c r="J43" s="35"/>
      <c r="K43" s="35"/>
      <c r="L43" s="35"/>
      <c r="M43" s="35"/>
      <c r="N43" s="35"/>
      <c r="O43" s="35"/>
      <c r="P43" s="35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</row>
    <row r="44" ht="15.75" customHeight="1">
      <c r="G44" s="37"/>
      <c r="H44" s="37"/>
      <c r="I44" s="35"/>
      <c r="J44" s="35"/>
      <c r="K44" s="35"/>
      <c r="L44" s="35"/>
      <c r="M44" s="35"/>
      <c r="N44" s="35"/>
      <c r="O44" s="35"/>
      <c r="P44" s="35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</row>
    <row r="45" ht="15.75" customHeight="1">
      <c r="G45" s="37"/>
      <c r="H45" s="37"/>
      <c r="I45" s="35"/>
      <c r="J45" s="35"/>
      <c r="K45" s="35"/>
      <c r="L45" s="35"/>
      <c r="M45" s="35"/>
      <c r="N45" s="35"/>
      <c r="O45" s="35"/>
      <c r="P45" s="35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</row>
    <row r="46" ht="15.75" customHeight="1">
      <c r="G46" s="37"/>
      <c r="H46" s="37"/>
      <c r="I46" s="35"/>
      <c r="J46" s="35"/>
      <c r="K46" s="35"/>
      <c r="L46" s="35"/>
      <c r="M46" s="35"/>
      <c r="N46" s="35"/>
      <c r="O46" s="35"/>
      <c r="P46" s="35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</row>
    <row r="47" ht="15.75" customHeight="1">
      <c r="G47" s="37"/>
      <c r="H47" s="37"/>
      <c r="I47" s="35"/>
      <c r="J47" s="35"/>
      <c r="K47" s="35"/>
      <c r="L47" s="35"/>
      <c r="M47" s="35"/>
      <c r="N47" s="35"/>
      <c r="O47" s="35"/>
      <c r="P47" s="35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</row>
    <row r="48" ht="15.75" customHeight="1">
      <c r="G48" s="37"/>
      <c r="H48" s="37"/>
      <c r="I48" s="35"/>
      <c r="J48" s="35"/>
      <c r="K48" s="35"/>
      <c r="L48" s="35"/>
      <c r="M48" s="35"/>
      <c r="N48" s="35"/>
      <c r="O48" s="35"/>
      <c r="P48" s="35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</row>
    <row r="49" ht="15.75" customHeight="1">
      <c r="G49" s="37"/>
      <c r="H49" s="37"/>
      <c r="I49" s="35"/>
      <c r="J49" s="35"/>
      <c r="K49" s="35"/>
      <c r="L49" s="35"/>
      <c r="M49" s="35"/>
      <c r="N49" s="35"/>
      <c r="O49" s="35"/>
      <c r="P49" s="35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</row>
    <row r="50" ht="15.75" customHeight="1">
      <c r="G50" s="37"/>
      <c r="H50" s="37"/>
      <c r="I50" s="35"/>
      <c r="J50" s="35"/>
      <c r="K50" s="35"/>
      <c r="L50" s="35"/>
      <c r="M50" s="35"/>
      <c r="N50" s="35"/>
      <c r="O50" s="35"/>
      <c r="P50" s="35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</row>
    <row r="51" ht="15.75" customHeight="1">
      <c r="G51" s="37"/>
      <c r="H51" s="37"/>
      <c r="I51" s="35"/>
      <c r="J51" s="35"/>
      <c r="K51" s="35"/>
      <c r="L51" s="35"/>
      <c r="M51" s="35"/>
      <c r="N51" s="35"/>
      <c r="O51" s="35"/>
      <c r="P51" s="35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</row>
    <row r="52" ht="15.75" customHeight="1">
      <c r="G52" s="37"/>
      <c r="H52" s="37"/>
      <c r="I52" s="35"/>
      <c r="J52" s="35"/>
      <c r="K52" s="35"/>
      <c r="L52" s="35"/>
      <c r="M52" s="35"/>
      <c r="N52" s="35"/>
      <c r="O52" s="35"/>
      <c r="P52" s="35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</row>
    <row r="53" ht="15.75" customHeight="1">
      <c r="G53" s="37"/>
      <c r="H53" s="37"/>
      <c r="I53" s="35"/>
      <c r="J53" s="35"/>
      <c r="K53" s="35"/>
      <c r="L53" s="35"/>
      <c r="M53" s="35"/>
      <c r="N53" s="35"/>
      <c r="O53" s="35"/>
      <c r="P53" s="35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</row>
    <row r="54" ht="15.75" customHeight="1">
      <c r="G54" s="37"/>
      <c r="H54" s="37"/>
      <c r="I54" s="35"/>
      <c r="J54" s="35"/>
      <c r="K54" s="35"/>
      <c r="L54" s="35"/>
      <c r="M54" s="35"/>
      <c r="N54" s="35"/>
      <c r="O54" s="35"/>
      <c r="P54" s="35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</row>
    <row r="55" ht="15.75" customHeight="1">
      <c r="G55" s="37"/>
      <c r="H55" s="37"/>
      <c r="I55" s="35"/>
      <c r="J55" s="35"/>
      <c r="K55" s="35"/>
      <c r="L55" s="35"/>
      <c r="M55" s="35"/>
      <c r="N55" s="35"/>
      <c r="O55" s="35"/>
      <c r="P55" s="35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</row>
    <row r="56" ht="15.75" customHeight="1">
      <c r="G56" s="37"/>
      <c r="H56" s="37"/>
      <c r="I56" s="35"/>
      <c r="J56" s="35"/>
      <c r="K56" s="35"/>
      <c r="L56" s="35"/>
      <c r="M56" s="35"/>
      <c r="N56" s="35"/>
      <c r="O56" s="35"/>
      <c r="P56" s="35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</row>
    <row r="57" ht="15.75" customHeight="1">
      <c r="G57" s="37"/>
      <c r="H57" s="37"/>
      <c r="I57" s="35"/>
      <c r="J57" s="35"/>
      <c r="K57" s="35"/>
      <c r="L57" s="35"/>
      <c r="M57" s="35"/>
      <c r="N57" s="35"/>
      <c r="O57" s="35"/>
      <c r="P57" s="35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</row>
    <row r="58" ht="15.75" customHeight="1">
      <c r="G58" s="37"/>
      <c r="H58" s="37"/>
      <c r="I58" s="35"/>
      <c r="J58" s="35"/>
      <c r="K58" s="35"/>
      <c r="L58" s="35"/>
      <c r="M58" s="35"/>
      <c r="N58" s="35"/>
      <c r="O58" s="35"/>
      <c r="P58" s="35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</row>
    <row r="59" ht="15.75" customHeight="1">
      <c r="G59" s="37"/>
      <c r="H59" s="37"/>
      <c r="I59" s="35"/>
      <c r="J59" s="35"/>
      <c r="K59" s="35"/>
      <c r="L59" s="35"/>
      <c r="M59" s="35"/>
      <c r="N59" s="35"/>
      <c r="O59" s="35"/>
      <c r="P59" s="35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</row>
    <row r="60" ht="15.75" customHeight="1">
      <c r="G60" s="37"/>
      <c r="H60" s="37"/>
      <c r="I60" s="35"/>
      <c r="J60" s="35"/>
      <c r="K60" s="35"/>
      <c r="L60" s="35"/>
      <c r="M60" s="35"/>
      <c r="N60" s="35"/>
      <c r="O60" s="35"/>
      <c r="P60" s="35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</row>
    <row r="61" ht="15.75" customHeight="1">
      <c r="G61" s="37"/>
      <c r="H61" s="37"/>
      <c r="I61" s="35"/>
      <c r="J61" s="35"/>
      <c r="K61" s="35"/>
      <c r="L61" s="35"/>
      <c r="M61" s="35"/>
      <c r="N61" s="35"/>
      <c r="O61" s="35"/>
      <c r="P61" s="35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</row>
    <row r="62" ht="15.75" customHeight="1">
      <c r="G62" s="37"/>
      <c r="H62" s="37"/>
      <c r="I62" s="35"/>
      <c r="J62" s="35"/>
      <c r="K62" s="35"/>
      <c r="L62" s="35"/>
      <c r="M62" s="35"/>
      <c r="N62" s="35"/>
      <c r="O62" s="35"/>
      <c r="P62" s="35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</row>
    <row r="63" ht="15.75" customHeight="1">
      <c r="G63" s="37"/>
      <c r="H63" s="37"/>
      <c r="I63" s="35"/>
      <c r="J63" s="35"/>
      <c r="K63" s="35"/>
      <c r="L63" s="35"/>
      <c r="M63" s="35"/>
      <c r="N63" s="35"/>
      <c r="O63" s="35"/>
      <c r="P63" s="35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</row>
    <row r="64" ht="15.75" customHeight="1">
      <c r="G64" s="37"/>
      <c r="H64" s="37"/>
      <c r="I64" s="35"/>
      <c r="J64" s="35"/>
      <c r="K64" s="35"/>
      <c r="L64" s="35"/>
      <c r="M64" s="35"/>
      <c r="N64" s="35"/>
      <c r="O64" s="35"/>
      <c r="P64" s="35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</row>
    <row r="65" ht="15.75" customHeight="1">
      <c r="G65" s="37"/>
      <c r="H65" s="37"/>
      <c r="I65" s="35"/>
      <c r="J65" s="35"/>
      <c r="K65" s="35"/>
      <c r="L65" s="35"/>
      <c r="M65" s="35"/>
      <c r="N65" s="35"/>
      <c r="O65" s="35"/>
      <c r="P65" s="35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</row>
    <row r="66" ht="15.75" customHeight="1">
      <c r="G66" s="37"/>
      <c r="H66" s="37"/>
      <c r="I66" s="35"/>
      <c r="J66" s="35"/>
      <c r="K66" s="35"/>
      <c r="L66" s="35"/>
      <c r="M66" s="35"/>
      <c r="N66" s="35"/>
      <c r="O66" s="35"/>
      <c r="P66" s="35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</row>
    <row r="67" ht="15.75" customHeight="1">
      <c r="G67" s="37"/>
      <c r="H67" s="37"/>
      <c r="I67" s="35"/>
      <c r="J67" s="35"/>
      <c r="K67" s="35"/>
      <c r="L67" s="35"/>
      <c r="M67" s="35"/>
      <c r="N67" s="35"/>
      <c r="O67" s="35"/>
      <c r="P67" s="35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</row>
    <row r="68" ht="15.75" customHeight="1">
      <c r="G68" s="37"/>
      <c r="H68" s="37"/>
      <c r="I68" s="35"/>
      <c r="J68" s="35"/>
      <c r="K68" s="35"/>
      <c r="L68" s="35"/>
      <c r="M68" s="35"/>
      <c r="N68" s="35"/>
      <c r="O68" s="35"/>
      <c r="P68" s="35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</row>
    <row r="69" ht="15.75" customHeight="1">
      <c r="G69" s="37"/>
      <c r="H69" s="37"/>
      <c r="I69" s="35"/>
      <c r="J69" s="35"/>
      <c r="K69" s="35"/>
      <c r="L69" s="35"/>
      <c r="M69" s="35"/>
      <c r="N69" s="35"/>
      <c r="O69" s="35"/>
      <c r="P69" s="35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</row>
    <row r="70" ht="15.75" customHeight="1">
      <c r="G70" s="37"/>
      <c r="H70" s="37"/>
      <c r="I70" s="35"/>
      <c r="J70" s="35"/>
      <c r="K70" s="35"/>
      <c r="L70" s="35"/>
      <c r="M70" s="35"/>
      <c r="N70" s="35"/>
      <c r="O70" s="35"/>
      <c r="P70" s="35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</row>
    <row r="71" ht="15.75" customHeight="1">
      <c r="G71" s="37"/>
      <c r="H71" s="37"/>
      <c r="I71" s="35"/>
      <c r="J71" s="35"/>
      <c r="K71" s="35"/>
      <c r="L71" s="35"/>
      <c r="M71" s="35"/>
      <c r="N71" s="35"/>
      <c r="O71" s="35"/>
      <c r="P71" s="35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</row>
    <row r="72" ht="15.75" customHeight="1">
      <c r="G72" s="37"/>
      <c r="H72" s="37"/>
      <c r="I72" s="35"/>
      <c r="J72" s="35"/>
      <c r="K72" s="35"/>
      <c r="L72" s="35"/>
      <c r="M72" s="35"/>
      <c r="N72" s="35"/>
      <c r="O72" s="35"/>
      <c r="P72" s="35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</row>
    <row r="73" ht="15.75" customHeight="1">
      <c r="G73" s="37"/>
      <c r="H73" s="37"/>
      <c r="I73" s="35"/>
      <c r="J73" s="35"/>
      <c r="K73" s="35"/>
      <c r="L73" s="35"/>
      <c r="M73" s="35"/>
      <c r="N73" s="35"/>
      <c r="O73" s="35"/>
      <c r="P73" s="35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</row>
    <row r="74" ht="15.75" customHeight="1">
      <c r="G74" s="37"/>
      <c r="H74" s="37"/>
      <c r="I74" s="35"/>
      <c r="J74" s="35"/>
      <c r="K74" s="35"/>
      <c r="L74" s="35"/>
      <c r="M74" s="35"/>
      <c r="N74" s="35"/>
      <c r="O74" s="35"/>
      <c r="P74" s="35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</row>
    <row r="75" ht="15.75" customHeight="1">
      <c r="G75" s="37"/>
      <c r="H75" s="37"/>
      <c r="I75" s="35"/>
      <c r="J75" s="35"/>
      <c r="K75" s="35"/>
      <c r="L75" s="35"/>
      <c r="M75" s="35"/>
      <c r="N75" s="35"/>
      <c r="O75" s="35"/>
      <c r="P75" s="35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</row>
    <row r="76" ht="15.75" customHeight="1">
      <c r="G76" s="37"/>
      <c r="H76" s="37"/>
      <c r="I76" s="35"/>
      <c r="J76" s="35"/>
      <c r="K76" s="35"/>
      <c r="L76" s="35"/>
      <c r="M76" s="35"/>
      <c r="N76" s="35"/>
      <c r="O76" s="35"/>
      <c r="P76" s="35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  <c r="AU76" s="37"/>
      <c r="AV76" s="37"/>
    </row>
    <row r="77" ht="15.75" customHeight="1">
      <c r="G77" s="37"/>
      <c r="H77" s="37"/>
      <c r="I77" s="35"/>
      <c r="J77" s="35"/>
      <c r="K77" s="35"/>
      <c r="L77" s="35"/>
      <c r="M77" s="35"/>
      <c r="N77" s="35"/>
      <c r="O77" s="35"/>
      <c r="P77" s="35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</row>
    <row r="78" ht="15.75" customHeight="1">
      <c r="G78" s="37"/>
      <c r="H78" s="37"/>
      <c r="I78" s="35"/>
      <c r="J78" s="35"/>
      <c r="K78" s="35"/>
      <c r="L78" s="35"/>
      <c r="M78" s="35"/>
      <c r="N78" s="35"/>
      <c r="O78" s="35"/>
      <c r="P78" s="35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</row>
    <row r="79" ht="15.75" customHeight="1">
      <c r="G79" s="37"/>
      <c r="H79" s="37"/>
      <c r="I79" s="35"/>
      <c r="J79" s="35"/>
      <c r="K79" s="35"/>
      <c r="L79" s="35"/>
      <c r="M79" s="35"/>
      <c r="N79" s="35"/>
      <c r="O79" s="35"/>
      <c r="P79" s="35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</row>
    <row r="80" ht="15.75" customHeight="1">
      <c r="G80" s="37"/>
      <c r="H80" s="37"/>
      <c r="I80" s="35"/>
      <c r="J80" s="35"/>
      <c r="K80" s="35"/>
      <c r="L80" s="35"/>
      <c r="M80" s="35"/>
      <c r="N80" s="35"/>
      <c r="O80" s="35"/>
      <c r="P80" s="35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</row>
    <row r="81" ht="15.75" customHeight="1">
      <c r="G81" s="37"/>
      <c r="H81" s="37"/>
      <c r="I81" s="35"/>
      <c r="J81" s="35"/>
      <c r="K81" s="35"/>
      <c r="L81" s="35"/>
      <c r="M81" s="35"/>
      <c r="N81" s="35"/>
      <c r="O81" s="35"/>
      <c r="P81" s="35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</row>
    <row r="82" ht="15.75" customHeight="1">
      <c r="G82" s="37"/>
      <c r="H82" s="37"/>
      <c r="I82" s="35"/>
      <c r="J82" s="35"/>
      <c r="K82" s="35"/>
      <c r="L82" s="35"/>
      <c r="M82" s="35"/>
      <c r="N82" s="35"/>
      <c r="O82" s="35"/>
      <c r="P82" s="35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</row>
    <row r="83" ht="15.75" customHeight="1">
      <c r="G83" s="37"/>
      <c r="H83" s="37"/>
      <c r="I83" s="35"/>
      <c r="J83" s="35"/>
      <c r="K83" s="35"/>
      <c r="L83" s="35"/>
      <c r="M83" s="35"/>
      <c r="N83" s="35"/>
      <c r="O83" s="35"/>
      <c r="P83" s="35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</row>
    <row r="84" ht="15.75" customHeight="1">
      <c r="G84" s="37"/>
      <c r="H84" s="37"/>
      <c r="I84" s="35"/>
      <c r="J84" s="35"/>
      <c r="K84" s="35"/>
      <c r="L84" s="35"/>
      <c r="M84" s="35"/>
      <c r="N84" s="35"/>
      <c r="O84" s="35"/>
      <c r="P84" s="35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</row>
    <row r="85" ht="15.75" customHeight="1">
      <c r="G85" s="37"/>
      <c r="H85" s="37"/>
      <c r="I85" s="35"/>
      <c r="J85" s="35"/>
      <c r="K85" s="35"/>
      <c r="L85" s="35"/>
      <c r="M85" s="35"/>
      <c r="N85" s="35"/>
      <c r="O85" s="35"/>
      <c r="P85" s="35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</row>
    <row r="86" ht="15.75" customHeight="1">
      <c r="G86" s="37"/>
      <c r="H86" s="37"/>
      <c r="I86" s="35"/>
      <c r="J86" s="35"/>
      <c r="K86" s="35"/>
      <c r="L86" s="35"/>
      <c r="M86" s="35"/>
      <c r="N86" s="35"/>
      <c r="O86" s="35"/>
      <c r="P86" s="35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</row>
    <row r="87" ht="15.75" customHeight="1">
      <c r="G87" s="37"/>
      <c r="H87" s="37"/>
      <c r="I87" s="35"/>
      <c r="J87" s="35"/>
      <c r="K87" s="35"/>
      <c r="L87" s="35"/>
      <c r="M87" s="35"/>
      <c r="N87" s="35"/>
      <c r="O87" s="35"/>
      <c r="P87" s="35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</row>
    <row r="88" ht="15.75" customHeight="1">
      <c r="G88" s="37"/>
      <c r="H88" s="37"/>
      <c r="I88" s="35"/>
      <c r="J88" s="35"/>
      <c r="K88" s="35"/>
      <c r="L88" s="35"/>
      <c r="M88" s="35"/>
      <c r="N88" s="35"/>
      <c r="O88" s="35"/>
      <c r="P88" s="35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</row>
    <row r="89" ht="15.75" customHeight="1">
      <c r="G89" s="37"/>
      <c r="H89" s="37"/>
      <c r="I89" s="35"/>
      <c r="J89" s="35"/>
      <c r="K89" s="35"/>
      <c r="L89" s="35"/>
      <c r="M89" s="35"/>
      <c r="N89" s="35"/>
      <c r="O89" s="35"/>
      <c r="P89" s="35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</row>
    <row r="90" ht="15.75" customHeight="1">
      <c r="G90" s="37"/>
      <c r="H90" s="37"/>
      <c r="I90" s="35"/>
      <c r="J90" s="35"/>
      <c r="K90" s="35"/>
      <c r="L90" s="35"/>
      <c r="M90" s="35"/>
      <c r="N90" s="35"/>
      <c r="O90" s="35"/>
      <c r="P90" s="35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</row>
    <row r="91" ht="15.75" customHeight="1">
      <c r="G91" s="37"/>
      <c r="H91" s="37"/>
      <c r="I91" s="35"/>
      <c r="J91" s="35"/>
      <c r="K91" s="35"/>
      <c r="L91" s="35"/>
      <c r="M91" s="35"/>
      <c r="N91" s="35"/>
      <c r="O91" s="35"/>
      <c r="P91" s="35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</row>
    <row r="92" ht="15.75" customHeight="1">
      <c r="G92" s="37"/>
      <c r="H92" s="37"/>
      <c r="I92" s="35"/>
      <c r="J92" s="35"/>
      <c r="K92" s="35"/>
      <c r="L92" s="35"/>
      <c r="M92" s="35"/>
      <c r="N92" s="35"/>
      <c r="O92" s="35"/>
      <c r="P92" s="35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</row>
    <row r="93" ht="15.75" customHeight="1">
      <c r="G93" s="37"/>
      <c r="H93" s="37"/>
      <c r="I93" s="35"/>
      <c r="J93" s="35"/>
      <c r="K93" s="35"/>
      <c r="L93" s="35"/>
      <c r="M93" s="35"/>
      <c r="N93" s="35"/>
      <c r="O93" s="35"/>
      <c r="P93" s="35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</row>
    <row r="94" ht="15.75" customHeight="1">
      <c r="G94" s="37"/>
      <c r="H94" s="37"/>
      <c r="I94" s="35"/>
      <c r="J94" s="35"/>
      <c r="K94" s="35"/>
      <c r="L94" s="35"/>
      <c r="M94" s="35"/>
      <c r="N94" s="35"/>
      <c r="O94" s="35"/>
      <c r="P94" s="35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</row>
    <row r="95" ht="15.75" customHeight="1">
      <c r="G95" s="37"/>
      <c r="H95" s="37"/>
      <c r="I95" s="35"/>
      <c r="J95" s="35"/>
      <c r="K95" s="35"/>
      <c r="L95" s="35"/>
      <c r="M95" s="35"/>
      <c r="N95" s="35"/>
      <c r="O95" s="35"/>
      <c r="P95" s="35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</row>
    <row r="96" ht="15.75" customHeight="1">
      <c r="G96" s="37"/>
      <c r="H96" s="37"/>
      <c r="I96" s="35"/>
      <c r="J96" s="35"/>
      <c r="K96" s="35"/>
      <c r="L96" s="35"/>
      <c r="M96" s="35"/>
      <c r="N96" s="35"/>
      <c r="O96" s="35"/>
      <c r="P96" s="35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</row>
    <row r="97" ht="15.75" customHeight="1">
      <c r="G97" s="37"/>
      <c r="H97" s="37"/>
      <c r="I97" s="35"/>
      <c r="J97" s="35"/>
      <c r="K97" s="35"/>
      <c r="L97" s="35"/>
      <c r="M97" s="35"/>
      <c r="N97" s="35"/>
      <c r="O97" s="35"/>
      <c r="P97" s="35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  <c r="AU97" s="37"/>
      <c r="AV97" s="37"/>
    </row>
    <row r="98" ht="15.75" customHeight="1">
      <c r="G98" s="37"/>
      <c r="H98" s="37"/>
      <c r="I98" s="35"/>
      <c r="J98" s="35"/>
      <c r="K98" s="35"/>
      <c r="L98" s="35"/>
      <c r="M98" s="35"/>
      <c r="N98" s="35"/>
      <c r="O98" s="35"/>
      <c r="P98" s="35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37"/>
      <c r="AV98" s="37"/>
    </row>
    <row r="99" ht="15.75" customHeight="1">
      <c r="G99" s="37"/>
      <c r="H99" s="37"/>
      <c r="I99" s="35"/>
      <c r="J99" s="35"/>
      <c r="K99" s="35"/>
      <c r="L99" s="35"/>
      <c r="M99" s="35"/>
      <c r="N99" s="35"/>
      <c r="O99" s="35"/>
      <c r="P99" s="35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</row>
    <row r="100" ht="15.75" customHeight="1">
      <c r="G100" s="37"/>
      <c r="H100" s="37"/>
      <c r="I100" s="35"/>
      <c r="J100" s="35"/>
      <c r="K100" s="35"/>
      <c r="L100" s="35"/>
      <c r="M100" s="35"/>
      <c r="N100" s="35"/>
      <c r="O100" s="35"/>
      <c r="P100" s="35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</row>
    <row r="101" ht="15.75" customHeight="1">
      <c r="G101" s="37"/>
      <c r="H101" s="37"/>
      <c r="I101" s="35"/>
      <c r="J101" s="35"/>
      <c r="K101" s="35"/>
      <c r="L101" s="35"/>
      <c r="M101" s="35"/>
      <c r="N101" s="35"/>
      <c r="O101" s="35"/>
      <c r="P101" s="35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  <c r="AV101" s="37"/>
    </row>
    <row r="102" ht="15.75" customHeight="1">
      <c r="G102" s="37"/>
      <c r="H102" s="37"/>
      <c r="I102" s="35"/>
      <c r="J102" s="35"/>
      <c r="K102" s="35"/>
      <c r="L102" s="35"/>
      <c r="M102" s="35"/>
      <c r="N102" s="35"/>
      <c r="O102" s="35"/>
      <c r="P102" s="35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  <c r="AV102" s="37"/>
    </row>
    <row r="103" ht="15.75" customHeight="1">
      <c r="G103" s="37"/>
      <c r="H103" s="37"/>
      <c r="I103" s="35"/>
      <c r="J103" s="35"/>
      <c r="K103" s="35"/>
      <c r="L103" s="35"/>
      <c r="M103" s="35"/>
      <c r="N103" s="35"/>
      <c r="O103" s="35"/>
      <c r="P103" s="35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  <c r="AU103" s="37"/>
      <c r="AV103" s="37"/>
    </row>
    <row r="104" ht="15.75" customHeight="1">
      <c r="G104" s="37"/>
      <c r="H104" s="37"/>
      <c r="I104" s="35"/>
      <c r="J104" s="35"/>
      <c r="K104" s="35"/>
      <c r="L104" s="35"/>
      <c r="M104" s="35"/>
      <c r="N104" s="35"/>
      <c r="O104" s="35"/>
      <c r="P104" s="35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  <c r="AU104" s="37"/>
      <c r="AV104" s="37"/>
    </row>
    <row r="105" ht="15.75" customHeight="1">
      <c r="G105" s="37"/>
      <c r="H105" s="37"/>
      <c r="I105" s="35"/>
      <c r="J105" s="35"/>
      <c r="K105" s="35"/>
      <c r="L105" s="35"/>
      <c r="M105" s="35"/>
      <c r="N105" s="35"/>
      <c r="O105" s="35"/>
      <c r="P105" s="35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  <c r="AV105" s="37"/>
    </row>
    <row r="106" ht="15.75" customHeight="1">
      <c r="G106" s="37"/>
      <c r="H106" s="37"/>
      <c r="I106" s="35"/>
      <c r="J106" s="35"/>
      <c r="K106" s="35"/>
      <c r="L106" s="35"/>
      <c r="M106" s="35"/>
      <c r="N106" s="35"/>
      <c r="O106" s="35"/>
      <c r="P106" s="35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</row>
    <row r="107" ht="15.75" customHeight="1">
      <c r="G107" s="37"/>
      <c r="H107" s="37"/>
      <c r="I107" s="35"/>
      <c r="J107" s="35"/>
      <c r="K107" s="35"/>
      <c r="L107" s="35"/>
      <c r="M107" s="35"/>
      <c r="N107" s="35"/>
      <c r="O107" s="35"/>
      <c r="P107" s="35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  <c r="AV107" s="37"/>
    </row>
    <row r="108" ht="15.75" customHeight="1">
      <c r="G108" s="37"/>
      <c r="H108" s="37"/>
      <c r="I108" s="35"/>
      <c r="J108" s="35"/>
      <c r="K108" s="35"/>
      <c r="L108" s="35"/>
      <c r="M108" s="35"/>
      <c r="N108" s="35"/>
      <c r="O108" s="35"/>
      <c r="P108" s="35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  <c r="AV108" s="37"/>
    </row>
    <row r="109" ht="15.75" customHeight="1">
      <c r="G109" s="37"/>
      <c r="H109" s="37"/>
      <c r="I109" s="35"/>
      <c r="J109" s="35"/>
      <c r="K109" s="35"/>
      <c r="L109" s="35"/>
      <c r="M109" s="35"/>
      <c r="N109" s="35"/>
      <c r="O109" s="35"/>
      <c r="P109" s="35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  <c r="AU109" s="37"/>
      <c r="AV109" s="37"/>
    </row>
    <row r="110" ht="15.75" customHeight="1">
      <c r="G110" s="37"/>
      <c r="H110" s="37"/>
      <c r="I110" s="35"/>
      <c r="J110" s="35"/>
      <c r="K110" s="35"/>
      <c r="L110" s="35"/>
      <c r="M110" s="35"/>
      <c r="N110" s="35"/>
      <c r="O110" s="35"/>
      <c r="P110" s="35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  <c r="AV110" s="37"/>
    </row>
    <row r="111" ht="15.75" customHeight="1">
      <c r="G111" s="37"/>
      <c r="H111" s="37"/>
      <c r="I111" s="35"/>
      <c r="J111" s="35"/>
      <c r="K111" s="35"/>
      <c r="L111" s="35"/>
      <c r="M111" s="35"/>
      <c r="N111" s="35"/>
      <c r="O111" s="35"/>
      <c r="P111" s="35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  <c r="AU111" s="37"/>
      <c r="AV111" s="37"/>
    </row>
    <row r="112" ht="15.75" customHeight="1">
      <c r="G112" s="37"/>
      <c r="H112" s="37"/>
      <c r="I112" s="35"/>
      <c r="J112" s="35"/>
      <c r="K112" s="35"/>
      <c r="L112" s="35"/>
      <c r="M112" s="35"/>
      <c r="N112" s="35"/>
      <c r="O112" s="35"/>
      <c r="P112" s="35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  <c r="AV112" s="37"/>
    </row>
    <row r="113" ht="15.75" customHeight="1">
      <c r="G113" s="37"/>
      <c r="H113" s="37"/>
      <c r="I113" s="35"/>
      <c r="J113" s="35"/>
      <c r="K113" s="35"/>
      <c r="L113" s="35"/>
      <c r="M113" s="35"/>
      <c r="N113" s="35"/>
      <c r="O113" s="35"/>
      <c r="P113" s="35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</row>
    <row r="114" ht="15.75" customHeight="1">
      <c r="G114" s="37"/>
      <c r="H114" s="37"/>
      <c r="I114" s="35"/>
      <c r="J114" s="35"/>
      <c r="K114" s="35"/>
      <c r="L114" s="35"/>
      <c r="M114" s="35"/>
      <c r="N114" s="35"/>
      <c r="O114" s="35"/>
      <c r="P114" s="35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  <c r="AV114" s="37"/>
    </row>
    <row r="115" ht="15.75" customHeight="1">
      <c r="G115" s="37"/>
      <c r="H115" s="37"/>
      <c r="I115" s="35"/>
      <c r="J115" s="35"/>
      <c r="K115" s="35"/>
      <c r="L115" s="35"/>
      <c r="M115" s="35"/>
      <c r="N115" s="35"/>
      <c r="O115" s="35"/>
      <c r="P115" s="35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</row>
    <row r="116" ht="15.75" customHeight="1">
      <c r="G116" s="37"/>
      <c r="H116" s="37"/>
      <c r="I116" s="35"/>
      <c r="J116" s="35"/>
      <c r="K116" s="35"/>
      <c r="L116" s="35"/>
      <c r="M116" s="35"/>
      <c r="N116" s="35"/>
      <c r="O116" s="35"/>
      <c r="P116" s="35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  <c r="AU116" s="37"/>
      <c r="AV116" s="37"/>
    </row>
    <row r="117" ht="15.75" customHeight="1">
      <c r="G117" s="37"/>
      <c r="H117" s="37"/>
      <c r="I117" s="35"/>
      <c r="J117" s="35"/>
      <c r="K117" s="35"/>
      <c r="L117" s="35"/>
      <c r="M117" s="35"/>
      <c r="N117" s="35"/>
      <c r="O117" s="35"/>
      <c r="P117" s="35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</row>
    <row r="118" ht="15.75" customHeight="1">
      <c r="G118" s="37"/>
      <c r="H118" s="37"/>
      <c r="I118" s="35"/>
      <c r="J118" s="35"/>
      <c r="K118" s="35"/>
      <c r="L118" s="35"/>
      <c r="M118" s="35"/>
      <c r="N118" s="35"/>
      <c r="O118" s="35"/>
      <c r="P118" s="35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  <c r="AV118" s="37"/>
    </row>
    <row r="119" ht="15.75" customHeight="1">
      <c r="G119" s="37"/>
      <c r="H119" s="37"/>
      <c r="I119" s="35"/>
      <c r="J119" s="35"/>
      <c r="K119" s="35"/>
      <c r="L119" s="35"/>
      <c r="M119" s="35"/>
      <c r="N119" s="35"/>
      <c r="O119" s="35"/>
      <c r="P119" s="35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  <c r="AU119" s="37"/>
      <c r="AV119" s="37"/>
    </row>
    <row r="120" ht="15.75" customHeight="1">
      <c r="G120" s="37"/>
      <c r="H120" s="37"/>
      <c r="I120" s="35"/>
      <c r="J120" s="35"/>
      <c r="K120" s="35"/>
      <c r="L120" s="35"/>
      <c r="M120" s="35"/>
      <c r="N120" s="35"/>
      <c r="O120" s="35"/>
      <c r="P120" s="35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  <c r="AU120" s="37"/>
      <c r="AV120" s="37"/>
    </row>
    <row r="121" ht="15.75" customHeight="1">
      <c r="G121" s="37"/>
      <c r="H121" s="37"/>
      <c r="I121" s="35"/>
      <c r="J121" s="35"/>
      <c r="K121" s="35"/>
      <c r="L121" s="35"/>
      <c r="M121" s="35"/>
      <c r="N121" s="35"/>
      <c r="O121" s="35"/>
      <c r="P121" s="35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</row>
    <row r="122" ht="15.75" customHeight="1">
      <c r="G122" s="37"/>
      <c r="H122" s="37"/>
      <c r="I122" s="35"/>
      <c r="J122" s="35"/>
      <c r="K122" s="35"/>
      <c r="L122" s="35"/>
      <c r="M122" s="35"/>
      <c r="N122" s="35"/>
      <c r="O122" s="35"/>
      <c r="P122" s="35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</row>
    <row r="123" ht="15.75" customHeight="1">
      <c r="G123" s="37"/>
      <c r="H123" s="37"/>
      <c r="I123" s="35"/>
      <c r="J123" s="35"/>
      <c r="K123" s="35"/>
      <c r="L123" s="35"/>
      <c r="M123" s="35"/>
      <c r="N123" s="35"/>
      <c r="O123" s="35"/>
      <c r="P123" s="35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</row>
    <row r="124" ht="15.75" customHeight="1">
      <c r="G124" s="37"/>
      <c r="H124" s="37"/>
      <c r="I124" s="35"/>
      <c r="J124" s="35"/>
      <c r="K124" s="35"/>
      <c r="L124" s="35"/>
      <c r="M124" s="35"/>
      <c r="N124" s="35"/>
      <c r="O124" s="35"/>
      <c r="P124" s="35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</row>
    <row r="125" ht="15.75" customHeight="1">
      <c r="G125" s="37"/>
      <c r="H125" s="37"/>
      <c r="I125" s="35"/>
      <c r="J125" s="35"/>
      <c r="K125" s="35"/>
      <c r="L125" s="35"/>
      <c r="M125" s="35"/>
      <c r="N125" s="35"/>
      <c r="O125" s="35"/>
      <c r="P125" s="35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  <c r="AU125" s="37"/>
      <c r="AV125" s="37"/>
    </row>
    <row r="126" ht="15.75" customHeight="1">
      <c r="G126" s="37"/>
      <c r="H126" s="37"/>
      <c r="I126" s="35"/>
      <c r="J126" s="35"/>
      <c r="K126" s="35"/>
      <c r="L126" s="35"/>
      <c r="M126" s="35"/>
      <c r="N126" s="35"/>
      <c r="O126" s="35"/>
      <c r="P126" s="35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  <c r="AV126" s="37"/>
    </row>
    <row r="127" ht="15.75" customHeight="1">
      <c r="G127" s="37"/>
      <c r="H127" s="37"/>
      <c r="I127" s="35"/>
      <c r="J127" s="35"/>
      <c r="K127" s="35"/>
      <c r="L127" s="35"/>
      <c r="M127" s="35"/>
      <c r="N127" s="35"/>
      <c r="O127" s="35"/>
      <c r="P127" s="35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  <c r="AU127" s="37"/>
      <c r="AV127" s="37"/>
    </row>
    <row r="128" ht="15.75" customHeight="1">
      <c r="G128" s="37"/>
      <c r="H128" s="37"/>
      <c r="I128" s="35"/>
      <c r="J128" s="35"/>
      <c r="K128" s="35"/>
      <c r="L128" s="35"/>
      <c r="M128" s="35"/>
      <c r="N128" s="35"/>
      <c r="O128" s="35"/>
      <c r="P128" s="35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  <c r="AU128" s="37"/>
      <c r="AV128" s="37"/>
    </row>
    <row r="129" ht="15.75" customHeight="1">
      <c r="G129" s="37"/>
      <c r="H129" s="37"/>
      <c r="I129" s="35"/>
      <c r="J129" s="35"/>
      <c r="K129" s="35"/>
      <c r="L129" s="35"/>
      <c r="M129" s="35"/>
      <c r="N129" s="35"/>
      <c r="O129" s="35"/>
      <c r="P129" s="35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  <c r="AU129" s="37"/>
      <c r="AV129" s="37"/>
    </row>
    <row r="130" ht="15.75" customHeight="1">
      <c r="G130" s="37"/>
      <c r="H130" s="37"/>
      <c r="I130" s="35"/>
      <c r="J130" s="35"/>
      <c r="K130" s="35"/>
      <c r="L130" s="35"/>
      <c r="M130" s="35"/>
      <c r="N130" s="35"/>
      <c r="O130" s="35"/>
      <c r="P130" s="35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  <c r="AU130" s="37"/>
      <c r="AV130" s="37"/>
    </row>
    <row r="131" ht="15.75" customHeight="1">
      <c r="G131" s="37"/>
      <c r="H131" s="37"/>
      <c r="I131" s="35"/>
      <c r="J131" s="35"/>
      <c r="K131" s="35"/>
      <c r="L131" s="35"/>
      <c r="M131" s="35"/>
      <c r="N131" s="35"/>
      <c r="O131" s="35"/>
      <c r="P131" s="35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</row>
    <row r="132" ht="15.75" customHeight="1">
      <c r="G132" s="37"/>
      <c r="H132" s="37"/>
      <c r="I132" s="35"/>
      <c r="J132" s="35"/>
      <c r="K132" s="35"/>
      <c r="L132" s="35"/>
      <c r="M132" s="35"/>
      <c r="N132" s="35"/>
      <c r="O132" s="35"/>
      <c r="P132" s="35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  <c r="AU132" s="37"/>
      <c r="AV132" s="37"/>
    </row>
    <row r="133" ht="15.75" customHeight="1">
      <c r="G133" s="37"/>
      <c r="H133" s="37"/>
      <c r="I133" s="35"/>
      <c r="J133" s="35"/>
      <c r="K133" s="35"/>
      <c r="L133" s="35"/>
      <c r="M133" s="35"/>
      <c r="N133" s="35"/>
      <c r="O133" s="35"/>
      <c r="P133" s="35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  <c r="AU133" s="37"/>
      <c r="AV133" s="37"/>
    </row>
    <row r="134" ht="15.75" customHeight="1">
      <c r="G134" s="37"/>
      <c r="H134" s="37"/>
      <c r="I134" s="35"/>
      <c r="J134" s="35"/>
      <c r="K134" s="35"/>
      <c r="L134" s="35"/>
      <c r="M134" s="35"/>
      <c r="N134" s="35"/>
      <c r="O134" s="35"/>
      <c r="P134" s="35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  <c r="AU134" s="37"/>
      <c r="AV134" s="37"/>
    </row>
    <row r="135" ht="15.75" customHeight="1">
      <c r="G135" s="37"/>
      <c r="H135" s="37"/>
      <c r="I135" s="35"/>
      <c r="J135" s="35"/>
      <c r="K135" s="35"/>
      <c r="L135" s="35"/>
      <c r="M135" s="35"/>
      <c r="N135" s="35"/>
      <c r="O135" s="35"/>
      <c r="P135" s="35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  <c r="AU135" s="37"/>
      <c r="AV135" s="37"/>
    </row>
    <row r="136" ht="15.75" customHeight="1">
      <c r="G136" s="37"/>
      <c r="H136" s="37"/>
      <c r="I136" s="35"/>
      <c r="J136" s="35"/>
      <c r="K136" s="35"/>
      <c r="L136" s="35"/>
      <c r="M136" s="35"/>
      <c r="N136" s="35"/>
      <c r="O136" s="35"/>
      <c r="P136" s="35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  <c r="AU136" s="37"/>
      <c r="AV136" s="37"/>
    </row>
    <row r="137" ht="15.75" customHeight="1">
      <c r="G137" s="37"/>
      <c r="H137" s="37"/>
      <c r="I137" s="35"/>
      <c r="J137" s="35"/>
      <c r="K137" s="35"/>
      <c r="L137" s="35"/>
      <c r="M137" s="35"/>
      <c r="N137" s="35"/>
      <c r="O137" s="35"/>
      <c r="P137" s="35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  <c r="AU137" s="37"/>
      <c r="AV137" s="37"/>
    </row>
    <row r="138" ht="15.75" customHeight="1">
      <c r="G138" s="37"/>
      <c r="H138" s="37"/>
      <c r="I138" s="35"/>
      <c r="J138" s="35"/>
      <c r="K138" s="35"/>
      <c r="L138" s="35"/>
      <c r="M138" s="35"/>
      <c r="N138" s="35"/>
      <c r="O138" s="35"/>
      <c r="P138" s="35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  <c r="AU138" s="37"/>
      <c r="AV138" s="37"/>
    </row>
    <row r="139" ht="15.75" customHeight="1">
      <c r="G139" s="37"/>
      <c r="H139" s="37"/>
      <c r="I139" s="35"/>
      <c r="J139" s="35"/>
      <c r="K139" s="35"/>
      <c r="L139" s="35"/>
      <c r="M139" s="35"/>
      <c r="N139" s="35"/>
      <c r="O139" s="35"/>
      <c r="P139" s="35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  <c r="AU139" s="37"/>
      <c r="AV139" s="37"/>
    </row>
    <row r="140" ht="15.75" customHeight="1">
      <c r="G140" s="37"/>
      <c r="H140" s="37"/>
      <c r="I140" s="35"/>
      <c r="J140" s="35"/>
      <c r="K140" s="35"/>
      <c r="L140" s="35"/>
      <c r="M140" s="35"/>
      <c r="N140" s="35"/>
      <c r="O140" s="35"/>
      <c r="P140" s="35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  <c r="AS140" s="37"/>
      <c r="AT140" s="37"/>
      <c r="AU140" s="37"/>
      <c r="AV140" s="37"/>
    </row>
    <row r="141" ht="15.75" customHeight="1">
      <c r="G141" s="37"/>
      <c r="H141" s="37"/>
      <c r="I141" s="35"/>
      <c r="J141" s="35"/>
      <c r="K141" s="35"/>
      <c r="L141" s="35"/>
      <c r="M141" s="35"/>
      <c r="N141" s="35"/>
      <c r="O141" s="35"/>
      <c r="P141" s="35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  <c r="AU141" s="37"/>
      <c r="AV141" s="37"/>
    </row>
    <row r="142" ht="15.75" customHeight="1">
      <c r="G142" s="37"/>
      <c r="H142" s="37"/>
      <c r="I142" s="35"/>
      <c r="J142" s="35"/>
      <c r="K142" s="35"/>
      <c r="L142" s="35"/>
      <c r="M142" s="35"/>
      <c r="N142" s="35"/>
      <c r="O142" s="35"/>
      <c r="P142" s="35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  <c r="AU142" s="37"/>
      <c r="AV142" s="37"/>
    </row>
    <row r="143" ht="15.75" customHeight="1">
      <c r="G143" s="37"/>
      <c r="H143" s="37"/>
      <c r="I143" s="35"/>
      <c r="J143" s="35"/>
      <c r="K143" s="35"/>
      <c r="L143" s="35"/>
      <c r="M143" s="35"/>
      <c r="N143" s="35"/>
      <c r="O143" s="35"/>
      <c r="P143" s="35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  <c r="AU143" s="37"/>
      <c r="AV143" s="37"/>
    </row>
    <row r="144" ht="15.75" customHeight="1">
      <c r="G144" s="37"/>
      <c r="H144" s="37"/>
      <c r="I144" s="35"/>
      <c r="J144" s="35"/>
      <c r="K144" s="35"/>
      <c r="L144" s="35"/>
      <c r="M144" s="35"/>
      <c r="N144" s="35"/>
      <c r="O144" s="35"/>
      <c r="P144" s="35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  <c r="AU144" s="37"/>
      <c r="AV144" s="37"/>
    </row>
    <row r="145" ht="15.75" customHeight="1">
      <c r="G145" s="37"/>
      <c r="H145" s="37"/>
      <c r="I145" s="35"/>
      <c r="J145" s="35"/>
      <c r="K145" s="35"/>
      <c r="L145" s="35"/>
      <c r="M145" s="35"/>
      <c r="N145" s="35"/>
      <c r="O145" s="35"/>
      <c r="P145" s="35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  <c r="AU145" s="37"/>
      <c r="AV145" s="37"/>
    </row>
    <row r="146" ht="15.75" customHeight="1">
      <c r="G146" s="37"/>
      <c r="H146" s="37"/>
      <c r="I146" s="35"/>
      <c r="J146" s="35"/>
      <c r="K146" s="35"/>
      <c r="L146" s="35"/>
      <c r="M146" s="35"/>
      <c r="N146" s="35"/>
      <c r="O146" s="35"/>
      <c r="P146" s="35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  <c r="AU146" s="37"/>
      <c r="AV146" s="37"/>
    </row>
    <row r="147" ht="15.75" customHeight="1">
      <c r="G147" s="37"/>
      <c r="H147" s="37"/>
      <c r="I147" s="35"/>
      <c r="J147" s="35"/>
      <c r="K147" s="35"/>
      <c r="L147" s="35"/>
      <c r="M147" s="35"/>
      <c r="N147" s="35"/>
      <c r="O147" s="35"/>
      <c r="P147" s="35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  <c r="AU147" s="37"/>
      <c r="AV147" s="37"/>
    </row>
    <row r="148" ht="15.75" customHeight="1">
      <c r="G148" s="37"/>
      <c r="H148" s="37"/>
      <c r="I148" s="35"/>
      <c r="J148" s="35"/>
      <c r="K148" s="35"/>
      <c r="L148" s="35"/>
      <c r="M148" s="35"/>
      <c r="N148" s="35"/>
      <c r="O148" s="35"/>
      <c r="P148" s="35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  <c r="AU148" s="37"/>
      <c r="AV148" s="37"/>
    </row>
    <row r="149" ht="15.75" customHeight="1">
      <c r="G149" s="37"/>
      <c r="H149" s="37"/>
      <c r="I149" s="35"/>
      <c r="J149" s="35"/>
      <c r="K149" s="35"/>
      <c r="L149" s="35"/>
      <c r="M149" s="35"/>
      <c r="N149" s="35"/>
      <c r="O149" s="35"/>
      <c r="P149" s="35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  <c r="AU149" s="37"/>
      <c r="AV149" s="37"/>
    </row>
    <row r="150" ht="15.75" customHeight="1">
      <c r="G150" s="37"/>
      <c r="H150" s="37"/>
      <c r="I150" s="35"/>
      <c r="J150" s="35"/>
      <c r="K150" s="35"/>
      <c r="L150" s="35"/>
      <c r="M150" s="35"/>
      <c r="N150" s="35"/>
      <c r="O150" s="35"/>
      <c r="P150" s="35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  <c r="AS150" s="37"/>
      <c r="AT150" s="37"/>
      <c r="AU150" s="37"/>
      <c r="AV150" s="37"/>
    </row>
    <row r="151" ht="15.75" customHeight="1">
      <c r="G151" s="37"/>
      <c r="H151" s="37"/>
      <c r="I151" s="35"/>
      <c r="J151" s="35"/>
      <c r="K151" s="35"/>
      <c r="L151" s="35"/>
      <c r="M151" s="35"/>
      <c r="N151" s="35"/>
      <c r="O151" s="35"/>
      <c r="P151" s="35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  <c r="AS151" s="37"/>
      <c r="AT151" s="37"/>
      <c r="AU151" s="37"/>
      <c r="AV151" s="37"/>
    </row>
    <row r="152" ht="15.75" customHeight="1">
      <c r="G152" s="37"/>
      <c r="H152" s="37"/>
      <c r="I152" s="35"/>
      <c r="J152" s="35"/>
      <c r="K152" s="35"/>
      <c r="L152" s="35"/>
      <c r="M152" s="35"/>
      <c r="N152" s="35"/>
      <c r="O152" s="35"/>
      <c r="P152" s="35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  <c r="AR152" s="37"/>
      <c r="AS152" s="37"/>
      <c r="AT152" s="37"/>
      <c r="AU152" s="37"/>
      <c r="AV152" s="37"/>
    </row>
    <row r="153" ht="15.75" customHeight="1">
      <c r="G153" s="37"/>
      <c r="H153" s="37"/>
      <c r="I153" s="35"/>
      <c r="J153" s="35"/>
      <c r="K153" s="35"/>
      <c r="L153" s="35"/>
      <c r="M153" s="35"/>
      <c r="N153" s="35"/>
      <c r="O153" s="35"/>
      <c r="P153" s="35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37"/>
      <c r="AR153" s="37"/>
      <c r="AS153" s="37"/>
      <c r="AT153" s="37"/>
      <c r="AU153" s="37"/>
      <c r="AV153" s="37"/>
    </row>
    <row r="154" ht="15.75" customHeight="1">
      <c r="G154" s="37"/>
      <c r="H154" s="37"/>
      <c r="I154" s="35"/>
      <c r="J154" s="35"/>
      <c r="K154" s="35"/>
      <c r="L154" s="35"/>
      <c r="M154" s="35"/>
      <c r="N154" s="35"/>
      <c r="O154" s="35"/>
      <c r="P154" s="35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37"/>
      <c r="AR154" s="37"/>
      <c r="AS154" s="37"/>
      <c r="AT154" s="37"/>
      <c r="AU154" s="37"/>
      <c r="AV154" s="37"/>
    </row>
    <row r="155" ht="15.75" customHeight="1">
      <c r="G155" s="37"/>
      <c r="H155" s="37"/>
      <c r="I155" s="35"/>
      <c r="J155" s="35"/>
      <c r="K155" s="35"/>
      <c r="L155" s="35"/>
      <c r="M155" s="35"/>
      <c r="N155" s="35"/>
      <c r="O155" s="35"/>
      <c r="P155" s="35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37"/>
      <c r="AR155" s="37"/>
      <c r="AS155" s="37"/>
      <c r="AT155" s="37"/>
      <c r="AU155" s="37"/>
      <c r="AV155" s="37"/>
    </row>
    <row r="156" ht="15.75" customHeight="1">
      <c r="G156" s="37"/>
      <c r="H156" s="37"/>
      <c r="I156" s="35"/>
      <c r="J156" s="35"/>
      <c r="K156" s="35"/>
      <c r="L156" s="35"/>
      <c r="M156" s="35"/>
      <c r="N156" s="35"/>
      <c r="O156" s="35"/>
      <c r="P156" s="35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37"/>
      <c r="AR156" s="37"/>
      <c r="AS156" s="37"/>
      <c r="AT156" s="37"/>
      <c r="AU156" s="37"/>
      <c r="AV156" s="37"/>
    </row>
    <row r="157" ht="15.75" customHeight="1">
      <c r="G157" s="37"/>
      <c r="H157" s="37"/>
      <c r="I157" s="35"/>
      <c r="J157" s="35"/>
      <c r="K157" s="35"/>
      <c r="L157" s="35"/>
      <c r="M157" s="35"/>
      <c r="N157" s="35"/>
      <c r="O157" s="35"/>
      <c r="P157" s="35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  <c r="AR157" s="37"/>
      <c r="AS157" s="37"/>
      <c r="AT157" s="37"/>
      <c r="AU157" s="37"/>
      <c r="AV157" s="37"/>
    </row>
    <row r="158" ht="15.75" customHeight="1">
      <c r="G158" s="37"/>
      <c r="H158" s="37"/>
      <c r="I158" s="35"/>
      <c r="J158" s="35"/>
      <c r="K158" s="35"/>
      <c r="L158" s="35"/>
      <c r="M158" s="35"/>
      <c r="N158" s="35"/>
      <c r="O158" s="35"/>
      <c r="P158" s="35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  <c r="AQ158" s="37"/>
      <c r="AR158" s="37"/>
      <c r="AS158" s="37"/>
      <c r="AT158" s="37"/>
      <c r="AU158" s="37"/>
      <c r="AV158" s="37"/>
    </row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31.25"/>
    <col customWidth="1" min="5" max="5" width="17.38"/>
    <col customWidth="1" min="7" max="7" width="12.13"/>
    <col customWidth="1" min="8" max="8" width="19.13"/>
    <col customWidth="1" min="10" max="10" width="37.63"/>
    <col customWidth="1" min="12" max="12" width="36.88"/>
  </cols>
  <sheetData>
    <row r="1" ht="40.5" customHeight="1">
      <c r="A1" s="58" t="s">
        <v>0</v>
      </c>
      <c r="B1" s="58" t="s">
        <v>1</v>
      </c>
      <c r="C1" s="58" t="s">
        <v>2</v>
      </c>
      <c r="D1" s="58" t="s">
        <v>355</v>
      </c>
      <c r="E1" s="58" t="s">
        <v>356</v>
      </c>
      <c r="F1" s="58" t="s">
        <v>357</v>
      </c>
      <c r="G1" s="2" t="s">
        <v>358</v>
      </c>
      <c r="H1" s="59" t="s">
        <v>359</v>
      </c>
      <c r="I1" s="60" t="s">
        <v>360</v>
      </c>
      <c r="J1" s="59" t="s">
        <v>361</v>
      </c>
      <c r="K1" s="60" t="s">
        <v>362</v>
      </c>
      <c r="L1" s="61" t="s">
        <v>363</v>
      </c>
      <c r="M1" s="62" t="s">
        <v>13</v>
      </c>
    </row>
    <row r="2" ht="15.75" customHeight="1">
      <c r="A2" s="8">
        <v>1424.0</v>
      </c>
      <c r="B2" s="9" t="s">
        <v>49</v>
      </c>
      <c r="C2" s="10" t="str">
        <f t="shared" ref="C2:C37" si="1">CONCATENATE(D2,"_",E2,"_",G2)</f>
        <v>ADTV-PMP-01_POWERMS_DISPATCH</v>
      </c>
      <c r="D2" s="63" t="s">
        <v>364</v>
      </c>
      <c r="E2" s="63" t="s">
        <v>365</v>
      </c>
      <c r="F2" s="64" t="s">
        <v>366</v>
      </c>
      <c r="G2" s="15" t="s">
        <v>367</v>
      </c>
      <c r="H2" s="65" t="s">
        <v>368</v>
      </c>
      <c r="I2" s="14" t="s">
        <v>369</v>
      </c>
      <c r="J2" s="65" t="s">
        <v>370</v>
      </c>
      <c r="K2" s="66">
        <v>1.0</v>
      </c>
      <c r="L2" s="65" t="s">
        <v>371</v>
      </c>
      <c r="M2" s="55">
        <v>0.0</v>
      </c>
    </row>
    <row r="3" ht="15.75" customHeight="1">
      <c r="A3" s="8">
        <v>1424.0</v>
      </c>
      <c r="B3" s="9" t="s">
        <v>49</v>
      </c>
      <c r="C3" s="10" t="str">
        <f t="shared" si="1"/>
        <v>ADTV-PMP-02_POWERMS_DISPATCH</v>
      </c>
      <c r="D3" s="63" t="s">
        <v>372</v>
      </c>
      <c r="E3" s="63" t="s">
        <v>365</v>
      </c>
      <c r="F3" s="64" t="s">
        <v>366</v>
      </c>
      <c r="G3" s="15" t="s">
        <v>367</v>
      </c>
      <c r="H3" s="67" t="s">
        <v>373</v>
      </c>
      <c r="I3" s="14" t="s">
        <v>369</v>
      </c>
      <c r="J3" s="67" t="s">
        <v>374</v>
      </c>
      <c r="K3" s="66">
        <v>1.0</v>
      </c>
      <c r="L3" s="68" t="s">
        <v>375</v>
      </c>
      <c r="M3" s="57">
        <v>0.0</v>
      </c>
    </row>
    <row r="4" ht="15.75" customHeight="1">
      <c r="A4" s="8">
        <v>1424.0</v>
      </c>
      <c r="B4" s="9" t="s">
        <v>49</v>
      </c>
      <c r="C4" s="10" t="str">
        <f t="shared" si="1"/>
        <v>ADTV-PMP-03_TURBOHSD_DISPATCH</v>
      </c>
      <c r="D4" s="63" t="s">
        <v>376</v>
      </c>
      <c r="E4" s="63" t="s">
        <v>377</v>
      </c>
      <c r="F4" s="64" t="s">
        <v>366</v>
      </c>
      <c r="G4" s="15" t="s">
        <v>367</v>
      </c>
      <c r="H4" s="67" t="s">
        <v>378</v>
      </c>
      <c r="I4" s="14" t="s">
        <v>369</v>
      </c>
      <c r="J4" s="67" t="s">
        <v>379</v>
      </c>
      <c r="K4" s="66">
        <v>1.0</v>
      </c>
      <c r="L4" s="68" t="s">
        <v>380</v>
      </c>
      <c r="M4" s="57">
        <v>0.0</v>
      </c>
    </row>
    <row r="5" ht="15.75" customHeight="1">
      <c r="A5" s="8">
        <v>1424.0</v>
      </c>
      <c r="B5" s="9" t="s">
        <v>49</v>
      </c>
      <c r="C5" s="10" t="str">
        <f t="shared" si="1"/>
        <v>ADTV-PMP-04_TURBOHSD_DISPATCH</v>
      </c>
      <c r="D5" s="63" t="s">
        <v>381</v>
      </c>
      <c r="E5" s="63" t="s">
        <v>377</v>
      </c>
      <c r="F5" s="64" t="s">
        <v>366</v>
      </c>
      <c r="G5" s="15" t="s">
        <v>367</v>
      </c>
      <c r="H5" s="67" t="s">
        <v>382</v>
      </c>
      <c r="I5" s="14" t="s">
        <v>369</v>
      </c>
      <c r="J5" s="67" t="s">
        <v>383</v>
      </c>
      <c r="K5" s="66">
        <v>1.0</v>
      </c>
      <c r="L5" s="68" t="s">
        <v>384</v>
      </c>
      <c r="M5" s="57">
        <v>0.0</v>
      </c>
    </row>
    <row r="6" ht="15.75" customHeight="1">
      <c r="A6" s="8">
        <v>1424.0</v>
      </c>
      <c r="B6" s="9" t="s">
        <v>49</v>
      </c>
      <c r="C6" s="10" t="str">
        <f t="shared" si="1"/>
        <v>ADTV-PMP-05_BLUE DYE_DISPATCH</v>
      </c>
      <c r="D6" s="63" t="s">
        <v>385</v>
      </c>
      <c r="E6" s="63" t="s">
        <v>386</v>
      </c>
      <c r="F6" s="64" t="s">
        <v>366</v>
      </c>
      <c r="G6" s="15" t="s">
        <v>367</v>
      </c>
      <c r="H6" s="67" t="s">
        <v>387</v>
      </c>
      <c r="I6" s="14" t="s">
        <v>369</v>
      </c>
      <c r="J6" s="67" t="s">
        <v>388</v>
      </c>
      <c r="K6" s="66">
        <v>1.0</v>
      </c>
      <c r="L6" s="68" t="s">
        <v>389</v>
      </c>
      <c r="M6" s="57">
        <v>0.0</v>
      </c>
    </row>
    <row r="7" ht="15.75" customHeight="1">
      <c r="A7" s="8">
        <v>1424.0</v>
      </c>
      <c r="B7" s="9" t="s">
        <v>49</v>
      </c>
      <c r="C7" s="10" t="str">
        <f t="shared" si="1"/>
        <v>ADTV-PMP-06_BLUE DYE_DISPATCH</v>
      </c>
      <c r="D7" s="63" t="s">
        <v>390</v>
      </c>
      <c r="E7" s="63" t="s">
        <v>386</v>
      </c>
      <c r="F7" s="64" t="s">
        <v>366</v>
      </c>
      <c r="G7" s="15" t="s">
        <v>367</v>
      </c>
      <c r="H7" s="67" t="s">
        <v>391</v>
      </c>
      <c r="I7" s="14" t="s">
        <v>369</v>
      </c>
      <c r="J7" s="67" t="s">
        <v>392</v>
      </c>
      <c r="K7" s="66">
        <v>1.0</v>
      </c>
      <c r="L7" s="68" t="s">
        <v>393</v>
      </c>
      <c r="M7" s="57">
        <v>0.0</v>
      </c>
    </row>
    <row r="8" ht="15.75" customHeight="1">
      <c r="A8" s="8">
        <v>1424.0</v>
      </c>
      <c r="B8" s="9" t="s">
        <v>49</v>
      </c>
      <c r="C8" s="10" t="str">
        <f t="shared" si="1"/>
        <v>PMP-01_BS VI MS_DISPATCH</v>
      </c>
      <c r="D8" s="63" t="s">
        <v>394</v>
      </c>
      <c r="E8" s="63" t="s">
        <v>110</v>
      </c>
      <c r="F8" s="64" t="s">
        <v>366</v>
      </c>
      <c r="G8" s="15" t="s">
        <v>367</v>
      </c>
      <c r="H8" s="67" t="s">
        <v>395</v>
      </c>
      <c r="I8" s="14" t="s">
        <v>369</v>
      </c>
      <c r="J8" s="67" t="s">
        <v>396</v>
      </c>
      <c r="K8" s="66">
        <v>1.0</v>
      </c>
      <c r="L8" s="68" t="s">
        <v>397</v>
      </c>
      <c r="M8" s="57">
        <v>0.0</v>
      </c>
    </row>
    <row r="9" ht="15.75" customHeight="1">
      <c r="A9" s="8">
        <v>1424.0</v>
      </c>
      <c r="B9" s="9" t="s">
        <v>49</v>
      </c>
      <c r="C9" s="10" t="str">
        <f t="shared" si="1"/>
        <v>PMP-02_BS VI MS_DISPATCH</v>
      </c>
      <c r="D9" s="63" t="s">
        <v>398</v>
      </c>
      <c r="E9" s="63" t="s">
        <v>110</v>
      </c>
      <c r="F9" s="64" t="s">
        <v>366</v>
      </c>
      <c r="G9" s="15" t="s">
        <v>367</v>
      </c>
      <c r="H9" s="67" t="s">
        <v>399</v>
      </c>
      <c r="I9" s="14" t="s">
        <v>369</v>
      </c>
      <c r="J9" s="67" t="s">
        <v>400</v>
      </c>
      <c r="K9" s="66">
        <v>1.0</v>
      </c>
      <c r="L9" s="68" t="s">
        <v>401</v>
      </c>
      <c r="M9" s="57">
        <v>0.0</v>
      </c>
    </row>
    <row r="10" ht="15.75" customHeight="1">
      <c r="A10" s="8">
        <v>1424.0</v>
      </c>
      <c r="B10" s="9" t="s">
        <v>49</v>
      </c>
      <c r="C10" s="10" t="str">
        <f t="shared" si="1"/>
        <v>PMP-03_BS VI MS_DISPATCH</v>
      </c>
      <c r="D10" s="63" t="s">
        <v>402</v>
      </c>
      <c r="E10" s="63" t="s">
        <v>110</v>
      </c>
      <c r="F10" s="64" t="s">
        <v>366</v>
      </c>
      <c r="G10" s="15" t="s">
        <v>367</v>
      </c>
      <c r="H10" s="67" t="s">
        <v>403</v>
      </c>
      <c r="I10" s="14" t="s">
        <v>369</v>
      </c>
      <c r="J10" s="67" t="s">
        <v>404</v>
      </c>
      <c r="K10" s="66">
        <v>1.0</v>
      </c>
      <c r="L10" s="68" t="s">
        <v>405</v>
      </c>
      <c r="M10" s="57">
        <v>0.0</v>
      </c>
    </row>
    <row r="11" ht="15.75" customHeight="1">
      <c r="A11" s="8">
        <v>1424.0</v>
      </c>
      <c r="B11" s="9" t="s">
        <v>49</v>
      </c>
      <c r="C11" s="10" t="str">
        <f t="shared" si="1"/>
        <v>PMP-04_BS VI MS_DISPATCH</v>
      </c>
      <c r="D11" s="63" t="s">
        <v>406</v>
      </c>
      <c r="E11" s="63" t="s">
        <v>110</v>
      </c>
      <c r="F11" s="64" t="s">
        <v>366</v>
      </c>
      <c r="G11" s="15" t="s">
        <v>367</v>
      </c>
      <c r="H11" s="67" t="s">
        <v>407</v>
      </c>
      <c r="I11" s="14" t="s">
        <v>369</v>
      </c>
      <c r="J11" s="67" t="s">
        <v>408</v>
      </c>
      <c r="K11" s="66">
        <v>1.0</v>
      </c>
      <c r="L11" s="68" t="s">
        <v>409</v>
      </c>
      <c r="M11" s="57">
        <v>0.0</v>
      </c>
    </row>
    <row r="12" ht="15.75" customHeight="1">
      <c r="A12" s="8">
        <v>1424.0</v>
      </c>
      <c r="B12" s="9" t="s">
        <v>49</v>
      </c>
      <c r="C12" s="10" t="str">
        <f t="shared" si="1"/>
        <v>PMP-05_BS VI HSD_DISPATCH</v>
      </c>
      <c r="D12" s="63" t="s">
        <v>410</v>
      </c>
      <c r="E12" s="63" t="s">
        <v>52</v>
      </c>
      <c r="F12" s="64" t="s">
        <v>366</v>
      </c>
      <c r="G12" s="15" t="s">
        <v>367</v>
      </c>
      <c r="H12" s="67" t="s">
        <v>411</v>
      </c>
      <c r="I12" s="14" t="s">
        <v>369</v>
      </c>
      <c r="J12" s="67" t="s">
        <v>412</v>
      </c>
      <c r="K12" s="66">
        <v>1.0</v>
      </c>
      <c r="L12" s="68" t="s">
        <v>413</v>
      </c>
      <c r="M12" s="57">
        <v>0.0</v>
      </c>
    </row>
    <row r="13" ht="15.75" customHeight="1">
      <c r="A13" s="8">
        <v>1424.0</v>
      </c>
      <c r="B13" s="9" t="s">
        <v>49</v>
      </c>
      <c r="C13" s="10" t="str">
        <f t="shared" si="1"/>
        <v>PMP-06_BS VI HSD_DISPATCH</v>
      </c>
      <c r="D13" s="63" t="s">
        <v>414</v>
      </c>
      <c r="E13" s="63" t="s">
        <v>52</v>
      </c>
      <c r="F13" s="64" t="s">
        <v>366</v>
      </c>
      <c r="G13" s="15" t="s">
        <v>367</v>
      </c>
      <c r="H13" s="67" t="s">
        <v>415</v>
      </c>
      <c r="I13" s="14" t="s">
        <v>369</v>
      </c>
      <c r="J13" s="67" t="s">
        <v>416</v>
      </c>
      <c r="K13" s="66">
        <v>1.0</v>
      </c>
      <c r="L13" s="68" t="s">
        <v>417</v>
      </c>
      <c r="M13" s="57">
        <v>0.0</v>
      </c>
    </row>
    <row r="14" ht="15.75" customHeight="1">
      <c r="A14" s="8">
        <v>1424.0</v>
      </c>
      <c r="B14" s="9" t="s">
        <v>49</v>
      </c>
      <c r="C14" s="10" t="str">
        <f t="shared" si="1"/>
        <v>PMP-07_BS VI HSD_DISPATCH</v>
      </c>
      <c r="D14" s="63" t="s">
        <v>418</v>
      </c>
      <c r="E14" s="63" t="s">
        <v>52</v>
      </c>
      <c r="F14" s="64" t="s">
        <v>366</v>
      </c>
      <c r="G14" s="15" t="s">
        <v>367</v>
      </c>
      <c r="H14" s="67" t="s">
        <v>419</v>
      </c>
      <c r="I14" s="14" t="s">
        <v>369</v>
      </c>
      <c r="J14" s="67" t="s">
        <v>420</v>
      </c>
      <c r="K14" s="66">
        <v>1.0</v>
      </c>
      <c r="L14" s="68" t="s">
        <v>421</v>
      </c>
      <c r="M14" s="57">
        <v>0.0</v>
      </c>
    </row>
    <row r="15" ht="15.75" customHeight="1">
      <c r="A15" s="8">
        <v>1424.0</v>
      </c>
      <c r="B15" s="9" t="s">
        <v>49</v>
      </c>
      <c r="C15" s="10" t="str">
        <f t="shared" si="1"/>
        <v>PMP-08_BS VI HSD_DISPATCH</v>
      </c>
      <c r="D15" s="63" t="s">
        <v>422</v>
      </c>
      <c r="E15" s="63" t="s">
        <v>52</v>
      </c>
      <c r="F15" s="64" t="s">
        <v>366</v>
      </c>
      <c r="G15" s="15" t="s">
        <v>367</v>
      </c>
      <c r="H15" s="67" t="s">
        <v>423</v>
      </c>
      <c r="I15" s="14" t="s">
        <v>369</v>
      </c>
      <c r="J15" s="67" t="s">
        <v>424</v>
      </c>
      <c r="K15" s="66">
        <v>1.0</v>
      </c>
      <c r="L15" s="68" t="s">
        <v>425</v>
      </c>
      <c r="M15" s="57">
        <v>0.0</v>
      </c>
    </row>
    <row r="16" ht="15.75" customHeight="1">
      <c r="A16" s="8">
        <v>1424.0</v>
      </c>
      <c r="B16" s="9" t="s">
        <v>49</v>
      </c>
      <c r="C16" s="10" t="str">
        <f t="shared" si="1"/>
        <v>PMP-09_BS VI HSD_DISPATCH</v>
      </c>
      <c r="D16" s="63" t="s">
        <v>426</v>
      </c>
      <c r="E16" s="63" t="s">
        <v>52</v>
      </c>
      <c r="F16" s="64" t="s">
        <v>366</v>
      </c>
      <c r="G16" s="15" t="s">
        <v>367</v>
      </c>
      <c r="H16" s="67" t="s">
        <v>427</v>
      </c>
      <c r="I16" s="14" t="s">
        <v>369</v>
      </c>
      <c r="J16" s="67" t="s">
        <v>428</v>
      </c>
      <c r="K16" s="66">
        <v>1.0</v>
      </c>
      <c r="L16" s="68" t="s">
        <v>429</v>
      </c>
      <c r="M16" s="57">
        <v>0.0</v>
      </c>
    </row>
    <row r="17" ht="15.75" customHeight="1">
      <c r="A17" s="8">
        <v>1424.0</v>
      </c>
      <c r="B17" s="9" t="s">
        <v>49</v>
      </c>
      <c r="C17" s="10" t="str">
        <f t="shared" si="1"/>
        <v>PMP-11_ETHANOL_DISPATCH</v>
      </c>
      <c r="D17" s="63" t="s">
        <v>430</v>
      </c>
      <c r="E17" s="63" t="s">
        <v>155</v>
      </c>
      <c r="F17" s="64" t="s">
        <v>366</v>
      </c>
      <c r="G17" s="15" t="s">
        <v>367</v>
      </c>
      <c r="H17" s="67" t="s">
        <v>431</v>
      </c>
      <c r="I17" s="14" t="s">
        <v>369</v>
      </c>
      <c r="J17" s="67" t="s">
        <v>432</v>
      </c>
      <c r="K17" s="66">
        <v>1.0</v>
      </c>
      <c r="L17" s="68" t="s">
        <v>433</v>
      </c>
      <c r="M17" s="57">
        <v>0.0</v>
      </c>
    </row>
    <row r="18" ht="15.75" customHeight="1">
      <c r="A18" s="8">
        <v>1424.0</v>
      </c>
      <c r="B18" s="9" t="s">
        <v>49</v>
      </c>
      <c r="C18" s="10" t="str">
        <f t="shared" si="1"/>
        <v>PMP-12_ETHANOL_DISPATCH</v>
      </c>
      <c r="D18" s="63" t="s">
        <v>434</v>
      </c>
      <c r="E18" s="63" t="s">
        <v>155</v>
      </c>
      <c r="F18" s="64" t="s">
        <v>366</v>
      </c>
      <c r="G18" s="15" t="s">
        <v>367</v>
      </c>
      <c r="H18" s="67" t="s">
        <v>435</v>
      </c>
      <c r="I18" s="14" t="s">
        <v>369</v>
      </c>
      <c r="J18" s="67" t="s">
        <v>436</v>
      </c>
      <c r="K18" s="66">
        <v>1.0</v>
      </c>
      <c r="L18" s="68" t="s">
        <v>437</v>
      </c>
      <c r="M18" s="57">
        <v>0.0</v>
      </c>
    </row>
    <row r="19" ht="15.75" customHeight="1">
      <c r="A19" s="8">
        <v>1424.0</v>
      </c>
      <c r="B19" s="9" t="s">
        <v>49</v>
      </c>
      <c r="C19" s="10" t="str">
        <f t="shared" si="1"/>
        <v>PMP-14_FO_DISPATCH</v>
      </c>
      <c r="D19" s="63" t="s">
        <v>438</v>
      </c>
      <c r="E19" s="63" t="s">
        <v>195</v>
      </c>
      <c r="F19" s="64" t="s">
        <v>366</v>
      </c>
      <c r="G19" s="15" t="s">
        <v>367</v>
      </c>
      <c r="H19" s="67" t="s">
        <v>439</v>
      </c>
      <c r="I19" s="14" t="s">
        <v>369</v>
      </c>
      <c r="J19" s="67" t="s">
        <v>440</v>
      </c>
      <c r="K19" s="66">
        <v>1.0</v>
      </c>
      <c r="L19" s="68" t="s">
        <v>441</v>
      </c>
      <c r="M19" s="57">
        <v>0.0</v>
      </c>
    </row>
    <row r="20" ht="15.75" customHeight="1">
      <c r="A20" s="8">
        <v>1424.0</v>
      </c>
      <c r="B20" s="9" t="s">
        <v>49</v>
      </c>
      <c r="C20" s="10" t="str">
        <f t="shared" si="1"/>
        <v>PMP-15_FO_DISPATCH</v>
      </c>
      <c r="D20" s="63" t="s">
        <v>442</v>
      </c>
      <c r="E20" s="63" t="s">
        <v>195</v>
      </c>
      <c r="F20" s="64" t="s">
        <v>366</v>
      </c>
      <c r="G20" s="15" t="s">
        <v>367</v>
      </c>
      <c r="H20" s="67" t="s">
        <v>443</v>
      </c>
      <c r="I20" s="14" t="s">
        <v>369</v>
      </c>
      <c r="J20" s="67" t="s">
        <v>444</v>
      </c>
      <c r="K20" s="66">
        <v>1.0</v>
      </c>
      <c r="L20" s="68" t="s">
        <v>445</v>
      </c>
      <c r="M20" s="57">
        <v>0.0</v>
      </c>
    </row>
    <row r="21" ht="15.75" customHeight="1">
      <c r="A21" s="8">
        <v>1424.0</v>
      </c>
      <c r="B21" s="9" t="s">
        <v>49</v>
      </c>
      <c r="C21" s="10" t="str">
        <f t="shared" si="1"/>
        <v>PMP-16_ETHANOL_DISPATCH</v>
      </c>
      <c r="D21" s="63" t="s">
        <v>446</v>
      </c>
      <c r="E21" s="63" t="s">
        <v>155</v>
      </c>
      <c r="F21" s="64" t="s">
        <v>366</v>
      </c>
      <c r="G21" s="15" t="s">
        <v>367</v>
      </c>
      <c r="H21" s="67" t="s">
        <v>447</v>
      </c>
      <c r="I21" s="14" t="s">
        <v>369</v>
      </c>
      <c r="J21" s="67" t="s">
        <v>448</v>
      </c>
      <c r="K21" s="66">
        <v>1.0</v>
      </c>
      <c r="L21" s="68" t="s">
        <v>449</v>
      </c>
      <c r="M21" s="57">
        <v>0.0</v>
      </c>
    </row>
    <row r="22" ht="15.75" customHeight="1">
      <c r="A22" s="8">
        <v>1424.0</v>
      </c>
      <c r="B22" s="9" t="s">
        <v>49</v>
      </c>
      <c r="C22" s="10" t="str">
        <f t="shared" si="1"/>
        <v>PMP-17_ETHANOL_DISPATCH</v>
      </c>
      <c r="D22" s="63" t="s">
        <v>450</v>
      </c>
      <c r="E22" s="63" t="s">
        <v>155</v>
      </c>
      <c r="F22" s="64" t="s">
        <v>366</v>
      </c>
      <c r="G22" s="15" t="s">
        <v>367</v>
      </c>
      <c r="H22" s="67" t="s">
        <v>451</v>
      </c>
      <c r="I22" s="14" t="s">
        <v>369</v>
      </c>
      <c r="J22" s="67" t="s">
        <v>452</v>
      </c>
      <c r="K22" s="66">
        <v>1.0</v>
      </c>
      <c r="L22" s="68" t="s">
        <v>453</v>
      </c>
      <c r="M22" s="57">
        <v>0.0</v>
      </c>
    </row>
    <row r="23" ht="15.75" customHeight="1">
      <c r="A23" s="8">
        <v>1424.0</v>
      </c>
      <c r="B23" s="9" t="s">
        <v>49</v>
      </c>
      <c r="C23" s="10" t="str">
        <f t="shared" si="1"/>
        <v>PMP-18_FO_RECEIPT</v>
      </c>
      <c r="D23" s="63" t="s">
        <v>454</v>
      </c>
      <c r="E23" s="63" t="s">
        <v>195</v>
      </c>
      <c r="F23" s="64" t="s">
        <v>455</v>
      </c>
      <c r="G23" s="15" t="s">
        <v>456</v>
      </c>
      <c r="H23" s="67" t="s">
        <v>457</v>
      </c>
      <c r="I23" s="14" t="s">
        <v>369</v>
      </c>
      <c r="J23" s="67" t="s">
        <v>458</v>
      </c>
      <c r="K23" s="66">
        <v>1.0</v>
      </c>
      <c r="L23" s="68" t="s">
        <v>459</v>
      </c>
      <c r="M23" s="57">
        <v>0.0</v>
      </c>
    </row>
    <row r="24" ht="15.75" customHeight="1">
      <c r="A24" s="8">
        <v>1424.0</v>
      </c>
      <c r="B24" s="9" t="s">
        <v>49</v>
      </c>
      <c r="C24" s="10" t="str">
        <f t="shared" si="1"/>
        <v>PMP-19_FO_RECEIPT</v>
      </c>
      <c r="D24" s="63" t="s">
        <v>460</v>
      </c>
      <c r="E24" s="63" t="s">
        <v>195</v>
      </c>
      <c r="F24" s="64" t="s">
        <v>455</v>
      </c>
      <c r="G24" s="15" t="s">
        <v>456</v>
      </c>
      <c r="H24" s="67" t="s">
        <v>461</v>
      </c>
      <c r="I24" s="14" t="s">
        <v>369</v>
      </c>
      <c r="J24" s="67" t="s">
        <v>462</v>
      </c>
      <c r="K24" s="66">
        <v>1.0</v>
      </c>
      <c r="L24" s="68" t="s">
        <v>463</v>
      </c>
      <c r="M24" s="57">
        <v>0.0</v>
      </c>
    </row>
    <row r="25" ht="15.75" customHeight="1">
      <c r="A25" s="8">
        <v>1424.0</v>
      </c>
      <c r="B25" s="9" t="s">
        <v>49</v>
      </c>
      <c r="C25" s="10" t="str">
        <f t="shared" si="1"/>
        <v>PMP-20_FO_RECEIPT</v>
      </c>
      <c r="D25" s="63" t="s">
        <v>464</v>
      </c>
      <c r="E25" s="63" t="s">
        <v>195</v>
      </c>
      <c r="F25" s="64" t="s">
        <v>455</v>
      </c>
      <c r="G25" s="15" t="s">
        <v>456</v>
      </c>
      <c r="H25" s="67" t="s">
        <v>465</v>
      </c>
      <c r="I25" s="14" t="s">
        <v>369</v>
      </c>
      <c r="J25" s="67" t="s">
        <v>466</v>
      </c>
      <c r="K25" s="66">
        <v>1.0</v>
      </c>
      <c r="L25" s="68" t="s">
        <v>467</v>
      </c>
      <c r="M25" s="57">
        <v>0.0</v>
      </c>
    </row>
    <row r="26" ht="15.75" customHeight="1">
      <c r="A26" s="8">
        <v>1424.0</v>
      </c>
      <c r="B26" s="9" t="s">
        <v>49</v>
      </c>
      <c r="C26" s="10" t="str">
        <f t="shared" si="1"/>
        <v>PMP-21_BS VI HSD_RECEIPT</v>
      </c>
      <c r="D26" s="63" t="s">
        <v>468</v>
      </c>
      <c r="E26" s="63" t="s">
        <v>52</v>
      </c>
      <c r="F26" s="64" t="s">
        <v>455</v>
      </c>
      <c r="G26" s="15" t="s">
        <v>456</v>
      </c>
      <c r="H26" s="67" t="s">
        <v>469</v>
      </c>
      <c r="I26" s="14" t="s">
        <v>369</v>
      </c>
      <c r="J26" s="67" t="s">
        <v>470</v>
      </c>
      <c r="K26" s="66">
        <v>1.0</v>
      </c>
      <c r="L26" s="68" t="s">
        <v>471</v>
      </c>
      <c r="M26" s="57">
        <v>0.0</v>
      </c>
    </row>
    <row r="27" ht="15.75" customHeight="1">
      <c r="A27" s="8">
        <v>1424.0</v>
      </c>
      <c r="B27" s="9" t="s">
        <v>49</v>
      </c>
      <c r="C27" s="10" t="str">
        <f t="shared" si="1"/>
        <v>PMP-22_BS VI HSD_RECEIPT</v>
      </c>
      <c r="D27" s="63" t="s">
        <v>472</v>
      </c>
      <c r="E27" s="63" t="s">
        <v>52</v>
      </c>
      <c r="F27" s="64" t="s">
        <v>455</v>
      </c>
      <c r="G27" s="15" t="s">
        <v>456</v>
      </c>
      <c r="H27" s="67" t="s">
        <v>473</v>
      </c>
      <c r="I27" s="14" t="s">
        <v>369</v>
      </c>
      <c r="J27" s="67" t="s">
        <v>474</v>
      </c>
      <c r="K27" s="66">
        <v>1.0</v>
      </c>
      <c r="L27" s="68" t="s">
        <v>475</v>
      </c>
      <c r="M27" s="57">
        <v>0.0</v>
      </c>
    </row>
    <row r="28" ht="15.75" customHeight="1">
      <c r="A28" s="8">
        <v>1424.0</v>
      </c>
      <c r="B28" s="9" t="s">
        <v>49</v>
      </c>
      <c r="C28" s="10" t="str">
        <f t="shared" si="1"/>
        <v>PMP-23_ETHANOL_RECEIPT</v>
      </c>
      <c r="D28" s="63" t="s">
        <v>476</v>
      </c>
      <c r="E28" s="63" t="s">
        <v>155</v>
      </c>
      <c r="F28" s="64" t="s">
        <v>455</v>
      </c>
      <c r="G28" s="15" t="s">
        <v>456</v>
      </c>
      <c r="H28" s="67" t="s">
        <v>477</v>
      </c>
      <c r="I28" s="14" t="s">
        <v>369</v>
      </c>
      <c r="J28" s="67" t="s">
        <v>478</v>
      </c>
      <c r="K28" s="66">
        <v>1.0</v>
      </c>
      <c r="L28" s="68" t="s">
        <v>479</v>
      </c>
      <c r="M28" s="57">
        <v>0.0</v>
      </c>
    </row>
    <row r="29" ht="15.75" customHeight="1">
      <c r="A29" s="8">
        <v>1424.0</v>
      </c>
      <c r="B29" s="9" t="s">
        <v>49</v>
      </c>
      <c r="C29" s="10" t="str">
        <f t="shared" si="1"/>
        <v>PMP-24_ETHANOL_RECEIPT</v>
      </c>
      <c r="D29" s="63" t="s">
        <v>480</v>
      </c>
      <c r="E29" s="63" t="s">
        <v>155</v>
      </c>
      <c r="F29" s="64" t="s">
        <v>455</v>
      </c>
      <c r="G29" s="15" t="s">
        <v>456</v>
      </c>
      <c r="H29" s="67" t="s">
        <v>481</v>
      </c>
      <c r="I29" s="14" t="s">
        <v>369</v>
      </c>
      <c r="J29" s="67" t="s">
        <v>482</v>
      </c>
      <c r="K29" s="66">
        <v>1.0</v>
      </c>
      <c r="L29" s="68" t="s">
        <v>483</v>
      </c>
      <c r="M29" s="57">
        <v>0.0</v>
      </c>
    </row>
    <row r="30" ht="15.75" customHeight="1">
      <c r="A30" s="8">
        <v>1424.0</v>
      </c>
      <c r="B30" s="9" t="s">
        <v>49</v>
      </c>
      <c r="C30" s="10" t="str">
        <f t="shared" si="1"/>
        <v>PMP-25_BS VI MS_RECEIPT</v>
      </c>
      <c r="D30" s="63" t="s">
        <v>484</v>
      </c>
      <c r="E30" s="63" t="s">
        <v>110</v>
      </c>
      <c r="F30" s="64" t="s">
        <v>455</v>
      </c>
      <c r="G30" s="15" t="s">
        <v>456</v>
      </c>
      <c r="H30" s="67" t="s">
        <v>485</v>
      </c>
      <c r="I30" s="14" t="s">
        <v>369</v>
      </c>
      <c r="J30" s="67" t="s">
        <v>486</v>
      </c>
      <c r="K30" s="66">
        <v>1.0</v>
      </c>
      <c r="L30" s="68" t="s">
        <v>487</v>
      </c>
      <c r="M30" s="57">
        <v>0.0</v>
      </c>
    </row>
    <row r="31" ht="15.75" customHeight="1">
      <c r="A31" s="8">
        <v>1424.0</v>
      </c>
      <c r="B31" s="9" t="s">
        <v>49</v>
      </c>
      <c r="C31" s="10" t="str">
        <f t="shared" si="1"/>
        <v>PMP-26_BS VI MS_RECEIPT</v>
      </c>
      <c r="D31" s="63" t="s">
        <v>488</v>
      </c>
      <c r="E31" s="63" t="s">
        <v>110</v>
      </c>
      <c r="F31" s="64" t="s">
        <v>455</v>
      </c>
      <c r="G31" s="15" t="s">
        <v>456</v>
      </c>
      <c r="H31" s="67" t="s">
        <v>489</v>
      </c>
      <c r="I31" s="14" t="s">
        <v>369</v>
      </c>
      <c r="J31" s="67" t="s">
        <v>490</v>
      </c>
      <c r="K31" s="66">
        <v>1.0</v>
      </c>
      <c r="L31" s="68" t="s">
        <v>491</v>
      </c>
      <c r="M31" s="57">
        <v>0.0</v>
      </c>
    </row>
    <row r="32" ht="15.75" customHeight="1">
      <c r="A32" s="8">
        <v>1424.0</v>
      </c>
      <c r="B32" s="9" t="s">
        <v>49</v>
      </c>
      <c r="C32" s="10" t="str">
        <f t="shared" si="1"/>
        <v>PMP-27_WATER_DISPATCH</v>
      </c>
      <c r="D32" s="63" t="s">
        <v>492</v>
      </c>
      <c r="E32" s="63" t="s">
        <v>178</v>
      </c>
      <c r="F32" s="64" t="s">
        <v>366</v>
      </c>
      <c r="G32" s="15" t="s">
        <v>367</v>
      </c>
      <c r="H32" s="67" t="s">
        <v>493</v>
      </c>
      <c r="I32" s="14" t="s">
        <v>369</v>
      </c>
      <c r="J32" s="67" t="s">
        <v>494</v>
      </c>
      <c r="K32" s="66">
        <v>1.0</v>
      </c>
      <c r="L32" s="68" t="s">
        <v>495</v>
      </c>
      <c r="M32" s="57">
        <v>0.0</v>
      </c>
    </row>
    <row r="33" ht="15.75" customHeight="1">
      <c r="A33" s="8">
        <v>1424.0</v>
      </c>
      <c r="B33" s="9" t="s">
        <v>49</v>
      </c>
      <c r="C33" s="10" t="str">
        <f t="shared" si="1"/>
        <v>PMP-28_WATER_DISPATCH</v>
      </c>
      <c r="D33" s="63" t="s">
        <v>496</v>
      </c>
      <c r="E33" s="63" t="s">
        <v>178</v>
      </c>
      <c r="F33" s="64" t="s">
        <v>366</v>
      </c>
      <c r="G33" s="15" t="s">
        <v>367</v>
      </c>
      <c r="H33" s="67" t="s">
        <v>497</v>
      </c>
      <c r="I33" s="14" t="s">
        <v>369</v>
      </c>
      <c r="J33" s="67" t="s">
        <v>498</v>
      </c>
      <c r="K33" s="66">
        <v>1.0</v>
      </c>
      <c r="L33" s="68" t="s">
        <v>499</v>
      </c>
      <c r="M33" s="57">
        <v>0.0</v>
      </c>
    </row>
    <row r="34" ht="15.75" customHeight="1">
      <c r="A34" s="8">
        <v>1424.0</v>
      </c>
      <c r="B34" s="9" t="s">
        <v>49</v>
      </c>
      <c r="C34" s="10" t="str">
        <f t="shared" si="1"/>
        <v>PMP-29_WATER_DISPATCH</v>
      </c>
      <c r="D34" s="63" t="s">
        <v>500</v>
      </c>
      <c r="E34" s="63" t="s">
        <v>178</v>
      </c>
      <c r="F34" s="64" t="s">
        <v>366</v>
      </c>
      <c r="G34" s="15" t="s">
        <v>367</v>
      </c>
      <c r="H34" s="67" t="s">
        <v>501</v>
      </c>
      <c r="I34" s="14" t="s">
        <v>369</v>
      </c>
      <c r="J34" s="67" t="s">
        <v>502</v>
      </c>
      <c r="K34" s="66">
        <v>1.0</v>
      </c>
      <c r="L34" s="68" t="s">
        <v>503</v>
      </c>
      <c r="M34" s="57">
        <v>0.0</v>
      </c>
    </row>
    <row r="35" ht="15.75" customHeight="1">
      <c r="A35" s="8">
        <v>1424.0</v>
      </c>
      <c r="B35" s="9" t="s">
        <v>49</v>
      </c>
      <c r="C35" s="10" t="str">
        <f t="shared" si="1"/>
        <v>PMP-30_WATER_DISPATCH</v>
      </c>
      <c r="D35" s="63" t="s">
        <v>504</v>
      </c>
      <c r="E35" s="63" t="s">
        <v>178</v>
      </c>
      <c r="F35" s="64" t="s">
        <v>366</v>
      </c>
      <c r="G35" s="15" t="s">
        <v>367</v>
      </c>
      <c r="H35" s="67" t="s">
        <v>505</v>
      </c>
      <c r="I35" s="14" t="s">
        <v>369</v>
      </c>
      <c r="J35" s="67" t="s">
        <v>506</v>
      </c>
      <c r="K35" s="66">
        <v>1.0</v>
      </c>
      <c r="L35" s="68" t="s">
        <v>507</v>
      </c>
      <c r="M35" s="57">
        <v>0.0</v>
      </c>
    </row>
    <row r="36" ht="15.75" customHeight="1">
      <c r="A36" s="8">
        <v>1424.0</v>
      </c>
      <c r="B36" s="9" t="s">
        <v>49</v>
      </c>
      <c r="C36" s="10" t="str">
        <f t="shared" si="1"/>
        <v>PMP-31_BS VI HSD_DISPATCH</v>
      </c>
      <c r="D36" s="63" t="s">
        <v>508</v>
      </c>
      <c r="E36" s="63" t="s">
        <v>52</v>
      </c>
      <c r="F36" s="64" t="s">
        <v>455</v>
      </c>
      <c r="G36" s="15" t="s">
        <v>367</v>
      </c>
      <c r="H36" s="67" t="s">
        <v>509</v>
      </c>
      <c r="I36" s="14" t="s">
        <v>369</v>
      </c>
      <c r="J36" s="67" t="s">
        <v>510</v>
      </c>
      <c r="K36" s="66">
        <v>1.0</v>
      </c>
      <c r="L36" s="68" t="s">
        <v>511</v>
      </c>
      <c r="M36" s="57">
        <v>0.0</v>
      </c>
    </row>
    <row r="37" ht="15.75" customHeight="1">
      <c r="A37" s="8">
        <v>1424.0</v>
      </c>
      <c r="B37" s="9" t="s">
        <v>49</v>
      </c>
      <c r="C37" s="10" t="str">
        <f t="shared" si="1"/>
        <v>PMP-32_BS VI MS_DISPATCH</v>
      </c>
      <c r="D37" s="63" t="s">
        <v>512</v>
      </c>
      <c r="E37" s="63" t="s">
        <v>110</v>
      </c>
      <c r="F37" s="64" t="s">
        <v>455</v>
      </c>
      <c r="G37" s="15" t="s">
        <v>367</v>
      </c>
      <c r="H37" s="67" t="s">
        <v>513</v>
      </c>
      <c r="I37" s="14" t="s">
        <v>369</v>
      </c>
      <c r="J37" s="67" t="s">
        <v>514</v>
      </c>
      <c r="K37" s="66">
        <v>1.0</v>
      </c>
      <c r="L37" s="68" t="s">
        <v>515</v>
      </c>
      <c r="M37" s="57">
        <v>0.0</v>
      </c>
    </row>
    <row r="38" ht="15.7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</row>
    <row r="39" ht="15.7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</row>
    <row r="40" ht="15.7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</row>
    <row r="41" ht="15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</row>
    <row r="42" ht="15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</row>
    <row r="43" ht="15.7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</row>
    <row r="44" ht="15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</row>
    <row r="45" ht="15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</row>
    <row r="46" ht="15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</row>
    <row r="47" ht="15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</row>
    <row r="48" ht="15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</row>
    <row r="49" ht="15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</row>
    <row r="50" ht="15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</row>
    <row r="51" ht="15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</row>
    <row r="52" ht="15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</row>
    <row r="53" ht="15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</row>
    <row r="54" ht="15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</row>
    <row r="55" ht="15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</row>
    <row r="56" ht="15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</row>
    <row r="57" ht="15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</row>
    <row r="58" ht="15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</row>
    <row r="59" ht="15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</row>
    <row r="60" ht="15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</row>
    <row r="61" ht="15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</row>
    <row r="62" ht="15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</row>
    <row r="63" ht="15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</row>
    <row r="64" ht="15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</row>
    <row r="65" ht="15.7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</row>
    <row r="66" ht="15.7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</row>
    <row r="67" ht="15.7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</row>
    <row r="68" ht="15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</row>
    <row r="69" ht="15.7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</row>
    <row r="70" ht="15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</row>
    <row r="71" ht="15.7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</row>
    <row r="72" ht="15.7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</row>
    <row r="73" ht="15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</row>
    <row r="74" ht="15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</row>
    <row r="75" ht="15.7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</row>
    <row r="76" ht="15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</row>
    <row r="77" ht="15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</row>
    <row r="78" ht="15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</row>
    <row r="79" ht="15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</row>
    <row r="80" ht="15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</row>
    <row r="81" ht="15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</row>
    <row r="82" ht="15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</row>
    <row r="83" ht="15.7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</row>
    <row r="84" ht="15.7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</row>
    <row r="85" ht="15.7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</row>
    <row r="86" ht="15.7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</row>
    <row r="87" ht="15.7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</row>
    <row r="88" ht="15.7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</row>
    <row r="89" ht="15.7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</row>
    <row r="90" ht="15.7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</row>
    <row r="91" ht="15.7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</row>
    <row r="92" ht="15.7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</row>
    <row r="93" ht="15.7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</row>
    <row r="94" ht="15.7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</row>
    <row r="95" ht="15.7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</row>
    <row r="96" ht="15.7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</row>
    <row r="97" ht="15.7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</row>
    <row r="98" ht="15.7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</row>
    <row r="99" ht="15.7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</row>
    <row r="100" ht="15.7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</row>
    <row r="101" ht="15.7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</row>
    <row r="102" ht="15.7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</row>
    <row r="103" ht="15.7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</row>
    <row r="104" ht="15.7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</row>
    <row r="105" ht="15.7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</row>
    <row r="106" ht="15.7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</row>
    <row r="107" ht="15.7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</row>
    <row r="108" ht="15.7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</row>
    <row r="109" ht="15.7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</row>
    <row r="110" ht="15.7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</row>
    <row r="111" ht="15.7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</row>
    <row r="112" ht="15.7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</row>
    <row r="113" ht="15.7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</row>
    <row r="114" ht="15.7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</row>
    <row r="115" ht="15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</row>
    <row r="116" ht="15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</row>
    <row r="117" ht="15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</row>
    <row r="118" ht="15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</row>
    <row r="119" ht="15.7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</row>
    <row r="120" ht="15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</row>
    <row r="121" ht="15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</row>
    <row r="122" ht="15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</row>
    <row r="123" ht="15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</row>
    <row r="124" ht="15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</row>
    <row r="125" ht="15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</row>
    <row r="126" ht="15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</row>
    <row r="127" ht="15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</row>
    <row r="128" ht="15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</row>
    <row r="129" ht="15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</row>
    <row r="130" ht="15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</row>
    <row r="131" ht="15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</row>
    <row r="132" ht="15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</row>
    <row r="133" ht="15.7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</row>
    <row r="134" ht="15.7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</row>
    <row r="135" ht="15.7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</row>
    <row r="136" ht="15.7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</row>
    <row r="137" ht="15.7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</row>
    <row r="138" ht="15.7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</row>
    <row r="139" ht="15.7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</row>
    <row r="140" ht="15.7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</row>
    <row r="141" ht="15.7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</row>
    <row r="142" ht="15.7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</row>
    <row r="143" ht="15.7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</row>
    <row r="144" ht="15.7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</row>
    <row r="145" ht="15.7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</row>
    <row r="146" ht="15.7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</row>
    <row r="147" ht="15.7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</row>
    <row r="148" ht="15.7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</row>
    <row r="149" ht="15.7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</row>
    <row r="150" ht="15.7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</row>
    <row r="151" ht="15.7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</row>
    <row r="152" ht="15.7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</row>
    <row r="153" ht="15.7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</row>
    <row r="154" ht="15.7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</row>
    <row r="155" ht="15.7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</row>
    <row r="156" ht="15.7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</row>
    <row r="157" ht="15.7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</row>
    <row r="158" ht="15.7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</row>
    <row r="159" ht="15.7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</row>
    <row r="160" ht="15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</row>
    <row r="161" ht="15.7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</row>
    <row r="162" ht="15.7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</row>
    <row r="163" ht="15.7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</row>
    <row r="164" ht="15.7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</row>
    <row r="165" ht="15.7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</row>
    <row r="166" ht="15.7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</row>
    <row r="167" ht="15.7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</row>
    <row r="168" ht="15.7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</row>
    <row r="169" ht="15.7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</row>
    <row r="170" ht="15.7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</row>
    <row r="171" ht="15.7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</row>
    <row r="172" ht="15.7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</row>
    <row r="173" ht="15.7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</row>
    <row r="174" ht="15.7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</row>
    <row r="175" ht="15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</row>
    <row r="176" ht="15.7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</row>
    <row r="177" ht="15.7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</row>
    <row r="178" ht="15.7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</row>
    <row r="179" ht="15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</row>
    <row r="180" ht="15.7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</row>
    <row r="181" ht="15.7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</row>
    <row r="182" ht="15.7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</row>
    <row r="183" ht="15.7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</row>
    <row r="184" ht="15.7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</row>
    <row r="185" ht="15.7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</row>
    <row r="186" ht="15.7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41.88"/>
    <col customWidth="1" min="4" max="5" width="14.0"/>
    <col customWidth="1" min="6" max="6" width="9.88"/>
    <col customWidth="1" min="7" max="7" width="22.25"/>
    <col customWidth="1" min="8" max="8" width="15.63"/>
    <col customWidth="1" min="9" max="9" width="21.88"/>
    <col customWidth="1" min="10" max="10" width="27.0"/>
    <col customWidth="1" min="11" max="11" width="21.63"/>
    <col customWidth="1" min="12" max="12" width="41.75"/>
    <col customWidth="1" min="13" max="13" width="11.5"/>
    <col customWidth="1" min="14" max="14" width="33.88"/>
    <col customWidth="1" min="15" max="15" width="18.75"/>
    <col customWidth="1" min="16" max="16" width="33.88"/>
    <col customWidth="1" min="17" max="17" width="18.75"/>
    <col customWidth="1" min="18" max="18" width="16.88"/>
    <col customWidth="1" min="19" max="19" width="18.75"/>
    <col customWidth="1" min="20" max="20" width="36.5"/>
    <col customWidth="1" min="21" max="21" width="21.0"/>
    <col customWidth="1" min="22" max="22" width="25.63"/>
    <col customWidth="1" min="23" max="23" width="17.75"/>
    <col customWidth="1" min="24" max="25" width="21.5"/>
    <col customWidth="1" min="26" max="26" width="36.88"/>
    <col customWidth="1" min="27" max="27" width="20.75"/>
  </cols>
  <sheetData>
    <row r="1">
      <c r="A1" s="69" t="s">
        <v>0</v>
      </c>
      <c r="B1" s="69" t="s">
        <v>1</v>
      </c>
      <c r="C1" s="69" t="s">
        <v>2</v>
      </c>
      <c r="D1" s="69" t="s">
        <v>355</v>
      </c>
      <c r="E1" s="69" t="s">
        <v>356</v>
      </c>
      <c r="F1" s="69" t="s">
        <v>357</v>
      </c>
      <c r="G1" s="69" t="s">
        <v>358</v>
      </c>
      <c r="H1" s="70" t="s">
        <v>359</v>
      </c>
      <c r="I1" s="70" t="s">
        <v>360</v>
      </c>
      <c r="J1" s="70" t="s">
        <v>361</v>
      </c>
      <c r="K1" s="70" t="s">
        <v>362</v>
      </c>
      <c r="L1" s="70" t="s">
        <v>516</v>
      </c>
      <c r="M1" s="70" t="s">
        <v>7</v>
      </c>
      <c r="N1" s="70" t="s">
        <v>517</v>
      </c>
      <c r="O1" s="70" t="s">
        <v>518</v>
      </c>
      <c r="P1" s="70" t="s">
        <v>519</v>
      </c>
      <c r="Q1" s="70" t="s">
        <v>520</v>
      </c>
      <c r="R1" s="70" t="s">
        <v>521</v>
      </c>
      <c r="S1" s="70" t="s">
        <v>522</v>
      </c>
      <c r="T1" s="70" t="s">
        <v>523</v>
      </c>
      <c r="U1" s="70" t="s">
        <v>524</v>
      </c>
      <c r="V1" s="70" t="s">
        <v>525</v>
      </c>
      <c r="W1" s="70" t="s">
        <v>526</v>
      </c>
      <c r="X1" s="70" t="s">
        <v>527</v>
      </c>
      <c r="Y1" s="70" t="s">
        <v>528</v>
      </c>
      <c r="Z1" s="70" t="s">
        <v>529</v>
      </c>
      <c r="AA1" s="70" t="s">
        <v>530</v>
      </c>
    </row>
    <row r="2" ht="15.75" customHeight="1">
      <c r="A2" s="8">
        <v>1424.0</v>
      </c>
      <c r="B2" s="9" t="s">
        <v>49</v>
      </c>
      <c r="C2" s="10" t="str">
        <f t="shared" ref="C2:C8" si="1">CONCATENATE(D2,"_",E2,"_",G2)</f>
        <v>FWP-01_Water_DISPATCH</v>
      </c>
      <c r="D2" s="12" t="s">
        <v>531</v>
      </c>
      <c r="E2" s="11" t="s">
        <v>532</v>
      </c>
      <c r="F2" s="10" t="s">
        <v>533</v>
      </c>
      <c r="G2" s="71" t="s">
        <v>367</v>
      </c>
      <c r="H2" s="72" t="s">
        <v>534</v>
      </c>
      <c r="I2" s="66">
        <v>0.0</v>
      </c>
      <c r="J2" s="72" t="s">
        <v>535</v>
      </c>
      <c r="K2" s="66">
        <v>1.0</v>
      </c>
      <c r="L2" s="67" t="s">
        <v>536</v>
      </c>
      <c r="M2" s="57">
        <v>0.0</v>
      </c>
      <c r="N2" s="67" t="s">
        <v>537</v>
      </c>
      <c r="O2" s="57">
        <v>0.0</v>
      </c>
      <c r="P2" s="67" t="s">
        <v>538</v>
      </c>
      <c r="Q2" s="57">
        <v>0.0</v>
      </c>
      <c r="R2" s="10"/>
      <c r="S2" s="10"/>
      <c r="T2" s="67" t="s">
        <v>539</v>
      </c>
      <c r="U2" s="57">
        <v>0.0</v>
      </c>
      <c r="V2" s="67" t="s">
        <v>540</v>
      </c>
      <c r="W2" s="57">
        <v>0.0</v>
      </c>
      <c r="X2" s="10"/>
      <c r="Y2" s="10"/>
      <c r="Z2" s="67" t="s">
        <v>541</v>
      </c>
      <c r="AA2" s="57">
        <v>0.0</v>
      </c>
    </row>
    <row r="3" ht="15.75" customHeight="1">
      <c r="A3" s="8">
        <v>1424.0</v>
      </c>
      <c r="B3" s="9" t="s">
        <v>49</v>
      </c>
      <c r="C3" s="10" t="str">
        <f t="shared" si="1"/>
        <v>FWP-02_Water_DISPATCH</v>
      </c>
      <c r="D3" s="28" t="s">
        <v>542</v>
      </c>
      <c r="E3" s="11" t="s">
        <v>532</v>
      </c>
      <c r="F3" s="10" t="s">
        <v>533</v>
      </c>
      <c r="G3" s="71" t="s">
        <v>367</v>
      </c>
      <c r="H3" s="34" t="s">
        <v>543</v>
      </c>
      <c r="I3" s="66">
        <v>0.0</v>
      </c>
      <c r="J3" s="34" t="s">
        <v>544</v>
      </c>
      <c r="K3" s="66">
        <v>1.0</v>
      </c>
      <c r="L3" s="68" t="s">
        <v>545</v>
      </c>
      <c r="M3" s="57">
        <v>0.0</v>
      </c>
      <c r="N3" s="68" t="s">
        <v>546</v>
      </c>
      <c r="O3" s="57">
        <v>0.0</v>
      </c>
      <c r="P3" s="68" t="s">
        <v>547</v>
      </c>
      <c r="Q3" s="57">
        <v>0.0</v>
      </c>
      <c r="T3" s="68" t="s">
        <v>548</v>
      </c>
      <c r="U3" s="57">
        <v>0.0</v>
      </c>
      <c r="V3" s="68" t="s">
        <v>549</v>
      </c>
      <c r="W3" s="57">
        <v>0.0</v>
      </c>
      <c r="Z3" s="68" t="s">
        <v>550</v>
      </c>
      <c r="AA3" s="57">
        <v>0.0</v>
      </c>
    </row>
    <row r="4" ht="15.75" customHeight="1">
      <c r="A4" s="8">
        <v>1424.0</v>
      </c>
      <c r="B4" s="9" t="s">
        <v>49</v>
      </c>
      <c r="C4" s="10" t="str">
        <f t="shared" si="1"/>
        <v>FWP-03_Water_DISPATCH</v>
      </c>
      <c r="D4" s="28" t="s">
        <v>551</v>
      </c>
      <c r="E4" s="11" t="s">
        <v>532</v>
      </c>
      <c r="F4" s="10" t="s">
        <v>533</v>
      </c>
      <c r="G4" s="71" t="s">
        <v>367</v>
      </c>
      <c r="H4" s="34" t="s">
        <v>552</v>
      </c>
      <c r="I4" s="66">
        <v>0.0</v>
      </c>
      <c r="J4" s="34" t="s">
        <v>553</v>
      </c>
      <c r="K4" s="66">
        <v>1.0</v>
      </c>
      <c r="L4" s="68" t="s">
        <v>554</v>
      </c>
      <c r="M4" s="57">
        <v>0.0</v>
      </c>
      <c r="N4" s="68" t="s">
        <v>555</v>
      </c>
      <c r="O4" s="57">
        <v>0.0</v>
      </c>
      <c r="P4" s="68" t="s">
        <v>556</v>
      </c>
      <c r="Q4" s="57">
        <v>0.0</v>
      </c>
      <c r="T4" s="68" t="s">
        <v>557</v>
      </c>
      <c r="U4" s="57">
        <v>0.0</v>
      </c>
      <c r="V4" s="68" t="s">
        <v>558</v>
      </c>
      <c r="W4" s="57">
        <v>0.0</v>
      </c>
      <c r="Z4" s="68" t="s">
        <v>559</v>
      </c>
      <c r="AA4" s="57">
        <v>0.0</v>
      </c>
    </row>
    <row r="5" ht="15.75" customHeight="1">
      <c r="A5" s="8">
        <v>1424.0</v>
      </c>
      <c r="B5" s="9" t="s">
        <v>49</v>
      </c>
      <c r="C5" s="10" t="str">
        <f t="shared" si="1"/>
        <v>JCY-01_Water_DISPATCH</v>
      </c>
      <c r="D5" s="28" t="s">
        <v>560</v>
      </c>
      <c r="E5" s="11" t="s">
        <v>532</v>
      </c>
      <c r="F5" s="10" t="s">
        <v>533</v>
      </c>
      <c r="G5" s="71" t="s">
        <v>367</v>
      </c>
      <c r="H5" s="34" t="s">
        <v>561</v>
      </c>
      <c r="I5" s="66">
        <v>0.0</v>
      </c>
      <c r="J5" s="34" t="s">
        <v>562</v>
      </c>
      <c r="K5" s="66">
        <v>1.0</v>
      </c>
      <c r="L5" s="68" t="s">
        <v>563</v>
      </c>
      <c r="M5" s="57">
        <v>0.0</v>
      </c>
      <c r="N5" s="68" t="s">
        <v>564</v>
      </c>
      <c r="O5" s="57">
        <v>0.0</v>
      </c>
      <c r="T5" s="68" t="s">
        <v>565</v>
      </c>
      <c r="U5" s="57">
        <v>0.0</v>
      </c>
      <c r="V5" s="68" t="s">
        <v>566</v>
      </c>
      <c r="W5" s="57">
        <v>0.0</v>
      </c>
    </row>
    <row r="6" ht="15.75" customHeight="1">
      <c r="A6" s="8">
        <v>1424.0</v>
      </c>
      <c r="B6" s="9" t="s">
        <v>49</v>
      </c>
      <c r="C6" s="10" t="str">
        <f t="shared" si="1"/>
        <v>JCY-02_Water_DISPATCH</v>
      </c>
      <c r="D6" s="28" t="s">
        <v>567</v>
      </c>
      <c r="E6" s="11" t="s">
        <v>532</v>
      </c>
      <c r="F6" s="10" t="s">
        <v>533</v>
      </c>
      <c r="G6" s="71" t="s">
        <v>367</v>
      </c>
      <c r="H6" s="34" t="s">
        <v>568</v>
      </c>
      <c r="I6" s="66">
        <v>0.0</v>
      </c>
      <c r="J6" s="34" t="s">
        <v>569</v>
      </c>
      <c r="K6" s="66">
        <v>1.0</v>
      </c>
      <c r="L6" s="68" t="s">
        <v>570</v>
      </c>
      <c r="M6" s="57">
        <v>0.0</v>
      </c>
      <c r="N6" s="68" t="s">
        <v>571</v>
      </c>
      <c r="O6" s="57">
        <v>0.0</v>
      </c>
      <c r="T6" s="68" t="s">
        <v>572</v>
      </c>
      <c r="U6" s="57">
        <v>0.0</v>
      </c>
      <c r="V6" s="68" t="s">
        <v>573</v>
      </c>
      <c r="W6" s="57">
        <v>0.0</v>
      </c>
    </row>
    <row r="7" ht="15.75" customHeight="1">
      <c r="A7" s="8">
        <v>1424.0</v>
      </c>
      <c r="B7" s="9" t="s">
        <v>49</v>
      </c>
      <c r="C7" s="10" t="str">
        <f t="shared" si="1"/>
        <v>Farthest Point PT_WP_DISPATCH</v>
      </c>
      <c r="D7" s="73" t="s">
        <v>574</v>
      </c>
      <c r="E7" s="74" t="s">
        <v>575</v>
      </c>
      <c r="F7" s="75" t="s">
        <v>576</v>
      </c>
      <c r="G7" s="71" t="s">
        <v>367</v>
      </c>
      <c r="L7" s="76" t="s">
        <v>577</v>
      </c>
      <c r="M7" s="57">
        <v>0.0</v>
      </c>
    </row>
    <row r="8" ht="15.75" customHeight="1">
      <c r="A8" s="8">
        <v>1424.0</v>
      </c>
      <c r="B8" s="9" t="s">
        <v>49</v>
      </c>
      <c r="C8" s="10" t="str">
        <f t="shared" si="1"/>
        <v>Nearest Point PT_WP_DISPATCH</v>
      </c>
      <c r="D8" s="73" t="s">
        <v>578</v>
      </c>
      <c r="E8" s="74" t="s">
        <v>575</v>
      </c>
      <c r="F8" s="75" t="s">
        <v>576</v>
      </c>
      <c r="G8" s="71" t="s">
        <v>367</v>
      </c>
      <c r="L8" s="76" t="s">
        <v>579</v>
      </c>
      <c r="M8" s="57">
        <v>0.0</v>
      </c>
    </row>
    <row r="9" ht="15.75" customHeight="1">
      <c r="F9" s="77"/>
    </row>
    <row r="10" ht="15.75" customHeight="1">
      <c r="F10" s="77"/>
    </row>
    <row r="11" ht="15.75" customHeight="1">
      <c r="F11" s="77"/>
    </row>
    <row r="12" ht="15.75" customHeight="1">
      <c r="F12" s="77"/>
    </row>
    <row r="13" ht="15.75" customHeight="1">
      <c r="F13" s="77"/>
    </row>
    <row r="14" ht="15.75" customHeight="1">
      <c r="F14" s="77"/>
    </row>
    <row r="15" ht="15.75" customHeight="1">
      <c r="F15" s="77"/>
    </row>
    <row r="16" ht="15.75" customHeight="1">
      <c r="F16" s="77"/>
    </row>
    <row r="17" ht="15.75" customHeight="1">
      <c r="F17" s="77"/>
    </row>
    <row r="18" ht="15.75" customHeight="1">
      <c r="F18" s="77"/>
    </row>
    <row r="19" ht="15.75" customHeight="1">
      <c r="F19" s="77"/>
    </row>
    <row r="20" ht="15.75" customHeight="1">
      <c r="F20" s="77"/>
    </row>
    <row r="21" ht="15.75" customHeight="1">
      <c r="F21" s="77"/>
    </row>
    <row r="22" ht="15.75" customHeight="1">
      <c r="F22" s="77"/>
    </row>
    <row r="23" ht="15.75" customHeight="1">
      <c r="F23" s="77"/>
    </row>
    <row r="24" ht="15.75" customHeight="1">
      <c r="F24" s="77"/>
    </row>
    <row r="25" ht="15.75" customHeight="1">
      <c r="F25" s="77"/>
    </row>
    <row r="26" ht="15.75" customHeight="1">
      <c r="F26" s="77"/>
    </row>
    <row r="27" ht="15.75" customHeight="1">
      <c r="F27" s="77"/>
    </row>
    <row r="28" ht="15.75" customHeight="1">
      <c r="F28" s="77"/>
    </row>
    <row r="29" ht="15.75" customHeight="1">
      <c r="F29" s="77"/>
    </row>
    <row r="30" ht="15.75" customHeight="1">
      <c r="F30" s="77"/>
    </row>
    <row r="31" ht="15.75" customHeight="1">
      <c r="F31" s="77"/>
    </row>
    <row r="32" ht="15.75" customHeight="1">
      <c r="F32" s="77"/>
    </row>
    <row r="33" ht="15.75" customHeight="1">
      <c r="F33" s="77"/>
    </row>
    <row r="34" ht="15.75" customHeight="1">
      <c r="F34" s="77"/>
    </row>
    <row r="35" ht="15.75" customHeight="1">
      <c r="F35" s="77"/>
    </row>
    <row r="36" ht="15.75" customHeight="1">
      <c r="F36" s="77"/>
    </row>
    <row r="37" ht="15.75" customHeight="1">
      <c r="F37" s="77"/>
    </row>
    <row r="38" ht="15.75" customHeight="1">
      <c r="F38" s="77"/>
    </row>
    <row r="39" ht="15.75" customHeight="1">
      <c r="F39" s="77"/>
    </row>
    <row r="40" ht="15.75" customHeight="1">
      <c r="F40" s="77"/>
    </row>
    <row r="41" ht="15.75" customHeight="1">
      <c r="F41" s="77"/>
    </row>
    <row r="42" ht="15.75" customHeight="1">
      <c r="F42" s="77"/>
    </row>
    <row r="43" ht="15.75" customHeight="1">
      <c r="F43" s="77"/>
    </row>
    <row r="44" ht="15.75" customHeight="1">
      <c r="F44" s="77"/>
    </row>
    <row r="45" ht="15.75" customHeight="1">
      <c r="F45" s="77"/>
    </row>
    <row r="46" ht="15.75" customHeight="1">
      <c r="F46" s="77"/>
    </row>
    <row r="47" ht="15.75" customHeight="1">
      <c r="F47" s="77"/>
    </row>
    <row r="48" ht="15.75" customHeight="1">
      <c r="F48" s="77"/>
    </row>
    <row r="49" ht="15.75" customHeight="1">
      <c r="F49" s="77"/>
    </row>
    <row r="50" ht="15.75" customHeight="1">
      <c r="F50" s="77"/>
    </row>
    <row r="51" ht="15.75" customHeight="1">
      <c r="F51" s="77"/>
    </row>
    <row r="52" ht="15.75" customHeight="1">
      <c r="F52" s="77"/>
    </row>
    <row r="53" ht="15.75" customHeight="1">
      <c r="F53" s="77"/>
    </row>
    <row r="54" ht="15.75" customHeight="1">
      <c r="F54" s="77"/>
    </row>
    <row r="55" ht="15.75" customHeight="1">
      <c r="F55" s="77"/>
    </row>
    <row r="56" ht="15.75" customHeight="1">
      <c r="F56" s="77"/>
    </row>
    <row r="57" ht="15.75" customHeight="1">
      <c r="F57" s="77"/>
    </row>
    <row r="58" ht="15.75" customHeight="1">
      <c r="F58" s="77"/>
    </row>
    <row r="59" ht="15.75" customHeight="1">
      <c r="F59" s="77"/>
    </row>
    <row r="60" ht="15.75" customHeight="1">
      <c r="F60" s="77"/>
    </row>
    <row r="61" ht="15.75" customHeight="1">
      <c r="F61" s="77"/>
    </row>
    <row r="62" ht="15.75" customHeight="1">
      <c r="F62" s="77"/>
    </row>
    <row r="63" ht="15.75" customHeight="1">
      <c r="F63" s="77"/>
    </row>
    <row r="64" ht="15.75" customHeight="1">
      <c r="F64" s="77"/>
    </row>
    <row r="65" ht="15.75" customHeight="1">
      <c r="F65" s="77"/>
    </row>
    <row r="66" ht="15.75" customHeight="1">
      <c r="F66" s="77"/>
    </row>
    <row r="67" ht="15.75" customHeight="1">
      <c r="F67" s="77"/>
    </row>
    <row r="68" ht="15.75" customHeight="1">
      <c r="F68" s="77"/>
    </row>
    <row r="69" ht="15.75" customHeight="1">
      <c r="F69" s="77"/>
    </row>
    <row r="70" ht="15.75" customHeight="1">
      <c r="F70" s="77"/>
    </row>
    <row r="71" ht="15.75" customHeight="1">
      <c r="F71" s="77"/>
    </row>
    <row r="72" ht="15.75" customHeight="1">
      <c r="F72" s="77"/>
    </row>
    <row r="73" ht="15.75" customHeight="1">
      <c r="F73" s="77"/>
    </row>
    <row r="74" ht="15.75" customHeight="1">
      <c r="F74" s="77"/>
    </row>
    <row r="75" ht="15.75" customHeight="1">
      <c r="F75" s="77"/>
    </row>
    <row r="76" ht="15.75" customHeight="1">
      <c r="F76" s="77"/>
    </row>
    <row r="77" ht="15.75" customHeight="1">
      <c r="F77" s="77"/>
    </row>
    <row r="78" ht="15.75" customHeight="1">
      <c r="F78" s="77"/>
    </row>
    <row r="79" ht="15.75" customHeight="1">
      <c r="F79" s="77"/>
    </row>
    <row r="80" ht="15.75" customHeight="1">
      <c r="F80" s="77"/>
    </row>
    <row r="81" ht="15.75" customHeight="1">
      <c r="F81" s="77"/>
    </row>
    <row r="82" ht="15.75" customHeight="1">
      <c r="F82" s="77"/>
    </row>
    <row r="83" ht="15.75" customHeight="1">
      <c r="F83" s="77"/>
    </row>
    <row r="84" ht="15.75" customHeight="1">
      <c r="F84" s="77"/>
    </row>
    <row r="85" ht="15.75" customHeight="1">
      <c r="F85" s="77"/>
    </row>
    <row r="86" ht="15.75" customHeight="1">
      <c r="F86" s="77"/>
    </row>
    <row r="87" ht="15.75" customHeight="1">
      <c r="F87" s="77"/>
    </row>
    <row r="88" ht="15.75" customHeight="1">
      <c r="F88" s="77"/>
    </row>
    <row r="89" ht="15.75" customHeight="1">
      <c r="F89" s="77"/>
    </row>
    <row r="90" ht="15.75" customHeight="1">
      <c r="F90" s="77"/>
    </row>
    <row r="91" ht="15.75" customHeight="1">
      <c r="F91" s="77"/>
    </row>
    <row r="92" ht="15.75" customHeight="1">
      <c r="F92" s="77"/>
    </row>
    <row r="93" ht="15.75" customHeight="1">
      <c r="F93" s="77"/>
    </row>
    <row r="94" ht="15.75" customHeight="1">
      <c r="F94" s="77"/>
    </row>
    <row r="95" ht="15.75" customHeight="1">
      <c r="F95" s="77"/>
    </row>
    <row r="96" ht="15.75" customHeight="1">
      <c r="F96" s="77"/>
    </row>
    <row r="97" ht="15.75" customHeight="1">
      <c r="F97" s="77"/>
    </row>
    <row r="98" ht="15.75" customHeight="1">
      <c r="F98" s="77"/>
    </row>
    <row r="99" ht="15.75" customHeight="1">
      <c r="F99" s="77"/>
    </row>
    <row r="100" ht="15.75" customHeight="1">
      <c r="F100" s="77"/>
    </row>
    <row r="101" ht="15.75" customHeight="1">
      <c r="F101" s="77"/>
    </row>
    <row r="102" ht="15.75" customHeight="1">
      <c r="F102" s="77"/>
    </row>
    <row r="103" ht="15.75" customHeight="1">
      <c r="F103" s="77"/>
    </row>
    <row r="104" ht="15.75" customHeight="1">
      <c r="F104" s="77"/>
    </row>
    <row r="105" ht="15.75" customHeight="1">
      <c r="F105" s="77"/>
    </row>
    <row r="106" ht="15.75" customHeight="1">
      <c r="F106" s="77"/>
    </row>
    <row r="107" ht="15.75" customHeight="1">
      <c r="F107" s="77"/>
    </row>
    <row r="108" ht="15.75" customHeight="1">
      <c r="F108" s="77"/>
    </row>
    <row r="109" ht="15.75" customHeight="1">
      <c r="F109" s="77"/>
    </row>
    <row r="110" ht="15.75" customHeight="1">
      <c r="F110" s="77"/>
    </row>
    <row r="111" ht="15.75" customHeight="1">
      <c r="F111" s="77"/>
    </row>
    <row r="112" ht="15.75" customHeight="1">
      <c r="F112" s="77"/>
    </row>
    <row r="113" ht="15.75" customHeight="1">
      <c r="F113" s="77"/>
    </row>
    <row r="114" ht="15.75" customHeight="1">
      <c r="F114" s="77"/>
    </row>
    <row r="115" ht="15.75" customHeight="1">
      <c r="F115" s="77"/>
    </row>
    <row r="116" ht="15.75" customHeight="1">
      <c r="F116" s="77"/>
    </row>
    <row r="117" ht="15.75" customHeight="1">
      <c r="F117" s="77"/>
    </row>
    <row r="118" ht="15.75" customHeight="1">
      <c r="F118" s="77"/>
    </row>
    <row r="119" ht="15.75" customHeight="1">
      <c r="F119" s="77"/>
    </row>
    <row r="120" ht="15.75" customHeight="1">
      <c r="F120" s="77"/>
    </row>
    <row r="121" ht="15.75" customHeight="1">
      <c r="F121" s="77"/>
    </row>
    <row r="122" ht="15.75" customHeight="1">
      <c r="F122" s="77"/>
    </row>
    <row r="123" ht="15.75" customHeight="1">
      <c r="F123" s="77"/>
    </row>
    <row r="124" ht="15.75" customHeight="1">
      <c r="F124" s="77"/>
    </row>
    <row r="125" ht="15.75" customHeight="1">
      <c r="F125" s="77"/>
    </row>
    <row r="126" ht="15.75" customHeight="1">
      <c r="F126" s="77"/>
    </row>
    <row r="127" ht="15.75" customHeight="1">
      <c r="F127" s="77"/>
    </row>
    <row r="128" ht="15.75" customHeight="1">
      <c r="F128" s="77"/>
    </row>
    <row r="129" ht="15.75" customHeight="1">
      <c r="F129" s="77"/>
    </row>
    <row r="130" ht="15.75" customHeight="1">
      <c r="F130" s="77"/>
    </row>
    <row r="131" ht="15.75" customHeight="1">
      <c r="F131" s="77"/>
    </row>
    <row r="132" ht="15.75" customHeight="1">
      <c r="F132" s="77"/>
    </row>
    <row r="133" ht="15.75" customHeight="1">
      <c r="F133" s="77"/>
    </row>
    <row r="134" ht="15.75" customHeight="1">
      <c r="F134" s="77"/>
    </row>
    <row r="135" ht="15.75" customHeight="1">
      <c r="F135" s="77"/>
    </row>
    <row r="136" ht="15.75" customHeight="1">
      <c r="F136" s="77"/>
    </row>
    <row r="137" ht="15.75" customHeight="1">
      <c r="F137" s="77"/>
    </row>
    <row r="138" ht="15.75" customHeight="1">
      <c r="F138" s="77"/>
    </row>
    <row r="139" ht="15.75" customHeight="1">
      <c r="F139" s="77"/>
    </row>
    <row r="140" ht="15.75" customHeight="1">
      <c r="F140" s="77"/>
    </row>
    <row r="141" ht="15.75" customHeight="1">
      <c r="F141" s="77"/>
    </row>
    <row r="142" ht="15.75" customHeight="1">
      <c r="F142" s="77"/>
    </row>
    <row r="143" ht="15.75" customHeight="1">
      <c r="F143" s="77"/>
    </row>
    <row r="144" ht="15.75" customHeight="1">
      <c r="F144" s="77"/>
    </row>
    <row r="145" ht="15.75" customHeight="1">
      <c r="F145" s="77"/>
    </row>
    <row r="146" ht="15.75" customHeight="1">
      <c r="F146" s="77"/>
    </row>
    <row r="147" ht="15.75" customHeight="1">
      <c r="F147" s="77"/>
    </row>
    <row r="148" ht="15.75" customHeight="1">
      <c r="F148" s="77"/>
    </row>
    <row r="149" ht="15.75" customHeight="1">
      <c r="F149" s="77"/>
    </row>
    <row r="150" ht="15.75" customHeight="1">
      <c r="F150" s="77"/>
    </row>
    <row r="151" ht="15.75" customHeight="1">
      <c r="F151" s="77"/>
    </row>
    <row r="152" ht="15.75" customHeight="1">
      <c r="F152" s="77"/>
    </row>
    <row r="153" ht="15.75" customHeight="1">
      <c r="F153" s="77"/>
    </row>
    <row r="154" ht="15.75" customHeight="1">
      <c r="F154" s="77"/>
    </row>
    <row r="155" ht="15.75" customHeight="1">
      <c r="F155" s="77"/>
    </row>
    <row r="156" ht="15.75" customHeight="1">
      <c r="F156" s="77"/>
    </row>
    <row r="157" ht="15.75" customHeight="1">
      <c r="F157" s="77"/>
    </row>
    <row r="158" ht="15.75" customHeight="1">
      <c r="F158" s="77"/>
    </row>
    <row r="159" ht="15.75" customHeight="1">
      <c r="F159" s="77"/>
    </row>
    <row r="160" ht="15.75" customHeight="1">
      <c r="F160" s="77"/>
    </row>
    <row r="161" ht="15.75" customHeight="1">
      <c r="F161" s="77"/>
    </row>
    <row r="162" ht="15.75" customHeight="1">
      <c r="F162" s="77"/>
    </row>
    <row r="163" ht="15.75" customHeight="1">
      <c r="F163" s="77"/>
    </row>
    <row r="164" ht="15.75" customHeight="1">
      <c r="F164" s="77"/>
    </row>
    <row r="165" ht="15.75" customHeight="1">
      <c r="F165" s="77"/>
    </row>
    <row r="166" ht="15.75" customHeight="1">
      <c r="F166" s="77"/>
    </row>
    <row r="167" ht="15.75" customHeight="1">
      <c r="F167" s="77"/>
    </row>
    <row r="168" ht="15.75" customHeight="1">
      <c r="F168" s="77"/>
    </row>
    <row r="169" ht="15.75" customHeight="1">
      <c r="F169" s="77"/>
    </row>
    <row r="170" ht="15.75" customHeight="1">
      <c r="F170" s="77"/>
    </row>
    <row r="171" ht="15.75" customHeight="1">
      <c r="F171" s="77"/>
    </row>
    <row r="172" ht="15.75" customHeight="1">
      <c r="F172" s="77"/>
    </row>
    <row r="173" ht="15.75" customHeight="1">
      <c r="F173" s="77"/>
    </row>
    <row r="174" ht="15.75" customHeight="1">
      <c r="F174" s="77"/>
    </row>
    <row r="175" ht="15.75" customHeight="1">
      <c r="F175" s="77"/>
    </row>
    <row r="176" ht="15.75" customHeight="1">
      <c r="F176" s="77"/>
    </row>
    <row r="177" ht="15.75" customHeight="1">
      <c r="F177" s="77"/>
    </row>
    <row r="178" ht="15.75" customHeight="1">
      <c r="F178" s="77"/>
    </row>
    <row r="179" ht="15.75" customHeight="1">
      <c r="F179" s="77"/>
    </row>
    <row r="180" ht="15.75" customHeight="1">
      <c r="F180" s="77"/>
    </row>
    <row r="181" ht="15.75" customHeight="1">
      <c r="F181" s="77"/>
    </row>
    <row r="182" ht="15.75" customHeight="1">
      <c r="F182" s="77"/>
    </row>
    <row r="183" ht="15.75" customHeight="1">
      <c r="F183" s="77"/>
    </row>
    <row r="184" ht="15.75" customHeight="1">
      <c r="F184" s="77"/>
    </row>
    <row r="185" ht="15.75" customHeight="1">
      <c r="F185" s="77"/>
    </row>
    <row r="186" ht="15.75" customHeight="1">
      <c r="F186" s="77"/>
    </row>
    <row r="187" ht="15.75" customHeight="1">
      <c r="F187" s="77"/>
    </row>
    <row r="188" ht="15.75" customHeight="1">
      <c r="F188" s="77"/>
    </row>
    <row r="189" ht="15.75" customHeight="1">
      <c r="F189" s="77"/>
    </row>
    <row r="190" ht="15.75" customHeight="1">
      <c r="F190" s="77"/>
    </row>
    <row r="191" ht="15.75" customHeight="1">
      <c r="F191" s="77"/>
    </row>
    <row r="192" ht="15.75" customHeight="1">
      <c r="F192" s="77"/>
    </row>
    <row r="193" ht="15.75" customHeight="1">
      <c r="F193" s="77"/>
    </row>
    <row r="194" ht="15.75" customHeight="1">
      <c r="F194" s="77"/>
    </row>
    <row r="195" ht="15.75" customHeight="1">
      <c r="F195" s="77"/>
    </row>
    <row r="196" ht="15.75" customHeight="1">
      <c r="F196" s="77"/>
    </row>
    <row r="197" ht="15.75" customHeight="1">
      <c r="F197" s="77"/>
    </row>
    <row r="198" ht="15.75" customHeight="1">
      <c r="F198" s="77"/>
    </row>
    <row r="199" ht="15.75" customHeight="1">
      <c r="F199" s="77"/>
    </row>
    <row r="200" ht="15.75" customHeight="1">
      <c r="F200" s="77"/>
    </row>
    <row r="201" ht="15.75" customHeight="1">
      <c r="F201" s="77"/>
    </row>
    <row r="202" ht="15.75" customHeight="1">
      <c r="F202" s="77"/>
    </row>
    <row r="203" ht="15.75" customHeight="1">
      <c r="F203" s="77"/>
    </row>
    <row r="204" ht="15.75" customHeight="1">
      <c r="F204" s="77"/>
    </row>
    <row r="205" ht="15.75" customHeight="1">
      <c r="F205" s="77"/>
    </row>
    <row r="206" ht="15.75" customHeight="1">
      <c r="F206" s="77"/>
    </row>
    <row r="207" ht="15.75" customHeight="1">
      <c r="F207" s="77"/>
    </row>
    <row r="208" ht="15.75" customHeight="1">
      <c r="F208" s="77"/>
    </row>
    <row r="209" ht="15.75" customHeight="1">
      <c r="F209" s="77"/>
    </row>
    <row r="210" ht="15.75" customHeight="1">
      <c r="F210" s="77"/>
    </row>
    <row r="211" ht="15.75" customHeight="1">
      <c r="F211" s="77"/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8.0"/>
    <col customWidth="1" min="4" max="4" width="6.88"/>
    <col customWidth="1" min="6" max="6" width="19.0"/>
    <col customWidth="1" min="8" max="8" width="23.5"/>
    <col customWidth="1" min="10" max="10" width="18.0"/>
    <col customWidth="1" min="11" max="11" width="11.5"/>
    <col customWidth="1" min="12" max="12" width="23.0"/>
  </cols>
  <sheetData>
    <row r="1" ht="15.75" customHeight="1">
      <c r="A1" s="78" t="s">
        <v>0</v>
      </c>
      <c r="B1" s="78" t="s">
        <v>1</v>
      </c>
      <c r="C1" s="58" t="s">
        <v>2</v>
      </c>
      <c r="D1" s="58" t="s">
        <v>580</v>
      </c>
      <c r="E1" s="58" t="s">
        <v>1</v>
      </c>
      <c r="F1" s="59" t="s">
        <v>581</v>
      </c>
      <c r="G1" s="60" t="s">
        <v>582</v>
      </c>
      <c r="H1" s="59" t="s">
        <v>583</v>
      </c>
      <c r="I1" s="60" t="s">
        <v>584</v>
      </c>
      <c r="J1" s="59" t="s">
        <v>585</v>
      </c>
      <c r="K1" s="60" t="s">
        <v>586</v>
      </c>
      <c r="L1" s="59" t="s">
        <v>587</v>
      </c>
      <c r="M1" s="60" t="s">
        <v>588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</row>
    <row r="2" ht="15.75" customHeight="1">
      <c r="A2" s="8">
        <v>1424.0</v>
      </c>
      <c r="B2" s="9" t="s">
        <v>49</v>
      </c>
      <c r="C2" s="10" t="str">
        <f t="shared" ref="C2:C3" si="1">CONCATENATE(D2,"_",E2)</f>
        <v>UPS-01_Control Room</v>
      </c>
      <c r="D2" s="11" t="s">
        <v>589</v>
      </c>
      <c r="E2" s="79" t="s">
        <v>590</v>
      </c>
      <c r="F2" s="10"/>
      <c r="G2" s="10"/>
      <c r="H2" s="80" t="s">
        <v>591</v>
      </c>
      <c r="I2" s="81">
        <v>0.0</v>
      </c>
      <c r="J2" s="80" t="s">
        <v>592</v>
      </c>
      <c r="K2" s="81">
        <v>0.0</v>
      </c>
      <c r="L2" s="80" t="s">
        <v>593</v>
      </c>
      <c r="M2" s="81">
        <v>0.0</v>
      </c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</row>
    <row r="3" ht="15.75" customHeight="1">
      <c r="A3" s="8">
        <v>1424.0</v>
      </c>
      <c r="B3" s="9" t="s">
        <v>49</v>
      </c>
      <c r="C3" s="10" t="str">
        <f t="shared" si="1"/>
        <v>UPS-02_Control Room</v>
      </c>
      <c r="D3" s="11" t="s">
        <v>594</v>
      </c>
      <c r="E3" s="79" t="s">
        <v>590</v>
      </c>
      <c r="F3" s="5"/>
      <c r="G3" s="5"/>
      <c r="H3" s="82" t="s">
        <v>595</v>
      </c>
      <c r="I3" s="83">
        <v>0.0</v>
      </c>
      <c r="J3" s="82" t="s">
        <v>596</v>
      </c>
      <c r="K3" s="83">
        <v>0.0</v>
      </c>
      <c r="L3" s="82" t="s">
        <v>597</v>
      </c>
      <c r="M3" s="83">
        <v>0.0</v>
      </c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</row>
    <row r="4" ht="15.75" customHeight="1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</row>
    <row r="5" ht="15.75" customHeight="1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</row>
    <row r="6" ht="15.75" customHeight="1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</row>
    <row r="7" ht="15.75" customHeight="1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</row>
    <row r="11" ht="15.75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</row>
    <row r="12" ht="15.75" customHeight="1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</row>
    <row r="13" ht="15.75" customHeight="1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</row>
    <row r="14" ht="15.75" customHeight="1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</row>
    <row r="15" ht="15.75" customHeight="1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</row>
    <row r="16" ht="15.75" customHeight="1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</row>
    <row r="17" ht="15.75" customHeight="1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</row>
    <row r="18" ht="15.75" customHeight="1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</row>
    <row r="19" ht="15.75" customHeight="1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</row>
    <row r="20" ht="15.75" customHeight="1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</row>
    <row r="21" ht="15.75" customHeight="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</row>
    <row r="22" ht="15.75" customHeight="1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</row>
    <row r="23" ht="15.75" customHeight="1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</row>
    <row r="24" ht="15.75" customHeight="1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</row>
    <row r="25" ht="15.75" customHeight="1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</row>
    <row r="26" ht="15.75" customHeight="1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</row>
    <row r="27" ht="15.75" customHeight="1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</row>
    <row r="28" ht="15.75" customHeight="1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</row>
    <row r="29" ht="15.75" customHeight="1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</row>
    <row r="30" ht="15.75" customHeight="1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</row>
    <row r="31" ht="15.75" customHeight="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</row>
    <row r="32" ht="15.75" customHeight="1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</row>
    <row r="33" ht="15.7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</row>
    <row r="34" ht="15.75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</row>
    <row r="35" ht="15.75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</row>
    <row r="36" ht="15.7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</row>
    <row r="37" ht="15.7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</row>
    <row r="38" ht="15.7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</row>
    <row r="39" ht="15.7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</row>
    <row r="40" ht="15.7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</row>
    <row r="41" ht="15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</row>
    <row r="42" ht="15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</row>
    <row r="43" ht="15.7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</row>
    <row r="44" ht="15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</row>
    <row r="45" ht="15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</row>
    <row r="46" ht="15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</row>
    <row r="47" ht="15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</row>
    <row r="48" ht="15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</row>
    <row r="49" ht="15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</row>
    <row r="50" ht="15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</row>
    <row r="51" ht="15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</row>
    <row r="52" ht="15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</row>
    <row r="53" ht="15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</row>
    <row r="54" ht="15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</row>
    <row r="55" ht="15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</row>
    <row r="56" ht="15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</row>
    <row r="57" ht="15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</row>
    <row r="58" ht="15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</row>
    <row r="59" ht="15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</row>
    <row r="60" ht="15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</row>
    <row r="61" ht="15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</row>
    <row r="62" ht="15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</row>
    <row r="63" ht="15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</row>
    <row r="64" ht="15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</row>
    <row r="65" ht="15.7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</row>
    <row r="66" ht="15.7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ht="15.7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</row>
    <row r="68" ht="15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</row>
    <row r="69" ht="15.7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</row>
    <row r="70" ht="15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</row>
    <row r="71" ht="15.7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</row>
    <row r="72" ht="15.7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</row>
    <row r="73" ht="15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</row>
    <row r="74" ht="15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</row>
    <row r="75" ht="15.7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</row>
    <row r="76" ht="15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</row>
    <row r="77" ht="15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</row>
    <row r="78" ht="15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</row>
    <row r="79" ht="15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</row>
    <row r="80" ht="15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</row>
    <row r="81" ht="15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</row>
    <row r="82" ht="15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</row>
    <row r="83" ht="15.7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</row>
    <row r="84" ht="15.7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</row>
    <row r="85" ht="15.7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</row>
    <row r="86" ht="15.7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</row>
    <row r="87" ht="15.7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</row>
    <row r="88" ht="15.7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</row>
    <row r="89" ht="15.7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</row>
    <row r="90" ht="15.7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</row>
    <row r="91" ht="15.7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</row>
    <row r="92" ht="15.7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</row>
    <row r="93" ht="15.7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</row>
    <row r="94" ht="15.7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</row>
    <row r="95" ht="15.7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</row>
    <row r="96" ht="15.7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</row>
    <row r="97" ht="15.7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</row>
    <row r="98" ht="15.7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</row>
    <row r="99" ht="15.7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</row>
    <row r="100" ht="15.7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</row>
    <row r="101" ht="15.7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</row>
    <row r="102" ht="15.7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</row>
    <row r="103" ht="15.7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</row>
    <row r="104" ht="15.7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</row>
    <row r="105" ht="15.7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</row>
    <row r="106" ht="15.7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</row>
    <row r="107" ht="15.7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</row>
    <row r="108" ht="15.7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</row>
    <row r="109" ht="15.7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</row>
    <row r="110" ht="15.7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</row>
    <row r="111" ht="15.7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</row>
    <row r="112" ht="15.7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</row>
    <row r="113" ht="15.7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</row>
    <row r="114" ht="15.7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</row>
    <row r="115" ht="15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</row>
    <row r="116" ht="15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</row>
    <row r="117" ht="15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</row>
    <row r="118" ht="15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</row>
    <row r="119" ht="15.7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</row>
    <row r="120" ht="15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</row>
    <row r="121" ht="15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</row>
    <row r="122" ht="15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</row>
    <row r="123" ht="15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</row>
    <row r="124" ht="15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</row>
    <row r="125" ht="15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</row>
    <row r="126" ht="15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</row>
    <row r="127" ht="15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</row>
    <row r="128" ht="15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</row>
    <row r="129" ht="15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</row>
    <row r="130" ht="15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</row>
    <row r="131" ht="15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</row>
    <row r="132" ht="15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</row>
    <row r="133" ht="15.7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</row>
    <row r="134" ht="15.7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</row>
    <row r="135" ht="15.7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</row>
    <row r="136" ht="15.7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</row>
    <row r="137" ht="15.7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</row>
    <row r="138" ht="15.7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</row>
    <row r="139" ht="15.7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</row>
    <row r="140" ht="15.7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</row>
    <row r="141" ht="15.7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</row>
    <row r="142" ht="15.7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</row>
    <row r="143" ht="15.7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</row>
    <row r="144" ht="15.7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</row>
    <row r="145" ht="15.7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</row>
    <row r="146" ht="15.7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</row>
    <row r="147" ht="15.7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</row>
    <row r="148" ht="15.7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</row>
    <row r="149" ht="15.7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</row>
    <row r="150" ht="15.7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</row>
    <row r="151" ht="15.7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</row>
    <row r="152" ht="15.7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</row>
    <row r="153" ht="15.7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</row>
    <row r="154" ht="15.7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</row>
    <row r="155" ht="15.7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</row>
    <row r="156" ht="15.7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</row>
    <row r="157" ht="15.7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</row>
    <row r="158" ht="15.7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</row>
    <row r="159" ht="15.7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</row>
    <row r="160" ht="15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</row>
    <row r="161" ht="15.7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</row>
    <row r="162" ht="15.7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</row>
    <row r="163" ht="15.7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</row>
    <row r="164" ht="15.7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</row>
    <row r="165" ht="15.7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</row>
    <row r="166" ht="15.7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</row>
    <row r="167" ht="15.7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</row>
    <row r="168" ht="15.7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</row>
    <row r="169" ht="15.7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</row>
    <row r="170" ht="15.7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</row>
    <row r="171" ht="15.7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</row>
    <row r="172" ht="15.7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</row>
    <row r="173" ht="15.7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</row>
    <row r="174" ht="15.7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</row>
    <row r="175" ht="15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</row>
    <row r="176" ht="15.7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</row>
    <row r="177" ht="15.7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</row>
    <row r="178" ht="15.7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</row>
    <row r="179" ht="15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</row>
    <row r="180" ht="15.7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</row>
    <row r="181" ht="15.7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</row>
    <row r="182" ht="15.7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</row>
    <row r="183" ht="15.7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</row>
    <row r="184" ht="15.7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</row>
    <row r="185" ht="15.7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</row>
    <row r="186" ht="15.7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</row>
    <row r="187" ht="15.7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</row>
    <row r="188" ht="15.7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</row>
    <row r="189" ht="15.7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</row>
    <row r="190" ht="15.7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</row>
    <row r="191" ht="15.7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</row>
    <row r="192" ht="15.7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</row>
    <row r="193" ht="15.7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</row>
    <row r="194" ht="15.7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</row>
    <row r="195" ht="15.7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</row>
    <row r="196" ht="15.7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</row>
    <row r="197" ht="15.7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</row>
    <row r="198" ht="15.7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</row>
    <row r="199" ht="15.7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</row>
    <row r="200" ht="15.7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</row>
    <row r="201" ht="15.75" customHeigh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</row>
    <row r="202" ht="15.75" customHeigh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</row>
    <row r="203" ht="15.75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</row>
    <row r="204" ht="15.75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</row>
    <row r="205" ht="15.75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</row>
    <row r="206" ht="15.75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</row>
    <row r="207" ht="15.75" customHeigh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</row>
    <row r="208" ht="15.75" customHeigh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</row>
    <row r="209" ht="15.75" customHeigh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</row>
    <row r="210" ht="15.75" customHeigh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</row>
    <row r="211" ht="15.75" customHeigh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</row>
    <row r="212" ht="15.75" customHeigh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</row>
    <row r="213" ht="15.75" customHeigh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</row>
    <row r="214" ht="15.75" customHeigh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7.25"/>
    <col customWidth="1" min="3" max="3" width="17.25"/>
    <col customWidth="1" min="4" max="4" width="7.88"/>
    <col customWidth="1" min="5" max="5" width="11.75"/>
    <col customWidth="1" min="6" max="6" width="26.25"/>
    <col customWidth="1" min="7" max="7" width="11.5"/>
    <col customWidth="1" min="8" max="8" width="9.0"/>
    <col customWidth="1" min="9" max="9" width="11.0"/>
    <col customWidth="1" min="10" max="10" width="26.25"/>
    <col customWidth="1" min="11" max="11" width="11.5"/>
    <col customWidth="1" min="12" max="12" width="9.0"/>
    <col customWidth="1" min="13" max="13" width="11.38"/>
    <col customWidth="1" min="14" max="14" width="32.25"/>
    <col customWidth="1" min="15" max="15" width="11.63"/>
    <col customWidth="1" min="16" max="16" width="9.0"/>
    <col customWidth="1" min="17" max="17" width="11.38"/>
    <col customWidth="1" min="18" max="18" width="15.0"/>
    <col customWidth="1" min="19" max="19" width="11.63"/>
    <col customWidth="1" min="20" max="20" width="9.0"/>
    <col customWidth="1" min="21" max="21" width="11.38"/>
    <col customWidth="1" min="22" max="22" width="20.75"/>
    <col customWidth="1" min="23" max="23" width="12.38"/>
    <col customWidth="1" min="24" max="24" width="9.0"/>
    <col customWidth="1" min="25" max="25" width="11.38"/>
    <col customWidth="1" min="26" max="26" width="20.75"/>
    <col customWidth="1" min="27" max="27" width="12.38"/>
    <col customWidth="1" min="28" max="28" width="9.0"/>
    <col customWidth="1" min="29" max="29" width="11.38"/>
  </cols>
  <sheetData>
    <row r="1">
      <c r="A1" s="78" t="s">
        <v>0</v>
      </c>
      <c r="B1" s="78" t="s">
        <v>1</v>
      </c>
      <c r="C1" s="58" t="s">
        <v>2</v>
      </c>
      <c r="D1" s="58" t="s">
        <v>598</v>
      </c>
      <c r="E1" s="58" t="s">
        <v>1</v>
      </c>
      <c r="F1" s="59" t="s">
        <v>599</v>
      </c>
      <c r="G1" s="60" t="s">
        <v>13</v>
      </c>
      <c r="H1" s="59" t="s">
        <v>9</v>
      </c>
      <c r="I1" s="59" t="s">
        <v>296</v>
      </c>
      <c r="J1" s="59" t="s">
        <v>600</v>
      </c>
      <c r="K1" s="60" t="s">
        <v>13</v>
      </c>
      <c r="L1" s="59" t="s">
        <v>9</v>
      </c>
      <c r="M1" s="59" t="s">
        <v>10</v>
      </c>
      <c r="N1" s="59" t="s">
        <v>601</v>
      </c>
      <c r="O1" s="60" t="s">
        <v>13</v>
      </c>
      <c r="P1" s="59" t="s">
        <v>295</v>
      </c>
      <c r="Q1" s="59" t="s">
        <v>10</v>
      </c>
      <c r="R1" s="59" t="s">
        <v>602</v>
      </c>
      <c r="S1" s="60" t="s">
        <v>13</v>
      </c>
      <c r="T1" s="59" t="s">
        <v>9</v>
      </c>
      <c r="U1" s="59" t="s">
        <v>603</v>
      </c>
      <c r="V1" s="59" t="s">
        <v>604</v>
      </c>
      <c r="W1" s="60" t="s">
        <v>13</v>
      </c>
      <c r="X1" s="59" t="s">
        <v>295</v>
      </c>
      <c r="Y1" s="59" t="s">
        <v>10</v>
      </c>
      <c r="Z1" s="59" t="s">
        <v>605</v>
      </c>
      <c r="AA1" s="60" t="s">
        <v>13</v>
      </c>
      <c r="AB1" s="59" t="s">
        <v>9</v>
      </c>
      <c r="AC1" s="59" t="s">
        <v>10</v>
      </c>
    </row>
    <row r="2" ht="15.75" customHeight="1">
      <c r="A2" s="8">
        <v>1424.0</v>
      </c>
      <c r="B2" s="9" t="s">
        <v>49</v>
      </c>
      <c r="C2" s="10" t="str">
        <f t="shared" ref="C2:C3" si="1">CONCATENATE(D2,"_",E2)</f>
        <v>GEPLC_Process PLC</v>
      </c>
      <c r="D2" s="10" t="s">
        <v>606</v>
      </c>
      <c r="E2" s="79" t="s">
        <v>607</v>
      </c>
      <c r="F2" s="84" t="s">
        <v>608</v>
      </c>
      <c r="G2" s="85">
        <v>1.0</v>
      </c>
      <c r="H2" s="14" t="s">
        <v>609</v>
      </c>
      <c r="I2" s="14" t="s">
        <v>610</v>
      </c>
      <c r="J2" s="84" t="s">
        <v>611</v>
      </c>
      <c r="K2" s="85">
        <v>1.0</v>
      </c>
      <c r="L2" s="14" t="s">
        <v>609</v>
      </c>
      <c r="M2" s="14" t="s">
        <v>612</v>
      </c>
      <c r="N2" s="71"/>
      <c r="O2" s="71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ht="15.75" customHeight="1">
      <c r="A3" s="8">
        <v>1424.0</v>
      </c>
      <c r="B3" s="9" t="s">
        <v>49</v>
      </c>
      <c r="C3" s="10" t="str">
        <f t="shared" si="1"/>
        <v>SFT PLC_Safety PLC</v>
      </c>
      <c r="D3" s="75" t="s">
        <v>613</v>
      </c>
      <c r="E3" s="86" t="s">
        <v>614</v>
      </c>
      <c r="F3" s="84" t="s">
        <v>615</v>
      </c>
      <c r="G3" s="85">
        <v>1.0</v>
      </c>
      <c r="H3" s="14" t="s">
        <v>616</v>
      </c>
      <c r="I3" s="14" t="s">
        <v>610</v>
      </c>
      <c r="J3" s="84" t="s">
        <v>617</v>
      </c>
      <c r="K3" s="85">
        <v>1.0</v>
      </c>
      <c r="L3" s="14" t="s">
        <v>616</v>
      </c>
      <c r="M3" s="14" t="s">
        <v>612</v>
      </c>
      <c r="N3" s="71"/>
      <c r="O3" s="71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 ht="15.75" customHeight="1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</row>
    <row r="5" ht="15.75" customHeight="1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</row>
    <row r="6" ht="15.75" customHeight="1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</row>
    <row r="7" ht="15.75" customHeight="1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</row>
    <row r="11" ht="15.75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</row>
    <row r="12" ht="15.75" customHeight="1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</row>
    <row r="13" ht="15.75" customHeight="1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</row>
    <row r="14" ht="15.75" customHeight="1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</row>
    <row r="15" ht="15.75" customHeight="1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</row>
    <row r="16" ht="15.75" customHeight="1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</row>
    <row r="17" ht="15.75" customHeight="1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</row>
    <row r="18" ht="15.75" customHeight="1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</row>
    <row r="19" ht="15.75" customHeight="1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</row>
    <row r="20" ht="15.75" customHeight="1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</row>
    <row r="21" ht="15.75" customHeight="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</row>
    <row r="22" ht="15.75" customHeight="1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</row>
    <row r="23" ht="15.75" customHeight="1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</row>
    <row r="24" ht="15.75" customHeight="1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</row>
    <row r="25" ht="15.75" customHeight="1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</row>
    <row r="26" ht="15.75" customHeight="1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</row>
    <row r="27" ht="15.75" customHeight="1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</row>
    <row r="28" ht="15.75" customHeight="1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</row>
    <row r="29" ht="15.75" customHeight="1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</row>
    <row r="30" ht="15.75" customHeight="1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</row>
    <row r="31" ht="15.75" customHeight="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</row>
    <row r="32" ht="15.75" customHeight="1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</row>
    <row r="33" ht="15.7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</row>
    <row r="34" ht="15.75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</row>
    <row r="35" ht="15.75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</row>
    <row r="36" ht="15.7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</row>
    <row r="37" ht="15.7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</row>
    <row r="38" ht="15.7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</row>
    <row r="39" ht="15.7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</row>
    <row r="40" ht="15.7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</row>
    <row r="41" ht="15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</row>
    <row r="42" ht="15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</row>
    <row r="43" ht="15.7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</row>
    <row r="44" ht="15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</row>
    <row r="45" ht="15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</row>
    <row r="46" ht="15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</row>
    <row r="47" ht="15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</row>
    <row r="48" ht="15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</row>
    <row r="49" ht="15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</row>
    <row r="50" ht="15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</row>
    <row r="51" ht="15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</row>
    <row r="52" ht="15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</row>
    <row r="53" ht="15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</row>
    <row r="54" ht="15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</row>
    <row r="55" ht="15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</row>
    <row r="56" ht="15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</row>
    <row r="57" ht="15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</row>
    <row r="58" ht="15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</row>
    <row r="59" ht="15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</row>
    <row r="60" ht="15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</row>
    <row r="61" ht="15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</row>
    <row r="62" ht="15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</row>
    <row r="63" ht="15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</row>
    <row r="64" ht="15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</row>
    <row r="65" ht="15.7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</row>
    <row r="66" ht="15.7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</row>
    <row r="67" ht="15.7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</row>
    <row r="68" ht="15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</row>
    <row r="69" ht="15.7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</row>
    <row r="70" ht="15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</row>
    <row r="71" ht="15.7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</row>
    <row r="72" ht="15.7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</row>
    <row r="73" ht="15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</row>
    <row r="74" ht="15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</row>
    <row r="75" ht="15.7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</row>
    <row r="76" ht="15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</row>
    <row r="77" ht="15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</row>
    <row r="78" ht="15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</row>
    <row r="79" ht="15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</row>
    <row r="80" ht="15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</row>
    <row r="81" ht="15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</row>
    <row r="82" ht="15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</row>
    <row r="83" ht="15.7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</row>
    <row r="84" ht="15.7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</row>
    <row r="85" ht="15.7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</row>
    <row r="86" ht="15.7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</row>
    <row r="87" ht="15.7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</row>
    <row r="88" ht="15.7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</row>
    <row r="89" ht="15.7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</row>
    <row r="90" ht="15.7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</row>
    <row r="91" ht="15.7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</row>
    <row r="92" ht="15.7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</row>
    <row r="93" ht="15.7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</row>
    <row r="94" ht="15.7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</row>
    <row r="95" ht="15.7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</row>
    <row r="96" ht="15.7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</row>
    <row r="97" ht="15.7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</row>
    <row r="98" ht="15.7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</row>
    <row r="99" ht="15.7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</row>
    <row r="100" ht="15.7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</row>
    <row r="101" ht="15.7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</row>
    <row r="102" ht="15.7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</row>
    <row r="103" ht="15.7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</row>
    <row r="104" ht="15.7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</row>
    <row r="105" ht="15.7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</row>
    <row r="106" ht="15.7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</row>
    <row r="107" ht="15.7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</row>
    <row r="108" ht="15.7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</row>
    <row r="109" ht="15.7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</row>
    <row r="110" ht="15.7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</row>
    <row r="111" ht="15.7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</row>
    <row r="112" ht="15.7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</row>
    <row r="113" ht="15.7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</row>
    <row r="114" ht="15.7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</row>
    <row r="115" ht="15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</row>
    <row r="116" ht="15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</row>
    <row r="117" ht="15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</row>
    <row r="118" ht="15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</row>
    <row r="119" ht="15.7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</row>
    <row r="120" ht="15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</row>
    <row r="121" ht="15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</row>
    <row r="122" ht="15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</row>
    <row r="123" ht="15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</row>
    <row r="124" ht="15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</row>
    <row r="125" ht="15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</row>
    <row r="126" ht="15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</row>
    <row r="127" ht="15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</row>
    <row r="128" ht="15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</row>
    <row r="129" ht="15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</row>
    <row r="130" ht="15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</row>
    <row r="131" ht="15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</row>
    <row r="132" ht="15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</row>
    <row r="133" ht="15.7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</row>
    <row r="134" ht="15.7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</row>
    <row r="135" ht="15.7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</row>
    <row r="136" ht="15.7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</row>
    <row r="137" ht="15.7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</row>
    <row r="138" ht="15.7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</row>
    <row r="139" ht="15.7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</row>
    <row r="140" ht="15.7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</row>
    <row r="141" ht="15.7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</row>
    <row r="142" ht="15.7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</row>
    <row r="143" ht="15.7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</row>
    <row r="144" ht="15.7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</row>
    <row r="145" ht="15.7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</row>
    <row r="146" ht="15.7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</row>
    <row r="147" ht="15.7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</row>
    <row r="148" ht="15.7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</row>
    <row r="149" ht="15.7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</row>
    <row r="150" ht="15.7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</row>
    <row r="151" ht="15.7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</row>
    <row r="152" ht="15.7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</row>
    <row r="153" ht="15.7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</row>
    <row r="154" ht="15.7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</row>
    <row r="155" ht="15.7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</row>
    <row r="156" ht="15.7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</row>
    <row r="157" ht="15.7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</row>
    <row r="158" ht="15.7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</row>
    <row r="159" ht="15.7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</row>
    <row r="160" ht="15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</row>
    <row r="161" ht="15.7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</row>
    <row r="162" ht="15.7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</row>
    <row r="163" ht="15.7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</row>
    <row r="164" ht="15.7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</row>
    <row r="165" ht="15.7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</row>
    <row r="166" ht="15.7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</row>
    <row r="167" ht="15.7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</row>
    <row r="168" ht="15.7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</row>
    <row r="169" ht="15.7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</row>
    <row r="170" ht="15.7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</row>
    <row r="171" ht="15.7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</row>
    <row r="172" ht="15.7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</row>
    <row r="173" ht="15.7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</row>
    <row r="174" ht="15.7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</row>
    <row r="175" ht="15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</row>
    <row r="176" ht="15.7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</row>
    <row r="177" ht="15.7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</row>
    <row r="178" ht="15.7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</row>
    <row r="179" ht="15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</row>
    <row r="180" ht="15.7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</row>
    <row r="181" ht="15.7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</row>
    <row r="182" ht="15.7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</row>
    <row r="183" ht="15.7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</row>
    <row r="184" ht="15.7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</row>
    <row r="185" ht="15.7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</row>
    <row r="186" ht="15.7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</row>
    <row r="187" ht="15.7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</row>
    <row r="188" ht="15.7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</row>
    <row r="189" ht="15.7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</row>
    <row r="190" ht="15.7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</row>
    <row r="191" ht="15.7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</row>
    <row r="192" ht="15.7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</row>
    <row r="193" ht="15.7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</row>
    <row r="194" ht="15.7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</row>
    <row r="195" ht="15.7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</row>
    <row r="196" ht="15.7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</row>
    <row r="197" ht="15.7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</row>
    <row r="198" ht="15.7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</row>
    <row r="199" ht="15.7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</row>
    <row r="200" ht="15.7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</row>
    <row r="201" ht="15.75" customHeigh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</row>
    <row r="202" ht="15.75" customHeigh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</row>
    <row r="203" ht="15.75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</row>
    <row r="204" ht="15.75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</row>
    <row r="205" ht="15.75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</row>
    <row r="206" ht="15.75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</row>
    <row r="207" ht="15.75" customHeigh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</row>
    <row r="208" ht="15.75" customHeigh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</row>
    <row r="209" ht="15.75" customHeigh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</row>
    <row r="210" ht="15.75" customHeigh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</row>
    <row r="211" ht="15.75" customHeigh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</row>
    <row r="212" ht="15.75" customHeigh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</row>
    <row r="213" ht="15.75" customHeigh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</row>
    <row r="214" ht="15.75" customHeigh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</row>
    <row r="215" ht="15.75" customHeight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</row>
    <row r="216" ht="15.75" customHeight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</row>
    <row r="217" ht="15.75" customHeight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</row>
    <row r="218" ht="15.75" customHeigh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</row>
    <row r="219" ht="15.75" customHeight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</row>
    <row r="220" ht="15.75" customHeight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37.75"/>
    <col customWidth="1" min="5" max="5" width="10.25"/>
    <col customWidth="1" min="7" max="7" width="35.63"/>
    <col customWidth="1" min="9" max="9" width="35.63"/>
    <col customWidth="1" min="11" max="11" width="31.75"/>
    <col customWidth="1" min="13" max="13" width="19.63"/>
    <col customWidth="1" min="15" max="15" width="28.75"/>
    <col customWidth="1" min="17" max="17" width="29.75"/>
  </cols>
  <sheetData>
    <row r="1">
      <c r="A1" s="78" t="s">
        <v>0</v>
      </c>
      <c r="B1" s="78" t="s">
        <v>1</v>
      </c>
      <c r="C1" s="58" t="s">
        <v>2</v>
      </c>
      <c r="D1" s="58" t="s">
        <v>618</v>
      </c>
      <c r="E1" s="58" t="s">
        <v>619</v>
      </c>
      <c r="F1" s="58" t="s">
        <v>1</v>
      </c>
      <c r="G1" s="87" t="s">
        <v>620</v>
      </c>
      <c r="H1" s="88" t="s">
        <v>621</v>
      </c>
      <c r="I1" s="87" t="s">
        <v>622</v>
      </c>
      <c r="J1" s="88" t="s">
        <v>623</v>
      </c>
      <c r="K1" s="87" t="s">
        <v>624</v>
      </c>
      <c r="L1" s="88" t="s">
        <v>625</v>
      </c>
      <c r="M1" s="87" t="s">
        <v>626</v>
      </c>
      <c r="N1" s="88" t="s">
        <v>627</v>
      </c>
      <c r="O1" s="87" t="s">
        <v>628</v>
      </c>
      <c r="P1" s="88" t="s">
        <v>629</v>
      </c>
      <c r="Q1" s="89" t="s">
        <v>630</v>
      </c>
      <c r="R1" s="90" t="s">
        <v>7</v>
      </c>
    </row>
    <row r="2">
      <c r="A2" s="8">
        <v>1424.0</v>
      </c>
      <c r="B2" s="9" t="s">
        <v>49</v>
      </c>
      <c r="C2" s="72" t="str">
        <f t="shared" ref="C2:C15" si="1">CONCATENATE(D2,"_",E2,"_",F2)</f>
        <v>HDS-01_POINT_TYP_TTL PUMP HOUSE</v>
      </c>
      <c r="D2" s="63" t="s">
        <v>631</v>
      </c>
      <c r="E2" s="64" t="s">
        <v>632</v>
      </c>
      <c r="F2" s="63" t="s">
        <v>633</v>
      </c>
      <c r="G2" s="84" t="s">
        <v>634</v>
      </c>
      <c r="H2" s="85">
        <v>0.0</v>
      </c>
      <c r="I2" s="84" t="s">
        <v>635</v>
      </c>
      <c r="J2" s="85">
        <v>0.0</v>
      </c>
      <c r="K2" s="84" t="s">
        <v>636</v>
      </c>
      <c r="L2" s="85">
        <v>0.0</v>
      </c>
      <c r="M2" s="84" t="s">
        <v>637</v>
      </c>
      <c r="N2" s="85">
        <v>0.0</v>
      </c>
      <c r="O2" s="84" t="s">
        <v>638</v>
      </c>
      <c r="P2" s="85">
        <v>0.0</v>
      </c>
      <c r="Q2" s="91" t="s">
        <v>639</v>
      </c>
      <c r="R2" s="85">
        <v>0.0</v>
      </c>
    </row>
    <row r="3">
      <c r="A3" s="8">
        <v>1424.0</v>
      </c>
      <c r="B3" s="9" t="s">
        <v>49</v>
      </c>
      <c r="C3" s="72" t="str">
        <f t="shared" si="1"/>
        <v>HDS-02_POINT_TYP_TANKFARM TK-22 MS</v>
      </c>
      <c r="D3" s="43" t="s">
        <v>640</v>
      </c>
      <c r="E3" s="64" t="s">
        <v>632</v>
      </c>
      <c r="F3" s="43" t="s">
        <v>641</v>
      </c>
      <c r="G3" s="42" t="s">
        <v>642</v>
      </c>
      <c r="H3" s="85">
        <v>0.0</v>
      </c>
      <c r="I3" s="42" t="s">
        <v>643</v>
      </c>
      <c r="J3" s="85">
        <v>0.0</v>
      </c>
      <c r="K3" s="42" t="s">
        <v>644</v>
      </c>
      <c r="L3" s="85">
        <v>0.0</v>
      </c>
      <c r="M3" s="42" t="s">
        <v>645</v>
      </c>
      <c r="N3" s="85">
        <v>0.0</v>
      </c>
      <c r="O3" s="42" t="s">
        <v>646</v>
      </c>
      <c r="P3" s="85">
        <v>0.0</v>
      </c>
      <c r="Q3" s="91" t="s">
        <v>639</v>
      </c>
      <c r="R3" s="85">
        <v>0.0</v>
      </c>
    </row>
    <row r="4">
      <c r="A4" s="8">
        <v>1424.0</v>
      </c>
      <c r="B4" s="9" t="s">
        <v>49</v>
      </c>
      <c r="C4" s="72" t="str">
        <f t="shared" si="1"/>
        <v>HDS-03_POINT_TYP_TWD PUMP HOUSE</v>
      </c>
      <c r="D4" s="43" t="s">
        <v>647</v>
      </c>
      <c r="E4" s="64" t="s">
        <v>632</v>
      </c>
      <c r="F4" s="43" t="s">
        <v>648</v>
      </c>
      <c r="G4" s="42" t="s">
        <v>649</v>
      </c>
      <c r="H4" s="85">
        <v>0.0</v>
      </c>
      <c r="I4" s="42" t="s">
        <v>650</v>
      </c>
      <c r="J4" s="85">
        <v>0.0</v>
      </c>
      <c r="K4" s="42" t="s">
        <v>651</v>
      </c>
      <c r="L4" s="85">
        <v>0.0</v>
      </c>
      <c r="M4" s="42" t="s">
        <v>652</v>
      </c>
      <c r="N4" s="85">
        <v>0.0</v>
      </c>
      <c r="O4" s="42" t="s">
        <v>653</v>
      </c>
      <c r="P4" s="85">
        <v>0.0</v>
      </c>
      <c r="Q4" s="91" t="s">
        <v>639</v>
      </c>
      <c r="R4" s="85">
        <v>0.0</v>
      </c>
    </row>
    <row r="5">
      <c r="A5" s="8">
        <v>1424.0</v>
      </c>
      <c r="B5" s="9" t="s">
        <v>49</v>
      </c>
      <c r="C5" s="72" t="str">
        <f t="shared" si="1"/>
        <v>HDS-04_FIXED-TYP_TTL PUMP HOUSE</v>
      </c>
      <c r="D5" s="43" t="s">
        <v>654</v>
      </c>
      <c r="E5" s="64" t="s">
        <v>655</v>
      </c>
      <c r="F5" s="43" t="s">
        <v>633</v>
      </c>
      <c r="G5" s="42" t="s">
        <v>656</v>
      </c>
      <c r="H5" s="85">
        <v>0.0</v>
      </c>
      <c r="I5" s="42" t="s">
        <v>657</v>
      </c>
      <c r="J5" s="85">
        <v>0.0</v>
      </c>
      <c r="K5" s="42" t="s">
        <v>658</v>
      </c>
      <c r="L5" s="85">
        <v>0.0</v>
      </c>
      <c r="M5" s="42" t="s">
        <v>659</v>
      </c>
      <c r="N5" s="85">
        <v>0.0</v>
      </c>
      <c r="O5" s="42" t="s">
        <v>660</v>
      </c>
      <c r="P5" s="85">
        <v>0.0</v>
      </c>
      <c r="Q5" s="91" t="s">
        <v>639</v>
      </c>
      <c r="R5" s="85">
        <v>0.0</v>
      </c>
    </row>
    <row r="6">
      <c r="A6" s="8">
        <v>1424.0</v>
      </c>
      <c r="B6" s="9" t="s">
        <v>49</v>
      </c>
      <c r="C6" s="72" t="str">
        <f t="shared" si="1"/>
        <v>HDS-05_FIXED-TYP_TANKFARM TK-24 SKO</v>
      </c>
      <c r="D6" s="43" t="s">
        <v>661</v>
      </c>
      <c r="E6" s="64" t="s">
        <v>655</v>
      </c>
      <c r="F6" s="43" t="s">
        <v>662</v>
      </c>
      <c r="G6" s="42" t="s">
        <v>663</v>
      </c>
      <c r="H6" s="85">
        <v>0.0</v>
      </c>
      <c r="I6" s="42" t="s">
        <v>664</v>
      </c>
      <c r="J6" s="85">
        <v>0.0</v>
      </c>
      <c r="K6" s="42" t="s">
        <v>665</v>
      </c>
      <c r="L6" s="85">
        <v>0.0</v>
      </c>
      <c r="M6" s="42" t="s">
        <v>666</v>
      </c>
      <c r="N6" s="85">
        <v>0.0</v>
      </c>
      <c r="O6" s="42" t="s">
        <v>667</v>
      </c>
      <c r="P6" s="85">
        <v>0.0</v>
      </c>
      <c r="Q6" s="91" t="s">
        <v>639</v>
      </c>
      <c r="R6" s="85">
        <v>0.0</v>
      </c>
    </row>
    <row r="7">
      <c r="A7" s="8">
        <v>1424.0</v>
      </c>
      <c r="B7" s="9" t="s">
        <v>49</v>
      </c>
      <c r="C7" s="72" t="str">
        <f t="shared" si="1"/>
        <v>HDS-06_FIXED-TYP_TWD PUMP HOUSE</v>
      </c>
      <c r="D7" s="43" t="s">
        <v>668</v>
      </c>
      <c r="E7" s="64" t="s">
        <v>655</v>
      </c>
      <c r="F7" s="43" t="s">
        <v>648</v>
      </c>
      <c r="G7" s="42" t="s">
        <v>669</v>
      </c>
      <c r="H7" s="85">
        <v>0.0</v>
      </c>
      <c r="I7" s="42" t="s">
        <v>670</v>
      </c>
      <c r="J7" s="85">
        <v>0.0</v>
      </c>
      <c r="K7" s="42" t="s">
        <v>671</v>
      </c>
      <c r="L7" s="85">
        <v>0.0</v>
      </c>
      <c r="M7" s="42" t="s">
        <v>672</v>
      </c>
      <c r="N7" s="85">
        <v>0.0</v>
      </c>
      <c r="O7" s="42" t="s">
        <v>673</v>
      </c>
      <c r="P7" s="85">
        <v>0.0</v>
      </c>
      <c r="Q7" s="91" t="s">
        <v>639</v>
      </c>
      <c r="R7" s="85">
        <v>0.0</v>
      </c>
    </row>
    <row r="8">
      <c r="A8" s="8">
        <v>1424.0</v>
      </c>
      <c r="B8" s="9" t="s">
        <v>49</v>
      </c>
      <c r="C8" s="72" t="str">
        <f t="shared" si="1"/>
        <v>HDS-07_POINT_TYP_NEAR MANIFOLD TK-22</v>
      </c>
      <c r="D8" s="43" t="s">
        <v>674</v>
      </c>
      <c r="E8" s="64" t="s">
        <v>632</v>
      </c>
      <c r="F8" s="43" t="s">
        <v>675</v>
      </c>
      <c r="G8" s="42" t="s">
        <v>676</v>
      </c>
      <c r="H8" s="85">
        <v>0.0</v>
      </c>
      <c r="I8" s="42" t="s">
        <v>677</v>
      </c>
      <c r="J8" s="85">
        <v>0.0</v>
      </c>
      <c r="K8" s="42" t="s">
        <v>678</v>
      </c>
      <c r="L8" s="85">
        <v>0.0</v>
      </c>
      <c r="M8" s="42" t="s">
        <v>679</v>
      </c>
      <c r="N8" s="85">
        <v>0.0</v>
      </c>
      <c r="O8" s="42" t="s">
        <v>680</v>
      </c>
      <c r="P8" s="85">
        <v>0.0</v>
      </c>
      <c r="Q8" s="91" t="s">
        <v>639</v>
      </c>
      <c r="R8" s="85">
        <v>0.0</v>
      </c>
    </row>
    <row r="9">
      <c r="A9" s="8">
        <v>1424.0</v>
      </c>
      <c r="B9" s="9" t="s">
        <v>49</v>
      </c>
      <c r="C9" s="72" t="str">
        <f t="shared" si="1"/>
        <v>HDS-08_POINT_TYP_NEAR MANIFOLD TK-23</v>
      </c>
      <c r="D9" s="43" t="s">
        <v>681</v>
      </c>
      <c r="E9" s="64" t="s">
        <v>632</v>
      </c>
      <c r="F9" s="43" t="s">
        <v>682</v>
      </c>
      <c r="G9" s="42" t="s">
        <v>683</v>
      </c>
      <c r="H9" s="85">
        <v>0.0</v>
      </c>
      <c r="I9" s="42" t="s">
        <v>684</v>
      </c>
      <c r="J9" s="85">
        <v>0.0</v>
      </c>
      <c r="K9" s="42" t="s">
        <v>685</v>
      </c>
      <c r="L9" s="85">
        <v>0.0</v>
      </c>
      <c r="M9" s="42" t="s">
        <v>686</v>
      </c>
      <c r="N9" s="85">
        <v>0.0</v>
      </c>
      <c r="O9" s="42" t="s">
        <v>687</v>
      </c>
      <c r="P9" s="85">
        <v>0.0</v>
      </c>
      <c r="Q9" s="91" t="s">
        <v>639</v>
      </c>
      <c r="R9" s="85">
        <v>0.0</v>
      </c>
    </row>
    <row r="10">
      <c r="A10" s="8">
        <v>1424.0</v>
      </c>
      <c r="B10" s="9" t="s">
        <v>49</v>
      </c>
      <c r="C10" s="72" t="str">
        <f t="shared" si="1"/>
        <v>HDS-09_POINT_TYP_NEAR MANIFOLD TK-24</v>
      </c>
      <c r="D10" s="43" t="s">
        <v>688</v>
      </c>
      <c r="E10" s="64" t="s">
        <v>632</v>
      </c>
      <c r="F10" s="43" t="s">
        <v>689</v>
      </c>
      <c r="G10" s="42" t="s">
        <v>690</v>
      </c>
      <c r="H10" s="85">
        <v>0.0</v>
      </c>
      <c r="I10" s="42" t="s">
        <v>691</v>
      </c>
      <c r="J10" s="85">
        <v>0.0</v>
      </c>
      <c r="K10" s="42" t="s">
        <v>692</v>
      </c>
      <c r="L10" s="85">
        <v>0.0</v>
      </c>
      <c r="M10" s="42" t="s">
        <v>693</v>
      </c>
      <c r="N10" s="85">
        <v>0.0</v>
      </c>
      <c r="O10" s="42" t="s">
        <v>694</v>
      </c>
      <c r="P10" s="85">
        <v>0.0</v>
      </c>
      <c r="Q10" s="91" t="s">
        <v>639</v>
      </c>
      <c r="R10" s="85">
        <v>0.0</v>
      </c>
    </row>
    <row r="11">
      <c r="A11" s="8">
        <v>1424.0</v>
      </c>
      <c r="B11" s="9" t="s">
        <v>49</v>
      </c>
      <c r="C11" s="72" t="str">
        <f t="shared" si="1"/>
        <v>HDS-10_POINT_TYP_NEAR VRU SYSTEM</v>
      </c>
      <c r="D11" s="43" t="s">
        <v>695</v>
      </c>
      <c r="E11" s="64" t="s">
        <v>632</v>
      </c>
      <c r="F11" s="43" t="s">
        <v>696</v>
      </c>
      <c r="G11" s="42" t="s">
        <v>697</v>
      </c>
      <c r="H11" s="85">
        <v>0.0</v>
      </c>
      <c r="I11" s="42" t="s">
        <v>698</v>
      </c>
      <c r="J11" s="85">
        <v>0.0</v>
      </c>
      <c r="K11" s="42" t="s">
        <v>699</v>
      </c>
      <c r="L11" s="85">
        <v>0.0</v>
      </c>
      <c r="M11" s="42" t="s">
        <v>700</v>
      </c>
      <c r="N11" s="85">
        <v>0.0</v>
      </c>
      <c r="O11" s="42" t="s">
        <v>701</v>
      </c>
      <c r="P11" s="85">
        <v>0.0</v>
      </c>
      <c r="Q11" s="91" t="s">
        <v>639</v>
      </c>
      <c r="R11" s="85">
        <v>0.0</v>
      </c>
    </row>
    <row r="12">
      <c r="A12" s="8">
        <v>1424.0</v>
      </c>
      <c r="B12" s="9" t="s">
        <v>49</v>
      </c>
      <c r="C12" s="72" t="str">
        <f t="shared" si="1"/>
        <v>HDS-11_PTD_TANK 09, 10 &amp; 11</v>
      </c>
      <c r="D12" s="43" t="s">
        <v>702</v>
      </c>
      <c r="E12" s="64" t="s">
        <v>703</v>
      </c>
      <c r="F12" s="43" t="s">
        <v>704</v>
      </c>
      <c r="G12" s="42" t="s">
        <v>705</v>
      </c>
      <c r="H12" s="85">
        <v>0.0</v>
      </c>
      <c r="I12" s="42" t="s">
        <v>706</v>
      </c>
      <c r="J12" s="85">
        <v>0.0</v>
      </c>
      <c r="K12" s="42" t="s">
        <v>707</v>
      </c>
      <c r="L12" s="85">
        <v>0.0</v>
      </c>
      <c r="M12" s="42" t="s">
        <v>708</v>
      </c>
      <c r="N12" s="85">
        <v>0.0</v>
      </c>
      <c r="O12" s="42" t="s">
        <v>709</v>
      </c>
      <c r="P12" s="85">
        <v>0.0</v>
      </c>
      <c r="Q12" s="91" t="s">
        <v>639</v>
      </c>
      <c r="R12" s="85">
        <v>0.0</v>
      </c>
    </row>
    <row r="13">
      <c r="A13" s="8">
        <v>1424.0</v>
      </c>
      <c r="B13" s="9" t="s">
        <v>49</v>
      </c>
      <c r="C13" s="72" t="str">
        <f t="shared" si="1"/>
        <v>HDS-12_PTD_TANK 17</v>
      </c>
      <c r="D13" s="43" t="s">
        <v>710</v>
      </c>
      <c r="E13" s="64" t="s">
        <v>703</v>
      </c>
      <c r="F13" s="43" t="s">
        <v>711</v>
      </c>
      <c r="G13" s="42" t="s">
        <v>712</v>
      </c>
      <c r="H13" s="85">
        <v>0.0</v>
      </c>
      <c r="I13" s="42" t="s">
        <v>713</v>
      </c>
      <c r="J13" s="85">
        <v>0.0</v>
      </c>
      <c r="K13" s="42" t="s">
        <v>714</v>
      </c>
      <c r="L13" s="85">
        <v>0.0</v>
      </c>
      <c r="M13" s="42" t="s">
        <v>715</v>
      </c>
      <c r="N13" s="85">
        <v>0.0</v>
      </c>
      <c r="O13" s="42" t="s">
        <v>716</v>
      </c>
      <c r="P13" s="85">
        <v>0.0</v>
      </c>
      <c r="Q13" s="91" t="s">
        <v>639</v>
      </c>
      <c r="R13" s="85">
        <v>0.0</v>
      </c>
    </row>
    <row r="14">
      <c r="A14" s="8">
        <v>1424.0</v>
      </c>
      <c r="B14" s="9" t="s">
        <v>49</v>
      </c>
      <c r="C14" s="72" t="str">
        <f t="shared" si="1"/>
        <v>HDS-13_PTD_TANK 18</v>
      </c>
      <c r="D14" s="43" t="s">
        <v>717</v>
      </c>
      <c r="E14" s="64" t="s">
        <v>703</v>
      </c>
      <c r="F14" s="43" t="s">
        <v>718</v>
      </c>
      <c r="G14" s="42" t="s">
        <v>719</v>
      </c>
      <c r="H14" s="85">
        <v>0.0</v>
      </c>
      <c r="I14" s="42" t="s">
        <v>720</v>
      </c>
      <c r="J14" s="85">
        <v>0.0</v>
      </c>
      <c r="K14" s="42" t="s">
        <v>721</v>
      </c>
      <c r="L14" s="85">
        <v>0.0</v>
      </c>
      <c r="M14" s="42" t="s">
        <v>722</v>
      </c>
      <c r="N14" s="85">
        <v>0.0</v>
      </c>
      <c r="O14" s="42" t="s">
        <v>723</v>
      </c>
      <c r="P14" s="85">
        <v>0.0</v>
      </c>
      <c r="Q14" s="91" t="s">
        <v>639</v>
      </c>
      <c r="R14" s="85">
        <v>0.0</v>
      </c>
    </row>
    <row r="15">
      <c r="A15" s="8">
        <v>1424.0</v>
      </c>
      <c r="B15" s="9" t="s">
        <v>49</v>
      </c>
      <c r="C15" s="72" t="str">
        <f t="shared" si="1"/>
        <v>HDS-14_PTD_TANK 19</v>
      </c>
      <c r="D15" s="43" t="s">
        <v>724</v>
      </c>
      <c r="E15" s="64" t="s">
        <v>703</v>
      </c>
      <c r="F15" s="43" t="s">
        <v>725</v>
      </c>
      <c r="G15" s="42" t="s">
        <v>726</v>
      </c>
      <c r="H15" s="85">
        <v>0.0</v>
      </c>
      <c r="I15" s="42" t="s">
        <v>727</v>
      </c>
      <c r="J15" s="85">
        <v>0.0</v>
      </c>
      <c r="K15" s="42" t="s">
        <v>728</v>
      </c>
      <c r="L15" s="85">
        <v>0.0</v>
      </c>
      <c r="M15" s="42" t="s">
        <v>729</v>
      </c>
      <c r="N15" s="85">
        <v>0.0</v>
      </c>
      <c r="O15" s="42" t="s">
        <v>730</v>
      </c>
      <c r="P15" s="85">
        <v>0.0</v>
      </c>
      <c r="Q15" s="91" t="s">
        <v>639</v>
      </c>
      <c r="R15" s="85">
        <v>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4" max="4" width="35.38"/>
    <col customWidth="1" min="5" max="5" width="11.5"/>
    <col customWidth="1" min="6" max="6" width="44.0"/>
  </cols>
  <sheetData>
    <row r="1" ht="15.75" customHeight="1">
      <c r="A1" s="58" t="s">
        <v>0</v>
      </c>
      <c r="B1" s="58" t="s">
        <v>1</v>
      </c>
      <c r="C1" s="58" t="s">
        <v>731</v>
      </c>
      <c r="D1" s="59" t="s">
        <v>732</v>
      </c>
      <c r="E1" s="92" t="s">
        <v>13</v>
      </c>
      <c r="F1" s="93" t="s">
        <v>733</v>
      </c>
      <c r="G1" s="5" t="s">
        <v>7</v>
      </c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ht="15.75" customHeight="1">
      <c r="A2" s="8">
        <v>1424.0</v>
      </c>
      <c r="B2" s="9" t="s">
        <v>49</v>
      </c>
      <c r="C2" s="10" t="s">
        <v>734</v>
      </c>
      <c r="D2" s="71" t="s">
        <v>735</v>
      </c>
      <c r="E2" s="83">
        <v>0.0</v>
      </c>
      <c r="F2" s="91" t="s">
        <v>639</v>
      </c>
      <c r="G2" s="83">
        <v>0.0</v>
      </c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ht="15.75" customHeight="1">
      <c r="A3" s="8">
        <v>1424.0</v>
      </c>
      <c r="B3" s="9" t="s">
        <v>49</v>
      </c>
      <c r="C3" s="10" t="s">
        <v>736</v>
      </c>
      <c r="D3" s="71" t="s">
        <v>737</v>
      </c>
      <c r="E3" s="83">
        <v>0.0</v>
      </c>
      <c r="F3" s="91" t="s">
        <v>639</v>
      </c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ht="15.75" customHeight="1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ht="15.75" customHeight="1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ht="15.75" customHeight="1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ht="15.75" customHeight="1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ht="15.75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ht="15.75" customHeight="1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ht="15.75" customHeight="1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ht="15.75" customHeight="1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ht="15.75" customHeight="1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ht="15.75" customHeight="1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ht="15.75" customHeight="1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ht="15.75" customHeight="1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ht="15.75" customHeight="1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ht="15.75" customHeight="1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ht="15.75" customHeight="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ht="15.75" customHeight="1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ht="15.75" customHeight="1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15.75" customHeight="1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5.75" customHeight="1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5.75" customHeight="1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.75" customHeight="1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.75" customHeight="1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.75" customHeight="1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.75" customHeight="1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.75" customHeight="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.75" customHeight="1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.7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.75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.75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.7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.7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.7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.7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.7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.7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.7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.7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.7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.7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.7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.7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.7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.7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.7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.7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.7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.7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.7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.7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.7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.7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.7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.7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.7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.7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.7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.7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ht="15.7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ht="15.7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ht="15.7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ht="15.7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ht="15.7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ht="15.7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ht="15.7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ht="15.7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ht="15.7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ht="15.7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ht="15.7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ht="15.7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ht="15.7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ht="15.7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ht="15.7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ht="15.7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ht="15.7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ht="15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ht="15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ht="15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ht="15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ht="15.7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ht="15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ht="15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ht="15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ht="15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ht="15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ht="15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ht="15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ht="15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ht="15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ht="15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ht="15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ht="15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ht="15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ht="15.7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ht="15.7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ht="15.7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ht="15.7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ht="15.7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ht="15.7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ht="15.7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ht="15.7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ht="15.7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ht="15.7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ht="15.7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ht="15.7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ht="15.7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ht="15.7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ht="15.7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ht="15.7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ht="15.7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ht="15.7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ht="15.7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ht="15.7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ht="15.7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ht="15.7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ht="15.7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ht="15.7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ht="15.7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ht="15.7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ht="15.7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ht="15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ht="15.7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ht="15.7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ht="15.7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ht="15.7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ht="15.7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ht="15.7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ht="15.7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ht="15.7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ht="15.7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ht="15.7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ht="15.7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ht="15.7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ht="15.7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ht="15.7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ht="15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ht="15.7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ht="15.7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ht="15.7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ht="15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ht="15.7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ht="15.7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ht="15.7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ht="15.7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ht="15.7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ht="15.7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ht="15.7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ht="15.7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ht="15.7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ht="15.7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ht="15.7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ht="15.7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ht="15.7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ht="15.7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ht="15.7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ht="15.7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ht="15.7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ht="15.7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ht="15.7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ht="15.7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ht="15.7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ht="15.75" customHeigh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ht="15.75" customHeigh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ht="15.75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ht="15.75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ht="15.75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ht="15.75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ht="15.75" customHeigh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ht="15.75" customHeigh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ht="15.75" customHeigh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ht="15.75" customHeigh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ht="15.75" customHeigh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ht="15.75" customHeigh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ht="15.75" customHeigh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9.88"/>
    <col customWidth="1" min="4" max="4" width="25.88"/>
    <col customWidth="1" min="6" max="6" width="28.13"/>
  </cols>
  <sheetData>
    <row r="1" ht="15.75" customHeight="1">
      <c r="A1" s="58" t="s">
        <v>0</v>
      </c>
      <c r="B1" s="58" t="s">
        <v>1</v>
      </c>
      <c r="C1" s="58" t="s">
        <v>738</v>
      </c>
      <c r="D1" s="59" t="s">
        <v>739</v>
      </c>
      <c r="E1" s="60" t="s">
        <v>740</v>
      </c>
      <c r="F1" s="59" t="s">
        <v>741</v>
      </c>
      <c r="G1" s="60" t="s">
        <v>7</v>
      </c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</row>
    <row r="2" ht="15.75" customHeight="1">
      <c r="A2" s="8">
        <v>1424.0</v>
      </c>
      <c r="B2" s="9" t="s">
        <v>49</v>
      </c>
      <c r="C2" s="71" t="s">
        <v>742</v>
      </c>
      <c r="D2" s="84" t="s">
        <v>743</v>
      </c>
      <c r="E2" s="85">
        <v>0.0</v>
      </c>
      <c r="F2" s="84" t="s">
        <v>744</v>
      </c>
      <c r="G2" s="85">
        <v>1.0</v>
      </c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</row>
    <row r="3" ht="15.75" customHeight="1">
      <c r="A3" s="8">
        <v>1424.0</v>
      </c>
      <c r="B3" s="9" t="s">
        <v>49</v>
      </c>
      <c r="C3" s="71" t="s">
        <v>745</v>
      </c>
      <c r="D3" s="84" t="s">
        <v>746</v>
      </c>
      <c r="E3" s="85">
        <v>0.0</v>
      </c>
      <c r="F3" s="84" t="s">
        <v>747</v>
      </c>
      <c r="G3" s="85">
        <v>1.0</v>
      </c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</row>
    <row r="4" ht="15.75" customHeight="1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</row>
    <row r="5" ht="15.75" customHeight="1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</row>
    <row r="6" ht="15.75" customHeight="1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</row>
    <row r="7" ht="15.75" customHeight="1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</row>
    <row r="11" ht="15.75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</row>
    <row r="12" ht="15.75" customHeight="1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</row>
    <row r="13" ht="15.75" customHeight="1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</row>
    <row r="14" ht="15.75" customHeight="1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</row>
    <row r="15" ht="15.75" customHeight="1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</row>
    <row r="16" ht="15.75" customHeight="1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</row>
    <row r="17" ht="15.75" customHeight="1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</row>
    <row r="18" ht="15.75" customHeight="1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</row>
    <row r="19" ht="15.75" customHeight="1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</row>
    <row r="20" ht="15.75" customHeight="1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</row>
    <row r="21" ht="15.75" customHeight="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</row>
    <row r="22" ht="15.75" customHeight="1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</row>
    <row r="23" ht="15.75" customHeight="1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</row>
    <row r="24" ht="15.75" customHeight="1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</row>
    <row r="25" ht="15.75" customHeight="1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</row>
    <row r="26" ht="15.75" customHeight="1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</row>
    <row r="27" ht="15.75" customHeight="1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</row>
    <row r="28" ht="15.75" customHeight="1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</row>
    <row r="29" ht="15.75" customHeight="1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</row>
    <row r="30" ht="15.75" customHeight="1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</row>
    <row r="31" ht="15.75" customHeight="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</row>
    <row r="32" ht="15.75" customHeight="1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</row>
    <row r="33" ht="15.7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</row>
    <row r="34" ht="15.75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</row>
    <row r="35" ht="15.75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</row>
    <row r="36" ht="15.7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</row>
    <row r="37" ht="15.7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</row>
    <row r="38" ht="15.7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</row>
    <row r="39" ht="15.7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</row>
    <row r="40" ht="15.7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</row>
    <row r="41" ht="15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</row>
    <row r="42" ht="15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</row>
    <row r="43" ht="15.7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</row>
    <row r="44" ht="15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</row>
    <row r="45" ht="15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</row>
    <row r="46" ht="15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</row>
    <row r="47" ht="15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</row>
    <row r="48" ht="15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</row>
    <row r="49" ht="15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</row>
    <row r="50" ht="15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</row>
    <row r="51" ht="15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</row>
    <row r="52" ht="15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</row>
    <row r="53" ht="15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</row>
    <row r="54" ht="15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</row>
    <row r="55" ht="15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</row>
    <row r="56" ht="15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</row>
    <row r="57" ht="15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</row>
    <row r="58" ht="15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</row>
    <row r="59" ht="15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</row>
    <row r="60" ht="15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</row>
    <row r="61" ht="15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</row>
    <row r="62" ht="15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</row>
    <row r="63" ht="15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</row>
    <row r="64" ht="15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</row>
    <row r="65" ht="15.7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</row>
    <row r="66" ht="15.7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</row>
    <row r="67" ht="15.7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</row>
    <row r="68" ht="15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</row>
    <row r="69" ht="15.7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</row>
    <row r="70" ht="15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</row>
    <row r="71" ht="15.7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</row>
    <row r="72" ht="15.7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</row>
    <row r="73" ht="15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</row>
    <row r="74" ht="15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</row>
    <row r="75" ht="15.7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</row>
    <row r="76" ht="15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</row>
    <row r="77" ht="15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</row>
    <row r="78" ht="15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</row>
    <row r="79" ht="15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</row>
    <row r="80" ht="15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</row>
    <row r="81" ht="15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</row>
    <row r="82" ht="15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</row>
    <row r="83" ht="15.7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</row>
    <row r="84" ht="15.7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</row>
    <row r="85" ht="15.7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</row>
    <row r="86" ht="15.7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</row>
    <row r="87" ht="15.7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</row>
    <row r="88" ht="15.7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</row>
    <row r="89" ht="15.7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</row>
    <row r="90" ht="15.7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</row>
    <row r="91" ht="15.7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</row>
    <row r="92" ht="15.7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</row>
    <row r="93" ht="15.7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</row>
    <row r="94" ht="15.7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</row>
    <row r="95" ht="15.7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</row>
    <row r="96" ht="15.7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</row>
    <row r="97" ht="15.7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</row>
    <row r="98" ht="15.7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</row>
    <row r="99" ht="15.7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</row>
    <row r="100" ht="15.7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</row>
    <row r="101" ht="15.7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</row>
    <row r="102" ht="15.7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</row>
    <row r="103" ht="15.7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</row>
    <row r="104" ht="15.7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</row>
    <row r="105" ht="15.7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</row>
    <row r="106" ht="15.7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</row>
    <row r="107" ht="15.7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</row>
    <row r="108" ht="15.7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</row>
    <row r="109" ht="15.7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</row>
    <row r="110" ht="15.7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</row>
    <row r="111" ht="15.7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</row>
    <row r="112" ht="15.7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</row>
    <row r="113" ht="15.7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</row>
    <row r="114" ht="15.7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</row>
    <row r="115" ht="15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</row>
    <row r="116" ht="15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</row>
    <row r="117" ht="15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</row>
    <row r="118" ht="15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</row>
    <row r="119" ht="15.7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</row>
    <row r="120" ht="15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</row>
    <row r="121" ht="15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</row>
    <row r="122" ht="15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</row>
    <row r="123" ht="15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</row>
    <row r="124" ht="15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</row>
    <row r="125" ht="15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</row>
    <row r="126" ht="15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</row>
    <row r="127" ht="15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</row>
    <row r="128" ht="15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</row>
    <row r="129" ht="15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</row>
    <row r="130" ht="15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</row>
    <row r="131" ht="15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</row>
    <row r="132" ht="15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</row>
    <row r="133" ht="15.7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</row>
    <row r="134" ht="15.7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</row>
    <row r="135" ht="15.7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</row>
    <row r="136" ht="15.7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</row>
    <row r="137" ht="15.7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</row>
    <row r="138" ht="15.7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</row>
    <row r="139" ht="15.7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</row>
    <row r="140" ht="15.7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</row>
    <row r="141" ht="15.7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</row>
    <row r="142" ht="15.7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</row>
    <row r="143" ht="15.7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</row>
    <row r="144" ht="15.7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</row>
    <row r="145" ht="15.7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</row>
    <row r="146" ht="15.7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</row>
    <row r="147" ht="15.7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</row>
    <row r="148" ht="15.7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</row>
    <row r="149" ht="15.7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</row>
    <row r="150" ht="15.7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</row>
    <row r="151" ht="15.7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</row>
    <row r="152" ht="15.7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</row>
    <row r="153" ht="15.7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</row>
    <row r="154" ht="15.7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</row>
    <row r="155" ht="15.7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</row>
    <row r="156" ht="15.7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</row>
    <row r="157" ht="15.7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</row>
    <row r="158" ht="15.7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</row>
    <row r="159" ht="15.7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</row>
    <row r="160" ht="15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</row>
    <row r="161" ht="15.7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</row>
    <row r="162" ht="15.7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</row>
    <row r="163" ht="15.7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</row>
    <row r="164" ht="15.7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</row>
    <row r="165" ht="15.7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</row>
    <row r="166" ht="15.7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</row>
    <row r="167" ht="15.7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</row>
    <row r="168" ht="15.7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</row>
    <row r="169" ht="15.7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</row>
    <row r="170" ht="15.7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</row>
    <row r="171" ht="15.7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</row>
    <row r="172" ht="15.7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</row>
    <row r="173" ht="15.7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</row>
    <row r="174" ht="15.7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</row>
    <row r="175" ht="15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</row>
    <row r="176" ht="15.7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</row>
    <row r="177" ht="15.7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</row>
    <row r="178" ht="15.7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</row>
    <row r="179" ht="15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</row>
    <row r="180" ht="15.7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</row>
    <row r="181" ht="15.7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</row>
    <row r="182" ht="15.7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</row>
    <row r="183" ht="15.7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</row>
    <row r="184" ht="15.7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</row>
    <row r="185" ht="15.7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</row>
    <row r="186" ht="15.7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</row>
    <row r="187" ht="15.7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</row>
    <row r="188" ht="15.7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</row>
    <row r="189" ht="15.7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</row>
    <row r="190" ht="15.7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</row>
    <row r="191" ht="15.7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</row>
    <row r="192" ht="15.7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</row>
    <row r="193" ht="15.7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</row>
    <row r="194" ht="15.7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</row>
    <row r="195" ht="15.7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</row>
    <row r="196" ht="15.7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</row>
    <row r="197" ht="15.7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</row>
    <row r="198" ht="15.7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</row>
    <row r="199" ht="15.7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</row>
    <row r="200" ht="15.7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</row>
    <row r="201" ht="15.75" customHeigh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</row>
    <row r="202" ht="15.75" customHeigh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</row>
    <row r="203" ht="15.75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</row>
    <row r="204" ht="15.75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</row>
    <row r="205" ht="15.75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</row>
    <row r="206" ht="15.75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</row>
    <row r="207" ht="15.75" customHeigh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</row>
    <row r="208" ht="15.75" customHeigh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</row>
    <row r="209" ht="15.75" customHeigh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</row>
    <row r="210" ht="15.75" customHeigh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</row>
    <row r="211" ht="15.75" customHeigh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</row>
    <row r="212" ht="15.75" customHeigh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</row>
    <row r="213" ht="15.75" customHeigh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</row>
    <row r="214" ht="15.75" customHeigh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</row>
    <row r="215" ht="15.75" customHeight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</row>
    <row r="216" ht="15.75" customHeight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</row>
    <row r="217" ht="15.75" customHeight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</row>
    <row r="218" ht="15.75" customHeigh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</row>
    <row r="219" ht="15.75" customHeight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34.0"/>
    <col customWidth="1" min="5" max="5" width="27.13"/>
    <col customWidth="1" min="6" max="6" width="37.63"/>
    <col customWidth="1" min="7" max="7" width="11.5"/>
  </cols>
  <sheetData>
    <row r="1" ht="15.75" customHeight="1">
      <c r="A1" s="58" t="s">
        <v>0</v>
      </c>
      <c r="B1" s="58" t="s">
        <v>1</v>
      </c>
      <c r="C1" s="58" t="s">
        <v>2</v>
      </c>
      <c r="D1" s="58" t="s">
        <v>748</v>
      </c>
      <c r="E1" s="58" t="s">
        <v>749</v>
      </c>
      <c r="F1" s="59" t="s">
        <v>750</v>
      </c>
      <c r="G1" s="60" t="s">
        <v>751</v>
      </c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</row>
    <row r="2" ht="15.75" customHeight="1">
      <c r="A2" s="8">
        <v>1424.0</v>
      </c>
      <c r="B2" s="9" t="s">
        <v>49</v>
      </c>
      <c r="C2" s="10" t="str">
        <f t="shared" ref="C2:C10" si="1">CONCATENATE(D2,"_",E2)</f>
        <v>HOOTER_HOOTER_FIELD_1</v>
      </c>
      <c r="D2" s="63" t="s">
        <v>752</v>
      </c>
      <c r="E2" s="63" t="s">
        <v>753</v>
      </c>
      <c r="F2" s="11" t="s">
        <v>754</v>
      </c>
      <c r="G2" s="85">
        <v>0.0</v>
      </c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</row>
    <row r="3" ht="15.75" customHeight="1">
      <c r="A3" s="8">
        <v>1424.0</v>
      </c>
      <c r="B3" s="9" t="s">
        <v>49</v>
      </c>
      <c r="C3" s="10" t="str">
        <f t="shared" si="1"/>
        <v>HOOTER_HOOTER_FIELD_2</v>
      </c>
      <c r="D3" s="63" t="s">
        <v>752</v>
      </c>
      <c r="E3" s="63" t="s">
        <v>755</v>
      </c>
      <c r="F3" s="11" t="s">
        <v>756</v>
      </c>
      <c r="G3" s="85">
        <v>0.0</v>
      </c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</row>
    <row r="4" ht="15.75" customHeight="1">
      <c r="A4" s="8">
        <v>1424.0</v>
      </c>
      <c r="B4" s="9" t="s">
        <v>49</v>
      </c>
      <c r="C4" s="10" t="str">
        <f t="shared" si="1"/>
        <v>HOOTER_HOOTER_FIELD_3</v>
      </c>
      <c r="D4" s="63" t="s">
        <v>752</v>
      </c>
      <c r="E4" s="63" t="s">
        <v>757</v>
      </c>
      <c r="F4" s="11" t="s">
        <v>758</v>
      </c>
      <c r="G4" s="85">
        <v>0.0</v>
      </c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</row>
    <row r="5" ht="15.75" customHeight="1">
      <c r="A5" s="8">
        <v>1424.0</v>
      </c>
      <c r="B5" s="9" t="s">
        <v>49</v>
      </c>
      <c r="C5" s="10" t="str">
        <f t="shared" si="1"/>
        <v>HOOTER_HOOTER_FIELD_4</v>
      </c>
      <c r="D5" s="63" t="s">
        <v>752</v>
      </c>
      <c r="E5" s="63" t="s">
        <v>759</v>
      </c>
      <c r="F5" s="11" t="s">
        <v>760</v>
      </c>
      <c r="G5" s="85">
        <v>0.0</v>
      </c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</row>
    <row r="6" ht="15.75" customHeight="1">
      <c r="A6" s="8">
        <v>1424.0</v>
      </c>
      <c r="B6" s="9" t="s">
        <v>49</v>
      </c>
      <c r="C6" s="10" t="str">
        <f t="shared" si="1"/>
        <v>HOOTER_HOOTER_FIELD_5</v>
      </c>
      <c r="D6" s="63" t="s">
        <v>752</v>
      </c>
      <c r="E6" s="63" t="s">
        <v>761</v>
      </c>
      <c r="F6" s="11" t="s">
        <v>762</v>
      </c>
      <c r="G6" s="85">
        <v>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</row>
    <row r="7" ht="15.75" customHeight="1">
      <c r="A7" s="8">
        <v>1424.0</v>
      </c>
      <c r="B7" s="9" t="s">
        <v>49</v>
      </c>
      <c r="C7" s="10" t="str">
        <f t="shared" si="1"/>
        <v>HOOTER_HOOTER_FIELD_6</v>
      </c>
      <c r="D7" s="63" t="s">
        <v>752</v>
      </c>
      <c r="E7" s="63" t="s">
        <v>763</v>
      </c>
      <c r="F7" s="11" t="s">
        <v>764</v>
      </c>
      <c r="G7" s="85">
        <v>0.0</v>
      </c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</row>
    <row r="8" ht="15.75" customHeight="1">
      <c r="A8" s="8">
        <v>1424.0</v>
      </c>
      <c r="B8" s="9" t="s">
        <v>49</v>
      </c>
      <c r="C8" s="10" t="str">
        <f t="shared" si="1"/>
        <v>HOOTER_HOOTER_FIELD_7</v>
      </c>
      <c r="D8" s="63" t="s">
        <v>752</v>
      </c>
      <c r="E8" s="63" t="s">
        <v>765</v>
      </c>
      <c r="F8" s="11" t="s">
        <v>766</v>
      </c>
      <c r="G8" s="85">
        <v>0.0</v>
      </c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</row>
    <row r="9" ht="15.75" customHeight="1">
      <c r="A9" s="8">
        <v>1424.0</v>
      </c>
      <c r="B9" s="9" t="s">
        <v>49</v>
      </c>
      <c r="C9" s="10" t="str">
        <f t="shared" si="1"/>
        <v>HOOTER_HOOTER_FIELD_8</v>
      </c>
      <c r="D9" s="63" t="s">
        <v>752</v>
      </c>
      <c r="E9" s="63" t="s">
        <v>767</v>
      </c>
      <c r="F9" s="11" t="s">
        <v>768</v>
      </c>
      <c r="G9" s="85">
        <v>0.0</v>
      </c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</row>
    <row r="10" ht="15.75" customHeight="1">
      <c r="A10" s="8">
        <v>1424.0</v>
      </c>
      <c r="B10" s="9" t="s">
        <v>49</v>
      </c>
      <c r="C10" s="10" t="str">
        <f t="shared" si="1"/>
        <v>HOOTER_HOOTER_FIELD_9</v>
      </c>
      <c r="D10" s="63" t="s">
        <v>752</v>
      </c>
      <c r="E10" s="63" t="s">
        <v>769</v>
      </c>
      <c r="F10" s="11" t="s">
        <v>770</v>
      </c>
      <c r="G10" s="85">
        <v>0.0</v>
      </c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</row>
    <row r="11" ht="15.75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</row>
    <row r="12" ht="15.75" customHeight="1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</row>
    <row r="13" ht="15.75" customHeight="1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</row>
    <row r="14" ht="15.75" customHeight="1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</row>
    <row r="15" ht="15.75" customHeight="1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</row>
    <row r="16" ht="15.75" customHeight="1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</row>
    <row r="17" ht="15.75" customHeight="1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</row>
    <row r="18" ht="15.75" customHeight="1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</row>
    <row r="19" ht="15.75" customHeight="1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</row>
    <row r="20" ht="15.75" customHeight="1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</row>
    <row r="21" ht="15.75" customHeight="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</row>
    <row r="22" ht="15.75" customHeight="1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</row>
    <row r="23" ht="15.75" customHeight="1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</row>
    <row r="24" ht="15.75" customHeight="1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</row>
    <row r="25" ht="15.75" customHeight="1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</row>
    <row r="26" ht="15.75" customHeight="1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</row>
    <row r="27" ht="15.75" customHeight="1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</row>
    <row r="28" ht="15.75" customHeight="1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</row>
    <row r="29" ht="15.75" customHeight="1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</row>
    <row r="30" ht="15.75" customHeight="1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</row>
    <row r="31" ht="15.75" customHeight="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</row>
    <row r="32" ht="15.75" customHeight="1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</row>
    <row r="33" ht="15.7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</row>
    <row r="34" ht="15.75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</row>
    <row r="35" ht="15.75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</row>
    <row r="36" ht="15.7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</row>
    <row r="37" ht="15.7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</row>
    <row r="38" ht="15.7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</row>
    <row r="39" ht="15.7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</row>
    <row r="40" ht="15.7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</row>
    <row r="41" ht="15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</row>
    <row r="42" ht="15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</row>
    <row r="43" ht="15.7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</row>
    <row r="44" ht="15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</row>
    <row r="45" ht="15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</row>
    <row r="46" ht="15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</row>
    <row r="47" ht="15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</row>
    <row r="48" ht="15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</row>
    <row r="49" ht="15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</row>
    <row r="50" ht="15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</row>
    <row r="51" ht="15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</row>
    <row r="52" ht="15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</row>
    <row r="53" ht="15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</row>
    <row r="54" ht="15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</row>
    <row r="55" ht="15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</row>
    <row r="56" ht="15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</row>
    <row r="57" ht="15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</row>
    <row r="58" ht="15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</row>
    <row r="59" ht="15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</row>
    <row r="60" ht="15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</row>
    <row r="61" ht="15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</row>
    <row r="62" ht="15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</row>
    <row r="63" ht="15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</row>
    <row r="64" ht="15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</row>
    <row r="65" ht="15.7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</row>
    <row r="66" ht="15.7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ht="15.7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</row>
    <row r="68" ht="15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</row>
    <row r="69" ht="15.7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</row>
    <row r="70" ht="15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</row>
    <row r="71" ht="15.7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</row>
    <row r="72" ht="15.7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</row>
    <row r="73" ht="15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</row>
    <row r="74" ht="15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</row>
    <row r="75" ht="15.7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</row>
    <row r="76" ht="15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</row>
    <row r="77" ht="15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</row>
    <row r="78" ht="15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</row>
    <row r="79" ht="15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</row>
    <row r="80" ht="15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</row>
    <row r="81" ht="15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</row>
    <row r="82" ht="15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</row>
    <row r="83" ht="15.7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</row>
    <row r="84" ht="15.7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</row>
    <row r="85" ht="15.7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</row>
    <row r="86" ht="15.7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</row>
    <row r="87" ht="15.7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</row>
    <row r="88" ht="15.7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</row>
    <row r="89" ht="15.7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</row>
    <row r="90" ht="15.7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</row>
    <row r="91" ht="15.7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</row>
    <row r="92" ht="15.7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</row>
    <row r="93" ht="15.7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</row>
    <row r="94" ht="15.7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</row>
    <row r="95" ht="15.7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</row>
    <row r="96" ht="15.7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</row>
    <row r="97" ht="15.7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</row>
    <row r="98" ht="15.7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</row>
    <row r="99" ht="15.7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</row>
    <row r="100" ht="15.7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</row>
    <row r="101" ht="15.7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</row>
    <row r="102" ht="15.7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</row>
    <row r="103" ht="15.7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</row>
    <row r="104" ht="15.7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</row>
    <row r="105" ht="15.7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</row>
    <row r="106" ht="15.7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</row>
    <row r="107" ht="15.7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</row>
    <row r="108" ht="15.7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</row>
    <row r="109" ht="15.7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</row>
    <row r="110" ht="15.7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</row>
    <row r="111" ht="15.7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</row>
    <row r="112" ht="15.7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</row>
    <row r="113" ht="15.7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</row>
    <row r="114" ht="15.7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</row>
    <row r="115" ht="15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</row>
    <row r="116" ht="15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</row>
    <row r="117" ht="15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</row>
    <row r="118" ht="15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</row>
    <row r="119" ht="15.7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</row>
    <row r="120" ht="15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</row>
    <row r="121" ht="15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</row>
    <row r="122" ht="15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</row>
    <row r="123" ht="15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</row>
    <row r="124" ht="15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</row>
    <row r="125" ht="15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</row>
    <row r="126" ht="15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</row>
    <row r="127" ht="15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</row>
    <row r="128" ht="15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</row>
    <row r="129" ht="15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</row>
    <row r="130" ht="15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</row>
    <row r="131" ht="15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</row>
    <row r="132" ht="15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</row>
    <row r="133" ht="15.7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</row>
    <row r="134" ht="15.7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</row>
    <row r="135" ht="15.7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</row>
    <row r="136" ht="15.7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</row>
    <row r="137" ht="15.7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</row>
    <row r="138" ht="15.7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</row>
    <row r="139" ht="15.7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</row>
    <row r="140" ht="15.7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</row>
    <row r="141" ht="15.7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</row>
    <row r="142" ht="15.7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</row>
    <row r="143" ht="15.7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</row>
    <row r="144" ht="15.7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</row>
    <row r="145" ht="15.7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</row>
    <row r="146" ht="15.7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</row>
    <row r="147" ht="15.7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</row>
    <row r="148" ht="15.7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</row>
    <row r="149" ht="15.7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</row>
    <row r="150" ht="15.7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</row>
    <row r="151" ht="15.7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</row>
    <row r="152" ht="15.7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</row>
    <row r="153" ht="15.7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</row>
    <row r="154" ht="15.7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</row>
    <row r="155" ht="15.7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</row>
    <row r="156" ht="15.7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</row>
    <row r="157" ht="15.7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</row>
    <row r="158" ht="15.7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</row>
    <row r="159" ht="15.7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</row>
    <row r="160" ht="15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</row>
    <row r="161" ht="15.7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</row>
    <row r="162" ht="15.7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</row>
    <row r="163" ht="15.7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</row>
    <row r="164" ht="15.7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</row>
    <row r="165" ht="15.7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</row>
    <row r="166" ht="15.7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</row>
    <row r="167" ht="15.7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</row>
    <row r="168" ht="15.7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</row>
    <row r="169" ht="15.7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</row>
    <row r="170" ht="15.7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</row>
    <row r="171" ht="15.7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</row>
    <row r="172" ht="15.7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</row>
    <row r="173" ht="15.7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</row>
    <row r="174" ht="15.7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</row>
    <row r="175" ht="15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</row>
    <row r="176" ht="15.7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</row>
    <row r="177" ht="15.7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</row>
    <row r="178" ht="15.7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</row>
    <row r="179" ht="15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</row>
    <row r="180" ht="15.7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</row>
    <row r="181" ht="15.7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</row>
    <row r="182" ht="15.7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</row>
    <row r="183" ht="15.7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</row>
    <row r="184" ht="15.7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</row>
    <row r="185" ht="15.7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</row>
    <row r="186" ht="15.7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</row>
    <row r="187" ht="15.7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</row>
    <row r="188" ht="15.7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</row>
    <row r="189" ht="15.7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</row>
    <row r="190" ht="15.7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</row>
    <row r="191" ht="15.7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</row>
    <row r="192" ht="15.7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</row>
    <row r="193" ht="15.7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</row>
    <row r="194" ht="15.7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</row>
    <row r="195" ht="15.7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</row>
    <row r="196" ht="15.7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</row>
    <row r="197" ht="15.7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</row>
    <row r="198" ht="15.7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</row>
    <row r="199" ht="15.7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</row>
    <row r="200" ht="15.7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41.38"/>
    <col customWidth="1" min="5" max="5" width="15.88"/>
    <col customWidth="1" min="6" max="6" width="22.88"/>
    <col customWidth="1" min="7" max="7" width="24.13"/>
    <col customWidth="1" min="8" max="8" width="16.5"/>
    <col customWidth="1" min="9" max="9" width="30.63"/>
    <col customWidth="1" min="11" max="11" width="29.25"/>
    <col customWidth="1" min="12" max="12" width="25.38"/>
    <col customWidth="1" min="13" max="13" width="32.25"/>
    <col customWidth="1" min="14" max="14" width="27.25"/>
    <col customWidth="1" min="15" max="15" width="33.88"/>
    <col customWidth="1" min="16" max="16" width="36.38"/>
    <col customWidth="1" min="17" max="17" width="33.0"/>
    <col customWidth="1" min="18" max="18" width="35.25"/>
    <col customWidth="1" min="19" max="19" width="32.88"/>
    <col customWidth="1" min="20" max="20" width="32.25"/>
    <col customWidth="1" min="21" max="21" width="27.75"/>
    <col customWidth="1" min="22" max="22" width="24.38"/>
    <col customWidth="1" min="23" max="23" width="38.63"/>
    <col customWidth="1" min="24" max="24" width="34.13"/>
    <col customWidth="1" min="25" max="25" width="26.63"/>
    <col customWidth="1" min="26" max="26" width="23.13"/>
    <col customWidth="1" min="27" max="27" width="30.88"/>
    <col customWidth="1" min="28" max="28" width="39.88"/>
    <col customWidth="1" min="29" max="29" width="32.0"/>
    <col customWidth="1" min="30" max="30" width="38.13"/>
    <col customWidth="1" min="31" max="31" width="41.88"/>
    <col customWidth="1" min="32" max="32" width="35.13"/>
  </cols>
  <sheetData>
    <row r="1" ht="32.25" customHeight="1">
      <c r="A1" s="58" t="s">
        <v>0</v>
      </c>
      <c r="B1" s="58" t="s">
        <v>1</v>
      </c>
      <c r="C1" s="58" t="s">
        <v>2</v>
      </c>
      <c r="D1" s="58" t="s">
        <v>771</v>
      </c>
      <c r="E1" s="58" t="s">
        <v>772</v>
      </c>
      <c r="F1" s="58" t="s">
        <v>1</v>
      </c>
      <c r="G1" s="59" t="s">
        <v>773</v>
      </c>
      <c r="H1" s="60" t="s">
        <v>774</v>
      </c>
      <c r="I1" s="59" t="s">
        <v>775</v>
      </c>
      <c r="J1" s="60" t="s">
        <v>776</v>
      </c>
      <c r="K1" s="94" t="s">
        <v>777</v>
      </c>
      <c r="L1" s="94" t="s">
        <v>778</v>
      </c>
      <c r="M1" s="94" t="s">
        <v>779</v>
      </c>
      <c r="N1" s="94" t="s">
        <v>780</v>
      </c>
      <c r="O1" s="94" t="s">
        <v>781</v>
      </c>
      <c r="P1" s="94" t="s">
        <v>782</v>
      </c>
      <c r="Q1" s="94" t="s">
        <v>783</v>
      </c>
      <c r="R1" s="94" t="s">
        <v>784</v>
      </c>
      <c r="S1" s="94" t="s">
        <v>785</v>
      </c>
      <c r="T1" s="94" t="s">
        <v>786</v>
      </c>
      <c r="U1" s="94" t="s">
        <v>787</v>
      </c>
      <c r="V1" s="94" t="s">
        <v>788</v>
      </c>
      <c r="W1" s="94" t="s">
        <v>789</v>
      </c>
      <c r="X1" s="94" t="s">
        <v>790</v>
      </c>
      <c r="Y1" s="94" t="s">
        <v>791</v>
      </c>
      <c r="Z1" s="94" t="s">
        <v>792</v>
      </c>
      <c r="AA1" s="94" t="s">
        <v>793</v>
      </c>
      <c r="AB1" s="94" t="s">
        <v>794</v>
      </c>
      <c r="AC1" s="94" t="s">
        <v>795</v>
      </c>
      <c r="AD1" s="94" t="s">
        <v>796</v>
      </c>
      <c r="AE1" s="94" t="s">
        <v>797</v>
      </c>
      <c r="AF1" s="94" t="s">
        <v>798</v>
      </c>
    </row>
    <row r="2" ht="15.75" customHeight="1">
      <c r="A2" s="8">
        <v>1424.0</v>
      </c>
      <c r="B2" s="9" t="s">
        <v>49</v>
      </c>
      <c r="C2" s="10" t="str">
        <f t="shared" ref="C2:C27" si="1">CONCATENATE(D2,"_",F2)</f>
        <v>ESD-01_Inside Contol room</v>
      </c>
      <c r="D2" s="63" t="s">
        <v>799</v>
      </c>
      <c r="E2" s="63" t="s">
        <v>800</v>
      </c>
      <c r="F2" s="63" t="s">
        <v>801</v>
      </c>
      <c r="G2" s="95" t="s">
        <v>802</v>
      </c>
      <c r="H2" s="85">
        <v>0.0</v>
      </c>
      <c r="I2" s="95" t="s">
        <v>803</v>
      </c>
      <c r="J2" s="85">
        <v>0.0</v>
      </c>
      <c r="K2" s="91" t="s">
        <v>804</v>
      </c>
      <c r="L2" s="14">
        <v>0.0</v>
      </c>
      <c r="M2" s="91" t="s">
        <v>805</v>
      </c>
      <c r="N2" s="14">
        <v>0.0</v>
      </c>
      <c r="O2" s="91" t="s">
        <v>806</v>
      </c>
      <c r="P2" s="14">
        <v>0.0</v>
      </c>
      <c r="Q2" s="91" t="s">
        <v>807</v>
      </c>
      <c r="R2" s="14">
        <v>0.0</v>
      </c>
      <c r="S2" s="91" t="s">
        <v>808</v>
      </c>
      <c r="T2" s="14">
        <v>0.0</v>
      </c>
      <c r="U2" s="91" t="s">
        <v>809</v>
      </c>
      <c r="V2" s="14">
        <v>0.0</v>
      </c>
      <c r="W2" s="91" t="s">
        <v>810</v>
      </c>
      <c r="X2" s="14">
        <v>0.0</v>
      </c>
      <c r="Y2" s="91" t="s">
        <v>811</v>
      </c>
      <c r="Z2" s="14">
        <v>0.0</v>
      </c>
      <c r="AA2" s="91" t="s">
        <v>812</v>
      </c>
      <c r="AB2" s="14">
        <v>0.0</v>
      </c>
      <c r="AC2" s="91" t="s">
        <v>813</v>
      </c>
      <c r="AD2" s="14">
        <v>0.0</v>
      </c>
      <c r="AE2" s="13"/>
      <c r="AF2" s="5"/>
    </row>
    <row r="3" ht="15.75" customHeight="1">
      <c r="A3" s="8">
        <v>1424.0</v>
      </c>
      <c r="B3" s="9" t="s">
        <v>49</v>
      </c>
      <c r="C3" s="10" t="str">
        <f t="shared" si="1"/>
        <v>ESD-02_Near Control room</v>
      </c>
      <c r="D3" s="63" t="s">
        <v>814</v>
      </c>
      <c r="E3" s="63" t="s">
        <v>815</v>
      </c>
      <c r="F3" s="63" t="s">
        <v>816</v>
      </c>
      <c r="G3" s="95" t="s">
        <v>817</v>
      </c>
      <c r="H3" s="85">
        <v>0.0</v>
      </c>
      <c r="I3" s="95" t="s">
        <v>818</v>
      </c>
      <c r="J3" s="85">
        <v>0.0</v>
      </c>
      <c r="K3" s="91" t="s">
        <v>804</v>
      </c>
      <c r="L3" s="14">
        <v>0.0</v>
      </c>
      <c r="M3" s="91" t="s">
        <v>805</v>
      </c>
      <c r="N3" s="14">
        <v>0.0</v>
      </c>
      <c r="O3" s="91" t="s">
        <v>806</v>
      </c>
      <c r="P3" s="14">
        <v>0.0</v>
      </c>
      <c r="Q3" s="91" t="s">
        <v>807</v>
      </c>
      <c r="R3" s="14">
        <v>0.0</v>
      </c>
      <c r="S3" s="91" t="s">
        <v>808</v>
      </c>
      <c r="T3" s="14">
        <v>0.0</v>
      </c>
      <c r="U3" s="91" t="s">
        <v>809</v>
      </c>
      <c r="V3" s="14">
        <v>0.0</v>
      </c>
      <c r="W3" s="91" t="s">
        <v>810</v>
      </c>
      <c r="X3" s="14">
        <v>0.0</v>
      </c>
      <c r="Y3" s="91" t="s">
        <v>811</v>
      </c>
      <c r="Z3" s="14">
        <v>0.0</v>
      </c>
      <c r="AA3" s="91" t="s">
        <v>812</v>
      </c>
      <c r="AB3" s="14">
        <v>0.0</v>
      </c>
      <c r="AC3" s="91" t="s">
        <v>813</v>
      </c>
      <c r="AD3" s="14">
        <v>0.0</v>
      </c>
      <c r="AE3" s="35"/>
      <c r="AF3" s="35"/>
    </row>
    <row r="4" ht="15.75" customHeight="1">
      <c r="A4" s="8">
        <v>1424.0</v>
      </c>
      <c r="B4" s="9" t="s">
        <v>49</v>
      </c>
      <c r="C4" s="10" t="str">
        <f t="shared" si="1"/>
        <v>ESD-03_Terminal Manager Room</v>
      </c>
      <c r="D4" s="63" t="s">
        <v>819</v>
      </c>
      <c r="E4" s="63" t="s">
        <v>820</v>
      </c>
      <c r="F4" s="63" t="s">
        <v>821</v>
      </c>
      <c r="G4" s="95" t="s">
        <v>822</v>
      </c>
      <c r="H4" s="85">
        <v>0.0</v>
      </c>
      <c r="I4" s="95" t="s">
        <v>823</v>
      </c>
      <c r="J4" s="85">
        <v>0.0</v>
      </c>
      <c r="K4" s="91" t="s">
        <v>804</v>
      </c>
      <c r="L4" s="14">
        <v>0.0</v>
      </c>
      <c r="M4" s="91" t="s">
        <v>805</v>
      </c>
      <c r="N4" s="14">
        <v>0.0</v>
      </c>
      <c r="O4" s="91" t="s">
        <v>806</v>
      </c>
      <c r="P4" s="14">
        <v>0.0</v>
      </c>
      <c r="Q4" s="91" t="s">
        <v>807</v>
      </c>
      <c r="R4" s="14">
        <v>0.0</v>
      </c>
      <c r="S4" s="91" t="s">
        <v>808</v>
      </c>
      <c r="T4" s="14">
        <v>0.0</v>
      </c>
      <c r="U4" s="91" t="s">
        <v>809</v>
      </c>
      <c r="V4" s="14">
        <v>0.0</v>
      </c>
      <c r="W4" s="91" t="s">
        <v>810</v>
      </c>
      <c r="X4" s="14">
        <v>0.0</v>
      </c>
      <c r="Y4" s="91" t="s">
        <v>811</v>
      </c>
      <c r="Z4" s="14">
        <v>0.0</v>
      </c>
      <c r="AA4" s="91" t="s">
        <v>812</v>
      </c>
      <c r="AB4" s="14">
        <v>0.0</v>
      </c>
      <c r="AC4" s="91" t="s">
        <v>813</v>
      </c>
      <c r="AD4" s="14">
        <v>0.0</v>
      </c>
      <c r="AE4" s="35"/>
      <c r="AF4" s="35"/>
    </row>
    <row r="5" ht="15.75" customHeight="1">
      <c r="A5" s="8">
        <v>1424.0</v>
      </c>
      <c r="B5" s="9" t="s">
        <v>49</v>
      </c>
      <c r="C5" s="10" t="str">
        <f t="shared" si="1"/>
        <v>ESD-04_Near Admin Building</v>
      </c>
      <c r="D5" s="63" t="s">
        <v>824</v>
      </c>
      <c r="E5" s="63" t="s">
        <v>825</v>
      </c>
      <c r="F5" s="63" t="s">
        <v>826</v>
      </c>
      <c r="G5" s="95" t="s">
        <v>827</v>
      </c>
      <c r="H5" s="85">
        <v>0.0</v>
      </c>
      <c r="I5" s="95" t="s">
        <v>828</v>
      </c>
      <c r="J5" s="85">
        <v>0.0</v>
      </c>
      <c r="K5" s="91" t="s">
        <v>804</v>
      </c>
      <c r="L5" s="14">
        <v>0.0</v>
      </c>
      <c r="M5" s="91" t="s">
        <v>805</v>
      </c>
      <c r="N5" s="14">
        <v>0.0</v>
      </c>
      <c r="O5" s="91" t="s">
        <v>806</v>
      </c>
      <c r="P5" s="14">
        <v>0.0</v>
      </c>
      <c r="Q5" s="91" t="s">
        <v>807</v>
      </c>
      <c r="R5" s="14">
        <v>0.0</v>
      </c>
      <c r="S5" s="91" t="s">
        <v>808</v>
      </c>
      <c r="T5" s="14">
        <v>0.0</v>
      </c>
      <c r="U5" s="91" t="s">
        <v>809</v>
      </c>
      <c r="V5" s="14">
        <v>0.0</v>
      </c>
      <c r="W5" s="91" t="s">
        <v>810</v>
      </c>
      <c r="X5" s="14">
        <v>0.0</v>
      </c>
      <c r="Y5" s="91" t="s">
        <v>811</v>
      </c>
      <c r="Z5" s="14">
        <v>0.0</v>
      </c>
      <c r="AA5" s="91" t="s">
        <v>812</v>
      </c>
      <c r="AB5" s="14">
        <v>0.0</v>
      </c>
      <c r="AC5" s="91" t="s">
        <v>813</v>
      </c>
      <c r="AD5" s="14">
        <v>0.0</v>
      </c>
      <c r="AE5" s="35"/>
      <c r="AF5" s="35"/>
    </row>
    <row r="6" ht="15.75" customHeight="1">
      <c r="A6" s="8">
        <v>1424.0</v>
      </c>
      <c r="B6" s="9" t="s">
        <v>49</v>
      </c>
      <c r="C6" s="10" t="str">
        <f t="shared" si="1"/>
        <v>ESD-05_MCC DG Shed</v>
      </c>
      <c r="D6" s="63" t="s">
        <v>829</v>
      </c>
      <c r="E6" s="63" t="s">
        <v>830</v>
      </c>
      <c r="F6" s="63" t="s">
        <v>831</v>
      </c>
      <c r="G6" s="95" t="s">
        <v>832</v>
      </c>
      <c r="H6" s="85">
        <v>0.0</v>
      </c>
      <c r="I6" s="95" t="s">
        <v>833</v>
      </c>
      <c r="J6" s="85">
        <v>0.0</v>
      </c>
      <c r="K6" s="91" t="s">
        <v>804</v>
      </c>
      <c r="L6" s="14">
        <v>0.0</v>
      </c>
      <c r="M6" s="91" t="s">
        <v>805</v>
      </c>
      <c r="N6" s="14">
        <v>0.0</v>
      </c>
      <c r="O6" s="91" t="s">
        <v>806</v>
      </c>
      <c r="P6" s="14">
        <v>0.0</v>
      </c>
      <c r="Q6" s="91" t="s">
        <v>807</v>
      </c>
      <c r="R6" s="14">
        <v>0.0</v>
      </c>
      <c r="S6" s="91" t="s">
        <v>808</v>
      </c>
      <c r="T6" s="14">
        <v>0.0</v>
      </c>
      <c r="U6" s="91" t="s">
        <v>809</v>
      </c>
      <c r="V6" s="14">
        <v>0.0</v>
      </c>
      <c r="W6" s="91" t="s">
        <v>810</v>
      </c>
      <c r="X6" s="14">
        <v>0.0</v>
      </c>
      <c r="Y6" s="91" t="s">
        <v>811</v>
      </c>
      <c r="Z6" s="14">
        <v>0.0</v>
      </c>
      <c r="AA6" s="91" t="s">
        <v>812</v>
      </c>
      <c r="AB6" s="14">
        <v>0.0</v>
      </c>
      <c r="AC6" s="91" t="s">
        <v>813</v>
      </c>
      <c r="AD6" s="14">
        <v>0.0</v>
      </c>
      <c r="AE6" s="35"/>
      <c r="AF6" s="35"/>
    </row>
    <row r="7" ht="15.75" customHeight="1">
      <c r="A7" s="8">
        <v>1424.0</v>
      </c>
      <c r="B7" s="9" t="s">
        <v>49</v>
      </c>
      <c r="C7" s="10" t="str">
        <f t="shared" si="1"/>
        <v>ESD-06_Near Security room</v>
      </c>
      <c r="D7" s="63" t="s">
        <v>834</v>
      </c>
      <c r="E7" s="63" t="s">
        <v>835</v>
      </c>
      <c r="F7" s="63" t="s">
        <v>836</v>
      </c>
      <c r="G7" s="95" t="s">
        <v>837</v>
      </c>
      <c r="H7" s="85">
        <v>0.0</v>
      </c>
      <c r="I7" s="95" t="s">
        <v>838</v>
      </c>
      <c r="J7" s="85">
        <v>0.0</v>
      </c>
      <c r="K7" s="91" t="s">
        <v>804</v>
      </c>
      <c r="L7" s="14">
        <v>0.0</v>
      </c>
      <c r="M7" s="91" t="s">
        <v>805</v>
      </c>
      <c r="N7" s="14">
        <v>0.0</v>
      </c>
      <c r="O7" s="91" t="s">
        <v>806</v>
      </c>
      <c r="P7" s="14">
        <v>0.0</v>
      </c>
      <c r="Q7" s="91" t="s">
        <v>807</v>
      </c>
      <c r="R7" s="14">
        <v>0.0</v>
      </c>
      <c r="S7" s="91" t="s">
        <v>808</v>
      </c>
      <c r="T7" s="14">
        <v>0.0</v>
      </c>
      <c r="U7" s="91" t="s">
        <v>809</v>
      </c>
      <c r="V7" s="14">
        <v>0.0</v>
      </c>
      <c r="W7" s="91" t="s">
        <v>810</v>
      </c>
      <c r="X7" s="14">
        <v>0.0</v>
      </c>
      <c r="Y7" s="91" t="s">
        <v>811</v>
      </c>
      <c r="Z7" s="14">
        <v>0.0</v>
      </c>
      <c r="AA7" s="91" t="s">
        <v>812</v>
      </c>
      <c r="AB7" s="14">
        <v>0.0</v>
      </c>
      <c r="AC7" s="91" t="s">
        <v>813</v>
      </c>
      <c r="AD7" s="14">
        <v>0.0</v>
      </c>
      <c r="AE7" s="35"/>
      <c r="AF7" s="35"/>
    </row>
    <row r="8" ht="15.75" customHeight="1">
      <c r="A8" s="8">
        <v>1424.0</v>
      </c>
      <c r="B8" s="9" t="s">
        <v>49</v>
      </c>
      <c r="C8" s="10" t="str">
        <f t="shared" si="1"/>
        <v>ESD-08_Rly.Siding Near BPC Gate</v>
      </c>
      <c r="D8" s="63" t="s">
        <v>839</v>
      </c>
      <c r="E8" s="63" t="s">
        <v>840</v>
      </c>
      <c r="F8" s="63" t="s">
        <v>841</v>
      </c>
      <c r="G8" s="95" t="s">
        <v>842</v>
      </c>
      <c r="H8" s="85">
        <v>0.0</v>
      </c>
      <c r="I8" s="95" t="s">
        <v>843</v>
      </c>
      <c r="J8" s="85">
        <v>0.0</v>
      </c>
      <c r="K8" s="91" t="s">
        <v>804</v>
      </c>
      <c r="L8" s="14">
        <v>0.0</v>
      </c>
      <c r="M8" s="91" t="s">
        <v>805</v>
      </c>
      <c r="N8" s="14">
        <v>0.0</v>
      </c>
      <c r="O8" s="91" t="s">
        <v>806</v>
      </c>
      <c r="P8" s="14">
        <v>0.0</v>
      </c>
      <c r="Q8" s="91" t="s">
        <v>807</v>
      </c>
      <c r="R8" s="14">
        <v>0.0</v>
      </c>
      <c r="S8" s="91" t="s">
        <v>808</v>
      </c>
      <c r="T8" s="14">
        <v>0.0</v>
      </c>
      <c r="U8" s="91" t="s">
        <v>809</v>
      </c>
      <c r="V8" s="14">
        <v>0.0</v>
      </c>
      <c r="W8" s="91" t="s">
        <v>810</v>
      </c>
      <c r="X8" s="14">
        <v>0.0</v>
      </c>
      <c r="Y8" s="91" t="s">
        <v>811</v>
      </c>
      <c r="Z8" s="14">
        <v>0.0</v>
      </c>
      <c r="AA8" s="91" t="s">
        <v>812</v>
      </c>
      <c r="AB8" s="14">
        <v>0.0</v>
      </c>
      <c r="AC8" s="91" t="s">
        <v>813</v>
      </c>
      <c r="AD8" s="14">
        <v>0.0</v>
      </c>
      <c r="AE8" s="35"/>
      <c r="AF8" s="35"/>
    </row>
    <row r="9" ht="15.75" customHeight="1">
      <c r="A9" s="8">
        <v>1424.0</v>
      </c>
      <c r="B9" s="9" t="s">
        <v>49</v>
      </c>
      <c r="C9" s="10" t="str">
        <f t="shared" si="1"/>
        <v>ESD-09_UG Tank Farm Area</v>
      </c>
      <c r="D9" s="63" t="s">
        <v>844</v>
      </c>
      <c r="E9" s="63" t="s">
        <v>845</v>
      </c>
      <c r="F9" s="63" t="s">
        <v>846</v>
      </c>
      <c r="G9" s="95" t="s">
        <v>847</v>
      </c>
      <c r="H9" s="85">
        <v>0.0</v>
      </c>
      <c r="I9" s="95" t="s">
        <v>848</v>
      </c>
      <c r="J9" s="85">
        <v>0.0</v>
      </c>
      <c r="K9" s="91" t="s">
        <v>804</v>
      </c>
      <c r="L9" s="14">
        <v>0.0</v>
      </c>
      <c r="M9" s="91" t="s">
        <v>805</v>
      </c>
      <c r="N9" s="14">
        <v>0.0</v>
      </c>
      <c r="O9" s="91" t="s">
        <v>806</v>
      </c>
      <c r="P9" s="14">
        <v>0.0</v>
      </c>
      <c r="Q9" s="91" t="s">
        <v>807</v>
      </c>
      <c r="R9" s="14">
        <v>0.0</v>
      </c>
      <c r="S9" s="91" t="s">
        <v>808</v>
      </c>
      <c r="T9" s="14">
        <v>0.0</v>
      </c>
      <c r="U9" s="91" t="s">
        <v>809</v>
      </c>
      <c r="V9" s="14">
        <v>0.0</v>
      </c>
      <c r="W9" s="91" t="s">
        <v>810</v>
      </c>
      <c r="X9" s="14">
        <v>0.0</v>
      </c>
      <c r="Y9" s="91" t="s">
        <v>811</v>
      </c>
      <c r="Z9" s="14">
        <v>0.0</v>
      </c>
      <c r="AA9" s="91" t="s">
        <v>812</v>
      </c>
      <c r="AB9" s="14">
        <v>0.0</v>
      </c>
      <c r="AC9" s="91" t="s">
        <v>813</v>
      </c>
      <c r="AD9" s="14">
        <v>0.0</v>
      </c>
      <c r="AE9" s="35"/>
      <c r="AF9" s="35"/>
    </row>
    <row r="10" ht="15.75" customHeight="1">
      <c r="A10" s="8">
        <v>1424.0</v>
      </c>
      <c r="B10" s="9" t="s">
        <v>49</v>
      </c>
      <c r="C10" s="10" t="str">
        <f t="shared" si="1"/>
        <v>ESD-10_Quality Control Lab</v>
      </c>
      <c r="D10" s="63" t="s">
        <v>849</v>
      </c>
      <c r="E10" s="63" t="s">
        <v>850</v>
      </c>
      <c r="F10" s="63" t="s">
        <v>851</v>
      </c>
      <c r="G10" s="95" t="s">
        <v>852</v>
      </c>
      <c r="H10" s="85">
        <v>0.0</v>
      </c>
      <c r="I10" s="95" t="s">
        <v>853</v>
      </c>
      <c r="J10" s="85">
        <v>0.0</v>
      </c>
      <c r="K10" s="91" t="s">
        <v>804</v>
      </c>
      <c r="L10" s="14">
        <v>0.0</v>
      </c>
      <c r="M10" s="91" t="s">
        <v>805</v>
      </c>
      <c r="N10" s="14">
        <v>0.0</v>
      </c>
      <c r="O10" s="91" t="s">
        <v>806</v>
      </c>
      <c r="P10" s="14">
        <v>0.0</v>
      </c>
      <c r="Q10" s="91" t="s">
        <v>807</v>
      </c>
      <c r="R10" s="14">
        <v>0.0</v>
      </c>
      <c r="S10" s="91" t="s">
        <v>808</v>
      </c>
      <c r="T10" s="14">
        <v>0.0</v>
      </c>
      <c r="U10" s="91" t="s">
        <v>809</v>
      </c>
      <c r="V10" s="14">
        <v>0.0</v>
      </c>
      <c r="W10" s="91" t="s">
        <v>810</v>
      </c>
      <c r="X10" s="14">
        <v>0.0</v>
      </c>
      <c r="Y10" s="91" t="s">
        <v>811</v>
      </c>
      <c r="Z10" s="14">
        <v>0.0</v>
      </c>
      <c r="AA10" s="91" t="s">
        <v>812</v>
      </c>
      <c r="AB10" s="14">
        <v>0.0</v>
      </c>
      <c r="AC10" s="91" t="s">
        <v>813</v>
      </c>
      <c r="AD10" s="14">
        <v>0.0</v>
      </c>
      <c r="AE10" s="35"/>
      <c r="AF10" s="35"/>
    </row>
    <row r="11" ht="15.75" customHeight="1">
      <c r="A11" s="8">
        <v>1424.0</v>
      </c>
      <c r="B11" s="9" t="s">
        <v>49</v>
      </c>
      <c r="C11" s="10" t="str">
        <f t="shared" si="1"/>
        <v>ESD-11_Fire Water Pump House</v>
      </c>
      <c r="D11" s="63" t="s">
        <v>854</v>
      </c>
      <c r="E11" s="63" t="s">
        <v>855</v>
      </c>
      <c r="F11" s="63" t="s">
        <v>856</v>
      </c>
      <c r="G11" s="95" t="s">
        <v>857</v>
      </c>
      <c r="H11" s="85">
        <v>0.0</v>
      </c>
      <c r="I11" s="95" t="s">
        <v>858</v>
      </c>
      <c r="J11" s="85">
        <v>0.0</v>
      </c>
      <c r="K11" s="91" t="s">
        <v>804</v>
      </c>
      <c r="L11" s="14">
        <v>0.0</v>
      </c>
      <c r="M11" s="91" t="s">
        <v>805</v>
      </c>
      <c r="N11" s="14">
        <v>0.0</v>
      </c>
      <c r="O11" s="91" t="s">
        <v>806</v>
      </c>
      <c r="P11" s="14">
        <v>0.0</v>
      </c>
      <c r="Q11" s="91" t="s">
        <v>807</v>
      </c>
      <c r="R11" s="14">
        <v>0.0</v>
      </c>
      <c r="S11" s="91" t="s">
        <v>808</v>
      </c>
      <c r="T11" s="14">
        <v>0.0</v>
      </c>
      <c r="U11" s="91" t="s">
        <v>809</v>
      </c>
      <c r="V11" s="14">
        <v>0.0</v>
      </c>
      <c r="W11" s="91" t="s">
        <v>810</v>
      </c>
      <c r="X11" s="14">
        <v>0.0</v>
      </c>
      <c r="Y11" s="91" t="s">
        <v>811</v>
      </c>
      <c r="Z11" s="14">
        <v>0.0</v>
      </c>
      <c r="AA11" s="91" t="s">
        <v>812</v>
      </c>
      <c r="AB11" s="14">
        <v>0.0</v>
      </c>
      <c r="AC11" s="91" t="s">
        <v>813</v>
      </c>
      <c r="AD11" s="14">
        <v>0.0</v>
      </c>
      <c r="AE11" s="35"/>
      <c r="AF11" s="35"/>
    </row>
    <row r="12" ht="15.75" customHeight="1">
      <c r="A12" s="8">
        <v>1424.0</v>
      </c>
      <c r="B12" s="9" t="s">
        <v>49</v>
      </c>
      <c r="C12" s="10" t="str">
        <f t="shared" si="1"/>
        <v>ESD-12_Rly.Siding Near IOC Gate</v>
      </c>
      <c r="D12" s="63" t="s">
        <v>859</v>
      </c>
      <c r="E12" s="63" t="s">
        <v>860</v>
      </c>
      <c r="F12" s="63" t="s">
        <v>861</v>
      </c>
      <c r="G12" s="95" t="s">
        <v>862</v>
      </c>
      <c r="H12" s="85">
        <v>0.0</v>
      </c>
      <c r="I12" s="95" t="s">
        <v>863</v>
      </c>
      <c r="J12" s="85">
        <v>0.0</v>
      </c>
      <c r="K12" s="91" t="s">
        <v>804</v>
      </c>
      <c r="L12" s="14">
        <v>0.0</v>
      </c>
      <c r="M12" s="91" t="s">
        <v>805</v>
      </c>
      <c r="N12" s="14">
        <v>0.0</v>
      </c>
      <c r="O12" s="91" t="s">
        <v>806</v>
      </c>
      <c r="P12" s="14">
        <v>0.0</v>
      </c>
      <c r="Q12" s="91" t="s">
        <v>807</v>
      </c>
      <c r="R12" s="14">
        <v>0.0</v>
      </c>
      <c r="S12" s="91" t="s">
        <v>808</v>
      </c>
      <c r="T12" s="14">
        <v>0.0</v>
      </c>
      <c r="U12" s="91" t="s">
        <v>809</v>
      </c>
      <c r="V12" s="14">
        <v>0.0</v>
      </c>
      <c r="W12" s="91" t="s">
        <v>810</v>
      </c>
      <c r="X12" s="14">
        <v>0.0</v>
      </c>
      <c r="Y12" s="91" t="s">
        <v>811</v>
      </c>
      <c r="Z12" s="14">
        <v>0.0</v>
      </c>
      <c r="AA12" s="91" t="s">
        <v>812</v>
      </c>
      <c r="AB12" s="14">
        <v>0.0</v>
      </c>
      <c r="AC12" s="91" t="s">
        <v>813</v>
      </c>
      <c r="AD12" s="14">
        <v>0.0</v>
      </c>
      <c r="AE12" s="35"/>
      <c r="AF12" s="35"/>
    </row>
    <row r="13" ht="15.75" customHeight="1">
      <c r="A13" s="8">
        <v>1424.0</v>
      </c>
      <c r="B13" s="9" t="s">
        <v>49</v>
      </c>
      <c r="C13" s="10" t="str">
        <f t="shared" si="1"/>
        <v>ESD-14_New Gantry Bay no. 06</v>
      </c>
      <c r="D13" s="63" t="s">
        <v>864</v>
      </c>
      <c r="E13" s="63" t="s">
        <v>865</v>
      </c>
      <c r="F13" s="63" t="s">
        <v>866</v>
      </c>
      <c r="G13" s="95" t="s">
        <v>867</v>
      </c>
      <c r="H13" s="85">
        <v>0.0</v>
      </c>
      <c r="I13" s="95" t="s">
        <v>868</v>
      </c>
      <c r="J13" s="85">
        <v>0.0</v>
      </c>
      <c r="K13" s="91" t="s">
        <v>804</v>
      </c>
      <c r="L13" s="14">
        <v>0.0</v>
      </c>
      <c r="M13" s="91" t="s">
        <v>805</v>
      </c>
      <c r="N13" s="14">
        <v>0.0</v>
      </c>
      <c r="O13" s="91" t="s">
        <v>806</v>
      </c>
      <c r="P13" s="14">
        <v>0.0</v>
      </c>
      <c r="Q13" s="91" t="s">
        <v>807</v>
      </c>
      <c r="R13" s="14">
        <v>0.0</v>
      </c>
      <c r="S13" s="91" t="s">
        <v>808</v>
      </c>
      <c r="T13" s="14">
        <v>0.0</v>
      </c>
      <c r="U13" s="91" t="s">
        <v>809</v>
      </c>
      <c r="V13" s="14">
        <v>0.0</v>
      </c>
      <c r="W13" s="91" t="s">
        <v>810</v>
      </c>
      <c r="X13" s="14">
        <v>0.0</v>
      </c>
      <c r="Y13" s="91" t="s">
        <v>811</v>
      </c>
      <c r="Z13" s="14">
        <v>0.0</v>
      </c>
      <c r="AA13" s="91" t="s">
        <v>812</v>
      </c>
      <c r="AB13" s="14">
        <v>0.0</v>
      </c>
      <c r="AC13" s="91" t="s">
        <v>813</v>
      </c>
      <c r="AD13" s="14">
        <v>0.0</v>
      </c>
      <c r="AE13" s="35"/>
      <c r="AF13" s="35"/>
    </row>
    <row r="14" ht="15.75" customHeight="1">
      <c r="A14" s="8">
        <v>1424.0</v>
      </c>
      <c r="B14" s="9" t="s">
        <v>49</v>
      </c>
      <c r="C14" s="10" t="str">
        <f t="shared" si="1"/>
        <v>ESD-15_New Gantry Bay no. 03</v>
      </c>
      <c r="D14" s="63" t="s">
        <v>869</v>
      </c>
      <c r="E14" s="63" t="s">
        <v>870</v>
      </c>
      <c r="F14" s="63" t="s">
        <v>871</v>
      </c>
      <c r="G14" s="95" t="s">
        <v>872</v>
      </c>
      <c r="H14" s="85">
        <v>0.0</v>
      </c>
      <c r="I14" s="95" t="s">
        <v>873</v>
      </c>
      <c r="J14" s="85">
        <v>0.0</v>
      </c>
      <c r="K14" s="91" t="s">
        <v>804</v>
      </c>
      <c r="L14" s="14">
        <v>0.0</v>
      </c>
      <c r="M14" s="91" t="s">
        <v>805</v>
      </c>
      <c r="N14" s="14">
        <v>0.0</v>
      </c>
      <c r="O14" s="91" t="s">
        <v>806</v>
      </c>
      <c r="P14" s="14">
        <v>0.0</v>
      </c>
      <c r="Q14" s="91" t="s">
        <v>807</v>
      </c>
      <c r="R14" s="14">
        <v>0.0</v>
      </c>
      <c r="S14" s="91" t="s">
        <v>808</v>
      </c>
      <c r="T14" s="14">
        <v>0.0</v>
      </c>
      <c r="U14" s="91" t="s">
        <v>809</v>
      </c>
      <c r="V14" s="14">
        <v>0.0</v>
      </c>
      <c r="W14" s="91" t="s">
        <v>810</v>
      </c>
      <c r="X14" s="14">
        <v>0.0</v>
      </c>
      <c r="Y14" s="91" t="s">
        <v>811</v>
      </c>
      <c r="Z14" s="14">
        <v>0.0</v>
      </c>
      <c r="AA14" s="91" t="s">
        <v>812</v>
      </c>
      <c r="AB14" s="14">
        <v>0.0</v>
      </c>
      <c r="AC14" s="91" t="s">
        <v>813</v>
      </c>
      <c r="AD14" s="14">
        <v>0.0</v>
      </c>
      <c r="AE14" s="35"/>
      <c r="AF14" s="35"/>
    </row>
    <row r="15" ht="15.75" customHeight="1">
      <c r="A15" s="8">
        <v>1424.0</v>
      </c>
      <c r="B15" s="9" t="s">
        <v>49</v>
      </c>
      <c r="C15" s="10" t="str">
        <f t="shared" si="1"/>
        <v>ESD-16_MCC Room</v>
      </c>
      <c r="D15" s="63" t="s">
        <v>874</v>
      </c>
      <c r="E15" s="63" t="s">
        <v>875</v>
      </c>
      <c r="F15" s="63" t="s">
        <v>876</v>
      </c>
      <c r="G15" s="95" t="s">
        <v>877</v>
      </c>
      <c r="H15" s="85">
        <v>0.0</v>
      </c>
      <c r="I15" s="95" t="s">
        <v>878</v>
      </c>
      <c r="J15" s="85">
        <v>0.0</v>
      </c>
      <c r="K15" s="91" t="s">
        <v>804</v>
      </c>
      <c r="L15" s="14">
        <v>0.0</v>
      </c>
      <c r="M15" s="91" t="s">
        <v>805</v>
      </c>
      <c r="N15" s="14">
        <v>0.0</v>
      </c>
      <c r="O15" s="91" t="s">
        <v>806</v>
      </c>
      <c r="P15" s="14">
        <v>0.0</v>
      </c>
      <c r="Q15" s="91" t="s">
        <v>807</v>
      </c>
      <c r="R15" s="14">
        <v>0.0</v>
      </c>
      <c r="S15" s="91" t="s">
        <v>808</v>
      </c>
      <c r="T15" s="14">
        <v>0.0</v>
      </c>
      <c r="U15" s="91" t="s">
        <v>809</v>
      </c>
      <c r="V15" s="14">
        <v>0.0</v>
      </c>
      <c r="W15" s="91" t="s">
        <v>810</v>
      </c>
      <c r="X15" s="14">
        <v>0.0</v>
      </c>
      <c r="Y15" s="91" t="s">
        <v>811</v>
      </c>
      <c r="Z15" s="14">
        <v>0.0</v>
      </c>
      <c r="AA15" s="91" t="s">
        <v>812</v>
      </c>
      <c r="AB15" s="14">
        <v>0.0</v>
      </c>
      <c r="AC15" s="91" t="s">
        <v>813</v>
      </c>
      <c r="AD15" s="14">
        <v>0.0</v>
      </c>
      <c r="AE15" s="35"/>
      <c r="AF15" s="35"/>
    </row>
    <row r="16" ht="15.75" customHeight="1">
      <c r="A16" s="8">
        <v>1424.0</v>
      </c>
      <c r="B16" s="9" t="s">
        <v>49</v>
      </c>
      <c r="C16" s="10" t="str">
        <f t="shared" si="1"/>
        <v>ESD-17_TWD MCC Room</v>
      </c>
      <c r="D16" s="63" t="s">
        <v>879</v>
      </c>
      <c r="E16" s="63" t="s">
        <v>880</v>
      </c>
      <c r="F16" s="63" t="s">
        <v>881</v>
      </c>
      <c r="G16" s="95" t="s">
        <v>882</v>
      </c>
      <c r="H16" s="85">
        <v>0.0</v>
      </c>
      <c r="I16" s="95" t="s">
        <v>883</v>
      </c>
      <c r="J16" s="85">
        <v>0.0</v>
      </c>
      <c r="K16" s="91" t="s">
        <v>804</v>
      </c>
      <c r="L16" s="14">
        <v>0.0</v>
      </c>
      <c r="M16" s="91" t="s">
        <v>805</v>
      </c>
      <c r="N16" s="14">
        <v>0.0</v>
      </c>
      <c r="O16" s="91" t="s">
        <v>806</v>
      </c>
      <c r="P16" s="14">
        <v>0.0</v>
      </c>
      <c r="Q16" s="91" t="s">
        <v>807</v>
      </c>
      <c r="R16" s="14">
        <v>0.0</v>
      </c>
      <c r="S16" s="91" t="s">
        <v>808</v>
      </c>
      <c r="T16" s="14">
        <v>0.0</v>
      </c>
      <c r="U16" s="91" t="s">
        <v>809</v>
      </c>
      <c r="V16" s="14">
        <v>0.0</v>
      </c>
      <c r="W16" s="91" t="s">
        <v>810</v>
      </c>
      <c r="X16" s="14">
        <v>0.0</v>
      </c>
      <c r="Y16" s="91" t="s">
        <v>811</v>
      </c>
      <c r="Z16" s="14">
        <v>0.0</v>
      </c>
      <c r="AA16" s="91" t="s">
        <v>812</v>
      </c>
      <c r="AB16" s="14">
        <v>0.0</v>
      </c>
      <c r="AC16" s="91" t="s">
        <v>813</v>
      </c>
      <c r="AD16" s="14">
        <v>0.0</v>
      </c>
      <c r="AE16" s="35"/>
      <c r="AF16" s="35"/>
    </row>
    <row r="17" ht="15.75" customHeight="1">
      <c r="A17" s="8">
        <v>1424.0</v>
      </c>
      <c r="B17" s="9" t="s">
        <v>49</v>
      </c>
      <c r="C17" s="10" t="str">
        <f t="shared" si="1"/>
        <v>ESD-18_TWD Pump House</v>
      </c>
      <c r="D17" s="63" t="s">
        <v>884</v>
      </c>
      <c r="E17" s="63" t="s">
        <v>885</v>
      </c>
      <c r="F17" s="63" t="s">
        <v>886</v>
      </c>
      <c r="G17" s="95" t="s">
        <v>887</v>
      </c>
      <c r="H17" s="85">
        <v>0.0</v>
      </c>
      <c r="I17" s="95" t="s">
        <v>888</v>
      </c>
      <c r="J17" s="85">
        <v>0.0</v>
      </c>
      <c r="K17" s="91" t="s">
        <v>804</v>
      </c>
      <c r="L17" s="14">
        <v>0.0</v>
      </c>
      <c r="M17" s="91" t="s">
        <v>805</v>
      </c>
      <c r="N17" s="14">
        <v>0.0</v>
      </c>
      <c r="O17" s="91" t="s">
        <v>806</v>
      </c>
      <c r="P17" s="14">
        <v>0.0</v>
      </c>
      <c r="Q17" s="91" t="s">
        <v>807</v>
      </c>
      <c r="R17" s="14">
        <v>0.0</v>
      </c>
      <c r="S17" s="91" t="s">
        <v>808</v>
      </c>
      <c r="T17" s="14">
        <v>0.0</v>
      </c>
      <c r="U17" s="91" t="s">
        <v>809</v>
      </c>
      <c r="V17" s="14">
        <v>0.0</v>
      </c>
      <c r="W17" s="91" t="s">
        <v>810</v>
      </c>
      <c r="X17" s="14">
        <v>0.0</v>
      </c>
      <c r="Y17" s="91" t="s">
        <v>811</v>
      </c>
      <c r="Z17" s="14">
        <v>0.0</v>
      </c>
      <c r="AA17" s="91" t="s">
        <v>812</v>
      </c>
      <c r="AB17" s="14">
        <v>0.0</v>
      </c>
      <c r="AC17" s="91" t="s">
        <v>813</v>
      </c>
      <c r="AD17" s="14">
        <v>0.0</v>
      </c>
      <c r="AE17" s="35"/>
      <c r="AF17" s="35"/>
    </row>
    <row r="18" ht="15.75" customHeight="1">
      <c r="A18" s="8">
        <v>1424.0</v>
      </c>
      <c r="B18" s="9" t="s">
        <v>49</v>
      </c>
      <c r="C18" s="10" t="str">
        <f t="shared" si="1"/>
        <v>ESD-19_ETP</v>
      </c>
      <c r="D18" s="63" t="s">
        <v>889</v>
      </c>
      <c r="E18" s="63" t="s">
        <v>890</v>
      </c>
      <c r="F18" s="63" t="s">
        <v>891</v>
      </c>
      <c r="G18" s="95" t="s">
        <v>892</v>
      </c>
      <c r="H18" s="85">
        <v>0.0</v>
      </c>
      <c r="I18" s="95" t="s">
        <v>893</v>
      </c>
      <c r="J18" s="85">
        <v>0.0</v>
      </c>
      <c r="K18" s="91" t="s">
        <v>804</v>
      </c>
      <c r="L18" s="14">
        <v>0.0</v>
      </c>
      <c r="M18" s="91" t="s">
        <v>805</v>
      </c>
      <c r="N18" s="14">
        <v>0.0</v>
      </c>
      <c r="O18" s="91" t="s">
        <v>806</v>
      </c>
      <c r="P18" s="14">
        <v>0.0</v>
      </c>
      <c r="Q18" s="91" t="s">
        <v>807</v>
      </c>
      <c r="R18" s="14">
        <v>0.0</v>
      </c>
      <c r="S18" s="91" t="s">
        <v>808</v>
      </c>
      <c r="T18" s="14">
        <v>0.0</v>
      </c>
      <c r="U18" s="91" t="s">
        <v>809</v>
      </c>
      <c r="V18" s="14">
        <v>0.0</v>
      </c>
      <c r="W18" s="91" t="s">
        <v>810</v>
      </c>
      <c r="X18" s="14">
        <v>0.0</v>
      </c>
      <c r="Y18" s="91" t="s">
        <v>811</v>
      </c>
      <c r="Z18" s="14">
        <v>0.0</v>
      </c>
      <c r="AA18" s="91" t="s">
        <v>812</v>
      </c>
      <c r="AB18" s="14">
        <v>0.0</v>
      </c>
      <c r="AC18" s="91" t="s">
        <v>813</v>
      </c>
      <c r="AD18" s="14">
        <v>0.0</v>
      </c>
      <c r="AE18" s="35"/>
      <c r="AF18" s="35"/>
    </row>
    <row r="19" ht="15.75" customHeight="1">
      <c r="A19" s="8">
        <v>1424.0</v>
      </c>
      <c r="B19" s="9" t="s">
        <v>49</v>
      </c>
      <c r="C19" s="10" t="str">
        <f t="shared" si="1"/>
        <v>ESD-20_Railway siding Entrance Gate</v>
      </c>
      <c r="D19" s="63" t="s">
        <v>894</v>
      </c>
      <c r="E19" s="63" t="s">
        <v>895</v>
      </c>
      <c r="F19" s="63" t="s">
        <v>896</v>
      </c>
      <c r="G19" s="95" t="s">
        <v>897</v>
      </c>
      <c r="H19" s="85">
        <v>0.0</v>
      </c>
      <c r="I19" s="95" t="s">
        <v>898</v>
      </c>
      <c r="J19" s="85">
        <v>0.0</v>
      </c>
      <c r="K19" s="91" t="s">
        <v>804</v>
      </c>
      <c r="L19" s="14">
        <v>0.0</v>
      </c>
      <c r="M19" s="91" t="s">
        <v>805</v>
      </c>
      <c r="N19" s="14">
        <v>0.0</v>
      </c>
      <c r="O19" s="91" t="s">
        <v>806</v>
      </c>
      <c r="P19" s="14">
        <v>0.0</v>
      </c>
      <c r="Q19" s="91" t="s">
        <v>807</v>
      </c>
      <c r="R19" s="14">
        <v>0.0</v>
      </c>
      <c r="S19" s="91" t="s">
        <v>808</v>
      </c>
      <c r="T19" s="14">
        <v>0.0</v>
      </c>
      <c r="U19" s="91" t="s">
        <v>809</v>
      </c>
      <c r="V19" s="14">
        <v>0.0</v>
      </c>
      <c r="W19" s="91" t="s">
        <v>810</v>
      </c>
      <c r="X19" s="14">
        <v>0.0</v>
      </c>
      <c r="Y19" s="91" t="s">
        <v>811</v>
      </c>
      <c r="Z19" s="14">
        <v>0.0</v>
      </c>
      <c r="AA19" s="91" t="s">
        <v>812</v>
      </c>
      <c r="AB19" s="14">
        <v>0.0</v>
      </c>
      <c r="AC19" s="91" t="s">
        <v>813</v>
      </c>
      <c r="AD19" s="14">
        <v>0.0</v>
      </c>
      <c r="AE19" s="35"/>
      <c r="AF19" s="35"/>
    </row>
    <row r="20" ht="15.75" customHeight="1">
      <c r="A20" s="8">
        <v>1424.0</v>
      </c>
      <c r="B20" s="9" t="s">
        <v>49</v>
      </c>
      <c r="C20" s="10" t="str">
        <f t="shared" si="1"/>
        <v>ESD-22_Near TKHSD 20</v>
      </c>
      <c r="D20" s="63" t="s">
        <v>899</v>
      </c>
      <c r="E20" s="63" t="s">
        <v>900</v>
      </c>
      <c r="F20" s="63" t="s">
        <v>901</v>
      </c>
      <c r="G20" s="95" t="s">
        <v>902</v>
      </c>
      <c r="H20" s="85">
        <v>0.0</v>
      </c>
      <c r="I20" s="95" t="s">
        <v>903</v>
      </c>
      <c r="J20" s="85">
        <v>0.0</v>
      </c>
      <c r="K20" s="91" t="s">
        <v>804</v>
      </c>
      <c r="L20" s="14">
        <v>0.0</v>
      </c>
      <c r="M20" s="91" t="s">
        <v>805</v>
      </c>
      <c r="N20" s="14">
        <v>0.0</v>
      </c>
      <c r="O20" s="91" t="s">
        <v>806</v>
      </c>
      <c r="P20" s="14">
        <v>0.0</v>
      </c>
      <c r="Q20" s="91" t="s">
        <v>807</v>
      </c>
      <c r="R20" s="14">
        <v>0.0</v>
      </c>
      <c r="S20" s="91" t="s">
        <v>808</v>
      </c>
      <c r="T20" s="14">
        <v>0.0</v>
      </c>
      <c r="U20" s="91" t="s">
        <v>809</v>
      </c>
      <c r="V20" s="14">
        <v>0.0</v>
      </c>
      <c r="W20" s="91" t="s">
        <v>810</v>
      </c>
      <c r="X20" s="14">
        <v>0.0</v>
      </c>
      <c r="Y20" s="91" t="s">
        <v>811</v>
      </c>
      <c r="Z20" s="14">
        <v>0.0</v>
      </c>
      <c r="AA20" s="91" t="s">
        <v>812</v>
      </c>
      <c r="AB20" s="14">
        <v>0.0</v>
      </c>
      <c r="AC20" s="91" t="s">
        <v>813</v>
      </c>
      <c r="AD20" s="14">
        <v>0.0</v>
      </c>
      <c r="AE20" s="35"/>
      <c r="AF20" s="35"/>
    </row>
    <row r="21" ht="15.75" customHeight="1">
      <c r="A21" s="8">
        <v>1424.0</v>
      </c>
      <c r="B21" s="9" t="s">
        <v>49</v>
      </c>
      <c r="C21" s="10" t="str">
        <f t="shared" si="1"/>
        <v>ESD-23_Near Future Tank Dyke</v>
      </c>
      <c r="D21" s="63" t="s">
        <v>904</v>
      </c>
      <c r="E21" s="63" t="s">
        <v>905</v>
      </c>
      <c r="F21" s="63" t="s">
        <v>906</v>
      </c>
      <c r="G21" s="95" t="s">
        <v>907</v>
      </c>
      <c r="H21" s="85">
        <v>0.0</v>
      </c>
      <c r="I21" s="95" t="s">
        <v>908</v>
      </c>
      <c r="J21" s="85">
        <v>0.0</v>
      </c>
      <c r="K21" s="91" t="s">
        <v>804</v>
      </c>
      <c r="L21" s="14">
        <v>0.0</v>
      </c>
      <c r="M21" s="91" t="s">
        <v>805</v>
      </c>
      <c r="N21" s="14">
        <v>0.0</v>
      </c>
      <c r="O21" s="91" t="s">
        <v>806</v>
      </c>
      <c r="P21" s="14">
        <v>0.0</v>
      </c>
      <c r="Q21" s="91" t="s">
        <v>807</v>
      </c>
      <c r="R21" s="14">
        <v>0.0</v>
      </c>
      <c r="S21" s="91" t="s">
        <v>808</v>
      </c>
      <c r="T21" s="14">
        <v>0.0</v>
      </c>
      <c r="U21" s="91" t="s">
        <v>809</v>
      </c>
      <c r="V21" s="14">
        <v>0.0</v>
      </c>
      <c r="W21" s="91" t="s">
        <v>810</v>
      </c>
      <c r="X21" s="14">
        <v>0.0</v>
      </c>
      <c r="Y21" s="91" t="s">
        <v>811</v>
      </c>
      <c r="Z21" s="14">
        <v>0.0</v>
      </c>
      <c r="AA21" s="91" t="s">
        <v>812</v>
      </c>
      <c r="AB21" s="14">
        <v>0.0</v>
      </c>
      <c r="AC21" s="91" t="s">
        <v>813</v>
      </c>
      <c r="AD21" s="14">
        <v>0.0</v>
      </c>
      <c r="AE21" s="35"/>
      <c r="AF21" s="35"/>
    </row>
    <row r="22" ht="15.75" customHeight="1">
      <c r="A22" s="8">
        <v>1424.0</v>
      </c>
      <c r="B22" s="9" t="s">
        <v>49</v>
      </c>
      <c r="C22" s="10" t="str">
        <f t="shared" si="1"/>
        <v>ESD-24_Near TKMS 22</v>
      </c>
      <c r="D22" s="63" t="s">
        <v>909</v>
      </c>
      <c r="E22" s="63" t="s">
        <v>910</v>
      </c>
      <c r="F22" s="63" t="s">
        <v>911</v>
      </c>
      <c r="G22" s="95" t="s">
        <v>912</v>
      </c>
      <c r="H22" s="85">
        <v>0.0</v>
      </c>
      <c r="I22" s="95" t="s">
        <v>913</v>
      </c>
      <c r="J22" s="85">
        <v>0.0</v>
      </c>
      <c r="K22" s="91" t="s">
        <v>804</v>
      </c>
      <c r="L22" s="14">
        <v>0.0</v>
      </c>
      <c r="M22" s="91" t="s">
        <v>805</v>
      </c>
      <c r="N22" s="14">
        <v>0.0</v>
      </c>
      <c r="O22" s="91" t="s">
        <v>806</v>
      </c>
      <c r="P22" s="14">
        <v>0.0</v>
      </c>
      <c r="Q22" s="91" t="s">
        <v>807</v>
      </c>
      <c r="R22" s="14">
        <v>0.0</v>
      </c>
      <c r="S22" s="91" t="s">
        <v>808</v>
      </c>
      <c r="T22" s="14">
        <v>0.0</v>
      </c>
      <c r="U22" s="91" t="s">
        <v>809</v>
      </c>
      <c r="V22" s="14">
        <v>0.0</v>
      </c>
      <c r="W22" s="91" t="s">
        <v>810</v>
      </c>
      <c r="X22" s="14">
        <v>0.0</v>
      </c>
      <c r="Y22" s="91" t="s">
        <v>811</v>
      </c>
      <c r="Z22" s="14">
        <v>0.0</v>
      </c>
      <c r="AA22" s="91" t="s">
        <v>812</v>
      </c>
      <c r="AB22" s="14">
        <v>0.0</v>
      </c>
      <c r="AC22" s="91" t="s">
        <v>813</v>
      </c>
      <c r="AD22" s="14">
        <v>0.0</v>
      </c>
      <c r="AE22" s="35"/>
      <c r="AF22" s="35"/>
    </row>
    <row r="23" ht="15.75" customHeight="1">
      <c r="A23" s="8">
        <v>1424.0</v>
      </c>
      <c r="B23" s="9" t="s">
        <v>49</v>
      </c>
      <c r="C23" s="10" t="str">
        <f t="shared" si="1"/>
        <v>ESD-25_Near TKMS 23</v>
      </c>
      <c r="D23" s="63" t="s">
        <v>914</v>
      </c>
      <c r="E23" s="63" t="s">
        <v>915</v>
      </c>
      <c r="F23" s="63" t="s">
        <v>916</v>
      </c>
      <c r="G23" s="95" t="s">
        <v>917</v>
      </c>
      <c r="H23" s="85">
        <v>0.0</v>
      </c>
      <c r="I23" s="95" t="s">
        <v>918</v>
      </c>
      <c r="J23" s="85">
        <v>0.0</v>
      </c>
      <c r="K23" s="91" t="s">
        <v>804</v>
      </c>
      <c r="L23" s="14">
        <v>0.0</v>
      </c>
      <c r="M23" s="91" t="s">
        <v>805</v>
      </c>
      <c r="N23" s="14">
        <v>0.0</v>
      </c>
      <c r="O23" s="91" t="s">
        <v>806</v>
      </c>
      <c r="P23" s="14">
        <v>0.0</v>
      </c>
      <c r="Q23" s="91" t="s">
        <v>807</v>
      </c>
      <c r="R23" s="14">
        <v>0.0</v>
      </c>
      <c r="S23" s="91" t="s">
        <v>808</v>
      </c>
      <c r="T23" s="14">
        <v>0.0</v>
      </c>
      <c r="U23" s="91" t="s">
        <v>809</v>
      </c>
      <c r="V23" s="14">
        <v>0.0</v>
      </c>
      <c r="W23" s="91" t="s">
        <v>810</v>
      </c>
      <c r="X23" s="14">
        <v>0.0</v>
      </c>
      <c r="Y23" s="91" t="s">
        <v>811</v>
      </c>
      <c r="Z23" s="14">
        <v>0.0</v>
      </c>
      <c r="AA23" s="91" t="s">
        <v>812</v>
      </c>
      <c r="AB23" s="14">
        <v>0.0</v>
      </c>
      <c r="AC23" s="91" t="s">
        <v>813</v>
      </c>
      <c r="AD23" s="14">
        <v>0.0</v>
      </c>
      <c r="AE23" s="35"/>
      <c r="AF23" s="35"/>
    </row>
    <row r="24" ht="15.75" customHeight="1">
      <c r="A24" s="8">
        <v>1424.0</v>
      </c>
      <c r="B24" s="9" t="s">
        <v>49</v>
      </c>
      <c r="C24" s="10" t="str">
        <f t="shared" si="1"/>
        <v>ESD-26_Near TKFO 13 / 14</v>
      </c>
      <c r="D24" s="63" t="s">
        <v>919</v>
      </c>
      <c r="E24" s="63" t="s">
        <v>920</v>
      </c>
      <c r="F24" s="63" t="s">
        <v>921</v>
      </c>
      <c r="G24" s="95" t="s">
        <v>922</v>
      </c>
      <c r="H24" s="85">
        <v>0.0</v>
      </c>
      <c r="I24" s="95" t="s">
        <v>923</v>
      </c>
      <c r="J24" s="85">
        <v>0.0</v>
      </c>
      <c r="K24" s="91" t="s">
        <v>804</v>
      </c>
      <c r="L24" s="14">
        <v>0.0</v>
      </c>
      <c r="M24" s="91" t="s">
        <v>805</v>
      </c>
      <c r="N24" s="14">
        <v>0.0</v>
      </c>
      <c r="O24" s="91" t="s">
        <v>806</v>
      </c>
      <c r="P24" s="14">
        <v>0.0</v>
      </c>
      <c r="Q24" s="91" t="s">
        <v>807</v>
      </c>
      <c r="R24" s="14">
        <v>0.0</v>
      </c>
      <c r="S24" s="91" t="s">
        <v>808</v>
      </c>
      <c r="T24" s="14">
        <v>0.0</v>
      </c>
      <c r="U24" s="91" t="s">
        <v>809</v>
      </c>
      <c r="V24" s="14">
        <v>0.0</v>
      </c>
      <c r="W24" s="91" t="s">
        <v>810</v>
      </c>
      <c r="X24" s="14">
        <v>0.0</v>
      </c>
      <c r="Y24" s="91" t="s">
        <v>811</v>
      </c>
      <c r="Z24" s="14">
        <v>0.0</v>
      </c>
      <c r="AA24" s="91" t="s">
        <v>812</v>
      </c>
      <c r="AB24" s="14">
        <v>0.0</v>
      </c>
      <c r="AC24" s="91" t="s">
        <v>813</v>
      </c>
      <c r="AD24" s="14">
        <v>0.0</v>
      </c>
      <c r="AE24" s="35"/>
      <c r="AF24" s="35"/>
    </row>
    <row r="25" ht="15.75" customHeight="1">
      <c r="A25" s="8">
        <v>1424.0</v>
      </c>
      <c r="B25" s="9" t="s">
        <v>49</v>
      </c>
      <c r="C25" s="10" t="str">
        <f t="shared" si="1"/>
        <v>ESD-28_TLF Pump House</v>
      </c>
      <c r="D25" s="63" t="s">
        <v>924</v>
      </c>
      <c r="E25" s="63" t="s">
        <v>925</v>
      </c>
      <c r="F25" s="63" t="s">
        <v>926</v>
      </c>
      <c r="G25" s="95" t="s">
        <v>927</v>
      </c>
      <c r="H25" s="85">
        <v>0.0</v>
      </c>
      <c r="I25" s="95" t="s">
        <v>928</v>
      </c>
      <c r="J25" s="85">
        <v>0.0</v>
      </c>
      <c r="K25" s="91" t="s">
        <v>804</v>
      </c>
      <c r="L25" s="14">
        <v>0.0</v>
      </c>
      <c r="M25" s="91" t="s">
        <v>805</v>
      </c>
      <c r="N25" s="14">
        <v>0.0</v>
      </c>
      <c r="O25" s="91" t="s">
        <v>806</v>
      </c>
      <c r="P25" s="14">
        <v>0.0</v>
      </c>
      <c r="Q25" s="91" t="s">
        <v>807</v>
      </c>
      <c r="R25" s="14">
        <v>0.0</v>
      </c>
      <c r="S25" s="91" t="s">
        <v>808</v>
      </c>
      <c r="T25" s="14">
        <v>0.0</v>
      </c>
      <c r="U25" s="91" t="s">
        <v>809</v>
      </c>
      <c r="V25" s="14">
        <v>0.0</v>
      </c>
      <c r="W25" s="91" t="s">
        <v>810</v>
      </c>
      <c r="X25" s="14">
        <v>0.0</v>
      </c>
      <c r="Y25" s="91" t="s">
        <v>811</v>
      </c>
      <c r="Z25" s="14">
        <v>0.0</v>
      </c>
      <c r="AA25" s="91" t="s">
        <v>812</v>
      </c>
      <c r="AB25" s="14">
        <v>0.0</v>
      </c>
      <c r="AC25" s="91" t="s">
        <v>813</v>
      </c>
      <c r="AD25" s="14">
        <v>0.0</v>
      </c>
      <c r="AE25" s="35"/>
      <c r="AF25" s="35"/>
    </row>
    <row r="26" ht="15.75" customHeight="1">
      <c r="A26" s="8">
        <v>1424.0</v>
      </c>
      <c r="B26" s="9" t="s">
        <v>49</v>
      </c>
      <c r="C26" s="10" t="str">
        <f t="shared" si="1"/>
        <v>ESD-29_CENTRAL ESD</v>
      </c>
      <c r="D26" s="63" t="s">
        <v>929</v>
      </c>
      <c r="E26" s="63" t="s">
        <v>930</v>
      </c>
      <c r="F26" s="63" t="s">
        <v>931</v>
      </c>
      <c r="G26" s="95" t="s">
        <v>932</v>
      </c>
      <c r="H26" s="85">
        <v>0.0</v>
      </c>
      <c r="I26" s="95"/>
      <c r="J26" s="85">
        <v>0.0</v>
      </c>
      <c r="K26" s="91" t="s">
        <v>804</v>
      </c>
      <c r="L26" s="14">
        <v>0.0</v>
      </c>
      <c r="M26" s="91" t="s">
        <v>805</v>
      </c>
      <c r="N26" s="14">
        <v>0.0</v>
      </c>
      <c r="O26" s="91" t="s">
        <v>806</v>
      </c>
      <c r="P26" s="14">
        <v>0.0</v>
      </c>
      <c r="Q26" s="91" t="s">
        <v>807</v>
      </c>
      <c r="R26" s="14">
        <v>0.0</v>
      </c>
      <c r="S26" s="91" t="s">
        <v>808</v>
      </c>
      <c r="T26" s="14">
        <v>0.0</v>
      </c>
      <c r="U26" s="91" t="s">
        <v>809</v>
      </c>
      <c r="V26" s="14">
        <v>0.0</v>
      </c>
      <c r="W26" s="91" t="s">
        <v>810</v>
      </c>
      <c r="X26" s="14">
        <v>0.0</v>
      </c>
      <c r="Y26" s="91" t="s">
        <v>811</v>
      </c>
      <c r="Z26" s="14">
        <v>0.0</v>
      </c>
      <c r="AA26" s="91" t="s">
        <v>812</v>
      </c>
      <c r="AB26" s="14">
        <v>0.0</v>
      </c>
      <c r="AC26" s="91" t="s">
        <v>813</v>
      </c>
      <c r="AD26" s="14">
        <v>0.0</v>
      </c>
      <c r="AE26" s="35"/>
      <c r="AF26" s="35"/>
    </row>
    <row r="27" ht="15.75" customHeight="1">
      <c r="A27" s="8">
        <v>1424.0</v>
      </c>
      <c r="B27" s="9" t="s">
        <v>49</v>
      </c>
      <c r="C27" s="10" t="str">
        <f t="shared" si="1"/>
        <v>ESD-SOFT_SOFT FROM OIC</v>
      </c>
      <c r="D27" s="63" t="s">
        <v>933</v>
      </c>
      <c r="E27" s="63" t="s">
        <v>933</v>
      </c>
      <c r="F27" s="63" t="s">
        <v>934</v>
      </c>
      <c r="G27" s="95" t="s">
        <v>935</v>
      </c>
      <c r="H27" s="85">
        <v>0.0</v>
      </c>
      <c r="I27" s="95"/>
      <c r="J27" s="85">
        <v>0.0</v>
      </c>
      <c r="K27" s="91" t="s">
        <v>804</v>
      </c>
      <c r="L27" s="14">
        <v>0.0</v>
      </c>
      <c r="M27" s="91" t="s">
        <v>805</v>
      </c>
      <c r="N27" s="14">
        <v>0.0</v>
      </c>
      <c r="O27" s="91" t="s">
        <v>806</v>
      </c>
      <c r="P27" s="14">
        <v>0.0</v>
      </c>
      <c r="Q27" s="91" t="s">
        <v>807</v>
      </c>
      <c r="R27" s="14">
        <v>0.0</v>
      </c>
      <c r="S27" s="91" t="s">
        <v>808</v>
      </c>
      <c r="T27" s="14">
        <v>0.0</v>
      </c>
      <c r="U27" s="91" t="s">
        <v>809</v>
      </c>
      <c r="V27" s="14">
        <v>0.0</v>
      </c>
      <c r="W27" s="91" t="s">
        <v>810</v>
      </c>
      <c r="X27" s="14">
        <v>0.0</v>
      </c>
      <c r="Y27" s="91" t="s">
        <v>811</v>
      </c>
      <c r="Z27" s="14">
        <v>0.0</v>
      </c>
      <c r="AA27" s="91" t="s">
        <v>812</v>
      </c>
      <c r="AB27" s="14">
        <v>0.0</v>
      </c>
      <c r="AC27" s="91" t="s">
        <v>813</v>
      </c>
      <c r="AD27" s="14">
        <v>0.0</v>
      </c>
      <c r="AE27" s="35"/>
      <c r="AF27" s="35"/>
    </row>
    <row r="28" ht="15.75" customHeight="1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</row>
    <row r="29" ht="15.75" customHeight="1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</row>
    <row r="30" ht="15.75" customHeight="1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</row>
    <row r="31" ht="15.75" customHeight="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</row>
    <row r="32" ht="15.75" customHeight="1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</row>
    <row r="33" ht="15.7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</row>
    <row r="34" ht="15.75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</row>
    <row r="35" ht="15.75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</row>
    <row r="36" ht="15.7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</row>
    <row r="37" ht="15.7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</row>
    <row r="38" ht="15.7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</row>
    <row r="39" ht="15.7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</row>
    <row r="40" ht="15.7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</row>
    <row r="41" ht="15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</row>
    <row r="42" ht="15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</row>
    <row r="43" ht="15.7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</row>
    <row r="44" ht="15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</row>
    <row r="45" ht="15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</row>
    <row r="46" ht="15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</row>
    <row r="47" ht="15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</row>
    <row r="48" ht="15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</row>
    <row r="49" ht="15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</row>
    <row r="50" ht="15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</row>
    <row r="51" ht="15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</row>
    <row r="52" ht="15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</row>
    <row r="53" ht="15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</row>
    <row r="54" ht="15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</row>
    <row r="55" ht="15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</row>
    <row r="56" ht="15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</row>
    <row r="57" ht="15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</row>
    <row r="58" ht="15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</row>
    <row r="59" ht="15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</row>
    <row r="60" ht="15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</row>
    <row r="61" ht="15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</row>
    <row r="62" ht="15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</row>
    <row r="63" ht="15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</row>
    <row r="64" ht="15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</row>
    <row r="65" ht="15.7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</row>
    <row r="66" ht="15.7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</row>
    <row r="67" ht="15.7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</row>
    <row r="68" ht="15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</row>
    <row r="69" ht="15.7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</row>
    <row r="70" ht="15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</row>
    <row r="71" ht="15.7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</row>
    <row r="72" ht="15.7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</row>
    <row r="73" ht="15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</row>
    <row r="74" ht="15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</row>
    <row r="75" ht="15.7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</row>
    <row r="76" ht="15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</row>
    <row r="77" ht="15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</row>
    <row r="78" ht="15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</row>
    <row r="79" ht="15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</row>
    <row r="80" ht="15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</row>
    <row r="81" ht="15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</row>
    <row r="82" ht="15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</row>
    <row r="83" ht="15.7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</row>
    <row r="84" ht="15.7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</row>
    <row r="85" ht="15.7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</row>
    <row r="86" ht="15.7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</row>
    <row r="87" ht="15.7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</row>
    <row r="88" ht="15.7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</row>
    <row r="89" ht="15.7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</row>
    <row r="90" ht="15.7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</row>
    <row r="91" ht="15.7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</row>
    <row r="92" ht="15.7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</row>
    <row r="93" ht="15.7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</row>
    <row r="94" ht="15.7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</row>
    <row r="95" ht="15.7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</row>
    <row r="96" ht="15.7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</row>
    <row r="97" ht="15.7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</row>
    <row r="98" ht="15.7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</row>
    <row r="99" ht="15.7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</row>
    <row r="100" ht="15.7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</row>
    <row r="101" ht="15.7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</row>
    <row r="102" ht="15.7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</row>
    <row r="103" ht="15.7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</row>
    <row r="104" ht="15.7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</row>
    <row r="105" ht="15.7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</row>
    <row r="106" ht="15.7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</row>
    <row r="107" ht="15.7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</row>
    <row r="108" ht="15.7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</row>
    <row r="109" ht="15.7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</row>
    <row r="110" ht="15.7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</row>
    <row r="111" ht="15.7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</row>
    <row r="112" ht="15.7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</row>
    <row r="113" ht="15.7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</row>
    <row r="114" ht="15.7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</row>
    <row r="115" ht="15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</row>
    <row r="116" ht="15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</row>
    <row r="117" ht="15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</row>
    <row r="118" ht="15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</row>
    <row r="119" ht="15.7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</row>
    <row r="120" ht="15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</row>
    <row r="121" ht="15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</row>
    <row r="122" ht="15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</row>
    <row r="123" ht="15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</row>
    <row r="124" ht="15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</row>
    <row r="125" ht="15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</row>
    <row r="126" ht="15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</row>
    <row r="127" ht="15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</row>
    <row r="128" ht="15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</row>
    <row r="129" ht="15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</row>
    <row r="130" ht="15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</row>
    <row r="131" ht="15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</row>
    <row r="132" ht="15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</row>
    <row r="133" ht="15.7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</row>
    <row r="134" ht="15.7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</row>
    <row r="135" ht="15.7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</row>
    <row r="136" ht="15.7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</row>
    <row r="137" ht="15.7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</row>
    <row r="138" ht="15.7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</row>
    <row r="139" ht="15.7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</row>
    <row r="140" ht="15.7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</row>
    <row r="141" ht="15.7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</row>
    <row r="142" ht="15.7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</row>
    <row r="143" ht="15.7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</row>
    <row r="144" ht="15.7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</row>
    <row r="145" ht="15.7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</row>
    <row r="146" ht="15.7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</row>
    <row r="147" ht="15.7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</row>
    <row r="148" ht="15.7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</row>
    <row r="149" ht="15.7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</row>
    <row r="150" ht="15.7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</row>
    <row r="151" ht="15.7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</row>
    <row r="152" ht="15.7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</row>
    <row r="153" ht="15.7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</row>
    <row r="154" ht="15.7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</row>
    <row r="155" ht="15.7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</row>
    <row r="156" ht="15.7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</row>
    <row r="157" ht="15.7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</row>
    <row r="158" ht="15.7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</row>
    <row r="159" ht="15.7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</row>
    <row r="160" ht="15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</row>
    <row r="161" ht="15.7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</row>
    <row r="162" ht="15.7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</row>
    <row r="163" ht="15.7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</row>
    <row r="164" ht="15.7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</row>
    <row r="165" ht="15.7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</row>
    <row r="166" ht="15.7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</row>
    <row r="167" ht="15.7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</row>
    <row r="168" ht="15.7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</row>
    <row r="169" ht="15.7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</row>
    <row r="170" ht="15.7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</row>
    <row r="171" ht="15.7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</row>
    <row r="172" ht="15.7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</row>
    <row r="173" ht="15.7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</row>
    <row r="174" ht="15.7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</row>
    <row r="175" ht="15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</row>
    <row r="176" ht="15.7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</row>
    <row r="177" ht="15.7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</row>
    <row r="178" ht="15.7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</row>
    <row r="179" ht="15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</row>
    <row r="180" ht="15.7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</row>
    <row r="181" ht="15.7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</row>
    <row r="182" ht="15.7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</row>
    <row r="183" ht="15.7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</row>
    <row r="184" ht="15.7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</row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22.13"/>
    <col customWidth="1" min="5" max="5" width="13.88"/>
    <col customWidth="1" min="7" max="7" width="9.13"/>
    <col customWidth="1" min="8" max="8" width="41.5"/>
    <col customWidth="1" min="9" max="9" width="11.5"/>
    <col customWidth="1" min="10" max="10" width="47.38"/>
    <col customWidth="1" min="11" max="11" width="11.5"/>
    <col customWidth="1" min="12" max="12" width="46.25"/>
    <col customWidth="1" min="13" max="13" width="14.0"/>
    <col customWidth="1" min="14" max="14" width="46.13"/>
    <col customWidth="1" min="15" max="15" width="11.5"/>
    <col customWidth="1" min="16" max="16" width="47.5"/>
    <col customWidth="1" min="17" max="17" width="11.5"/>
    <col customWidth="1" min="18" max="18" width="48.88"/>
    <col customWidth="1" min="19" max="19" width="11.5"/>
    <col customWidth="1" min="20" max="20" width="47.88"/>
    <col customWidth="1" min="21" max="21" width="11.5"/>
    <col customWidth="1" min="22" max="22" width="47.5"/>
    <col customWidth="1" min="23" max="23" width="11.5"/>
    <col customWidth="1" min="24" max="24" width="49.13"/>
    <col customWidth="1" min="25" max="25" width="11.5"/>
    <col customWidth="1" min="26" max="26" width="49.75"/>
    <col customWidth="1" min="27" max="27" width="11.5"/>
    <col customWidth="1" min="28" max="28" width="57.0"/>
    <col customWidth="1" min="29" max="29" width="11.5"/>
    <col customWidth="1" min="30" max="30" width="55.88"/>
    <col customWidth="1" min="31" max="31" width="11.5"/>
    <col customWidth="1" min="32" max="32" width="54.13"/>
    <col customWidth="1" min="33" max="33" width="11.5"/>
    <col customWidth="1" min="34" max="34" width="34.88"/>
    <col customWidth="1" min="35" max="35" width="11.5"/>
    <col customWidth="1" min="36" max="36" width="51.88"/>
    <col customWidth="1" min="37" max="37" width="11.5"/>
    <col customWidth="1" min="38" max="38" width="37.75"/>
    <col customWidth="1" min="39" max="39" width="16.88"/>
    <col customWidth="1" min="40" max="40" width="64.88"/>
    <col customWidth="1" min="41" max="41" width="14.0"/>
    <col customWidth="1" min="42" max="42" width="54.88"/>
    <col customWidth="1" min="43" max="43" width="14.0"/>
    <col customWidth="1" min="44" max="44" width="37.88"/>
    <col customWidth="1" min="45" max="45" width="14.0"/>
  </cols>
  <sheetData>
    <row r="1" ht="15.75" customHeight="1">
      <c r="A1" s="2" t="s">
        <v>0</v>
      </c>
      <c r="B1" s="2" t="s">
        <v>1</v>
      </c>
      <c r="C1" s="2" t="s">
        <v>2</v>
      </c>
      <c r="D1" s="2" t="s">
        <v>936</v>
      </c>
      <c r="E1" s="2" t="s">
        <v>937</v>
      </c>
      <c r="F1" s="2" t="s">
        <v>938</v>
      </c>
      <c r="G1" s="2" t="s">
        <v>5</v>
      </c>
      <c r="H1" s="59" t="s">
        <v>939</v>
      </c>
      <c r="I1" s="59" t="s">
        <v>7</v>
      </c>
      <c r="J1" s="59" t="s">
        <v>940</v>
      </c>
      <c r="K1" s="59" t="s">
        <v>7</v>
      </c>
      <c r="L1" s="61" t="s">
        <v>941</v>
      </c>
      <c r="M1" s="61" t="s">
        <v>7</v>
      </c>
      <c r="N1" s="59" t="s">
        <v>942</v>
      </c>
      <c r="O1" s="59" t="s">
        <v>7</v>
      </c>
      <c r="P1" s="61" t="s">
        <v>943</v>
      </c>
      <c r="Q1" s="61" t="s">
        <v>7</v>
      </c>
      <c r="R1" s="59" t="s">
        <v>944</v>
      </c>
      <c r="S1" s="59" t="s">
        <v>7</v>
      </c>
      <c r="T1" s="61" t="s">
        <v>945</v>
      </c>
      <c r="U1" s="61" t="s">
        <v>7</v>
      </c>
      <c r="V1" s="59" t="s">
        <v>946</v>
      </c>
      <c r="W1" s="59" t="s">
        <v>7</v>
      </c>
      <c r="X1" s="59" t="s">
        <v>947</v>
      </c>
      <c r="Y1" s="59" t="s">
        <v>7</v>
      </c>
      <c r="Z1" s="59" t="s">
        <v>948</v>
      </c>
      <c r="AA1" s="59" t="s">
        <v>7</v>
      </c>
      <c r="AB1" s="59" t="s">
        <v>949</v>
      </c>
      <c r="AC1" s="59" t="s">
        <v>7</v>
      </c>
      <c r="AD1" s="59" t="s">
        <v>950</v>
      </c>
      <c r="AE1" s="59" t="s">
        <v>7</v>
      </c>
      <c r="AF1" s="59" t="s">
        <v>951</v>
      </c>
      <c r="AG1" s="59" t="s">
        <v>7</v>
      </c>
      <c r="AH1" s="96" t="s">
        <v>952</v>
      </c>
      <c r="AI1" s="97" t="s">
        <v>7</v>
      </c>
      <c r="AJ1" s="60" t="s">
        <v>953</v>
      </c>
      <c r="AK1" s="60" t="s">
        <v>7</v>
      </c>
      <c r="AL1" s="62" t="s">
        <v>954</v>
      </c>
      <c r="AM1" s="62" t="s">
        <v>7</v>
      </c>
      <c r="AN1" s="59" t="s">
        <v>955</v>
      </c>
      <c r="AO1" s="59" t="s">
        <v>13</v>
      </c>
      <c r="AP1" s="59" t="s">
        <v>956</v>
      </c>
      <c r="AQ1" s="59" t="s">
        <v>7</v>
      </c>
      <c r="AR1" s="61" t="s">
        <v>957</v>
      </c>
      <c r="AS1" s="61" t="s">
        <v>7</v>
      </c>
    </row>
    <row r="2" ht="15.75" customHeight="1">
      <c r="A2" s="8">
        <v>1424.0</v>
      </c>
      <c r="B2" s="9" t="s">
        <v>49</v>
      </c>
      <c r="C2" s="10" t="str">
        <f t="shared" ref="C2:C17" si="1">CONCATENATE(D2,"_",F2,"_",G2)</f>
        <v>LP 01_BC-501A_BS VI HSD</v>
      </c>
      <c r="D2" s="71" t="s">
        <v>958</v>
      </c>
      <c r="E2" s="71" t="s">
        <v>366</v>
      </c>
      <c r="F2" s="11" t="s">
        <v>959</v>
      </c>
      <c r="G2" s="63" t="s">
        <v>52</v>
      </c>
      <c r="H2" s="72" t="s">
        <v>960</v>
      </c>
      <c r="I2" s="66">
        <v>0.0</v>
      </c>
      <c r="J2" s="72" t="s">
        <v>961</v>
      </c>
      <c r="K2" s="66">
        <v>0.0</v>
      </c>
      <c r="L2" s="72"/>
      <c r="M2" s="72"/>
      <c r="N2" s="72" t="s">
        <v>962</v>
      </c>
      <c r="O2" s="66">
        <v>0.0</v>
      </c>
      <c r="P2" s="72"/>
      <c r="Q2" s="72"/>
      <c r="R2" s="72" t="s">
        <v>963</v>
      </c>
      <c r="S2" s="66">
        <v>0.0</v>
      </c>
      <c r="T2" s="72"/>
      <c r="U2" s="72"/>
      <c r="V2" s="72" t="s">
        <v>964</v>
      </c>
      <c r="W2" s="66">
        <v>0.0</v>
      </c>
      <c r="X2" s="72" t="s">
        <v>965</v>
      </c>
      <c r="Y2" s="66">
        <v>0.0</v>
      </c>
      <c r="Z2" s="72" t="s">
        <v>966</v>
      </c>
      <c r="AA2" s="66">
        <v>0.0</v>
      </c>
      <c r="AB2" s="72" t="s">
        <v>967</v>
      </c>
      <c r="AC2" s="66">
        <v>0.0</v>
      </c>
      <c r="AD2" s="72" t="s">
        <v>968</v>
      </c>
      <c r="AE2" s="66">
        <v>0.0</v>
      </c>
      <c r="AF2" s="72" t="s">
        <v>969</v>
      </c>
      <c r="AG2" s="66">
        <v>0.0</v>
      </c>
      <c r="AH2" s="72" t="s">
        <v>970</v>
      </c>
      <c r="AI2" s="66">
        <v>2.0</v>
      </c>
      <c r="AJ2" s="72" t="s">
        <v>971</v>
      </c>
      <c r="AK2" s="66">
        <v>0.0</v>
      </c>
      <c r="AL2" s="72"/>
      <c r="AM2" s="72"/>
      <c r="AN2" s="72" t="s">
        <v>972</v>
      </c>
      <c r="AO2" s="66">
        <v>0.0</v>
      </c>
      <c r="AP2" s="72" t="s">
        <v>973</v>
      </c>
      <c r="AQ2" s="66">
        <v>0.0</v>
      </c>
      <c r="AR2" s="72"/>
      <c r="AS2" s="72"/>
    </row>
    <row r="3" ht="15.75" customHeight="1">
      <c r="A3" s="8">
        <v>1424.0</v>
      </c>
      <c r="B3" s="9" t="s">
        <v>49</v>
      </c>
      <c r="C3" s="10" t="str">
        <f t="shared" si="1"/>
        <v>LP 02_BC-501B_BS VI HSD</v>
      </c>
      <c r="D3" s="71" t="s">
        <v>974</v>
      </c>
      <c r="E3" s="71" t="s">
        <v>366</v>
      </c>
      <c r="F3" s="11" t="s">
        <v>975</v>
      </c>
      <c r="G3" s="63" t="s">
        <v>52</v>
      </c>
      <c r="H3" s="72" t="s">
        <v>976</v>
      </c>
      <c r="I3" s="66">
        <v>0.0</v>
      </c>
      <c r="J3" s="72" t="s">
        <v>977</v>
      </c>
      <c r="K3" s="66">
        <v>0.0</v>
      </c>
      <c r="L3" s="72"/>
      <c r="M3" s="72"/>
      <c r="N3" s="72" t="s">
        <v>978</v>
      </c>
      <c r="O3" s="66">
        <v>0.0</v>
      </c>
      <c r="P3" s="72"/>
      <c r="Q3" s="72"/>
      <c r="R3" s="72" t="s">
        <v>979</v>
      </c>
      <c r="S3" s="66">
        <v>0.0</v>
      </c>
      <c r="T3" s="72"/>
      <c r="U3" s="72"/>
      <c r="V3" s="72" t="s">
        <v>980</v>
      </c>
      <c r="W3" s="66">
        <v>0.0</v>
      </c>
      <c r="X3" s="72" t="s">
        <v>981</v>
      </c>
      <c r="Y3" s="66">
        <v>0.0</v>
      </c>
      <c r="Z3" s="72" t="s">
        <v>982</v>
      </c>
      <c r="AA3" s="66">
        <v>0.0</v>
      </c>
      <c r="AB3" s="72" t="s">
        <v>983</v>
      </c>
      <c r="AC3" s="66">
        <v>0.0</v>
      </c>
      <c r="AD3" s="72" t="s">
        <v>984</v>
      </c>
      <c r="AE3" s="66">
        <v>0.0</v>
      </c>
      <c r="AF3" s="72" t="s">
        <v>985</v>
      </c>
      <c r="AG3" s="66">
        <v>0.0</v>
      </c>
      <c r="AH3" s="72" t="s">
        <v>986</v>
      </c>
      <c r="AI3" s="66">
        <v>2.0</v>
      </c>
      <c r="AJ3" s="72" t="s">
        <v>987</v>
      </c>
      <c r="AK3" s="66">
        <v>0.0</v>
      </c>
      <c r="AL3" s="72"/>
      <c r="AM3" s="72"/>
      <c r="AN3" s="72" t="s">
        <v>988</v>
      </c>
      <c r="AO3" s="66">
        <v>0.0</v>
      </c>
      <c r="AP3" s="72" t="s">
        <v>989</v>
      </c>
      <c r="AQ3" s="66">
        <v>0.0</v>
      </c>
      <c r="AR3" s="72"/>
      <c r="AS3" s="72"/>
    </row>
    <row r="4" ht="15.75" customHeight="1">
      <c r="A4" s="8">
        <v>1424.0</v>
      </c>
      <c r="B4" s="9" t="s">
        <v>49</v>
      </c>
      <c r="C4" s="10" t="str">
        <f t="shared" si="1"/>
        <v>LP 03_BC-502A_BS VI MS</v>
      </c>
      <c r="D4" s="71" t="s">
        <v>990</v>
      </c>
      <c r="E4" s="71" t="s">
        <v>366</v>
      </c>
      <c r="F4" s="11" t="s">
        <v>991</v>
      </c>
      <c r="G4" s="63" t="s">
        <v>110</v>
      </c>
      <c r="H4" s="72" t="s">
        <v>992</v>
      </c>
      <c r="I4" s="66">
        <v>0.0</v>
      </c>
      <c r="J4" s="72" t="s">
        <v>993</v>
      </c>
      <c r="K4" s="66">
        <v>0.0</v>
      </c>
      <c r="L4" s="72" t="s">
        <v>994</v>
      </c>
      <c r="M4" s="66">
        <v>0.0</v>
      </c>
      <c r="N4" s="72" t="s">
        <v>995</v>
      </c>
      <c r="O4" s="66">
        <v>0.0</v>
      </c>
      <c r="P4" s="72" t="s">
        <v>996</v>
      </c>
      <c r="Q4" s="66">
        <v>0.0</v>
      </c>
      <c r="R4" s="72" t="s">
        <v>997</v>
      </c>
      <c r="S4" s="66">
        <v>0.0</v>
      </c>
      <c r="T4" s="72" t="s">
        <v>997</v>
      </c>
      <c r="U4" s="66">
        <v>0.0</v>
      </c>
      <c r="V4" s="72" t="s">
        <v>998</v>
      </c>
      <c r="W4" s="66">
        <v>0.0</v>
      </c>
      <c r="X4" s="72" t="s">
        <v>999</v>
      </c>
      <c r="Y4" s="66">
        <v>0.0</v>
      </c>
      <c r="Z4" s="72" t="s">
        <v>1000</v>
      </c>
      <c r="AA4" s="66">
        <v>0.0</v>
      </c>
      <c r="AB4" s="72" t="s">
        <v>1001</v>
      </c>
      <c r="AC4" s="66">
        <v>0.0</v>
      </c>
      <c r="AD4" s="72" t="s">
        <v>1002</v>
      </c>
      <c r="AE4" s="66">
        <v>0.0</v>
      </c>
      <c r="AF4" s="72" t="s">
        <v>1003</v>
      </c>
      <c r="AG4" s="66">
        <v>0.0</v>
      </c>
      <c r="AH4" s="72" t="s">
        <v>1004</v>
      </c>
      <c r="AI4" s="66">
        <v>2.0</v>
      </c>
      <c r="AJ4" s="72" t="s">
        <v>1005</v>
      </c>
      <c r="AK4" s="66">
        <v>0.0</v>
      </c>
      <c r="AL4" s="72" t="s">
        <v>1006</v>
      </c>
      <c r="AM4" s="66">
        <v>0.0</v>
      </c>
      <c r="AN4" s="72" t="s">
        <v>1007</v>
      </c>
      <c r="AO4" s="66">
        <v>0.0</v>
      </c>
      <c r="AP4" s="72" t="s">
        <v>1008</v>
      </c>
      <c r="AQ4" s="66">
        <v>0.0</v>
      </c>
      <c r="AR4" s="72" t="s">
        <v>1009</v>
      </c>
      <c r="AS4" s="66">
        <v>0.0</v>
      </c>
    </row>
    <row r="5" ht="15.75" customHeight="1">
      <c r="A5" s="8">
        <v>1424.0</v>
      </c>
      <c r="B5" s="9" t="s">
        <v>49</v>
      </c>
      <c r="C5" s="10" t="str">
        <f t="shared" si="1"/>
        <v>LP 04_BC-502B_BS VI HSD</v>
      </c>
      <c r="D5" s="71" t="s">
        <v>1010</v>
      </c>
      <c r="E5" s="71" t="s">
        <v>366</v>
      </c>
      <c r="F5" s="11" t="s">
        <v>1011</v>
      </c>
      <c r="G5" s="63" t="s">
        <v>52</v>
      </c>
      <c r="H5" s="72" t="s">
        <v>1012</v>
      </c>
      <c r="I5" s="66">
        <v>0.0</v>
      </c>
      <c r="J5" s="72" t="s">
        <v>1013</v>
      </c>
      <c r="K5" s="66">
        <v>0.0</v>
      </c>
      <c r="L5" s="72"/>
      <c r="M5" s="72"/>
      <c r="N5" s="72" t="s">
        <v>1014</v>
      </c>
      <c r="O5" s="66">
        <v>0.0</v>
      </c>
      <c r="P5" s="72"/>
      <c r="Q5" s="72"/>
      <c r="R5" s="72" t="s">
        <v>1015</v>
      </c>
      <c r="S5" s="66">
        <v>0.0</v>
      </c>
      <c r="T5" s="72"/>
      <c r="U5" s="72"/>
      <c r="V5" s="72" t="s">
        <v>1016</v>
      </c>
      <c r="W5" s="66">
        <v>0.0</v>
      </c>
      <c r="X5" s="72" t="s">
        <v>1017</v>
      </c>
      <c r="Y5" s="66">
        <v>0.0</v>
      </c>
      <c r="Z5" s="72" t="s">
        <v>1018</v>
      </c>
      <c r="AA5" s="66">
        <v>0.0</v>
      </c>
      <c r="AB5" s="72" t="s">
        <v>1019</v>
      </c>
      <c r="AC5" s="66">
        <v>0.0</v>
      </c>
      <c r="AD5" s="72" t="s">
        <v>1020</v>
      </c>
      <c r="AE5" s="66">
        <v>0.0</v>
      </c>
      <c r="AF5" s="72" t="s">
        <v>1021</v>
      </c>
      <c r="AG5" s="66">
        <v>0.0</v>
      </c>
      <c r="AH5" s="72" t="s">
        <v>1022</v>
      </c>
      <c r="AI5" s="66">
        <v>2.0</v>
      </c>
      <c r="AJ5" s="72" t="s">
        <v>1023</v>
      </c>
      <c r="AK5" s="66">
        <v>0.0</v>
      </c>
      <c r="AL5" s="72"/>
      <c r="AM5" s="72"/>
      <c r="AN5" s="72" t="s">
        <v>1024</v>
      </c>
      <c r="AO5" s="66">
        <v>0.0</v>
      </c>
      <c r="AP5" s="72" t="s">
        <v>1025</v>
      </c>
      <c r="AQ5" s="66">
        <v>0.0</v>
      </c>
      <c r="AR5" s="72"/>
      <c r="AS5" s="72"/>
    </row>
    <row r="6" ht="15.75" customHeight="1">
      <c r="A6" s="8">
        <v>1424.0</v>
      </c>
      <c r="B6" s="9" t="s">
        <v>49</v>
      </c>
      <c r="C6" s="10" t="str">
        <f t="shared" si="1"/>
        <v>LP 05_BC-503A_BS VI MS</v>
      </c>
      <c r="D6" s="71" t="s">
        <v>1026</v>
      </c>
      <c r="E6" s="71" t="s">
        <v>366</v>
      </c>
      <c r="F6" s="11" t="s">
        <v>1027</v>
      </c>
      <c r="G6" s="63" t="s">
        <v>110</v>
      </c>
      <c r="H6" s="72" t="s">
        <v>1028</v>
      </c>
      <c r="I6" s="66">
        <v>0.0</v>
      </c>
      <c r="J6" s="72" t="s">
        <v>1029</v>
      </c>
      <c r="K6" s="66">
        <v>0.0</v>
      </c>
      <c r="L6" s="72" t="s">
        <v>1030</v>
      </c>
      <c r="M6" s="66">
        <v>0.0</v>
      </c>
      <c r="N6" s="72" t="s">
        <v>1031</v>
      </c>
      <c r="O6" s="66">
        <v>0.0</v>
      </c>
      <c r="P6" s="72" t="s">
        <v>1032</v>
      </c>
      <c r="Q6" s="66">
        <v>0.0</v>
      </c>
      <c r="R6" s="72" t="s">
        <v>1033</v>
      </c>
      <c r="S6" s="66">
        <v>0.0</v>
      </c>
      <c r="T6" s="72" t="s">
        <v>1033</v>
      </c>
      <c r="U6" s="66">
        <v>0.0</v>
      </c>
      <c r="V6" s="72" t="s">
        <v>1034</v>
      </c>
      <c r="W6" s="66">
        <v>0.0</v>
      </c>
      <c r="X6" s="72" t="s">
        <v>1035</v>
      </c>
      <c r="Y6" s="66">
        <v>0.0</v>
      </c>
      <c r="Z6" s="72" t="s">
        <v>1036</v>
      </c>
      <c r="AA6" s="66">
        <v>0.0</v>
      </c>
      <c r="AB6" s="72" t="s">
        <v>1037</v>
      </c>
      <c r="AC6" s="66">
        <v>0.0</v>
      </c>
      <c r="AD6" s="72" t="s">
        <v>1038</v>
      </c>
      <c r="AE6" s="66">
        <v>0.0</v>
      </c>
      <c r="AF6" s="72" t="s">
        <v>1039</v>
      </c>
      <c r="AG6" s="66">
        <v>0.0</v>
      </c>
      <c r="AH6" s="72" t="s">
        <v>1040</v>
      </c>
      <c r="AI6" s="66">
        <v>2.0</v>
      </c>
      <c r="AJ6" s="72" t="s">
        <v>1041</v>
      </c>
      <c r="AK6" s="66">
        <v>0.0</v>
      </c>
      <c r="AL6" s="72" t="s">
        <v>1042</v>
      </c>
      <c r="AM6" s="66">
        <v>0.0</v>
      </c>
      <c r="AN6" s="72" t="s">
        <v>1043</v>
      </c>
      <c r="AO6" s="66">
        <v>0.0</v>
      </c>
      <c r="AP6" s="72" t="s">
        <v>1044</v>
      </c>
      <c r="AQ6" s="66">
        <v>0.0</v>
      </c>
      <c r="AR6" s="72" t="s">
        <v>1045</v>
      </c>
      <c r="AS6" s="66">
        <v>0.0</v>
      </c>
    </row>
    <row r="7" ht="15.75" customHeight="1">
      <c r="A7" s="8">
        <v>1424.0</v>
      </c>
      <c r="B7" s="9" t="s">
        <v>49</v>
      </c>
      <c r="C7" s="10" t="str">
        <f t="shared" si="1"/>
        <v>LP 06_BC-503B_BS VI HSD</v>
      </c>
      <c r="D7" s="71" t="s">
        <v>1046</v>
      </c>
      <c r="E7" s="71" t="s">
        <v>366</v>
      </c>
      <c r="F7" s="11" t="s">
        <v>1047</v>
      </c>
      <c r="G7" s="63" t="s">
        <v>52</v>
      </c>
      <c r="H7" s="72" t="s">
        <v>1048</v>
      </c>
      <c r="I7" s="66">
        <v>0.0</v>
      </c>
      <c r="J7" s="72" t="s">
        <v>1049</v>
      </c>
      <c r="K7" s="66">
        <v>0.0</v>
      </c>
      <c r="L7" s="72"/>
      <c r="M7" s="72"/>
      <c r="N7" s="72" t="s">
        <v>1050</v>
      </c>
      <c r="O7" s="66">
        <v>0.0</v>
      </c>
      <c r="P7" s="72"/>
      <c r="Q7" s="72"/>
      <c r="R7" s="72" t="s">
        <v>1051</v>
      </c>
      <c r="S7" s="66">
        <v>0.0</v>
      </c>
      <c r="T7" s="72"/>
      <c r="U7" s="72"/>
      <c r="V7" s="72" t="s">
        <v>1052</v>
      </c>
      <c r="W7" s="66">
        <v>0.0</v>
      </c>
      <c r="X7" s="72" t="s">
        <v>1053</v>
      </c>
      <c r="Y7" s="66">
        <v>0.0</v>
      </c>
      <c r="Z7" s="72" t="s">
        <v>1054</v>
      </c>
      <c r="AA7" s="66">
        <v>0.0</v>
      </c>
      <c r="AB7" s="72" t="s">
        <v>1055</v>
      </c>
      <c r="AC7" s="66">
        <v>0.0</v>
      </c>
      <c r="AD7" s="72" t="s">
        <v>1056</v>
      </c>
      <c r="AE7" s="66">
        <v>0.0</v>
      </c>
      <c r="AF7" s="72" t="s">
        <v>1057</v>
      </c>
      <c r="AG7" s="66">
        <v>0.0</v>
      </c>
      <c r="AH7" s="72" t="s">
        <v>1058</v>
      </c>
      <c r="AI7" s="66">
        <v>2.0</v>
      </c>
      <c r="AJ7" s="72" t="s">
        <v>1059</v>
      </c>
      <c r="AK7" s="66">
        <v>0.0</v>
      </c>
      <c r="AL7" s="72"/>
      <c r="AM7" s="72"/>
      <c r="AN7" s="72" t="s">
        <v>1060</v>
      </c>
      <c r="AO7" s="66">
        <v>0.0</v>
      </c>
      <c r="AP7" s="72" t="s">
        <v>1061</v>
      </c>
      <c r="AQ7" s="66">
        <v>0.0</v>
      </c>
      <c r="AR7" s="72"/>
      <c r="AS7" s="72"/>
    </row>
    <row r="8" ht="15.75" customHeight="1">
      <c r="A8" s="8">
        <v>1424.0</v>
      </c>
      <c r="B8" s="9" t="s">
        <v>49</v>
      </c>
      <c r="C8" s="10" t="str">
        <f t="shared" si="1"/>
        <v>LP 07_BC-504A_BS VI MS</v>
      </c>
      <c r="D8" s="71" t="s">
        <v>1062</v>
      </c>
      <c r="E8" s="71" t="s">
        <v>366</v>
      </c>
      <c r="F8" s="11" t="s">
        <v>1063</v>
      </c>
      <c r="G8" s="63" t="s">
        <v>110</v>
      </c>
      <c r="H8" s="72" t="s">
        <v>1064</v>
      </c>
      <c r="I8" s="66">
        <v>0.0</v>
      </c>
      <c r="J8" s="72" t="s">
        <v>1065</v>
      </c>
      <c r="K8" s="66">
        <v>0.0</v>
      </c>
      <c r="L8" s="72" t="s">
        <v>1066</v>
      </c>
      <c r="M8" s="66">
        <v>0.0</v>
      </c>
      <c r="N8" s="72" t="s">
        <v>1067</v>
      </c>
      <c r="O8" s="66">
        <v>0.0</v>
      </c>
      <c r="P8" s="72" t="s">
        <v>1068</v>
      </c>
      <c r="Q8" s="66">
        <v>0.0</v>
      </c>
      <c r="R8" s="72" t="s">
        <v>1069</v>
      </c>
      <c r="S8" s="66">
        <v>0.0</v>
      </c>
      <c r="T8" s="72" t="s">
        <v>1069</v>
      </c>
      <c r="U8" s="66">
        <v>0.0</v>
      </c>
      <c r="V8" s="72" t="s">
        <v>1070</v>
      </c>
      <c r="W8" s="66">
        <v>0.0</v>
      </c>
      <c r="X8" s="72" t="s">
        <v>1071</v>
      </c>
      <c r="Y8" s="66">
        <v>0.0</v>
      </c>
      <c r="Z8" s="72" t="s">
        <v>1072</v>
      </c>
      <c r="AA8" s="66">
        <v>0.0</v>
      </c>
      <c r="AB8" s="72" t="s">
        <v>1073</v>
      </c>
      <c r="AC8" s="66">
        <v>0.0</v>
      </c>
      <c r="AD8" s="72" t="s">
        <v>1074</v>
      </c>
      <c r="AE8" s="66">
        <v>0.0</v>
      </c>
      <c r="AF8" s="72" t="s">
        <v>1075</v>
      </c>
      <c r="AG8" s="66">
        <v>0.0</v>
      </c>
      <c r="AH8" s="72" t="s">
        <v>1076</v>
      </c>
      <c r="AI8" s="66">
        <v>2.0</v>
      </c>
      <c r="AJ8" s="72" t="s">
        <v>1077</v>
      </c>
      <c r="AK8" s="66">
        <v>0.0</v>
      </c>
      <c r="AL8" s="72" t="s">
        <v>1078</v>
      </c>
      <c r="AM8" s="66">
        <v>0.0</v>
      </c>
      <c r="AN8" s="72" t="s">
        <v>1079</v>
      </c>
      <c r="AO8" s="66">
        <v>0.0</v>
      </c>
      <c r="AP8" s="72" t="s">
        <v>1080</v>
      </c>
      <c r="AQ8" s="66">
        <v>0.0</v>
      </c>
      <c r="AR8" s="72" t="s">
        <v>1081</v>
      </c>
      <c r="AS8" s="66">
        <v>0.0</v>
      </c>
    </row>
    <row r="9" ht="15.75" customHeight="1">
      <c r="A9" s="8">
        <v>1424.0</v>
      </c>
      <c r="B9" s="9" t="s">
        <v>49</v>
      </c>
      <c r="C9" s="10" t="str">
        <f t="shared" si="1"/>
        <v>LP 08_BC-504B_BS VI HSD</v>
      </c>
      <c r="D9" s="71" t="s">
        <v>1082</v>
      </c>
      <c r="E9" s="71" t="s">
        <v>366</v>
      </c>
      <c r="F9" s="11" t="s">
        <v>1083</v>
      </c>
      <c r="G9" s="63" t="s">
        <v>52</v>
      </c>
      <c r="H9" s="72" t="s">
        <v>1084</v>
      </c>
      <c r="I9" s="66">
        <v>0.0</v>
      </c>
      <c r="J9" s="72" t="s">
        <v>1085</v>
      </c>
      <c r="K9" s="66">
        <v>0.0</v>
      </c>
      <c r="L9" s="72"/>
      <c r="M9" s="72"/>
      <c r="N9" s="72" t="s">
        <v>1086</v>
      </c>
      <c r="O9" s="66">
        <v>0.0</v>
      </c>
      <c r="P9" s="72"/>
      <c r="Q9" s="72"/>
      <c r="R9" s="72" t="s">
        <v>1087</v>
      </c>
      <c r="S9" s="66">
        <v>0.0</v>
      </c>
      <c r="T9" s="72"/>
      <c r="U9" s="72"/>
      <c r="V9" s="72" t="s">
        <v>1088</v>
      </c>
      <c r="W9" s="66">
        <v>0.0</v>
      </c>
      <c r="X9" s="72" t="s">
        <v>1089</v>
      </c>
      <c r="Y9" s="66">
        <v>0.0</v>
      </c>
      <c r="Z9" s="72" t="s">
        <v>1090</v>
      </c>
      <c r="AA9" s="66">
        <v>0.0</v>
      </c>
      <c r="AB9" s="72" t="s">
        <v>1091</v>
      </c>
      <c r="AC9" s="66">
        <v>0.0</v>
      </c>
      <c r="AD9" s="72" t="s">
        <v>1092</v>
      </c>
      <c r="AE9" s="66">
        <v>0.0</v>
      </c>
      <c r="AF9" s="72" t="s">
        <v>1093</v>
      </c>
      <c r="AG9" s="66">
        <v>0.0</v>
      </c>
      <c r="AH9" s="72" t="s">
        <v>1094</v>
      </c>
      <c r="AI9" s="66">
        <v>2.0</v>
      </c>
      <c r="AJ9" s="72" t="s">
        <v>1095</v>
      </c>
      <c r="AK9" s="66">
        <v>0.0</v>
      </c>
      <c r="AL9" s="72"/>
      <c r="AM9" s="72"/>
      <c r="AN9" s="72" t="s">
        <v>1096</v>
      </c>
      <c r="AO9" s="66">
        <v>0.0</v>
      </c>
      <c r="AP9" s="72" t="s">
        <v>1097</v>
      </c>
      <c r="AQ9" s="66">
        <v>0.0</v>
      </c>
      <c r="AR9" s="72"/>
      <c r="AS9" s="72"/>
    </row>
    <row r="10" ht="15.75" customHeight="1">
      <c r="A10" s="8">
        <v>1424.0</v>
      </c>
      <c r="B10" s="9" t="s">
        <v>49</v>
      </c>
      <c r="C10" s="10" t="str">
        <f t="shared" si="1"/>
        <v>LP 09_BC-505A_BS VI MS</v>
      </c>
      <c r="D10" s="71" t="s">
        <v>1098</v>
      </c>
      <c r="E10" s="71" t="s">
        <v>366</v>
      </c>
      <c r="F10" s="11" t="s">
        <v>1099</v>
      </c>
      <c r="G10" s="63" t="s">
        <v>110</v>
      </c>
      <c r="H10" s="72" t="s">
        <v>1100</v>
      </c>
      <c r="I10" s="66">
        <v>0.0</v>
      </c>
      <c r="J10" s="72" t="s">
        <v>1101</v>
      </c>
      <c r="K10" s="66">
        <v>0.0</v>
      </c>
      <c r="L10" s="72" t="s">
        <v>1102</v>
      </c>
      <c r="M10" s="66">
        <v>0.0</v>
      </c>
      <c r="N10" s="72" t="s">
        <v>1103</v>
      </c>
      <c r="O10" s="66">
        <v>0.0</v>
      </c>
      <c r="P10" s="72" t="s">
        <v>1104</v>
      </c>
      <c r="Q10" s="66">
        <v>0.0</v>
      </c>
      <c r="R10" s="72" t="s">
        <v>1105</v>
      </c>
      <c r="S10" s="66">
        <v>0.0</v>
      </c>
      <c r="T10" s="72" t="s">
        <v>1105</v>
      </c>
      <c r="U10" s="66">
        <v>0.0</v>
      </c>
      <c r="V10" s="72" t="s">
        <v>1106</v>
      </c>
      <c r="W10" s="66">
        <v>0.0</v>
      </c>
      <c r="X10" s="72" t="s">
        <v>1107</v>
      </c>
      <c r="Y10" s="66">
        <v>0.0</v>
      </c>
      <c r="Z10" s="72" t="s">
        <v>1108</v>
      </c>
      <c r="AA10" s="66">
        <v>0.0</v>
      </c>
      <c r="AB10" s="72" t="s">
        <v>1109</v>
      </c>
      <c r="AC10" s="66">
        <v>0.0</v>
      </c>
      <c r="AD10" s="72" t="s">
        <v>1110</v>
      </c>
      <c r="AE10" s="66">
        <v>0.0</v>
      </c>
      <c r="AF10" s="72" t="s">
        <v>1111</v>
      </c>
      <c r="AG10" s="66">
        <v>0.0</v>
      </c>
      <c r="AH10" s="72" t="s">
        <v>1112</v>
      </c>
      <c r="AI10" s="66">
        <v>2.0</v>
      </c>
      <c r="AJ10" s="72" t="s">
        <v>1113</v>
      </c>
      <c r="AK10" s="66">
        <v>0.0</v>
      </c>
      <c r="AL10" s="72" t="s">
        <v>1114</v>
      </c>
      <c r="AM10" s="66">
        <v>0.0</v>
      </c>
      <c r="AN10" s="72" t="s">
        <v>1115</v>
      </c>
      <c r="AO10" s="66">
        <v>0.0</v>
      </c>
      <c r="AP10" s="72" t="s">
        <v>1116</v>
      </c>
      <c r="AQ10" s="66">
        <v>0.0</v>
      </c>
      <c r="AR10" s="72" t="s">
        <v>1117</v>
      </c>
      <c r="AS10" s="66">
        <v>0.0</v>
      </c>
    </row>
    <row r="11" ht="15.75" customHeight="1">
      <c r="A11" s="8">
        <v>1424.0</v>
      </c>
      <c r="B11" s="9" t="s">
        <v>49</v>
      </c>
      <c r="C11" s="10" t="str">
        <f t="shared" si="1"/>
        <v>LP 10_BC-505B_BS VI HSD</v>
      </c>
      <c r="D11" s="71" t="s">
        <v>1118</v>
      </c>
      <c r="E11" s="71" t="s">
        <v>366</v>
      </c>
      <c r="F11" s="11" t="s">
        <v>1119</v>
      </c>
      <c r="G11" s="63" t="s">
        <v>52</v>
      </c>
      <c r="H11" s="72" t="s">
        <v>1120</v>
      </c>
      <c r="I11" s="66">
        <v>0.0</v>
      </c>
      <c r="J11" s="72" t="s">
        <v>1121</v>
      </c>
      <c r="K11" s="66">
        <v>0.0</v>
      </c>
      <c r="L11" s="72"/>
      <c r="M11" s="72"/>
      <c r="N11" s="72" t="s">
        <v>1122</v>
      </c>
      <c r="O11" s="66">
        <v>0.0</v>
      </c>
      <c r="P11" s="72"/>
      <c r="Q11" s="72"/>
      <c r="R11" s="72" t="s">
        <v>1123</v>
      </c>
      <c r="S11" s="66">
        <v>0.0</v>
      </c>
      <c r="T11" s="72"/>
      <c r="U11" s="72"/>
      <c r="V11" s="72" t="s">
        <v>1124</v>
      </c>
      <c r="W11" s="66">
        <v>0.0</v>
      </c>
      <c r="X11" s="72" t="s">
        <v>1125</v>
      </c>
      <c r="Y11" s="66">
        <v>0.0</v>
      </c>
      <c r="Z11" s="72" t="s">
        <v>1126</v>
      </c>
      <c r="AA11" s="66">
        <v>0.0</v>
      </c>
      <c r="AB11" s="72" t="s">
        <v>1127</v>
      </c>
      <c r="AC11" s="66">
        <v>0.0</v>
      </c>
      <c r="AD11" s="72" t="s">
        <v>1128</v>
      </c>
      <c r="AE11" s="66">
        <v>0.0</v>
      </c>
      <c r="AF11" s="72" t="s">
        <v>1129</v>
      </c>
      <c r="AG11" s="66">
        <v>0.0</v>
      </c>
      <c r="AH11" s="72" t="s">
        <v>1130</v>
      </c>
      <c r="AI11" s="66">
        <v>2.0</v>
      </c>
      <c r="AJ11" s="72" t="s">
        <v>1131</v>
      </c>
      <c r="AK11" s="66">
        <v>0.0</v>
      </c>
      <c r="AL11" s="72"/>
      <c r="AM11" s="72"/>
      <c r="AN11" s="72" t="s">
        <v>1132</v>
      </c>
      <c r="AO11" s="66">
        <v>0.0</v>
      </c>
      <c r="AP11" s="72" t="s">
        <v>1133</v>
      </c>
      <c r="AQ11" s="66">
        <v>0.0</v>
      </c>
      <c r="AR11" s="72"/>
      <c r="AS11" s="72"/>
    </row>
    <row r="12" ht="15.75" customHeight="1">
      <c r="A12" s="8">
        <v>1424.0</v>
      </c>
      <c r="B12" s="9" t="s">
        <v>49</v>
      </c>
      <c r="C12" s="10" t="str">
        <f t="shared" si="1"/>
        <v>LP 11_BC-506A_BS VI MS</v>
      </c>
      <c r="D12" s="71" t="s">
        <v>1134</v>
      </c>
      <c r="E12" s="71" t="s">
        <v>366</v>
      </c>
      <c r="F12" s="11" t="s">
        <v>1135</v>
      </c>
      <c r="G12" s="63" t="s">
        <v>110</v>
      </c>
      <c r="H12" s="72" t="s">
        <v>1136</v>
      </c>
      <c r="I12" s="66">
        <v>0.0</v>
      </c>
      <c r="J12" s="72" t="s">
        <v>1137</v>
      </c>
      <c r="K12" s="66">
        <v>0.0</v>
      </c>
      <c r="L12" s="72" t="s">
        <v>1138</v>
      </c>
      <c r="M12" s="66">
        <v>0.0</v>
      </c>
      <c r="N12" s="72" t="s">
        <v>1139</v>
      </c>
      <c r="O12" s="66">
        <v>0.0</v>
      </c>
      <c r="P12" s="72" t="s">
        <v>1140</v>
      </c>
      <c r="Q12" s="66">
        <v>0.0</v>
      </c>
      <c r="R12" s="72" t="s">
        <v>1141</v>
      </c>
      <c r="S12" s="66">
        <v>0.0</v>
      </c>
      <c r="T12" s="72" t="s">
        <v>1141</v>
      </c>
      <c r="U12" s="66">
        <v>0.0</v>
      </c>
      <c r="V12" s="72" t="s">
        <v>1142</v>
      </c>
      <c r="W12" s="66">
        <v>0.0</v>
      </c>
      <c r="X12" s="72" t="s">
        <v>1143</v>
      </c>
      <c r="Y12" s="66">
        <v>0.0</v>
      </c>
      <c r="Z12" s="72" t="s">
        <v>1144</v>
      </c>
      <c r="AA12" s="66">
        <v>0.0</v>
      </c>
      <c r="AB12" s="72" t="s">
        <v>1145</v>
      </c>
      <c r="AC12" s="66">
        <v>0.0</v>
      </c>
      <c r="AD12" s="72" t="s">
        <v>1146</v>
      </c>
      <c r="AE12" s="66">
        <v>0.0</v>
      </c>
      <c r="AF12" s="72" t="s">
        <v>1147</v>
      </c>
      <c r="AG12" s="66">
        <v>0.0</v>
      </c>
      <c r="AH12" s="72" t="s">
        <v>1148</v>
      </c>
      <c r="AI12" s="66">
        <v>2.0</v>
      </c>
      <c r="AJ12" s="72" t="s">
        <v>1149</v>
      </c>
      <c r="AK12" s="66">
        <v>0.0</v>
      </c>
      <c r="AL12" s="72" t="s">
        <v>1150</v>
      </c>
      <c r="AM12" s="66">
        <v>0.0</v>
      </c>
      <c r="AN12" s="72" t="s">
        <v>1151</v>
      </c>
      <c r="AO12" s="66">
        <v>0.0</v>
      </c>
      <c r="AP12" s="72" t="s">
        <v>1152</v>
      </c>
      <c r="AQ12" s="66">
        <v>0.0</v>
      </c>
      <c r="AR12" s="72" t="s">
        <v>1153</v>
      </c>
      <c r="AS12" s="66">
        <v>0.0</v>
      </c>
    </row>
    <row r="13" ht="15.75" customHeight="1">
      <c r="A13" s="8">
        <v>1424.0</v>
      </c>
      <c r="B13" s="9" t="s">
        <v>49</v>
      </c>
      <c r="C13" s="10" t="str">
        <f t="shared" si="1"/>
        <v>LP 12_BC-506B_BS VI HSD</v>
      </c>
      <c r="D13" s="71" t="s">
        <v>1154</v>
      </c>
      <c r="E13" s="71" t="s">
        <v>366</v>
      </c>
      <c r="F13" s="11" t="s">
        <v>1155</v>
      </c>
      <c r="G13" s="63" t="s">
        <v>52</v>
      </c>
      <c r="H13" s="72" t="s">
        <v>1156</v>
      </c>
      <c r="I13" s="66">
        <v>0.0</v>
      </c>
      <c r="J13" s="72" t="s">
        <v>1157</v>
      </c>
      <c r="K13" s="66">
        <v>0.0</v>
      </c>
      <c r="L13" s="72"/>
      <c r="M13" s="72"/>
      <c r="N13" s="72" t="s">
        <v>1158</v>
      </c>
      <c r="O13" s="66">
        <v>0.0</v>
      </c>
      <c r="P13" s="72"/>
      <c r="Q13" s="72"/>
      <c r="R13" s="72" t="s">
        <v>1159</v>
      </c>
      <c r="S13" s="66">
        <v>0.0</v>
      </c>
      <c r="T13" s="72"/>
      <c r="U13" s="72"/>
      <c r="V13" s="72" t="s">
        <v>1160</v>
      </c>
      <c r="W13" s="66">
        <v>0.0</v>
      </c>
      <c r="X13" s="72" t="s">
        <v>1161</v>
      </c>
      <c r="Y13" s="66">
        <v>0.0</v>
      </c>
      <c r="Z13" s="72" t="s">
        <v>1162</v>
      </c>
      <c r="AA13" s="66">
        <v>0.0</v>
      </c>
      <c r="AB13" s="72" t="s">
        <v>1163</v>
      </c>
      <c r="AC13" s="66">
        <v>0.0</v>
      </c>
      <c r="AD13" s="72" t="s">
        <v>1164</v>
      </c>
      <c r="AE13" s="66">
        <v>0.0</v>
      </c>
      <c r="AF13" s="72" t="s">
        <v>1165</v>
      </c>
      <c r="AG13" s="66">
        <v>0.0</v>
      </c>
      <c r="AH13" s="72" t="s">
        <v>1166</v>
      </c>
      <c r="AI13" s="66">
        <v>2.0</v>
      </c>
      <c r="AJ13" s="72" t="s">
        <v>1167</v>
      </c>
      <c r="AK13" s="66">
        <v>0.0</v>
      </c>
      <c r="AL13" s="72"/>
      <c r="AM13" s="72"/>
      <c r="AN13" s="72" t="s">
        <v>1168</v>
      </c>
      <c r="AO13" s="66">
        <v>0.0</v>
      </c>
      <c r="AP13" s="72" t="s">
        <v>1169</v>
      </c>
      <c r="AQ13" s="66">
        <v>0.0</v>
      </c>
      <c r="AR13" s="72"/>
      <c r="AS13" s="72"/>
    </row>
    <row r="14" ht="15.75" customHeight="1">
      <c r="A14" s="8">
        <v>1424.0</v>
      </c>
      <c r="B14" s="9" t="s">
        <v>49</v>
      </c>
      <c r="C14" s="10" t="str">
        <f t="shared" si="1"/>
        <v>LP 13_BC-507A_BS VI MS</v>
      </c>
      <c r="D14" s="71" t="s">
        <v>1170</v>
      </c>
      <c r="E14" s="71" t="s">
        <v>366</v>
      </c>
      <c r="F14" s="11" t="s">
        <v>1171</v>
      </c>
      <c r="G14" s="63" t="s">
        <v>110</v>
      </c>
      <c r="H14" s="72" t="s">
        <v>1172</v>
      </c>
      <c r="I14" s="66">
        <v>0.0</v>
      </c>
      <c r="J14" s="72" t="s">
        <v>1173</v>
      </c>
      <c r="K14" s="66">
        <v>0.0</v>
      </c>
      <c r="L14" s="72" t="s">
        <v>1174</v>
      </c>
      <c r="M14" s="66">
        <v>0.0</v>
      </c>
      <c r="N14" s="72" t="s">
        <v>1175</v>
      </c>
      <c r="O14" s="66">
        <v>0.0</v>
      </c>
      <c r="P14" s="72" t="s">
        <v>1176</v>
      </c>
      <c r="Q14" s="66">
        <v>0.0</v>
      </c>
      <c r="R14" s="72" t="s">
        <v>1177</v>
      </c>
      <c r="S14" s="66">
        <v>0.0</v>
      </c>
      <c r="T14" s="72" t="s">
        <v>1177</v>
      </c>
      <c r="U14" s="66">
        <v>0.0</v>
      </c>
      <c r="V14" s="72" t="s">
        <v>1178</v>
      </c>
      <c r="W14" s="66">
        <v>0.0</v>
      </c>
      <c r="X14" s="72" t="s">
        <v>1179</v>
      </c>
      <c r="Y14" s="66">
        <v>0.0</v>
      </c>
      <c r="Z14" s="72" t="s">
        <v>1180</v>
      </c>
      <c r="AA14" s="66">
        <v>0.0</v>
      </c>
      <c r="AB14" s="72" t="s">
        <v>1181</v>
      </c>
      <c r="AC14" s="66">
        <v>0.0</v>
      </c>
      <c r="AD14" s="72" t="s">
        <v>1182</v>
      </c>
      <c r="AE14" s="66">
        <v>0.0</v>
      </c>
      <c r="AF14" s="72" t="s">
        <v>1183</v>
      </c>
      <c r="AG14" s="66">
        <v>0.0</v>
      </c>
      <c r="AH14" s="72" t="s">
        <v>1184</v>
      </c>
      <c r="AI14" s="66">
        <v>2.0</v>
      </c>
      <c r="AJ14" s="72" t="s">
        <v>1185</v>
      </c>
      <c r="AK14" s="66">
        <v>0.0</v>
      </c>
      <c r="AL14" s="72" t="s">
        <v>1186</v>
      </c>
      <c r="AM14" s="66">
        <v>0.0</v>
      </c>
      <c r="AN14" s="72" t="s">
        <v>1187</v>
      </c>
      <c r="AO14" s="66">
        <v>0.0</v>
      </c>
      <c r="AP14" s="72" t="s">
        <v>1188</v>
      </c>
      <c r="AQ14" s="66">
        <v>0.0</v>
      </c>
      <c r="AR14" s="72" t="s">
        <v>1189</v>
      </c>
      <c r="AS14" s="66">
        <v>0.0</v>
      </c>
    </row>
    <row r="15" ht="15.75" customHeight="1">
      <c r="A15" s="8">
        <v>1424.0</v>
      </c>
      <c r="B15" s="9" t="s">
        <v>49</v>
      </c>
      <c r="C15" s="10" t="str">
        <f t="shared" si="1"/>
        <v>LP 14_BC-507B_BS VI HSD</v>
      </c>
      <c r="D15" s="71" t="s">
        <v>1190</v>
      </c>
      <c r="E15" s="71" t="s">
        <v>366</v>
      </c>
      <c r="F15" s="11" t="s">
        <v>1191</v>
      </c>
      <c r="G15" s="63" t="s">
        <v>52</v>
      </c>
      <c r="H15" s="72" t="s">
        <v>1192</v>
      </c>
      <c r="I15" s="66">
        <v>0.0</v>
      </c>
      <c r="J15" s="72" t="s">
        <v>1193</v>
      </c>
      <c r="K15" s="66">
        <v>0.0</v>
      </c>
      <c r="L15" s="72"/>
      <c r="M15" s="72"/>
      <c r="N15" s="72" t="s">
        <v>1194</v>
      </c>
      <c r="O15" s="66">
        <v>0.0</v>
      </c>
      <c r="P15" s="72"/>
      <c r="Q15" s="72"/>
      <c r="R15" s="72" t="s">
        <v>1195</v>
      </c>
      <c r="S15" s="66">
        <v>0.0</v>
      </c>
      <c r="T15" s="72"/>
      <c r="U15" s="72"/>
      <c r="V15" s="72" t="s">
        <v>1196</v>
      </c>
      <c r="W15" s="66">
        <v>0.0</v>
      </c>
      <c r="X15" s="72" t="s">
        <v>1197</v>
      </c>
      <c r="Y15" s="66">
        <v>0.0</v>
      </c>
      <c r="Z15" s="72" t="s">
        <v>1198</v>
      </c>
      <c r="AA15" s="66">
        <v>0.0</v>
      </c>
      <c r="AB15" s="72" t="s">
        <v>1199</v>
      </c>
      <c r="AC15" s="66">
        <v>0.0</v>
      </c>
      <c r="AD15" s="72" t="s">
        <v>1200</v>
      </c>
      <c r="AE15" s="66">
        <v>0.0</v>
      </c>
      <c r="AF15" s="72" t="s">
        <v>1201</v>
      </c>
      <c r="AG15" s="66">
        <v>0.0</v>
      </c>
      <c r="AH15" s="72" t="s">
        <v>1202</v>
      </c>
      <c r="AI15" s="66">
        <v>2.0</v>
      </c>
      <c r="AJ15" s="72" t="s">
        <v>1203</v>
      </c>
      <c r="AK15" s="66">
        <v>0.0</v>
      </c>
      <c r="AL15" s="72"/>
      <c r="AM15" s="72"/>
      <c r="AN15" s="72" t="s">
        <v>1204</v>
      </c>
      <c r="AO15" s="66">
        <v>0.0</v>
      </c>
      <c r="AP15" s="72" t="s">
        <v>1205</v>
      </c>
      <c r="AQ15" s="66">
        <v>0.0</v>
      </c>
      <c r="AR15" s="72"/>
      <c r="AS15" s="72"/>
    </row>
    <row r="16" ht="15.75" customHeight="1">
      <c r="A16" s="8">
        <v>1424.0</v>
      </c>
      <c r="B16" s="9" t="s">
        <v>49</v>
      </c>
      <c r="C16" s="10" t="str">
        <f t="shared" si="1"/>
        <v>LP 15_BC-508A_BS VI MS</v>
      </c>
      <c r="D16" s="71" t="s">
        <v>1206</v>
      </c>
      <c r="E16" s="71" t="s">
        <v>366</v>
      </c>
      <c r="F16" s="11" t="s">
        <v>1207</v>
      </c>
      <c r="G16" s="63" t="s">
        <v>110</v>
      </c>
      <c r="H16" s="72" t="s">
        <v>1208</v>
      </c>
      <c r="I16" s="66">
        <v>0.0</v>
      </c>
      <c r="J16" s="72" t="s">
        <v>1209</v>
      </c>
      <c r="K16" s="66">
        <v>0.0</v>
      </c>
      <c r="L16" s="72" t="s">
        <v>1210</v>
      </c>
      <c r="M16" s="66">
        <v>0.0</v>
      </c>
      <c r="N16" s="72" t="s">
        <v>1211</v>
      </c>
      <c r="O16" s="66">
        <v>0.0</v>
      </c>
      <c r="P16" s="72" t="s">
        <v>1212</v>
      </c>
      <c r="Q16" s="66">
        <v>0.0</v>
      </c>
      <c r="R16" s="72" t="s">
        <v>1213</v>
      </c>
      <c r="S16" s="66">
        <v>0.0</v>
      </c>
      <c r="T16" s="72" t="s">
        <v>1213</v>
      </c>
      <c r="U16" s="66">
        <v>0.0</v>
      </c>
      <c r="V16" s="72" t="s">
        <v>1214</v>
      </c>
      <c r="W16" s="66">
        <v>0.0</v>
      </c>
      <c r="X16" s="72" t="s">
        <v>1215</v>
      </c>
      <c r="Y16" s="66">
        <v>0.0</v>
      </c>
      <c r="Z16" s="72" t="s">
        <v>1216</v>
      </c>
      <c r="AA16" s="66">
        <v>0.0</v>
      </c>
      <c r="AB16" s="72" t="s">
        <v>1217</v>
      </c>
      <c r="AC16" s="66">
        <v>0.0</v>
      </c>
      <c r="AD16" s="72" t="s">
        <v>1218</v>
      </c>
      <c r="AE16" s="66">
        <v>0.0</v>
      </c>
      <c r="AF16" s="72" t="s">
        <v>1219</v>
      </c>
      <c r="AG16" s="66">
        <v>0.0</v>
      </c>
      <c r="AH16" s="72" t="s">
        <v>1220</v>
      </c>
      <c r="AI16" s="66">
        <v>2.0</v>
      </c>
      <c r="AJ16" s="72" t="s">
        <v>1221</v>
      </c>
      <c r="AK16" s="66">
        <v>0.0</v>
      </c>
      <c r="AL16" s="72" t="s">
        <v>1222</v>
      </c>
      <c r="AM16" s="66">
        <v>0.0</v>
      </c>
      <c r="AN16" s="72" t="s">
        <v>1223</v>
      </c>
      <c r="AO16" s="66">
        <v>0.0</v>
      </c>
      <c r="AP16" s="72" t="s">
        <v>1224</v>
      </c>
      <c r="AQ16" s="66">
        <v>0.0</v>
      </c>
      <c r="AR16" s="72" t="s">
        <v>1225</v>
      </c>
      <c r="AS16" s="66">
        <v>0.0</v>
      </c>
    </row>
    <row r="17" ht="15.75" customHeight="1">
      <c r="A17" s="8">
        <v>1424.0</v>
      </c>
      <c r="B17" s="9" t="s">
        <v>49</v>
      </c>
      <c r="C17" s="10" t="str">
        <f t="shared" si="1"/>
        <v>LP 16_BC-508B_BS VI HSD</v>
      </c>
      <c r="D17" s="71" t="s">
        <v>1226</v>
      </c>
      <c r="E17" s="71" t="s">
        <v>366</v>
      </c>
      <c r="F17" s="11" t="s">
        <v>1227</v>
      </c>
      <c r="G17" s="63" t="s">
        <v>52</v>
      </c>
      <c r="H17" s="72" t="s">
        <v>1228</v>
      </c>
      <c r="I17" s="66">
        <v>0.0</v>
      </c>
      <c r="J17" s="72" t="s">
        <v>1229</v>
      </c>
      <c r="K17" s="66">
        <v>0.0</v>
      </c>
      <c r="L17" s="72"/>
      <c r="M17" s="72"/>
      <c r="N17" s="72" t="s">
        <v>1230</v>
      </c>
      <c r="O17" s="66">
        <v>0.0</v>
      </c>
      <c r="P17" s="72"/>
      <c r="Q17" s="72"/>
      <c r="R17" s="72" t="s">
        <v>1231</v>
      </c>
      <c r="S17" s="66">
        <v>0.0</v>
      </c>
      <c r="T17" s="72"/>
      <c r="U17" s="5"/>
      <c r="V17" s="72" t="s">
        <v>1232</v>
      </c>
      <c r="W17" s="66">
        <v>0.0</v>
      </c>
      <c r="X17" s="72" t="s">
        <v>1233</v>
      </c>
      <c r="Y17" s="66">
        <v>0.0</v>
      </c>
      <c r="Z17" s="72" t="s">
        <v>1234</v>
      </c>
      <c r="AA17" s="66">
        <v>0.0</v>
      </c>
      <c r="AB17" s="72" t="s">
        <v>1235</v>
      </c>
      <c r="AC17" s="66">
        <v>0.0</v>
      </c>
      <c r="AD17" s="72" t="s">
        <v>1236</v>
      </c>
      <c r="AE17" s="66">
        <v>0.0</v>
      </c>
      <c r="AF17" s="72" t="s">
        <v>1237</v>
      </c>
      <c r="AG17" s="66">
        <v>0.0</v>
      </c>
      <c r="AH17" s="72" t="s">
        <v>1238</v>
      </c>
      <c r="AI17" s="66">
        <v>2.0</v>
      </c>
      <c r="AJ17" s="72" t="s">
        <v>1239</v>
      </c>
      <c r="AK17" s="66">
        <v>0.0</v>
      </c>
      <c r="AL17" s="72"/>
      <c r="AM17" s="72"/>
      <c r="AN17" s="72" t="s">
        <v>1240</v>
      </c>
      <c r="AO17" s="66">
        <v>0.0</v>
      </c>
      <c r="AP17" s="72" t="s">
        <v>1241</v>
      </c>
      <c r="AQ17" s="66">
        <v>0.0</v>
      </c>
      <c r="AR17" s="72"/>
      <c r="AS17" s="72"/>
    </row>
    <row r="18" ht="15.75" customHeight="1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95"/>
      <c r="O18" s="95"/>
      <c r="P18" s="95"/>
      <c r="Q18" s="9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6"/>
      <c r="AI18" s="36"/>
      <c r="AJ18" s="35"/>
      <c r="AK18" s="35"/>
      <c r="AL18" s="35"/>
      <c r="AM18" s="35"/>
      <c r="AN18" s="35"/>
      <c r="AO18" s="35"/>
      <c r="AP18" s="35"/>
      <c r="AQ18" s="35"/>
      <c r="AR18" s="35"/>
      <c r="AS18" s="35"/>
    </row>
    <row r="19" ht="15.75" customHeight="1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7"/>
      <c r="AI19" s="37"/>
      <c r="AJ19" s="35"/>
      <c r="AK19" s="35"/>
      <c r="AL19" s="35"/>
      <c r="AM19" s="35"/>
      <c r="AN19" s="35"/>
      <c r="AO19" s="35"/>
      <c r="AP19" s="35"/>
      <c r="AQ19" s="35"/>
      <c r="AR19" s="35"/>
      <c r="AS19" s="35"/>
    </row>
    <row r="20" ht="15.75" customHeight="1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7"/>
      <c r="AI20" s="37"/>
      <c r="AJ20" s="35"/>
      <c r="AK20" s="35"/>
      <c r="AL20" s="35"/>
      <c r="AM20" s="35"/>
      <c r="AN20" s="35"/>
      <c r="AO20" s="35"/>
      <c r="AP20" s="35"/>
      <c r="AQ20" s="35"/>
      <c r="AR20" s="35"/>
      <c r="AS20" s="35"/>
    </row>
    <row r="21" ht="15.75" customHeight="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7"/>
      <c r="AI21" s="37"/>
      <c r="AJ21" s="35"/>
      <c r="AK21" s="35"/>
      <c r="AL21" s="35"/>
      <c r="AM21" s="35"/>
      <c r="AN21" s="35"/>
      <c r="AO21" s="35"/>
      <c r="AP21" s="35"/>
      <c r="AQ21" s="35"/>
      <c r="AR21" s="35"/>
      <c r="AS21" s="35"/>
    </row>
    <row r="22" ht="15.75" customHeight="1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7"/>
      <c r="AI22" s="37"/>
      <c r="AJ22" s="35"/>
      <c r="AK22" s="35"/>
      <c r="AL22" s="35"/>
      <c r="AM22" s="35"/>
      <c r="AN22" s="35"/>
      <c r="AO22" s="35"/>
      <c r="AP22" s="35"/>
      <c r="AQ22" s="35"/>
      <c r="AR22" s="35"/>
      <c r="AS22" s="35"/>
    </row>
    <row r="23" ht="15.75" customHeight="1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7"/>
      <c r="AI23" s="37"/>
      <c r="AJ23" s="35"/>
      <c r="AK23" s="35"/>
      <c r="AL23" s="35"/>
      <c r="AM23" s="35"/>
      <c r="AN23" s="35"/>
      <c r="AO23" s="35"/>
      <c r="AP23" s="35"/>
      <c r="AQ23" s="35"/>
      <c r="AR23" s="35"/>
      <c r="AS23" s="35"/>
    </row>
    <row r="24" ht="15.75" customHeight="1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7"/>
      <c r="AI24" s="37"/>
      <c r="AJ24" s="35"/>
      <c r="AK24" s="35"/>
      <c r="AL24" s="35"/>
      <c r="AM24" s="35"/>
      <c r="AN24" s="35"/>
      <c r="AO24" s="35"/>
      <c r="AP24" s="35"/>
      <c r="AQ24" s="35"/>
      <c r="AR24" s="35"/>
      <c r="AS24" s="35"/>
    </row>
    <row r="25" ht="15.75" customHeight="1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7"/>
      <c r="AI25" s="37"/>
      <c r="AJ25" s="35"/>
      <c r="AK25" s="35"/>
      <c r="AL25" s="35"/>
      <c r="AM25" s="35"/>
      <c r="AN25" s="35"/>
      <c r="AO25" s="35"/>
      <c r="AP25" s="35"/>
      <c r="AQ25" s="35"/>
      <c r="AR25" s="35"/>
      <c r="AS25" s="35"/>
    </row>
    <row r="26" ht="15.75" customHeight="1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7"/>
      <c r="AI26" s="37"/>
      <c r="AJ26" s="35"/>
      <c r="AK26" s="35"/>
      <c r="AL26" s="35"/>
      <c r="AM26" s="35"/>
      <c r="AN26" s="35"/>
      <c r="AO26" s="35"/>
      <c r="AP26" s="35"/>
      <c r="AQ26" s="35"/>
      <c r="AR26" s="35"/>
      <c r="AS26" s="35"/>
    </row>
    <row r="27" ht="15.75" customHeight="1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7"/>
      <c r="AI27" s="37"/>
      <c r="AJ27" s="35"/>
      <c r="AK27" s="35"/>
      <c r="AL27" s="35"/>
      <c r="AM27" s="35"/>
      <c r="AN27" s="35"/>
      <c r="AO27" s="35"/>
      <c r="AP27" s="35"/>
      <c r="AQ27" s="35"/>
      <c r="AR27" s="35"/>
      <c r="AS27" s="35"/>
    </row>
    <row r="28" ht="15.75" customHeight="1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7"/>
      <c r="AI28" s="37"/>
      <c r="AJ28" s="35"/>
      <c r="AK28" s="35"/>
      <c r="AL28" s="35"/>
      <c r="AM28" s="35"/>
      <c r="AN28" s="35"/>
      <c r="AO28" s="35"/>
      <c r="AP28" s="35"/>
      <c r="AQ28" s="35"/>
      <c r="AR28" s="35"/>
      <c r="AS28" s="35"/>
    </row>
    <row r="29" ht="15.75" customHeight="1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7"/>
      <c r="AI29" s="37"/>
      <c r="AJ29" s="35"/>
      <c r="AK29" s="35"/>
      <c r="AL29" s="35"/>
      <c r="AM29" s="35"/>
      <c r="AN29" s="35"/>
      <c r="AO29" s="35"/>
      <c r="AP29" s="35"/>
      <c r="AQ29" s="35"/>
      <c r="AR29" s="35"/>
      <c r="AS29" s="35"/>
    </row>
    <row r="30" ht="15.75" customHeight="1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7"/>
      <c r="AI30" s="37"/>
      <c r="AJ30" s="35"/>
      <c r="AK30" s="35"/>
      <c r="AL30" s="35"/>
      <c r="AM30" s="35"/>
      <c r="AN30" s="35"/>
      <c r="AO30" s="35"/>
      <c r="AP30" s="35"/>
      <c r="AQ30" s="35"/>
      <c r="AR30" s="35"/>
      <c r="AS30" s="35"/>
    </row>
    <row r="31" ht="15.75" customHeight="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7"/>
      <c r="AI31" s="37"/>
      <c r="AJ31" s="35"/>
      <c r="AK31" s="35"/>
      <c r="AL31" s="35"/>
      <c r="AM31" s="35"/>
      <c r="AN31" s="35"/>
      <c r="AO31" s="35"/>
      <c r="AP31" s="35"/>
      <c r="AQ31" s="35"/>
      <c r="AR31" s="35"/>
      <c r="AS31" s="35"/>
    </row>
    <row r="32" ht="15.75" customHeight="1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7"/>
      <c r="AI32" s="37"/>
      <c r="AJ32" s="35"/>
      <c r="AK32" s="35"/>
      <c r="AL32" s="35"/>
      <c r="AM32" s="35"/>
      <c r="AN32" s="35"/>
      <c r="AO32" s="35"/>
      <c r="AP32" s="35"/>
      <c r="AQ32" s="35"/>
      <c r="AR32" s="35"/>
      <c r="AS32" s="35"/>
    </row>
    <row r="33" ht="15.7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7"/>
      <c r="AI33" s="37"/>
      <c r="AJ33" s="35"/>
      <c r="AK33" s="35"/>
      <c r="AL33" s="35"/>
      <c r="AM33" s="35"/>
      <c r="AN33" s="35"/>
      <c r="AO33" s="35"/>
      <c r="AP33" s="35"/>
      <c r="AQ33" s="35"/>
      <c r="AR33" s="35"/>
      <c r="AS33" s="35"/>
    </row>
    <row r="34" ht="15.75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7"/>
      <c r="AI34" s="37"/>
      <c r="AJ34" s="35"/>
      <c r="AK34" s="35"/>
      <c r="AL34" s="35"/>
      <c r="AM34" s="35"/>
      <c r="AN34" s="35"/>
      <c r="AO34" s="35"/>
      <c r="AP34" s="35"/>
      <c r="AQ34" s="35"/>
      <c r="AR34" s="35"/>
      <c r="AS34" s="35"/>
    </row>
    <row r="35" ht="15.75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7"/>
      <c r="AI35" s="37"/>
      <c r="AJ35" s="35"/>
      <c r="AK35" s="35"/>
      <c r="AL35" s="35"/>
      <c r="AM35" s="35"/>
      <c r="AN35" s="35"/>
      <c r="AO35" s="35"/>
      <c r="AP35" s="35"/>
      <c r="AQ35" s="35"/>
      <c r="AR35" s="35"/>
      <c r="AS35" s="35"/>
    </row>
    <row r="36" ht="15.7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7"/>
      <c r="AI36" s="37"/>
      <c r="AJ36" s="35"/>
      <c r="AK36" s="35"/>
      <c r="AL36" s="35"/>
      <c r="AM36" s="35"/>
      <c r="AN36" s="35"/>
      <c r="AO36" s="35"/>
      <c r="AP36" s="35"/>
      <c r="AQ36" s="35"/>
      <c r="AR36" s="35"/>
      <c r="AS36" s="35"/>
    </row>
    <row r="37" ht="15.7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7"/>
      <c r="AI37" s="37"/>
      <c r="AJ37" s="35"/>
      <c r="AK37" s="35"/>
      <c r="AL37" s="35"/>
      <c r="AM37" s="35"/>
      <c r="AN37" s="35"/>
      <c r="AO37" s="35"/>
      <c r="AP37" s="35"/>
      <c r="AQ37" s="35"/>
      <c r="AR37" s="35"/>
      <c r="AS37" s="35"/>
    </row>
    <row r="38" ht="15.7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7"/>
      <c r="AI38" s="37"/>
      <c r="AJ38" s="35"/>
      <c r="AK38" s="35"/>
      <c r="AL38" s="35"/>
      <c r="AM38" s="35"/>
      <c r="AN38" s="35"/>
      <c r="AO38" s="35"/>
      <c r="AP38" s="35"/>
      <c r="AQ38" s="35"/>
      <c r="AR38" s="35"/>
      <c r="AS38" s="35"/>
    </row>
    <row r="39" ht="15.7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7"/>
      <c r="AI39" s="37"/>
      <c r="AJ39" s="35"/>
      <c r="AK39" s="35"/>
      <c r="AL39" s="35"/>
      <c r="AM39" s="35"/>
      <c r="AN39" s="35"/>
      <c r="AO39" s="35"/>
      <c r="AP39" s="35"/>
      <c r="AQ39" s="35"/>
      <c r="AR39" s="35"/>
      <c r="AS39" s="35"/>
    </row>
    <row r="40" ht="15.7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7"/>
      <c r="AI40" s="37"/>
      <c r="AJ40" s="35"/>
      <c r="AK40" s="35"/>
      <c r="AL40" s="35"/>
      <c r="AM40" s="35"/>
      <c r="AN40" s="35"/>
      <c r="AO40" s="35"/>
      <c r="AP40" s="35"/>
      <c r="AQ40" s="35"/>
      <c r="AR40" s="35"/>
      <c r="AS40" s="35"/>
    </row>
    <row r="41" ht="15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7"/>
      <c r="AI41" s="37"/>
      <c r="AJ41" s="35"/>
      <c r="AK41" s="35"/>
      <c r="AL41" s="35"/>
      <c r="AM41" s="35"/>
      <c r="AN41" s="35"/>
      <c r="AO41" s="35"/>
      <c r="AP41" s="35"/>
      <c r="AQ41" s="35"/>
      <c r="AR41" s="35"/>
      <c r="AS41" s="35"/>
    </row>
    <row r="42" ht="15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7"/>
      <c r="AI42" s="37"/>
      <c r="AJ42" s="35"/>
      <c r="AK42" s="35"/>
      <c r="AL42" s="35"/>
      <c r="AM42" s="35"/>
      <c r="AN42" s="35"/>
      <c r="AO42" s="35"/>
      <c r="AP42" s="35"/>
      <c r="AQ42" s="35"/>
      <c r="AR42" s="35"/>
      <c r="AS42" s="35"/>
    </row>
    <row r="43" ht="15.7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7"/>
      <c r="AI43" s="37"/>
      <c r="AJ43" s="35"/>
      <c r="AK43" s="35"/>
      <c r="AL43" s="35"/>
      <c r="AM43" s="35"/>
      <c r="AN43" s="35"/>
      <c r="AO43" s="35"/>
      <c r="AP43" s="35"/>
      <c r="AQ43" s="35"/>
      <c r="AR43" s="35"/>
      <c r="AS43" s="35"/>
    </row>
    <row r="44" ht="15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7"/>
      <c r="AI44" s="37"/>
      <c r="AJ44" s="35"/>
      <c r="AK44" s="35"/>
      <c r="AL44" s="35"/>
      <c r="AM44" s="35"/>
      <c r="AN44" s="35"/>
      <c r="AO44" s="35"/>
      <c r="AP44" s="35"/>
      <c r="AQ44" s="35"/>
      <c r="AR44" s="35"/>
      <c r="AS44" s="35"/>
    </row>
    <row r="45" ht="15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7"/>
      <c r="AI45" s="37"/>
      <c r="AJ45" s="35"/>
      <c r="AK45" s="35"/>
      <c r="AL45" s="35"/>
      <c r="AM45" s="35"/>
      <c r="AN45" s="35"/>
      <c r="AO45" s="35"/>
      <c r="AP45" s="35"/>
      <c r="AQ45" s="35"/>
      <c r="AR45" s="35"/>
      <c r="AS45" s="35"/>
    </row>
    <row r="46" ht="15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7"/>
      <c r="AI46" s="37"/>
      <c r="AJ46" s="35"/>
      <c r="AK46" s="35"/>
      <c r="AL46" s="35"/>
      <c r="AM46" s="35"/>
      <c r="AN46" s="35"/>
      <c r="AO46" s="35"/>
      <c r="AP46" s="35"/>
      <c r="AQ46" s="35"/>
      <c r="AR46" s="35"/>
      <c r="AS46" s="35"/>
    </row>
    <row r="47" ht="15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7"/>
      <c r="AI47" s="37"/>
      <c r="AJ47" s="35"/>
      <c r="AK47" s="35"/>
      <c r="AL47" s="35"/>
      <c r="AM47" s="35"/>
      <c r="AN47" s="35"/>
      <c r="AO47" s="35"/>
      <c r="AP47" s="35"/>
      <c r="AQ47" s="35"/>
      <c r="AR47" s="35"/>
      <c r="AS47" s="35"/>
    </row>
    <row r="48" ht="15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7"/>
      <c r="AI48" s="37"/>
      <c r="AJ48" s="35"/>
      <c r="AK48" s="35"/>
      <c r="AL48" s="35"/>
      <c r="AM48" s="35"/>
      <c r="AN48" s="35"/>
      <c r="AO48" s="35"/>
      <c r="AP48" s="35"/>
      <c r="AQ48" s="35"/>
      <c r="AR48" s="35"/>
      <c r="AS48" s="35"/>
    </row>
    <row r="49" ht="15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7"/>
      <c r="AI49" s="37"/>
      <c r="AJ49" s="35"/>
      <c r="AK49" s="35"/>
      <c r="AL49" s="35"/>
      <c r="AM49" s="35"/>
      <c r="AN49" s="35"/>
      <c r="AO49" s="35"/>
      <c r="AP49" s="35"/>
      <c r="AQ49" s="35"/>
      <c r="AR49" s="35"/>
      <c r="AS49" s="35"/>
    </row>
    <row r="50" ht="15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7"/>
      <c r="AI50" s="37"/>
      <c r="AJ50" s="35"/>
      <c r="AK50" s="35"/>
      <c r="AL50" s="35"/>
      <c r="AM50" s="35"/>
      <c r="AN50" s="35"/>
      <c r="AO50" s="35"/>
      <c r="AP50" s="35"/>
      <c r="AQ50" s="35"/>
      <c r="AR50" s="35"/>
      <c r="AS50" s="35"/>
    </row>
    <row r="51" ht="15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7"/>
      <c r="AI51" s="37"/>
      <c r="AJ51" s="35"/>
      <c r="AK51" s="35"/>
      <c r="AL51" s="35"/>
      <c r="AM51" s="35"/>
      <c r="AN51" s="35"/>
      <c r="AO51" s="35"/>
      <c r="AP51" s="35"/>
      <c r="AQ51" s="35"/>
      <c r="AR51" s="35"/>
      <c r="AS51" s="35"/>
    </row>
    <row r="52" ht="15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7"/>
      <c r="AI52" s="37"/>
      <c r="AJ52" s="35"/>
      <c r="AK52" s="35"/>
      <c r="AL52" s="35"/>
      <c r="AM52" s="35"/>
      <c r="AN52" s="35"/>
      <c r="AO52" s="35"/>
      <c r="AP52" s="35"/>
      <c r="AQ52" s="35"/>
      <c r="AR52" s="35"/>
      <c r="AS52" s="35"/>
    </row>
    <row r="53" ht="15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7"/>
      <c r="AI53" s="37"/>
      <c r="AJ53" s="35"/>
      <c r="AK53" s="35"/>
      <c r="AL53" s="35"/>
      <c r="AM53" s="35"/>
      <c r="AN53" s="35"/>
      <c r="AO53" s="35"/>
      <c r="AP53" s="35"/>
      <c r="AQ53" s="35"/>
      <c r="AR53" s="35"/>
      <c r="AS53" s="35"/>
    </row>
    <row r="54" ht="15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7"/>
      <c r="AI54" s="37"/>
      <c r="AJ54" s="35"/>
      <c r="AK54" s="35"/>
      <c r="AL54" s="35"/>
      <c r="AM54" s="35"/>
      <c r="AN54" s="35"/>
      <c r="AO54" s="35"/>
      <c r="AP54" s="35"/>
      <c r="AQ54" s="35"/>
      <c r="AR54" s="35"/>
      <c r="AS54" s="35"/>
    </row>
    <row r="55" ht="15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7"/>
      <c r="AI55" s="37"/>
      <c r="AJ55" s="35"/>
      <c r="AK55" s="35"/>
      <c r="AL55" s="35"/>
      <c r="AM55" s="35"/>
      <c r="AN55" s="35"/>
      <c r="AO55" s="35"/>
      <c r="AP55" s="35"/>
      <c r="AQ55" s="35"/>
      <c r="AR55" s="35"/>
      <c r="AS55" s="35"/>
    </row>
    <row r="56" ht="15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7"/>
      <c r="AI56" s="37"/>
      <c r="AJ56" s="35"/>
      <c r="AK56" s="35"/>
      <c r="AL56" s="35"/>
      <c r="AM56" s="35"/>
      <c r="AN56" s="35"/>
      <c r="AO56" s="35"/>
      <c r="AP56" s="35"/>
      <c r="AQ56" s="35"/>
      <c r="AR56" s="35"/>
      <c r="AS56" s="35"/>
    </row>
    <row r="57" ht="15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7"/>
      <c r="AI57" s="37"/>
      <c r="AJ57" s="35"/>
      <c r="AK57" s="35"/>
      <c r="AL57" s="35"/>
      <c r="AM57" s="35"/>
      <c r="AN57" s="35"/>
      <c r="AO57" s="35"/>
      <c r="AP57" s="35"/>
      <c r="AQ57" s="35"/>
      <c r="AR57" s="35"/>
      <c r="AS57" s="35"/>
    </row>
    <row r="58" ht="15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7"/>
      <c r="AI58" s="37"/>
      <c r="AJ58" s="35"/>
      <c r="AK58" s="35"/>
      <c r="AL58" s="35"/>
      <c r="AM58" s="35"/>
      <c r="AN58" s="35"/>
      <c r="AO58" s="35"/>
      <c r="AP58" s="35"/>
      <c r="AQ58" s="35"/>
      <c r="AR58" s="35"/>
      <c r="AS58" s="35"/>
    </row>
    <row r="59" ht="15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7"/>
      <c r="AI59" s="37"/>
      <c r="AJ59" s="35"/>
      <c r="AK59" s="35"/>
      <c r="AL59" s="35"/>
      <c r="AM59" s="35"/>
      <c r="AN59" s="35"/>
      <c r="AO59" s="35"/>
      <c r="AP59" s="35"/>
      <c r="AQ59" s="35"/>
      <c r="AR59" s="35"/>
      <c r="AS59" s="35"/>
    </row>
    <row r="60" ht="15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7"/>
      <c r="AI60" s="37"/>
      <c r="AJ60" s="35"/>
      <c r="AK60" s="35"/>
      <c r="AL60" s="35"/>
      <c r="AM60" s="35"/>
      <c r="AN60" s="35"/>
      <c r="AO60" s="35"/>
      <c r="AP60" s="35"/>
      <c r="AQ60" s="35"/>
      <c r="AR60" s="35"/>
      <c r="AS60" s="35"/>
    </row>
    <row r="61" ht="15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7"/>
      <c r="AI61" s="37"/>
      <c r="AJ61" s="35"/>
      <c r="AK61" s="35"/>
      <c r="AL61" s="35"/>
      <c r="AM61" s="35"/>
      <c r="AN61" s="35"/>
      <c r="AO61" s="35"/>
      <c r="AP61" s="35"/>
      <c r="AQ61" s="35"/>
      <c r="AR61" s="35"/>
      <c r="AS61" s="35"/>
    </row>
    <row r="62" ht="15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7"/>
      <c r="AI62" s="37"/>
      <c r="AJ62" s="35"/>
      <c r="AK62" s="35"/>
      <c r="AL62" s="35"/>
      <c r="AM62" s="35"/>
      <c r="AN62" s="35"/>
      <c r="AO62" s="35"/>
      <c r="AP62" s="35"/>
      <c r="AQ62" s="35"/>
      <c r="AR62" s="35"/>
      <c r="AS62" s="35"/>
    </row>
    <row r="63" ht="15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7"/>
      <c r="AI63" s="37"/>
      <c r="AJ63" s="35"/>
      <c r="AK63" s="35"/>
      <c r="AL63" s="35"/>
      <c r="AM63" s="35"/>
      <c r="AN63" s="35"/>
      <c r="AO63" s="35"/>
      <c r="AP63" s="35"/>
      <c r="AQ63" s="35"/>
      <c r="AR63" s="35"/>
      <c r="AS63" s="35"/>
    </row>
    <row r="64" ht="15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7"/>
      <c r="AI64" s="37"/>
      <c r="AJ64" s="35"/>
      <c r="AK64" s="35"/>
      <c r="AL64" s="35"/>
      <c r="AM64" s="35"/>
      <c r="AN64" s="35"/>
      <c r="AO64" s="35"/>
      <c r="AP64" s="35"/>
      <c r="AQ64" s="35"/>
      <c r="AR64" s="35"/>
      <c r="AS64" s="35"/>
    </row>
    <row r="65" ht="15.7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7"/>
      <c r="AI65" s="37"/>
      <c r="AJ65" s="35"/>
      <c r="AK65" s="35"/>
      <c r="AL65" s="35"/>
      <c r="AM65" s="35"/>
      <c r="AN65" s="35"/>
      <c r="AO65" s="35"/>
      <c r="AP65" s="35"/>
      <c r="AQ65" s="35"/>
      <c r="AR65" s="35"/>
      <c r="AS65" s="35"/>
    </row>
    <row r="66" ht="15.7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7"/>
      <c r="AI66" s="37"/>
      <c r="AJ66" s="35"/>
      <c r="AK66" s="35"/>
      <c r="AL66" s="35"/>
      <c r="AM66" s="35"/>
      <c r="AN66" s="35"/>
      <c r="AO66" s="35"/>
      <c r="AP66" s="35"/>
      <c r="AQ66" s="35"/>
      <c r="AR66" s="35"/>
      <c r="AS66" s="35"/>
    </row>
    <row r="67" ht="15.7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7"/>
      <c r="AI67" s="37"/>
      <c r="AJ67" s="35"/>
      <c r="AK67" s="35"/>
      <c r="AL67" s="35"/>
      <c r="AM67" s="35"/>
      <c r="AN67" s="35"/>
      <c r="AO67" s="35"/>
      <c r="AP67" s="35"/>
      <c r="AQ67" s="35"/>
      <c r="AR67" s="35"/>
      <c r="AS67" s="35"/>
    </row>
    <row r="68" ht="15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7"/>
      <c r="AI68" s="37"/>
      <c r="AJ68" s="35"/>
      <c r="AK68" s="35"/>
      <c r="AL68" s="35"/>
      <c r="AM68" s="35"/>
      <c r="AN68" s="35"/>
      <c r="AO68" s="35"/>
      <c r="AP68" s="35"/>
      <c r="AQ68" s="35"/>
      <c r="AR68" s="35"/>
      <c r="AS68" s="35"/>
    </row>
    <row r="69" ht="15.7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7"/>
      <c r="AI69" s="37"/>
      <c r="AJ69" s="35"/>
      <c r="AK69" s="35"/>
      <c r="AL69" s="35"/>
      <c r="AM69" s="35"/>
      <c r="AN69" s="35"/>
      <c r="AO69" s="35"/>
      <c r="AP69" s="35"/>
      <c r="AQ69" s="35"/>
      <c r="AR69" s="35"/>
      <c r="AS69" s="35"/>
    </row>
    <row r="70" ht="15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7"/>
      <c r="AI70" s="37"/>
      <c r="AJ70" s="35"/>
      <c r="AK70" s="35"/>
      <c r="AL70" s="35"/>
      <c r="AM70" s="35"/>
      <c r="AN70" s="35"/>
      <c r="AO70" s="35"/>
      <c r="AP70" s="35"/>
      <c r="AQ70" s="35"/>
      <c r="AR70" s="35"/>
      <c r="AS70" s="35"/>
    </row>
    <row r="71" ht="15.7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7"/>
      <c r="AI71" s="37"/>
      <c r="AJ71" s="35"/>
      <c r="AK71" s="35"/>
      <c r="AL71" s="35"/>
      <c r="AM71" s="35"/>
      <c r="AN71" s="35"/>
      <c r="AO71" s="35"/>
      <c r="AP71" s="35"/>
      <c r="AQ71" s="35"/>
      <c r="AR71" s="35"/>
      <c r="AS71" s="35"/>
    </row>
    <row r="72" ht="15.7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7"/>
      <c r="AI72" s="37"/>
      <c r="AJ72" s="35"/>
      <c r="AK72" s="35"/>
      <c r="AL72" s="35"/>
      <c r="AM72" s="35"/>
      <c r="AN72" s="35"/>
      <c r="AO72" s="35"/>
      <c r="AP72" s="35"/>
      <c r="AQ72" s="35"/>
      <c r="AR72" s="35"/>
      <c r="AS72" s="35"/>
    </row>
    <row r="73" ht="15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7"/>
      <c r="AI73" s="37"/>
      <c r="AJ73" s="35"/>
      <c r="AK73" s="35"/>
      <c r="AL73" s="35"/>
      <c r="AM73" s="35"/>
      <c r="AN73" s="35"/>
      <c r="AO73" s="35"/>
      <c r="AP73" s="35"/>
      <c r="AQ73" s="35"/>
      <c r="AR73" s="35"/>
      <c r="AS73" s="35"/>
    </row>
    <row r="74" ht="15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7"/>
      <c r="AI74" s="37"/>
      <c r="AJ74" s="35"/>
      <c r="AK74" s="35"/>
      <c r="AL74" s="35"/>
      <c r="AM74" s="35"/>
      <c r="AN74" s="35"/>
      <c r="AO74" s="35"/>
      <c r="AP74" s="35"/>
      <c r="AQ74" s="35"/>
      <c r="AR74" s="35"/>
      <c r="AS74" s="35"/>
    </row>
    <row r="75" ht="15.7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7"/>
      <c r="AI75" s="37"/>
      <c r="AJ75" s="35"/>
      <c r="AK75" s="35"/>
      <c r="AL75" s="35"/>
      <c r="AM75" s="35"/>
      <c r="AN75" s="35"/>
      <c r="AO75" s="35"/>
      <c r="AP75" s="35"/>
      <c r="AQ75" s="35"/>
      <c r="AR75" s="35"/>
      <c r="AS75" s="35"/>
    </row>
    <row r="76" ht="15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7"/>
      <c r="AI76" s="37"/>
      <c r="AJ76" s="35"/>
      <c r="AK76" s="35"/>
      <c r="AL76" s="35"/>
      <c r="AM76" s="35"/>
      <c r="AN76" s="35"/>
      <c r="AO76" s="35"/>
      <c r="AP76" s="35"/>
      <c r="AQ76" s="35"/>
      <c r="AR76" s="35"/>
      <c r="AS76" s="35"/>
    </row>
    <row r="77" ht="15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7"/>
      <c r="AI77" s="37"/>
      <c r="AJ77" s="35"/>
      <c r="AK77" s="35"/>
      <c r="AL77" s="35"/>
      <c r="AM77" s="35"/>
      <c r="AN77" s="35"/>
      <c r="AO77" s="35"/>
      <c r="AP77" s="35"/>
      <c r="AQ77" s="35"/>
      <c r="AR77" s="35"/>
      <c r="AS77" s="35"/>
    </row>
    <row r="78" ht="15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7"/>
      <c r="AI78" s="37"/>
      <c r="AJ78" s="35"/>
      <c r="AK78" s="35"/>
      <c r="AL78" s="35"/>
      <c r="AM78" s="35"/>
      <c r="AN78" s="35"/>
      <c r="AO78" s="35"/>
      <c r="AP78" s="35"/>
      <c r="AQ78" s="35"/>
      <c r="AR78" s="35"/>
      <c r="AS78" s="35"/>
    </row>
    <row r="79" ht="15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7"/>
      <c r="AI79" s="37"/>
      <c r="AJ79" s="35"/>
      <c r="AK79" s="35"/>
      <c r="AL79" s="35"/>
      <c r="AM79" s="35"/>
      <c r="AN79" s="35"/>
      <c r="AO79" s="35"/>
      <c r="AP79" s="35"/>
      <c r="AQ79" s="35"/>
      <c r="AR79" s="35"/>
      <c r="AS79" s="35"/>
    </row>
    <row r="80" ht="15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7"/>
      <c r="AI80" s="37"/>
      <c r="AJ80" s="35"/>
      <c r="AK80" s="35"/>
      <c r="AL80" s="35"/>
      <c r="AM80" s="35"/>
      <c r="AN80" s="35"/>
      <c r="AO80" s="35"/>
      <c r="AP80" s="35"/>
      <c r="AQ80" s="35"/>
      <c r="AR80" s="35"/>
      <c r="AS80" s="35"/>
    </row>
    <row r="81" ht="15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7"/>
      <c r="AI81" s="37"/>
      <c r="AJ81" s="35"/>
      <c r="AK81" s="35"/>
      <c r="AL81" s="35"/>
      <c r="AM81" s="35"/>
      <c r="AN81" s="35"/>
      <c r="AO81" s="35"/>
      <c r="AP81" s="35"/>
      <c r="AQ81" s="35"/>
      <c r="AR81" s="35"/>
      <c r="AS81" s="35"/>
    </row>
    <row r="82" ht="15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7"/>
      <c r="AI82" s="37"/>
      <c r="AJ82" s="35"/>
      <c r="AK82" s="35"/>
      <c r="AL82" s="35"/>
      <c r="AM82" s="35"/>
      <c r="AN82" s="35"/>
      <c r="AO82" s="35"/>
      <c r="AP82" s="35"/>
      <c r="AQ82" s="35"/>
      <c r="AR82" s="35"/>
      <c r="AS82" s="35"/>
    </row>
    <row r="83" ht="15.7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7"/>
      <c r="AI83" s="37"/>
      <c r="AJ83" s="35"/>
      <c r="AK83" s="35"/>
      <c r="AL83" s="35"/>
      <c r="AM83" s="35"/>
      <c r="AN83" s="35"/>
      <c r="AO83" s="35"/>
      <c r="AP83" s="35"/>
      <c r="AQ83" s="35"/>
      <c r="AR83" s="35"/>
      <c r="AS83" s="35"/>
    </row>
    <row r="84" ht="15.7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7"/>
      <c r="AI84" s="37"/>
      <c r="AJ84" s="35"/>
      <c r="AK84" s="35"/>
      <c r="AL84" s="35"/>
      <c r="AM84" s="35"/>
      <c r="AN84" s="35"/>
      <c r="AO84" s="35"/>
      <c r="AP84" s="35"/>
      <c r="AQ84" s="35"/>
      <c r="AR84" s="35"/>
      <c r="AS84" s="35"/>
    </row>
    <row r="85" ht="15.7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7"/>
      <c r="AI85" s="37"/>
      <c r="AJ85" s="35"/>
      <c r="AK85" s="35"/>
      <c r="AL85" s="35"/>
      <c r="AM85" s="35"/>
      <c r="AN85" s="35"/>
      <c r="AO85" s="35"/>
      <c r="AP85" s="35"/>
      <c r="AQ85" s="35"/>
      <c r="AR85" s="35"/>
      <c r="AS85" s="35"/>
    </row>
    <row r="86" ht="15.7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7"/>
      <c r="AI86" s="37"/>
      <c r="AJ86" s="35"/>
      <c r="AK86" s="35"/>
      <c r="AL86" s="35"/>
      <c r="AM86" s="35"/>
      <c r="AN86" s="35"/>
      <c r="AO86" s="35"/>
      <c r="AP86" s="35"/>
      <c r="AQ86" s="35"/>
      <c r="AR86" s="35"/>
      <c r="AS86" s="35"/>
    </row>
    <row r="87" ht="15.7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7"/>
      <c r="AI87" s="37"/>
      <c r="AJ87" s="35"/>
      <c r="AK87" s="35"/>
      <c r="AL87" s="35"/>
      <c r="AM87" s="35"/>
      <c r="AN87" s="35"/>
      <c r="AO87" s="35"/>
      <c r="AP87" s="35"/>
      <c r="AQ87" s="35"/>
      <c r="AR87" s="35"/>
      <c r="AS87" s="35"/>
    </row>
    <row r="88" ht="15.7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7"/>
      <c r="AI88" s="37"/>
      <c r="AJ88" s="35"/>
      <c r="AK88" s="35"/>
      <c r="AL88" s="35"/>
      <c r="AM88" s="35"/>
      <c r="AN88" s="35"/>
      <c r="AO88" s="35"/>
      <c r="AP88" s="35"/>
      <c r="AQ88" s="35"/>
      <c r="AR88" s="35"/>
      <c r="AS88" s="35"/>
    </row>
    <row r="89" ht="15.7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7"/>
      <c r="AI89" s="37"/>
      <c r="AJ89" s="35"/>
      <c r="AK89" s="35"/>
      <c r="AL89" s="35"/>
      <c r="AM89" s="35"/>
      <c r="AN89" s="35"/>
      <c r="AO89" s="35"/>
      <c r="AP89" s="35"/>
      <c r="AQ89" s="35"/>
      <c r="AR89" s="35"/>
      <c r="AS89" s="35"/>
    </row>
    <row r="90" ht="15.7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7"/>
      <c r="AI90" s="37"/>
      <c r="AJ90" s="35"/>
      <c r="AK90" s="35"/>
      <c r="AL90" s="35"/>
      <c r="AM90" s="35"/>
      <c r="AN90" s="35"/>
      <c r="AO90" s="35"/>
      <c r="AP90" s="35"/>
      <c r="AQ90" s="35"/>
      <c r="AR90" s="35"/>
      <c r="AS90" s="35"/>
    </row>
    <row r="91" ht="15.7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7"/>
      <c r="AI91" s="37"/>
      <c r="AJ91" s="35"/>
      <c r="AK91" s="35"/>
      <c r="AL91" s="35"/>
      <c r="AM91" s="35"/>
      <c r="AN91" s="35"/>
      <c r="AO91" s="35"/>
      <c r="AP91" s="35"/>
      <c r="AQ91" s="35"/>
      <c r="AR91" s="35"/>
      <c r="AS91" s="35"/>
    </row>
    <row r="92" ht="15.7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7"/>
      <c r="AI92" s="37"/>
      <c r="AJ92" s="35"/>
      <c r="AK92" s="35"/>
      <c r="AL92" s="35"/>
      <c r="AM92" s="35"/>
      <c r="AN92" s="35"/>
      <c r="AO92" s="35"/>
      <c r="AP92" s="35"/>
      <c r="AQ92" s="35"/>
      <c r="AR92" s="35"/>
      <c r="AS92" s="35"/>
    </row>
    <row r="93" ht="15.7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7"/>
      <c r="AI93" s="37"/>
      <c r="AJ93" s="35"/>
      <c r="AK93" s="35"/>
      <c r="AL93" s="35"/>
      <c r="AM93" s="35"/>
      <c r="AN93" s="35"/>
      <c r="AO93" s="35"/>
      <c r="AP93" s="35"/>
      <c r="AQ93" s="35"/>
      <c r="AR93" s="35"/>
      <c r="AS93" s="35"/>
    </row>
    <row r="94" ht="15.7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7"/>
      <c r="AI94" s="37"/>
      <c r="AJ94" s="35"/>
      <c r="AK94" s="35"/>
      <c r="AL94" s="35"/>
      <c r="AM94" s="35"/>
      <c r="AN94" s="35"/>
      <c r="AO94" s="35"/>
      <c r="AP94" s="35"/>
      <c r="AQ94" s="35"/>
      <c r="AR94" s="35"/>
      <c r="AS94" s="35"/>
    </row>
    <row r="95" ht="15.7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7"/>
      <c r="AI95" s="37"/>
      <c r="AJ95" s="35"/>
      <c r="AK95" s="35"/>
      <c r="AL95" s="35"/>
      <c r="AM95" s="35"/>
      <c r="AN95" s="35"/>
      <c r="AO95" s="35"/>
      <c r="AP95" s="35"/>
      <c r="AQ95" s="35"/>
      <c r="AR95" s="35"/>
      <c r="AS95" s="35"/>
    </row>
    <row r="96" ht="15.7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7"/>
      <c r="AI96" s="37"/>
      <c r="AJ96" s="35"/>
      <c r="AK96" s="35"/>
      <c r="AL96" s="35"/>
      <c r="AM96" s="35"/>
      <c r="AN96" s="35"/>
      <c r="AO96" s="35"/>
      <c r="AP96" s="35"/>
      <c r="AQ96" s="35"/>
      <c r="AR96" s="35"/>
      <c r="AS96" s="35"/>
    </row>
    <row r="97" ht="15.7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7"/>
      <c r="AI97" s="37"/>
      <c r="AJ97" s="35"/>
      <c r="AK97" s="35"/>
      <c r="AL97" s="35"/>
      <c r="AM97" s="35"/>
      <c r="AN97" s="35"/>
      <c r="AO97" s="35"/>
      <c r="AP97" s="35"/>
      <c r="AQ97" s="35"/>
      <c r="AR97" s="35"/>
      <c r="AS97" s="35"/>
    </row>
    <row r="98" ht="15.7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7"/>
      <c r="AI98" s="37"/>
      <c r="AJ98" s="35"/>
      <c r="AK98" s="35"/>
      <c r="AL98" s="35"/>
      <c r="AM98" s="35"/>
      <c r="AN98" s="35"/>
      <c r="AO98" s="35"/>
      <c r="AP98" s="35"/>
      <c r="AQ98" s="35"/>
      <c r="AR98" s="35"/>
      <c r="AS98" s="35"/>
    </row>
    <row r="99" ht="15.7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7"/>
      <c r="AI99" s="37"/>
      <c r="AJ99" s="35"/>
      <c r="AK99" s="35"/>
      <c r="AL99" s="35"/>
      <c r="AM99" s="35"/>
      <c r="AN99" s="35"/>
      <c r="AO99" s="35"/>
      <c r="AP99" s="35"/>
      <c r="AQ99" s="35"/>
      <c r="AR99" s="35"/>
      <c r="AS99" s="35"/>
    </row>
    <row r="100" ht="15.7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7"/>
      <c r="AI100" s="37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</row>
    <row r="101" ht="15.7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7"/>
      <c r="AI101" s="37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</row>
    <row r="102" ht="15.7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7"/>
      <c r="AI102" s="37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</row>
    <row r="103" ht="15.7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7"/>
      <c r="AI103" s="37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</row>
    <row r="104" ht="15.7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7"/>
      <c r="AI104" s="37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</row>
    <row r="105" ht="15.7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7"/>
      <c r="AI105" s="37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</row>
    <row r="106" ht="15.7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7"/>
      <c r="AI106" s="37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</row>
    <row r="107" ht="15.7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7"/>
      <c r="AI107" s="37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</row>
    <row r="108" ht="15.7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7"/>
      <c r="AI108" s="37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</row>
    <row r="109" ht="15.7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7"/>
      <c r="AI109" s="37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</row>
    <row r="110" ht="15.7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7"/>
      <c r="AI110" s="37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</row>
    <row r="111" ht="15.7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7"/>
      <c r="AI111" s="37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</row>
    <row r="112" ht="15.7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7"/>
      <c r="AI112" s="37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</row>
    <row r="113" ht="15.7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7"/>
      <c r="AI113" s="37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</row>
    <row r="114" ht="15.7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7"/>
      <c r="AI114" s="37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</row>
    <row r="115" ht="15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7"/>
      <c r="AI115" s="37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</row>
    <row r="116" ht="15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7"/>
      <c r="AI116" s="37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</row>
    <row r="117" ht="15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7"/>
      <c r="AI117" s="37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</row>
    <row r="118" ht="15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7"/>
      <c r="AI118" s="37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</row>
    <row r="119" ht="15.7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7"/>
      <c r="AI119" s="37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</row>
    <row r="120" ht="15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7"/>
      <c r="AI120" s="37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</row>
    <row r="121" ht="15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7"/>
      <c r="AI121" s="37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</row>
    <row r="122" ht="15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7"/>
      <c r="AI122" s="37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</row>
    <row r="123" ht="15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7"/>
      <c r="AI123" s="37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</row>
    <row r="124" ht="15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7"/>
      <c r="AI124" s="37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</row>
    <row r="125" ht="15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7"/>
      <c r="AI125" s="37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</row>
    <row r="126" ht="15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7"/>
      <c r="AI126" s="37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</row>
    <row r="127" ht="15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7"/>
      <c r="AI127" s="37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</row>
    <row r="128" ht="15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7"/>
      <c r="AI128" s="37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</row>
    <row r="129" ht="15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7"/>
      <c r="AI129" s="37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</row>
    <row r="130" ht="15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7"/>
      <c r="AI130" s="37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</row>
    <row r="131" ht="15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7"/>
      <c r="AI131" s="37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</row>
    <row r="132" ht="15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7"/>
      <c r="AI132" s="37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</row>
    <row r="133" ht="15.7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7"/>
      <c r="AI133" s="37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</row>
    <row r="134" ht="15.7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7"/>
      <c r="AI134" s="37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</row>
    <row r="135" ht="15.7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7"/>
      <c r="AI135" s="37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</row>
    <row r="136" ht="15.7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7"/>
      <c r="AI136" s="37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</row>
    <row r="137" ht="15.7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7"/>
      <c r="AI137" s="37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</row>
    <row r="138" ht="15.7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7"/>
      <c r="AI138" s="37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</row>
    <row r="139" ht="15.7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7"/>
      <c r="AI139" s="37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</row>
    <row r="140" ht="15.7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7"/>
      <c r="AI140" s="37"/>
      <c r="AJ140" s="35"/>
      <c r="AK140" s="35"/>
      <c r="AL140" s="35"/>
      <c r="AM140" s="35"/>
      <c r="AN140" s="35"/>
      <c r="AO140" s="35"/>
      <c r="AP140" s="35"/>
      <c r="AQ140" s="35"/>
      <c r="AR140" s="35"/>
      <c r="AS140" s="35"/>
    </row>
    <row r="141" ht="15.7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7"/>
      <c r="AI141" s="37"/>
      <c r="AJ141" s="35"/>
      <c r="AK141" s="35"/>
      <c r="AL141" s="35"/>
      <c r="AM141" s="35"/>
      <c r="AN141" s="35"/>
      <c r="AO141" s="35"/>
      <c r="AP141" s="35"/>
      <c r="AQ141" s="35"/>
      <c r="AR141" s="35"/>
      <c r="AS141" s="35"/>
    </row>
    <row r="142" ht="15.7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7"/>
      <c r="AI142" s="37"/>
      <c r="AJ142" s="35"/>
      <c r="AK142" s="35"/>
      <c r="AL142" s="35"/>
      <c r="AM142" s="35"/>
      <c r="AN142" s="35"/>
      <c r="AO142" s="35"/>
      <c r="AP142" s="35"/>
      <c r="AQ142" s="35"/>
      <c r="AR142" s="35"/>
      <c r="AS142" s="35"/>
    </row>
    <row r="143" ht="15.7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7"/>
      <c r="AI143" s="37"/>
      <c r="AJ143" s="35"/>
      <c r="AK143" s="35"/>
      <c r="AL143" s="35"/>
      <c r="AM143" s="35"/>
      <c r="AN143" s="35"/>
      <c r="AO143" s="35"/>
      <c r="AP143" s="35"/>
      <c r="AQ143" s="35"/>
      <c r="AR143" s="35"/>
      <c r="AS143" s="35"/>
    </row>
    <row r="144" ht="15.7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7"/>
      <c r="AI144" s="37"/>
      <c r="AJ144" s="35"/>
      <c r="AK144" s="35"/>
      <c r="AL144" s="35"/>
      <c r="AM144" s="35"/>
      <c r="AN144" s="35"/>
      <c r="AO144" s="35"/>
      <c r="AP144" s="35"/>
      <c r="AQ144" s="35"/>
      <c r="AR144" s="35"/>
      <c r="AS144" s="35"/>
    </row>
    <row r="145" ht="15.7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7"/>
      <c r="AI145" s="37"/>
      <c r="AJ145" s="35"/>
      <c r="AK145" s="35"/>
      <c r="AL145" s="35"/>
      <c r="AM145" s="35"/>
      <c r="AN145" s="35"/>
      <c r="AO145" s="35"/>
      <c r="AP145" s="35"/>
      <c r="AQ145" s="35"/>
      <c r="AR145" s="35"/>
      <c r="AS145" s="35"/>
    </row>
    <row r="146" ht="15.7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7"/>
      <c r="AI146" s="37"/>
      <c r="AJ146" s="35"/>
      <c r="AK146" s="35"/>
      <c r="AL146" s="35"/>
      <c r="AM146" s="35"/>
      <c r="AN146" s="35"/>
      <c r="AO146" s="35"/>
      <c r="AP146" s="35"/>
      <c r="AQ146" s="35"/>
      <c r="AR146" s="35"/>
      <c r="AS146" s="35"/>
    </row>
    <row r="147" ht="15.7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7"/>
      <c r="AI147" s="37"/>
      <c r="AJ147" s="35"/>
      <c r="AK147" s="35"/>
      <c r="AL147" s="35"/>
      <c r="AM147" s="35"/>
      <c r="AN147" s="35"/>
      <c r="AO147" s="35"/>
      <c r="AP147" s="35"/>
      <c r="AQ147" s="35"/>
      <c r="AR147" s="35"/>
      <c r="AS147" s="35"/>
    </row>
    <row r="148" ht="15.7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7"/>
      <c r="AI148" s="37"/>
      <c r="AJ148" s="35"/>
      <c r="AK148" s="35"/>
      <c r="AL148" s="35"/>
      <c r="AM148" s="35"/>
      <c r="AN148" s="35"/>
      <c r="AO148" s="35"/>
      <c r="AP148" s="35"/>
      <c r="AQ148" s="35"/>
      <c r="AR148" s="35"/>
      <c r="AS148" s="35"/>
    </row>
    <row r="149" ht="15.7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7"/>
      <c r="AI149" s="37"/>
      <c r="AJ149" s="35"/>
      <c r="AK149" s="35"/>
      <c r="AL149" s="35"/>
      <c r="AM149" s="35"/>
      <c r="AN149" s="35"/>
      <c r="AO149" s="35"/>
      <c r="AP149" s="35"/>
      <c r="AQ149" s="35"/>
      <c r="AR149" s="35"/>
      <c r="AS149" s="35"/>
    </row>
    <row r="150" ht="15.7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7"/>
      <c r="AI150" s="37"/>
      <c r="AJ150" s="35"/>
      <c r="AK150" s="35"/>
      <c r="AL150" s="35"/>
      <c r="AM150" s="35"/>
      <c r="AN150" s="35"/>
      <c r="AO150" s="35"/>
      <c r="AP150" s="35"/>
      <c r="AQ150" s="35"/>
      <c r="AR150" s="35"/>
      <c r="AS150" s="35"/>
    </row>
    <row r="151" ht="15.7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7"/>
      <c r="AI151" s="37"/>
      <c r="AJ151" s="35"/>
      <c r="AK151" s="35"/>
      <c r="AL151" s="35"/>
      <c r="AM151" s="35"/>
      <c r="AN151" s="35"/>
      <c r="AO151" s="35"/>
      <c r="AP151" s="35"/>
      <c r="AQ151" s="35"/>
      <c r="AR151" s="35"/>
      <c r="AS151" s="35"/>
    </row>
    <row r="152" ht="15.7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7"/>
      <c r="AI152" s="37"/>
      <c r="AJ152" s="35"/>
      <c r="AK152" s="35"/>
      <c r="AL152" s="35"/>
      <c r="AM152" s="35"/>
      <c r="AN152" s="35"/>
      <c r="AO152" s="35"/>
      <c r="AP152" s="35"/>
      <c r="AQ152" s="35"/>
      <c r="AR152" s="35"/>
      <c r="AS152" s="35"/>
    </row>
    <row r="153" ht="15.7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7"/>
      <c r="AI153" s="37"/>
      <c r="AJ153" s="35"/>
      <c r="AK153" s="35"/>
      <c r="AL153" s="35"/>
      <c r="AM153" s="35"/>
      <c r="AN153" s="35"/>
      <c r="AO153" s="35"/>
      <c r="AP153" s="35"/>
      <c r="AQ153" s="35"/>
      <c r="AR153" s="35"/>
      <c r="AS153" s="35"/>
    </row>
    <row r="154" ht="15.7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7"/>
      <c r="AI154" s="37"/>
      <c r="AJ154" s="35"/>
      <c r="AK154" s="35"/>
      <c r="AL154" s="35"/>
      <c r="AM154" s="35"/>
      <c r="AN154" s="35"/>
      <c r="AO154" s="35"/>
      <c r="AP154" s="35"/>
      <c r="AQ154" s="35"/>
      <c r="AR154" s="35"/>
      <c r="AS154" s="35"/>
    </row>
    <row r="155" ht="15.7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7"/>
      <c r="AI155" s="37"/>
      <c r="AJ155" s="35"/>
      <c r="AK155" s="35"/>
      <c r="AL155" s="35"/>
      <c r="AM155" s="35"/>
      <c r="AN155" s="35"/>
      <c r="AO155" s="35"/>
      <c r="AP155" s="35"/>
      <c r="AQ155" s="35"/>
      <c r="AR155" s="35"/>
      <c r="AS155" s="35"/>
    </row>
    <row r="156" ht="15.7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7"/>
      <c r="AI156" s="37"/>
      <c r="AJ156" s="35"/>
      <c r="AK156" s="35"/>
      <c r="AL156" s="35"/>
      <c r="AM156" s="35"/>
      <c r="AN156" s="35"/>
      <c r="AO156" s="35"/>
      <c r="AP156" s="35"/>
      <c r="AQ156" s="35"/>
      <c r="AR156" s="35"/>
      <c r="AS156" s="35"/>
    </row>
    <row r="157" ht="15.7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7"/>
      <c r="AI157" s="37"/>
      <c r="AJ157" s="35"/>
      <c r="AK157" s="35"/>
      <c r="AL157" s="35"/>
      <c r="AM157" s="35"/>
      <c r="AN157" s="35"/>
      <c r="AO157" s="35"/>
      <c r="AP157" s="35"/>
      <c r="AQ157" s="35"/>
      <c r="AR157" s="35"/>
      <c r="AS157" s="35"/>
    </row>
    <row r="158" ht="15.7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7"/>
      <c r="AI158" s="37"/>
      <c r="AJ158" s="35"/>
      <c r="AK158" s="35"/>
      <c r="AL158" s="35"/>
      <c r="AM158" s="35"/>
      <c r="AN158" s="35"/>
      <c r="AO158" s="35"/>
      <c r="AP158" s="35"/>
      <c r="AQ158" s="35"/>
      <c r="AR158" s="35"/>
      <c r="AS158" s="35"/>
    </row>
    <row r="159" ht="15.7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7"/>
      <c r="AI159" s="37"/>
      <c r="AJ159" s="35"/>
      <c r="AK159" s="35"/>
      <c r="AL159" s="35"/>
      <c r="AM159" s="35"/>
      <c r="AN159" s="35"/>
      <c r="AO159" s="35"/>
      <c r="AP159" s="35"/>
      <c r="AQ159" s="35"/>
      <c r="AR159" s="35"/>
      <c r="AS159" s="35"/>
    </row>
    <row r="160" ht="15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7"/>
      <c r="AI160" s="37"/>
      <c r="AJ160" s="35"/>
      <c r="AK160" s="35"/>
      <c r="AL160" s="35"/>
      <c r="AM160" s="35"/>
      <c r="AN160" s="35"/>
      <c r="AO160" s="35"/>
      <c r="AP160" s="35"/>
      <c r="AQ160" s="35"/>
      <c r="AR160" s="35"/>
      <c r="AS160" s="35"/>
    </row>
    <row r="161" ht="15.7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7"/>
      <c r="AI161" s="37"/>
      <c r="AJ161" s="35"/>
      <c r="AK161" s="35"/>
      <c r="AL161" s="35"/>
      <c r="AM161" s="35"/>
      <c r="AN161" s="35"/>
      <c r="AO161" s="35"/>
      <c r="AP161" s="35"/>
      <c r="AQ161" s="35"/>
      <c r="AR161" s="35"/>
      <c r="AS161" s="35"/>
    </row>
    <row r="162" ht="15.7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7"/>
      <c r="AI162" s="37"/>
      <c r="AJ162" s="35"/>
      <c r="AK162" s="35"/>
      <c r="AL162" s="35"/>
      <c r="AM162" s="35"/>
      <c r="AN162" s="35"/>
      <c r="AO162" s="35"/>
      <c r="AP162" s="35"/>
      <c r="AQ162" s="35"/>
      <c r="AR162" s="35"/>
      <c r="AS162" s="35"/>
    </row>
    <row r="163" ht="15.7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7"/>
      <c r="AI163" s="37"/>
      <c r="AJ163" s="35"/>
      <c r="AK163" s="35"/>
      <c r="AL163" s="35"/>
      <c r="AM163" s="35"/>
      <c r="AN163" s="35"/>
      <c r="AO163" s="35"/>
      <c r="AP163" s="35"/>
      <c r="AQ163" s="35"/>
      <c r="AR163" s="35"/>
      <c r="AS163" s="35"/>
    </row>
    <row r="164" ht="15.7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7"/>
      <c r="AI164" s="37"/>
      <c r="AJ164" s="35"/>
      <c r="AK164" s="35"/>
      <c r="AL164" s="35"/>
      <c r="AM164" s="35"/>
      <c r="AN164" s="35"/>
      <c r="AO164" s="35"/>
      <c r="AP164" s="35"/>
      <c r="AQ164" s="35"/>
      <c r="AR164" s="35"/>
      <c r="AS164" s="35"/>
    </row>
    <row r="165" ht="15.7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7"/>
      <c r="AI165" s="37"/>
      <c r="AJ165" s="35"/>
      <c r="AK165" s="35"/>
      <c r="AL165" s="35"/>
      <c r="AM165" s="35"/>
      <c r="AN165" s="35"/>
      <c r="AO165" s="35"/>
      <c r="AP165" s="35"/>
      <c r="AQ165" s="35"/>
      <c r="AR165" s="35"/>
      <c r="AS165" s="35"/>
    </row>
    <row r="166" ht="15.7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7"/>
      <c r="AI166" s="37"/>
      <c r="AJ166" s="35"/>
      <c r="AK166" s="35"/>
      <c r="AL166" s="35"/>
      <c r="AM166" s="35"/>
      <c r="AN166" s="35"/>
      <c r="AO166" s="35"/>
      <c r="AP166" s="35"/>
      <c r="AQ166" s="35"/>
      <c r="AR166" s="35"/>
      <c r="AS166" s="35"/>
    </row>
    <row r="167" ht="15.7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7"/>
      <c r="AI167" s="37"/>
      <c r="AJ167" s="35"/>
      <c r="AK167" s="35"/>
      <c r="AL167" s="35"/>
      <c r="AM167" s="35"/>
      <c r="AN167" s="35"/>
      <c r="AO167" s="35"/>
      <c r="AP167" s="35"/>
      <c r="AQ167" s="35"/>
      <c r="AR167" s="35"/>
      <c r="AS167" s="35"/>
    </row>
    <row r="168" ht="15.7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7"/>
      <c r="AI168" s="37"/>
      <c r="AJ168" s="35"/>
      <c r="AK168" s="35"/>
      <c r="AL168" s="35"/>
      <c r="AM168" s="35"/>
      <c r="AN168" s="35"/>
      <c r="AO168" s="35"/>
      <c r="AP168" s="35"/>
      <c r="AQ168" s="35"/>
      <c r="AR168" s="35"/>
      <c r="AS168" s="35"/>
    </row>
    <row r="169" ht="15.7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7"/>
      <c r="AI169" s="37"/>
      <c r="AJ169" s="35"/>
      <c r="AK169" s="35"/>
      <c r="AL169" s="35"/>
      <c r="AM169" s="35"/>
      <c r="AN169" s="35"/>
      <c r="AO169" s="35"/>
      <c r="AP169" s="35"/>
      <c r="AQ169" s="35"/>
      <c r="AR169" s="35"/>
      <c r="AS169" s="35"/>
    </row>
    <row r="170" ht="15.7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7"/>
      <c r="AI170" s="37"/>
      <c r="AJ170" s="35"/>
      <c r="AK170" s="35"/>
      <c r="AL170" s="35"/>
      <c r="AM170" s="35"/>
      <c r="AN170" s="35"/>
      <c r="AO170" s="35"/>
      <c r="AP170" s="35"/>
      <c r="AQ170" s="35"/>
      <c r="AR170" s="35"/>
      <c r="AS170" s="35"/>
    </row>
    <row r="171" ht="15.7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7"/>
      <c r="AI171" s="37"/>
      <c r="AJ171" s="35"/>
      <c r="AK171" s="35"/>
      <c r="AL171" s="35"/>
      <c r="AM171" s="35"/>
      <c r="AN171" s="35"/>
      <c r="AO171" s="35"/>
      <c r="AP171" s="35"/>
      <c r="AQ171" s="35"/>
      <c r="AR171" s="35"/>
      <c r="AS171" s="35"/>
    </row>
    <row r="172" ht="15.7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7"/>
      <c r="AI172" s="37"/>
      <c r="AJ172" s="35"/>
      <c r="AK172" s="35"/>
      <c r="AL172" s="35"/>
      <c r="AM172" s="35"/>
      <c r="AN172" s="35"/>
      <c r="AO172" s="35"/>
      <c r="AP172" s="35"/>
      <c r="AQ172" s="35"/>
      <c r="AR172" s="35"/>
      <c r="AS172" s="35"/>
    </row>
    <row r="173" ht="15.7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7"/>
      <c r="AI173" s="37"/>
      <c r="AJ173" s="35"/>
      <c r="AK173" s="35"/>
      <c r="AL173" s="35"/>
      <c r="AM173" s="35"/>
      <c r="AN173" s="35"/>
      <c r="AO173" s="35"/>
      <c r="AP173" s="35"/>
      <c r="AQ173" s="35"/>
      <c r="AR173" s="35"/>
      <c r="AS173" s="35"/>
    </row>
    <row r="174" ht="15.7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7"/>
      <c r="AI174" s="37"/>
      <c r="AJ174" s="35"/>
      <c r="AK174" s="35"/>
      <c r="AL174" s="35"/>
      <c r="AM174" s="35"/>
      <c r="AN174" s="35"/>
      <c r="AO174" s="35"/>
      <c r="AP174" s="35"/>
      <c r="AQ174" s="35"/>
      <c r="AR174" s="35"/>
      <c r="AS174" s="35"/>
    </row>
    <row r="175" ht="15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7"/>
      <c r="AI175" s="37"/>
      <c r="AJ175" s="35"/>
      <c r="AK175" s="35"/>
      <c r="AL175" s="35"/>
      <c r="AM175" s="35"/>
      <c r="AN175" s="35"/>
      <c r="AO175" s="35"/>
      <c r="AP175" s="35"/>
      <c r="AQ175" s="35"/>
      <c r="AR175" s="35"/>
      <c r="AS175" s="35"/>
    </row>
    <row r="176" ht="15.7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7"/>
      <c r="AI176" s="37"/>
      <c r="AJ176" s="35"/>
      <c r="AK176" s="35"/>
      <c r="AL176" s="35"/>
      <c r="AM176" s="35"/>
      <c r="AN176" s="35"/>
      <c r="AO176" s="35"/>
      <c r="AP176" s="35"/>
      <c r="AQ176" s="35"/>
      <c r="AR176" s="35"/>
      <c r="AS176" s="35"/>
    </row>
    <row r="177" ht="15.7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7"/>
      <c r="AI177" s="37"/>
      <c r="AJ177" s="35"/>
      <c r="AK177" s="35"/>
      <c r="AL177" s="35"/>
      <c r="AM177" s="35"/>
      <c r="AN177" s="35"/>
      <c r="AO177" s="35"/>
      <c r="AP177" s="35"/>
      <c r="AQ177" s="35"/>
      <c r="AR177" s="35"/>
      <c r="AS177" s="35"/>
    </row>
    <row r="178" ht="15.7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7"/>
      <c r="AI178" s="37"/>
      <c r="AJ178" s="35"/>
      <c r="AK178" s="35"/>
      <c r="AL178" s="35"/>
      <c r="AM178" s="35"/>
      <c r="AN178" s="35"/>
      <c r="AO178" s="35"/>
      <c r="AP178" s="35"/>
      <c r="AQ178" s="35"/>
      <c r="AR178" s="35"/>
      <c r="AS178" s="35"/>
    </row>
    <row r="179" ht="15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7"/>
      <c r="AI179" s="37"/>
      <c r="AJ179" s="35"/>
      <c r="AK179" s="35"/>
      <c r="AL179" s="35"/>
      <c r="AM179" s="35"/>
      <c r="AN179" s="35"/>
      <c r="AO179" s="35"/>
      <c r="AP179" s="35"/>
      <c r="AQ179" s="35"/>
      <c r="AR179" s="35"/>
      <c r="AS179" s="35"/>
    </row>
    <row r="180" ht="15.7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7"/>
      <c r="AI180" s="37"/>
      <c r="AJ180" s="35"/>
      <c r="AK180" s="35"/>
      <c r="AL180" s="35"/>
      <c r="AM180" s="35"/>
      <c r="AN180" s="35"/>
      <c r="AO180" s="35"/>
      <c r="AP180" s="35"/>
      <c r="AQ180" s="35"/>
      <c r="AR180" s="35"/>
      <c r="AS180" s="35"/>
    </row>
    <row r="181" ht="15.7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7"/>
      <c r="AI181" s="37"/>
      <c r="AJ181" s="35"/>
      <c r="AK181" s="35"/>
      <c r="AL181" s="35"/>
      <c r="AM181" s="35"/>
      <c r="AN181" s="35"/>
      <c r="AO181" s="35"/>
      <c r="AP181" s="35"/>
      <c r="AQ181" s="35"/>
      <c r="AR181" s="35"/>
      <c r="AS181" s="35"/>
    </row>
    <row r="182" ht="15.7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7"/>
      <c r="AI182" s="37"/>
      <c r="AJ182" s="35"/>
      <c r="AK182" s="35"/>
      <c r="AL182" s="35"/>
      <c r="AM182" s="35"/>
      <c r="AN182" s="35"/>
      <c r="AO182" s="35"/>
      <c r="AP182" s="35"/>
      <c r="AQ182" s="35"/>
      <c r="AR182" s="35"/>
      <c r="AS182" s="35"/>
    </row>
    <row r="183" ht="15.7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7"/>
      <c r="AI183" s="37"/>
      <c r="AJ183" s="35"/>
      <c r="AK183" s="35"/>
      <c r="AL183" s="35"/>
      <c r="AM183" s="35"/>
      <c r="AN183" s="35"/>
      <c r="AO183" s="35"/>
      <c r="AP183" s="35"/>
      <c r="AQ183" s="35"/>
      <c r="AR183" s="35"/>
      <c r="AS183" s="35"/>
    </row>
    <row r="184" ht="15.7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7"/>
      <c r="AI184" s="37"/>
      <c r="AJ184" s="35"/>
      <c r="AK184" s="35"/>
      <c r="AL184" s="35"/>
      <c r="AM184" s="35"/>
      <c r="AN184" s="35"/>
      <c r="AO184" s="35"/>
      <c r="AP184" s="35"/>
      <c r="AQ184" s="35"/>
      <c r="AR184" s="35"/>
      <c r="AS184" s="35"/>
    </row>
    <row r="185" ht="15.7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7"/>
      <c r="AI185" s="37"/>
      <c r="AJ185" s="35"/>
      <c r="AK185" s="35"/>
      <c r="AL185" s="35"/>
      <c r="AM185" s="35"/>
      <c r="AN185" s="35"/>
      <c r="AO185" s="35"/>
      <c r="AP185" s="35"/>
      <c r="AQ185" s="35"/>
      <c r="AR185" s="35"/>
      <c r="AS185" s="35"/>
    </row>
    <row r="186" ht="15.7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7"/>
      <c r="AI186" s="37"/>
      <c r="AJ186" s="35"/>
      <c r="AK186" s="35"/>
      <c r="AL186" s="35"/>
      <c r="AM186" s="35"/>
      <c r="AN186" s="35"/>
      <c r="AO186" s="35"/>
      <c r="AP186" s="35"/>
      <c r="AQ186" s="35"/>
      <c r="AR186" s="35"/>
      <c r="AS186" s="35"/>
    </row>
    <row r="187" ht="15.7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7"/>
      <c r="AI187" s="37"/>
      <c r="AJ187" s="35"/>
      <c r="AK187" s="35"/>
      <c r="AL187" s="35"/>
      <c r="AM187" s="35"/>
      <c r="AN187" s="35"/>
      <c r="AO187" s="35"/>
      <c r="AP187" s="35"/>
      <c r="AQ187" s="35"/>
      <c r="AR187" s="35"/>
      <c r="AS187" s="35"/>
    </row>
    <row r="188" ht="15.7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7"/>
      <c r="AI188" s="37"/>
      <c r="AJ188" s="35"/>
      <c r="AK188" s="35"/>
      <c r="AL188" s="35"/>
      <c r="AM188" s="35"/>
      <c r="AN188" s="35"/>
      <c r="AO188" s="35"/>
      <c r="AP188" s="35"/>
      <c r="AQ188" s="35"/>
      <c r="AR188" s="35"/>
      <c r="AS188" s="35"/>
    </row>
    <row r="189" ht="15.75" customHeight="1">
      <c r="AH189" s="37"/>
      <c r="AI189" s="37"/>
    </row>
    <row r="190" ht="15.75" customHeight="1">
      <c r="AH190" s="37"/>
      <c r="AI190" s="37"/>
    </row>
    <row r="191" ht="15.75" customHeight="1">
      <c r="AH191" s="37"/>
      <c r="AI191" s="37"/>
    </row>
    <row r="192" ht="15.75" customHeight="1">
      <c r="AH192" s="37"/>
      <c r="AI192" s="37"/>
    </row>
    <row r="193" ht="15.75" customHeight="1">
      <c r="AH193" s="37"/>
      <c r="AI193" s="37"/>
    </row>
    <row r="194" ht="15.75" customHeight="1">
      <c r="AH194" s="37"/>
      <c r="AI194" s="37"/>
    </row>
    <row r="195" ht="15.75" customHeight="1">
      <c r="AH195" s="37"/>
      <c r="AI195" s="37"/>
    </row>
    <row r="196" ht="15.75" customHeight="1">
      <c r="AH196" s="37"/>
      <c r="AI196" s="37"/>
    </row>
    <row r="197" ht="15.75" customHeight="1">
      <c r="AH197" s="37"/>
      <c r="AI197" s="37"/>
    </row>
    <row r="198" ht="15.75" customHeight="1">
      <c r="AH198" s="37"/>
      <c r="AI198" s="37"/>
    </row>
    <row r="199" ht="15.75" customHeight="1">
      <c r="AH199" s="37"/>
      <c r="AI199" s="37"/>
    </row>
    <row r="200" ht="15.75" customHeight="1">
      <c r="AH200" s="37"/>
      <c r="AI200" s="37"/>
    </row>
    <row r="201" ht="15.75" customHeight="1">
      <c r="AH201" s="37"/>
      <c r="AI201" s="37"/>
    </row>
    <row r="202" ht="15.75" customHeight="1">
      <c r="AH202" s="37"/>
      <c r="AI202" s="37"/>
    </row>
    <row r="203" ht="15.75" customHeight="1">
      <c r="AH203" s="37"/>
      <c r="AI203" s="37"/>
    </row>
    <row r="204" ht="15.75" customHeight="1">
      <c r="AH204" s="37"/>
      <c r="AI204" s="37"/>
    </row>
    <row r="205" ht="15.75" customHeight="1">
      <c r="AH205" s="37"/>
      <c r="AI205" s="37"/>
    </row>
    <row r="206" ht="15.75" customHeight="1">
      <c r="AH206" s="37"/>
      <c r="AI206" s="37"/>
    </row>
    <row r="207" ht="15.75" customHeight="1">
      <c r="AH207" s="37"/>
      <c r="AI207" s="37"/>
    </row>
    <row r="208" ht="15.75" customHeight="1">
      <c r="AH208" s="37"/>
      <c r="AI208" s="37"/>
    </row>
    <row r="209" ht="15.75" customHeight="1">
      <c r="AH209" s="37"/>
      <c r="AI209" s="37"/>
    </row>
    <row r="210" ht="15.75" customHeight="1">
      <c r="AH210" s="37"/>
      <c r="AI210" s="37"/>
    </row>
    <row r="211" ht="15.75" customHeight="1">
      <c r="AH211" s="37"/>
      <c r="AI211" s="37"/>
    </row>
    <row r="212" ht="15.75" customHeight="1">
      <c r="AH212" s="37"/>
      <c r="AI212" s="37"/>
    </row>
    <row r="213" ht="15.75" customHeight="1">
      <c r="AH213" s="37"/>
      <c r="AI213" s="37"/>
    </row>
    <row r="214" ht="15.75" customHeight="1">
      <c r="AH214" s="37"/>
      <c r="AI214" s="37"/>
    </row>
    <row r="215" ht="15.75" customHeight="1">
      <c r="AH215" s="37"/>
      <c r="AI215" s="37"/>
    </row>
    <row r="216" ht="15.75" customHeight="1">
      <c r="AH216" s="37"/>
      <c r="AI216" s="37"/>
    </row>
    <row r="217" ht="15.75" customHeight="1">
      <c r="AH217" s="37"/>
      <c r="AI217" s="37"/>
    </row>
    <row r="218" ht="15.75" customHeight="1">
      <c r="AH218" s="37"/>
      <c r="AI218" s="37"/>
    </row>
    <row r="219" ht="15.75" customHeight="1">
      <c r="AH219" s="37"/>
      <c r="AI219" s="37"/>
    </row>
    <row r="220" ht="15.75" customHeight="1">
      <c r="AH220" s="37"/>
      <c r="AI220" s="37"/>
    </row>
    <row r="221" ht="15.75" customHeight="1">
      <c r="AH221" s="37"/>
      <c r="AI221" s="37"/>
    </row>
    <row r="222" ht="15.75" customHeight="1">
      <c r="AH222" s="37"/>
      <c r="AI222" s="37"/>
    </row>
    <row r="223" ht="15.75" customHeight="1">
      <c r="AH223" s="37"/>
      <c r="AI223" s="37"/>
    </row>
    <row r="224" ht="15.75" customHeight="1">
      <c r="AH224" s="37"/>
      <c r="AI224" s="37"/>
    </row>
    <row r="225" ht="15.75" customHeight="1">
      <c r="AH225" s="37"/>
      <c r="AI225" s="37"/>
    </row>
    <row r="226" ht="15.75" customHeight="1">
      <c r="AH226" s="37"/>
      <c r="AI226" s="37"/>
    </row>
    <row r="227" ht="15.75" customHeight="1">
      <c r="AH227" s="37"/>
      <c r="AI227" s="37"/>
    </row>
    <row r="228" ht="15.75" customHeight="1">
      <c r="AH228" s="37"/>
      <c r="AI228" s="37"/>
    </row>
    <row r="229" ht="15.75" customHeight="1">
      <c r="AH229" s="37"/>
      <c r="AI229" s="37"/>
    </row>
    <row r="230" ht="15.75" customHeight="1">
      <c r="AH230" s="37"/>
      <c r="AI230" s="37"/>
    </row>
    <row r="231" ht="15.75" customHeight="1">
      <c r="AH231" s="37"/>
      <c r="AI231" s="37"/>
    </row>
    <row r="232" ht="15.75" customHeight="1">
      <c r="AH232" s="37"/>
      <c r="AI232" s="37"/>
    </row>
    <row r="233" ht="15.75" customHeight="1">
      <c r="AH233" s="37"/>
      <c r="AI233" s="37"/>
    </row>
    <row r="234" ht="15.75" customHeight="1">
      <c r="AH234" s="37"/>
      <c r="AI234" s="37"/>
    </row>
    <row r="235" ht="15.75" customHeight="1">
      <c r="AH235" s="37"/>
      <c r="AI235" s="37"/>
    </row>
    <row r="236" ht="15.75" customHeight="1">
      <c r="AH236" s="37"/>
      <c r="AI236" s="37"/>
    </row>
    <row r="237" ht="15.75" customHeight="1">
      <c r="AH237" s="37"/>
      <c r="AI237" s="37"/>
    </row>
    <row r="238" ht="15.75" customHeight="1">
      <c r="AH238" s="37"/>
      <c r="AI238" s="37"/>
    </row>
    <row r="239" ht="15.75" customHeight="1">
      <c r="AH239" s="37"/>
      <c r="AI239" s="37"/>
    </row>
    <row r="240" ht="15.75" customHeight="1">
      <c r="AH240" s="37"/>
      <c r="AI240" s="37"/>
    </row>
    <row r="241" ht="15.75" customHeight="1">
      <c r="AH241" s="37"/>
      <c r="AI241" s="37"/>
    </row>
    <row r="242" ht="15.75" customHeight="1">
      <c r="AH242" s="37"/>
      <c r="AI242" s="37"/>
    </row>
    <row r="243" ht="15.75" customHeight="1">
      <c r="AH243" s="37"/>
      <c r="AI243" s="37"/>
    </row>
    <row r="244" ht="15.75" customHeight="1">
      <c r="AH244" s="37"/>
      <c r="AI244" s="37"/>
    </row>
    <row r="245" ht="15.75" customHeight="1">
      <c r="AH245" s="37"/>
      <c r="AI245" s="37"/>
    </row>
    <row r="246" ht="15.75" customHeight="1">
      <c r="AH246" s="37"/>
      <c r="AI246" s="37"/>
    </row>
    <row r="247" ht="15.75" customHeight="1">
      <c r="AH247" s="37"/>
      <c r="AI247" s="37"/>
    </row>
    <row r="248" ht="15.75" customHeight="1">
      <c r="AH248" s="37"/>
      <c r="AI248" s="37"/>
    </row>
    <row r="249" ht="15.75" customHeight="1">
      <c r="AH249" s="37"/>
      <c r="AI249" s="37"/>
    </row>
    <row r="250" ht="15.75" customHeight="1">
      <c r="AH250" s="37"/>
      <c r="AI250" s="37"/>
    </row>
    <row r="251" ht="15.75" customHeight="1">
      <c r="AH251" s="37"/>
      <c r="AI251" s="37"/>
    </row>
    <row r="252" ht="15.75" customHeight="1">
      <c r="AH252" s="37"/>
      <c r="AI252" s="37"/>
    </row>
    <row r="253" ht="15.75" customHeight="1">
      <c r="AH253" s="37"/>
      <c r="AI253" s="37"/>
    </row>
    <row r="254" ht="15.75" customHeight="1">
      <c r="AH254" s="37"/>
      <c r="AI254" s="37"/>
    </row>
    <row r="255" ht="15.75" customHeight="1">
      <c r="AH255" s="37"/>
      <c r="AI255" s="37"/>
    </row>
    <row r="256" ht="15.75" customHeight="1">
      <c r="AH256" s="37"/>
      <c r="AI256" s="37"/>
    </row>
    <row r="257" ht="15.75" customHeight="1">
      <c r="AH257" s="37"/>
      <c r="AI257" s="37"/>
    </row>
    <row r="258" ht="15.75" customHeight="1">
      <c r="AH258" s="37"/>
      <c r="AI258" s="37"/>
    </row>
    <row r="259" ht="15.75" customHeight="1">
      <c r="AH259" s="37"/>
      <c r="AI259" s="37"/>
    </row>
    <row r="260" ht="15.75" customHeight="1">
      <c r="AH260" s="37"/>
      <c r="AI260" s="37"/>
    </row>
    <row r="261" ht="15.75" customHeight="1">
      <c r="AH261" s="37"/>
      <c r="AI261" s="37"/>
    </row>
    <row r="262" ht="15.75" customHeight="1">
      <c r="AH262" s="37"/>
      <c r="AI262" s="37"/>
    </row>
    <row r="263" ht="15.75" customHeight="1">
      <c r="AH263" s="37"/>
      <c r="AI263" s="37"/>
    </row>
    <row r="264" ht="15.75" customHeight="1">
      <c r="AH264" s="37"/>
      <c r="AI264" s="37"/>
    </row>
    <row r="265" ht="15.75" customHeight="1">
      <c r="AH265" s="37"/>
      <c r="AI265" s="37"/>
    </row>
    <row r="266" ht="15.75" customHeight="1">
      <c r="AH266" s="37"/>
      <c r="AI266" s="37"/>
    </row>
    <row r="267" ht="15.75" customHeight="1">
      <c r="AH267" s="37"/>
      <c r="AI267" s="37"/>
    </row>
    <row r="268" ht="15.75" customHeight="1">
      <c r="AH268" s="37"/>
      <c r="AI268" s="37"/>
    </row>
    <row r="269" ht="15.75" customHeight="1">
      <c r="AH269" s="37"/>
      <c r="AI269" s="37"/>
    </row>
    <row r="270" ht="15.75" customHeight="1">
      <c r="AH270" s="37"/>
      <c r="AI270" s="37"/>
    </row>
    <row r="271" ht="15.75" customHeight="1">
      <c r="AH271" s="37"/>
      <c r="AI271" s="37"/>
    </row>
    <row r="272" ht="15.75" customHeight="1">
      <c r="AH272" s="37"/>
      <c r="AI272" s="37"/>
    </row>
    <row r="273" ht="15.75" customHeight="1">
      <c r="AH273" s="37"/>
      <c r="AI273" s="37"/>
    </row>
    <row r="274" ht="15.75" customHeight="1">
      <c r="AH274" s="37"/>
      <c r="AI274" s="37"/>
    </row>
    <row r="275" ht="15.75" customHeight="1">
      <c r="AH275" s="37"/>
      <c r="AI275" s="37"/>
    </row>
    <row r="276" ht="15.75" customHeight="1">
      <c r="AH276" s="37"/>
      <c r="AI276" s="37"/>
    </row>
    <row r="277" ht="15.75" customHeight="1">
      <c r="AH277" s="37"/>
      <c r="AI277" s="37"/>
    </row>
    <row r="278" ht="15.75" customHeight="1">
      <c r="AH278" s="37"/>
      <c r="AI278" s="37"/>
    </row>
    <row r="279" ht="15.75" customHeight="1">
      <c r="AH279" s="37"/>
      <c r="AI279" s="37"/>
    </row>
    <row r="280" ht="15.75" customHeight="1">
      <c r="AH280" s="37"/>
      <c r="AI280" s="37"/>
    </row>
    <row r="281" ht="15.75" customHeight="1">
      <c r="AH281" s="37"/>
      <c r="AI281" s="37"/>
    </row>
    <row r="282" ht="15.75" customHeight="1">
      <c r="AH282" s="37"/>
      <c r="AI282" s="37"/>
    </row>
    <row r="283" ht="15.75" customHeight="1">
      <c r="AH283" s="37"/>
      <c r="AI283" s="37"/>
    </row>
    <row r="284" ht="15.75" customHeight="1">
      <c r="AH284" s="37"/>
      <c r="AI284" s="37"/>
    </row>
    <row r="285" ht="15.75" customHeight="1">
      <c r="AH285" s="37"/>
      <c r="AI285" s="37"/>
    </row>
    <row r="286" ht="15.75" customHeight="1">
      <c r="AH286" s="37"/>
      <c r="AI286" s="37"/>
    </row>
    <row r="287" ht="15.75" customHeight="1">
      <c r="AH287" s="37"/>
      <c r="AI287" s="37"/>
    </row>
    <row r="288" ht="15.75" customHeight="1">
      <c r="AH288" s="37"/>
      <c r="AI288" s="37"/>
    </row>
    <row r="289" ht="15.75" customHeight="1">
      <c r="AH289" s="37"/>
      <c r="AI289" s="37"/>
    </row>
    <row r="290" ht="15.75" customHeight="1">
      <c r="AH290" s="37"/>
      <c r="AI290" s="37"/>
    </row>
    <row r="291" ht="15.75" customHeight="1">
      <c r="AH291" s="37"/>
      <c r="AI291" s="37"/>
    </row>
    <row r="292" ht="15.75" customHeight="1">
      <c r="AH292" s="37"/>
      <c r="AI292" s="37"/>
    </row>
    <row r="293" ht="15.75" customHeight="1">
      <c r="AH293" s="37"/>
      <c r="AI293" s="37"/>
    </row>
    <row r="294" ht="15.75" customHeight="1">
      <c r="AH294" s="37"/>
      <c r="AI294" s="37"/>
    </row>
    <row r="295" ht="15.75" customHeight="1">
      <c r="AH295" s="37"/>
      <c r="AI295" s="37"/>
    </row>
    <row r="296" ht="15.75" customHeight="1">
      <c r="AH296" s="37"/>
      <c r="AI296" s="37"/>
    </row>
    <row r="297" ht="15.75" customHeight="1">
      <c r="AH297" s="37"/>
      <c r="AI297" s="37"/>
    </row>
    <row r="298" ht="15.75" customHeight="1">
      <c r="AH298" s="37"/>
      <c r="AI298" s="37"/>
    </row>
    <row r="299" ht="15.75" customHeight="1">
      <c r="AH299" s="37"/>
      <c r="AI299" s="37"/>
    </row>
    <row r="300" ht="15.75" customHeight="1">
      <c r="AH300" s="37"/>
      <c r="AI300" s="37"/>
    </row>
    <row r="301" ht="15.75" customHeight="1">
      <c r="AH301" s="37"/>
      <c r="AI301" s="37"/>
    </row>
    <row r="302" ht="15.75" customHeight="1">
      <c r="AH302" s="37"/>
      <c r="AI302" s="37"/>
    </row>
    <row r="303" ht="15.75" customHeight="1">
      <c r="AH303" s="37"/>
      <c r="AI303" s="37"/>
    </row>
    <row r="304" ht="15.75" customHeight="1">
      <c r="AH304" s="37"/>
      <c r="AI304" s="37"/>
    </row>
    <row r="305" ht="15.75" customHeight="1">
      <c r="AH305" s="37"/>
      <c r="AI305" s="37"/>
    </row>
    <row r="306" ht="15.75" customHeight="1">
      <c r="AH306" s="37"/>
      <c r="AI306" s="37"/>
    </row>
    <row r="307" ht="15.75" customHeight="1">
      <c r="AH307" s="37"/>
      <c r="AI307" s="37"/>
    </row>
    <row r="308" ht="15.75" customHeight="1">
      <c r="AH308" s="37"/>
      <c r="AI308" s="37"/>
    </row>
    <row r="309" ht="15.75" customHeight="1">
      <c r="AH309" s="37"/>
      <c r="AI309" s="37"/>
    </row>
    <row r="310" ht="15.75" customHeight="1">
      <c r="AH310" s="37"/>
      <c r="AI310" s="37"/>
    </row>
    <row r="311" ht="15.75" customHeight="1">
      <c r="AH311" s="37"/>
      <c r="AI311" s="37"/>
    </row>
    <row r="312" ht="15.75" customHeight="1">
      <c r="AH312" s="37"/>
      <c r="AI312" s="37"/>
    </row>
    <row r="313" ht="15.75" customHeight="1">
      <c r="AH313" s="37"/>
      <c r="AI313" s="37"/>
    </row>
    <row r="314" ht="15.75" customHeight="1">
      <c r="AH314" s="37"/>
      <c r="AI314" s="37"/>
    </row>
    <row r="315" ht="15.75" customHeight="1">
      <c r="AH315" s="37"/>
      <c r="AI315" s="37"/>
    </row>
    <row r="316" ht="15.75" customHeight="1">
      <c r="AH316" s="37"/>
      <c r="AI316" s="37"/>
    </row>
    <row r="317" ht="15.75" customHeight="1">
      <c r="AH317" s="37"/>
      <c r="AI317" s="37"/>
    </row>
    <row r="318" ht="15.75" customHeight="1">
      <c r="AH318" s="37"/>
      <c r="AI318" s="37"/>
    </row>
    <row r="319" ht="15.75" customHeight="1">
      <c r="AH319" s="37"/>
      <c r="AI319" s="37"/>
    </row>
    <row r="320" ht="15.75" customHeight="1">
      <c r="AH320" s="37"/>
      <c r="AI320" s="37"/>
    </row>
    <row r="321" ht="15.75" customHeight="1">
      <c r="AH321" s="37"/>
      <c r="AI321" s="37"/>
    </row>
    <row r="322" ht="15.75" customHeight="1">
      <c r="AH322" s="37"/>
      <c r="AI322" s="37"/>
    </row>
    <row r="323" ht="15.75" customHeight="1">
      <c r="AH323" s="37"/>
      <c r="AI323" s="37"/>
    </row>
    <row r="324" ht="15.75" customHeight="1">
      <c r="AH324" s="37"/>
      <c r="AI324" s="37"/>
    </row>
    <row r="325" ht="15.75" customHeight="1">
      <c r="AH325" s="37"/>
      <c r="AI325" s="37"/>
    </row>
    <row r="326" ht="15.75" customHeight="1">
      <c r="AH326" s="37"/>
      <c r="AI326" s="37"/>
    </row>
    <row r="327" ht="15.75" customHeight="1">
      <c r="AH327" s="37"/>
      <c r="AI327" s="37"/>
    </row>
    <row r="328" ht="15.75" customHeight="1">
      <c r="AH328" s="37"/>
      <c r="AI328" s="37"/>
    </row>
    <row r="329" ht="15.75" customHeight="1">
      <c r="AH329" s="37"/>
      <c r="AI329" s="37"/>
    </row>
    <row r="330" ht="15.75" customHeight="1">
      <c r="AH330" s="37"/>
      <c r="AI330" s="37"/>
    </row>
    <row r="331" ht="15.75" customHeight="1">
      <c r="AH331" s="37"/>
      <c r="AI331" s="37"/>
    </row>
    <row r="332" ht="15.75" customHeight="1">
      <c r="AH332" s="37"/>
      <c r="AI332" s="37"/>
    </row>
    <row r="333" ht="15.75" customHeight="1">
      <c r="AH333" s="37"/>
      <c r="AI333" s="37"/>
    </row>
    <row r="334" ht="15.75" customHeight="1">
      <c r="AH334" s="37"/>
      <c r="AI334" s="37"/>
    </row>
    <row r="335" ht="15.75" customHeight="1">
      <c r="AH335" s="37"/>
      <c r="AI335" s="37"/>
    </row>
    <row r="336" ht="15.75" customHeight="1">
      <c r="AH336" s="37"/>
      <c r="AI336" s="37"/>
    </row>
    <row r="337" ht="15.75" customHeight="1">
      <c r="AH337" s="37"/>
      <c r="AI337" s="37"/>
    </row>
    <row r="338" ht="15.75" customHeight="1">
      <c r="AH338" s="37"/>
      <c r="AI338" s="37"/>
    </row>
    <row r="339" ht="15.75" customHeight="1">
      <c r="AH339" s="37"/>
      <c r="AI339" s="37"/>
    </row>
    <row r="340" ht="15.75" customHeight="1">
      <c r="AH340" s="37"/>
      <c r="AI340" s="37"/>
    </row>
    <row r="341" ht="15.75" customHeight="1">
      <c r="AH341" s="37"/>
      <c r="AI341" s="37"/>
    </row>
    <row r="342" ht="15.75" customHeight="1">
      <c r="AH342" s="37"/>
      <c r="AI342" s="37"/>
    </row>
    <row r="343" ht="15.75" customHeight="1">
      <c r="AH343" s="37"/>
      <c r="AI343" s="37"/>
    </row>
    <row r="344" ht="15.75" customHeight="1">
      <c r="AH344" s="37"/>
      <c r="AI344" s="37"/>
    </row>
    <row r="345" ht="15.75" customHeight="1">
      <c r="AH345" s="37"/>
      <c r="AI345" s="37"/>
    </row>
    <row r="346" ht="15.75" customHeight="1">
      <c r="AH346" s="37"/>
      <c r="AI346" s="37"/>
    </row>
    <row r="347" ht="15.75" customHeight="1">
      <c r="AH347" s="37"/>
      <c r="AI347" s="37"/>
    </row>
    <row r="348" ht="15.75" customHeight="1">
      <c r="AH348" s="37"/>
      <c r="AI348" s="37"/>
    </row>
    <row r="349" ht="15.75" customHeight="1">
      <c r="AH349" s="37"/>
      <c r="AI349" s="37"/>
    </row>
    <row r="350" ht="15.75" customHeight="1">
      <c r="AH350" s="37"/>
      <c r="AI350" s="37"/>
    </row>
    <row r="351" ht="15.75" customHeight="1">
      <c r="AH351" s="37"/>
      <c r="AI351" s="37"/>
    </row>
    <row r="352" ht="15.75" customHeight="1">
      <c r="AH352" s="37"/>
      <c r="AI352" s="37"/>
    </row>
    <row r="353" ht="15.75" customHeight="1">
      <c r="AH353" s="37"/>
      <c r="AI353" s="37"/>
    </row>
    <row r="354" ht="15.75" customHeight="1">
      <c r="AH354" s="37"/>
      <c r="AI354" s="37"/>
    </row>
    <row r="355" ht="15.75" customHeight="1">
      <c r="AH355" s="37"/>
      <c r="AI355" s="37"/>
    </row>
    <row r="356" ht="15.75" customHeight="1">
      <c r="AH356" s="37"/>
      <c r="AI356" s="37"/>
    </row>
    <row r="357" ht="15.75" customHeight="1">
      <c r="AH357" s="37"/>
      <c r="AI357" s="37"/>
    </row>
    <row r="358" ht="15.75" customHeight="1">
      <c r="AH358" s="37"/>
      <c r="AI358" s="37"/>
    </row>
    <row r="359" ht="15.75" customHeight="1">
      <c r="AH359" s="37"/>
      <c r="AI359" s="37"/>
    </row>
    <row r="360" ht="15.75" customHeight="1">
      <c r="AH360" s="37"/>
      <c r="AI360" s="37"/>
    </row>
    <row r="361" ht="15.75" customHeight="1">
      <c r="AH361" s="37"/>
      <c r="AI361" s="37"/>
    </row>
    <row r="362" ht="15.75" customHeight="1">
      <c r="AH362" s="37"/>
      <c r="AI362" s="37"/>
    </row>
    <row r="363" ht="15.75" customHeight="1">
      <c r="AH363" s="37"/>
      <c r="AI363" s="37"/>
    </row>
    <row r="364" ht="15.75" customHeight="1">
      <c r="AH364" s="37"/>
      <c r="AI364" s="37"/>
    </row>
    <row r="365" ht="15.75" customHeight="1">
      <c r="AH365" s="37"/>
      <c r="AI365" s="37"/>
    </row>
    <row r="366" ht="15.75" customHeight="1">
      <c r="AH366" s="37"/>
      <c r="AI366" s="37"/>
    </row>
    <row r="367" ht="15.75" customHeight="1">
      <c r="AH367" s="37"/>
      <c r="AI367" s="37"/>
    </row>
    <row r="368" ht="15.75" customHeight="1">
      <c r="AH368" s="37"/>
      <c r="AI368" s="37"/>
    </row>
    <row r="369" ht="15.75" customHeight="1">
      <c r="AH369" s="37"/>
      <c r="AI369" s="37"/>
    </row>
    <row r="370" ht="15.75" customHeight="1">
      <c r="AH370" s="37"/>
      <c r="AI370" s="37"/>
    </row>
    <row r="371" ht="15.75" customHeight="1">
      <c r="AH371" s="37"/>
      <c r="AI371" s="37"/>
    </row>
    <row r="372" ht="15.75" customHeight="1">
      <c r="AH372" s="37"/>
      <c r="AI372" s="37"/>
    </row>
    <row r="373" ht="15.75" customHeight="1">
      <c r="AH373" s="37"/>
      <c r="AI373" s="37"/>
    </row>
    <row r="374" ht="15.75" customHeight="1">
      <c r="AH374" s="37"/>
      <c r="AI374" s="37"/>
    </row>
    <row r="375" ht="15.75" customHeight="1">
      <c r="AH375" s="37"/>
      <c r="AI375" s="37"/>
    </row>
    <row r="376" ht="15.75" customHeight="1">
      <c r="AH376" s="37"/>
      <c r="AI376" s="37"/>
    </row>
    <row r="377" ht="15.75" customHeight="1">
      <c r="AH377" s="37"/>
      <c r="AI377" s="37"/>
    </row>
    <row r="378" ht="15.75" customHeight="1">
      <c r="AH378" s="37"/>
      <c r="AI378" s="37"/>
    </row>
    <row r="379" ht="15.75" customHeight="1">
      <c r="AH379" s="37"/>
      <c r="AI379" s="37"/>
    </row>
    <row r="380" ht="15.75" customHeight="1">
      <c r="AH380" s="37"/>
      <c r="AI380" s="37"/>
    </row>
    <row r="381" ht="15.75" customHeight="1">
      <c r="AH381" s="37"/>
      <c r="AI381" s="37"/>
    </row>
    <row r="382" ht="15.75" customHeight="1">
      <c r="AH382" s="37"/>
      <c r="AI382" s="37"/>
    </row>
    <row r="383" ht="15.75" customHeight="1">
      <c r="AH383" s="37"/>
      <c r="AI383" s="37"/>
    </row>
    <row r="384" ht="15.75" customHeight="1">
      <c r="AH384" s="37"/>
      <c r="AI384" s="37"/>
    </row>
    <row r="385" ht="15.75" customHeight="1">
      <c r="AH385" s="37"/>
      <c r="AI385" s="37"/>
    </row>
    <row r="386" ht="15.75" customHeight="1">
      <c r="AH386" s="37"/>
      <c r="AI386" s="37"/>
    </row>
    <row r="387" ht="15.75" customHeight="1">
      <c r="AH387" s="37"/>
      <c r="AI387" s="37"/>
    </row>
    <row r="388" ht="15.75" customHeight="1">
      <c r="AH388" s="37"/>
      <c r="AI388" s="37"/>
    </row>
    <row r="389" ht="15.75" customHeight="1">
      <c r="AH389" s="37"/>
      <c r="AI389" s="37"/>
    </row>
    <row r="390" ht="15.75" customHeight="1">
      <c r="AH390" s="37"/>
      <c r="AI390" s="37"/>
    </row>
    <row r="391" ht="15.75" customHeight="1">
      <c r="AH391" s="37"/>
      <c r="AI391" s="37"/>
    </row>
    <row r="392" ht="15.75" customHeight="1">
      <c r="AH392" s="37"/>
      <c r="AI392" s="37"/>
    </row>
    <row r="393" ht="15.75" customHeight="1">
      <c r="AH393" s="37"/>
      <c r="AI393" s="37"/>
    </row>
    <row r="394" ht="15.75" customHeight="1">
      <c r="AH394" s="37"/>
      <c r="AI394" s="37"/>
    </row>
    <row r="395" ht="15.75" customHeight="1">
      <c r="AH395" s="37"/>
      <c r="AI395" s="37"/>
    </row>
    <row r="396" ht="15.75" customHeight="1">
      <c r="AH396" s="37"/>
      <c r="AI396" s="37"/>
    </row>
    <row r="397" ht="15.75" customHeight="1">
      <c r="AH397" s="37"/>
      <c r="AI397" s="37"/>
    </row>
    <row r="398" ht="15.75" customHeight="1">
      <c r="AH398" s="37"/>
      <c r="AI398" s="37"/>
    </row>
    <row r="399" ht="15.75" customHeight="1">
      <c r="AH399" s="37"/>
      <c r="AI399" s="37"/>
    </row>
    <row r="400" ht="15.75" customHeight="1">
      <c r="AH400" s="37"/>
      <c r="AI400" s="37"/>
    </row>
    <row r="401" ht="15.75" customHeight="1">
      <c r="AH401" s="37"/>
      <c r="AI401" s="37"/>
    </row>
    <row r="402" ht="15.75" customHeight="1">
      <c r="AH402" s="37"/>
      <c r="AI402" s="37"/>
    </row>
    <row r="403" ht="15.75" customHeight="1">
      <c r="AH403" s="37"/>
      <c r="AI403" s="37"/>
    </row>
    <row r="404" ht="15.75" customHeight="1">
      <c r="AH404" s="37"/>
      <c r="AI404" s="37"/>
    </row>
    <row r="405" ht="15.75" customHeight="1">
      <c r="AH405" s="37"/>
      <c r="AI405" s="37"/>
    </row>
    <row r="406" ht="15.75" customHeight="1">
      <c r="AH406" s="37"/>
      <c r="AI406" s="37"/>
    </row>
    <row r="407" ht="15.75" customHeight="1">
      <c r="AH407" s="37"/>
      <c r="AI407" s="37"/>
    </row>
    <row r="408" ht="15.75" customHeight="1">
      <c r="AH408" s="37"/>
      <c r="AI408" s="37"/>
    </row>
    <row r="409" ht="15.75" customHeight="1">
      <c r="AH409" s="37"/>
      <c r="AI409" s="37"/>
    </row>
    <row r="410" ht="15.75" customHeight="1">
      <c r="AH410" s="37"/>
      <c r="AI410" s="37"/>
    </row>
    <row r="411" ht="15.75" customHeight="1">
      <c r="AH411" s="37"/>
      <c r="AI411" s="37"/>
    </row>
    <row r="412" ht="15.75" customHeight="1">
      <c r="AH412" s="37"/>
      <c r="AI412" s="37"/>
    </row>
    <row r="413" ht="15.75" customHeight="1">
      <c r="AH413" s="37"/>
      <c r="AI413" s="37"/>
    </row>
    <row r="414" ht="15.75" customHeight="1">
      <c r="AH414" s="37"/>
      <c r="AI414" s="37"/>
    </row>
    <row r="415" ht="15.75" customHeight="1">
      <c r="AH415" s="37"/>
      <c r="AI415" s="37"/>
    </row>
    <row r="416" ht="15.75" customHeight="1">
      <c r="AH416" s="37"/>
      <c r="AI416" s="37"/>
    </row>
    <row r="417" ht="15.75" customHeight="1">
      <c r="AH417" s="37"/>
      <c r="AI417" s="37"/>
    </row>
    <row r="418" ht="15.75" customHeight="1">
      <c r="AH418" s="37"/>
      <c r="AI418" s="37"/>
    </row>
    <row r="419" ht="15.75" customHeight="1">
      <c r="AH419" s="37"/>
      <c r="AI419" s="37"/>
    </row>
    <row r="420" ht="15.75" customHeight="1">
      <c r="AH420" s="37"/>
      <c r="AI420" s="37"/>
    </row>
    <row r="421" ht="15.75" customHeight="1">
      <c r="AH421" s="37"/>
      <c r="AI421" s="37"/>
    </row>
    <row r="422" ht="15.75" customHeight="1">
      <c r="AH422" s="37"/>
      <c r="AI422" s="37"/>
    </row>
    <row r="423" ht="15.75" customHeight="1">
      <c r="AH423" s="37"/>
      <c r="AI423" s="37"/>
    </row>
    <row r="424" ht="15.75" customHeight="1">
      <c r="AH424" s="37"/>
      <c r="AI424" s="37"/>
    </row>
    <row r="425" ht="15.75" customHeight="1">
      <c r="AH425" s="37"/>
      <c r="AI425" s="37"/>
    </row>
    <row r="426" ht="15.75" customHeight="1">
      <c r="AH426" s="37"/>
      <c r="AI426" s="37"/>
    </row>
    <row r="427" ht="15.75" customHeight="1">
      <c r="AH427" s="37"/>
      <c r="AI427" s="37"/>
    </row>
    <row r="428" ht="15.75" customHeight="1">
      <c r="AH428" s="37"/>
      <c r="AI428" s="37"/>
    </row>
    <row r="429" ht="15.75" customHeight="1">
      <c r="AH429" s="37"/>
      <c r="AI429" s="37"/>
    </row>
    <row r="430" ht="15.75" customHeight="1">
      <c r="AH430" s="37"/>
      <c r="AI430" s="37"/>
    </row>
    <row r="431" ht="15.75" customHeight="1">
      <c r="AH431" s="37"/>
      <c r="AI431" s="37"/>
    </row>
    <row r="432" ht="15.75" customHeight="1">
      <c r="AH432" s="37"/>
      <c r="AI432" s="37"/>
    </row>
    <row r="433" ht="15.75" customHeight="1">
      <c r="AH433" s="37"/>
      <c r="AI433" s="37"/>
    </row>
    <row r="434" ht="15.75" customHeight="1">
      <c r="AH434" s="37"/>
      <c r="AI434" s="37"/>
    </row>
    <row r="435" ht="15.75" customHeight="1">
      <c r="AH435" s="37"/>
      <c r="AI435" s="37"/>
    </row>
    <row r="436" ht="15.75" customHeight="1">
      <c r="AH436" s="37"/>
      <c r="AI436" s="37"/>
    </row>
    <row r="437" ht="15.75" customHeight="1">
      <c r="AH437" s="37"/>
      <c r="AI437" s="37"/>
    </row>
    <row r="438" ht="15.75" customHeight="1">
      <c r="AH438" s="37"/>
      <c r="AI438" s="37"/>
    </row>
    <row r="439" ht="15.75" customHeight="1">
      <c r="AH439" s="37"/>
      <c r="AI439" s="37"/>
    </row>
    <row r="440" ht="15.75" customHeight="1">
      <c r="AH440" s="37"/>
      <c r="AI440" s="37"/>
    </row>
    <row r="441" ht="15.75" customHeight="1">
      <c r="AH441" s="37"/>
      <c r="AI441" s="37"/>
    </row>
    <row r="442" ht="15.75" customHeight="1">
      <c r="AH442" s="37"/>
      <c r="AI442" s="37"/>
    </row>
    <row r="443" ht="15.75" customHeight="1">
      <c r="AH443" s="37"/>
      <c r="AI443" s="37"/>
    </row>
    <row r="444" ht="15.75" customHeight="1">
      <c r="AH444" s="37"/>
      <c r="AI444" s="37"/>
    </row>
    <row r="445" ht="15.75" customHeight="1">
      <c r="AH445" s="37"/>
      <c r="AI445" s="37"/>
    </row>
    <row r="446" ht="15.75" customHeight="1">
      <c r="AH446" s="37"/>
      <c r="AI446" s="37"/>
    </row>
    <row r="447" ht="15.75" customHeight="1">
      <c r="AH447" s="37"/>
      <c r="AI447" s="37"/>
    </row>
    <row r="448" ht="15.75" customHeight="1">
      <c r="AH448" s="37"/>
      <c r="AI448" s="37"/>
    </row>
    <row r="449" ht="15.75" customHeight="1">
      <c r="AH449" s="37"/>
      <c r="AI449" s="37"/>
    </row>
    <row r="450" ht="15.75" customHeight="1">
      <c r="AH450" s="37"/>
      <c r="AI450" s="37"/>
    </row>
    <row r="451" ht="15.75" customHeight="1">
      <c r="AH451" s="37"/>
      <c r="AI451" s="37"/>
    </row>
    <row r="452" ht="15.75" customHeight="1">
      <c r="AH452" s="37"/>
      <c r="AI452" s="37"/>
    </row>
    <row r="453" ht="15.75" customHeight="1">
      <c r="AH453" s="37"/>
      <c r="AI453" s="37"/>
    </row>
    <row r="454" ht="15.75" customHeight="1">
      <c r="AH454" s="37"/>
      <c r="AI454" s="37"/>
    </row>
    <row r="455" ht="15.75" customHeight="1">
      <c r="AH455" s="37"/>
      <c r="AI455" s="37"/>
    </row>
    <row r="456" ht="15.75" customHeight="1">
      <c r="AH456" s="37"/>
      <c r="AI456" s="37"/>
    </row>
    <row r="457" ht="15.75" customHeight="1">
      <c r="AH457" s="37"/>
      <c r="AI457" s="37"/>
    </row>
    <row r="458" ht="15.75" customHeight="1">
      <c r="AH458" s="37"/>
      <c r="AI458" s="37"/>
    </row>
    <row r="459" ht="15.75" customHeight="1">
      <c r="AH459" s="37"/>
      <c r="AI459" s="37"/>
    </row>
    <row r="460" ht="15.75" customHeight="1">
      <c r="AH460" s="37"/>
      <c r="AI460" s="37"/>
    </row>
    <row r="461" ht="15.75" customHeight="1">
      <c r="AH461" s="37"/>
      <c r="AI461" s="37"/>
    </row>
    <row r="462" ht="15.75" customHeight="1">
      <c r="AH462" s="37"/>
      <c r="AI462" s="37"/>
    </row>
    <row r="463" ht="15.75" customHeight="1">
      <c r="AH463" s="37"/>
      <c r="AI463" s="37"/>
    </row>
    <row r="464" ht="15.75" customHeight="1">
      <c r="AH464" s="37"/>
      <c r="AI464" s="37"/>
    </row>
    <row r="465" ht="15.75" customHeight="1">
      <c r="AH465" s="37"/>
      <c r="AI465" s="37"/>
    </row>
    <row r="466" ht="15.75" customHeight="1">
      <c r="AH466" s="37"/>
      <c r="AI466" s="37"/>
    </row>
    <row r="467" ht="15.75" customHeight="1">
      <c r="AH467" s="37"/>
      <c r="AI467" s="37"/>
    </row>
    <row r="468" ht="15.75" customHeight="1">
      <c r="AH468" s="37"/>
      <c r="AI468" s="37"/>
    </row>
    <row r="469" ht="15.75" customHeight="1">
      <c r="AH469" s="37"/>
      <c r="AI469" s="37"/>
    </row>
    <row r="470" ht="15.75" customHeight="1">
      <c r="AH470" s="37"/>
      <c r="AI470" s="37"/>
    </row>
    <row r="471" ht="15.75" customHeight="1">
      <c r="AH471" s="37"/>
      <c r="AI471" s="37"/>
    </row>
    <row r="472" ht="15.75" customHeight="1">
      <c r="AH472" s="37"/>
      <c r="AI472" s="37"/>
    </row>
    <row r="473" ht="15.75" customHeight="1">
      <c r="AH473" s="37"/>
      <c r="AI473" s="37"/>
    </row>
    <row r="474" ht="15.75" customHeight="1">
      <c r="AH474" s="37"/>
      <c r="AI474" s="37"/>
    </row>
    <row r="475" ht="15.75" customHeight="1">
      <c r="AH475" s="37"/>
      <c r="AI475" s="37"/>
    </row>
    <row r="476" ht="15.75" customHeight="1">
      <c r="AH476" s="37"/>
      <c r="AI476" s="37"/>
    </row>
    <row r="477" ht="15.75" customHeight="1">
      <c r="AH477" s="37"/>
      <c r="AI477" s="37"/>
    </row>
    <row r="478" ht="15.75" customHeight="1">
      <c r="AH478" s="37"/>
      <c r="AI478" s="37"/>
    </row>
    <row r="479" ht="15.75" customHeight="1">
      <c r="AH479" s="37"/>
      <c r="AI479" s="37"/>
    </row>
    <row r="480" ht="15.75" customHeight="1">
      <c r="AH480" s="37"/>
      <c r="AI480" s="37"/>
    </row>
    <row r="481" ht="15.75" customHeight="1">
      <c r="AH481" s="37"/>
      <c r="AI481" s="37"/>
    </row>
    <row r="482" ht="15.75" customHeight="1">
      <c r="AH482" s="37"/>
      <c r="AI482" s="37"/>
    </row>
    <row r="483" ht="15.75" customHeight="1">
      <c r="AH483" s="37"/>
      <c r="AI483" s="37"/>
    </row>
    <row r="484" ht="15.75" customHeight="1">
      <c r="AH484" s="37"/>
      <c r="AI484" s="37"/>
    </row>
    <row r="485" ht="15.75" customHeight="1">
      <c r="AH485" s="37"/>
      <c r="AI485" s="37"/>
    </row>
    <row r="486" ht="15.75" customHeight="1">
      <c r="AH486" s="37"/>
      <c r="AI486" s="37"/>
    </row>
    <row r="487" ht="15.75" customHeight="1">
      <c r="AH487" s="37"/>
      <c r="AI487" s="37"/>
    </row>
    <row r="488" ht="15.75" customHeight="1">
      <c r="AH488" s="37"/>
      <c r="AI488" s="37"/>
    </row>
    <row r="489" ht="15.75" customHeight="1">
      <c r="AH489" s="37"/>
      <c r="AI489" s="37"/>
    </row>
    <row r="490" ht="15.75" customHeight="1">
      <c r="AH490" s="37"/>
      <c r="AI490" s="37"/>
    </row>
    <row r="491" ht="15.75" customHeight="1">
      <c r="AH491" s="37"/>
      <c r="AI491" s="37"/>
    </row>
    <row r="492" ht="15.75" customHeight="1">
      <c r="AH492" s="37"/>
      <c r="AI492" s="37"/>
    </row>
    <row r="493" ht="15.75" customHeight="1">
      <c r="AH493" s="37"/>
      <c r="AI493" s="37"/>
    </row>
    <row r="494" ht="15.75" customHeight="1">
      <c r="AH494" s="37"/>
      <c r="AI494" s="37"/>
    </row>
    <row r="495" ht="15.75" customHeight="1">
      <c r="AH495" s="37"/>
      <c r="AI495" s="37"/>
    </row>
    <row r="496" ht="15.75" customHeight="1">
      <c r="AH496" s="37"/>
      <c r="AI496" s="37"/>
    </row>
    <row r="497" ht="15.75" customHeight="1">
      <c r="AH497" s="37"/>
      <c r="AI497" s="37"/>
    </row>
    <row r="498" ht="15.75" customHeight="1">
      <c r="AH498" s="37"/>
      <c r="AI498" s="37"/>
    </row>
    <row r="499" ht="15.75" customHeight="1">
      <c r="AH499" s="37"/>
      <c r="AI499" s="37"/>
    </row>
    <row r="500" ht="15.75" customHeight="1">
      <c r="AH500" s="37"/>
      <c r="AI500" s="37"/>
    </row>
    <row r="501" ht="15.75" customHeight="1">
      <c r="AH501" s="37"/>
      <c r="AI501" s="37"/>
    </row>
    <row r="502" ht="15.75" customHeight="1">
      <c r="AH502" s="37"/>
      <c r="AI502" s="37"/>
    </row>
    <row r="503" ht="15.75" customHeight="1">
      <c r="AH503" s="37"/>
      <c r="AI503" s="37"/>
    </row>
    <row r="504" ht="15.75" customHeight="1">
      <c r="AH504" s="37"/>
      <c r="AI504" s="37"/>
    </row>
    <row r="505" ht="15.75" customHeight="1">
      <c r="AH505" s="37"/>
      <c r="AI505" s="37"/>
    </row>
    <row r="506" ht="15.75" customHeight="1">
      <c r="AH506" s="37"/>
      <c r="AI506" s="37"/>
    </row>
    <row r="507" ht="15.75" customHeight="1">
      <c r="AH507" s="37"/>
      <c r="AI507" s="37"/>
    </row>
    <row r="508" ht="15.75" customHeight="1">
      <c r="AH508" s="37"/>
      <c r="AI508" s="37"/>
    </row>
    <row r="509" ht="15.75" customHeight="1">
      <c r="AH509" s="37"/>
      <c r="AI509" s="37"/>
    </row>
    <row r="510" ht="15.75" customHeight="1">
      <c r="AH510" s="37"/>
      <c r="AI510" s="37"/>
    </row>
    <row r="511" ht="15.75" customHeight="1">
      <c r="AH511" s="37"/>
      <c r="AI511" s="37"/>
    </row>
    <row r="512" ht="15.75" customHeight="1">
      <c r="AH512" s="37"/>
      <c r="AI512" s="37"/>
    </row>
    <row r="513" ht="15.75" customHeight="1">
      <c r="AH513" s="37"/>
      <c r="AI513" s="37"/>
    </row>
    <row r="514" ht="15.75" customHeight="1">
      <c r="AH514" s="37"/>
      <c r="AI514" s="37"/>
    </row>
    <row r="515" ht="15.75" customHeight="1">
      <c r="AH515" s="37"/>
      <c r="AI515" s="37"/>
    </row>
    <row r="516" ht="15.75" customHeight="1">
      <c r="AH516" s="37"/>
      <c r="AI516" s="37"/>
    </row>
    <row r="517" ht="15.75" customHeight="1">
      <c r="AH517" s="37"/>
      <c r="AI517" s="37"/>
    </row>
    <row r="518" ht="15.75" customHeight="1">
      <c r="AH518" s="37"/>
      <c r="AI518" s="37"/>
    </row>
    <row r="519" ht="15.75" customHeight="1">
      <c r="AH519" s="37"/>
      <c r="AI519" s="37"/>
    </row>
    <row r="520" ht="15.75" customHeight="1">
      <c r="AH520" s="37"/>
      <c r="AI520" s="37"/>
    </row>
    <row r="521" ht="15.75" customHeight="1">
      <c r="AH521" s="37"/>
      <c r="AI521" s="37"/>
    </row>
    <row r="522" ht="15.75" customHeight="1">
      <c r="AH522" s="37"/>
      <c r="AI522" s="37"/>
    </row>
    <row r="523" ht="15.75" customHeight="1">
      <c r="AH523" s="37"/>
      <c r="AI523" s="37"/>
    </row>
    <row r="524" ht="15.75" customHeight="1">
      <c r="AH524" s="37"/>
      <c r="AI524" s="37"/>
    </row>
    <row r="525" ht="15.75" customHeight="1">
      <c r="AH525" s="37"/>
      <c r="AI525" s="37"/>
    </row>
    <row r="526" ht="15.75" customHeight="1">
      <c r="AH526" s="37"/>
      <c r="AI526" s="37"/>
    </row>
    <row r="527" ht="15.75" customHeight="1">
      <c r="AH527" s="37"/>
      <c r="AI527" s="37"/>
    </row>
    <row r="528" ht="15.75" customHeight="1">
      <c r="AH528" s="37"/>
      <c r="AI528" s="37"/>
    </row>
    <row r="529" ht="15.75" customHeight="1">
      <c r="AH529" s="37"/>
      <c r="AI529" s="37"/>
    </row>
    <row r="530" ht="15.75" customHeight="1">
      <c r="AH530" s="37"/>
      <c r="AI530" s="37"/>
    </row>
    <row r="531" ht="15.75" customHeight="1">
      <c r="AH531" s="37"/>
      <c r="AI531" s="37"/>
    </row>
    <row r="532" ht="15.75" customHeight="1">
      <c r="AH532" s="37"/>
      <c r="AI532" s="37"/>
    </row>
    <row r="533" ht="15.75" customHeight="1">
      <c r="AH533" s="37"/>
      <c r="AI533" s="37"/>
    </row>
    <row r="534" ht="15.75" customHeight="1">
      <c r="AH534" s="37"/>
      <c r="AI534" s="37"/>
    </row>
    <row r="535" ht="15.75" customHeight="1">
      <c r="AH535" s="37"/>
      <c r="AI535" s="37"/>
    </row>
    <row r="536" ht="15.75" customHeight="1">
      <c r="AH536" s="37"/>
      <c r="AI536" s="37"/>
    </row>
    <row r="537" ht="15.75" customHeight="1">
      <c r="AH537" s="37"/>
      <c r="AI537" s="37"/>
    </row>
    <row r="538" ht="15.75" customHeight="1">
      <c r="AH538" s="37"/>
      <c r="AI538" s="37"/>
    </row>
    <row r="539" ht="15.75" customHeight="1">
      <c r="AH539" s="37"/>
      <c r="AI539" s="37"/>
    </row>
    <row r="540" ht="15.75" customHeight="1">
      <c r="AH540" s="37"/>
      <c r="AI540" s="37"/>
    </row>
    <row r="541" ht="15.75" customHeight="1">
      <c r="AH541" s="37"/>
      <c r="AI541" s="37"/>
    </row>
    <row r="542" ht="15.75" customHeight="1">
      <c r="AH542" s="37"/>
      <c r="AI542" s="37"/>
    </row>
    <row r="543" ht="15.75" customHeight="1">
      <c r="AH543" s="37"/>
      <c r="AI543" s="37"/>
    </row>
    <row r="544" ht="15.75" customHeight="1">
      <c r="AH544" s="37"/>
      <c r="AI544" s="37"/>
    </row>
    <row r="545" ht="15.75" customHeight="1">
      <c r="AH545" s="37"/>
      <c r="AI545" s="37"/>
    </row>
    <row r="546" ht="15.75" customHeight="1">
      <c r="AH546" s="37"/>
      <c r="AI546" s="37"/>
    </row>
    <row r="547" ht="15.75" customHeight="1">
      <c r="AH547" s="37"/>
      <c r="AI547" s="37"/>
    </row>
    <row r="548" ht="15.75" customHeight="1">
      <c r="AH548" s="37"/>
      <c r="AI548" s="37"/>
    </row>
    <row r="549" ht="15.75" customHeight="1">
      <c r="AH549" s="37"/>
      <c r="AI549" s="37"/>
    </row>
    <row r="550" ht="15.75" customHeight="1">
      <c r="AH550" s="37"/>
      <c r="AI550" s="37"/>
    </row>
    <row r="551" ht="15.75" customHeight="1">
      <c r="AH551" s="37"/>
      <c r="AI551" s="37"/>
    </row>
    <row r="552" ht="15.75" customHeight="1">
      <c r="AH552" s="37"/>
      <c r="AI552" s="37"/>
    </row>
    <row r="553" ht="15.75" customHeight="1">
      <c r="AH553" s="37"/>
      <c r="AI553" s="37"/>
    </row>
    <row r="554" ht="15.75" customHeight="1">
      <c r="AH554" s="37"/>
      <c r="AI554" s="37"/>
    </row>
    <row r="555" ht="15.75" customHeight="1">
      <c r="AH555" s="37"/>
      <c r="AI555" s="37"/>
    </row>
    <row r="556" ht="15.75" customHeight="1">
      <c r="AH556" s="37"/>
      <c r="AI556" s="37"/>
    </row>
    <row r="557" ht="15.75" customHeight="1">
      <c r="AH557" s="37"/>
      <c r="AI557" s="37"/>
    </row>
    <row r="558" ht="15.75" customHeight="1">
      <c r="AH558" s="37"/>
      <c r="AI558" s="37"/>
    </row>
    <row r="559" ht="15.75" customHeight="1">
      <c r="AH559" s="37"/>
      <c r="AI559" s="37"/>
    </row>
    <row r="560" ht="15.75" customHeight="1">
      <c r="AH560" s="37"/>
      <c r="AI560" s="37"/>
    </row>
    <row r="561" ht="15.75" customHeight="1">
      <c r="AH561" s="37"/>
      <c r="AI561" s="37"/>
    </row>
    <row r="562" ht="15.75" customHeight="1">
      <c r="AH562" s="37"/>
      <c r="AI562" s="37"/>
    </row>
    <row r="563" ht="15.75" customHeight="1">
      <c r="AH563" s="37"/>
      <c r="AI563" s="37"/>
    </row>
    <row r="564" ht="15.75" customHeight="1">
      <c r="AH564" s="37"/>
      <c r="AI564" s="37"/>
    </row>
    <row r="565" ht="15.75" customHeight="1">
      <c r="AH565" s="37"/>
      <c r="AI565" s="37"/>
    </row>
    <row r="566" ht="15.75" customHeight="1">
      <c r="AH566" s="37"/>
      <c r="AI566" s="37"/>
    </row>
    <row r="567" ht="15.75" customHeight="1">
      <c r="AH567" s="37"/>
      <c r="AI567" s="37"/>
    </row>
    <row r="568" ht="15.75" customHeight="1">
      <c r="AH568" s="37"/>
      <c r="AI568" s="37"/>
    </row>
    <row r="569" ht="15.75" customHeight="1">
      <c r="AH569" s="37"/>
      <c r="AI569" s="37"/>
    </row>
    <row r="570" ht="15.75" customHeight="1">
      <c r="AH570" s="37"/>
      <c r="AI570" s="37"/>
    </row>
    <row r="571" ht="15.75" customHeight="1">
      <c r="AH571" s="37"/>
      <c r="AI571" s="37"/>
    </row>
    <row r="572" ht="15.75" customHeight="1">
      <c r="AH572" s="37"/>
      <c r="AI572" s="37"/>
    </row>
    <row r="573" ht="15.75" customHeight="1">
      <c r="AH573" s="37"/>
      <c r="AI573" s="37"/>
    </row>
    <row r="574" ht="15.75" customHeight="1">
      <c r="AH574" s="37"/>
      <c r="AI574" s="37"/>
    </row>
    <row r="575" ht="15.75" customHeight="1">
      <c r="AH575" s="37"/>
      <c r="AI575" s="37"/>
    </row>
    <row r="576" ht="15.75" customHeight="1">
      <c r="AH576" s="37"/>
      <c r="AI576" s="37"/>
    </row>
    <row r="577" ht="15.75" customHeight="1">
      <c r="AH577" s="37"/>
      <c r="AI577" s="37"/>
    </row>
    <row r="578" ht="15.75" customHeight="1">
      <c r="AH578" s="37"/>
      <c r="AI578" s="37"/>
    </row>
    <row r="579" ht="15.75" customHeight="1">
      <c r="AH579" s="37"/>
      <c r="AI579" s="37"/>
    </row>
    <row r="580" ht="15.75" customHeight="1">
      <c r="AH580" s="37"/>
      <c r="AI580" s="37"/>
    </row>
    <row r="581" ht="15.75" customHeight="1">
      <c r="AH581" s="37"/>
      <c r="AI581" s="37"/>
    </row>
    <row r="582" ht="15.75" customHeight="1">
      <c r="AH582" s="37"/>
      <c r="AI582" s="37"/>
    </row>
    <row r="583" ht="15.75" customHeight="1">
      <c r="AH583" s="37"/>
      <c r="AI583" s="37"/>
    </row>
    <row r="584" ht="15.75" customHeight="1">
      <c r="AH584" s="37"/>
      <c r="AI584" s="37"/>
    </row>
    <row r="585" ht="15.75" customHeight="1">
      <c r="AH585" s="37"/>
      <c r="AI585" s="37"/>
    </row>
    <row r="586" ht="15.75" customHeight="1">
      <c r="AH586" s="37"/>
      <c r="AI586" s="37"/>
    </row>
    <row r="587" ht="15.75" customHeight="1">
      <c r="AH587" s="37"/>
      <c r="AI587" s="37"/>
    </row>
    <row r="588" ht="15.75" customHeight="1">
      <c r="AH588" s="37"/>
      <c r="AI588" s="37"/>
    </row>
    <row r="589" ht="15.75" customHeight="1">
      <c r="AH589" s="37"/>
      <c r="AI589" s="37"/>
    </row>
    <row r="590" ht="15.75" customHeight="1">
      <c r="AH590" s="37"/>
      <c r="AI590" s="37"/>
    </row>
    <row r="591" ht="15.75" customHeight="1">
      <c r="AH591" s="37"/>
      <c r="AI591" s="37"/>
    </row>
    <row r="592" ht="15.75" customHeight="1">
      <c r="AH592" s="37"/>
      <c r="AI592" s="37"/>
    </row>
    <row r="593" ht="15.75" customHeight="1">
      <c r="AH593" s="37"/>
      <c r="AI593" s="37"/>
    </row>
    <row r="594" ht="15.75" customHeight="1">
      <c r="AH594" s="37"/>
      <c r="AI594" s="37"/>
    </row>
    <row r="595" ht="15.75" customHeight="1">
      <c r="AH595" s="37"/>
      <c r="AI595" s="37"/>
    </row>
    <row r="596" ht="15.75" customHeight="1">
      <c r="AH596" s="37"/>
      <c r="AI596" s="37"/>
    </row>
    <row r="597" ht="15.75" customHeight="1">
      <c r="AH597" s="37"/>
      <c r="AI597" s="37"/>
    </row>
    <row r="598" ht="15.75" customHeight="1">
      <c r="AH598" s="37"/>
      <c r="AI598" s="37"/>
    </row>
    <row r="599" ht="15.75" customHeight="1">
      <c r="AH599" s="37"/>
      <c r="AI599" s="37"/>
    </row>
    <row r="600" ht="15.75" customHeight="1">
      <c r="AH600" s="37"/>
      <c r="AI600" s="37"/>
    </row>
    <row r="601" ht="15.75" customHeight="1">
      <c r="AH601" s="37"/>
      <c r="AI601" s="37"/>
    </row>
    <row r="602" ht="15.75" customHeight="1">
      <c r="AH602" s="37"/>
      <c r="AI602" s="37"/>
    </row>
    <row r="603" ht="15.75" customHeight="1">
      <c r="AH603" s="37"/>
      <c r="AI603" s="37"/>
    </row>
    <row r="604" ht="15.75" customHeight="1">
      <c r="AH604" s="37"/>
      <c r="AI604" s="37"/>
    </row>
    <row r="605" ht="15.75" customHeight="1">
      <c r="AH605" s="37"/>
      <c r="AI605" s="37"/>
    </row>
    <row r="606" ht="15.75" customHeight="1">
      <c r="AH606" s="37"/>
      <c r="AI606" s="37"/>
    </row>
    <row r="607" ht="15.75" customHeight="1">
      <c r="AH607" s="37"/>
      <c r="AI607" s="37"/>
    </row>
    <row r="608" ht="15.75" customHeight="1">
      <c r="AH608" s="37"/>
      <c r="AI608" s="37"/>
    </row>
    <row r="609" ht="15.75" customHeight="1">
      <c r="AH609" s="37"/>
      <c r="AI609" s="37"/>
    </row>
    <row r="610" ht="15.75" customHeight="1">
      <c r="AH610" s="37"/>
      <c r="AI610" s="37"/>
    </row>
    <row r="611" ht="15.75" customHeight="1">
      <c r="AH611" s="37"/>
      <c r="AI611" s="37"/>
    </row>
    <row r="612" ht="15.75" customHeight="1">
      <c r="AH612" s="37"/>
      <c r="AI612" s="37"/>
    </row>
    <row r="613" ht="15.75" customHeight="1">
      <c r="AH613" s="37"/>
      <c r="AI613" s="37"/>
    </row>
    <row r="614" ht="15.75" customHeight="1">
      <c r="AH614" s="37"/>
      <c r="AI614" s="37"/>
    </row>
    <row r="615" ht="15.75" customHeight="1">
      <c r="AH615" s="37"/>
      <c r="AI615" s="37"/>
    </row>
    <row r="616" ht="15.75" customHeight="1">
      <c r="AH616" s="37"/>
      <c r="AI616" s="37"/>
    </row>
    <row r="617" ht="15.75" customHeight="1">
      <c r="AH617" s="37"/>
      <c r="AI617" s="37"/>
    </row>
    <row r="618" ht="15.75" customHeight="1">
      <c r="AH618" s="37"/>
      <c r="AI618" s="37"/>
    </row>
    <row r="619" ht="15.75" customHeight="1">
      <c r="AH619" s="37"/>
      <c r="AI619" s="37"/>
    </row>
    <row r="620" ht="15.75" customHeight="1">
      <c r="AH620" s="37"/>
      <c r="AI620" s="37"/>
    </row>
    <row r="621" ht="15.75" customHeight="1">
      <c r="AH621" s="37"/>
      <c r="AI621" s="37"/>
    </row>
    <row r="622" ht="15.75" customHeight="1">
      <c r="AH622" s="37"/>
      <c r="AI622" s="37"/>
    </row>
    <row r="623" ht="15.75" customHeight="1">
      <c r="AH623" s="37"/>
      <c r="AI623" s="37"/>
    </row>
    <row r="624" ht="15.75" customHeight="1">
      <c r="AH624" s="37"/>
      <c r="AI624" s="37"/>
    </row>
    <row r="625" ht="15.75" customHeight="1">
      <c r="AH625" s="37"/>
      <c r="AI625" s="37"/>
    </row>
    <row r="626" ht="15.75" customHeight="1">
      <c r="AH626" s="37"/>
      <c r="AI626" s="37"/>
    </row>
    <row r="627" ht="15.75" customHeight="1">
      <c r="AH627" s="37"/>
      <c r="AI627" s="37"/>
    </row>
    <row r="628" ht="15.75" customHeight="1">
      <c r="AH628" s="37"/>
      <c r="AI628" s="37"/>
    </row>
    <row r="629" ht="15.75" customHeight="1">
      <c r="AH629" s="37"/>
      <c r="AI629" s="37"/>
    </row>
    <row r="630" ht="15.75" customHeight="1">
      <c r="AH630" s="37"/>
      <c r="AI630" s="37"/>
    </row>
    <row r="631" ht="15.75" customHeight="1">
      <c r="AH631" s="37"/>
      <c r="AI631" s="37"/>
    </row>
    <row r="632" ht="15.75" customHeight="1">
      <c r="AH632" s="37"/>
      <c r="AI632" s="37"/>
    </row>
    <row r="633" ht="15.75" customHeight="1">
      <c r="AH633" s="37"/>
      <c r="AI633" s="37"/>
    </row>
    <row r="634" ht="15.75" customHeight="1">
      <c r="AH634" s="37"/>
      <c r="AI634" s="37"/>
    </row>
    <row r="635" ht="15.75" customHeight="1">
      <c r="AH635" s="37"/>
      <c r="AI635" s="37"/>
    </row>
    <row r="636" ht="15.75" customHeight="1">
      <c r="AH636" s="37"/>
      <c r="AI636" s="37"/>
    </row>
    <row r="637" ht="15.75" customHeight="1">
      <c r="AH637" s="37"/>
      <c r="AI637" s="37"/>
    </row>
    <row r="638" ht="15.75" customHeight="1">
      <c r="AH638" s="37"/>
      <c r="AI638" s="37"/>
    </row>
    <row r="639" ht="15.75" customHeight="1">
      <c r="AH639" s="37"/>
      <c r="AI639" s="37"/>
    </row>
    <row r="640" ht="15.75" customHeight="1">
      <c r="AH640" s="37"/>
      <c r="AI640" s="37"/>
    </row>
    <row r="641" ht="15.75" customHeight="1">
      <c r="AH641" s="37"/>
      <c r="AI641" s="37"/>
    </row>
    <row r="642" ht="15.75" customHeight="1">
      <c r="AH642" s="37"/>
      <c r="AI642" s="37"/>
    </row>
    <row r="643" ht="15.75" customHeight="1">
      <c r="AH643" s="37"/>
      <c r="AI643" s="37"/>
    </row>
    <row r="644" ht="15.75" customHeight="1">
      <c r="AH644" s="37"/>
      <c r="AI644" s="37"/>
    </row>
    <row r="645" ht="15.75" customHeight="1">
      <c r="AH645" s="37"/>
      <c r="AI645" s="37"/>
    </row>
    <row r="646" ht="15.75" customHeight="1">
      <c r="AH646" s="37"/>
      <c r="AI646" s="37"/>
    </row>
    <row r="647" ht="15.75" customHeight="1">
      <c r="AH647" s="37"/>
      <c r="AI647" s="37"/>
    </row>
    <row r="648" ht="15.75" customHeight="1">
      <c r="AH648" s="37"/>
      <c r="AI648" s="37"/>
    </row>
    <row r="649" ht="15.75" customHeight="1">
      <c r="AH649" s="37"/>
      <c r="AI649" s="37"/>
    </row>
    <row r="650" ht="15.75" customHeight="1">
      <c r="AH650" s="37"/>
      <c r="AI650" s="37"/>
    </row>
    <row r="651" ht="15.75" customHeight="1">
      <c r="AH651" s="37"/>
      <c r="AI651" s="37"/>
    </row>
    <row r="652" ht="15.75" customHeight="1">
      <c r="AH652" s="37"/>
      <c r="AI652" s="37"/>
    </row>
    <row r="653" ht="15.75" customHeight="1">
      <c r="AH653" s="37"/>
      <c r="AI653" s="37"/>
    </row>
    <row r="654" ht="15.75" customHeight="1">
      <c r="AH654" s="37"/>
      <c r="AI654" s="37"/>
    </row>
    <row r="655" ht="15.75" customHeight="1">
      <c r="AH655" s="37"/>
      <c r="AI655" s="37"/>
    </row>
    <row r="656" ht="15.75" customHeight="1">
      <c r="AH656" s="37"/>
      <c r="AI656" s="37"/>
    </row>
    <row r="657" ht="15.75" customHeight="1">
      <c r="AH657" s="37"/>
      <c r="AI657" s="37"/>
    </row>
    <row r="658" ht="15.75" customHeight="1">
      <c r="AH658" s="37"/>
      <c r="AI658" s="37"/>
    </row>
    <row r="659" ht="15.75" customHeight="1">
      <c r="AH659" s="37"/>
      <c r="AI659" s="37"/>
    </row>
    <row r="660" ht="15.75" customHeight="1">
      <c r="AH660" s="37"/>
      <c r="AI660" s="37"/>
    </row>
    <row r="661" ht="15.75" customHeight="1">
      <c r="AH661" s="37"/>
      <c r="AI661" s="37"/>
    </row>
    <row r="662" ht="15.75" customHeight="1">
      <c r="AH662" s="37"/>
      <c r="AI662" s="37"/>
    </row>
    <row r="663" ht="15.75" customHeight="1">
      <c r="AH663" s="37"/>
      <c r="AI663" s="37"/>
    </row>
    <row r="664" ht="15.75" customHeight="1">
      <c r="AH664" s="37"/>
      <c r="AI664" s="37"/>
    </row>
    <row r="665" ht="15.75" customHeight="1">
      <c r="AH665" s="37"/>
      <c r="AI665" s="37"/>
    </row>
    <row r="666" ht="15.75" customHeight="1">
      <c r="AH666" s="37"/>
      <c r="AI666" s="37"/>
    </row>
    <row r="667" ht="15.75" customHeight="1">
      <c r="AH667" s="37"/>
      <c r="AI667" s="37"/>
    </row>
    <row r="668" ht="15.75" customHeight="1">
      <c r="AH668" s="37"/>
      <c r="AI668" s="37"/>
    </row>
    <row r="669" ht="15.75" customHeight="1">
      <c r="AH669" s="37"/>
      <c r="AI669" s="37"/>
    </row>
    <row r="670" ht="15.75" customHeight="1">
      <c r="AH670" s="37"/>
      <c r="AI670" s="37"/>
    </row>
    <row r="671" ht="15.75" customHeight="1">
      <c r="AH671" s="37"/>
      <c r="AI671" s="37"/>
    </row>
    <row r="672" ht="15.75" customHeight="1">
      <c r="AH672" s="37"/>
      <c r="AI672" s="37"/>
    </row>
    <row r="673" ht="15.75" customHeight="1">
      <c r="AH673" s="37"/>
      <c r="AI673" s="37"/>
    </row>
    <row r="674" ht="15.75" customHeight="1">
      <c r="AH674" s="37"/>
      <c r="AI674" s="37"/>
    </row>
    <row r="675" ht="15.75" customHeight="1">
      <c r="AH675" s="37"/>
      <c r="AI675" s="37"/>
    </row>
    <row r="676" ht="15.75" customHeight="1">
      <c r="AH676" s="37"/>
      <c r="AI676" s="37"/>
    </row>
    <row r="677" ht="15.75" customHeight="1">
      <c r="AH677" s="37"/>
      <c r="AI677" s="37"/>
    </row>
    <row r="678" ht="15.75" customHeight="1">
      <c r="AH678" s="37"/>
      <c r="AI678" s="37"/>
    </row>
    <row r="679" ht="15.75" customHeight="1">
      <c r="AH679" s="37"/>
      <c r="AI679" s="37"/>
    </row>
    <row r="680" ht="15.75" customHeight="1">
      <c r="AH680" s="37"/>
      <c r="AI680" s="37"/>
    </row>
    <row r="681" ht="15.75" customHeight="1">
      <c r="AH681" s="37"/>
      <c r="AI681" s="37"/>
    </row>
    <row r="682" ht="15.75" customHeight="1">
      <c r="AH682" s="37"/>
      <c r="AI682" s="37"/>
    </row>
    <row r="683" ht="15.75" customHeight="1">
      <c r="AH683" s="37"/>
      <c r="AI683" s="37"/>
    </row>
    <row r="684" ht="15.75" customHeight="1">
      <c r="AH684" s="37"/>
      <c r="AI684" s="37"/>
    </row>
    <row r="685" ht="15.75" customHeight="1">
      <c r="AH685" s="37"/>
      <c r="AI685" s="37"/>
    </row>
    <row r="686" ht="15.75" customHeight="1">
      <c r="AH686" s="37"/>
      <c r="AI686" s="37"/>
    </row>
    <row r="687" ht="15.75" customHeight="1">
      <c r="AH687" s="37"/>
      <c r="AI687" s="37"/>
    </row>
    <row r="688" ht="15.75" customHeight="1">
      <c r="AH688" s="37"/>
      <c r="AI688" s="37"/>
    </row>
    <row r="689" ht="15.75" customHeight="1">
      <c r="AH689" s="37"/>
      <c r="AI689" s="37"/>
    </row>
    <row r="690" ht="15.75" customHeight="1">
      <c r="AH690" s="37"/>
      <c r="AI690" s="37"/>
    </row>
    <row r="691" ht="15.75" customHeight="1">
      <c r="AH691" s="37"/>
      <c r="AI691" s="37"/>
    </row>
    <row r="692" ht="15.75" customHeight="1">
      <c r="AH692" s="37"/>
      <c r="AI692" s="37"/>
    </row>
    <row r="693" ht="15.75" customHeight="1">
      <c r="AH693" s="37"/>
      <c r="AI693" s="37"/>
    </row>
    <row r="694" ht="15.75" customHeight="1">
      <c r="AH694" s="37"/>
      <c r="AI694" s="37"/>
    </row>
    <row r="695" ht="15.75" customHeight="1">
      <c r="AH695" s="37"/>
      <c r="AI695" s="37"/>
    </row>
    <row r="696" ht="15.75" customHeight="1">
      <c r="AH696" s="37"/>
      <c r="AI696" s="37"/>
    </row>
    <row r="697" ht="15.75" customHeight="1">
      <c r="AH697" s="37"/>
      <c r="AI697" s="37"/>
    </row>
    <row r="698" ht="15.75" customHeight="1">
      <c r="AH698" s="37"/>
      <c r="AI698" s="37"/>
    </row>
    <row r="699" ht="15.75" customHeight="1">
      <c r="AH699" s="37"/>
      <c r="AI699" s="37"/>
    </row>
    <row r="700" ht="15.75" customHeight="1">
      <c r="AH700" s="37"/>
      <c r="AI700" s="37"/>
    </row>
    <row r="701" ht="15.75" customHeight="1">
      <c r="AH701" s="37"/>
      <c r="AI701" s="37"/>
    </row>
    <row r="702" ht="15.75" customHeight="1">
      <c r="AH702" s="37"/>
      <c r="AI702" s="37"/>
    </row>
    <row r="703" ht="15.75" customHeight="1">
      <c r="AH703" s="37"/>
      <c r="AI703" s="37"/>
    </row>
    <row r="704" ht="15.75" customHeight="1">
      <c r="AH704" s="37"/>
      <c r="AI704" s="37"/>
    </row>
    <row r="705" ht="15.75" customHeight="1">
      <c r="AH705" s="37"/>
      <c r="AI705" s="37"/>
    </row>
    <row r="706" ht="15.75" customHeight="1">
      <c r="AH706" s="37"/>
      <c r="AI706" s="37"/>
    </row>
    <row r="707" ht="15.75" customHeight="1">
      <c r="AH707" s="37"/>
      <c r="AI707" s="37"/>
    </row>
    <row r="708" ht="15.75" customHeight="1">
      <c r="AH708" s="37"/>
      <c r="AI708" s="37"/>
    </row>
    <row r="709" ht="15.75" customHeight="1">
      <c r="AH709" s="37"/>
      <c r="AI709" s="37"/>
    </row>
    <row r="710" ht="15.75" customHeight="1">
      <c r="AH710" s="37"/>
      <c r="AI710" s="37"/>
    </row>
    <row r="711" ht="15.75" customHeight="1">
      <c r="AH711" s="37"/>
      <c r="AI711" s="37"/>
    </row>
    <row r="712" ht="15.75" customHeight="1">
      <c r="AH712" s="37"/>
      <c r="AI712" s="37"/>
    </row>
    <row r="713" ht="15.75" customHeight="1">
      <c r="AH713" s="37"/>
      <c r="AI713" s="37"/>
    </row>
    <row r="714" ht="15.75" customHeight="1">
      <c r="AH714" s="37"/>
      <c r="AI714" s="37"/>
    </row>
    <row r="715" ht="15.75" customHeight="1">
      <c r="AH715" s="37"/>
      <c r="AI715" s="37"/>
    </row>
    <row r="716" ht="15.75" customHeight="1">
      <c r="AH716" s="37"/>
      <c r="AI716" s="37"/>
    </row>
    <row r="717" ht="15.75" customHeight="1">
      <c r="AH717" s="37"/>
      <c r="AI717" s="37"/>
    </row>
    <row r="718" ht="15.75" customHeight="1">
      <c r="AH718" s="37"/>
      <c r="AI718" s="37"/>
    </row>
    <row r="719" ht="15.75" customHeight="1">
      <c r="AH719" s="37"/>
      <c r="AI719" s="37"/>
    </row>
    <row r="720" ht="15.75" customHeight="1">
      <c r="AH720" s="37"/>
      <c r="AI720" s="37"/>
    </row>
    <row r="721" ht="15.75" customHeight="1">
      <c r="AH721" s="37"/>
      <c r="AI721" s="37"/>
    </row>
    <row r="722" ht="15.75" customHeight="1">
      <c r="AH722" s="37"/>
      <c r="AI722" s="37"/>
    </row>
    <row r="723" ht="15.75" customHeight="1">
      <c r="AH723" s="37"/>
      <c r="AI723" s="37"/>
    </row>
    <row r="724" ht="15.75" customHeight="1">
      <c r="AH724" s="37"/>
      <c r="AI724" s="37"/>
    </row>
    <row r="725" ht="15.75" customHeight="1">
      <c r="AH725" s="37"/>
      <c r="AI725" s="37"/>
    </row>
    <row r="726" ht="15.75" customHeight="1">
      <c r="AH726" s="37"/>
      <c r="AI726" s="37"/>
    </row>
    <row r="727" ht="15.75" customHeight="1">
      <c r="AH727" s="37"/>
      <c r="AI727" s="37"/>
    </row>
    <row r="728" ht="15.75" customHeight="1">
      <c r="AH728" s="37"/>
      <c r="AI728" s="37"/>
    </row>
    <row r="729" ht="15.75" customHeight="1">
      <c r="AH729" s="37"/>
      <c r="AI729" s="37"/>
    </row>
    <row r="730" ht="15.75" customHeight="1">
      <c r="AH730" s="37"/>
      <c r="AI730" s="37"/>
    </row>
    <row r="731" ht="15.75" customHeight="1">
      <c r="AH731" s="37"/>
      <c r="AI731" s="37"/>
    </row>
    <row r="732" ht="15.75" customHeight="1">
      <c r="AH732" s="37"/>
      <c r="AI732" s="37"/>
    </row>
    <row r="733" ht="15.75" customHeight="1">
      <c r="AH733" s="37"/>
      <c r="AI733" s="37"/>
    </row>
    <row r="734" ht="15.75" customHeight="1">
      <c r="AH734" s="37"/>
      <c r="AI734" s="37"/>
    </row>
    <row r="735" ht="15.75" customHeight="1">
      <c r="AH735" s="37"/>
      <c r="AI735" s="37"/>
    </row>
    <row r="736" ht="15.75" customHeight="1">
      <c r="AH736" s="37"/>
      <c r="AI736" s="37"/>
    </row>
    <row r="737" ht="15.75" customHeight="1">
      <c r="AH737" s="37"/>
      <c r="AI737" s="37"/>
    </row>
    <row r="738" ht="15.75" customHeight="1">
      <c r="AH738" s="37"/>
      <c r="AI738" s="37"/>
    </row>
    <row r="739" ht="15.75" customHeight="1">
      <c r="AH739" s="37"/>
      <c r="AI739" s="37"/>
    </row>
    <row r="740" ht="15.75" customHeight="1">
      <c r="AH740" s="37"/>
      <c r="AI740" s="37"/>
    </row>
    <row r="741" ht="15.75" customHeight="1">
      <c r="AH741" s="37"/>
      <c r="AI741" s="37"/>
    </row>
    <row r="742" ht="15.75" customHeight="1">
      <c r="AH742" s="37"/>
      <c r="AI742" s="37"/>
    </row>
    <row r="743" ht="15.75" customHeight="1">
      <c r="AH743" s="37"/>
      <c r="AI743" s="37"/>
    </row>
    <row r="744" ht="15.75" customHeight="1">
      <c r="AH744" s="37"/>
      <c r="AI744" s="37"/>
    </row>
    <row r="745" ht="15.75" customHeight="1">
      <c r="AH745" s="37"/>
      <c r="AI745" s="37"/>
    </row>
    <row r="746" ht="15.75" customHeight="1">
      <c r="AH746" s="37"/>
      <c r="AI746" s="37"/>
    </row>
    <row r="747" ht="15.75" customHeight="1">
      <c r="AH747" s="37"/>
      <c r="AI747" s="37"/>
    </row>
    <row r="748" ht="15.75" customHeight="1">
      <c r="AH748" s="37"/>
      <c r="AI748" s="37"/>
    </row>
    <row r="749" ht="15.75" customHeight="1">
      <c r="AH749" s="37"/>
      <c r="AI749" s="37"/>
    </row>
    <row r="750" ht="15.75" customHeight="1">
      <c r="AH750" s="37"/>
      <c r="AI750" s="37"/>
    </row>
    <row r="751" ht="15.75" customHeight="1">
      <c r="AH751" s="37"/>
      <c r="AI751" s="37"/>
    </row>
    <row r="752" ht="15.75" customHeight="1">
      <c r="AH752" s="37"/>
      <c r="AI752" s="37"/>
    </row>
    <row r="753" ht="15.75" customHeight="1">
      <c r="AH753" s="37"/>
      <c r="AI753" s="37"/>
    </row>
    <row r="754" ht="15.75" customHeight="1">
      <c r="AH754" s="37"/>
      <c r="AI754" s="37"/>
    </row>
    <row r="755" ht="15.75" customHeight="1">
      <c r="AH755" s="37"/>
      <c r="AI755" s="37"/>
    </row>
    <row r="756" ht="15.75" customHeight="1">
      <c r="AH756" s="37"/>
      <c r="AI756" s="37"/>
    </row>
    <row r="757" ht="15.75" customHeight="1">
      <c r="AH757" s="37"/>
      <c r="AI757" s="37"/>
    </row>
    <row r="758" ht="15.75" customHeight="1">
      <c r="AH758" s="37"/>
      <c r="AI758" s="37"/>
    </row>
    <row r="759" ht="15.75" customHeight="1">
      <c r="AH759" s="37"/>
      <c r="AI759" s="37"/>
    </row>
    <row r="760" ht="15.75" customHeight="1">
      <c r="AH760" s="37"/>
      <c r="AI760" s="37"/>
    </row>
    <row r="761" ht="15.75" customHeight="1">
      <c r="AH761" s="37"/>
      <c r="AI761" s="37"/>
    </row>
    <row r="762" ht="15.75" customHeight="1">
      <c r="AH762" s="37"/>
      <c r="AI762" s="37"/>
    </row>
    <row r="763" ht="15.75" customHeight="1">
      <c r="AH763" s="37"/>
      <c r="AI763" s="37"/>
    </row>
    <row r="764" ht="15.75" customHeight="1">
      <c r="AH764" s="37"/>
      <c r="AI764" s="37"/>
    </row>
    <row r="765" ht="15.75" customHeight="1">
      <c r="AH765" s="37"/>
      <c r="AI765" s="37"/>
    </row>
    <row r="766" ht="15.75" customHeight="1">
      <c r="AH766" s="37"/>
      <c r="AI766" s="37"/>
    </row>
    <row r="767" ht="15.75" customHeight="1">
      <c r="AH767" s="37"/>
      <c r="AI767" s="37"/>
    </row>
    <row r="768" ht="15.75" customHeight="1">
      <c r="AH768" s="37"/>
      <c r="AI768" s="37"/>
    </row>
    <row r="769" ht="15.75" customHeight="1">
      <c r="AH769" s="37"/>
      <c r="AI769" s="37"/>
    </row>
    <row r="770" ht="15.75" customHeight="1">
      <c r="AH770" s="37"/>
      <c r="AI770" s="37"/>
    </row>
    <row r="771" ht="15.75" customHeight="1">
      <c r="AH771" s="37"/>
      <c r="AI771" s="37"/>
    </row>
    <row r="772" ht="15.75" customHeight="1">
      <c r="AH772" s="37"/>
      <c r="AI772" s="37"/>
    </row>
    <row r="773" ht="15.75" customHeight="1">
      <c r="AH773" s="37"/>
      <c r="AI773" s="37"/>
    </row>
    <row r="774" ht="15.75" customHeight="1">
      <c r="AH774" s="37"/>
      <c r="AI774" s="37"/>
    </row>
    <row r="775" ht="15.75" customHeight="1">
      <c r="AH775" s="37"/>
      <c r="AI775" s="37"/>
    </row>
    <row r="776" ht="15.75" customHeight="1">
      <c r="AH776" s="37"/>
      <c r="AI776" s="37"/>
    </row>
    <row r="777" ht="15.75" customHeight="1">
      <c r="AH777" s="37"/>
      <c r="AI777" s="37"/>
    </row>
    <row r="778" ht="15.75" customHeight="1">
      <c r="AH778" s="37"/>
      <c r="AI778" s="37"/>
    </row>
    <row r="779" ht="15.75" customHeight="1">
      <c r="AH779" s="37"/>
      <c r="AI779" s="37"/>
    </row>
    <row r="780" ht="15.75" customHeight="1">
      <c r="AH780" s="37"/>
      <c r="AI780" s="37"/>
    </row>
    <row r="781" ht="15.75" customHeight="1">
      <c r="AH781" s="37"/>
      <c r="AI781" s="37"/>
    </row>
    <row r="782" ht="15.75" customHeight="1">
      <c r="AH782" s="37"/>
      <c r="AI782" s="37"/>
    </row>
    <row r="783" ht="15.75" customHeight="1">
      <c r="AH783" s="37"/>
      <c r="AI783" s="37"/>
    </row>
    <row r="784" ht="15.75" customHeight="1">
      <c r="AH784" s="37"/>
      <c r="AI784" s="37"/>
    </row>
    <row r="785" ht="15.75" customHeight="1">
      <c r="AH785" s="37"/>
      <c r="AI785" s="37"/>
    </row>
    <row r="786" ht="15.75" customHeight="1">
      <c r="AH786" s="37"/>
      <c r="AI786" s="37"/>
    </row>
    <row r="787" ht="15.75" customHeight="1">
      <c r="AH787" s="37"/>
      <c r="AI787" s="37"/>
    </row>
    <row r="788" ht="15.75" customHeight="1">
      <c r="AH788" s="37"/>
      <c r="AI788" s="37"/>
    </row>
    <row r="789" ht="15.75" customHeight="1">
      <c r="AH789" s="37"/>
      <c r="AI789" s="37"/>
    </row>
    <row r="790" ht="15.75" customHeight="1">
      <c r="AH790" s="37"/>
      <c r="AI790" s="37"/>
    </row>
    <row r="791" ht="15.75" customHeight="1">
      <c r="AH791" s="37"/>
      <c r="AI791" s="37"/>
    </row>
    <row r="792" ht="15.75" customHeight="1">
      <c r="AH792" s="37"/>
      <c r="AI792" s="37"/>
    </row>
    <row r="793" ht="15.75" customHeight="1">
      <c r="AH793" s="37"/>
      <c r="AI793" s="37"/>
    </row>
    <row r="794" ht="15.75" customHeight="1">
      <c r="AH794" s="37"/>
      <c r="AI794" s="37"/>
    </row>
    <row r="795" ht="15.75" customHeight="1">
      <c r="AH795" s="37"/>
      <c r="AI795" s="37"/>
    </row>
    <row r="796" ht="15.75" customHeight="1">
      <c r="AH796" s="37"/>
      <c r="AI796" s="37"/>
    </row>
    <row r="797" ht="15.75" customHeight="1">
      <c r="AH797" s="37"/>
      <c r="AI797" s="37"/>
    </row>
    <row r="798" ht="15.75" customHeight="1">
      <c r="AH798" s="37"/>
      <c r="AI798" s="37"/>
    </row>
    <row r="799" ht="15.75" customHeight="1">
      <c r="AH799" s="37"/>
      <c r="AI799" s="37"/>
    </row>
    <row r="800" ht="15.75" customHeight="1">
      <c r="AH800" s="37"/>
      <c r="AI800" s="37"/>
    </row>
    <row r="801" ht="15.75" customHeight="1">
      <c r="AH801" s="37"/>
      <c r="AI801" s="37"/>
    </row>
    <row r="802" ht="15.75" customHeight="1">
      <c r="AH802" s="37"/>
      <c r="AI802" s="37"/>
    </row>
    <row r="803" ht="15.75" customHeight="1">
      <c r="AH803" s="37"/>
      <c r="AI803" s="37"/>
    </row>
    <row r="804" ht="15.75" customHeight="1">
      <c r="AH804" s="37"/>
      <c r="AI804" s="37"/>
    </row>
    <row r="805" ht="15.75" customHeight="1">
      <c r="AH805" s="37"/>
      <c r="AI805" s="37"/>
    </row>
    <row r="806" ht="15.75" customHeight="1">
      <c r="AH806" s="37"/>
      <c r="AI806" s="37"/>
    </row>
    <row r="807" ht="15.75" customHeight="1">
      <c r="AH807" s="37"/>
      <c r="AI807" s="37"/>
    </row>
    <row r="808" ht="15.75" customHeight="1">
      <c r="AH808" s="37"/>
      <c r="AI808" s="37"/>
    </row>
    <row r="809" ht="15.75" customHeight="1">
      <c r="AH809" s="37"/>
      <c r="AI809" s="37"/>
    </row>
    <row r="810" ht="15.75" customHeight="1">
      <c r="AH810" s="37"/>
      <c r="AI810" s="37"/>
    </row>
    <row r="811" ht="15.75" customHeight="1">
      <c r="AH811" s="37"/>
      <c r="AI811" s="37"/>
    </row>
    <row r="812" ht="15.75" customHeight="1">
      <c r="AH812" s="37"/>
      <c r="AI812" s="37"/>
    </row>
    <row r="813" ht="15.75" customHeight="1">
      <c r="AH813" s="37"/>
      <c r="AI813" s="37"/>
    </row>
    <row r="814" ht="15.75" customHeight="1">
      <c r="AH814" s="37"/>
      <c r="AI814" s="37"/>
    </row>
    <row r="815" ht="15.75" customHeight="1">
      <c r="AH815" s="37"/>
      <c r="AI815" s="37"/>
    </row>
    <row r="816" ht="15.75" customHeight="1">
      <c r="AH816" s="37"/>
      <c r="AI816" s="37"/>
    </row>
    <row r="817" ht="15.75" customHeight="1">
      <c r="AH817" s="37"/>
      <c r="AI817" s="37"/>
    </row>
    <row r="818" ht="15.75" customHeight="1">
      <c r="AH818" s="37"/>
      <c r="AI818" s="37"/>
    </row>
    <row r="819" ht="15.75" customHeight="1">
      <c r="AH819" s="37"/>
      <c r="AI819" s="37"/>
    </row>
    <row r="820" ht="15.75" customHeight="1">
      <c r="AH820" s="37"/>
      <c r="AI820" s="37"/>
    </row>
    <row r="821" ht="15.75" customHeight="1">
      <c r="AH821" s="37"/>
      <c r="AI821" s="37"/>
    </row>
    <row r="822" ht="15.75" customHeight="1">
      <c r="AH822" s="37"/>
      <c r="AI822" s="37"/>
    </row>
    <row r="823" ht="15.75" customHeight="1">
      <c r="AH823" s="37"/>
      <c r="AI823" s="37"/>
    </row>
    <row r="824" ht="15.75" customHeight="1">
      <c r="AH824" s="37"/>
      <c r="AI824" s="37"/>
    </row>
    <row r="825" ht="15.75" customHeight="1">
      <c r="AH825" s="37"/>
      <c r="AI825" s="37"/>
    </row>
    <row r="826" ht="15.75" customHeight="1">
      <c r="AH826" s="37"/>
      <c r="AI826" s="37"/>
    </row>
    <row r="827" ht="15.75" customHeight="1">
      <c r="AH827" s="37"/>
      <c r="AI827" s="37"/>
    </row>
    <row r="828" ht="15.75" customHeight="1">
      <c r="AH828" s="37"/>
      <c r="AI828" s="37"/>
    </row>
    <row r="829" ht="15.75" customHeight="1">
      <c r="AH829" s="37"/>
      <c r="AI829" s="37"/>
    </row>
    <row r="830" ht="15.75" customHeight="1">
      <c r="AH830" s="37"/>
      <c r="AI830" s="37"/>
    </row>
    <row r="831" ht="15.75" customHeight="1">
      <c r="AH831" s="37"/>
      <c r="AI831" s="37"/>
    </row>
    <row r="832" ht="15.75" customHeight="1">
      <c r="AH832" s="37"/>
      <c r="AI832" s="37"/>
    </row>
    <row r="833" ht="15.75" customHeight="1">
      <c r="AH833" s="37"/>
      <c r="AI833" s="37"/>
    </row>
    <row r="834" ht="15.75" customHeight="1">
      <c r="AH834" s="37"/>
      <c r="AI834" s="37"/>
    </row>
    <row r="835" ht="15.75" customHeight="1">
      <c r="AH835" s="37"/>
      <c r="AI835" s="37"/>
    </row>
    <row r="836" ht="15.75" customHeight="1">
      <c r="AH836" s="37"/>
      <c r="AI836" s="37"/>
    </row>
    <row r="837" ht="15.75" customHeight="1">
      <c r="AH837" s="37"/>
      <c r="AI837" s="37"/>
    </row>
    <row r="838" ht="15.75" customHeight="1">
      <c r="AH838" s="37"/>
      <c r="AI838" s="37"/>
    </row>
    <row r="839" ht="15.75" customHeight="1">
      <c r="AH839" s="37"/>
      <c r="AI839" s="37"/>
    </row>
    <row r="840" ht="15.75" customHeight="1">
      <c r="AH840" s="37"/>
      <c r="AI840" s="37"/>
    </row>
    <row r="841" ht="15.75" customHeight="1">
      <c r="AH841" s="37"/>
      <c r="AI841" s="37"/>
    </row>
    <row r="842" ht="15.75" customHeight="1">
      <c r="AH842" s="37"/>
      <c r="AI842" s="37"/>
    </row>
    <row r="843" ht="15.75" customHeight="1">
      <c r="AH843" s="37"/>
      <c r="AI843" s="37"/>
    </row>
    <row r="844" ht="15.75" customHeight="1">
      <c r="AH844" s="37"/>
      <c r="AI844" s="37"/>
    </row>
    <row r="845" ht="15.75" customHeight="1">
      <c r="AH845" s="37"/>
      <c r="AI845" s="37"/>
    </row>
    <row r="846" ht="15.75" customHeight="1">
      <c r="AH846" s="37"/>
      <c r="AI846" s="37"/>
    </row>
    <row r="847" ht="15.75" customHeight="1">
      <c r="AH847" s="37"/>
      <c r="AI847" s="37"/>
    </row>
    <row r="848" ht="15.75" customHeight="1">
      <c r="AH848" s="37"/>
      <c r="AI848" s="37"/>
    </row>
    <row r="849" ht="15.75" customHeight="1">
      <c r="AH849" s="37"/>
      <c r="AI849" s="37"/>
    </row>
    <row r="850" ht="15.75" customHeight="1">
      <c r="AH850" s="37"/>
      <c r="AI850" s="37"/>
    </row>
    <row r="851" ht="15.75" customHeight="1">
      <c r="AH851" s="37"/>
      <c r="AI851" s="37"/>
    </row>
    <row r="852" ht="15.75" customHeight="1">
      <c r="AH852" s="37"/>
      <c r="AI852" s="37"/>
    </row>
    <row r="853" ht="15.75" customHeight="1">
      <c r="AH853" s="37"/>
      <c r="AI853" s="37"/>
    </row>
    <row r="854" ht="15.75" customHeight="1">
      <c r="AH854" s="37"/>
      <c r="AI854" s="37"/>
    </row>
    <row r="855" ht="15.75" customHeight="1">
      <c r="AH855" s="37"/>
      <c r="AI855" s="37"/>
    </row>
    <row r="856" ht="15.75" customHeight="1">
      <c r="AH856" s="37"/>
      <c r="AI856" s="37"/>
    </row>
    <row r="857" ht="15.75" customHeight="1">
      <c r="AH857" s="37"/>
      <c r="AI857" s="37"/>
    </row>
    <row r="858" ht="15.75" customHeight="1">
      <c r="AH858" s="37"/>
      <c r="AI858" s="37"/>
    </row>
    <row r="859" ht="15.75" customHeight="1">
      <c r="AH859" s="37"/>
      <c r="AI859" s="37"/>
    </row>
    <row r="860" ht="15.75" customHeight="1">
      <c r="AH860" s="37"/>
      <c r="AI860" s="37"/>
    </row>
    <row r="861" ht="15.75" customHeight="1">
      <c r="AH861" s="37"/>
      <c r="AI861" s="37"/>
    </row>
    <row r="862" ht="15.75" customHeight="1">
      <c r="AH862" s="37"/>
      <c r="AI862" s="37"/>
    </row>
    <row r="863" ht="15.75" customHeight="1">
      <c r="AH863" s="37"/>
      <c r="AI863" s="37"/>
    </row>
    <row r="864" ht="15.75" customHeight="1">
      <c r="AH864" s="37"/>
      <c r="AI864" s="37"/>
    </row>
    <row r="865" ht="15.75" customHeight="1">
      <c r="AH865" s="37"/>
      <c r="AI865" s="37"/>
    </row>
    <row r="866" ht="15.75" customHeight="1">
      <c r="AH866" s="37"/>
      <c r="AI866" s="37"/>
    </row>
    <row r="867" ht="15.75" customHeight="1">
      <c r="AH867" s="37"/>
      <c r="AI867" s="37"/>
    </row>
    <row r="868" ht="15.75" customHeight="1">
      <c r="AH868" s="37"/>
      <c r="AI868" s="37"/>
    </row>
    <row r="869" ht="15.75" customHeight="1">
      <c r="AH869" s="37"/>
      <c r="AI869" s="37"/>
    </row>
    <row r="870" ht="15.75" customHeight="1">
      <c r="AH870" s="37"/>
      <c r="AI870" s="37"/>
    </row>
    <row r="871" ht="15.75" customHeight="1">
      <c r="AH871" s="37"/>
      <c r="AI871" s="37"/>
    </row>
    <row r="872" ht="15.75" customHeight="1">
      <c r="AH872" s="37"/>
      <c r="AI872" s="37"/>
    </row>
    <row r="873" ht="15.75" customHeight="1">
      <c r="AH873" s="37"/>
      <c r="AI873" s="37"/>
    </row>
    <row r="874" ht="15.75" customHeight="1">
      <c r="AH874" s="37"/>
      <c r="AI874" s="37"/>
    </row>
    <row r="875" ht="15.75" customHeight="1">
      <c r="AH875" s="37"/>
      <c r="AI875" s="37"/>
    </row>
    <row r="876" ht="15.75" customHeight="1">
      <c r="AH876" s="37"/>
      <c r="AI876" s="37"/>
    </row>
    <row r="877" ht="15.75" customHeight="1">
      <c r="AH877" s="37"/>
      <c r="AI877" s="37"/>
    </row>
    <row r="878" ht="15.75" customHeight="1">
      <c r="AH878" s="37"/>
      <c r="AI878" s="37"/>
    </row>
    <row r="879" ht="15.75" customHeight="1">
      <c r="AH879" s="37"/>
      <c r="AI879" s="37"/>
    </row>
    <row r="880" ht="15.75" customHeight="1">
      <c r="AH880" s="37"/>
      <c r="AI880" s="37"/>
    </row>
    <row r="881" ht="15.75" customHeight="1">
      <c r="AH881" s="37"/>
      <c r="AI881" s="37"/>
    </row>
    <row r="882" ht="15.75" customHeight="1">
      <c r="AH882" s="37"/>
      <c r="AI882" s="37"/>
    </row>
    <row r="883" ht="15.75" customHeight="1">
      <c r="AH883" s="37"/>
      <c r="AI883" s="37"/>
    </row>
    <row r="884" ht="15.75" customHeight="1">
      <c r="AH884" s="37"/>
      <c r="AI884" s="37"/>
    </row>
    <row r="885" ht="15.75" customHeight="1">
      <c r="AH885" s="37"/>
      <c r="AI885" s="37"/>
    </row>
    <row r="886" ht="15.75" customHeight="1">
      <c r="AH886" s="37"/>
      <c r="AI886" s="37"/>
    </row>
    <row r="887" ht="15.75" customHeight="1">
      <c r="AH887" s="37"/>
      <c r="AI887" s="37"/>
    </row>
    <row r="888" ht="15.75" customHeight="1">
      <c r="AH888" s="37"/>
      <c r="AI888" s="37"/>
    </row>
    <row r="889" ht="15.75" customHeight="1">
      <c r="AH889" s="37"/>
      <c r="AI889" s="37"/>
    </row>
    <row r="890" ht="15.75" customHeight="1">
      <c r="AH890" s="37"/>
      <c r="AI890" s="37"/>
    </row>
    <row r="891" ht="15.75" customHeight="1">
      <c r="AH891" s="37"/>
      <c r="AI891" s="37"/>
    </row>
    <row r="892" ht="15.75" customHeight="1">
      <c r="AH892" s="37"/>
      <c r="AI892" s="37"/>
    </row>
    <row r="893" ht="15.75" customHeight="1">
      <c r="AH893" s="37"/>
      <c r="AI893" s="37"/>
    </row>
    <row r="894" ht="15.75" customHeight="1">
      <c r="AH894" s="37"/>
      <c r="AI894" s="37"/>
    </row>
    <row r="895" ht="15.75" customHeight="1">
      <c r="AH895" s="37"/>
      <c r="AI895" s="37"/>
    </row>
    <row r="896" ht="15.75" customHeight="1">
      <c r="AH896" s="37"/>
      <c r="AI896" s="37"/>
    </row>
    <row r="897" ht="15.75" customHeight="1">
      <c r="AH897" s="37"/>
      <c r="AI897" s="37"/>
    </row>
    <row r="898" ht="15.75" customHeight="1">
      <c r="AH898" s="37"/>
      <c r="AI898" s="37"/>
    </row>
    <row r="899" ht="15.75" customHeight="1">
      <c r="AH899" s="37"/>
      <c r="AI899" s="37"/>
    </row>
    <row r="900" ht="15.75" customHeight="1">
      <c r="AH900" s="37"/>
      <c r="AI900" s="37"/>
    </row>
    <row r="901" ht="15.75" customHeight="1">
      <c r="AH901" s="37"/>
      <c r="AI901" s="37"/>
    </row>
    <row r="902" ht="15.75" customHeight="1">
      <c r="AH902" s="37"/>
      <c r="AI902" s="37"/>
    </row>
    <row r="903" ht="15.75" customHeight="1">
      <c r="AH903" s="37"/>
      <c r="AI903" s="37"/>
    </row>
    <row r="904" ht="15.75" customHeight="1">
      <c r="AH904" s="37"/>
      <c r="AI904" s="37"/>
    </row>
    <row r="905" ht="15.75" customHeight="1">
      <c r="AH905" s="37"/>
      <c r="AI905" s="37"/>
    </row>
    <row r="906" ht="15.75" customHeight="1">
      <c r="AH906" s="37"/>
      <c r="AI906" s="37"/>
    </row>
    <row r="907" ht="15.75" customHeight="1">
      <c r="AH907" s="37"/>
      <c r="AI907" s="37"/>
    </row>
    <row r="908" ht="15.75" customHeight="1">
      <c r="AH908" s="37"/>
      <c r="AI908" s="37"/>
    </row>
    <row r="909" ht="15.75" customHeight="1">
      <c r="AH909" s="37"/>
      <c r="AI909" s="37"/>
    </row>
    <row r="910" ht="15.75" customHeight="1">
      <c r="AH910" s="37"/>
      <c r="AI910" s="37"/>
    </row>
    <row r="911" ht="15.75" customHeight="1">
      <c r="AH911" s="37"/>
      <c r="AI911" s="37"/>
    </row>
    <row r="912" ht="15.75" customHeight="1">
      <c r="AH912" s="37"/>
      <c r="AI912" s="37"/>
    </row>
    <row r="913" ht="15.75" customHeight="1">
      <c r="AH913" s="37"/>
      <c r="AI913" s="37"/>
    </row>
    <row r="914" ht="15.75" customHeight="1">
      <c r="AH914" s="37"/>
      <c r="AI914" s="37"/>
    </row>
    <row r="915" ht="15.75" customHeight="1">
      <c r="AH915" s="37"/>
      <c r="AI915" s="37"/>
    </row>
    <row r="916" ht="15.75" customHeight="1">
      <c r="AH916" s="37"/>
      <c r="AI916" s="37"/>
    </row>
    <row r="917" ht="15.75" customHeight="1">
      <c r="AH917" s="37"/>
      <c r="AI917" s="37"/>
    </row>
    <row r="918" ht="15.75" customHeight="1">
      <c r="AH918" s="37"/>
      <c r="AI918" s="37"/>
    </row>
    <row r="919" ht="15.75" customHeight="1">
      <c r="AH919" s="37"/>
      <c r="AI919" s="37"/>
    </row>
    <row r="920" ht="15.75" customHeight="1">
      <c r="AH920" s="37"/>
      <c r="AI920" s="37"/>
    </row>
    <row r="921" ht="15.75" customHeight="1">
      <c r="AH921" s="37"/>
      <c r="AI921" s="37"/>
    </row>
    <row r="922" ht="15.75" customHeight="1">
      <c r="AH922" s="37"/>
      <c r="AI922" s="37"/>
    </row>
    <row r="923" ht="15.75" customHeight="1">
      <c r="AH923" s="37"/>
      <c r="AI923" s="37"/>
    </row>
    <row r="924" ht="15.75" customHeight="1">
      <c r="AH924" s="37"/>
      <c r="AI924" s="37"/>
    </row>
    <row r="925" ht="15.75" customHeight="1">
      <c r="AH925" s="37"/>
      <c r="AI925" s="37"/>
    </row>
    <row r="926" ht="15.75" customHeight="1">
      <c r="AH926" s="37"/>
      <c r="AI926" s="37"/>
    </row>
    <row r="927" ht="15.75" customHeight="1">
      <c r="AH927" s="37"/>
      <c r="AI927" s="37"/>
    </row>
    <row r="928" ht="15.75" customHeight="1">
      <c r="AH928" s="37"/>
      <c r="AI928" s="37"/>
    </row>
    <row r="929" ht="15.75" customHeight="1">
      <c r="AH929" s="37"/>
      <c r="AI929" s="37"/>
    </row>
    <row r="930" ht="15.75" customHeight="1">
      <c r="AH930" s="37"/>
      <c r="AI930" s="37"/>
    </row>
    <row r="931" ht="15.75" customHeight="1">
      <c r="AH931" s="37"/>
      <c r="AI931" s="37"/>
    </row>
    <row r="932" ht="15.75" customHeight="1">
      <c r="AH932" s="37"/>
      <c r="AI932" s="37"/>
    </row>
    <row r="933" ht="15.75" customHeight="1">
      <c r="AH933" s="37"/>
      <c r="AI933" s="37"/>
    </row>
    <row r="934" ht="15.75" customHeight="1">
      <c r="AH934" s="37"/>
      <c r="AI934" s="37"/>
    </row>
    <row r="935" ht="15.75" customHeight="1">
      <c r="AH935" s="37"/>
      <c r="AI935" s="37"/>
    </row>
    <row r="936" ht="15.75" customHeight="1">
      <c r="AH936" s="37"/>
      <c r="AI936" s="37"/>
    </row>
    <row r="937" ht="15.75" customHeight="1">
      <c r="AH937" s="37"/>
      <c r="AI937" s="37"/>
    </row>
    <row r="938" ht="15.75" customHeight="1">
      <c r="AH938" s="37"/>
      <c r="AI938" s="37"/>
    </row>
    <row r="939" ht="15.75" customHeight="1">
      <c r="AH939" s="37"/>
      <c r="AI939" s="37"/>
    </row>
    <row r="940" ht="15.75" customHeight="1">
      <c r="AH940" s="37"/>
      <c r="AI940" s="37"/>
    </row>
    <row r="941" ht="15.75" customHeight="1">
      <c r="AH941" s="37"/>
      <c r="AI941" s="37"/>
    </row>
    <row r="942" ht="15.75" customHeight="1">
      <c r="AH942" s="37"/>
      <c r="AI942" s="37"/>
    </row>
    <row r="943" ht="15.75" customHeight="1">
      <c r="AH943" s="37"/>
      <c r="AI943" s="37"/>
    </row>
    <row r="944" ht="15.75" customHeight="1">
      <c r="AH944" s="37"/>
      <c r="AI944" s="37"/>
    </row>
    <row r="945" ht="15.75" customHeight="1">
      <c r="AH945" s="37"/>
      <c r="AI945" s="37"/>
    </row>
    <row r="946" ht="15.75" customHeight="1">
      <c r="AH946" s="37"/>
      <c r="AI946" s="37"/>
    </row>
    <row r="947" ht="15.75" customHeight="1">
      <c r="AH947" s="37"/>
      <c r="AI947" s="37"/>
    </row>
    <row r="948" ht="15.75" customHeight="1">
      <c r="AH948" s="37"/>
      <c r="AI948" s="37"/>
    </row>
    <row r="949" ht="15.75" customHeight="1">
      <c r="AH949" s="37"/>
      <c r="AI949" s="37"/>
    </row>
    <row r="950" ht="15.75" customHeight="1">
      <c r="AH950" s="37"/>
      <c r="AI950" s="37"/>
    </row>
    <row r="951" ht="15.75" customHeight="1">
      <c r="AH951" s="37"/>
      <c r="AI951" s="37"/>
    </row>
    <row r="952" ht="15.75" customHeight="1">
      <c r="AH952" s="37"/>
      <c r="AI952" s="37"/>
    </row>
    <row r="953" ht="15.75" customHeight="1">
      <c r="AH953" s="37"/>
      <c r="AI953" s="37"/>
    </row>
    <row r="954" ht="15.75" customHeight="1">
      <c r="AH954" s="37"/>
      <c r="AI954" s="37"/>
    </row>
    <row r="955" ht="15.75" customHeight="1">
      <c r="AH955" s="37"/>
      <c r="AI955" s="37"/>
    </row>
    <row r="956" ht="15.75" customHeight="1">
      <c r="AH956" s="37"/>
      <c r="AI956" s="37"/>
    </row>
    <row r="957" ht="15.75" customHeight="1">
      <c r="AH957" s="37"/>
      <c r="AI957" s="37"/>
    </row>
    <row r="958" ht="15.75" customHeight="1">
      <c r="AH958" s="37"/>
      <c r="AI958" s="37"/>
    </row>
    <row r="959" ht="15.75" customHeight="1">
      <c r="AH959" s="37"/>
      <c r="AI959" s="37"/>
    </row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12.88"/>
    <col customWidth="1" min="3" max="3" width="28.13"/>
    <col customWidth="1" min="4" max="4" width="48.63"/>
    <col customWidth="1" min="5" max="5" width="19.0"/>
  </cols>
  <sheetData>
    <row r="1" ht="15.75" customHeight="1">
      <c r="A1" s="2" t="s">
        <v>0</v>
      </c>
      <c r="B1" s="2" t="s">
        <v>1</v>
      </c>
      <c r="C1" s="2" t="s">
        <v>1242</v>
      </c>
      <c r="D1" s="2" t="s">
        <v>1243</v>
      </c>
      <c r="E1" s="2" t="s">
        <v>7</v>
      </c>
    </row>
    <row r="2" ht="15.75" customHeight="1">
      <c r="A2" s="8">
        <v>1424.0</v>
      </c>
      <c r="B2" s="9" t="s">
        <v>49</v>
      </c>
      <c r="C2" s="98" t="s">
        <v>1244</v>
      </c>
      <c r="D2" s="76" t="s">
        <v>1245</v>
      </c>
      <c r="E2" s="14">
        <v>0.0</v>
      </c>
    </row>
    <row r="3" ht="15.75" customHeight="1">
      <c r="A3" s="8">
        <v>1424.0</v>
      </c>
      <c r="B3" s="9" t="s">
        <v>49</v>
      </c>
      <c r="C3" s="99" t="s">
        <v>1246</v>
      </c>
      <c r="D3" s="100" t="s">
        <v>1247</v>
      </c>
      <c r="E3" s="74">
        <v>0.0</v>
      </c>
    </row>
    <row r="4" ht="15.75" customHeight="1">
      <c r="A4" s="8">
        <v>1424.0</v>
      </c>
      <c r="B4" s="9" t="s">
        <v>49</v>
      </c>
      <c r="C4" s="99" t="s">
        <v>1248</v>
      </c>
      <c r="D4" s="101" t="s">
        <v>1249</v>
      </c>
      <c r="E4" s="74">
        <v>0.0</v>
      </c>
    </row>
    <row r="5" ht="15.75" customHeight="1">
      <c r="E5" s="102"/>
    </row>
    <row r="6" ht="15.75" customHeight="1">
      <c r="E6" s="102"/>
    </row>
    <row r="7" ht="15.75" customHeight="1">
      <c r="E7" s="102"/>
    </row>
    <row r="8" ht="15.75" customHeight="1">
      <c r="E8" s="102"/>
    </row>
    <row r="9" ht="15.75" customHeight="1">
      <c r="D9" s="103"/>
      <c r="E9" s="102"/>
    </row>
    <row r="10" ht="15.75" customHeight="1">
      <c r="E10" s="102"/>
    </row>
    <row r="11" ht="15.75" customHeight="1">
      <c r="E11" s="102"/>
    </row>
    <row r="12" ht="15.75" customHeight="1">
      <c r="E12" s="102"/>
    </row>
    <row r="13" ht="15.75" customHeight="1">
      <c r="E13" s="102"/>
    </row>
    <row r="14" ht="15.75" customHeight="1">
      <c r="E14" s="102"/>
    </row>
    <row r="15" ht="15.75" customHeight="1">
      <c r="E15" s="102"/>
    </row>
    <row r="16" ht="15.75" customHeight="1">
      <c r="E16" s="102"/>
    </row>
    <row r="17" ht="15.75" customHeight="1">
      <c r="E17" s="102"/>
    </row>
    <row r="18" ht="15.75" customHeight="1">
      <c r="E18" s="102"/>
    </row>
    <row r="19" ht="15.75" customHeight="1">
      <c r="E19" s="102"/>
    </row>
    <row r="20" ht="15.75" customHeight="1">
      <c r="E20" s="102"/>
    </row>
    <row r="21" ht="15.75" customHeight="1">
      <c r="E21" s="102"/>
    </row>
    <row r="22" ht="15.75" customHeight="1">
      <c r="E22" s="102"/>
    </row>
    <row r="23" ht="15.75" customHeight="1">
      <c r="E23" s="102"/>
    </row>
    <row r="24" ht="15.75" customHeight="1">
      <c r="E24" s="102"/>
    </row>
    <row r="25" ht="15.75" customHeight="1">
      <c r="E25" s="102"/>
    </row>
    <row r="26" ht="15.75" customHeight="1">
      <c r="E26" s="102"/>
    </row>
    <row r="27" ht="15.75" customHeight="1">
      <c r="E27" s="102"/>
    </row>
    <row r="28" ht="15.75" customHeight="1">
      <c r="E28" s="102"/>
    </row>
    <row r="29" ht="15.75" customHeight="1">
      <c r="E29" s="102"/>
    </row>
    <row r="30" ht="15.75" customHeight="1">
      <c r="E30" s="102"/>
    </row>
    <row r="31" ht="15.75" customHeight="1">
      <c r="E31" s="102"/>
    </row>
    <row r="32" ht="15.75" customHeight="1">
      <c r="E32" s="102"/>
    </row>
    <row r="33" ht="15.75" customHeight="1">
      <c r="E33" s="102"/>
    </row>
    <row r="34" ht="15.75" customHeight="1">
      <c r="E34" s="102"/>
    </row>
    <row r="35" ht="15.75" customHeight="1">
      <c r="E35" s="102"/>
    </row>
    <row r="36" ht="15.75" customHeight="1">
      <c r="E36" s="102"/>
    </row>
    <row r="37" ht="15.75" customHeight="1">
      <c r="E37" s="102"/>
    </row>
    <row r="38" ht="15.75" customHeight="1">
      <c r="E38" s="102"/>
    </row>
    <row r="39" ht="15.75" customHeight="1">
      <c r="E39" s="102"/>
    </row>
    <row r="40" ht="15.75" customHeight="1">
      <c r="E40" s="102"/>
    </row>
    <row r="41" ht="15.75" customHeight="1">
      <c r="E41" s="102"/>
    </row>
    <row r="42" ht="15.75" customHeight="1">
      <c r="E42" s="102"/>
    </row>
    <row r="43" ht="15.75" customHeight="1">
      <c r="E43" s="102"/>
    </row>
    <row r="44" ht="15.75" customHeight="1">
      <c r="E44" s="102"/>
    </row>
    <row r="45" ht="15.75" customHeight="1">
      <c r="E45" s="102"/>
    </row>
    <row r="46" ht="15.75" customHeight="1">
      <c r="E46" s="102"/>
    </row>
    <row r="47" ht="15.75" customHeight="1">
      <c r="E47" s="102"/>
    </row>
    <row r="48" ht="15.75" customHeight="1">
      <c r="E48" s="102"/>
    </row>
    <row r="49" ht="15.75" customHeight="1">
      <c r="E49" s="102"/>
    </row>
    <row r="50" ht="15.75" customHeight="1">
      <c r="E50" s="102"/>
    </row>
    <row r="51" ht="15.75" customHeight="1">
      <c r="E51" s="102"/>
    </row>
    <row r="52" ht="15.75" customHeight="1">
      <c r="E52" s="102"/>
    </row>
    <row r="53" ht="15.75" customHeight="1">
      <c r="E53" s="102"/>
    </row>
    <row r="54" ht="15.75" customHeight="1">
      <c r="E54" s="102"/>
    </row>
    <row r="55" ht="15.75" customHeight="1">
      <c r="E55" s="102"/>
    </row>
    <row r="56" ht="15.75" customHeight="1">
      <c r="E56" s="102"/>
    </row>
    <row r="57" ht="15.75" customHeight="1">
      <c r="E57" s="102"/>
    </row>
    <row r="58" ht="15.75" customHeight="1">
      <c r="E58" s="102"/>
    </row>
    <row r="59" ht="15.75" customHeight="1">
      <c r="E59" s="102"/>
    </row>
    <row r="60" ht="15.75" customHeight="1">
      <c r="E60" s="102"/>
    </row>
    <row r="61" ht="15.75" customHeight="1">
      <c r="E61" s="102"/>
    </row>
    <row r="62" ht="15.75" customHeight="1">
      <c r="E62" s="102"/>
    </row>
    <row r="63" ht="15.75" customHeight="1">
      <c r="E63" s="102"/>
    </row>
    <row r="64" ht="15.75" customHeight="1">
      <c r="E64" s="102"/>
    </row>
    <row r="65" ht="15.75" customHeight="1">
      <c r="E65" s="102"/>
    </row>
    <row r="66" ht="15.75" customHeight="1">
      <c r="E66" s="102"/>
    </row>
    <row r="67" ht="15.75" customHeight="1">
      <c r="E67" s="102"/>
    </row>
    <row r="68" ht="15.75" customHeight="1">
      <c r="E68" s="102"/>
    </row>
    <row r="69" ht="15.75" customHeight="1">
      <c r="E69" s="102"/>
    </row>
    <row r="70" ht="15.75" customHeight="1">
      <c r="E70" s="102"/>
    </row>
    <row r="71" ht="15.75" customHeight="1">
      <c r="E71" s="102"/>
    </row>
    <row r="72" ht="15.75" customHeight="1">
      <c r="E72" s="102"/>
    </row>
    <row r="73" ht="15.75" customHeight="1">
      <c r="E73" s="102"/>
    </row>
    <row r="74" ht="15.75" customHeight="1">
      <c r="E74" s="102"/>
    </row>
    <row r="75" ht="15.75" customHeight="1">
      <c r="E75" s="102"/>
    </row>
    <row r="76" ht="15.75" customHeight="1">
      <c r="E76" s="102"/>
    </row>
    <row r="77" ht="15.75" customHeight="1">
      <c r="E77" s="102"/>
    </row>
    <row r="78" ht="15.75" customHeight="1">
      <c r="E78" s="102"/>
    </row>
    <row r="79" ht="15.75" customHeight="1">
      <c r="E79" s="102"/>
    </row>
    <row r="80" ht="15.75" customHeight="1">
      <c r="E80" s="102"/>
    </row>
    <row r="81" ht="15.75" customHeight="1">
      <c r="E81" s="102"/>
    </row>
    <row r="82" ht="15.75" customHeight="1">
      <c r="E82" s="102"/>
    </row>
    <row r="83" ht="15.75" customHeight="1">
      <c r="E83" s="102"/>
    </row>
    <row r="84" ht="15.75" customHeight="1">
      <c r="E84" s="102"/>
    </row>
    <row r="85" ht="15.75" customHeight="1">
      <c r="E85" s="102"/>
    </row>
    <row r="86" ht="15.75" customHeight="1">
      <c r="E86" s="102"/>
    </row>
    <row r="87" ht="15.75" customHeight="1">
      <c r="E87" s="102"/>
    </row>
    <row r="88" ht="15.75" customHeight="1">
      <c r="E88" s="102"/>
    </row>
    <row r="89" ht="15.75" customHeight="1">
      <c r="E89" s="102"/>
    </row>
    <row r="90" ht="15.75" customHeight="1">
      <c r="E90" s="102"/>
    </row>
    <row r="91" ht="15.75" customHeight="1">
      <c r="E91" s="102"/>
    </row>
    <row r="92" ht="15.75" customHeight="1">
      <c r="E92" s="102"/>
    </row>
    <row r="93" ht="15.75" customHeight="1">
      <c r="E93" s="102"/>
    </row>
    <row r="94" ht="15.75" customHeight="1">
      <c r="E94" s="102"/>
    </row>
    <row r="95" ht="15.75" customHeight="1">
      <c r="E95" s="102"/>
    </row>
    <row r="96" ht="15.75" customHeight="1">
      <c r="E96" s="102"/>
    </row>
    <row r="97" ht="15.75" customHeight="1">
      <c r="E97" s="102"/>
    </row>
    <row r="98" ht="15.75" customHeight="1">
      <c r="E98" s="102"/>
    </row>
    <row r="99" ht="15.75" customHeight="1">
      <c r="E99" s="102"/>
    </row>
    <row r="100" ht="15.75" customHeight="1">
      <c r="E100" s="102"/>
    </row>
    <row r="101" ht="15.75" customHeight="1">
      <c r="E101" s="102"/>
    </row>
    <row r="102" ht="15.75" customHeight="1">
      <c r="E102" s="102"/>
    </row>
    <row r="103" ht="15.75" customHeight="1">
      <c r="E103" s="102"/>
    </row>
    <row r="104" ht="15.75" customHeight="1">
      <c r="E104" s="102"/>
    </row>
    <row r="105" ht="15.75" customHeight="1">
      <c r="E105" s="102"/>
    </row>
    <row r="106" ht="15.75" customHeight="1">
      <c r="E106" s="102"/>
    </row>
    <row r="107" ht="15.75" customHeight="1">
      <c r="E107" s="102"/>
    </row>
    <row r="108" ht="15.75" customHeight="1">
      <c r="E108" s="102"/>
    </row>
    <row r="109" ht="15.75" customHeight="1">
      <c r="E109" s="102"/>
    </row>
    <row r="110" ht="15.75" customHeight="1">
      <c r="E110" s="102"/>
    </row>
    <row r="111" ht="15.75" customHeight="1">
      <c r="E111" s="102"/>
    </row>
    <row r="112" ht="15.75" customHeight="1">
      <c r="E112" s="102"/>
    </row>
    <row r="113" ht="15.75" customHeight="1">
      <c r="E113" s="102"/>
    </row>
    <row r="114" ht="15.75" customHeight="1">
      <c r="E114" s="102"/>
    </row>
    <row r="115" ht="15.75" customHeight="1">
      <c r="E115" s="102"/>
    </row>
    <row r="116" ht="15.75" customHeight="1">
      <c r="E116" s="102"/>
    </row>
    <row r="117" ht="15.75" customHeight="1">
      <c r="E117" s="102"/>
    </row>
    <row r="118" ht="15.75" customHeight="1">
      <c r="E118" s="102"/>
    </row>
    <row r="119" ht="15.75" customHeight="1">
      <c r="E119" s="102"/>
    </row>
    <row r="120" ht="15.75" customHeight="1">
      <c r="E120" s="102"/>
    </row>
    <row r="121" ht="15.75" customHeight="1">
      <c r="E121" s="102"/>
    </row>
    <row r="122" ht="15.75" customHeight="1">
      <c r="E122" s="102"/>
    </row>
    <row r="123" ht="15.75" customHeight="1">
      <c r="E123" s="102"/>
    </row>
    <row r="124" ht="15.75" customHeight="1">
      <c r="E124" s="102"/>
    </row>
    <row r="125" ht="15.75" customHeight="1">
      <c r="E125" s="102"/>
    </row>
    <row r="126" ht="15.75" customHeight="1">
      <c r="E126" s="102"/>
    </row>
    <row r="127" ht="15.75" customHeight="1">
      <c r="E127" s="102"/>
    </row>
    <row r="128" ht="15.75" customHeight="1">
      <c r="E128" s="102"/>
    </row>
    <row r="129" ht="15.75" customHeight="1">
      <c r="E129" s="102"/>
    </row>
    <row r="130" ht="15.75" customHeight="1">
      <c r="E130" s="102"/>
    </row>
    <row r="131" ht="15.75" customHeight="1">
      <c r="E131" s="102"/>
    </row>
    <row r="132" ht="15.75" customHeight="1">
      <c r="E132" s="102"/>
    </row>
    <row r="133" ht="15.75" customHeight="1">
      <c r="E133" s="102"/>
    </row>
    <row r="134" ht="15.75" customHeight="1">
      <c r="E134" s="102"/>
    </row>
    <row r="135" ht="15.75" customHeight="1">
      <c r="E135" s="102"/>
    </row>
    <row r="136" ht="15.75" customHeight="1">
      <c r="E136" s="102"/>
    </row>
    <row r="137" ht="15.75" customHeight="1">
      <c r="E137" s="102"/>
    </row>
    <row r="138" ht="15.75" customHeight="1">
      <c r="E138" s="102"/>
    </row>
    <row r="139" ht="15.75" customHeight="1">
      <c r="E139" s="102"/>
    </row>
    <row r="140" ht="15.75" customHeight="1">
      <c r="E140" s="102"/>
    </row>
    <row r="141" ht="15.75" customHeight="1">
      <c r="E141" s="102"/>
    </row>
    <row r="142" ht="15.75" customHeight="1">
      <c r="E142" s="102"/>
    </row>
    <row r="143" ht="15.75" customHeight="1">
      <c r="E143" s="102"/>
    </row>
    <row r="144" ht="15.75" customHeight="1">
      <c r="E144" s="102"/>
    </row>
    <row r="145" ht="15.75" customHeight="1">
      <c r="E145" s="102"/>
    </row>
    <row r="146" ht="15.75" customHeight="1">
      <c r="E146" s="102"/>
    </row>
    <row r="147" ht="15.75" customHeight="1">
      <c r="E147" s="102"/>
    </row>
    <row r="148" ht="15.75" customHeight="1">
      <c r="E148" s="102"/>
    </row>
    <row r="149" ht="15.75" customHeight="1">
      <c r="E149" s="102"/>
    </row>
    <row r="150" ht="15.75" customHeight="1">
      <c r="E150" s="102"/>
    </row>
    <row r="151" ht="15.75" customHeight="1">
      <c r="E151" s="102"/>
    </row>
    <row r="152" ht="15.75" customHeight="1">
      <c r="E152" s="102"/>
    </row>
    <row r="153" ht="15.75" customHeight="1">
      <c r="E153" s="102"/>
    </row>
    <row r="154" ht="15.75" customHeight="1">
      <c r="E154" s="102"/>
    </row>
    <row r="155" ht="15.75" customHeight="1">
      <c r="E155" s="102"/>
    </row>
    <row r="156" ht="15.75" customHeight="1">
      <c r="E156" s="102"/>
    </row>
    <row r="157" ht="15.75" customHeight="1">
      <c r="E157" s="102"/>
    </row>
    <row r="158" ht="15.75" customHeight="1">
      <c r="E158" s="102"/>
    </row>
    <row r="159" ht="15.75" customHeight="1">
      <c r="E159" s="102"/>
    </row>
    <row r="160" ht="15.75" customHeight="1">
      <c r="E160" s="102"/>
    </row>
    <row r="161" ht="15.75" customHeight="1">
      <c r="E161" s="102"/>
    </row>
    <row r="162" ht="15.75" customHeight="1">
      <c r="E162" s="102"/>
    </row>
    <row r="163" ht="15.75" customHeight="1">
      <c r="E163" s="102"/>
    </row>
    <row r="164" ht="15.75" customHeight="1">
      <c r="E164" s="102"/>
    </row>
    <row r="165" ht="15.75" customHeight="1">
      <c r="E165" s="102"/>
    </row>
    <row r="166" ht="15.75" customHeight="1">
      <c r="E166" s="102"/>
    </row>
    <row r="167" ht="15.75" customHeight="1">
      <c r="E167" s="102"/>
    </row>
    <row r="168" ht="15.75" customHeight="1">
      <c r="E168" s="102"/>
    </row>
    <row r="169" ht="15.75" customHeight="1">
      <c r="E169" s="102"/>
    </row>
    <row r="170" ht="15.75" customHeight="1">
      <c r="E170" s="102"/>
    </row>
    <row r="171" ht="15.75" customHeight="1">
      <c r="E171" s="102"/>
    </row>
    <row r="172" ht="15.75" customHeight="1">
      <c r="E172" s="102"/>
    </row>
    <row r="173" ht="15.75" customHeight="1">
      <c r="E173" s="102"/>
    </row>
    <row r="174" ht="15.75" customHeight="1">
      <c r="E174" s="102"/>
    </row>
    <row r="175" ht="15.75" customHeight="1">
      <c r="E175" s="102"/>
    </row>
    <row r="176" ht="15.75" customHeight="1">
      <c r="E176" s="102"/>
    </row>
    <row r="177" ht="15.75" customHeight="1">
      <c r="E177" s="102"/>
    </row>
    <row r="178" ht="15.75" customHeight="1">
      <c r="E178" s="102"/>
    </row>
    <row r="179" ht="15.75" customHeight="1">
      <c r="E179" s="102"/>
    </row>
    <row r="180" ht="15.75" customHeight="1">
      <c r="E180" s="102"/>
    </row>
    <row r="181" ht="15.75" customHeight="1">
      <c r="E181" s="102"/>
    </row>
    <row r="182" ht="15.75" customHeight="1">
      <c r="E182" s="102"/>
    </row>
    <row r="183" ht="15.75" customHeight="1">
      <c r="E183" s="102"/>
    </row>
    <row r="184" ht="15.75" customHeight="1">
      <c r="E184" s="102"/>
    </row>
    <row r="185" ht="15.75" customHeight="1">
      <c r="E185" s="102"/>
    </row>
    <row r="186" ht="15.75" customHeight="1">
      <c r="E186" s="102"/>
    </row>
    <row r="187" ht="15.75" customHeight="1">
      <c r="E187" s="102"/>
    </row>
    <row r="188" ht="15.75" customHeight="1">
      <c r="E188" s="102"/>
    </row>
    <row r="189" ht="15.75" customHeight="1">
      <c r="E189" s="102"/>
    </row>
    <row r="190" ht="15.75" customHeight="1">
      <c r="E190" s="102"/>
    </row>
    <row r="191" ht="15.75" customHeight="1">
      <c r="E191" s="102"/>
    </row>
    <row r="192" ht="15.75" customHeight="1">
      <c r="E192" s="102"/>
    </row>
    <row r="193" ht="15.75" customHeight="1">
      <c r="E193" s="102"/>
    </row>
    <row r="194" ht="15.75" customHeight="1">
      <c r="E194" s="102"/>
    </row>
    <row r="195" ht="15.75" customHeight="1">
      <c r="E195" s="102"/>
    </row>
    <row r="196" ht="15.75" customHeight="1">
      <c r="E196" s="102"/>
    </row>
    <row r="197" ht="15.75" customHeight="1">
      <c r="E197" s="102"/>
    </row>
    <row r="198" ht="15.75" customHeight="1">
      <c r="E198" s="102"/>
    </row>
    <row r="199" ht="15.75" customHeight="1">
      <c r="E199" s="102"/>
    </row>
    <row r="200" ht="15.75" customHeight="1">
      <c r="E200" s="102"/>
    </row>
    <row r="201" ht="15.75" customHeight="1">
      <c r="E201" s="102"/>
    </row>
    <row r="202" ht="15.75" customHeight="1">
      <c r="E202" s="102"/>
    </row>
    <row r="203" ht="15.75" customHeight="1">
      <c r="E203" s="102"/>
    </row>
    <row r="204" ht="15.75" customHeight="1">
      <c r="E204" s="102"/>
    </row>
    <row r="205" ht="15.75" customHeight="1">
      <c r="E205" s="102"/>
    </row>
    <row r="206" ht="15.75" customHeight="1">
      <c r="E206" s="102"/>
    </row>
    <row r="207" ht="15.75" customHeight="1">
      <c r="E207" s="102"/>
    </row>
    <row r="208" ht="15.75" customHeight="1">
      <c r="E208" s="102"/>
    </row>
    <row r="209" ht="15.75" customHeight="1">
      <c r="E209" s="102"/>
    </row>
    <row r="210" ht="15.75" customHeight="1">
      <c r="E210" s="102"/>
    </row>
    <row r="211" ht="15.75" customHeight="1">
      <c r="E211" s="102"/>
    </row>
    <row r="212" ht="15.75" customHeight="1">
      <c r="E212" s="102"/>
    </row>
    <row r="213" ht="15.75" customHeight="1">
      <c r="E213" s="102"/>
    </row>
    <row r="214" ht="15.75" customHeight="1">
      <c r="E214" s="102"/>
    </row>
    <row r="215" ht="15.75" customHeight="1">
      <c r="E215" s="102"/>
    </row>
    <row r="216" ht="15.75" customHeight="1">
      <c r="E216" s="102"/>
    </row>
    <row r="217" ht="15.75" customHeight="1">
      <c r="E217" s="102"/>
    </row>
    <row r="218" ht="15.75" customHeight="1">
      <c r="E218" s="102"/>
    </row>
    <row r="219" ht="15.75" customHeight="1">
      <c r="E219" s="102"/>
    </row>
    <row r="220" ht="15.75" customHeight="1">
      <c r="E220" s="102"/>
    </row>
    <row r="221" ht="15.75" customHeight="1">
      <c r="E221" s="102"/>
    </row>
    <row r="222" ht="15.75" customHeight="1">
      <c r="E222" s="102"/>
    </row>
    <row r="223" ht="15.75" customHeight="1">
      <c r="E223" s="102"/>
    </row>
    <row r="224" ht="15.75" customHeight="1">
      <c r="E224" s="102"/>
    </row>
    <row r="225" ht="15.75" customHeight="1">
      <c r="E225" s="102"/>
    </row>
    <row r="226" ht="15.75" customHeight="1">
      <c r="E226" s="102"/>
    </row>
    <row r="227" ht="15.75" customHeight="1">
      <c r="E227" s="102"/>
    </row>
    <row r="228" ht="15.75" customHeight="1">
      <c r="E228" s="102"/>
    </row>
    <row r="229" ht="15.75" customHeight="1">
      <c r="E229" s="102"/>
    </row>
    <row r="230" ht="15.75" customHeight="1">
      <c r="E230" s="102"/>
    </row>
    <row r="231" ht="15.75" customHeight="1">
      <c r="E231" s="102"/>
    </row>
    <row r="232" ht="15.75" customHeight="1">
      <c r="E232" s="102"/>
    </row>
    <row r="233" ht="15.75" customHeight="1">
      <c r="E233" s="102"/>
    </row>
    <row r="234" ht="15.75" customHeight="1">
      <c r="E234" s="102"/>
    </row>
    <row r="235" ht="15.75" customHeight="1">
      <c r="E235" s="102"/>
    </row>
    <row r="236" ht="15.75" customHeight="1">
      <c r="E236" s="102"/>
    </row>
    <row r="237" ht="15.75" customHeight="1">
      <c r="E237" s="102"/>
    </row>
    <row r="238" ht="15.75" customHeight="1">
      <c r="E238" s="102"/>
    </row>
    <row r="239" ht="15.75" customHeight="1">
      <c r="E239" s="102"/>
    </row>
    <row r="240" ht="15.75" customHeight="1">
      <c r="E240" s="102"/>
    </row>
    <row r="241" ht="15.75" customHeight="1">
      <c r="E241" s="102"/>
    </row>
    <row r="242" ht="15.75" customHeight="1">
      <c r="E242" s="102"/>
    </row>
    <row r="243" ht="15.75" customHeight="1">
      <c r="E243" s="102"/>
    </row>
    <row r="244" ht="15.75" customHeight="1">
      <c r="E244" s="102"/>
    </row>
    <row r="245" ht="15.75" customHeight="1">
      <c r="E245" s="102"/>
    </row>
    <row r="246" ht="15.75" customHeight="1">
      <c r="E246" s="102"/>
    </row>
    <row r="247" ht="15.75" customHeight="1">
      <c r="E247" s="102"/>
    </row>
    <row r="248" ht="15.75" customHeight="1">
      <c r="E248" s="102"/>
    </row>
    <row r="249" ht="15.75" customHeight="1">
      <c r="E249" s="102"/>
    </row>
    <row r="250" ht="15.75" customHeight="1">
      <c r="E250" s="102"/>
    </row>
    <row r="251" ht="15.75" customHeight="1">
      <c r="E251" s="102"/>
    </row>
    <row r="252" ht="15.75" customHeight="1">
      <c r="E252" s="102"/>
    </row>
    <row r="253" ht="15.75" customHeight="1">
      <c r="E253" s="102"/>
    </row>
    <row r="254" ht="15.75" customHeight="1">
      <c r="E254" s="102"/>
    </row>
    <row r="255" ht="15.75" customHeight="1">
      <c r="E255" s="102"/>
    </row>
    <row r="256" ht="15.75" customHeight="1">
      <c r="E256" s="102"/>
    </row>
    <row r="257" ht="15.75" customHeight="1">
      <c r="E257" s="102"/>
    </row>
    <row r="258" ht="15.75" customHeight="1">
      <c r="E258" s="102"/>
    </row>
    <row r="259" ht="15.75" customHeight="1">
      <c r="E259" s="102"/>
    </row>
    <row r="260" ht="15.75" customHeight="1">
      <c r="E260" s="102"/>
    </row>
    <row r="261" ht="15.75" customHeight="1">
      <c r="E261" s="102"/>
    </row>
    <row r="262" ht="15.75" customHeight="1">
      <c r="E262" s="102"/>
    </row>
    <row r="263" ht="15.75" customHeight="1">
      <c r="E263" s="102"/>
    </row>
    <row r="264" ht="15.75" customHeight="1">
      <c r="E264" s="102"/>
    </row>
    <row r="265" ht="15.75" customHeight="1">
      <c r="E265" s="102"/>
    </row>
    <row r="266" ht="15.75" customHeight="1">
      <c r="E266" s="102"/>
    </row>
    <row r="267" ht="15.75" customHeight="1">
      <c r="E267" s="102"/>
    </row>
    <row r="268" ht="15.75" customHeight="1">
      <c r="E268" s="102"/>
    </row>
    <row r="269" ht="15.75" customHeight="1">
      <c r="E269" s="102"/>
    </row>
    <row r="270" ht="15.75" customHeight="1">
      <c r="E270" s="102"/>
    </row>
    <row r="271" ht="15.75" customHeight="1">
      <c r="E271" s="102"/>
    </row>
    <row r="272" ht="15.75" customHeight="1">
      <c r="E272" s="102"/>
    </row>
    <row r="273" ht="15.75" customHeight="1">
      <c r="E273" s="102"/>
    </row>
    <row r="274" ht="15.75" customHeight="1">
      <c r="E274" s="102"/>
    </row>
    <row r="275" ht="15.75" customHeight="1">
      <c r="E275" s="102"/>
    </row>
    <row r="276" ht="15.75" customHeight="1">
      <c r="E276" s="102"/>
    </row>
    <row r="277" ht="15.75" customHeight="1">
      <c r="E277" s="102"/>
    </row>
    <row r="278" ht="15.75" customHeight="1">
      <c r="E278" s="102"/>
    </row>
    <row r="279" ht="15.75" customHeight="1">
      <c r="E279" s="102"/>
    </row>
    <row r="280" ht="15.75" customHeight="1">
      <c r="E280" s="102"/>
    </row>
    <row r="281" ht="15.75" customHeight="1">
      <c r="E281" s="102"/>
    </row>
    <row r="282" ht="15.75" customHeight="1">
      <c r="E282" s="102"/>
    </row>
    <row r="283" ht="15.75" customHeight="1">
      <c r="E283" s="102"/>
    </row>
    <row r="284" ht="15.75" customHeight="1">
      <c r="E284" s="102"/>
    </row>
    <row r="285" ht="15.75" customHeight="1">
      <c r="E285" s="102"/>
    </row>
    <row r="286" ht="15.75" customHeight="1">
      <c r="E286" s="102"/>
    </row>
    <row r="287" ht="15.75" customHeight="1">
      <c r="E287" s="102"/>
    </row>
    <row r="288" ht="15.75" customHeight="1">
      <c r="E288" s="102"/>
    </row>
    <row r="289" ht="15.75" customHeight="1">
      <c r="E289" s="102"/>
    </row>
    <row r="290" ht="15.75" customHeight="1">
      <c r="E290" s="102"/>
    </row>
    <row r="291" ht="15.75" customHeight="1">
      <c r="E291" s="102"/>
    </row>
    <row r="292" ht="15.75" customHeight="1">
      <c r="E292" s="102"/>
    </row>
    <row r="293" ht="15.75" customHeight="1">
      <c r="E293" s="102"/>
    </row>
    <row r="294" ht="15.75" customHeight="1">
      <c r="E294" s="102"/>
    </row>
    <row r="295" ht="15.75" customHeight="1">
      <c r="E295" s="102"/>
    </row>
    <row r="296" ht="15.75" customHeight="1">
      <c r="E296" s="102"/>
    </row>
    <row r="297" ht="15.75" customHeight="1">
      <c r="E297" s="102"/>
    </row>
    <row r="298" ht="15.75" customHeight="1">
      <c r="E298" s="102"/>
    </row>
    <row r="299" ht="15.75" customHeight="1">
      <c r="E299" s="102"/>
    </row>
    <row r="300" ht="15.75" customHeight="1">
      <c r="E300" s="102"/>
    </row>
    <row r="301" ht="15.75" customHeight="1">
      <c r="E301" s="102"/>
    </row>
    <row r="302" ht="15.75" customHeight="1">
      <c r="E302" s="102"/>
    </row>
    <row r="303" ht="15.75" customHeight="1">
      <c r="E303" s="102"/>
    </row>
    <row r="304" ht="15.75" customHeight="1">
      <c r="E304" s="102"/>
    </row>
    <row r="305" ht="15.75" customHeight="1">
      <c r="E305" s="102"/>
    </row>
    <row r="306" ht="15.75" customHeight="1">
      <c r="E306" s="102"/>
    </row>
    <row r="307" ht="15.75" customHeight="1">
      <c r="E307" s="102"/>
    </row>
    <row r="308" ht="15.75" customHeight="1">
      <c r="E308" s="102"/>
    </row>
    <row r="309" ht="15.75" customHeight="1">
      <c r="E309" s="102"/>
    </row>
    <row r="310" ht="15.75" customHeight="1">
      <c r="E310" s="102"/>
    </row>
    <row r="311" ht="15.75" customHeight="1">
      <c r="E311" s="102"/>
    </row>
    <row r="312" ht="15.75" customHeight="1">
      <c r="E312" s="102"/>
    </row>
    <row r="313" ht="15.75" customHeight="1">
      <c r="E313" s="102"/>
    </row>
    <row r="314" ht="15.75" customHeight="1">
      <c r="E314" s="102"/>
    </row>
    <row r="315" ht="15.75" customHeight="1">
      <c r="E315" s="102"/>
    </row>
    <row r="316" ht="15.75" customHeight="1">
      <c r="E316" s="102"/>
    </row>
    <row r="317" ht="15.75" customHeight="1">
      <c r="E317" s="102"/>
    </row>
    <row r="318" ht="15.75" customHeight="1">
      <c r="E318" s="102"/>
    </row>
    <row r="319" ht="15.75" customHeight="1">
      <c r="E319" s="102"/>
    </row>
    <row r="320" ht="15.75" customHeight="1">
      <c r="E320" s="102"/>
    </row>
    <row r="321" ht="15.75" customHeight="1">
      <c r="E321" s="102"/>
    </row>
    <row r="322" ht="15.75" customHeight="1">
      <c r="E322" s="102"/>
    </row>
    <row r="323" ht="15.75" customHeight="1">
      <c r="E323" s="102"/>
    </row>
    <row r="324" ht="15.75" customHeight="1">
      <c r="E324" s="102"/>
    </row>
    <row r="325" ht="15.75" customHeight="1">
      <c r="E325" s="102"/>
    </row>
    <row r="326" ht="15.75" customHeight="1">
      <c r="E326" s="102"/>
    </row>
    <row r="327" ht="15.75" customHeight="1">
      <c r="E327" s="102"/>
    </row>
    <row r="328" ht="15.75" customHeight="1">
      <c r="E328" s="102"/>
    </row>
    <row r="329" ht="15.75" customHeight="1">
      <c r="E329" s="102"/>
    </row>
    <row r="330" ht="15.75" customHeight="1">
      <c r="E330" s="102"/>
    </row>
    <row r="331" ht="15.75" customHeight="1">
      <c r="E331" s="102"/>
    </row>
    <row r="332" ht="15.75" customHeight="1">
      <c r="E332" s="102"/>
    </row>
    <row r="333" ht="15.75" customHeight="1">
      <c r="E333" s="102"/>
    </row>
    <row r="334" ht="15.75" customHeight="1">
      <c r="E334" s="102"/>
    </row>
    <row r="335" ht="15.75" customHeight="1">
      <c r="E335" s="102"/>
    </row>
    <row r="336" ht="15.75" customHeight="1">
      <c r="E336" s="102"/>
    </row>
    <row r="337" ht="15.75" customHeight="1">
      <c r="E337" s="102"/>
    </row>
    <row r="338" ht="15.75" customHeight="1">
      <c r="E338" s="102"/>
    </row>
    <row r="339" ht="15.75" customHeight="1">
      <c r="E339" s="102"/>
    </row>
    <row r="340" ht="15.75" customHeight="1">
      <c r="E340" s="102"/>
    </row>
    <row r="341" ht="15.75" customHeight="1">
      <c r="E341" s="102"/>
    </row>
    <row r="342" ht="15.75" customHeight="1">
      <c r="E342" s="102"/>
    </row>
    <row r="343" ht="15.75" customHeight="1">
      <c r="E343" s="102"/>
    </row>
    <row r="344" ht="15.75" customHeight="1">
      <c r="E344" s="102"/>
    </row>
    <row r="345" ht="15.75" customHeight="1">
      <c r="E345" s="102"/>
    </row>
    <row r="346" ht="15.75" customHeight="1">
      <c r="E346" s="102"/>
    </row>
    <row r="347" ht="15.75" customHeight="1">
      <c r="E347" s="102"/>
    </row>
    <row r="348" ht="15.75" customHeight="1">
      <c r="E348" s="102"/>
    </row>
    <row r="349" ht="15.75" customHeight="1">
      <c r="E349" s="102"/>
    </row>
    <row r="350" ht="15.75" customHeight="1">
      <c r="E350" s="102"/>
    </row>
    <row r="351" ht="15.75" customHeight="1">
      <c r="E351" s="102"/>
    </row>
    <row r="352" ht="15.75" customHeight="1">
      <c r="E352" s="102"/>
    </row>
    <row r="353" ht="15.75" customHeight="1">
      <c r="E353" s="102"/>
    </row>
    <row r="354" ht="15.75" customHeight="1">
      <c r="E354" s="102"/>
    </row>
    <row r="355" ht="15.75" customHeight="1">
      <c r="E355" s="102"/>
    </row>
    <row r="356" ht="15.75" customHeight="1">
      <c r="E356" s="102"/>
    </row>
    <row r="357" ht="15.75" customHeight="1">
      <c r="E357" s="102"/>
    </row>
    <row r="358" ht="15.75" customHeight="1">
      <c r="E358" s="102"/>
    </row>
    <row r="359" ht="15.75" customHeight="1">
      <c r="E359" s="102"/>
    </row>
    <row r="360" ht="15.75" customHeight="1">
      <c r="E360" s="102"/>
    </row>
    <row r="361" ht="15.75" customHeight="1">
      <c r="E361" s="102"/>
    </row>
    <row r="362" ht="15.75" customHeight="1">
      <c r="E362" s="102"/>
    </row>
    <row r="363" ht="15.75" customHeight="1">
      <c r="E363" s="102"/>
    </row>
    <row r="364" ht="15.75" customHeight="1">
      <c r="E364" s="102"/>
    </row>
    <row r="365" ht="15.75" customHeight="1">
      <c r="E365" s="102"/>
    </row>
    <row r="366" ht="15.75" customHeight="1">
      <c r="E366" s="102"/>
    </row>
    <row r="367" ht="15.75" customHeight="1">
      <c r="E367" s="102"/>
    </row>
    <row r="368" ht="15.75" customHeight="1">
      <c r="E368" s="102"/>
    </row>
    <row r="369" ht="15.75" customHeight="1">
      <c r="E369" s="102"/>
    </row>
    <row r="370" ht="15.75" customHeight="1">
      <c r="E370" s="102"/>
    </row>
    <row r="371" ht="15.75" customHeight="1">
      <c r="E371" s="102"/>
    </row>
    <row r="372" ht="15.75" customHeight="1">
      <c r="E372" s="102"/>
    </row>
    <row r="373" ht="15.75" customHeight="1">
      <c r="E373" s="102"/>
    </row>
    <row r="374" ht="15.75" customHeight="1">
      <c r="E374" s="102"/>
    </row>
    <row r="375" ht="15.75" customHeight="1">
      <c r="E375" s="102"/>
    </row>
    <row r="376" ht="15.75" customHeight="1">
      <c r="E376" s="102"/>
    </row>
    <row r="377" ht="15.75" customHeight="1">
      <c r="E377" s="102"/>
    </row>
    <row r="378" ht="15.75" customHeight="1">
      <c r="E378" s="102"/>
    </row>
    <row r="379" ht="15.75" customHeight="1">
      <c r="E379" s="102"/>
    </row>
    <row r="380" ht="15.75" customHeight="1">
      <c r="E380" s="102"/>
    </row>
    <row r="381" ht="15.75" customHeight="1">
      <c r="E381" s="102"/>
    </row>
    <row r="382" ht="15.75" customHeight="1">
      <c r="E382" s="102"/>
    </row>
    <row r="383" ht="15.75" customHeight="1">
      <c r="E383" s="102"/>
    </row>
    <row r="384" ht="15.75" customHeight="1">
      <c r="E384" s="102"/>
    </row>
    <row r="385" ht="15.75" customHeight="1">
      <c r="E385" s="102"/>
    </row>
    <row r="386" ht="15.75" customHeight="1">
      <c r="E386" s="102"/>
    </row>
    <row r="387" ht="15.75" customHeight="1">
      <c r="E387" s="102"/>
    </row>
    <row r="388" ht="15.75" customHeight="1">
      <c r="E388" s="102"/>
    </row>
    <row r="389" ht="15.75" customHeight="1">
      <c r="E389" s="102"/>
    </row>
    <row r="390" ht="15.75" customHeight="1">
      <c r="E390" s="102"/>
    </row>
    <row r="391" ht="15.75" customHeight="1">
      <c r="E391" s="102"/>
    </row>
    <row r="392" ht="15.75" customHeight="1">
      <c r="E392" s="102"/>
    </row>
    <row r="393" ht="15.75" customHeight="1">
      <c r="E393" s="102"/>
    </row>
    <row r="394" ht="15.75" customHeight="1">
      <c r="E394" s="102"/>
    </row>
    <row r="395" ht="15.75" customHeight="1">
      <c r="E395" s="102"/>
    </row>
    <row r="396" ht="15.75" customHeight="1">
      <c r="E396" s="102"/>
    </row>
    <row r="397" ht="15.75" customHeight="1">
      <c r="E397" s="102"/>
    </row>
    <row r="398" ht="15.75" customHeight="1">
      <c r="E398" s="102"/>
    </row>
    <row r="399" ht="15.75" customHeight="1">
      <c r="E399" s="102"/>
    </row>
    <row r="400" ht="15.75" customHeight="1">
      <c r="E400" s="102"/>
    </row>
    <row r="401" ht="15.75" customHeight="1">
      <c r="E401" s="102"/>
    </row>
    <row r="402" ht="15.75" customHeight="1">
      <c r="E402" s="102"/>
    </row>
    <row r="403" ht="15.75" customHeight="1">
      <c r="E403" s="102"/>
    </row>
    <row r="404" ht="15.75" customHeight="1">
      <c r="E404" s="102"/>
    </row>
    <row r="405" ht="15.75" customHeight="1">
      <c r="E405" s="102"/>
    </row>
    <row r="406" ht="15.75" customHeight="1">
      <c r="E406" s="102"/>
    </row>
    <row r="407" ht="15.75" customHeight="1">
      <c r="E407" s="102"/>
    </row>
    <row r="408" ht="15.75" customHeight="1">
      <c r="E408" s="102"/>
    </row>
    <row r="409" ht="15.75" customHeight="1">
      <c r="E409" s="102"/>
    </row>
    <row r="410" ht="15.75" customHeight="1">
      <c r="E410" s="102"/>
    </row>
    <row r="411" ht="15.75" customHeight="1">
      <c r="E411" s="102"/>
    </row>
    <row r="412" ht="15.75" customHeight="1">
      <c r="E412" s="102"/>
    </row>
    <row r="413" ht="15.75" customHeight="1">
      <c r="E413" s="102"/>
    </row>
    <row r="414" ht="15.75" customHeight="1">
      <c r="E414" s="102"/>
    </row>
    <row r="415" ht="15.75" customHeight="1">
      <c r="E415" s="102"/>
    </row>
    <row r="416" ht="15.75" customHeight="1">
      <c r="E416" s="102"/>
    </row>
    <row r="417" ht="15.75" customHeight="1">
      <c r="E417" s="102"/>
    </row>
    <row r="418" ht="15.75" customHeight="1">
      <c r="E418" s="102"/>
    </row>
    <row r="419" ht="15.75" customHeight="1">
      <c r="E419" s="102"/>
    </row>
    <row r="420" ht="15.75" customHeight="1">
      <c r="E420" s="102"/>
    </row>
    <row r="421" ht="15.75" customHeight="1">
      <c r="E421" s="102"/>
    </row>
    <row r="422" ht="15.75" customHeight="1">
      <c r="E422" s="102"/>
    </row>
    <row r="423" ht="15.75" customHeight="1">
      <c r="E423" s="102"/>
    </row>
    <row r="424" ht="15.75" customHeight="1">
      <c r="E424" s="102"/>
    </row>
    <row r="425" ht="15.75" customHeight="1">
      <c r="E425" s="102"/>
    </row>
    <row r="426" ht="15.75" customHeight="1">
      <c r="E426" s="102"/>
    </row>
    <row r="427" ht="15.75" customHeight="1">
      <c r="E427" s="102"/>
    </row>
    <row r="428" ht="15.75" customHeight="1">
      <c r="E428" s="102"/>
    </row>
    <row r="429" ht="15.75" customHeight="1">
      <c r="E429" s="102"/>
    </row>
    <row r="430" ht="15.75" customHeight="1">
      <c r="E430" s="102"/>
    </row>
    <row r="431" ht="15.75" customHeight="1">
      <c r="E431" s="102"/>
    </row>
    <row r="432" ht="15.75" customHeight="1">
      <c r="E432" s="102"/>
    </row>
    <row r="433" ht="15.75" customHeight="1">
      <c r="E433" s="102"/>
    </row>
    <row r="434" ht="15.75" customHeight="1">
      <c r="E434" s="102"/>
    </row>
    <row r="435" ht="15.75" customHeight="1">
      <c r="E435" s="102"/>
    </row>
    <row r="436" ht="15.75" customHeight="1">
      <c r="E436" s="102"/>
    </row>
    <row r="437" ht="15.75" customHeight="1">
      <c r="E437" s="102"/>
    </row>
    <row r="438" ht="15.75" customHeight="1">
      <c r="E438" s="102"/>
    </row>
    <row r="439" ht="15.75" customHeight="1">
      <c r="E439" s="102"/>
    </row>
    <row r="440" ht="15.75" customHeight="1">
      <c r="E440" s="102"/>
    </row>
    <row r="441" ht="15.75" customHeight="1">
      <c r="E441" s="102"/>
    </row>
    <row r="442" ht="15.75" customHeight="1">
      <c r="E442" s="102"/>
    </row>
    <row r="443" ht="15.75" customHeight="1">
      <c r="E443" s="102"/>
    </row>
    <row r="444" ht="15.75" customHeight="1">
      <c r="E444" s="102"/>
    </row>
    <row r="445" ht="15.75" customHeight="1">
      <c r="E445" s="102"/>
    </row>
    <row r="446" ht="15.75" customHeight="1">
      <c r="E446" s="102"/>
    </row>
    <row r="447" ht="15.75" customHeight="1">
      <c r="E447" s="102"/>
    </row>
    <row r="448" ht="15.75" customHeight="1">
      <c r="E448" s="102"/>
    </row>
    <row r="449" ht="15.75" customHeight="1">
      <c r="E449" s="102"/>
    </row>
    <row r="450" ht="15.75" customHeight="1">
      <c r="E450" s="102"/>
    </row>
    <row r="451" ht="15.75" customHeight="1">
      <c r="E451" s="102"/>
    </row>
    <row r="452" ht="15.75" customHeight="1">
      <c r="E452" s="102"/>
    </row>
    <row r="453" ht="15.75" customHeight="1">
      <c r="E453" s="102"/>
    </row>
    <row r="454" ht="15.75" customHeight="1">
      <c r="E454" s="102"/>
    </row>
    <row r="455" ht="15.75" customHeight="1">
      <c r="E455" s="102"/>
    </row>
    <row r="456" ht="15.75" customHeight="1">
      <c r="E456" s="102"/>
    </row>
    <row r="457" ht="15.75" customHeight="1">
      <c r="E457" s="102"/>
    </row>
    <row r="458" ht="15.75" customHeight="1">
      <c r="E458" s="102"/>
    </row>
    <row r="459" ht="15.75" customHeight="1">
      <c r="E459" s="102"/>
    </row>
    <row r="460" ht="15.75" customHeight="1">
      <c r="E460" s="102"/>
    </row>
    <row r="461" ht="15.75" customHeight="1">
      <c r="E461" s="102"/>
    </row>
    <row r="462" ht="15.75" customHeight="1">
      <c r="E462" s="102"/>
    </row>
    <row r="463" ht="15.75" customHeight="1">
      <c r="E463" s="102"/>
    </row>
    <row r="464" ht="15.75" customHeight="1">
      <c r="E464" s="102"/>
    </row>
    <row r="465" ht="15.75" customHeight="1">
      <c r="E465" s="102"/>
    </row>
    <row r="466" ht="15.75" customHeight="1">
      <c r="E466" s="102"/>
    </row>
    <row r="467" ht="15.75" customHeight="1">
      <c r="E467" s="102"/>
    </row>
    <row r="468" ht="15.75" customHeight="1">
      <c r="E468" s="102"/>
    </row>
    <row r="469" ht="15.75" customHeight="1">
      <c r="E469" s="102"/>
    </row>
    <row r="470" ht="15.75" customHeight="1">
      <c r="E470" s="102"/>
    </row>
    <row r="471" ht="15.75" customHeight="1">
      <c r="E471" s="102"/>
    </row>
    <row r="472" ht="15.75" customHeight="1">
      <c r="E472" s="102"/>
    </row>
    <row r="473" ht="15.75" customHeight="1">
      <c r="E473" s="102"/>
    </row>
    <row r="474" ht="15.75" customHeight="1">
      <c r="E474" s="102"/>
    </row>
    <row r="475" ht="15.75" customHeight="1">
      <c r="E475" s="102"/>
    </row>
    <row r="476" ht="15.75" customHeight="1">
      <c r="E476" s="102"/>
    </row>
    <row r="477" ht="15.75" customHeight="1">
      <c r="E477" s="102"/>
    </row>
    <row r="478" ht="15.75" customHeight="1">
      <c r="E478" s="102"/>
    </row>
    <row r="479" ht="15.75" customHeight="1">
      <c r="E479" s="102"/>
    </row>
    <row r="480" ht="15.75" customHeight="1">
      <c r="E480" s="102"/>
    </row>
    <row r="481" ht="15.75" customHeight="1">
      <c r="E481" s="102"/>
    </row>
    <row r="482" ht="15.75" customHeight="1">
      <c r="E482" s="102"/>
    </row>
    <row r="483" ht="15.75" customHeight="1">
      <c r="E483" s="102"/>
    </row>
    <row r="484" ht="15.75" customHeight="1">
      <c r="E484" s="102"/>
    </row>
    <row r="485" ht="15.75" customHeight="1">
      <c r="E485" s="102"/>
    </row>
    <row r="486" ht="15.75" customHeight="1">
      <c r="E486" s="102"/>
    </row>
    <row r="487" ht="15.75" customHeight="1">
      <c r="E487" s="102"/>
    </row>
    <row r="488" ht="15.75" customHeight="1">
      <c r="E488" s="102"/>
    </row>
    <row r="489" ht="15.75" customHeight="1">
      <c r="E489" s="102"/>
    </row>
    <row r="490" ht="15.75" customHeight="1">
      <c r="E490" s="102"/>
    </row>
    <row r="491" ht="15.75" customHeight="1">
      <c r="E491" s="102"/>
    </row>
    <row r="492" ht="15.75" customHeight="1">
      <c r="E492" s="102"/>
    </row>
    <row r="493" ht="15.75" customHeight="1">
      <c r="E493" s="102"/>
    </row>
    <row r="494" ht="15.75" customHeight="1">
      <c r="E494" s="102"/>
    </row>
    <row r="495" ht="15.75" customHeight="1">
      <c r="E495" s="102"/>
    </row>
    <row r="496" ht="15.75" customHeight="1">
      <c r="E496" s="102"/>
    </row>
    <row r="497" ht="15.75" customHeight="1">
      <c r="E497" s="102"/>
    </row>
    <row r="498" ht="15.75" customHeight="1">
      <c r="E498" s="102"/>
    </row>
    <row r="499" ht="15.75" customHeight="1">
      <c r="E499" s="102"/>
    </row>
    <row r="500" ht="15.75" customHeight="1">
      <c r="E500" s="102"/>
    </row>
    <row r="501" ht="15.75" customHeight="1">
      <c r="E501" s="102"/>
    </row>
    <row r="502" ht="15.75" customHeight="1">
      <c r="E502" s="102"/>
    </row>
    <row r="503" ht="15.75" customHeight="1">
      <c r="E503" s="102"/>
    </row>
    <row r="504" ht="15.75" customHeight="1">
      <c r="E504" s="102"/>
    </row>
    <row r="505" ht="15.75" customHeight="1">
      <c r="E505" s="102"/>
    </row>
    <row r="506" ht="15.75" customHeight="1">
      <c r="E506" s="102"/>
    </row>
    <row r="507" ht="15.75" customHeight="1">
      <c r="E507" s="102"/>
    </row>
    <row r="508" ht="15.75" customHeight="1">
      <c r="E508" s="102"/>
    </row>
    <row r="509" ht="15.75" customHeight="1">
      <c r="E509" s="102"/>
    </row>
    <row r="510" ht="15.75" customHeight="1">
      <c r="E510" s="102"/>
    </row>
    <row r="511" ht="15.75" customHeight="1">
      <c r="E511" s="102"/>
    </row>
    <row r="512" ht="15.75" customHeight="1">
      <c r="E512" s="102"/>
    </row>
    <row r="513" ht="15.75" customHeight="1">
      <c r="E513" s="102"/>
    </row>
    <row r="514" ht="15.75" customHeight="1">
      <c r="E514" s="102"/>
    </row>
    <row r="515" ht="15.75" customHeight="1">
      <c r="E515" s="102"/>
    </row>
    <row r="516" ht="15.75" customHeight="1">
      <c r="E516" s="102"/>
    </row>
    <row r="517" ht="15.75" customHeight="1">
      <c r="E517" s="102"/>
    </row>
    <row r="518" ht="15.75" customHeight="1">
      <c r="E518" s="102"/>
    </row>
    <row r="519" ht="15.75" customHeight="1">
      <c r="E519" s="102"/>
    </row>
    <row r="520" ht="15.75" customHeight="1">
      <c r="E520" s="102"/>
    </row>
    <row r="521" ht="15.75" customHeight="1">
      <c r="E521" s="102"/>
    </row>
    <row r="522" ht="15.75" customHeight="1">
      <c r="E522" s="102"/>
    </row>
    <row r="523" ht="15.75" customHeight="1">
      <c r="E523" s="102"/>
    </row>
    <row r="524" ht="15.75" customHeight="1">
      <c r="E524" s="102"/>
    </row>
    <row r="525" ht="15.75" customHeight="1">
      <c r="E525" s="102"/>
    </row>
    <row r="526" ht="15.75" customHeight="1">
      <c r="E526" s="102"/>
    </row>
    <row r="527" ht="15.75" customHeight="1">
      <c r="E527" s="102"/>
    </row>
    <row r="528" ht="15.75" customHeight="1">
      <c r="E528" s="102"/>
    </row>
    <row r="529" ht="15.75" customHeight="1">
      <c r="E529" s="102"/>
    </row>
    <row r="530" ht="15.75" customHeight="1">
      <c r="E530" s="102"/>
    </row>
    <row r="531" ht="15.75" customHeight="1">
      <c r="E531" s="102"/>
    </row>
    <row r="532" ht="15.75" customHeight="1">
      <c r="E532" s="102"/>
    </row>
    <row r="533" ht="15.75" customHeight="1">
      <c r="E533" s="102"/>
    </row>
    <row r="534" ht="15.75" customHeight="1">
      <c r="E534" s="102"/>
    </row>
    <row r="535" ht="15.75" customHeight="1">
      <c r="E535" s="102"/>
    </row>
    <row r="536" ht="15.75" customHeight="1">
      <c r="E536" s="102"/>
    </row>
    <row r="537" ht="15.75" customHeight="1">
      <c r="E537" s="102"/>
    </row>
    <row r="538" ht="15.75" customHeight="1">
      <c r="E538" s="102"/>
    </row>
    <row r="539" ht="15.75" customHeight="1">
      <c r="E539" s="102"/>
    </row>
    <row r="540" ht="15.75" customHeight="1">
      <c r="E540" s="102"/>
    </row>
    <row r="541" ht="15.75" customHeight="1">
      <c r="E541" s="102"/>
    </row>
    <row r="542" ht="15.75" customHeight="1">
      <c r="E542" s="102"/>
    </row>
    <row r="543" ht="15.75" customHeight="1">
      <c r="E543" s="102"/>
    </row>
    <row r="544" ht="15.75" customHeight="1">
      <c r="E544" s="102"/>
    </row>
    <row r="545" ht="15.75" customHeight="1">
      <c r="E545" s="102"/>
    </row>
    <row r="546" ht="15.75" customHeight="1">
      <c r="E546" s="102"/>
    </row>
    <row r="547" ht="15.75" customHeight="1">
      <c r="E547" s="102"/>
    </row>
    <row r="548" ht="15.75" customHeight="1">
      <c r="E548" s="102"/>
    </row>
    <row r="549" ht="15.75" customHeight="1">
      <c r="E549" s="102"/>
    </row>
    <row r="550" ht="15.75" customHeight="1">
      <c r="E550" s="102"/>
    </row>
    <row r="551" ht="15.75" customHeight="1">
      <c r="E551" s="102"/>
    </row>
    <row r="552" ht="15.75" customHeight="1">
      <c r="E552" s="102"/>
    </row>
    <row r="553" ht="15.75" customHeight="1">
      <c r="E553" s="102"/>
    </row>
    <row r="554" ht="15.75" customHeight="1">
      <c r="E554" s="102"/>
    </row>
    <row r="555" ht="15.75" customHeight="1">
      <c r="E555" s="102"/>
    </row>
    <row r="556" ht="15.75" customHeight="1">
      <c r="E556" s="102"/>
    </row>
    <row r="557" ht="15.75" customHeight="1">
      <c r="E557" s="102"/>
    </row>
    <row r="558" ht="15.75" customHeight="1">
      <c r="E558" s="102"/>
    </row>
    <row r="559" ht="15.75" customHeight="1">
      <c r="E559" s="102"/>
    </row>
    <row r="560" ht="15.75" customHeight="1">
      <c r="E560" s="102"/>
    </row>
    <row r="561" ht="15.75" customHeight="1">
      <c r="E561" s="102"/>
    </row>
    <row r="562" ht="15.75" customHeight="1">
      <c r="E562" s="102"/>
    </row>
    <row r="563" ht="15.75" customHeight="1">
      <c r="E563" s="102"/>
    </row>
    <row r="564" ht="15.75" customHeight="1">
      <c r="E564" s="102"/>
    </row>
    <row r="565" ht="15.75" customHeight="1">
      <c r="E565" s="102"/>
    </row>
    <row r="566" ht="15.75" customHeight="1">
      <c r="E566" s="102"/>
    </row>
    <row r="567" ht="15.75" customHeight="1">
      <c r="E567" s="102"/>
    </row>
    <row r="568" ht="15.75" customHeight="1">
      <c r="E568" s="102"/>
    </row>
    <row r="569" ht="15.75" customHeight="1">
      <c r="E569" s="102"/>
    </row>
    <row r="570" ht="15.75" customHeight="1">
      <c r="E570" s="102"/>
    </row>
    <row r="571" ht="15.75" customHeight="1">
      <c r="E571" s="102"/>
    </row>
    <row r="572" ht="15.75" customHeight="1">
      <c r="E572" s="102"/>
    </row>
    <row r="573" ht="15.75" customHeight="1">
      <c r="E573" s="102"/>
    </row>
    <row r="574" ht="15.75" customHeight="1">
      <c r="E574" s="102"/>
    </row>
    <row r="575" ht="15.75" customHeight="1">
      <c r="E575" s="102"/>
    </row>
    <row r="576" ht="15.75" customHeight="1">
      <c r="E576" s="102"/>
    </row>
    <row r="577" ht="15.75" customHeight="1">
      <c r="E577" s="102"/>
    </row>
    <row r="578" ht="15.75" customHeight="1">
      <c r="E578" s="102"/>
    </row>
    <row r="579" ht="15.75" customHeight="1">
      <c r="E579" s="102"/>
    </row>
    <row r="580" ht="15.75" customHeight="1">
      <c r="E580" s="102"/>
    </row>
    <row r="581" ht="15.75" customHeight="1">
      <c r="E581" s="102"/>
    </row>
    <row r="582" ht="15.75" customHeight="1">
      <c r="E582" s="102"/>
    </row>
    <row r="583" ht="15.75" customHeight="1">
      <c r="E583" s="102"/>
    </row>
    <row r="584" ht="15.75" customHeight="1">
      <c r="E584" s="102"/>
    </row>
    <row r="585" ht="15.75" customHeight="1">
      <c r="E585" s="102"/>
    </row>
    <row r="586" ht="15.75" customHeight="1">
      <c r="E586" s="102"/>
    </row>
    <row r="587" ht="15.75" customHeight="1">
      <c r="E587" s="102"/>
    </row>
    <row r="588" ht="15.75" customHeight="1">
      <c r="E588" s="102"/>
    </row>
    <row r="589" ht="15.75" customHeight="1">
      <c r="E589" s="102"/>
    </row>
    <row r="590" ht="15.75" customHeight="1">
      <c r="E590" s="102"/>
    </row>
    <row r="591" ht="15.75" customHeight="1">
      <c r="E591" s="102"/>
    </row>
    <row r="592" ht="15.75" customHeight="1">
      <c r="E592" s="102"/>
    </row>
    <row r="593" ht="15.75" customHeight="1">
      <c r="E593" s="102"/>
    </row>
    <row r="594" ht="15.75" customHeight="1">
      <c r="E594" s="102"/>
    </row>
    <row r="595" ht="15.75" customHeight="1">
      <c r="E595" s="102"/>
    </row>
    <row r="596" ht="15.75" customHeight="1">
      <c r="E596" s="102"/>
    </row>
    <row r="597" ht="15.75" customHeight="1">
      <c r="E597" s="102"/>
    </row>
    <row r="598" ht="15.75" customHeight="1">
      <c r="E598" s="102"/>
    </row>
    <row r="599" ht="15.75" customHeight="1">
      <c r="E599" s="102"/>
    </row>
    <row r="600" ht="15.75" customHeight="1">
      <c r="E600" s="102"/>
    </row>
    <row r="601" ht="15.75" customHeight="1">
      <c r="E601" s="102"/>
    </row>
    <row r="602" ht="15.75" customHeight="1">
      <c r="E602" s="102"/>
    </row>
    <row r="603" ht="15.75" customHeight="1">
      <c r="E603" s="102"/>
    </row>
    <row r="604" ht="15.75" customHeight="1">
      <c r="E604" s="102"/>
    </row>
    <row r="605" ht="15.75" customHeight="1">
      <c r="E605" s="102"/>
    </row>
    <row r="606" ht="15.75" customHeight="1">
      <c r="E606" s="102"/>
    </row>
    <row r="607" ht="15.75" customHeight="1">
      <c r="E607" s="102"/>
    </row>
    <row r="608" ht="15.75" customHeight="1">
      <c r="E608" s="102"/>
    </row>
    <row r="609" ht="15.75" customHeight="1">
      <c r="E609" s="102"/>
    </row>
    <row r="610" ht="15.75" customHeight="1">
      <c r="E610" s="102"/>
    </row>
    <row r="611" ht="15.75" customHeight="1">
      <c r="E611" s="102"/>
    </row>
    <row r="612" ht="15.75" customHeight="1">
      <c r="E612" s="102"/>
    </row>
    <row r="613" ht="15.75" customHeight="1">
      <c r="E613" s="102"/>
    </row>
    <row r="614" ht="15.75" customHeight="1">
      <c r="E614" s="102"/>
    </row>
    <row r="615" ht="15.75" customHeight="1">
      <c r="E615" s="102"/>
    </row>
    <row r="616" ht="15.75" customHeight="1">
      <c r="E616" s="102"/>
    </row>
    <row r="617" ht="15.75" customHeight="1">
      <c r="E617" s="102"/>
    </row>
    <row r="618" ht="15.75" customHeight="1">
      <c r="E618" s="102"/>
    </row>
    <row r="619" ht="15.75" customHeight="1">
      <c r="E619" s="102"/>
    </row>
    <row r="620" ht="15.75" customHeight="1">
      <c r="E620" s="102"/>
    </row>
    <row r="621" ht="15.75" customHeight="1">
      <c r="E621" s="102"/>
    </row>
    <row r="622" ht="15.75" customHeight="1">
      <c r="E622" s="102"/>
    </row>
    <row r="623" ht="15.75" customHeight="1">
      <c r="E623" s="102"/>
    </row>
    <row r="624" ht="15.75" customHeight="1">
      <c r="E624" s="102"/>
    </row>
    <row r="625" ht="15.75" customHeight="1">
      <c r="E625" s="102"/>
    </row>
    <row r="626" ht="15.75" customHeight="1">
      <c r="E626" s="102"/>
    </row>
    <row r="627" ht="15.75" customHeight="1">
      <c r="E627" s="102"/>
    </row>
    <row r="628" ht="15.75" customHeight="1">
      <c r="E628" s="102"/>
    </row>
    <row r="629" ht="15.75" customHeight="1">
      <c r="E629" s="102"/>
    </row>
    <row r="630" ht="15.75" customHeight="1">
      <c r="E630" s="102"/>
    </row>
    <row r="631" ht="15.75" customHeight="1">
      <c r="E631" s="102"/>
    </row>
    <row r="632" ht="15.75" customHeight="1">
      <c r="E632" s="102"/>
    </row>
    <row r="633" ht="15.75" customHeight="1">
      <c r="E633" s="102"/>
    </row>
    <row r="634" ht="15.75" customHeight="1">
      <c r="E634" s="102"/>
    </row>
    <row r="635" ht="15.75" customHeight="1">
      <c r="E635" s="102"/>
    </row>
    <row r="636" ht="15.75" customHeight="1">
      <c r="E636" s="102"/>
    </row>
    <row r="637" ht="15.75" customHeight="1">
      <c r="E637" s="102"/>
    </row>
    <row r="638" ht="15.75" customHeight="1">
      <c r="E638" s="102"/>
    </row>
    <row r="639" ht="15.75" customHeight="1">
      <c r="E639" s="102"/>
    </row>
    <row r="640" ht="15.75" customHeight="1">
      <c r="E640" s="102"/>
    </row>
    <row r="641" ht="15.75" customHeight="1">
      <c r="E641" s="102"/>
    </row>
    <row r="642" ht="15.75" customHeight="1">
      <c r="E642" s="102"/>
    </row>
    <row r="643" ht="15.75" customHeight="1">
      <c r="E643" s="102"/>
    </row>
    <row r="644" ht="15.75" customHeight="1">
      <c r="E644" s="102"/>
    </row>
    <row r="645" ht="15.75" customHeight="1">
      <c r="E645" s="102"/>
    </row>
    <row r="646" ht="15.75" customHeight="1">
      <c r="E646" s="102"/>
    </row>
    <row r="647" ht="15.75" customHeight="1">
      <c r="E647" s="102"/>
    </row>
    <row r="648" ht="15.75" customHeight="1">
      <c r="E648" s="102"/>
    </row>
    <row r="649" ht="15.75" customHeight="1">
      <c r="E649" s="102"/>
    </row>
    <row r="650" ht="15.75" customHeight="1">
      <c r="E650" s="102"/>
    </row>
    <row r="651" ht="15.75" customHeight="1">
      <c r="E651" s="102"/>
    </row>
    <row r="652" ht="15.75" customHeight="1">
      <c r="E652" s="102"/>
    </row>
    <row r="653" ht="15.75" customHeight="1">
      <c r="E653" s="102"/>
    </row>
    <row r="654" ht="15.75" customHeight="1">
      <c r="E654" s="102"/>
    </row>
    <row r="655" ht="15.75" customHeight="1">
      <c r="E655" s="102"/>
    </row>
    <row r="656" ht="15.75" customHeight="1">
      <c r="E656" s="102"/>
    </row>
    <row r="657" ht="15.75" customHeight="1">
      <c r="E657" s="102"/>
    </row>
    <row r="658" ht="15.75" customHeight="1">
      <c r="E658" s="102"/>
    </row>
    <row r="659" ht="15.75" customHeight="1">
      <c r="E659" s="102"/>
    </row>
    <row r="660" ht="15.75" customHeight="1">
      <c r="E660" s="102"/>
    </row>
    <row r="661" ht="15.75" customHeight="1">
      <c r="E661" s="102"/>
    </row>
    <row r="662" ht="15.75" customHeight="1">
      <c r="E662" s="102"/>
    </row>
    <row r="663" ht="15.75" customHeight="1">
      <c r="E663" s="102"/>
    </row>
    <row r="664" ht="15.75" customHeight="1">
      <c r="E664" s="102"/>
    </row>
    <row r="665" ht="15.75" customHeight="1">
      <c r="E665" s="102"/>
    </row>
    <row r="666" ht="15.75" customHeight="1">
      <c r="E666" s="102"/>
    </row>
    <row r="667" ht="15.75" customHeight="1">
      <c r="E667" s="102"/>
    </row>
    <row r="668" ht="15.75" customHeight="1">
      <c r="E668" s="102"/>
    </row>
    <row r="669" ht="15.75" customHeight="1">
      <c r="E669" s="102"/>
    </row>
    <row r="670" ht="15.75" customHeight="1">
      <c r="E670" s="102"/>
    </row>
    <row r="671" ht="15.75" customHeight="1">
      <c r="E671" s="102"/>
    </row>
    <row r="672" ht="15.75" customHeight="1">
      <c r="E672" s="102"/>
    </row>
    <row r="673" ht="15.75" customHeight="1">
      <c r="E673" s="102"/>
    </row>
    <row r="674" ht="15.75" customHeight="1">
      <c r="E674" s="102"/>
    </row>
    <row r="675" ht="15.75" customHeight="1">
      <c r="E675" s="102"/>
    </row>
    <row r="676" ht="15.75" customHeight="1">
      <c r="E676" s="102"/>
    </row>
    <row r="677" ht="15.75" customHeight="1">
      <c r="E677" s="102"/>
    </row>
    <row r="678" ht="15.75" customHeight="1">
      <c r="E678" s="102"/>
    </row>
    <row r="679" ht="15.75" customHeight="1">
      <c r="E679" s="102"/>
    </row>
    <row r="680" ht="15.75" customHeight="1">
      <c r="E680" s="102"/>
    </row>
    <row r="681" ht="15.75" customHeight="1">
      <c r="E681" s="102"/>
    </row>
    <row r="682" ht="15.75" customHeight="1">
      <c r="E682" s="102"/>
    </row>
    <row r="683" ht="15.75" customHeight="1">
      <c r="E683" s="102"/>
    </row>
    <row r="684" ht="15.75" customHeight="1">
      <c r="E684" s="102"/>
    </row>
    <row r="685" ht="15.75" customHeight="1">
      <c r="E685" s="102"/>
    </row>
    <row r="686" ht="15.75" customHeight="1">
      <c r="E686" s="102"/>
    </row>
    <row r="687" ht="15.75" customHeight="1">
      <c r="E687" s="102"/>
    </row>
    <row r="688" ht="15.75" customHeight="1">
      <c r="E688" s="102"/>
    </row>
    <row r="689" ht="15.75" customHeight="1">
      <c r="E689" s="102"/>
    </row>
    <row r="690" ht="15.75" customHeight="1">
      <c r="E690" s="102"/>
    </row>
    <row r="691" ht="15.75" customHeight="1">
      <c r="E691" s="102"/>
    </row>
    <row r="692" ht="15.75" customHeight="1">
      <c r="E692" s="102"/>
    </row>
    <row r="693" ht="15.75" customHeight="1">
      <c r="E693" s="102"/>
    </row>
    <row r="694" ht="15.75" customHeight="1">
      <c r="E694" s="102"/>
    </row>
    <row r="695" ht="15.75" customHeight="1">
      <c r="E695" s="102"/>
    </row>
    <row r="696" ht="15.75" customHeight="1">
      <c r="E696" s="102"/>
    </row>
    <row r="697" ht="15.75" customHeight="1">
      <c r="E697" s="102"/>
    </row>
    <row r="698" ht="15.75" customHeight="1">
      <c r="E698" s="102"/>
    </row>
    <row r="699" ht="15.75" customHeight="1">
      <c r="E699" s="102"/>
    </row>
    <row r="700" ht="15.75" customHeight="1">
      <c r="E700" s="102"/>
    </row>
    <row r="701" ht="15.75" customHeight="1">
      <c r="E701" s="102"/>
    </row>
    <row r="702" ht="15.75" customHeight="1">
      <c r="E702" s="102"/>
    </row>
    <row r="703" ht="15.75" customHeight="1">
      <c r="E703" s="102"/>
    </row>
    <row r="704" ht="15.75" customHeight="1">
      <c r="E704" s="102"/>
    </row>
    <row r="705" ht="15.75" customHeight="1">
      <c r="E705" s="102"/>
    </row>
    <row r="706" ht="15.75" customHeight="1">
      <c r="E706" s="102"/>
    </row>
    <row r="707" ht="15.75" customHeight="1">
      <c r="E707" s="102"/>
    </row>
    <row r="708" ht="15.75" customHeight="1">
      <c r="E708" s="102"/>
    </row>
    <row r="709" ht="15.75" customHeight="1">
      <c r="E709" s="102"/>
    </row>
    <row r="710" ht="15.75" customHeight="1">
      <c r="E710" s="102"/>
    </row>
    <row r="711" ht="15.75" customHeight="1">
      <c r="E711" s="102"/>
    </row>
    <row r="712" ht="15.75" customHeight="1">
      <c r="E712" s="102"/>
    </row>
    <row r="713" ht="15.75" customHeight="1">
      <c r="E713" s="102"/>
    </row>
    <row r="714" ht="15.75" customHeight="1">
      <c r="E714" s="102"/>
    </row>
    <row r="715" ht="15.75" customHeight="1">
      <c r="E715" s="102"/>
    </row>
    <row r="716" ht="15.75" customHeight="1">
      <c r="E716" s="102"/>
    </row>
    <row r="717" ht="15.75" customHeight="1">
      <c r="E717" s="102"/>
    </row>
    <row r="718" ht="15.75" customHeight="1">
      <c r="E718" s="102"/>
    </row>
    <row r="719" ht="15.75" customHeight="1">
      <c r="E719" s="102"/>
    </row>
    <row r="720" ht="15.75" customHeight="1">
      <c r="E720" s="102"/>
    </row>
    <row r="721" ht="15.75" customHeight="1">
      <c r="E721" s="102"/>
    </row>
    <row r="722" ht="15.75" customHeight="1">
      <c r="E722" s="102"/>
    </row>
    <row r="723" ht="15.75" customHeight="1">
      <c r="E723" s="102"/>
    </row>
    <row r="724" ht="15.75" customHeight="1">
      <c r="E724" s="102"/>
    </row>
    <row r="725" ht="15.75" customHeight="1">
      <c r="E725" s="102"/>
    </row>
    <row r="726" ht="15.75" customHeight="1">
      <c r="E726" s="102"/>
    </row>
    <row r="727" ht="15.75" customHeight="1">
      <c r="E727" s="102"/>
    </row>
    <row r="728" ht="15.75" customHeight="1">
      <c r="E728" s="102"/>
    </row>
    <row r="729" ht="15.75" customHeight="1">
      <c r="E729" s="102"/>
    </row>
    <row r="730" ht="15.75" customHeight="1">
      <c r="E730" s="102"/>
    </row>
    <row r="731" ht="15.75" customHeight="1">
      <c r="E731" s="102"/>
    </row>
    <row r="732" ht="15.75" customHeight="1">
      <c r="E732" s="102"/>
    </row>
    <row r="733" ht="15.75" customHeight="1">
      <c r="E733" s="102"/>
    </row>
    <row r="734" ht="15.75" customHeight="1">
      <c r="E734" s="102"/>
    </row>
    <row r="735" ht="15.75" customHeight="1">
      <c r="E735" s="102"/>
    </row>
    <row r="736" ht="15.75" customHeight="1">
      <c r="E736" s="102"/>
    </row>
    <row r="737" ht="15.75" customHeight="1">
      <c r="E737" s="102"/>
    </row>
    <row r="738" ht="15.75" customHeight="1">
      <c r="E738" s="102"/>
    </row>
    <row r="739" ht="15.75" customHeight="1">
      <c r="E739" s="102"/>
    </row>
    <row r="740" ht="15.75" customHeight="1">
      <c r="E740" s="102"/>
    </row>
    <row r="741" ht="15.75" customHeight="1">
      <c r="E741" s="102"/>
    </row>
    <row r="742" ht="15.75" customHeight="1">
      <c r="E742" s="102"/>
    </row>
    <row r="743" ht="15.75" customHeight="1">
      <c r="E743" s="102"/>
    </row>
    <row r="744" ht="15.75" customHeight="1">
      <c r="E744" s="102"/>
    </row>
    <row r="745" ht="15.75" customHeight="1">
      <c r="E745" s="102"/>
    </row>
    <row r="746" ht="15.75" customHeight="1">
      <c r="E746" s="102"/>
    </row>
    <row r="747" ht="15.75" customHeight="1">
      <c r="E747" s="102"/>
    </row>
    <row r="748" ht="15.75" customHeight="1">
      <c r="E748" s="102"/>
    </row>
    <row r="749" ht="15.75" customHeight="1">
      <c r="E749" s="102"/>
    </row>
    <row r="750" ht="15.75" customHeight="1">
      <c r="E750" s="102"/>
    </row>
    <row r="751" ht="15.75" customHeight="1">
      <c r="E751" s="102"/>
    </row>
    <row r="752" ht="15.75" customHeight="1">
      <c r="E752" s="102"/>
    </row>
    <row r="753" ht="15.75" customHeight="1">
      <c r="E753" s="102"/>
    </row>
    <row r="754" ht="15.75" customHeight="1">
      <c r="E754" s="102"/>
    </row>
    <row r="755" ht="15.75" customHeight="1">
      <c r="E755" s="102"/>
    </row>
    <row r="756" ht="15.75" customHeight="1">
      <c r="E756" s="102"/>
    </row>
    <row r="757" ht="15.75" customHeight="1">
      <c r="E757" s="102"/>
    </row>
    <row r="758" ht="15.75" customHeight="1">
      <c r="E758" s="102"/>
    </row>
    <row r="759" ht="15.75" customHeight="1">
      <c r="E759" s="102"/>
    </row>
    <row r="760" ht="15.75" customHeight="1">
      <c r="E760" s="102"/>
    </row>
    <row r="761" ht="15.75" customHeight="1">
      <c r="E761" s="102"/>
    </row>
    <row r="762" ht="15.75" customHeight="1">
      <c r="E762" s="102"/>
    </row>
    <row r="763" ht="15.75" customHeight="1">
      <c r="E763" s="102"/>
    </row>
    <row r="764" ht="15.75" customHeight="1">
      <c r="E764" s="102"/>
    </row>
    <row r="765" ht="15.75" customHeight="1">
      <c r="E765" s="102"/>
    </row>
    <row r="766" ht="15.75" customHeight="1">
      <c r="E766" s="102"/>
    </row>
    <row r="767" ht="15.75" customHeight="1">
      <c r="E767" s="102"/>
    </row>
    <row r="768" ht="15.75" customHeight="1">
      <c r="E768" s="102"/>
    </row>
    <row r="769" ht="15.75" customHeight="1">
      <c r="E769" s="102"/>
    </row>
    <row r="770" ht="15.75" customHeight="1">
      <c r="E770" s="102"/>
    </row>
    <row r="771" ht="15.75" customHeight="1">
      <c r="E771" s="102"/>
    </row>
    <row r="772" ht="15.75" customHeight="1">
      <c r="E772" s="102"/>
    </row>
    <row r="773" ht="15.75" customHeight="1">
      <c r="E773" s="102"/>
    </row>
    <row r="774" ht="15.75" customHeight="1">
      <c r="E774" s="102"/>
    </row>
    <row r="775" ht="15.75" customHeight="1">
      <c r="E775" s="102"/>
    </row>
    <row r="776" ht="15.75" customHeight="1">
      <c r="E776" s="102"/>
    </row>
    <row r="777" ht="15.75" customHeight="1">
      <c r="E777" s="102"/>
    </row>
    <row r="778" ht="15.75" customHeight="1">
      <c r="E778" s="102"/>
    </row>
    <row r="779" ht="15.75" customHeight="1">
      <c r="E779" s="102"/>
    </row>
    <row r="780" ht="15.75" customHeight="1">
      <c r="E780" s="102"/>
    </row>
    <row r="781" ht="15.75" customHeight="1">
      <c r="E781" s="102"/>
    </row>
    <row r="782" ht="15.75" customHeight="1">
      <c r="E782" s="102"/>
    </row>
    <row r="783" ht="15.75" customHeight="1">
      <c r="E783" s="102"/>
    </row>
    <row r="784" ht="15.75" customHeight="1">
      <c r="E784" s="102"/>
    </row>
    <row r="785" ht="15.75" customHeight="1">
      <c r="E785" s="102"/>
    </row>
    <row r="786" ht="15.75" customHeight="1">
      <c r="E786" s="102"/>
    </row>
    <row r="787" ht="15.75" customHeight="1">
      <c r="E787" s="102"/>
    </row>
    <row r="788" ht="15.75" customHeight="1">
      <c r="E788" s="102"/>
    </row>
    <row r="789" ht="15.75" customHeight="1">
      <c r="E789" s="102"/>
    </row>
    <row r="790" ht="15.75" customHeight="1">
      <c r="E790" s="102"/>
    </row>
    <row r="791" ht="15.75" customHeight="1">
      <c r="E791" s="102"/>
    </row>
    <row r="792" ht="15.75" customHeight="1">
      <c r="E792" s="102"/>
    </row>
    <row r="793" ht="15.75" customHeight="1">
      <c r="E793" s="102"/>
    </row>
    <row r="794" ht="15.75" customHeight="1">
      <c r="E794" s="102"/>
    </row>
    <row r="795" ht="15.75" customHeight="1">
      <c r="E795" s="102"/>
    </row>
    <row r="796" ht="15.75" customHeight="1">
      <c r="E796" s="102"/>
    </row>
    <row r="797" ht="15.75" customHeight="1">
      <c r="E797" s="102"/>
    </row>
    <row r="798" ht="15.75" customHeight="1">
      <c r="E798" s="102"/>
    </row>
    <row r="799" ht="15.75" customHeight="1">
      <c r="E799" s="102"/>
    </row>
    <row r="800" ht="15.75" customHeight="1">
      <c r="E800" s="102"/>
    </row>
    <row r="801" ht="15.75" customHeight="1">
      <c r="E801" s="102"/>
    </row>
    <row r="802" ht="15.75" customHeight="1">
      <c r="E802" s="102"/>
    </row>
    <row r="803" ht="15.75" customHeight="1">
      <c r="E803" s="102"/>
    </row>
    <row r="804" ht="15.75" customHeight="1">
      <c r="E804" s="102"/>
    </row>
    <row r="805" ht="15.75" customHeight="1">
      <c r="E805" s="102"/>
    </row>
    <row r="806" ht="15.75" customHeight="1">
      <c r="E806" s="102"/>
    </row>
    <row r="807" ht="15.75" customHeight="1">
      <c r="E807" s="102"/>
    </row>
    <row r="808" ht="15.75" customHeight="1">
      <c r="E808" s="102"/>
    </row>
    <row r="809" ht="15.75" customHeight="1">
      <c r="E809" s="102"/>
    </row>
    <row r="810" ht="15.75" customHeight="1">
      <c r="E810" s="102"/>
    </row>
    <row r="811" ht="15.75" customHeight="1">
      <c r="E811" s="102"/>
    </row>
    <row r="812" ht="15.75" customHeight="1">
      <c r="E812" s="102"/>
    </row>
    <row r="813" ht="15.75" customHeight="1">
      <c r="E813" s="102"/>
    </row>
    <row r="814" ht="15.75" customHeight="1">
      <c r="E814" s="102"/>
    </row>
    <row r="815" ht="15.75" customHeight="1">
      <c r="E815" s="102"/>
    </row>
    <row r="816" ht="15.75" customHeight="1">
      <c r="E816" s="102"/>
    </row>
    <row r="817" ht="15.75" customHeight="1">
      <c r="E817" s="102"/>
    </row>
    <row r="818" ht="15.75" customHeight="1">
      <c r="E818" s="102"/>
    </row>
    <row r="819" ht="15.75" customHeight="1">
      <c r="E819" s="102"/>
    </row>
    <row r="820" ht="15.75" customHeight="1">
      <c r="E820" s="102"/>
    </row>
    <row r="821" ht="15.75" customHeight="1">
      <c r="E821" s="102"/>
    </row>
    <row r="822" ht="15.75" customHeight="1">
      <c r="E822" s="102"/>
    </row>
    <row r="823" ht="15.75" customHeight="1">
      <c r="E823" s="102"/>
    </row>
    <row r="824" ht="15.75" customHeight="1">
      <c r="E824" s="102"/>
    </row>
    <row r="825" ht="15.75" customHeight="1">
      <c r="E825" s="102"/>
    </row>
    <row r="826" ht="15.75" customHeight="1">
      <c r="E826" s="102"/>
    </row>
    <row r="827" ht="15.75" customHeight="1">
      <c r="E827" s="102"/>
    </row>
    <row r="828" ht="15.75" customHeight="1">
      <c r="E828" s="102"/>
    </row>
    <row r="829" ht="15.75" customHeight="1">
      <c r="E829" s="102"/>
    </row>
    <row r="830" ht="15.75" customHeight="1">
      <c r="E830" s="102"/>
    </row>
    <row r="831" ht="15.75" customHeight="1">
      <c r="E831" s="102"/>
    </row>
    <row r="832" ht="15.75" customHeight="1">
      <c r="E832" s="102"/>
    </row>
    <row r="833" ht="15.75" customHeight="1">
      <c r="E833" s="102"/>
    </row>
    <row r="834" ht="15.75" customHeight="1">
      <c r="E834" s="102"/>
    </row>
    <row r="835" ht="15.75" customHeight="1">
      <c r="E835" s="102"/>
    </row>
    <row r="836" ht="15.75" customHeight="1">
      <c r="E836" s="102"/>
    </row>
    <row r="837" ht="15.75" customHeight="1">
      <c r="E837" s="102"/>
    </row>
    <row r="838" ht="15.75" customHeight="1">
      <c r="E838" s="102"/>
    </row>
    <row r="839" ht="15.75" customHeight="1">
      <c r="E839" s="102"/>
    </row>
    <row r="840" ht="15.75" customHeight="1">
      <c r="E840" s="102"/>
    </row>
    <row r="841" ht="15.75" customHeight="1">
      <c r="E841" s="102"/>
    </row>
    <row r="842" ht="15.75" customHeight="1">
      <c r="E842" s="102"/>
    </row>
    <row r="843" ht="15.75" customHeight="1">
      <c r="E843" s="102"/>
    </row>
    <row r="844" ht="15.75" customHeight="1">
      <c r="E844" s="102"/>
    </row>
    <row r="845" ht="15.75" customHeight="1">
      <c r="E845" s="102"/>
    </row>
    <row r="846" ht="15.75" customHeight="1">
      <c r="E846" s="102"/>
    </row>
    <row r="847" ht="15.75" customHeight="1">
      <c r="E847" s="102"/>
    </row>
    <row r="848" ht="15.75" customHeight="1">
      <c r="E848" s="102"/>
    </row>
    <row r="849" ht="15.75" customHeight="1">
      <c r="E849" s="102"/>
    </row>
    <row r="850" ht="15.75" customHeight="1">
      <c r="E850" s="102"/>
    </row>
    <row r="851" ht="15.75" customHeight="1">
      <c r="E851" s="102"/>
    </row>
    <row r="852" ht="15.75" customHeight="1">
      <c r="E852" s="102"/>
    </row>
    <row r="853" ht="15.75" customHeight="1">
      <c r="E853" s="102"/>
    </row>
    <row r="854" ht="15.75" customHeight="1">
      <c r="E854" s="102"/>
    </row>
    <row r="855" ht="15.75" customHeight="1">
      <c r="E855" s="102"/>
    </row>
    <row r="856" ht="15.75" customHeight="1">
      <c r="E856" s="102"/>
    </row>
    <row r="857" ht="15.75" customHeight="1">
      <c r="E857" s="102"/>
    </row>
    <row r="858" ht="15.75" customHeight="1">
      <c r="E858" s="102"/>
    </row>
    <row r="859" ht="15.75" customHeight="1">
      <c r="E859" s="102"/>
    </row>
    <row r="860" ht="15.75" customHeight="1">
      <c r="E860" s="102"/>
    </row>
    <row r="861" ht="15.75" customHeight="1">
      <c r="E861" s="102"/>
    </row>
    <row r="862" ht="15.75" customHeight="1">
      <c r="E862" s="102"/>
    </row>
    <row r="863" ht="15.75" customHeight="1">
      <c r="E863" s="102"/>
    </row>
    <row r="864" ht="15.75" customHeight="1">
      <c r="E864" s="102"/>
    </row>
    <row r="865" ht="15.75" customHeight="1">
      <c r="E865" s="102"/>
    </row>
    <row r="866" ht="15.75" customHeight="1">
      <c r="E866" s="102"/>
    </row>
    <row r="867" ht="15.75" customHeight="1">
      <c r="E867" s="102"/>
    </row>
    <row r="868" ht="15.75" customHeight="1">
      <c r="E868" s="102"/>
    </row>
    <row r="869" ht="15.75" customHeight="1">
      <c r="E869" s="102"/>
    </row>
    <row r="870" ht="15.75" customHeight="1">
      <c r="E870" s="102"/>
    </row>
    <row r="871" ht="15.75" customHeight="1">
      <c r="E871" s="102"/>
    </row>
    <row r="872" ht="15.75" customHeight="1">
      <c r="E872" s="102"/>
    </row>
    <row r="873" ht="15.75" customHeight="1">
      <c r="E873" s="102"/>
    </row>
    <row r="874" ht="15.75" customHeight="1">
      <c r="E874" s="102"/>
    </row>
    <row r="875" ht="15.75" customHeight="1">
      <c r="E875" s="102"/>
    </row>
    <row r="876" ht="15.75" customHeight="1">
      <c r="E876" s="102"/>
    </row>
    <row r="877" ht="15.75" customHeight="1">
      <c r="E877" s="102"/>
    </row>
    <row r="878" ht="15.75" customHeight="1">
      <c r="E878" s="102"/>
    </row>
    <row r="879" ht="15.75" customHeight="1">
      <c r="E879" s="102"/>
    </row>
    <row r="880" ht="15.75" customHeight="1">
      <c r="E880" s="102"/>
    </row>
    <row r="881" ht="15.75" customHeight="1">
      <c r="E881" s="102"/>
    </row>
    <row r="882" ht="15.75" customHeight="1">
      <c r="E882" s="102"/>
    </row>
    <row r="883" ht="15.75" customHeight="1">
      <c r="E883" s="102"/>
    </row>
    <row r="884" ht="15.75" customHeight="1">
      <c r="E884" s="102"/>
    </row>
    <row r="885" ht="15.75" customHeight="1">
      <c r="E885" s="102"/>
    </row>
    <row r="886" ht="15.75" customHeight="1">
      <c r="E886" s="102"/>
    </row>
    <row r="887" ht="15.75" customHeight="1">
      <c r="E887" s="102"/>
    </row>
    <row r="888" ht="15.75" customHeight="1">
      <c r="E888" s="102"/>
    </row>
    <row r="889" ht="15.75" customHeight="1">
      <c r="E889" s="102"/>
    </row>
    <row r="890" ht="15.75" customHeight="1">
      <c r="E890" s="102"/>
    </row>
    <row r="891" ht="15.75" customHeight="1">
      <c r="E891" s="102"/>
    </row>
    <row r="892" ht="15.75" customHeight="1">
      <c r="E892" s="102"/>
    </row>
    <row r="893" ht="15.75" customHeight="1">
      <c r="E893" s="102"/>
    </row>
    <row r="894" ht="15.75" customHeight="1">
      <c r="E894" s="102"/>
    </row>
    <row r="895" ht="15.75" customHeight="1">
      <c r="E895" s="102"/>
    </row>
    <row r="896" ht="15.75" customHeight="1">
      <c r="E896" s="102"/>
    </row>
    <row r="897" ht="15.75" customHeight="1">
      <c r="E897" s="102"/>
    </row>
    <row r="898" ht="15.75" customHeight="1">
      <c r="E898" s="102"/>
    </row>
    <row r="899" ht="15.75" customHeight="1">
      <c r="E899" s="102"/>
    </row>
    <row r="900" ht="15.75" customHeight="1">
      <c r="E900" s="102"/>
    </row>
    <row r="901" ht="15.75" customHeight="1">
      <c r="E901" s="102"/>
    </row>
    <row r="902" ht="15.75" customHeight="1">
      <c r="E902" s="102"/>
    </row>
    <row r="903" ht="15.75" customHeight="1">
      <c r="E903" s="102"/>
    </row>
    <row r="904" ht="15.75" customHeight="1">
      <c r="E904" s="102"/>
    </row>
    <row r="905" ht="15.75" customHeight="1">
      <c r="E905" s="102"/>
    </row>
    <row r="906" ht="15.75" customHeight="1">
      <c r="E906" s="102"/>
    </row>
    <row r="907" ht="15.75" customHeight="1">
      <c r="E907" s="102"/>
    </row>
    <row r="908" ht="15.75" customHeight="1">
      <c r="E908" s="102"/>
    </row>
    <row r="909" ht="15.75" customHeight="1">
      <c r="E909" s="102"/>
    </row>
    <row r="910" ht="15.75" customHeight="1">
      <c r="E910" s="102"/>
    </row>
    <row r="911" ht="15.75" customHeight="1">
      <c r="E911" s="102"/>
    </row>
    <row r="912" ht="15.75" customHeight="1">
      <c r="E912" s="102"/>
    </row>
    <row r="913" ht="15.75" customHeight="1">
      <c r="E913" s="102"/>
    </row>
    <row r="914" ht="15.75" customHeight="1">
      <c r="E914" s="102"/>
    </row>
    <row r="915" ht="15.75" customHeight="1">
      <c r="E915" s="102"/>
    </row>
    <row r="916" ht="15.75" customHeight="1">
      <c r="E916" s="102"/>
    </row>
    <row r="917" ht="15.75" customHeight="1">
      <c r="E917" s="102"/>
    </row>
    <row r="918" ht="15.75" customHeight="1">
      <c r="E918" s="102"/>
    </row>
    <row r="919" ht="15.75" customHeight="1">
      <c r="E919" s="102"/>
    </row>
    <row r="920" ht="15.75" customHeight="1">
      <c r="E920" s="102"/>
    </row>
    <row r="921" ht="15.75" customHeight="1">
      <c r="E921" s="102"/>
    </row>
    <row r="922" ht="15.75" customHeight="1">
      <c r="E922" s="102"/>
    </row>
    <row r="923" ht="15.75" customHeight="1">
      <c r="E923" s="102"/>
    </row>
    <row r="924" ht="15.75" customHeight="1">
      <c r="E924" s="102"/>
    </row>
    <row r="925" ht="15.75" customHeight="1">
      <c r="E925" s="102"/>
    </row>
    <row r="926" ht="15.75" customHeight="1">
      <c r="E926" s="102"/>
    </row>
    <row r="927" ht="15.75" customHeight="1">
      <c r="E927" s="102"/>
    </row>
    <row r="928" ht="15.75" customHeight="1">
      <c r="E928" s="102"/>
    </row>
    <row r="929" ht="15.75" customHeight="1">
      <c r="E929" s="102"/>
    </row>
    <row r="930" ht="15.75" customHeight="1">
      <c r="E930" s="102"/>
    </row>
    <row r="931" ht="15.75" customHeight="1">
      <c r="E931" s="102"/>
    </row>
    <row r="932" ht="15.75" customHeight="1">
      <c r="E932" s="102"/>
    </row>
    <row r="933" ht="15.75" customHeight="1">
      <c r="E933" s="102"/>
    </row>
    <row r="934" ht="15.75" customHeight="1">
      <c r="E934" s="102"/>
    </row>
    <row r="935" ht="15.75" customHeight="1">
      <c r="E935" s="102"/>
    </row>
    <row r="936" ht="15.75" customHeight="1">
      <c r="E936" s="102"/>
    </row>
    <row r="937" ht="15.75" customHeight="1">
      <c r="E937" s="102"/>
    </row>
    <row r="938" ht="15.75" customHeight="1">
      <c r="E938" s="102"/>
    </row>
    <row r="939" ht="15.75" customHeight="1">
      <c r="E939" s="102"/>
    </row>
    <row r="940" ht="15.75" customHeight="1">
      <c r="E940" s="102"/>
    </row>
    <row r="941" ht="15.75" customHeight="1">
      <c r="E941" s="102"/>
    </row>
    <row r="942" ht="15.75" customHeight="1">
      <c r="E942" s="102"/>
    </row>
    <row r="943" ht="15.75" customHeight="1">
      <c r="E943" s="102"/>
    </row>
    <row r="944" ht="15.75" customHeight="1">
      <c r="E944" s="102"/>
    </row>
    <row r="945" ht="15.75" customHeight="1">
      <c r="E945" s="102"/>
    </row>
    <row r="946" ht="15.75" customHeight="1">
      <c r="E946" s="102"/>
    </row>
    <row r="947" ht="15.75" customHeight="1">
      <c r="E947" s="102"/>
    </row>
    <row r="948" ht="15.75" customHeight="1">
      <c r="E948" s="102"/>
    </row>
    <row r="949" ht="15.75" customHeight="1">
      <c r="E949" s="102"/>
    </row>
    <row r="950" ht="15.75" customHeight="1">
      <c r="E950" s="102"/>
    </row>
    <row r="951" ht="15.75" customHeight="1">
      <c r="E951" s="102"/>
    </row>
    <row r="952" ht="15.75" customHeight="1">
      <c r="E952" s="102"/>
    </row>
    <row r="953" ht="15.75" customHeight="1">
      <c r="E953" s="102"/>
    </row>
    <row r="954" ht="15.75" customHeight="1">
      <c r="E954" s="102"/>
    </row>
    <row r="955" ht="15.75" customHeight="1">
      <c r="E955" s="102"/>
    </row>
    <row r="956" ht="15.75" customHeight="1">
      <c r="E956" s="102"/>
    </row>
    <row r="957" ht="15.75" customHeight="1">
      <c r="E957" s="102"/>
    </row>
    <row r="958" ht="15.75" customHeight="1">
      <c r="E958" s="102"/>
    </row>
    <row r="959" ht="15.75" customHeight="1">
      <c r="E959" s="102"/>
    </row>
    <row r="960" ht="15.75" customHeight="1">
      <c r="E960" s="102"/>
    </row>
    <row r="961" ht="15.75" customHeight="1">
      <c r="E961" s="102"/>
    </row>
    <row r="962" ht="15.75" customHeight="1">
      <c r="E962" s="102"/>
    </row>
    <row r="963" ht="15.75" customHeight="1">
      <c r="E963" s="102"/>
    </row>
    <row r="964" ht="15.75" customHeight="1">
      <c r="E964" s="102"/>
    </row>
    <row r="965" ht="15.75" customHeight="1">
      <c r="E965" s="102"/>
    </row>
    <row r="966" ht="15.75" customHeight="1">
      <c r="E966" s="102"/>
    </row>
    <row r="967" ht="15.75" customHeight="1">
      <c r="E967" s="102"/>
    </row>
    <row r="968" ht="15.75" customHeight="1">
      <c r="E968" s="102"/>
    </row>
    <row r="969" ht="15.75" customHeight="1">
      <c r="E969" s="102"/>
    </row>
    <row r="970" ht="15.75" customHeight="1">
      <c r="E970" s="102"/>
    </row>
    <row r="971" ht="15.75" customHeight="1">
      <c r="E971" s="102"/>
    </row>
    <row r="972" ht="15.75" customHeight="1">
      <c r="E972" s="102"/>
    </row>
    <row r="973" ht="15.75" customHeight="1">
      <c r="E973" s="102"/>
    </row>
    <row r="974" ht="15.75" customHeight="1">
      <c r="E974" s="102"/>
    </row>
    <row r="975" ht="15.75" customHeight="1">
      <c r="E975" s="102"/>
    </row>
    <row r="976" ht="15.75" customHeight="1">
      <c r="E976" s="102"/>
    </row>
    <row r="977" ht="15.75" customHeight="1">
      <c r="E977" s="102"/>
    </row>
    <row r="978" ht="15.75" customHeight="1">
      <c r="E978" s="102"/>
    </row>
    <row r="979" ht="15.75" customHeight="1">
      <c r="E979" s="102"/>
    </row>
    <row r="980" ht="15.75" customHeight="1">
      <c r="E980" s="102"/>
    </row>
    <row r="981" ht="15.75" customHeight="1">
      <c r="E981" s="102"/>
    </row>
    <row r="982" ht="15.75" customHeight="1">
      <c r="E982" s="102"/>
    </row>
    <row r="983" ht="15.75" customHeight="1">
      <c r="E983" s="102"/>
    </row>
    <row r="984" ht="15.75" customHeight="1">
      <c r="E984" s="102"/>
    </row>
    <row r="985" ht="15.75" customHeight="1">
      <c r="E985" s="102"/>
    </row>
    <row r="986" ht="15.75" customHeight="1">
      <c r="E986" s="102"/>
    </row>
    <row r="987" ht="15.75" customHeight="1">
      <c r="E987" s="102"/>
    </row>
    <row r="988" ht="15.75" customHeight="1">
      <c r="E988" s="102"/>
    </row>
    <row r="989" ht="15.75" customHeight="1">
      <c r="E989" s="102"/>
    </row>
    <row r="990" ht="15.75" customHeight="1">
      <c r="E990" s="102"/>
    </row>
    <row r="991" ht="15.75" customHeight="1">
      <c r="E991" s="102"/>
    </row>
    <row r="992" ht="15.75" customHeight="1">
      <c r="E992" s="102"/>
    </row>
    <row r="993" ht="15.75" customHeight="1">
      <c r="E993" s="102"/>
    </row>
    <row r="994" ht="15.75" customHeight="1">
      <c r="E994" s="102"/>
    </row>
    <row r="995" ht="15.75" customHeight="1">
      <c r="E995" s="102"/>
    </row>
    <row r="996" ht="15.75" customHeight="1">
      <c r="E996" s="102"/>
    </row>
    <row r="997" ht="15.75" customHeight="1">
      <c r="E997" s="102"/>
    </row>
    <row r="998" ht="15.75" customHeight="1">
      <c r="E998" s="102"/>
    </row>
    <row r="999" ht="15.75" customHeight="1">
      <c r="E999" s="102"/>
    </row>
    <row r="1000" ht="15.75" customHeight="1">
      <c r="E1000" s="102"/>
    </row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26.5"/>
    <col customWidth="1" min="4" max="4" width="49.88"/>
    <col customWidth="1" min="5" max="5" width="16.13"/>
    <col customWidth="1" min="6" max="6" width="37.75"/>
    <col customWidth="1" min="7" max="7" width="11.25"/>
    <col customWidth="1" min="8" max="8" width="33.0"/>
    <col customWidth="1" min="9" max="9" width="11.25"/>
    <col customWidth="1" min="10" max="10" width="22.5"/>
    <col customWidth="1" min="11" max="11" width="10.88"/>
    <col customWidth="1" min="12" max="12" width="30.88"/>
    <col customWidth="1" min="13" max="13" width="10.88"/>
    <col customWidth="1" min="14" max="26" width="34.38"/>
  </cols>
  <sheetData>
    <row r="1" ht="15.75" customHeight="1">
      <c r="A1" s="2" t="s">
        <v>0</v>
      </c>
      <c r="B1" s="2" t="s">
        <v>1</v>
      </c>
      <c r="C1" s="94" t="s">
        <v>1250</v>
      </c>
      <c r="D1" s="94" t="s">
        <v>1251</v>
      </c>
      <c r="E1" s="94" t="s">
        <v>1252</v>
      </c>
      <c r="F1" s="94" t="s">
        <v>781</v>
      </c>
      <c r="G1" s="94" t="s">
        <v>7</v>
      </c>
      <c r="H1" s="94" t="s">
        <v>783</v>
      </c>
      <c r="I1" s="94" t="s">
        <v>7</v>
      </c>
      <c r="J1" s="5" t="s">
        <v>1253</v>
      </c>
      <c r="K1" s="5" t="s">
        <v>7</v>
      </c>
      <c r="L1" s="72" t="s">
        <v>1254</v>
      </c>
      <c r="M1" s="72" t="s">
        <v>7</v>
      </c>
    </row>
    <row r="2" ht="15.75" customHeight="1">
      <c r="A2" s="8">
        <v>1424.0</v>
      </c>
      <c r="B2" s="9" t="s">
        <v>49</v>
      </c>
      <c r="C2" s="104" t="s">
        <v>1255</v>
      </c>
      <c r="D2" s="91" t="s">
        <v>1256</v>
      </c>
      <c r="E2" s="49">
        <v>0.0</v>
      </c>
      <c r="F2" s="91" t="s">
        <v>806</v>
      </c>
      <c r="G2" s="14">
        <v>0.0</v>
      </c>
      <c r="H2" s="91" t="s">
        <v>807</v>
      </c>
      <c r="I2" s="14">
        <v>0.0</v>
      </c>
      <c r="J2" s="72"/>
      <c r="K2" s="72"/>
      <c r="L2" s="91" t="s">
        <v>812</v>
      </c>
      <c r="M2" s="14">
        <v>0.0</v>
      </c>
    </row>
    <row r="3" ht="15.75" customHeight="1">
      <c r="A3" s="8">
        <v>1424.0</v>
      </c>
      <c r="B3" s="9" t="s">
        <v>49</v>
      </c>
      <c r="C3" s="101" t="s">
        <v>1257</v>
      </c>
      <c r="D3" s="76" t="s">
        <v>1258</v>
      </c>
      <c r="E3" s="49">
        <v>0.0</v>
      </c>
      <c r="F3" s="91" t="s">
        <v>806</v>
      </c>
      <c r="G3" s="14">
        <v>0.0</v>
      </c>
      <c r="H3" s="91" t="s">
        <v>807</v>
      </c>
      <c r="I3" s="14">
        <v>0.0</v>
      </c>
      <c r="J3" s="72"/>
      <c r="K3" s="72"/>
      <c r="L3" s="91" t="s">
        <v>812</v>
      </c>
      <c r="M3" s="14">
        <v>0.0</v>
      </c>
    </row>
    <row r="4" ht="15.75" customHeight="1">
      <c r="A4" s="8">
        <v>1424.0</v>
      </c>
      <c r="B4" s="9" t="s">
        <v>49</v>
      </c>
      <c r="C4" s="101" t="s">
        <v>1259</v>
      </c>
      <c r="D4" s="91" t="s">
        <v>1260</v>
      </c>
      <c r="E4" s="49">
        <v>0.0</v>
      </c>
      <c r="F4" s="91" t="s">
        <v>806</v>
      </c>
      <c r="G4" s="14">
        <v>0.0</v>
      </c>
      <c r="H4" s="91" t="s">
        <v>807</v>
      </c>
      <c r="I4" s="14">
        <v>0.0</v>
      </c>
      <c r="J4" s="72"/>
      <c r="K4" s="72"/>
      <c r="L4" s="91" t="s">
        <v>812</v>
      </c>
      <c r="M4" s="14">
        <v>0.0</v>
      </c>
    </row>
    <row r="5" ht="15.75" customHeight="1">
      <c r="A5" s="8">
        <v>1424.0</v>
      </c>
      <c r="B5" s="9" t="s">
        <v>49</v>
      </c>
      <c r="C5" s="72" t="s">
        <v>1261</v>
      </c>
      <c r="D5" s="72"/>
      <c r="E5" s="72"/>
      <c r="F5" s="91" t="s">
        <v>806</v>
      </c>
      <c r="G5" s="14">
        <v>0.0</v>
      </c>
      <c r="H5" s="10"/>
      <c r="I5" s="10"/>
      <c r="J5" s="72"/>
      <c r="K5" s="72"/>
      <c r="L5" s="72"/>
      <c r="M5" s="72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4" max="4" width="28.63"/>
    <col customWidth="1" min="5" max="5" width="38.88"/>
  </cols>
  <sheetData>
    <row r="1" ht="15.75" customHeight="1">
      <c r="A1" s="2" t="s">
        <v>0</v>
      </c>
      <c r="B1" s="2" t="s">
        <v>1</v>
      </c>
      <c r="C1" s="2" t="s">
        <v>1262</v>
      </c>
      <c r="D1" s="105" t="s">
        <v>1263</v>
      </c>
      <c r="E1" s="105" t="s">
        <v>1264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3.75"/>
    <col customWidth="1" min="4" max="4" width="30.13"/>
  </cols>
  <sheetData>
    <row r="1" ht="15.75" customHeight="1">
      <c r="A1" s="2" t="s">
        <v>0</v>
      </c>
      <c r="B1" s="2" t="s">
        <v>1</v>
      </c>
      <c r="C1" s="2" t="s">
        <v>1265</v>
      </c>
      <c r="D1" s="5" t="s">
        <v>1266</v>
      </c>
      <c r="E1" s="5" t="s">
        <v>7</v>
      </c>
    </row>
    <row r="2" ht="15.75" customHeight="1">
      <c r="A2" s="8">
        <v>1424.0</v>
      </c>
      <c r="B2" s="9" t="s">
        <v>49</v>
      </c>
      <c r="C2" s="5" t="s">
        <v>1267</v>
      </c>
      <c r="D2" s="13" t="s">
        <v>1268</v>
      </c>
      <c r="E2" s="29">
        <v>0.0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8.0"/>
    <col customWidth="1" min="3" max="3" width="17.5"/>
    <col customWidth="1" min="4" max="4" width="27.0"/>
    <col customWidth="1" min="5" max="5" width="11.0"/>
    <col customWidth="1" min="6" max="6" width="27.0"/>
    <col customWidth="1" min="7" max="7" width="11.0"/>
    <col customWidth="1" min="8" max="8" width="27.0"/>
    <col customWidth="1" min="9" max="9" width="11.0"/>
    <col customWidth="1" min="10" max="10" width="15.5"/>
    <col customWidth="1" min="11" max="11" width="11.0"/>
    <col customWidth="1" min="12" max="12" width="15.5"/>
    <col customWidth="1" min="13" max="13" width="11.0"/>
    <col customWidth="1" min="14" max="14" width="31.5"/>
    <col customWidth="1" min="15" max="15" width="10.88"/>
    <col customWidth="1" min="16" max="16" width="30.5"/>
    <col customWidth="1" min="17" max="17" width="10.88"/>
    <col customWidth="1" min="18" max="18" width="28.88"/>
    <col customWidth="1" min="19" max="19" width="10.88"/>
    <col customWidth="1" min="20" max="20" width="35.63"/>
    <col customWidth="1" min="22" max="22" width="28.0"/>
    <col customWidth="1" min="24" max="24" width="23.75"/>
    <col customWidth="1" min="26" max="26" width="28.0"/>
    <col customWidth="1" min="28" max="28" width="16.88"/>
  </cols>
  <sheetData>
    <row r="1" ht="15.75" customHeight="1">
      <c r="A1" s="2" t="s">
        <v>0</v>
      </c>
      <c r="B1" s="2" t="s">
        <v>1</v>
      </c>
      <c r="C1" s="5" t="s">
        <v>1269</v>
      </c>
      <c r="D1" s="5" t="s">
        <v>1270</v>
      </c>
      <c r="E1" s="5" t="s">
        <v>13</v>
      </c>
      <c r="F1" s="5" t="s">
        <v>1271</v>
      </c>
      <c r="G1" s="5" t="s">
        <v>13</v>
      </c>
      <c r="H1" s="5" t="s">
        <v>1272</v>
      </c>
      <c r="I1" s="5" t="s">
        <v>13</v>
      </c>
      <c r="J1" s="5" t="s">
        <v>1273</v>
      </c>
      <c r="K1" s="5" t="s">
        <v>13</v>
      </c>
      <c r="L1" s="5" t="s">
        <v>1274</v>
      </c>
      <c r="M1" s="5" t="s">
        <v>13</v>
      </c>
      <c r="N1" s="10" t="s">
        <v>1275</v>
      </c>
      <c r="O1" s="10" t="s">
        <v>7</v>
      </c>
      <c r="P1" s="10" t="s">
        <v>578</v>
      </c>
      <c r="Q1" s="10" t="s">
        <v>7</v>
      </c>
      <c r="R1" s="5" t="s">
        <v>1276</v>
      </c>
      <c r="S1" s="10" t="s">
        <v>7</v>
      </c>
      <c r="T1" s="10" t="s">
        <v>1277</v>
      </c>
      <c r="U1" s="10" t="s">
        <v>7</v>
      </c>
      <c r="V1" s="72" t="s">
        <v>1278</v>
      </c>
      <c r="W1" s="72" t="s">
        <v>7</v>
      </c>
      <c r="X1" s="72" t="s">
        <v>1279</v>
      </c>
      <c r="Y1" s="72" t="s">
        <v>7</v>
      </c>
      <c r="Z1" s="72" t="s">
        <v>1280</v>
      </c>
      <c r="AA1" s="72" t="s">
        <v>7</v>
      </c>
      <c r="AB1" s="72" t="s">
        <v>1281</v>
      </c>
      <c r="AC1" s="72" t="s">
        <v>7</v>
      </c>
    </row>
    <row r="2" ht="15.75" customHeight="1">
      <c r="A2" s="8">
        <v>1424.0</v>
      </c>
      <c r="B2" s="9" t="s">
        <v>49</v>
      </c>
      <c r="C2" s="5" t="s">
        <v>1282</v>
      </c>
      <c r="D2" s="13" t="s">
        <v>534</v>
      </c>
      <c r="E2" s="14">
        <v>0.0</v>
      </c>
      <c r="F2" s="13" t="s">
        <v>543</v>
      </c>
      <c r="G2" s="14">
        <v>0.0</v>
      </c>
      <c r="H2" s="13" t="s">
        <v>552</v>
      </c>
      <c r="I2" s="14">
        <v>0.0</v>
      </c>
      <c r="J2" s="106" t="s">
        <v>561</v>
      </c>
      <c r="K2" s="14">
        <v>0.0</v>
      </c>
      <c r="L2" s="106" t="s">
        <v>568</v>
      </c>
      <c r="M2" s="14">
        <v>0.0</v>
      </c>
      <c r="N2" s="13" t="s">
        <v>1283</v>
      </c>
      <c r="O2" s="5"/>
      <c r="P2" s="13" t="s">
        <v>1284</v>
      </c>
      <c r="Q2" s="5"/>
      <c r="R2" s="107" t="s">
        <v>1285</v>
      </c>
      <c r="S2" s="5"/>
      <c r="T2" s="13" t="s">
        <v>1260</v>
      </c>
      <c r="U2" s="21">
        <v>0.0</v>
      </c>
      <c r="V2" s="13" t="s">
        <v>562</v>
      </c>
      <c r="W2" s="21">
        <v>1.0</v>
      </c>
      <c r="X2" s="108" t="s">
        <v>1286</v>
      </c>
      <c r="Y2" s="21">
        <v>1.0</v>
      </c>
      <c r="Z2" s="13" t="s">
        <v>569</v>
      </c>
      <c r="AA2" s="21">
        <v>1.0</v>
      </c>
      <c r="AB2" s="108" t="s">
        <v>1287</v>
      </c>
      <c r="AC2" s="21">
        <v>1.0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2025-03-14T07:01:05Z</dcterms:created>
</cp:coreProperties>
</file>