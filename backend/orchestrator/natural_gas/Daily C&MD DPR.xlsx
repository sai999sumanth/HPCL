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PNG 25-26\Business Development\PNGRB Campaign\Target- media plan\"/>
    </mc:Choice>
  </mc:AlternateContent>
  <xr:revisionPtr revIDLastSave="0" documentId="8_{D9F9CC4D-AA8B-4ADB-8989-4AEB92DAAA08}" xr6:coauthVersionLast="47" xr6:coauthVersionMax="47" xr10:uidLastSave="{00000000-0000-0000-0000-000000000000}"/>
  <bookViews>
    <workbookView xWindow="-110" yWindow="-110" windowWidth="19420" windowHeight="11500" firstSheet="2" activeTab="2" xr2:uid="{00000000-000D-0000-FFFF-FFFF00000000}"/>
  </bookViews>
  <sheets>
    <sheet name="Focused GAs -MOPNG DATA" sheetId="5" state="hidden" r:id="rId1"/>
    <sheet name="All GAs" sheetId="6" state="hidden" r:id="rId2"/>
    <sheet name="MIS Summary" sheetId="17" r:id="rId3"/>
    <sheet name="HPCL-JV MIS" sheetId="15" r:id="rId4"/>
    <sheet name="Sheet1" sheetId="18" state="hidden" r:id="rId5"/>
    <sheet name="Sheet2" sheetId="16" state="hidden" r:id="rId6"/>
    <sheet name="calculation 30 mar" sheetId="13" state="hidden" r:id="rId7"/>
    <sheet name="Revised target" sheetId="14" state="hidden" r:id="rId8"/>
    <sheet name="Govt" sheetId="9" state="hidden" r:id="rId9"/>
    <sheet name="GSA details" sheetId="10" state="hidden" r:id="rId10"/>
    <sheet name="INDUSCOMMERCIAL" sheetId="7" state="hidden" r:id="rId11"/>
    <sheet name="target customers" sheetId="12" state="hidden" r:id="rId12"/>
  </sheets>
  <definedNames>
    <definedName name="_xlnm._FilterDatabase" localSheetId="0" hidden="1">'Focused GAs -MOPNG DATA'!$A$4:$CJ$10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 i="18" l="1"/>
  <c r="D17" i="18"/>
  <c r="G17" i="18"/>
  <c r="F17" i="18"/>
  <c r="F36" i="18"/>
  <c r="F37" i="18" s="1"/>
  <c r="E36" i="18"/>
  <c r="D36" i="18"/>
  <c r="D37" i="18" s="1"/>
  <c r="F26" i="18"/>
  <c r="F27" i="18" s="1"/>
  <c r="E26" i="18"/>
  <c r="D26" i="18"/>
  <c r="D27" i="18" s="1"/>
  <c r="N35" i="15"/>
  <c r="N7" i="17"/>
  <c r="M7" i="17"/>
  <c r="N6" i="17"/>
  <c r="M6" i="17"/>
  <c r="L8" i="17"/>
  <c r="K8" i="17"/>
  <c r="L7" i="17"/>
  <c r="K7" i="17"/>
  <c r="K9" i="17" s="1"/>
  <c r="L6" i="17"/>
  <c r="K6" i="17"/>
  <c r="J8" i="17"/>
  <c r="I8" i="17"/>
  <c r="J7" i="17"/>
  <c r="J9" i="17" s="1"/>
  <c r="I7" i="17"/>
  <c r="I9" i="17" s="1"/>
  <c r="I10" i="17" s="1"/>
  <c r="J6" i="17"/>
  <c r="I6" i="17"/>
  <c r="H8" i="17"/>
  <c r="G8" i="17"/>
  <c r="H7" i="17"/>
  <c r="H9" i="17" s="1"/>
  <c r="G7" i="17"/>
  <c r="G9" i="17" s="1"/>
  <c r="G10" i="17" s="1"/>
  <c r="H6" i="17"/>
  <c r="G6" i="17"/>
  <c r="F8" i="17"/>
  <c r="F9" i="17" s="1"/>
  <c r="E8" i="17"/>
  <c r="F7" i="17"/>
  <c r="E7" i="17"/>
  <c r="F6" i="17"/>
  <c r="E6" i="17"/>
  <c r="O35" i="15"/>
  <c r="M36" i="15"/>
  <c r="M48" i="15" s="1"/>
  <c r="O48" i="15" s="1"/>
  <c r="L36" i="15"/>
  <c r="L48" i="15" s="1"/>
  <c r="N48" i="15" s="1"/>
  <c r="M26" i="15"/>
  <c r="L26" i="15"/>
  <c r="N33" i="15"/>
  <c r="P33" i="15" s="1"/>
  <c r="Q35" i="15"/>
  <c r="P35" i="15"/>
  <c r="O34" i="15"/>
  <c r="Q34" i="15" s="1"/>
  <c r="N34" i="15"/>
  <c r="P34" i="15" s="1"/>
  <c r="O33" i="15"/>
  <c r="Q33" i="15" s="1"/>
  <c r="O25" i="15"/>
  <c r="N25" i="15"/>
  <c r="O24" i="15"/>
  <c r="N24" i="15"/>
  <c r="O46" i="15"/>
  <c r="N46" i="15"/>
  <c r="M47" i="15"/>
  <c r="O47" i="15" s="1"/>
  <c r="L47" i="15"/>
  <c r="N47" i="15" s="1"/>
  <c r="M46" i="15"/>
  <c r="L46" i="15"/>
  <c r="O16" i="15"/>
  <c r="N16" i="15"/>
  <c r="O15" i="15"/>
  <c r="N15" i="15"/>
  <c r="O14" i="15"/>
  <c r="N14" i="15"/>
  <c r="O13" i="15"/>
  <c r="Q13" i="15" s="1"/>
  <c r="N13" i="15"/>
  <c r="P13" i="15" s="1"/>
  <c r="O12" i="15"/>
  <c r="Q12" i="15" s="1"/>
  <c r="N12" i="15"/>
  <c r="P12" i="15" s="1"/>
  <c r="R12" i="15" s="1"/>
  <c r="O11" i="15"/>
  <c r="Q11" i="15" s="1"/>
  <c r="N11" i="15"/>
  <c r="P11" i="15" s="1"/>
  <c r="R11" i="15" s="1"/>
  <c r="O10" i="15"/>
  <c r="N10" i="15"/>
  <c r="O9" i="15"/>
  <c r="N9" i="15"/>
  <c r="O8" i="15"/>
  <c r="N8" i="15"/>
  <c r="O7" i="15"/>
  <c r="Q7" i="15" s="1"/>
  <c r="N7" i="15"/>
  <c r="P7" i="15" s="1"/>
  <c r="O6" i="15"/>
  <c r="N6" i="15"/>
  <c r="P6" i="15" s="1"/>
  <c r="L18" i="15"/>
  <c r="M17" i="15"/>
  <c r="L17" i="15"/>
  <c r="I48" i="15"/>
  <c r="D47" i="15"/>
  <c r="D46" i="15"/>
  <c r="E36" i="15"/>
  <c r="E48" i="15" s="1"/>
  <c r="D36" i="15"/>
  <c r="D48" i="15" s="1"/>
  <c r="F36" i="15"/>
  <c r="F48" i="15" s="1"/>
  <c r="G36" i="15"/>
  <c r="G48" i="15" s="1"/>
  <c r="H36" i="15"/>
  <c r="H48" i="15" s="1"/>
  <c r="I36" i="15"/>
  <c r="J36" i="15"/>
  <c r="K36" i="15"/>
  <c r="K48" i="15" s="1"/>
  <c r="K26" i="15"/>
  <c r="K47" i="15" s="1"/>
  <c r="J26" i="15"/>
  <c r="J47" i="15" s="1"/>
  <c r="I26" i="15"/>
  <c r="I47" i="15" s="1"/>
  <c r="H26" i="15"/>
  <c r="G26" i="15"/>
  <c r="G47" i="15" s="1"/>
  <c r="F26" i="15"/>
  <c r="F47" i="15" s="1"/>
  <c r="E26" i="15"/>
  <c r="E47" i="15" s="1"/>
  <c r="D26" i="15"/>
  <c r="Q25" i="15"/>
  <c r="P25" i="15"/>
  <c r="O26" i="15"/>
  <c r="N26" i="15"/>
  <c r="Q16" i="15"/>
  <c r="P16" i="15"/>
  <c r="R16" i="15" s="1"/>
  <c r="Q15" i="15"/>
  <c r="P15" i="15"/>
  <c r="Q14" i="15"/>
  <c r="P14" i="15"/>
  <c r="Q10" i="15"/>
  <c r="P10" i="15"/>
  <c r="R10" i="15" s="1"/>
  <c r="Q9" i="15"/>
  <c r="P9" i="15"/>
  <c r="Q8" i="15"/>
  <c r="P8" i="15"/>
  <c r="Q6" i="15"/>
  <c r="K17" i="15"/>
  <c r="K46" i="15" s="1"/>
  <c r="J17" i="15"/>
  <c r="J18" i="15" s="1"/>
  <c r="I17" i="15"/>
  <c r="I46" i="15" s="1"/>
  <c r="H17" i="15"/>
  <c r="H18" i="15" s="1"/>
  <c r="G17" i="15"/>
  <c r="G46" i="15" s="1"/>
  <c r="F17" i="15"/>
  <c r="F46" i="15" s="1"/>
  <c r="BK17" i="6"/>
  <c r="BJ17" i="6"/>
  <c r="BI17" i="6"/>
  <c r="BH17" i="6"/>
  <c r="BK16" i="6"/>
  <c r="BJ16" i="6"/>
  <c r="BI16" i="6"/>
  <c r="BH16" i="6"/>
  <c r="BK15" i="6"/>
  <c r="BJ15" i="6"/>
  <c r="BI15" i="6"/>
  <c r="BH15" i="6"/>
  <c r="BK14" i="6"/>
  <c r="BJ14" i="6"/>
  <c r="BI14" i="6"/>
  <c r="BH14" i="6"/>
  <c r="BK13" i="6"/>
  <c r="BJ13" i="6"/>
  <c r="BI13" i="6"/>
  <c r="BH13" i="6"/>
  <c r="BK12" i="6"/>
  <c r="BJ12" i="6"/>
  <c r="BI12" i="6"/>
  <c r="BH12" i="6"/>
  <c r="BK11" i="6"/>
  <c r="BJ11" i="6"/>
  <c r="BI11" i="6"/>
  <c r="BH11" i="6"/>
  <c r="D17" i="15"/>
  <c r="E17" i="15"/>
  <c r="E46" i="15" s="1"/>
  <c r="R34" i="15" l="1"/>
  <c r="M8" i="17"/>
  <c r="N8" i="17"/>
  <c r="P8" i="17" s="1"/>
  <c r="R8" i="17" s="1"/>
  <c r="O8" i="17"/>
  <c r="Q8" i="17" s="1"/>
  <c r="O7" i="17"/>
  <c r="Q7" i="17" s="1"/>
  <c r="P7" i="17"/>
  <c r="R7" i="17" s="1"/>
  <c r="E9" i="17"/>
  <c r="E10" i="17" s="1"/>
  <c r="M9" i="17"/>
  <c r="P6" i="17"/>
  <c r="O6" i="17"/>
  <c r="L9" i="17"/>
  <c r="K10" i="17" s="1"/>
  <c r="L27" i="15"/>
  <c r="L49" i="15"/>
  <c r="M49" i="15"/>
  <c r="L37" i="15"/>
  <c r="R6" i="15"/>
  <c r="R25" i="15"/>
  <c r="Q48" i="15"/>
  <c r="R8" i="15"/>
  <c r="R14" i="15"/>
  <c r="R33" i="15"/>
  <c r="I49" i="15"/>
  <c r="Q46" i="15"/>
  <c r="R15" i="15"/>
  <c r="Q47" i="15"/>
  <c r="R9" i="15"/>
  <c r="P46" i="15"/>
  <c r="P47" i="15"/>
  <c r="R7" i="15"/>
  <c r="R13" i="15"/>
  <c r="Q24" i="15"/>
  <c r="H46" i="15"/>
  <c r="N36" i="15"/>
  <c r="J46" i="15"/>
  <c r="P24" i="15"/>
  <c r="P26" i="15" s="1"/>
  <c r="H27" i="15"/>
  <c r="H47" i="15"/>
  <c r="R35" i="15"/>
  <c r="E49" i="15"/>
  <c r="Q36" i="15"/>
  <c r="D49" i="15"/>
  <c r="P36" i="15"/>
  <c r="O36" i="15"/>
  <c r="Q17" i="15"/>
  <c r="P17" i="15"/>
  <c r="J37" i="15"/>
  <c r="K49" i="15"/>
  <c r="J48" i="15"/>
  <c r="J49" i="15" s="1"/>
  <c r="J50" i="15" s="1"/>
  <c r="G49" i="15"/>
  <c r="O49" i="15"/>
  <c r="F49" i="15"/>
  <c r="D37" i="15"/>
  <c r="H37" i="15"/>
  <c r="F37" i="15"/>
  <c r="F27" i="15"/>
  <c r="D27" i="15"/>
  <c r="J27" i="15"/>
  <c r="D18" i="15"/>
  <c r="F18" i="15"/>
  <c r="O17" i="15"/>
  <c r="N17" i="15"/>
  <c r="N9" i="17" l="1"/>
  <c r="O9" i="17"/>
  <c r="S7" i="17"/>
  <c r="M10" i="17"/>
  <c r="Q6" i="17"/>
  <c r="P9" i="17"/>
  <c r="O10" i="17" s="1"/>
  <c r="R6" i="17"/>
  <c r="R9" i="17" s="1"/>
  <c r="S8" i="17"/>
  <c r="L50" i="15"/>
  <c r="R47" i="15"/>
  <c r="Q49" i="15"/>
  <c r="N37" i="15"/>
  <c r="R36" i="15"/>
  <c r="R17" i="15"/>
  <c r="R46" i="15"/>
  <c r="D50" i="15"/>
  <c r="H49" i="15"/>
  <c r="H50" i="15" s="1"/>
  <c r="R24" i="15"/>
  <c r="Q26" i="15"/>
  <c r="P27" i="15" s="1"/>
  <c r="P48" i="15"/>
  <c r="R48" i="15" s="1"/>
  <c r="P18" i="15"/>
  <c r="P37" i="15"/>
  <c r="F50" i="15"/>
  <c r="N18" i="15"/>
  <c r="N27" i="15"/>
  <c r="BG18" i="6"/>
  <c r="BF18" i="6"/>
  <c r="BE18" i="6"/>
  <c r="BD18" i="6"/>
  <c r="CI10" i="5"/>
  <c r="CH10" i="5"/>
  <c r="CG10" i="5"/>
  <c r="CF10" i="5"/>
  <c r="CI9" i="5"/>
  <c r="CH9" i="5"/>
  <c r="CG9" i="5"/>
  <c r="CF9" i="5"/>
  <c r="CI8" i="5"/>
  <c r="CH8" i="5"/>
  <c r="CG8" i="5"/>
  <c r="CF8" i="5"/>
  <c r="CI7" i="5"/>
  <c r="CH7" i="5"/>
  <c r="CG7" i="5"/>
  <c r="CF7" i="5"/>
  <c r="CI6" i="5"/>
  <c r="CH6" i="5"/>
  <c r="CG6" i="5"/>
  <c r="CF6" i="5"/>
  <c r="CI5" i="5"/>
  <c r="CH5" i="5"/>
  <c r="CG5" i="5"/>
  <c r="CF5" i="5"/>
  <c r="CI4" i="5"/>
  <c r="CH4" i="5"/>
  <c r="CG4" i="5"/>
  <c r="CF4" i="5"/>
  <c r="BC18" i="6"/>
  <c r="BB18" i="6"/>
  <c r="BA18" i="6"/>
  <c r="AZ18" i="6"/>
  <c r="CE10" i="5"/>
  <c r="CD10" i="5"/>
  <c r="CC10" i="5"/>
  <c r="CB10" i="5"/>
  <c r="CE9" i="5"/>
  <c r="CD9" i="5"/>
  <c r="CC9" i="5"/>
  <c r="CB9" i="5"/>
  <c r="CE8" i="5"/>
  <c r="CD8" i="5"/>
  <c r="CC8" i="5"/>
  <c r="CB8" i="5"/>
  <c r="CE7" i="5"/>
  <c r="CD7" i="5"/>
  <c r="CC7" i="5"/>
  <c r="CB7" i="5"/>
  <c r="CE6" i="5"/>
  <c r="CD6" i="5"/>
  <c r="CC6" i="5"/>
  <c r="CB6" i="5"/>
  <c r="CE5" i="5"/>
  <c r="CD5" i="5"/>
  <c r="CC5" i="5"/>
  <c r="CB5" i="5"/>
  <c r="CE4" i="5"/>
  <c r="CD4" i="5"/>
  <c r="CC4" i="5"/>
  <c r="CB4" i="5"/>
  <c r="CA10" i="5"/>
  <c r="BZ10" i="5"/>
  <c r="BY10" i="5"/>
  <c r="BX10" i="5"/>
  <c r="CA9" i="5"/>
  <c r="BZ9" i="5"/>
  <c r="BY9" i="5"/>
  <c r="BX9" i="5"/>
  <c r="CA8" i="5"/>
  <c r="BZ8" i="5"/>
  <c r="BY8" i="5"/>
  <c r="BX8" i="5"/>
  <c r="CA7" i="5"/>
  <c r="BZ7" i="5"/>
  <c r="BY7" i="5"/>
  <c r="BX7" i="5"/>
  <c r="CA6" i="5"/>
  <c r="BZ6" i="5"/>
  <c r="BY6" i="5"/>
  <c r="BX6" i="5"/>
  <c r="CA5" i="5"/>
  <c r="BZ5" i="5"/>
  <c r="BY5" i="5"/>
  <c r="BX5" i="5"/>
  <c r="CA4" i="5"/>
  <c r="BZ4" i="5"/>
  <c r="BY4" i="5"/>
  <c r="BX4" i="5"/>
  <c r="AY18" i="6"/>
  <c r="AX18" i="6"/>
  <c r="AW18" i="6"/>
  <c r="AV18" i="6"/>
  <c r="J5" i="6"/>
  <c r="I5" i="6"/>
  <c r="H5" i="6"/>
  <c r="I9" i="6"/>
  <c r="J9" i="6"/>
  <c r="H9" i="6"/>
  <c r="S6" i="17" l="1"/>
  <c r="S9" i="17" s="1"/>
  <c r="Q9" i="17"/>
  <c r="Q10" i="17" s="1"/>
  <c r="R26" i="15"/>
  <c r="R49" i="15"/>
  <c r="N49" i="15"/>
  <c r="N50" i="15" s="1"/>
  <c r="P49" i="15"/>
  <c r="P50" i="15" s="1"/>
  <c r="CG11" i="5"/>
  <c r="CI11" i="5"/>
  <c r="CH11" i="5"/>
  <c r="CF11" i="5"/>
  <c r="BZ11" i="5"/>
  <c r="CB11" i="5"/>
  <c r="CE11" i="5"/>
  <c r="CD11" i="5"/>
  <c r="CC11" i="5"/>
  <c r="CA11" i="5"/>
  <c r="BY11" i="5"/>
  <c r="BX11" i="5"/>
  <c r="L15" i="14"/>
  <c r="K15" i="14"/>
  <c r="J15" i="14"/>
  <c r="I15" i="14"/>
  <c r="AU18" i="6" l="1"/>
  <c r="AT18" i="6"/>
  <c r="AS18" i="6"/>
  <c r="AR18" i="6"/>
  <c r="BW10" i="5" l="1"/>
  <c r="BV10" i="5"/>
  <c r="BU10" i="5"/>
  <c r="BT10" i="5"/>
  <c r="BW9" i="5"/>
  <c r="BV9" i="5"/>
  <c r="BU9" i="5"/>
  <c r="BT9" i="5"/>
  <c r="BW8" i="5"/>
  <c r="BV8" i="5"/>
  <c r="BU8" i="5"/>
  <c r="BT8" i="5"/>
  <c r="BW7" i="5"/>
  <c r="BV7" i="5"/>
  <c r="BU7" i="5"/>
  <c r="BT7" i="5"/>
  <c r="BW6" i="5"/>
  <c r="BV6" i="5"/>
  <c r="BU6" i="5"/>
  <c r="BT6" i="5"/>
  <c r="BW5" i="5"/>
  <c r="BV5" i="5"/>
  <c r="BU5" i="5"/>
  <c r="BT5" i="5"/>
  <c r="BW4" i="5"/>
  <c r="BV4" i="5"/>
  <c r="BU4" i="5"/>
  <c r="BT4" i="5"/>
  <c r="CJ10" i="5" l="1"/>
  <c r="CM4" i="5"/>
  <c r="CM7" i="5"/>
  <c r="CM10" i="5"/>
  <c r="CJ5" i="5"/>
  <c r="CJ8" i="5"/>
  <c r="CK5" i="5"/>
  <c r="CK8" i="5"/>
  <c r="CL5" i="5"/>
  <c r="CL8" i="5"/>
  <c r="CM5" i="5"/>
  <c r="CM8" i="5"/>
  <c r="CJ6" i="5"/>
  <c r="CJ9" i="5"/>
  <c r="CK6" i="5"/>
  <c r="CK9" i="5"/>
  <c r="CL6" i="5"/>
  <c r="CL9" i="5"/>
  <c r="CM6" i="5"/>
  <c r="CM9" i="5"/>
  <c r="CJ4" i="5"/>
  <c r="CJ7" i="5"/>
  <c r="CK4" i="5"/>
  <c r="CK7" i="5"/>
  <c r="CK10" i="5"/>
  <c r="CL4" i="5"/>
  <c r="CL7" i="5"/>
  <c r="CL10" i="5"/>
  <c r="BV11" i="5"/>
  <c r="BW11" i="5"/>
  <c r="BT11" i="5"/>
  <c r="BU11" i="5"/>
  <c r="D18" i="13"/>
  <c r="C18" i="13"/>
  <c r="B18" i="13"/>
  <c r="E17" i="13"/>
  <c r="E16" i="13"/>
  <c r="E15" i="13"/>
  <c r="E14" i="13"/>
  <c r="E13" i="13"/>
  <c r="E12" i="13"/>
  <c r="E11" i="13"/>
  <c r="E10" i="13"/>
  <c r="E9" i="13"/>
  <c r="E8" i="13"/>
  <c r="E7" i="13"/>
  <c r="E6" i="13"/>
  <c r="E5" i="13"/>
  <c r="E18" i="13" s="1"/>
  <c r="CJ11" i="5" l="1"/>
  <c r="CK11" i="5"/>
  <c r="CM11" i="5"/>
  <c r="CL11" i="5"/>
  <c r="AQ18" i="6"/>
  <c r="AP18" i="6"/>
  <c r="AO18" i="6"/>
  <c r="AN18" i="6"/>
  <c r="BS11" i="5" l="1"/>
  <c r="BR11" i="5"/>
  <c r="BQ11" i="5"/>
  <c r="BP11" i="5"/>
  <c r="AM5" i="6"/>
  <c r="AL5" i="6"/>
  <c r="AK5" i="6"/>
  <c r="AJ5" i="6"/>
  <c r="AM10" i="6"/>
  <c r="AL10" i="6"/>
  <c r="AK10" i="6"/>
  <c r="AJ10" i="6"/>
  <c r="AM9" i="6"/>
  <c r="AL9" i="6"/>
  <c r="AK9" i="6"/>
  <c r="AJ9" i="6"/>
  <c r="AM8" i="6"/>
  <c r="AL8" i="6"/>
  <c r="AK8" i="6"/>
  <c r="AJ8" i="6"/>
  <c r="AM7" i="6"/>
  <c r="AL7" i="6"/>
  <c r="AK7" i="6"/>
  <c r="AJ7" i="6"/>
  <c r="AM6" i="6"/>
  <c r="AL6" i="6"/>
  <c r="AK6" i="6"/>
  <c r="AJ6" i="6"/>
  <c r="AM4" i="6"/>
  <c r="AL4" i="6"/>
  <c r="AK4" i="6"/>
  <c r="AJ4" i="6"/>
  <c r="AI10" i="6"/>
  <c r="AH10" i="6"/>
  <c r="AG10" i="6"/>
  <c r="AF10" i="6"/>
  <c r="AI9" i="6"/>
  <c r="AH9" i="6"/>
  <c r="AG9" i="6"/>
  <c r="AF9" i="6"/>
  <c r="AI8" i="6"/>
  <c r="AH8" i="6"/>
  <c r="AG8" i="6"/>
  <c r="AF8" i="6"/>
  <c r="AI7" i="6"/>
  <c r="AH7" i="6"/>
  <c r="AG7" i="6"/>
  <c r="AF7" i="6"/>
  <c r="AI6" i="6"/>
  <c r="AH6" i="6"/>
  <c r="AG6" i="6"/>
  <c r="AF6" i="6"/>
  <c r="AI5" i="6"/>
  <c r="AH5" i="6"/>
  <c r="AG5" i="6"/>
  <c r="AF5" i="6"/>
  <c r="AI4" i="6"/>
  <c r="AH4" i="6"/>
  <c r="AG4" i="6"/>
  <c r="AF4" i="6"/>
  <c r="BO11" i="5"/>
  <c r="BN11" i="5"/>
  <c r="BM11" i="5"/>
  <c r="BL11" i="5"/>
  <c r="E55" i="10"/>
  <c r="E17" i="9"/>
  <c r="E16" i="9"/>
  <c r="E3" i="9"/>
  <c r="E7" i="9"/>
  <c r="E13" i="9"/>
  <c r="E15" i="9"/>
  <c r="AL18" i="6" l="1"/>
  <c r="AJ18" i="6"/>
  <c r="AM18" i="6"/>
  <c r="AK18" i="6"/>
  <c r="AF18" i="6"/>
  <c r="AI18" i="6"/>
  <c r="AH18" i="6"/>
  <c r="AG18" i="6"/>
  <c r="BK11" i="5"/>
  <c r="BJ11" i="5"/>
  <c r="BI11" i="5"/>
  <c r="BH11" i="5"/>
  <c r="AE10" i="6"/>
  <c r="AD10" i="6"/>
  <c r="AC10" i="6"/>
  <c r="AB10" i="6"/>
  <c r="AE9" i="6"/>
  <c r="AD9" i="6"/>
  <c r="AC9" i="6"/>
  <c r="AB9" i="6"/>
  <c r="AE8" i="6"/>
  <c r="AD8" i="6"/>
  <c r="AC8" i="6"/>
  <c r="AB8" i="6"/>
  <c r="AE7" i="6"/>
  <c r="AD7" i="6"/>
  <c r="AC7" i="6"/>
  <c r="AB7" i="6"/>
  <c r="AE6" i="6"/>
  <c r="AD6" i="6"/>
  <c r="AC6" i="6"/>
  <c r="AB6" i="6"/>
  <c r="AE5" i="6"/>
  <c r="AD5" i="6"/>
  <c r="AC5" i="6"/>
  <c r="AB5" i="6"/>
  <c r="AE4" i="6"/>
  <c r="AD4" i="6"/>
  <c r="AC4" i="6"/>
  <c r="AB4" i="6"/>
  <c r="BG11" i="5"/>
  <c r="BF11" i="5"/>
  <c r="BE11" i="5"/>
  <c r="BD11" i="5"/>
  <c r="AA10" i="6"/>
  <c r="BK10" i="6" s="1"/>
  <c r="Z10" i="6"/>
  <c r="Y10" i="6"/>
  <c r="X10" i="6"/>
  <c r="AA9" i="6"/>
  <c r="Z9" i="6"/>
  <c r="Y9" i="6"/>
  <c r="X9" i="6"/>
  <c r="AA8" i="6"/>
  <c r="Z8" i="6"/>
  <c r="BJ8" i="6" s="1"/>
  <c r="Y8" i="6"/>
  <c r="BI8" i="6" s="1"/>
  <c r="X8" i="6"/>
  <c r="BH8" i="6" s="1"/>
  <c r="AA7" i="6"/>
  <c r="BK7" i="6" s="1"/>
  <c r="Z7" i="6"/>
  <c r="Y7" i="6"/>
  <c r="X7" i="6"/>
  <c r="AA6" i="6"/>
  <c r="Z6" i="6"/>
  <c r="Y6" i="6"/>
  <c r="X6" i="6"/>
  <c r="AA5" i="6"/>
  <c r="Z5" i="6"/>
  <c r="BJ5" i="6" s="1"/>
  <c r="Y5" i="6"/>
  <c r="BI5" i="6" s="1"/>
  <c r="X5" i="6"/>
  <c r="BH5" i="6" s="1"/>
  <c r="AA4" i="6"/>
  <c r="BK4" i="6" s="1"/>
  <c r="Z4" i="6"/>
  <c r="Y4" i="6"/>
  <c r="X4" i="6"/>
  <c r="BC11" i="5"/>
  <c r="BB11" i="5"/>
  <c r="BA11" i="5"/>
  <c r="AZ11" i="5"/>
  <c r="W9" i="6"/>
  <c r="V9" i="6"/>
  <c r="U9" i="6"/>
  <c r="T9" i="6"/>
  <c r="J10" i="6"/>
  <c r="I10" i="6"/>
  <c r="H10" i="6"/>
  <c r="W8" i="6"/>
  <c r="V8" i="6"/>
  <c r="U8" i="6"/>
  <c r="T8" i="6"/>
  <c r="W7" i="6"/>
  <c r="V7" i="6"/>
  <c r="U7" i="6"/>
  <c r="T7" i="6"/>
  <c r="W6" i="6"/>
  <c r="V6" i="6"/>
  <c r="U6" i="6"/>
  <c r="T6" i="6"/>
  <c r="W5" i="6"/>
  <c r="V5" i="6"/>
  <c r="U5" i="6"/>
  <c r="T5" i="6"/>
  <c r="W4" i="6"/>
  <c r="V4" i="6"/>
  <c r="U4" i="6"/>
  <c r="T4" i="6"/>
  <c r="W10" i="6"/>
  <c r="V10" i="6"/>
  <c r="U10" i="6"/>
  <c r="T10" i="6"/>
  <c r="S18" i="6"/>
  <c r="R18" i="6"/>
  <c r="Q18" i="6"/>
  <c r="P18" i="6"/>
  <c r="O18" i="6"/>
  <c r="N18" i="6"/>
  <c r="M18" i="6"/>
  <c r="L18" i="6"/>
  <c r="K18" i="6"/>
  <c r="G18" i="6"/>
  <c r="F18" i="6"/>
  <c r="E18" i="6"/>
  <c r="D18" i="6"/>
  <c r="AU11" i="5"/>
  <c r="AT11" i="5"/>
  <c r="AS11" i="5"/>
  <c r="AR11" i="5"/>
  <c r="AY11" i="5"/>
  <c r="AX11" i="5"/>
  <c r="AW11" i="5"/>
  <c r="AV11" i="5"/>
  <c r="N11" i="5"/>
  <c r="M11" i="5"/>
  <c r="L11" i="5"/>
  <c r="BK5" i="6" l="1"/>
  <c r="BH9" i="6"/>
  <c r="BI6" i="6"/>
  <c r="BJ6" i="6"/>
  <c r="BK6" i="6"/>
  <c r="BK9" i="6"/>
  <c r="BH4" i="6"/>
  <c r="BH7" i="6"/>
  <c r="BH10" i="6"/>
  <c r="BI4" i="6"/>
  <c r="BI7" i="6"/>
  <c r="BI10" i="6"/>
  <c r="BJ4" i="6"/>
  <c r="BJ7" i="6"/>
  <c r="BJ10" i="6"/>
  <c r="BK8" i="6"/>
  <c r="BH6" i="6"/>
  <c r="BI9" i="6"/>
  <c r="BJ9" i="6"/>
  <c r="I18" i="6"/>
  <c r="AB18" i="6"/>
  <c r="AD18" i="6"/>
  <c r="AE18" i="6"/>
  <c r="AC18" i="6"/>
  <c r="Z18" i="6"/>
  <c r="AA18" i="6"/>
  <c r="Y18" i="6"/>
  <c r="X18" i="6"/>
  <c r="J18" i="6"/>
  <c r="U18" i="6"/>
  <c r="T18" i="6"/>
  <c r="V18" i="6"/>
  <c r="W18" i="6"/>
  <c r="H18" i="6"/>
  <c r="AQ11" i="5"/>
  <c r="AP11" i="5"/>
  <c r="AO11" i="5"/>
  <c r="AN11" i="5"/>
  <c r="BJ18" i="6" l="1"/>
  <c r="BH18" i="6"/>
  <c r="BK18" i="6"/>
  <c r="BI18" i="6"/>
  <c r="I11" i="5"/>
  <c r="H11" i="5"/>
  <c r="J11" i="5"/>
  <c r="AD11" i="5" l="1"/>
  <c r="AC11" i="5"/>
  <c r="AB11" i="5"/>
  <c r="Z11" i="5"/>
  <c r="Y11" i="5"/>
  <c r="X11" i="5"/>
  <c r="V11" i="5" l="1"/>
  <c r="U11" i="5"/>
  <c r="T11" i="5"/>
  <c r="R11" i="5" l="1"/>
  <c r="Q11" i="5"/>
  <c r="P11" i="5"/>
  <c r="AM11" i="5" l="1"/>
  <c r="AL11" i="5"/>
  <c r="AK11" i="5"/>
  <c r="AJ11" i="5"/>
  <c r="AI11" i="5"/>
  <c r="AH11" i="5"/>
  <c r="AG11" i="5"/>
  <c r="AF11" i="5"/>
  <c r="G11" i="5"/>
  <c r="F11" i="5"/>
  <c r="E11" i="5"/>
  <c r="D11" i="5"/>
</calcChain>
</file>

<file path=xl/sharedStrings.xml><?xml version="1.0" encoding="utf-8"?>
<sst xmlns="http://schemas.openxmlformats.org/spreadsheetml/2006/main" count="1613" uniqueCount="602">
  <si>
    <t>GA Name</t>
  </si>
  <si>
    <t>Total</t>
  </si>
  <si>
    <t>Bareilly (EAAA) District, Pilibhit and Rampur Districts</t>
  </si>
  <si>
    <t>Darjeeling, Jalpaiguri and Uttar Dinajpur Districts</t>
  </si>
  <si>
    <t>Farrukhabad, Etah and Hardoi Districts</t>
  </si>
  <si>
    <t>Howrah (EAAA) District and Hoogly (EAAA) District</t>
  </si>
  <si>
    <t>Nadia (EAAA) District and North 24 Parganas (EAAA) District</t>
  </si>
  <si>
    <t>Shahjahanpur and Budaun Districts</t>
  </si>
  <si>
    <t>Sonipat District (EAAA) &amp; Jind District</t>
  </si>
  <si>
    <t>GA ID</t>
  </si>
  <si>
    <t>S No</t>
  </si>
  <si>
    <t>DPNG Target (Drive)</t>
  </si>
  <si>
    <t>Commercial Connections</t>
  </si>
  <si>
    <t>Connections</t>
  </si>
  <si>
    <t>Connected to Billed</t>
  </si>
  <si>
    <t>Registrations</t>
  </si>
  <si>
    <t>20th March 2026</t>
  </si>
  <si>
    <t>21st March 2026</t>
  </si>
  <si>
    <t>DPNG Progress</t>
  </si>
  <si>
    <t>Commercial Connections Completed (Gas-in)</t>
  </si>
  <si>
    <t>New Connections</t>
  </si>
  <si>
    <t>Connected (Old RFC) to Billed</t>
  </si>
  <si>
    <t>Natio+A1:Q11nal PNG Drive 2.0 Targets - Focus GAs (110)</t>
  </si>
  <si>
    <t>16th March 2026</t>
  </si>
  <si>
    <t>17th March 2026</t>
  </si>
  <si>
    <t>18th March 2026</t>
  </si>
  <si>
    <t>19th March 2026</t>
  </si>
  <si>
    <t>Cummulative</t>
  </si>
  <si>
    <t>LMC</t>
  </si>
  <si>
    <t>NGC</t>
  </si>
  <si>
    <t>1,57,435</t>
  </si>
  <si>
    <t>2,58,070</t>
  </si>
  <si>
    <t>Cumm for CGD</t>
  </si>
  <si>
    <t>53
(com+ind)</t>
  </si>
  <si>
    <t>22nd March 2026</t>
  </si>
  <si>
    <t>PNG Drive before 16th March</t>
  </si>
  <si>
    <t xml:space="preserve">Cumm. DPNG </t>
  </si>
  <si>
    <t>23rd March 2026</t>
  </si>
  <si>
    <t>24th March 2026</t>
  </si>
  <si>
    <t>GA Area</t>
  </si>
  <si>
    <t>State/UTs</t>
  </si>
  <si>
    <t>Target PNGRB</t>
  </si>
  <si>
    <t>PNG Progress - 1st Jan- 22nd Mar'26</t>
  </si>
  <si>
    <t>PNG Progress 23rd Mar'26</t>
  </si>
  <si>
    <t>PNG Progress 24th  Mar'26</t>
  </si>
  <si>
    <t>PNG Progress Cumm.</t>
  </si>
  <si>
    <t>Registartion</t>
  </si>
  <si>
    <t>Comm/Ind.</t>
  </si>
  <si>
    <t>Nos</t>
  </si>
  <si>
    <t>Nos.</t>
  </si>
  <si>
    <t>Enrollment</t>
  </si>
  <si>
    <t>Bareilly, Rampur, Pilibhit</t>
  </si>
  <si>
    <t>UP</t>
  </si>
  <si>
    <t>Darjeeling, Jalpaiguri &amp; Uttar Dinajpur</t>
  </si>
  <si>
    <t>WB</t>
  </si>
  <si>
    <t>Etah, Farrukhabad, Hardoi</t>
  </si>
  <si>
    <t>Howrah &amp; Hooghly </t>
  </si>
  <si>
    <t>Nadia &amp; North 24 Parganas </t>
  </si>
  <si>
    <t>Shahjahanpur Badaun</t>
  </si>
  <si>
    <t>Sonipat - Jind GA</t>
  </si>
  <si>
    <t>Haryana</t>
  </si>
  <si>
    <t>Mainpuri Kannauj</t>
  </si>
  <si>
    <t>Nainital Bijnor</t>
  </si>
  <si>
    <t>UK/UP</t>
  </si>
  <si>
    <t>South 24 Parganas</t>
  </si>
  <si>
    <t>Dausa, Karauli, Sawai Madhopur &amp; Tonk</t>
  </si>
  <si>
    <t>RJ</t>
  </si>
  <si>
    <t>11A.02</t>
  </si>
  <si>
    <t>Banka, Dumka, Godda. Jamtara, Pakur &amp; Sahibganj</t>
  </si>
  <si>
    <t>Bihar/Jharkhand</t>
  </si>
  <si>
    <t>11A.03</t>
  </si>
  <si>
    <t xml:space="preserve">Birbhum, Mursiddabad, Maldah </t>
  </si>
  <si>
    <t>Sikkim</t>
  </si>
  <si>
    <t>25th March 2026</t>
  </si>
  <si>
    <t>PNG Progress 25th  Mar'26</t>
  </si>
  <si>
    <t>26th March 2026</t>
  </si>
  <si>
    <t>27th March 2026</t>
  </si>
  <si>
    <t>Total 16th Mar-Till Date</t>
  </si>
  <si>
    <t>PNG Progress 26th  Mar'26</t>
  </si>
  <si>
    <t>PNG Progress 27th  Mar'26</t>
  </si>
  <si>
    <t>JS</t>
  </si>
  <si>
    <t>1.Neelam lace</t>
  </si>
  <si>
    <t>2.Ajit industries</t>
  </si>
  <si>
    <t>3.Krishna polymers</t>
  </si>
  <si>
    <t>4.Poddar tyres</t>
  </si>
  <si>
    <t>5.Bcl fabrics</t>
  </si>
  <si>
    <t>6.Bansal processing house</t>
  </si>
  <si>
    <t>7.Shatabdi exports</t>
  </si>
  <si>
    <t>8.Anand knit</t>
  </si>
  <si>
    <t>9.Vihan textiles</t>
  </si>
  <si>
    <t>10. Karangar textiles pvt ltd.</t>
  </si>
  <si>
    <t>HH</t>
  </si>
  <si>
    <t>Shakambari Ispat</t>
  </si>
  <si>
    <t>Nursing Home.</t>
  </si>
  <si>
    <t>NN24</t>
  </si>
  <si>
    <t>IISER:1</t>
  </si>
  <si>
    <t>DARJELLING</t>
  </si>
  <si>
    <t>MK</t>
  </si>
  <si>
    <t>SUDITI GLOBAL ACADEMY</t>
  </si>
  <si>
    <t>PRITI MISTHAN(MARCH)</t>
  </si>
  <si>
    <t>Railway</t>
  </si>
  <si>
    <t>BSF</t>
  </si>
  <si>
    <t>MALDAH GA</t>
  </si>
  <si>
    <t>ISSER</t>
  </si>
  <si>
    <t>AIIMS</t>
  </si>
  <si>
    <t>*Sapoorji Palonji*</t>
  </si>
  <si>
    <t>S24</t>
  </si>
  <si>
    <t>IIM (Kolkata)</t>
  </si>
  <si>
    <t>SB</t>
  </si>
  <si>
    <t>Rosa Township Reliance(Power plant),Shahjahanpur</t>
  </si>
  <si>
    <t>Kribhco Nagar Township,Shahjahanpur</t>
  </si>
  <si>
    <t>Army Cantonment Shahjahanpur</t>
  </si>
  <si>
    <t>BRP</t>
  </si>
  <si>
    <t>CRPF(RAMPUR)</t>
  </si>
  <si>
    <t>POLITECHNIC COLLEGE- STUDENT MESS</t>
  </si>
  <si>
    <t>Consumption (SCM)</t>
  </si>
  <si>
    <t>BSF(SILLIGURI)&amp; (DANI NAGAR)</t>
  </si>
  <si>
    <t>BSF(MALDAH)</t>
  </si>
  <si>
    <t>BSF (Kalyani)</t>
  </si>
  <si>
    <t xml:space="preserve">IFFCO </t>
  </si>
  <si>
    <t>MDPE work initiated</t>
  </si>
  <si>
    <t>Agreement executed</t>
  </si>
  <si>
    <t>Area gasified</t>
  </si>
  <si>
    <t>Proposal submitted to cantonment authorities</t>
  </si>
  <si>
    <t>High-rise development comprising 15,000 households; approval secured for 3,000 households</t>
  </si>
  <si>
    <t>Proposal submitted to the college</t>
  </si>
  <si>
    <t>Approval under process</t>
  </si>
  <si>
    <t>Concerned authority contacted and approval request letter submitted</t>
  </si>
  <si>
    <t>Approval from the college is pending</t>
  </si>
  <si>
    <t>MDPE work in progress</t>
  </si>
  <si>
    <t>Gasification proposal submitted to cantonment authorities</t>
  </si>
  <si>
    <t>Mainpuri- Kannauj</t>
  </si>
  <si>
    <t>Government Colony(Mainpuri)</t>
  </si>
  <si>
    <t>Government Colony(Kannauj)</t>
  </si>
  <si>
    <t>Approval received from DM office</t>
  </si>
  <si>
    <t>Govt / Institution/PSU/High Rise Name</t>
  </si>
  <si>
    <t>Household No.</t>
  </si>
  <si>
    <t>Commercial No.</t>
  </si>
  <si>
    <t>Comments</t>
  </si>
  <si>
    <t>Sr no.-</t>
  </si>
  <si>
    <t>Name of customer </t>
  </si>
  <si>
    <t>GSA type </t>
  </si>
  <si>
    <t>Estimated consumption in SCMD</t>
  </si>
  <si>
    <t>Date of GSA</t>
  </si>
  <si>
    <t>Status ( Started/Not started )</t>
  </si>
  <si>
    <t>Shree Durga Texcoat Pvt Ltd</t>
  </si>
  <si>
    <t>Industrial</t>
  </si>
  <si>
    <t>19.03.2026</t>
  </si>
  <si>
    <t>Not Started</t>
  </si>
  <si>
    <t>Anand Knit</t>
  </si>
  <si>
    <t>Started</t>
  </si>
  <si>
    <t>Shatabdi Export</t>
  </si>
  <si>
    <t>18.03.2026</t>
  </si>
  <si>
    <t>Bansal Processing house</t>
  </si>
  <si>
    <t>BCL Fabrics</t>
  </si>
  <si>
    <t>Shree Karangar Textile Pvt Ltd</t>
  </si>
  <si>
    <t>Neelam Lace</t>
  </si>
  <si>
    <t>08.01.2026</t>
  </si>
  <si>
    <t>Ajit Industries 3</t>
  </si>
  <si>
    <t>06.02.2026</t>
  </si>
  <si>
    <t>Krishna Polymers</t>
  </si>
  <si>
    <t>11.01.2026</t>
  </si>
  <si>
    <t>Poddar Tyres and Rubber</t>
  </si>
  <si>
    <t>02.01.2026</t>
  </si>
  <si>
    <t>Vihan Textiles</t>
  </si>
  <si>
    <t>22.03.2026</t>
  </si>
  <si>
    <t>Shree Karshni Brass Extrusion</t>
  </si>
  <si>
    <t>20.03.2026</t>
  </si>
  <si>
    <t>A one fibre</t>
  </si>
  <si>
    <t>24.03.2026</t>
  </si>
  <si>
    <t>Twenty first century collection</t>
  </si>
  <si>
    <t>25.03.2026</t>
  </si>
  <si>
    <t>Navair International</t>
  </si>
  <si>
    <t>Pooja Textiles</t>
  </si>
  <si>
    <t>AS Footcraft</t>
  </si>
  <si>
    <t>26.03.2026</t>
  </si>
  <si>
    <t>Monorajan Seva Sadan (Nursing Home)</t>
  </si>
  <si>
    <t>commercial</t>
  </si>
  <si>
    <t>14.01.2026</t>
  </si>
  <si>
    <t>Appayan Lodge (Banquet Hall)</t>
  </si>
  <si>
    <t>Shakambari Ispat &amp; Power Ltd</t>
  </si>
  <si>
    <t>10.02.2026</t>
  </si>
  <si>
    <t>To be commissioned</t>
  </si>
  <si>
    <t>Castleton Spring Pvt Ltd</t>
  </si>
  <si>
    <t>13.03.2026</t>
  </si>
  <si>
    <t>Factory under Construction</t>
  </si>
  <si>
    <t>Jaloyog (Sweet Shop)</t>
  </si>
  <si>
    <t>17.03.2026</t>
  </si>
  <si>
    <t>Priti Misthan Bhandar</t>
  </si>
  <si>
    <t>DJUD</t>
  </si>
  <si>
    <t>22.01.2026</t>
  </si>
  <si>
    <t>Vikram Solar</t>
  </si>
  <si>
    <t>South 24</t>
  </si>
  <si>
    <t>Commercial</t>
  </si>
  <si>
    <t>01.01.2026</t>
  </si>
  <si>
    <t>Not started</t>
  </si>
  <si>
    <t>Zila Dugdh Utpadak Sahkari Sangh Limited</t>
  </si>
  <si>
    <t>23.02.2026</t>
  </si>
  <si>
    <t>Jalpaiguri Govt Engg College</t>
  </si>
  <si>
    <t>SAJ Foods Limited</t>
  </si>
  <si>
    <t>Aman International</t>
  </si>
  <si>
    <t>La Chef</t>
  </si>
  <si>
    <t>Suditi Global Academy</t>
  </si>
  <si>
    <t>Jagat Aroma</t>
  </si>
  <si>
    <t>Dr Kiran Saujiya CBSE School</t>
  </si>
  <si>
    <t>Dr Kiran Saujiya ISCE School</t>
  </si>
  <si>
    <t>Dr Kiran Saujiya CBSE School (New Mess)</t>
  </si>
  <si>
    <t>Hotel Navratan</t>
  </si>
  <si>
    <t>NMB Sweets and Bakery</t>
  </si>
  <si>
    <t>Sone Raj Hotel</t>
  </si>
  <si>
    <t>Asha Hotel</t>
  </si>
  <si>
    <t>SAJ Food Products Pvt Ltd (Bisk Farm)</t>
  </si>
  <si>
    <t xml:space="preserve">HH </t>
  </si>
  <si>
    <t>To be started</t>
  </si>
  <si>
    <t>Epic Agro Products Pvt. Ltd (Britania Outsourced)</t>
  </si>
  <si>
    <t>Geo Nutri Foods Pvt. Ltd (ITC Outsourced)</t>
  </si>
  <si>
    <t>Aesthetic Nursing Home</t>
  </si>
  <si>
    <t>10.03.2026</t>
  </si>
  <si>
    <t>Mama Dhaba</t>
  </si>
  <si>
    <t>11.03.2026</t>
  </si>
  <si>
    <t>Punjabi Rasoi</t>
  </si>
  <si>
    <t>26.01.2026</t>
  </si>
  <si>
    <t>PNG Progress 28th  Mar'26</t>
  </si>
  <si>
    <t>Details of GSA s signed after 01.01.2026</t>
  </si>
  <si>
    <t>Mood Food </t>
  </si>
  <si>
    <t>Started on 27.03.26</t>
  </si>
  <si>
    <t>Metering in progress. Not started</t>
  </si>
  <si>
    <t>Iffco Mess-1</t>
  </si>
  <si>
    <t>09.03.2026</t>
  </si>
  <si>
    <t>16.03.2026</t>
  </si>
  <si>
    <t>01.08.25</t>
  </si>
  <si>
    <t>17.09.25</t>
  </si>
  <si>
    <t>20.03.25</t>
  </si>
  <si>
    <t>Indian Institute of Science and Reasearch( IISER)</t>
  </si>
  <si>
    <t>09.02.2026</t>
  </si>
  <si>
    <t>Supply started on 27.03.26</t>
  </si>
  <si>
    <t>All Indian Institute of Medical Science (AIIMS), Kalyani – 6 Nos Units</t>
  </si>
  <si>
    <t>27.03.2026</t>
  </si>
  <si>
    <t>Expected to start by 15.05.2026</t>
  </si>
  <si>
    <t>22.03.26</t>
  </si>
  <si>
    <t>25.03.26</t>
  </si>
  <si>
    <t>Not started - ETC 30.06.26</t>
  </si>
  <si>
    <t>Ghosh Sweets</t>
  </si>
  <si>
    <t>South 25</t>
  </si>
  <si>
    <t>Websol Energy</t>
  </si>
  <si>
    <t>South 26</t>
  </si>
  <si>
    <t>DKSMT</t>
  </si>
  <si>
    <t>Hotel Tara Chicken Corner</t>
  </si>
  <si>
    <t>Karim Chicken Corner</t>
  </si>
  <si>
    <t>Noor-E-Shama</t>
  </si>
  <si>
    <t>Shivam Fast Food</t>
  </si>
  <si>
    <t>Kesar Food</t>
  </si>
  <si>
    <t>Manthan Restaurant</t>
  </si>
  <si>
    <t>Food Plaza</t>
  </si>
  <si>
    <t>Dosa Darbar</t>
  </si>
  <si>
    <t>Biggies Pizza</t>
  </si>
  <si>
    <t>Hungry Point</t>
  </si>
  <si>
    <t>Opal restaurant</t>
  </si>
  <si>
    <t>Radiance  hotel</t>
  </si>
  <si>
    <t>Punjabi Tadka</t>
  </si>
  <si>
    <t>Delhi-6-Zaika</t>
  </si>
  <si>
    <t>Hotel Delite</t>
  </si>
  <si>
    <t>Bombay Hotel</t>
  </si>
  <si>
    <t>Hotel Krishna</t>
  </si>
  <si>
    <t>Karims Food</t>
  </si>
  <si>
    <t>Batra Restaurant</t>
  </si>
  <si>
    <t>Zaika Darbar</t>
  </si>
  <si>
    <t>Dominos</t>
  </si>
  <si>
    <t>Chicken King</t>
  </si>
  <si>
    <t>The Olive &amp; Cheese</t>
  </si>
  <si>
    <t>Al-Baike Restaurant</t>
  </si>
  <si>
    <t>IFFCO Township Mess (2 Nos)</t>
  </si>
  <si>
    <t>Maheshwari Restaurant</t>
  </si>
  <si>
    <t>Kwality Restaurant</t>
  </si>
  <si>
    <t>Om Sai Restaurant</t>
  </si>
  <si>
    <t>Family Restaurant</t>
  </si>
  <si>
    <t>Raj Dhaba</t>
  </si>
  <si>
    <t>Shiva Dhaba</t>
  </si>
  <si>
    <t>Rajasthani Dhaba</t>
  </si>
  <si>
    <t>Shivam Dhaba</t>
  </si>
  <si>
    <t>Mustakim</t>
  </si>
  <si>
    <t>New Bharat Dhaba</t>
  </si>
  <si>
    <t>Great Indian Rasoi</t>
  </si>
  <si>
    <t>Everyday Pizza Pilibhit</t>
  </si>
  <si>
    <t>Yaara Da Adda</t>
  </si>
  <si>
    <t>Fitness Food Arena</t>
  </si>
  <si>
    <t>Max Pizza</t>
  </si>
  <si>
    <t>Delhi Darbar</t>
  </si>
  <si>
    <t>Delhi Darbar Hotel</t>
  </si>
  <si>
    <t>Utsav Green Hotel &amp; Restaurant</t>
  </si>
  <si>
    <t xml:space="preserve">Pawan Sweets </t>
  </si>
  <si>
    <t>Hotel Solitaire</t>
  </si>
  <si>
    <t>Sino India</t>
  </si>
  <si>
    <t>Shellz India</t>
  </si>
  <si>
    <t>Fine Foods India</t>
  </si>
  <si>
    <t>Polyplast India</t>
  </si>
  <si>
    <t>HSIIDC Mega Food Park</t>
  </si>
  <si>
    <t>Chicken Processing Plant</t>
  </si>
  <si>
    <t>Chicken Rendering Plant</t>
  </si>
  <si>
    <t>IISER</t>
  </si>
  <si>
    <t>10 Commercial Customers (Paharpur)</t>
  </si>
  <si>
    <t>Pakurtala Mistanna Bhandar, Kartik Sweets, Lords Confectionery, Biryani House, Priti Mistanna Bhandar, Hazi Biryani, BB Biryani, Roy Hotel, Pritam Hotel, Montu Miro</t>
  </si>
  <si>
    <t>Kanki Dham</t>
  </si>
  <si>
    <t>Switz Foods</t>
  </si>
  <si>
    <t>Tirupati Fence</t>
  </si>
  <si>
    <t>Bisk Farm</t>
  </si>
  <si>
    <t>Royal Castle</t>
  </si>
  <si>
    <t>Nandi Sweet</t>
  </si>
  <si>
    <t>Gappu Gol</t>
  </si>
  <si>
    <t>Bakey Bihari Restaurant</t>
  </si>
  <si>
    <t>Pankaj Hotel</t>
  </si>
  <si>
    <t>Kathi Corner</t>
  </si>
  <si>
    <t>Avyan Restaurant</t>
  </si>
  <si>
    <t>Gazal Restaurant &amp; Bar</t>
  </si>
  <si>
    <t>Hotel Sangat Prime</t>
  </si>
  <si>
    <t>Kumaoni Rasoi</t>
  </si>
  <si>
    <t>Hidden Leaf Cafe &amp; Resto</t>
  </si>
  <si>
    <t>The Klay</t>
  </si>
  <si>
    <t>Chocolate Factory</t>
  </si>
  <si>
    <t>Hotel Amardeep</t>
  </si>
  <si>
    <t>Reliance Awadh Canteen</t>
  </si>
  <si>
    <t>Reliance TH Canteen</t>
  </si>
  <si>
    <t>Reliance VIP Guest House</t>
  </si>
  <si>
    <t>Pizza 99</t>
  </si>
  <si>
    <t>Royal Panna</t>
  </si>
  <si>
    <t>Krishna Lawn &amp; RK Resort</t>
  </si>
  <si>
    <t>Swaruchi Food Garage</t>
  </si>
  <si>
    <t>Rajmahal</t>
  </si>
  <si>
    <t>Pari Namkeen</t>
  </si>
  <si>
    <t>NMB Bakery</t>
  </si>
  <si>
    <t>Brijwasi Sweets</t>
  </si>
  <si>
    <t>Gauri Sugandh</t>
  </si>
  <si>
    <t>Hotel Shubhadra</t>
  </si>
  <si>
    <t>Super Aroma</t>
  </si>
  <si>
    <t>Hotel Asha</t>
  </si>
  <si>
    <t>Hotel M L Palace</t>
  </si>
  <si>
    <t>Kiran Saujiya</t>
  </si>
  <si>
    <t>Hotel Rajdhani</t>
  </si>
  <si>
    <t>TP Garden &amp; Hotel</t>
  </si>
  <si>
    <t>Hotel Raj Regency</t>
  </si>
  <si>
    <t>Himadri Speciality Chemicals Ltd</t>
  </si>
  <si>
    <t>Exceltric Industries Pvt Ltd</t>
  </si>
  <si>
    <t>Skipper Ltd (Unit-Uluberia)</t>
  </si>
  <si>
    <t>Skipper Ltd (Unit-Jalan)</t>
  </si>
  <si>
    <t>Ceratizit India Pvt Ltd</t>
  </si>
  <si>
    <t>Hindustan Colas Uluberia</t>
  </si>
  <si>
    <t>Nezone Steels (WB) LLP</t>
  </si>
  <si>
    <t>Jindal (India) Ltd</t>
  </si>
  <si>
    <t>ITC Food</t>
  </si>
  <si>
    <t>Bala Ji Wafers Ltd</t>
  </si>
  <si>
    <t>Proficienty Management</t>
  </si>
  <si>
    <t xml:space="preserve">SP Metal </t>
  </si>
  <si>
    <t>Berger Paints india Ltd</t>
  </si>
  <si>
    <t>Garg Saltpeter Industries</t>
  </si>
  <si>
    <t>Garg Trading Company</t>
  </si>
  <si>
    <t>Baba Tarders</t>
  </si>
  <si>
    <t>Shubham Nitro Chem</t>
  </si>
  <si>
    <t>Savitri Traders</t>
  </si>
  <si>
    <t>Capital Saltpetre Works</t>
  </si>
  <si>
    <t>Mor Mukut and Sons</t>
  </si>
  <si>
    <t>Subhash Trading Company</t>
  </si>
  <si>
    <t>Srinivas and Sons</t>
  </si>
  <si>
    <t>Kamlesh Enterprises</t>
  </si>
  <si>
    <t xml:space="preserve">Basant lal MORMUKUT </t>
  </si>
  <si>
    <t>Agarwal Saltpiter Industry</t>
  </si>
  <si>
    <t>Yogesh Agarwal and Company</t>
  </si>
  <si>
    <t>Agarwal Enterprises</t>
  </si>
  <si>
    <t>Pranav Industries</t>
  </si>
  <si>
    <t>Mohd Yaseen Saltpeter</t>
  </si>
  <si>
    <t>SK Traders</t>
  </si>
  <si>
    <t>Shri Bhagwati Saltpetre and Chloride Works</t>
  </si>
  <si>
    <t>Muhammad Ismail Kha Salpeter Works</t>
  </si>
  <si>
    <t>Radha Krishna Faquir Chandra</t>
  </si>
  <si>
    <t>RS Saltpeter</t>
  </si>
  <si>
    <t>Bishamver Nath and Sons</t>
  </si>
  <si>
    <t>Rashi Enterprises</t>
  </si>
  <si>
    <t>Umsani Salpeter</t>
  </si>
  <si>
    <t>SS Saltpeter</t>
  </si>
  <si>
    <t>NKH Salepeter</t>
  </si>
  <si>
    <t>Prabha Enterprises</t>
  </si>
  <si>
    <t>Nida Saltpeter</t>
  </si>
  <si>
    <t>Indra Deo and Sons</t>
  </si>
  <si>
    <t>Anjani Enterprises</t>
  </si>
  <si>
    <t>Bhavuk Bansal SO Vinod Bansal</t>
  </si>
  <si>
    <t>Shivek Metals</t>
  </si>
  <si>
    <t>Arts Impex</t>
  </si>
  <si>
    <t>Shri Balaji Trading Co</t>
  </si>
  <si>
    <t>Prabha restarant &amp; Hotel</t>
  </si>
  <si>
    <t>Priya restaurant &amp; Hotel</t>
  </si>
  <si>
    <t>shubham sweets</t>
  </si>
  <si>
    <t>Gnga sweets</t>
  </si>
  <si>
    <t>casa royale hotel</t>
  </si>
  <si>
    <t>Devshagar restaurant</t>
  </si>
  <si>
    <t>Silver Plate Resturant</t>
  </si>
  <si>
    <t>Lucky Caters And Resturant</t>
  </si>
  <si>
    <t>Puse Lal Sweets</t>
  </si>
  <si>
    <t>Neelkanth Sweets</t>
  </si>
  <si>
    <t>Tirupati Restaurant</t>
  </si>
  <si>
    <t>ATITHI HOTEL &amp; RESTAURANT</t>
  </si>
  <si>
    <t>Pooja Hotel</t>
  </si>
  <si>
    <t xml:space="preserve"> Hotel Basant Leela</t>
  </si>
  <si>
    <t>H K Hotel &amp; Lawns</t>
  </si>
  <si>
    <t>Siddhartha Palace Hotel</t>
  </si>
  <si>
    <t>Spice &amp; Flavour Restauran</t>
  </si>
  <si>
    <t>Sammi halwai</t>
  </si>
  <si>
    <t>Rajwada restaurant</t>
  </si>
  <si>
    <t>Treat garden restaurant</t>
  </si>
  <si>
    <t>Mircharam Sweets</t>
  </si>
  <si>
    <t xml:space="preserve">Awadh restaurant </t>
  </si>
  <si>
    <t>Gokul Hotel</t>
  </si>
  <si>
    <t>Rashtriya Sweets</t>
  </si>
  <si>
    <t>Royal Orchid</t>
  </si>
  <si>
    <t>CSWIR</t>
  </si>
  <si>
    <t>CISF Deoli</t>
  </si>
  <si>
    <t>Rama Resort</t>
  </si>
  <si>
    <t>Kanak Family Dhaba</t>
  </si>
  <si>
    <t>Shakuntalam</t>
  </si>
  <si>
    <t>Shyam Leela Bakery</t>
  </si>
  <si>
    <t>Raj Palace</t>
  </si>
  <si>
    <t>Prakash Café</t>
  </si>
  <si>
    <t>M/s Almatis Alumina</t>
  </si>
  <si>
    <t>Crypton Industries</t>
  </si>
  <si>
    <t>M/s Cheviot</t>
  </si>
  <si>
    <t>M/s Cresmac</t>
  </si>
  <si>
    <t>SL No</t>
  </si>
  <si>
    <t>Business / Customer Name</t>
  </si>
  <si>
    <t>District / Location</t>
  </si>
  <si>
    <t>Expected Commissioning</t>
  </si>
  <si>
    <t>Expected Volume (SCMD)</t>
  </si>
  <si>
    <t>Rampur</t>
  </si>
  <si>
    <t>April'26</t>
  </si>
  <si>
    <t>May'26</t>
  </si>
  <si>
    <t>Aonla</t>
  </si>
  <si>
    <t>Pilibhit</t>
  </si>
  <si>
    <t>Sonipat</t>
  </si>
  <si>
    <t>June'26</t>
  </si>
  <si>
    <t>Mar'26</t>
  </si>
  <si>
    <t>Nadia</t>
  </si>
  <si>
    <t>Darjeeling GA</t>
  </si>
  <si>
    <t>Jalpaiguri</t>
  </si>
  <si>
    <t>Kanki, Uttar Dinajpur</t>
  </si>
  <si>
    <t>Darjeeling</t>
  </si>
  <si>
    <t>NB</t>
  </si>
  <si>
    <t>Bijnor</t>
  </si>
  <si>
    <t>Nainital</t>
  </si>
  <si>
    <t>Shahjahanpur</t>
  </si>
  <si>
    <t>BD</t>
  </si>
  <si>
    <t>Negotiations underway</t>
  </si>
  <si>
    <t>Mainpuri</t>
  </si>
  <si>
    <t>Kannauj</t>
  </si>
  <si>
    <t>Singur</t>
  </si>
  <si>
    <t>Howrah</t>
  </si>
  <si>
    <t>Hooghly</t>
  </si>
  <si>
    <t>EFH</t>
  </si>
  <si>
    <t>Sandila Industrial Area (Ph-2), Hardoi</t>
  </si>
  <si>
    <t>Sep' 26</t>
  </si>
  <si>
    <t>Dec' 26</t>
  </si>
  <si>
    <t>Jun' 26</t>
  </si>
  <si>
    <t>Sandila Industrial Area (Ph-1), Hardoi</t>
  </si>
  <si>
    <t>Sasni Road Jalesar</t>
  </si>
  <si>
    <t>May' 26</t>
  </si>
  <si>
    <t>Dargah Road Jalesar</t>
  </si>
  <si>
    <t>Station Road Jalesar</t>
  </si>
  <si>
    <t>Apr' 26</t>
  </si>
  <si>
    <t>Sadabad Road jalesar</t>
  </si>
  <si>
    <t>Begumpur Jalesar</t>
  </si>
  <si>
    <t>Samaspur Road Jalesar</t>
  </si>
  <si>
    <t>Bypass road Jalesar</t>
  </si>
  <si>
    <t>Jalesar Market</t>
  </si>
  <si>
    <t>Jul' 26</t>
  </si>
  <si>
    <t>Aug' 26</t>
  </si>
  <si>
    <t>Etah</t>
  </si>
  <si>
    <t>Farrukhabad</t>
  </si>
  <si>
    <t>Hardoi</t>
  </si>
  <si>
    <t>RJ GA</t>
  </si>
  <si>
    <t>Tonk</t>
  </si>
  <si>
    <t>28th March 2026</t>
  </si>
  <si>
    <t>PNG Progress 29th  Mar'26</t>
  </si>
  <si>
    <t>CSWRI</t>
  </si>
  <si>
    <t>Contacted the customer</t>
  </si>
  <si>
    <t>CISF</t>
  </si>
  <si>
    <t>Final agreement to be signed.</t>
  </si>
  <si>
    <t>Police line</t>
  </si>
  <si>
    <t>The SSP has been contacted for approval.</t>
  </si>
  <si>
    <t>Army Cant(Farukhabad)</t>
  </si>
  <si>
    <t>PNG Progress 30th  Mar'26</t>
  </si>
  <si>
    <t>30th March 2026</t>
  </si>
  <si>
    <t xml:space="preserve">DPNG </t>
  </si>
  <si>
    <t>Cumm. NGC as on 31.12.2025</t>
  </si>
  <si>
    <t>Jan-Mar</t>
  </si>
  <si>
    <t>LMC-NGC-Focused</t>
  </si>
  <si>
    <t>Jind &amp; Sonipat</t>
  </si>
  <si>
    <t>Bareilly, Pilibhit &amp; Rampur</t>
  </si>
  <si>
    <t>Farukhabad, Etah, and Hardoi</t>
  </si>
  <si>
    <t>Mainpuri &amp; Kannauj</t>
  </si>
  <si>
    <t>Nainital &amp;  Bijnor</t>
  </si>
  <si>
    <t>Shahjahanpur &amp; Badaun</t>
  </si>
  <si>
    <t>Howrah &amp; Hooghly</t>
  </si>
  <si>
    <t>Nadia &amp; North 24 Parganas</t>
  </si>
  <si>
    <t>Darjilling,Jalpaiguri,Uttar dinajpur</t>
  </si>
  <si>
    <t>Dumka,Banka,Godda,Jamtara,Pakur&amp; Sahibganj</t>
  </si>
  <si>
    <t>Maldah, Birbhum, Murshidabad, Dakshin Dinajpur</t>
  </si>
  <si>
    <t>Tonk,Sawai Madhopur.Dausa,karauli</t>
  </si>
  <si>
    <t>PNG Progress 31st  Mar'26</t>
  </si>
  <si>
    <t>31st March 2026</t>
  </si>
  <si>
    <t>DAS MiSTHAN BHANDAR</t>
  </si>
  <si>
    <t>PAKURTALA MISTHAN BHANDAR</t>
  </si>
  <si>
    <t>SHRI DURGA TEXCOAT</t>
  </si>
  <si>
    <t>SHRI KARSHNI BRASS EXTRUSION</t>
  </si>
  <si>
    <t>MOOD FOOD</t>
  </si>
  <si>
    <t>PNG Progress 1st  April'26</t>
  </si>
  <si>
    <t>HSIIDC Foodpark</t>
  </si>
  <si>
    <t>Ind/Comm Commissioning</t>
  </si>
  <si>
    <r>
      <rPr>
        <b/>
        <sz val="7"/>
        <rFont val="Arial"/>
        <family val="2"/>
      </rPr>
      <t>S.no</t>
    </r>
  </si>
  <si>
    <r>
      <rPr>
        <b/>
        <sz val="7"/>
        <rFont val="Arial"/>
        <family val="2"/>
      </rPr>
      <t>GA ID</t>
    </r>
  </si>
  <si>
    <r>
      <rPr>
        <b/>
        <sz val="7"/>
        <rFont val="Arial"/>
        <family val="2"/>
      </rPr>
      <t>Geographical Area/ CGD Networks</t>
    </r>
  </si>
  <si>
    <r>
      <rPr>
        <b/>
        <sz val="7"/>
        <rFont val="Arial"/>
        <family val="2"/>
      </rPr>
      <t>State/ Union Territory</t>
    </r>
  </si>
  <si>
    <r>
      <rPr>
        <b/>
        <sz val="7"/>
        <rFont val="Arial"/>
        <family val="2"/>
      </rPr>
      <t>Authorized CGD Entity New Name</t>
    </r>
  </si>
  <si>
    <r>
      <rPr>
        <b/>
        <sz val="7"/>
        <rFont val="Arial"/>
        <family val="2"/>
      </rPr>
      <t>Date of Authorization</t>
    </r>
  </si>
  <si>
    <r>
      <rPr>
        <b/>
        <sz val="7"/>
        <rFont val="Arial"/>
        <family val="2"/>
      </rPr>
      <t>Target completion period (Years)</t>
    </r>
  </si>
  <si>
    <r>
      <rPr>
        <b/>
        <sz val="7"/>
        <rFont val="Arial"/>
        <family val="2"/>
      </rPr>
      <t>Date of Target Completion</t>
    </r>
  </si>
  <si>
    <r>
      <rPr>
        <b/>
        <sz val="7"/>
        <color rgb="FFFFFFFF"/>
        <rFont val="Arial"/>
        <family val="2"/>
      </rPr>
      <t>DPNG Target (Drive)</t>
    </r>
  </si>
  <si>
    <r>
      <rPr>
        <b/>
        <sz val="7"/>
        <color rgb="FFFFFFFF"/>
        <rFont val="Arial"/>
        <family val="2"/>
      </rPr>
      <t>Connected to Billed</t>
    </r>
  </si>
  <si>
    <r>
      <rPr>
        <b/>
        <sz val="7"/>
        <color rgb="FFFFFFFF"/>
        <rFont val="Arial"/>
        <family val="2"/>
      </rPr>
      <t xml:space="preserve">DPNG
</t>
    </r>
    <r>
      <rPr>
        <b/>
        <sz val="7"/>
        <color rgb="FFFFFFFF"/>
        <rFont val="Arial"/>
        <family val="2"/>
      </rPr>
      <t>Registration Target</t>
    </r>
  </si>
  <si>
    <r>
      <rPr>
        <b/>
        <sz val="7"/>
        <color rgb="FFFFFFFF"/>
        <rFont val="Arial"/>
        <family val="2"/>
      </rPr>
      <t>Commercial Connection Target (Drive)</t>
    </r>
  </si>
  <si>
    <r>
      <rPr>
        <sz val="7"/>
        <rFont val="Arial"/>
        <family val="2"/>
      </rPr>
      <t>Sonipat District (EAAA) &amp; Jind District</t>
    </r>
  </si>
  <si>
    <r>
      <rPr>
        <sz val="7"/>
        <rFont val="Arial"/>
        <family val="2"/>
      </rPr>
      <t>Haryana</t>
    </r>
  </si>
  <si>
    <r>
      <rPr>
        <sz val="7"/>
        <rFont val="Arial"/>
        <family val="2"/>
      </rPr>
      <t>Hindustan Petroleum Corporation Limited</t>
    </r>
  </si>
  <si>
    <r>
      <rPr>
        <sz val="7"/>
        <rFont val="Arial"/>
        <family val="2"/>
      </rPr>
      <t>Bareilly (EAAA) District, Pilibhit and Rampur Districts</t>
    </r>
  </si>
  <si>
    <r>
      <rPr>
        <sz val="7"/>
        <rFont val="Arial"/>
        <family val="2"/>
      </rPr>
      <t>Uttar Pradesh</t>
    </r>
  </si>
  <si>
    <r>
      <rPr>
        <sz val="7"/>
        <rFont val="Arial"/>
        <family val="2"/>
      </rPr>
      <t>Farrukhabad, Etah and Hardoi Districts</t>
    </r>
  </si>
  <si>
    <r>
      <rPr>
        <sz val="7"/>
        <rFont val="Arial"/>
        <family val="2"/>
      </rPr>
      <t>Mainpuri and Kannauj Districts</t>
    </r>
  </si>
  <si>
    <r>
      <rPr>
        <sz val="7"/>
        <rFont val="Arial"/>
        <family val="2"/>
      </rPr>
      <t>Shahjahanpur and Budaun Districts</t>
    </r>
  </si>
  <si>
    <r>
      <rPr>
        <sz val="7"/>
        <rFont val="Arial"/>
        <family val="2"/>
      </rPr>
      <t>Darjeeling, Jalpaiguri and Uttar Dinajpur Districts</t>
    </r>
  </si>
  <si>
    <r>
      <rPr>
        <sz val="7"/>
        <rFont val="Arial"/>
        <family val="2"/>
      </rPr>
      <t>West Bengal</t>
    </r>
  </si>
  <si>
    <r>
      <rPr>
        <sz val="7"/>
        <rFont val="Arial"/>
        <family val="2"/>
      </rPr>
      <t xml:space="preserve">29-03-2019
</t>
    </r>
    <r>
      <rPr>
        <sz val="7"/>
        <rFont val="Arial"/>
        <family val="2"/>
      </rPr>
      <t>(New start date 01.01.2021)</t>
    </r>
  </si>
  <si>
    <r>
      <rPr>
        <sz val="7"/>
        <rFont val="Arial"/>
        <family val="2"/>
      </rPr>
      <t>Howrah (EAAA) District and Hoogly (EAAA) District</t>
    </r>
  </si>
  <si>
    <r>
      <rPr>
        <sz val="7"/>
        <rFont val="Arial"/>
        <family val="2"/>
      </rPr>
      <t xml:space="preserve">29-03-2019
</t>
    </r>
    <r>
      <rPr>
        <sz val="7"/>
        <rFont val="Arial"/>
        <family val="2"/>
      </rPr>
      <t>(New start date 01.01.2023)</t>
    </r>
  </si>
  <si>
    <r>
      <rPr>
        <sz val="7"/>
        <rFont val="Arial"/>
        <family val="2"/>
      </rPr>
      <t>Nadia (EAAA) District and North 24 Parganas (EAAA) District</t>
    </r>
  </si>
  <si>
    <r>
      <rPr>
        <sz val="7"/>
        <rFont val="Arial"/>
        <family val="2"/>
      </rPr>
      <t>South 24 Parganas (EAAA) District</t>
    </r>
  </si>
  <si>
    <r>
      <rPr>
        <sz val="7"/>
        <rFont val="Arial"/>
        <family val="2"/>
      </rPr>
      <t xml:space="preserve">29-03-2019
</t>
    </r>
    <r>
      <rPr>
        <sz val="7"/>
        <rFont val="Arial"/>
        <family val="2"/>
      </rPr>
      <t>(New start date 01.01.2022)</t>
    </r>
  </si>
  <si>
    <r>
      <rPr>
        <sz val="7"/>
        <rFont val="Arial"/>
        <family val="2"/>
      </rPr>
      <t xml:space="preserve">Dausa, Karauli, Sawai Madhopur
</t>
    </r>
    <r>
      <rPr>
        <sz val="7"/>
        <rFont val="Arial"/>
        <family val="2"/>
      </rPr>
      <t>and Tonk districts</t>
    </r>
  </si>
  <si>
    <r>
      <rPr>
        <sz val="7"/>
        <rFont val="Arial"/>
        <family val="2"/>
      </rPr>
      <t>Rajasthan</t>
    </r>
  </si>
  <si>
    <r>
      <rPr>
        <sz val="7"/>
        <rFont val="Arial"/>
        <family val="2"/>
      </rPr>
      <t xml:space="preserve">Hindustan Petroleum
</t>
    </r>
    <r>
      <rPr>
        <sz val="7"/>
        <rFont val="Arial"/>
        <family val="2"/>
      </rPr>
      <t>Corporation Limited</t>
    </r>
  </si>
  <si>
    <r>
      <rPr>
        <sz val="7"/>
        <rFont val="Arial"/>
        <family val="2"/>
      </rPr>
      <t>11A.03</t>
    </r>
  </si>
  <si>
    <r>
      <rPr>
        <sz val="7"/>
        <rFont val="Arial"/>
        <family val="2"/>
      </rPr>
      <t>Birbhum, Murshidabad, Maldah &amp; Dakshin Dinajpur districts</t>
    </r>
  </si>
  <si>
    <t>The GA is yet to be gasified</t>
  </si>
  <si>
    <t>Reason for change in target</t>
  </si>
  <si>
    <t>29th- Mar-19</t>
  </si>
  <si>
    <t>14th- June-22</t>
  </si>
  <si>
    <t>As Sonipat city is authorized to GAIL Gas, we are left with Jind district and the peripheral areas of Sonipat, which have relatively low potential</t>
  </si>
  <si>
    <t>The major potential area of GA 10.37 is Bareilly city, which has been assigned to CUGL.</t>
  </si>
  <si>
    <t>The major potential areas of Kolkata town are with Bengal Gas, while the peripheral semi-urban and rural areas with relatively lower potential are with HPCL. Additionally, due to the elections in West Bengal, approval for laying the MDP network has been delayed and is expected by 15th May.</t>
  </si>
  <si>
    <t>The GA is yet to be gasified, and due to the West Bengal state elections, all approvals for MDP laying have come to a halt.</t>
  </si>
  <si>
    <t>Siliguri is the major business hub and  approvals for laying the MDP network are still pending due to the elections, and are expected by 15th May.</t>
  </si>
  <si>
    <t>GA  is not yet gasified. The major potential areas of Kolkata town are with Bengal Gas, while the peripheral semi-urban and rural areas with relatively lower potential are with HPCL. Additionally, due to the elections in West Bengal, approval for laying the MDP network has been delayed and is expected by 15th May.</t>
  </si>
  <si>
    <t>The GA is yet to be gasified, apart from the WB state election where all approvals of MDP laying has come to halt</t>
  </si>
  <si>
    <t>1st April 2026</t>
  </si>
  <si>
    <t>PNG Progress 2nd  April'26</t>
  </si>
  <si>
    <t>2nd April 2026</t>
  </si>
  <si>
    <t>PNG Progress 3rd  April'26</t>
  </si>
  <si>
    <t>3rd April 2026</t>
  </si>
  <si>
    <t>New Connection Done
 &amp; 
Gasified</t>
  </si>
  <si>
    <t>Old Connection Done
 &amp; 
Gasified</t>
  </si>
  <si>
    <t>HPCL</t>
  </si>
  <si>
    <t>Gasified Amera</t>
  </si>
  <si>
    <t>vendor</t>
  </si>
  <si>
    <t>team</t>
  </si>
  <si>
    <t>lmc</t>
  </si>
  <si>
    <t>only ngc 2 nos</t>
  </si>
  <si>
    <t>Reg</t>
  </si>
  <si>
    <t>2nd April</t>
  </si>
  <si>
    <t xml:space="preserve"> 1st April</t>
  </si>
  <si>
    <t>3rd April</t>
  </si>
  <si>
    <t>Cummulative April'26</t>
  </si>
  <si>
    <t>Cumm MARCH-26</t>
  </si>
  <si>
    <t>CNMD</t>
  </si>
  <si>
    <t>HOGPL</t>
  </si>
  <si>
    <t>Ambala &amp; Kurukshetra Districts</t>
  </si>
  <si>
    <t>Kolhapur District</t>
  </si>
  <si>
    <t>Maharashtra</t>
  </si>
  <si>
    <t>Grand Total</t>
  </si>
  <si>
    <t>NGC Progress MIS – Gasified Geographical Area (HPCL &amp; JVs)</t>
  </si>
  <si>
    <t>BGL</t>
  </si>
  <si>
    <t>Hyderabad</t>
  </si>
  <si>
    <t>Kakinada</t>
  </si>
  <si>
    <t>Vijaywada</t>
  </si>
  <si>
    <t>Telangana</t>
  </si>
  <si>
    <t>Andhra Pradesh</t>
  </si>
  <si>
    <t>Summary</t>
  </si>
  <si>
    <t>Entity Name</t>
  </si>
  <si>
    <t>Grand total NGC</t>
  </si>
  <si>
    <t xml:space="preserve">       Cummulative NGC</t>
  </si>
  <si>
    <t>4th April</t>
  </si>
  <si>
    <t>Cumulative April'26</t>
  </si>
  <si>
    <t xml:space="preserve">       Cumulative NGC</t>
  </si>
  <si>
    <t>Cum. MARCH-26</t>
  </si>
  <si>
    <t>Cum MARCH-26</t>
  </si>
  <si>
    <t>April-Feb' 26 Average</t>
  </si>
  <si>
    <t xml:space="preserve">Cum. Connection </t>
  </si>
  <si>
    <t xml:space="preserve">Daily New Connection April </t>
  </si>
  <si>
    <t>Traget(PNGRB)
 1st Apr-30th 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</si>
</sst>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d/mmm/yy;@"/>
    <numFmt numFmtId="165" formatCode="dd\-mmm\-yy;@"/>
  </numFmts>
  <fonts count="46">
    <font>
      <sz val="11"/>
      <color theme="1"/>
      <name val="Calibri"/>
      <family val="2"/>
      <scheme val="minor"/>
    </font>
    <font>
      <sz val="11"/>
      <color theme="1"/>
      <name val="Calibri"/>
      <family val="2"/>
    </font>
    <font>
      <b/>
      <sz val="11"/>
      <color theme="1"/>
      <name val="Arial"/>
      <family val="2"/>
    </font>
    <font>
      <b/>
      <sz val="11"/>
      <color theme="1"/>
      <name val="Aptos Narrow"/>
    </font>
    <font>
      <b/>
      <sz val="12"/>
      <color theme="1"/>
      <name val="Arial"/>
      <family val="2"/>
    </font>
    <font>
      <b/>
      <sz val="14"/>
      <color theme="1"/>
      <name val="Calibri"/>
      <family val="2"/>
      <scheme val="minor"/>
    </font>
    <font>
      <b/>
      <sz val="16"/>
      <color theme="1"/>
      <name val="Calibri"/>
      <family val="2"/>
    </font>
    <font>
      <b/>
      <sz val="16"/>
      <color theme="1"/>
      <name val="Calibri"/>
      <family val="2"/>
      <scheme val="minor"/>
    </font>
    <font>
      <b/>
      <sz val="16"/>
      <name val="Calibri"/>
      <family val="2"/>
      <scheme val="minor"/>
    </font>
    <font>
      <b/>
      <sz val="20"/>
      <color theme="1"/>
      <name val="Calibri"/>
      <family val="2"/>
      <scheme val="minor"/>
    </font>
    <font>
      <sz val="16"/>
      <color theme="1"/>
      <name val="Calibri"/>
      <family val="2"/>
      <scheme val="minor"/>
    </font>
    <font>
      <sz val="14"/>
      <color rgb="FF000000"/>
      <name val="Cambria"/>
      <family val="1"/>
    </font>
    <font>
      <sz val="16"/>
      <color rgb="FF000000"/>
      <name val="Calibri"/>
      <family val="2"/>
      <scheme val="minor"/>
    </font>
    <font>
      <sz val="14"/>
      <color rgb="FF000000"/>
      <name val="Calibri"/>
      <family val="2"/>
      <scheme val="minor"/>
    </font>
    <font>
      <sz val="11"/>
      <color rgb="FF000000"/>
      <name val="Calibri"/>
      <family val="2"/>
    </font>
    <font>
      <sz val="16"/>
      <color theme="1"/>
      <name val="Calibri"/>
      <family val="2"/>
    </font>
    <font>
      <sz val="12"/>
      <color rgb="FF000000"/>
      <name val="Calibri"/>
      <family val="2"/>
    </font>
    <font>
      <sz val="18"/>
      <color rgb="FF000000"/>
      <name val="Cambria"/>
      <family val="1"/>
    </font>
    <font>
      <b/>
      <sz val="11"/>
      <color theme="1"/>
      <name val="Calibri"/>
      <family val="2"/>
      <scheme val="minor"/>
    </font>
    <font>
      <sz val="10"/>
      <color rgb="FF000000"/>
      <name val="Calibri"/>
      <family val="2"/>
      <scheme val="minor"/>
    </font>
    <font>
      <sz val="10"/>
      <color theme="1"/>
      <name val="HPCL Kohinoor Medium"/>
      <family val="3"/>
    </font>
    <font>
      <sz val="14"/>
      <color rgb="FF000000"/>
      <name val="Calibri"/>
      <family val="2"/>
    </font>
    <font>
      <b/>
      <sz val="16"/>
      <color rgb="FF000000"/>
      <name val="Calibri (Body)"/>
    </font>
    <font>
      <b/>
      <sz val="16"/>
      <color theme="1"/>
      <name val="Calibri (Body)"/>
    </font>
    <font>
      <sz val="14"/>
      <color theme="1"/>
      <name val="Calibri"/>
      <family val="2"/>
      <scheme val="minor"/>
    </font>
    <font>
      <b/>
      <sz val="16"/>
      <color rgb="FF000000"/>
      <name val="Calibri"/>
      <family val="2"/>
      <scheme val="minor"/>
    </font>
    <font>
      <b/>
      <sz val="14"/>
      <color rgb="FF000000"/>
      <name val="Calibri"/>
      <family val="2"/>
      <scheme val="minor"/>
    </font>
    <font>
      <b/>
      <sz val="11"/>
      <color rgb="FF222222"/>
      <name val="Arial"/>
      <family val="2"/>
    </font>
    <font>
      <b/>
      <sz val="11"/>
      <color rgb="FF000000"/>
      <name val="Calibri"/>
      <family val="2"/>
      <scheme val="minor"/>
    </font>
    <font>
      <b/>
      <sz val="7"/>
      <name val="Arial"/>
      <family val="2"/>
    </font>
    <font>
      <b/>
      <sz val="7"/>
      <color rgb="FFFFFFFF"/>
      <name val="Arial"/>
      <family val="2"/>
    </font>
    <font>
      <sz val="7"/>
      <color rgb="FF000000"/>
      <name val="Arial"/>
      <family val="2"/>
    </font>
    <font>
      <sz val="7"/>
      <name val="Arial"/>
      <family val="2"/>
    </font>
    <font>
      <b/>
      <sz val="7"/>
      <color theme="0"/>
      <name val="Arial"/>
      <family val="2"/>
    </font>
    <font>
      <b/>
      <sz val="14"/>
      <color rgb="FF000000"/>
      <name val="HPCL Kohinoor"/>
      <family val="3"/>
    </font>
    <font>
      <b/>
      <sz val="16"/>
      <color theme="1"/>
      <name val="HPCL Kohinoor"/>
      <family val="3"/>
    </font>
    <font>
      <b/>
      <sz val="18"/>
      <color theme="1"/>
      <name val="HPCL Kohinoor"/>
      <family val="3"/>
    </font>
    <font>
      <b/>
      <sz val="11"/>
      <color rgb="FF000000"/>
      <name val="HPCL Kohinoor"/>
      <family val="3"/>
    </font>
    <font>
      <b/>
      <sz val="12"/>
      <color rgb="FF000000"/>
      <name val="HPCL Kohinoor"/>
      <family val="3"/>
    </font>
    <font>
      <sz val="16"/>
      <color theme="1"/>
      <name val="HPCL Kohinoor"/>
      <family val="3"/>
    </font>
    <font>
      <sz val="28"/>
      <color theme="1"/>
      <name val="Calibri"/>
      <family val="2"/>
      <scheme val="minor"/>
    </font>
    <font>
      <b/>
      <sz val="18"/>
      <color theme="1"/>
      <name val="Arial"/>
      <family val="2"/>
    </font>
    <font>
      <b/>
      <sz val="12"/>
      <color theme="1"/>
      <name val="HPCL Kohinoor"/>
      <family val="3"/>
    </font>
    <font>
      <sz val="12"/>
      <color theme="1"/>
      <name val="HPCL Kohinoor"/>
      <family val="3"/>
    </font>
    <font>
      <sz val="12"/>
      <color theme="1"/>
      <name val="Calibri"/>
      <family val="2"/>
      <scheme val="minor"/>
    </font>
    <font>
      <sz val="22"/>
      <color theme="1"/>
      <name val="Calibri"/>
      <family val="2"/>
      <scheme val="minor"/>
    </font>
  </fonts>
  <fills count="26">
    <fill>
      <patternFill patternType="none"/>
    </fill>
    <fill>
      <patternFill patternType="gray125"/>
    </fill>
    <fill>
      <patternFill patternType="solid">
        <fgColor rgb="FFFBE2D5"/>
        <bgColor indexed="64"/>
      </patternFill>
    </fill>
    <fill>
      <patternFill patternType="solid">
        <fgColor rgb="FFB8D3EF"/>
        <bgColor indexed="64"/>
      </patternFill>
    </fill>
    <fill>
      <patternFill patternType="solid">
        <fgColor rgb="FFDAF2D0"/>
        <bgColor indexed="64"/>
      </patternFill>
    </fill>
    <fill>
      <patternFill patternType="solid">
        <fgColor rgb="FFFF6D01"/>
        <bgColor indexed="64"/>
      </patternFill>
    </fill>
    <fill>
      <patternFill patternType="solid">
        <fgColor rgb="FF3C78D8"/>
        <bgColor indexed="64"/>
      </patternFill>
    </fill>
    <fill>
      <patternFill patternType="solid">
        <fgColor rgb="FF00FF00"/>
        <bgColor indexed="64"/>
      </patternFill>
    </fill>
    <fill>
      <patternFill patternType="solid">
        <fgColor rgb="FFFFE599"/>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FF"/>
        <bgColor indexed="64"/>
      </patternFill>
    </fill>
    <fill>
      <patternFill patternType="solid">
        <fgColor theme="5" tint="0.39997558519241921"/>
        <bgColor indexed="64"/>
      </patternFill>
    </fill>
    <fill>
      <patternFill patternType="solid">
        <fgColor theme="9"/>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8" tint="0.59999389629810485"/>
        <bgColor indexed="64"/>
      </patternFill>
    </fill>
    <fill>
      <patternFill patternType="solid">
        <fgColor theme="9" tint="0.39997558519241921"/>
        <bgColor indexed="64"/>
      </patternFill>
    </fill>
    <fill>
      <patternFill patternType="solid">
        <fgColor rgb="FFB8D2EE"/>
      </patternFill>
    </fill>
    <fill>
      <patternFill patternType="solid">
        <fgColor rgb="FFFF0000"/>
      </patternFill>
    </fill>
    <fill>
      <patternFill patternType="solid">
        <fgColor theme="7" tint="0.39997558519241921"/>
        <bgColor indexed="64"/>
      </patternFill>
    </fill>
  </fills>
  <borders count="45">
    <border>
      <left/>
      <right/>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n">
        <color indexed="64"/>
      </right>
      <top style="thin">
        <color indexed="64"/>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ck">
        <color indexed="64"/>
      </top>
      <bottom style="thin">
        <color indexed="64"/>
      </bottom>
      <diagonal/>
    </border>
    <border>
      <left/>
      <right style="thin">
        <color indexed="64"/>
      </right>
      <top style="thick">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s>
  <cellStyleXfs count="1">
    <xf numFmtId="0" fontId="0" fillId="0" borderId="0"/>
  </cellStyleXfs>
  <cellXfs count="316">
    <xf numFmtId="0" fontId="0" fillId="0" borderId="0" xfId="0"/>
    <xf numFmtId="0" fontId="0" fillId="0" borderId="0" xfId="0" applyAlignment="1">
      <alignment horizontal="center"/>
    </xf>
    <xf numFmtId="0" fontId="2" fillId="8" borderId="1" xfId="0" applyFont="1" applyFill="1" applyBorder="1" applyAlignment="1">
      <alignment vertical="center" wrapText="1"/>
    </xf>
    <xf numFmtId="0" fontId="1" fillId="0" borderId="1" xfId="0" applyFont="1" applyBorder="1" applyAlignment="1">
      <alignment horizontal="center" vertical="center" wrapText="1"/>
    </xf>
    <xf numFmtId="3"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8" fillId="10" borderId="1" xfId="0" applyFont="1" applyFill="1" applyBorder="1" applyAlignment="1">
      <alignment horizontal="center" vertical="center"/>
    </xf>
    <xf numFmtId="0" fontId="6" fillId="10" borderId="1" xfId="0" applyFont="1" applyFill="1" applyBorder="1" applyAlignment="1">
      <alignment horizontal="center" vertical="center" wrapText="1"/>
    </xf>
    <xf numFmtId="0" fontId="0" fillId="0" borderId="1" xfId="0" applyBorder="1" applyAlignment="1">
      <alignment horizontal="center"/>
    </xf>
    <xf numFmtId="0" fontId="5" fillId="0" borderId="1" xfId="0" applyFont="1" applyBorder="1" applyAlignment="1">
      <alignment horizontal="center" vertical="center"/>
    </xf>
    <xf numFmtId="0" fontId="7" fillId="10" borderId="1" xfId="0" applyFont="1" applyFill="1" applyBorder="1" applyAlignment="1">
      <alignment horizontal="center" vertical="center"/>
    </xf>
    <xf numFmtId="3" fontId="7" fillId="10" borderId="1" xfId="0" applyNumberFormat="1" applyFont="1" applyFill="1" applyBorder="1" applyAlignment="1">
      <alignment horizontal="center" vertical="center"/>
    </xf>
    <xf numFmtId="0" fontId="0" fillId="0" borderId="1" xfId="0" applyBorder="1"/>
    <xf numFmtId="0" fontId="7" fillId="10" borderId="1" xfId="0" applyFont="1" applyFill="1" applyBorder="1" applyAlignment="1">
      <alignment horizontal="center" vertical="center" wrapText="1"/>
    </xf>
    <xf numFmtId="0" fontId="6" fillId="9" borderId="5" xfId="0" applyFont="1" applyFill="1" applyBorder="1" applyAlignment="1">
      <alignment horizontal="center" vertical="center" wrapText="1"/>
    </xf>
    <xf numFmtId="0" fontId="9" fillId="0" borderId="1" xfId="0" applyFont="1" applyBorder="1" applyAlignment="1">
      <alignment horizontal="center" vertical="center"/>
    </xf>
    <xf numFmtId="0" fontId="6" fillId="11" borderId="1" xfId="0" applyFont="1" applyFill="1" applyBorder="1" applyAlignment="1">
      <alignment horizontal="center" vertical="center" wrapText="1"/>
    </xf>
    <xf numFmtId="0" fontId="7" fillId="11" borderId="1" xfId="0" applyFont="1" applyFill="1" applyBorder="1" applyAlignment="1">
      <alignment horizontal="center" vertical="center"/>
    </xf>
    <xf numFmtId="0" fontId="6" fillId="12" borderId="1" xfId="0" applyFont="1" applyFill="1" applyBorder="1" applyAlignment="1">
      <alignment horizontal="center" vertical="center" wrapText="1"/>
    </xf>
    <xf numFmtId="0" fontId="7" fillId="12" borderId="1" xfId="0" applyFont="1" applyFill="1" applyBorder="1" applyAlignment="1">
      <alignment horizontal="center" vertical="center"/>
    </xf>
    <xf numFmtId="0" fontId="10" fillId="0" borderId="0" xfId="0" applyFont="1"/>
    <xf numFmtId="0" fontId="6" fillId="11" borderId="5" xfId="0" applyFont="1" applyFill="1" applyBorder="1" applyAlignment="1">
      <alignment horizontal="center" vertical="center" wrapText="1"/>
    </xf>
    <xf numFmtId="0" fontId="12" fillId="14" borderId="19" xfId="0" applyFont="1" applyFill="1" applyBorder="1" applyAlignment="1">
      <alignment horizontal="center" vertical="center" wrapText="1"/>
    </xf>
    <xf numFmtId="0" fontId="12" fillId="14" borderId="7" xfId="0" applyFont="1" applyFill="1" applyBorder="1" applyAlignment="1">
      <alignment horizontal="center" vertical="center" wrapText="1"/>
    </xf>
    <xf numFmtId="0" fontId="12" fillId="14" borderId="8" xfId="0" applyFont="1" applyFill="1" applyBorder="1" applyAlignment="1">
      <alignment horizontal="center" vertical="center" wrapText="1"/>
    </xf>
    <xf numFmtId="0" fontId="12" fillId="14" borderId="29" xfId="0" applyFont="1" applyFill="1" applyBorder="1" applyAlignment="1">
      <alignment horizontal="center" vertical="center" wrapText="1"/>
    </xf>
    <xf numFmtId="0" fontId="12" fillId="14" borderId="30" xfId="0" applyFont="1" applyFill="1" applyBorder="1" applyAlignment="1">
      <alignment horizontal="center" vertical="center" wrapText="1"/>
    </xf>
    <xf numFmtId="0" fontId="12" fillId="14" borderId="9" xfId="0" applyFont="1" applyFill="1" applyBorder="1" applyAlignment="1">
      <alignment horizontal="center" vertical="center" wrapText="1"/>
    </xf>
    <xf numFmtId="0" fontId="12" fillId="14" borderId="20" xfId="0" applyFont="1" applyFill="1" applyBorder="1" applyAlignment="1">
      <alignment horizontal="center" vertical="center" wrapText="1"/>
    </xf>
    <xf numFmtId="0" fontId="12" fillId="14" borderId="36" xfId="0" applyFont="1" applyFill="1" applyBorder="1" applyAlignment="1">
      <alignment horizontal="center" vertical="center" wrapText="1"/>
    </xf>
    <xf numFmtId="0" fontId="12" fillId="14" borderId="10" xfId="0" applyFont="1" applyFill="1" applyBorder="1" applyAlignment="1">
      <alignment horizontal="center" vertical="center" wrapText="1"/>
    </xf>
    <xf numFmtId="0" fontId="12" fillId="14" borderId="37" xfId="0" applyFont="1" applyFill="1" applyBorder="1" applyAlignment="1">
      <alignment horizontal="center" vertical="center" wrapText="1"/>
    </xf>
    <xf numFmtId="0" fontId="11" fillId="0" borderId="7" xfId="0" applyFont="1" applyBorder="1" applyAlignment="1">
      <alignment horizontal="center" vertical="center"/>
    </xf>
    <xf numFmtId="0" fontId="14" fillId="0" borderId="7" xfId="0" applyFont="1" applyBorder="1" applyAlignment="1">
      <alignment horizontal="center" vertical="center" wrapText="1"/>
    </xf>
    <xf numFmtId="0" fontId="11" fillId="0" borderId="8" xfId="0" applyFont="1" applyBorder="1" applyAlignment="1">
      <alignment horizontal="center" vertical="center"/>
    </xf>
    <xf numFmtId="3" fontId="15" fillId="15" borderId="19" xfId="0" applyNumberFormat="1" applyFont="1" applyFill="1" applyBorder="1" applyAlignment="1">
      <alignment horizontal="center" vertical="center" wrapText="1"/>
    </xf>
    <xf numFmtId="3" fontId="15" fillId="15" borderId="7" xfId="0" applyNumberFormat="1" applyFont="1" applyFill="1" applyBorder="1" applyAlignment="1">
      <alignment horizontal="center" vertical="center" wrapText="1"/>
    </xf>
    <xf numFmtId="0" fontId="15" fillId="15" borderId="8" xfId="0" applyFont="1" applyFill="1" applyBorder="1" applyAlignment="1">
      <alignment horizontal="center" vertical="center" wrapText="1"/>
    </xf>
    <xf numFmtId="0" fontId="10" fillId="9" borderId="26" xfId="0" applyFont="1" applyFill="1" applyBorder="1" applyAlignment="1">
      <alignment horizontal="center" vertical="center"/>
    </xf>
    <xf numFmtId="0" fontId="10" fillId="9" borderId="27" xfId="0" applyFont="1" applyFill="1" applyBorder="1" applyAlignment="1">
      <alignment horizontal="center" vertical="center"/>
    </xf>
    <xf numFmtId="0" fontId="12" fillId="9" borderId="28" xfId="0" applyFont="1" applyFill="1" applyBorder="1" applyAlignment="1">
      <alignment horizontal="center" vertical="center"/>
    </xf>
    <xf numFmtId="0" fontId="10" fillId="12" borderId="29" xfId="0" applyFont="1" applyFill="1" applyBorder="1" applyAlignment="1">
      <alignment horizontal="center" vertical="center" wrapText="1"/>
    </xf>
    <xf numFmtId="0" fontId="10" fillId="12" borderId="7" xfId="0" applyFont="1" applyFill="1" applyBorder="1" applyAlignment="1">
      <alignment horizontal="center" vertical="center" wrapText="1"/>
    </xf>
    <xf numFmtId="0" fontId="10" fillId="12" borderId="30" xfId="0" applyFont="1" applyFill="1" applyBorder="1" applyAlignment="1">
      <alignment horizontal="center" vertical="center" wrapText="1"/>
    </xf>
    <xf numFmtId="0" fontId="10" fillId="16" borderId="29" xfId="0" applyFont="1" applyFill="1" applyBorder="1" applyAlignment="1">
      <alignment horizontal="center" vertical="center" wrapText="1"/>
    </xf>
    <xf numFmtId="0" fontId="10" fillId="16" borderId="7" xfId="0" applyFont="1" applyFill="1" applyBorder="1" applyAlignment="1">
      <alignment horizontal="center" vertical="center" wrapText="1"/>
    </xf>
    <xf numFmtId="0" fontId="10" fillId="16" borderId="30" xfId="0" applyFont="1" applyFill="1" applyBorder="1" applyAlignment="1">
      <alignment horizontal="center" vertical="center" wrapText="1"/>
    </xf>
    <xf numFmtId="0" fontId="10" fillId="9" borderId="29"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9" borderId="30" xfId="0" applyFont="1" applyFill="1" applyBorder="1" applyAlignment="1">
      <alignment horizontal="center" vertical="center" wrapText="1"/>
    </xf>
    <xf numFmtId="0" fontId="10" fillId="17" borderId="9" xfId="0" applyFont="1" applyFill="1" applyBorder="1" applyAlignment="1">
      <alignment horizontal="center" vertical="center"/>
    </xf>
    <xf numFmtId="0" fontId="16" fillId="0" borderId="7" xfId="0" applyFont="1" applyBorder="1" applyAlignment="1">
      <alignment horizontal="center" vertical="center" wrapText="1"/>
    </xf>
    <xf numFmtId="0" fontId="10" fillId="9" borderId="29" xfId="0" applyFont="1" applyFill="1" applyBorder="1" applyAlignment="1">
      <alignment horizontal="center" vertical="center"/>
    </xf>
    <xf numFmtId="0" fontId="10" fillId="9" borderId="7" xfId="0" applyFont="1" applyFill="1" applyBorder="1" applyAlignment="1">
      <alignment horizontal="center" vertical="center"/>
    </xf>
    <xf numFmtId="0" fontId="10" fillId="9" borderId="30" xfId="0" applyFont="1" applyFill="1" applyBorder="1" applyAlignment="1">
      <alignment horizontal="center" vertical="center"/>
    </xf>
    <xf numFmtId="0" fontId="12" fillId="9" borderId="30" xfId="0" applyFont="1" applyFill="1" applyBorder="1" applyAlignment="1">
      <alignment horizontal="center" vertical="center"/>
    </xf>
    <xf numFmtId="0" fontId="12" fillId="9" borderId="7" xfId="0" applyFont="1" applyFill="1" applyBorder="1" applyAlignment="1">
      <alignment horizontal="center" vertical="center"/>
    </xf>
    <xf numFmtId="0" fontId="12" fillId="16" borderId="29" xfId="0" applyFont="1" applyFill="1" applyBorder="1" applyAlignment="1">
      <alignment horizontal="center" vertical="center"/>
    </xf>
    <xf numFmtId="0" fontId="12" fillId="16" borderId="7" xfId="0" applyFont="1" applyFill="1" applyBorder="1" applyAlignment="1">
      <alignment horizontal="center" vertical="center"/>
    </xf>
    <xf numFmtId="0" fontId="12" fillId="16" borderId="30" xfId="0" applyFont="1" applyFill="1" applyBorder="1" applyAlignment="1">
      <alignment horizontal="center" vertical="center"/>
    </xf>
    <xf numFmtId="0" fontId="12" fillId="9" borderId="29" xfId="0" applyFont="1" applyFill="1" applyBorder="1" applyAlignment="1">
      <alignment horizontal="center" vertical="center"/>
    </xf>
    <xf numFmtId="0" fontId="12" fillId="12" borderId="29" xfId="0" applyFont="1" applyFill="1" applyBorder="1" applyAlignment="1">
      <alignment horizontal="center" vertical="center"/>
    </xf>
    <xf numFmtId="0" fontId="12" fillId="12" borderId="7" xfId="0" applyFont="1" applyFill="1" applyBorder="1" applyAlignment="1">
      <alignment horizontal="center" vertical="center"/>
    </xf>
    <xf numFmtId="3" fontId="15" fillId="15" borderId="8" xfId="0" applyNumberFormat="1" applyFont="1" applyFill="1" applyBorder="1" applyAlignment="1">
      <alignment horizontal="center" vertical="center" wrapText="1"/>
    </xf>
    <xf numFmtId="0" fontId="17" fillId="0" borderId="7" xfId="0" applyFont="1" applyBorder="1" applyAlignment="1">
      <alignment horizontal="center" vertical="center"/>
    </xf>
    <xf numFmtId="3" fontId="15" fillId="15" borderId="21" xfId="0" applyNumberFormat="1" applyFont="1" applyFill="1" applyBorder="1" applyAlignment="1">
      <alignment horizontal="center" vertical="center" wrapText="1"/>
    </xf>
    <xf numFmtId="3" fontId="15" fillId="15" borderId="22" xfId="0" applyNumberFormat="1" applyFont="1" applyFill="1" applyBorder="1" applyAlignment="1">
      <alignment horizontal="center" vertical="center" wrapText="1"/>
    </xf>
    <xf numFmtId="3" fontId="15" fillId="15" borderId="24" xfId="0" applyNumberFormat="1" applyFont="1" applyFill="1" applyBorder="1" applyAlignment="1">
      <alignment horizontal="center" vertical="center" wrapText="1"/>
    </xf>
    <xf numFmtId="0" fontId="12" fillId="9" borderId="31" xfId="0" applyFont="1" applyFill="1" applyBorder="1" applyAlignment="1">
      <alignment horizontal="center" vertical="center"/>
    </xf>
    <xf numFmtId="0" fontId="12" fillId="9" borderId="32" xfId="0" applyFont="1" applyFill="1" applyBorder="1" applyAlignment="1">
      <alignment horizontal="center" vertical="center"/>
    </xf>
    <xf numFmtId="0" fontId="12" fillId="9" borderId="33" xfId="0" applyFont="1" applyFill="1" applyBorder="1" applyAlignment="1">
      <alignment horizontal="center" vertical="center"/>
    </xf>
    <xf numFmtId="0" fontId="10" fillId="12" borderId="31" xfId="0" applyFont="1" applyFill="1" applyBorder="1" applyAlignment="1">
      <alignment horizontal="center" vertical="center" wrapText="1"/>
    </xf>
    <xf numFmtId="0" fontId="10" fillId="12" borderId="32" xfId="0" applyFont="1" applyFill="1" applyBorder="1" applyAlignment="1">
      <alignment horizontal="center" vertical="center" wrapText="1"/>
    </xf>
    <xf numFmtId="0" fontId="10" fillId="12" borderId="33" xfId="0" applyFont="1" applyFill="1" applyBorder="1" applyAlignment="1">
      <alignment horizontal="center" vertical="center" wrapText="1"/>
    </xf>
    <xf numFmtId="0" fontId="12" fillId="16" borderId="31" xfId="0" applyFont="1" applyFill="1" applyBorder="1" applyAlignment="1">
      <alignment horizontal="center" vertical="center"/>
    </xf>
    <xf numFmtId="0" fontId="12" fillId="16" borderId="32" xfId="0" applyFont="1" applyFill="1" applyBorder="1" applyAlignment="1">
      <alignment horizontal="center" vertical="center"/>
    </xf>
    <xf numFmtId="0" fontId="12" fillId="16" borderId="33" xfId="0" applyFont="1" applyFill="1" applyBorder="1" applyAlignment="1">
      <alignment horizontal="center" vertical="center"/>
    </xf>
    <xf numFmtId="0" fontId="12" fillId="12" borderId="31" xfId="0" applyFont="1" applyFill="1" applyBorder="1" applyAlignment="1">
      <alignment horizontal="center" vertical="center"/>
    </xf>
    <xf numFmtId="0" fontId="2" fillId="8" borderId="1"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0" fillId="12" borderId="8" xfId="0" applyFont="1" applyFill="1" applyBorder="1" applyAlignment="1">
      <alignment horizontal="center" vertical="center" wrapText="1"/>
    </xf>
    <xf numFmtId="0" fontId="12" fillId="12" borderId="8" xfId="0" applyFont="1" applyFill="1" applyBorder="1" applyAlignment="1">
      <alignment horizontal="center" vertical="center"/>
    </xf>
    <xf numFmtId="0" fontId="12" fillId="12" borderId="38" xfId="0" applyFont="1" applyFill="1" applyBorder="1" applyAlignment="1">
      <alignment horizontal="center" vertical="center"/>
    </xf>
    <xf numFmtId="0" fontId="10" fillId="18" borderId="7" xfId="0" applyFont="1" applyFill="1" applyBorder="1" applyAlignment="1">
      <alignment horizontal="center" vertical="center" wrapText="1"/>
    </xf>
    <xf numFmtId="0" fontId="12" fillId="18" borderId="7" xfId="0" applyFont="1" applyFill="1" applyBorder="1" applyAlignment="1">
      <alignment horizontal="center" vertical="center"/>
    </xf>
    <xf numFmtId="0" fontId="2" fillId="8" borderId="2" xfId="0" applyFont="1" applyFill="1" applyBorder="1" applyAlignment="1">
      <alignment horizontal="center" vertical="center" wrapText="1"/>
    </xf>
    <xf numFmtId="0" fontId="18" fillId="0" borderId="0" xfId="0" applyFont="1"/>
    <xf numFmtId="0" fontId="0" fillId="19" borderId="0" xfId="0" applyFill="1"/>
    <xf numFmtId="0" fontId="22" fillId="19" borderId="7" xfId="0" applyFont="1" applyFill="1" applyBorder="1" applyAlignment="1">
      <alignment horizontal="center" wrapText="1"/>
    </xf>
    <xf numFmtId="0" fontId="22" fillId="19" borderId="7" xfId="0" applyFont="1" applyFill="1" applyBorder="1" applyAlignment="1">
      <alignment wrapText="1"/>
    </xf>
    <xf numFmtId="0" fontId="23" fillId="19" borderId="7" xfId="0" applyFont="1" applyFill="1" applyBorder="1" applyAlignment="1">
      <alignment wrapText="1"/>
    </xf>
    <xf numFmtId="0" fontId="21" fillId="19" borderId="7" xfId="0" applyFont="1" applyFill="1" applyBorder="1" applyAlignment="1">
      <alignment horizontal="center"/>
    </xf>
    <xf numFmtId="0" fontId="24" fillId="19" borderId="7" xfId="0" applyFont="1" applyFill="1" applyBorder="1"/>
    <xf numFmtId="0" fontId="24" fillId="19" borderId="7" xfId="0" applyFont="1" applyFill="1" applyBorder="1" applyAlignment="1">
      <alignment horizontal="center"/>
    </xf>
    <xf numFmtId="0" fontId="21" fillId="19" borderId="7" xfId="0" applyFont="1" applyFill="1" applyBorder="1" applyAlignment="1">
      <alignment vertical="center"/>
    </xf>
    <xf numFmtId="0" fontId="21" fillId="19" borderId="7" xfId="0" applyFont="1" applyFill="1" applyBorder="1" applyAlignment="1">
      <alignment horizontal="center" vertical="center"/>
    </xf>
    <xf numFmtId="0" fontId="21" fillId="19" borderId="7" xfId="0" applyFont="1" applyFill="1" applyBorder="1"/>
    <xf numFmtId="14" fontId="21" fillId="19" borderId="7" xfId="0" applyNumberFormat="1" applyFont="1" applyFill="1" applyBorder="1"/>
    <xf numFmtId="0" fontId="24" fillId="0" borderId="7" xfId="0" applyFont="1" applyBorder="1" applyAlignment="1">
      <alignment horizontal="center"/>
    </xf>
    <xf numFmtId="0" fontId="24" fillId="0" borderId="7" xfId="0" applyFont="1" applyBorder="1"/>
    <xf numFmtId="0" fontId="7" fillId="0" borderId="7" xfId="0" applyFont="1" applyBorder="1"/>
    <xf numFmtId="0" fontId="7" fillId="0" borderId="7" xfId="0" applyFont="1" applyBorder="1" applyAlignment="1">
      <alignment horizontal="center"/>
    </xf>
    <xf numFmtId="0" fontId="0" fillId="0" borderId="7" xfId="0" applyBorder="1" applyAlignment="1">
      <alignment horizontal="center"/>
    </xf>
    <xf numFmtId="0" fontId="0" fillId="0" borderId="7" xfId="0" applyBorder="1" applyAlignment="1">
      <alignment horizontal="center" vertical="center" wrapText="1"/>
    </xf>
    <xf numFmtId="0" fontId="18" fillId="0" borderId="7" xfId="0" applyFont="1" applyBorder="1" applyAlignment="1">
      <alignment horizontal="center" vertical="center" wrapText="1"/>
    </xf>
    <xf numFmtId="164" fontId="0" fillId="0" borderId="7" xfId="0" applyNumberFormat="1" applyBorder="1" applyAlignment="1">
      <alignment horizontal="center"/>
    </xf>
    <xf numFmtId="1" fontId="0" fillId="0" borderId="7" xfId="0" applyNumberFormat="1" applyBorder="1" applyAlignment="1">
      <alignment horizontal="center"/>
    </xf>
    <xf numFmtId="164" fontId="0" fillId="0" borderId="7" xfId="0" applyNumberFormat="1" applyBorder="1" applyAlignment="1">
      <alignment horizontal="center" vertical="center" wrapText="1"/>
    </xf>
    <xf numFmtId="0" fontId="12" fillId="9" borderId="9" xfId="0" applyFont="1" applyFill="1" applyBorder="1" applyAlignment="1">
      <alignment horizontal="center" vertical="center"/>
    </xf>
    <xf numFmtId="0" fontId="25" fillId="18" borderId="7" xfId="0" applyFont="1" applyFill="1" applyBorder="1" applyAlignment="1">
      <alignment horizontal="center" vertical="center"/>
    </xf>
    <xf numFmtId="0" fontId="25" fillId="9" borderId="7" xfId="0" applyFont="1" applyFill="1" applyBorder="1" applyAlignment="1">
      <alignment horizontal="center" vertical="center"/>
    </xf>
    <xf numFmtId="0" fontId="7" fillId="17" borderId="25" xfId="0" applyFont="1" applyFill="1" applyBorder="1" applyAlignment="1">
      <alignment horizontal="center" vertical="center"/>
    </xf>
    <xf numFmtId="0" fontId="7" fillId="17" borderId="22" xfId="0" applyFont="1" applyFill="1" applyBorder="1" applyAlignment="1">
      <alignment horizontal="center" vertical="center"/>
    </xf>
    <xf numFmtId="0" fontId="7" fillId="17" borderId="23" xfId="0" applyFont="1" applyFill="1" applyBorder="1" applyAlignment="1">
      <alignment horizontal="center" vertical="center"/>
    </xf>
    <xf numFmtId="0" fontId="2" fillId="8" borderId="2" xfId="0" applyFont="1" applyFill="1" applyBorder="1" applyAlignment="1">
      <alignment horizontal="center" vertical="center" wrapText="1"/>
    </xf>
    <xf numFmtId="0" fontId="0" fillId="0" borderId="7" xfId="0" applyBorder="1" applyAlignment="1">
      <alignment horizontal="center" vertical="center"/>
    </xf>
    <xf numFmtId="0" fontId="19" fillId="0" borderId="7" xfId="0" applyFont="1" applyBorder="1" applyAlignment="1">
      <alignment horizontal="center" vertical="center"/>
    </xf>
    <xf numFmtId="0" fontId="20" fillId="0" borderId="7" xfId="0" applyFont="1" applyBorder="1" applyAlignment="1">
      <alignment horizontal="center" vertical="center"/>
    </xf>
    <xf numFmtId="0" fontId="18" fillId="0" borderId="7" xfId="0" applyFont="1" applyBorder="1" applyAlignment="1">
      <alignment horizontal="center" vertical="center"/>
    </xf>
    <xf numFmtId="0" fontId="0" fillId="20" borderId="7" xfId="0" applyFont="1" applyFill="1" applyBorder="1" applyAlignment="1">
      <alignment horizontal="center" vertical="center" wrapText="1"/>
    </xf>
    <xf numFmtId="0" fontId="12" fillId="12" borderId="9" xfId="0" applyFont="1" applyFill="1" applyBorder="1" applyAlignment="1">
      <alignment horizontal="center" vertical="center"/>
    </xf>
    <xf numFmtId="0" fontId="25" fillId="12" borderId="7" xfId="0" applyFont="1" applyFill="1" applyBorder="1" applyAlignment="1">
      <alignment horizontal="center" vertical="center"/>
    </xf>
    <xf numFmtId="0" fontId="10" fillId="21" borderId="9" xfId="0" applyFont="1" applyFill="1" applyBorder="1" applyAlignment="1">
      <alignment horizontal="center" vertical="center" wrapText="1"/>
    </xf>
    <xf numFmtId="0" fontId="12" fillId="21" borderId="9" xfId="0" applyFont="1" applyFill="1" applyBorder="1" applyAlignment="1">
      <alignment horizontal="center" vertical="center"/>
    </xf>
    <xf numFmtId="0" fontId="25" fillId="21" borderId="7" xfId="0" applyFont="1" applyFill="1" applyBorder="1" applyAlignment="1">
      <alignment horizontal="center" vertical="center"/>
    </xf>
    <xf numFmtId="0" fontId="2" fillId="8" borderId="2" xfId="0" applyFont="1" applyFill="1" applyBorder="1" applyAlignment="1">
      <alignment horizontal="center" vertical="center" wrapText="1"/>
    </xf>
    <xf numFmtId="0" fontId="18" fillId="0" borderId="7" xfId="0" applyFont="1" applyBorder="1"/>
    <xf numFmtId="0" fontId="26" fillId="19" borderId="7" xfId="0" applyFont="1" applyFill="1" applyBorder="1" applyAlignment="1">
      <alignment horizontal="center" vertical="center" wrapText="1"/>
    </xf>
    <xf numFmtId="0" fontId="27" fillId="19" borderId="7" xfId="0" applyFont="1" applyFill="1" applyBorder="1" applyAlignment="1">
      <alignment vertical="center"/>
    </xf>
    <xf numFmtId="0" fontId="28" fillId="19" borderId="7" xfId="0" applyFont="1" applyFill="1" applyBorder="1" applyAlignment="1">
      <alignment horizontal="center" vertical="center"/>
    </xf>
    <xf numFmtId="0" fontId="18" fillId="0" borderId="7" xfId="0" applyFont="1" applyBorder="1" applyAlignment="1">
      <alignment horizontal="center"/>
    </xf>
    <xf numFmtId="0" fontId="27" fillId="19" borderId="7" xfId="0" applyFont="1" applyFill="1" applyBorder="1" applyAlignment="1">
      <alignment horizontal="center" vertical="center"/>
    </xf>
    <xf numFmtId="0" fontId="10" fillId="9" borderId="9" xfId="0" applyFont="1" applyFill="1" applyBorder="1" applyAlignment="1">
      <alignment horizontal="center" vertical="center" wrapText="1"/>
    </xf>
    <xf numFmtId="0" fontId="25" fillId="9" borderId="40" xfId="0" applyFont="1" applyFill="1" applyBorder="1" applyAlignment="1">
      <alignment horizontal="center" vertical="center"/>
    </xf>
    <xf numFmtId="0" fontId="2" fillId="8" borderId="2" xfId="0" applyFont="1" applyFill="1" applyBorder="1" applyAlignment="1">
      <alignment horizontal="center" vertical="center" wrapText="1"/>
    </xf>
    <xf numFmtId="0" fontId="0" fillId="19" borderId="7" xfId="0" applyFill="1" applyBorder="1"/>
    <xf numFmtId="0" fontId="0" fillId="0" borderId="7" xfId="0" applyBorder="1"/>
    <xf numFmtId="0" fontId="0" fillId="0" borderId="7" xfId="0" applyBorder="1" applyAlignment="1">
      <alignment horizontal="left"/>
    </xf>
    <xf numFmtId="0" fontId="0" fillId="19" borderId="7" xfId="0" applyFill="1" applyBorder="1" applyAlignment="1">
      <alignment horizontal="center"/>
    </xf>
    <xf numFmtId="0" fontId="29" fillId="23" borderId="7" xfId="0" applyFont="1" applyFill="1" applyBorder="1" applyAlignment="1">
      <alignment horizontal="center" vertical="center" wrapText="1"/>
    </xf>
    <xf numFmtId="1" fontId="31" fillId="0" borderId="7" xfId="0" applyNumberFormat="1" applyFont="1" applyBorder="1" applyAlignment="1">
      <alignment horizontal="center" vertical="center" shrinkToFit="1"/>
    </xf>
    <xf numFmtId="2" fontId="31" fillId="0" borderId="7" xfId="0" applyNumberFormat="1" applyFont="1" applyBorder="1" applyAlignment="1">
      <alignment horizontal="center" vertical="center" shrinkToFit="1"/>
    </xf>
    <xf numFmtId="0" fontId="32" fillId="0" borderId="7" xfId="0" applyFont="1" applyBorder="1" applyAlignment="1">
      <alignment horizontal="center" vertical="center" wrapText="1"/>
    </xf>
    <xf numFmtId="165" fontId="31" fillId="0" borderId="7" xfId="0" applyNumberFormat="1" applyFont="1" applyBorder="1" applyAlignment="1">
      <alignment horizontal="center" vertical="center" shrinkToFit="1"/>
    </xf>
    <xf numFmtId="3" fontId="31" fillId="0" borderId="7" xfId="0" applyNumberFormat="1" applyFont="1" applyBorder="1" applyAlignment="1">
      <alignment horizontal="center" vertical="center" shrinkToFit="1"/>
    </xf>
    <xf numFmtId="3" fontId="29" fillId="0" borderId="7" xfId="0" applyNumberFormat="1" applyFont="1" applyBorder="1" applyAlignment="1">
      <alignment horizontal="center" vertical="top" wrapText="1"/>
    </xf>
    <xf numFmtId="0" fontId="29" fillId="24" borderId="7" xfId="0" applyFont="1" applyFill="1" applyBorder="1" applyAlignment="1">
      <alignment horizontal="center" vertical="center" wrapText="1"/>
    </xf>
    <xf numFmtId="0" fontId="33" fillId="24" borderId="7" xfId="0" applyFont="1" applyFill="1" applyBorder="1" applyAlignment="1">
      <alignment horizontal="center" vertical="center" wrapText="1"/>
    </xf>
    <xf numFmtId="0" fontId="29" fillId="23" borderId="7" xfId="0" applyFont="1" applyFill="1" applyBorder="1" applyAlignment="1">
      <alignment horizontal="left" vertical="center" wrapText="1"/>
    </xf>
    <xf numFmtId="0" fontId="29" fillId="24" borderId="7" xfId="0" applyFont="1" applyFill="1" applyBorder="1" applyAlignment="1">
      <alignment horizontal="left" vertical="center" wrapText="1"/>
    </xf>
    <xf numFmtId="0" fontId="0" fillId="24" borderId="7" xfId="0" applyFill="1" applyBorder="1" applyAlignment="1">
      <alignment horizontal="center" vertical="center" wrapText="1"/>
    </xf>
    <xf numFmtId="0" fontId="0" fillId="0" borderId="0" xfId="0" applyAlignment="1">
      <alignment vertical="center"/>
    </xf>
    <xf numFmtId="0" fontId="32" fillId="18" borderId="7" xfId="0" applyFont="1" applyFill="1" applyBorder="1" applyAlignment="1">
      <alignment horizontal="left" vertical="center" wrapText="1"/>
    </xf>
    <xf numFmtId="0" fontId="32" fillId="0" borderId="7" xfId="0" applyFont="1" applyBorder="1" applyAlignment="1">
      <alignment horizontal="left" vertical="center" wrapText="1"/>
    </xf>
    <xf numFmtId="0" fontId="0" fillId="0" borderId="7" xfId="0" applyBorder="1" applyAlignment="1">
      <alignment vertical="center" wrapText="1"/>
    </xf>
    <xf numFmtId="0" fontId="0" fillId="0" borderId="7" xfId="0" applyBorder="1" applyAlignment="1">
      <alignment horizontal="left" vertical="center" wrapText="1"/>
    </xf>
    <xf numFmtId="1" fontId="31" fillId="9" borderId="7" xfId="0" applyNumberFormat="1" applyFont="1" applyFill="1" applyBorder="1" applyAlignment="1">
      <alignment horizontal="center" vertical="center" shrinkToFit="1"/>
    </xf>
    <xf numFmtId="0" fontId="32" fillId="9" borderId="7" xfId="0" applyFont="1" applyFill="1" applyBorder="1" applyAlignment="1">
      <alignment horizontal="left" vertical="center" wrapText="1"/>
    </xf>
    <xf numFmtId="0" fontId="32" fillId="9" borderId="7" xfId="0" applyFont="1" applyFill="1" applyBorder="1" applyAlignment="1">
      <alignment horizontal="center" vertical="center" wrapText="1"/>
    </xf>
    <xf numFmtId="0" fontId="0" fillId="9" borderId="7" xfId="0" applyFill="1" applyBorder="1" applyAlignment="1">
      <alignment horizontal="left" vertical="center" wrapText="1"/>
    </xf>
    <xf numFmtId="165" fontId="31" fillId="9" borderId="7" xfId="0" applyNumberFormat="1" applyFont="1" applyFill="1" applyBorder="1" applyAlignment="1">
      <alignment horizontal="center" vertical="center" shrinkToFit="1"/>
    </xf>
    <xf numFmtId="3" fontId="31" fillId="9" borderId="7" xfId="0" applyNumberFormat="1" applyFont="1" applyFill="1" applyBorder="1" applyAlignment="1">
      <alignment horizontal="center" vertical="center" shrinkToFit="1"/>
    </xf>
    <xf numFmtId="0" fontId="0" fillId="9" borderId="7" xfId="0" applyFill="1" applyBorder="1" applyAlignment="1">
      <alignment vertical="center" wrapText="1"/>
    </xf>
    <xf numFmtId="0" fontId="10" fillId="12" borderId="9" xfId="0" applyFont="1" applyFill="1" applyBorder="1" applyAlignment="1">
      <alignment horizontal="center" vertical="center" wrapText="1"/>
    </xf>
    <xf numFmtId="0" fontId="12" fillId="12" borderId="32" xfId="0" applyFont="1" applyFill="1" applyBorder="1" applyAlignment="1">
      <alignment horizontal="center" vertical="center"/>
    </xf>
    <xf numFmtId="0" fontId="12" fillId="12" borderId="33" xfId="0" applyFont="1" applyFill="1" applyBorder="1" applyAlignment="1">
      <alignment horizontal="center" vertical="center"/>
    </xf>
    <xf numFmtId="0" fontId="2" fillId="8" borderId="2"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34" fillId="25" borderId="7" xfId="0" applyFont="1" applyFill="1" applyBorder="1" applyAlignment="1">
      <alignment horizontal="center" vertical="center"/>
    </xf>
    <xf numFmtId="0" fontId="37" fillId="25" borderId="7" xfId="0" applyFont="1" applyFill="1" applyBorder="1" applyAlignment="1">
      <alignment horizontal="center" vertical="center" wrapText="1"/>
    </xf>
    <xf numFmtId="0" fontId="38" fillId="25" borderId="7" xfId="0" applyFont="1" applyFill="1" applyBorder="1" applyAlignment="1">
      <alignment horizontal="center" vertical="center" wrapText="1"/>
    </xf>
    <xf numFmtId="0" fontId="10" fillId="18" borderId="9" xfId="0" applyFont="1" applyFill="1" applyBorder="1" applyAlignment="1">
      <alignment horizontal="center" vertical="center" wrapText="1"/>
    </xf>
    <xf numFmtId="0" fontId="12" fillId="18" borderId="9" xfId="0" applyFont="1" applyFill="1" applyBorder="1" applyAlignment="1">
      <alignment horizontal="center" vertical="center"/>
    </xf>
    <xf numFmtId="0" fontId="12" fillId="18" borderId="31" xfId="0" applyFont="1" applyFill="1" applyBorder="1" applyAlignment="1">
      <alignment horizontal="center" vertical="center"/>
    </xf>
    <xf numFmtId="0" fontId="12" fillId="18" borderId="32" xfId="0" applyFont="1" applyFill="1" applyBorder="1" applyAlignment="1">
      <alignment horizontal="center" vertical="center"/>
    </xf>
    <xf numFmtId="0" fontId="12" fillId="18" borderId="33" xfId="0" applyFont="1" applyFill="1" applyBorder="1" applyAlignment="1">
      <alignment horizontal="center" vertical="center"/>
    </xf>
    <xf numFmtId="0" fontId="12" fillId="9" borderId="39" xfId="0" applyFont="1" applyFill="1" applyBorder="1" applyAlignment="1">
      <alignment horizontal="center" vertical="center"/>
    </xf>
    <xf numFmtId="0" fontId="39" fillId="14" borderId="7" xfId="0" applyFont="1" applyFill="1" applyBorder="1" applyAlignment="1">
      <alignment horizontal="center" vertical="center"/>
    </xf>
    <xf numFmtId="0" fontId="35" fillId="14" borderId="7" xfId="0" applyFont="1" applyFill="1" applyBorder="1" applyAlignment="1">
      <alignment horizontal="center"/>
    </xf>
    <xf numFmtId="0" fontId="35" fillId="12" borderId="7" xfId="0" applyFont="1" applyFill="1" applyBorder="1" applyAlignment="1">
      <alignment horizontal="center"/>
    </xf>
    <xf numFmtId="0" fontId="35" fillId="18" borderId="7" xfId="0" applyFont="1" applyFill="1" applyBorder="1" applyAlignment="1">
      <alignment horizontal="center"/>
    </xf>
    <xf numFmtId="0" fontId="35" fillId="9" borderId="7" xfId="0" applyFont="1" applyFill="1" applyBorder="1" applyAlignment="1">
      <alignment horizontal="center"/>
    </xf>
    <xf numFmtId="0" fontId="34" fillId="25" borderId="7" xfId="0" applyFont="1" applyFill="1" applyBorder="1" applyAlignment="1">
      <alignment horizontal="center" vertical="center"/>
    </xf>
    <xf numFmtId="0" fontId="35" fillId="14" borderId="7" xfId="0" applyFont="1" applyFill="1" applyBorder="1" applyAlignment="1">
      <alignment horizontal="center"/>
    </xf>
    <xf numFmtId="0" fontId="0" fillId="0" borderId="0" xfId="0" applyAlignment="1">
      <alignment horizontal="center"/>
    </xf>
    <xf numFmtId="0" fontId="10" fillId="14" borderId="7" xfId="0" applyFont="1" applyFill="1" applyBorder="1" applyAlignment="1">
      <alignment horizontal="center" vertical="center" wrapText="1"/>
    </xf>
    <xf numFmtId="0" fontId="39" fillId="12" borderId="7" xfId="0" applyFont="1" applyFill="1" applyBorder="1" applyAlignment="1">
      <alignment horizontal="center" vertical="center"/>
    </xf>
    <xf numFmtId="0" fontId="39" fillId="18" borderId="7" xfId="0" applyFont="1" applyFill="1" applyBorder="1" applyAlignment="1">
      <alignment horizontal="center" vertical="center"/>
    </xf>
    <xf numFmtId="0" fontId="39" fillId="9" borderId="7" xfId="0" applyFont="1" applyFill="1" applyBorder="1" applyAlignment="1">
      <alignment horizontal="center" vertical="center"/>
    </xf>
    <xf numFmtId="0" fontId="36" fillId="9" borderId="7" xfId="0" applyFont="1" applyFill="1" applyBorder="1" applyAlignment="1"/>
    <xf numFmtId="0" fontId="10" fillId="17" borderId="7" xfId="0" applyFont="1" applyFill="1" applyBorder="1" applyAlignment="1">
      <alignment horizontal="center" vertical="center" wrapText="1"/>
    </xf>
    <xf numFmtId="0" fontId="35" fillId="17" borderId="7" xfId="0" applyFont="1" applyFill="1" applyBorder="1" applyAlignment="1">
      <alignment horizontal="center"/>
    </xf>
    <xf numFmtId="0" fontId="0" fillId="17" borderId="0" xfId="0" applyFill="1" applyAlignment="1">
      <alignment horizontal="center"/>
    </xf>
    <xf numFmtId="0" fontId="36" fillId="9" borderId="8" xfId="0" applyFont="1" applyFill="1" applyBorder="1" applyAlignment="1"/>
    <xf numFmtId="0" fontId="36" fillId="9" borderId="9" xfId="0" applyFont="1" applyFill="1" applyBorder="1" applyAlignment="1"/>
    <xf numFmtId="0" fontId="7" fillId="17" borderId="7" xfId="0" applyFont="1" applyFill="1" applyBorder="1" applyAlignment="1">
      <alignment horizontal="center" vertical="center" wrapText="1"/>
    </xf>
    <xf numFmtId="0" fontId="36" fillId="9" borderId="7" xfId="0" applyFont="1" applyFill="1" applyBorder="1" applyAlignment="1">
      <alignment horizontal="center"/>
    </xf>
    <xf numFmtId="0" fontId="35" fillId="14" borderId="7" xfId="0" applyFont="1" applyFill="1" applyBorder="1" applyAlignment="1">
      <alignment horizontal="center"/>
    </xf>
    <xf numFmtId="0" fontId="34" fillId="25" borderId="7" xfId="0" applyFont="1" applyFill="1" applyBorder="1" applyAlignment="1">
      <alignment horizontal="center" vertical="center"/>
    </xf>
    <xf numFmtId="0" fontId="43" fillId="14" borderId="7" xfId="0" applyFont="1" applyFill="1" applyBorder="1" applyAlignment="1">
      <alignment horizontal="center" vertical="center"/>
    </xf>
    <xf numFmtId="0" fontId="43" fillId="12" borderId="7" xfId="0" applyFont="1" applyFill="1" applyBorder="1" applyAlignment="1">
      <alignment horizontal="center" vertical="center"/>
    </xf>
    <xf numFmtId="0" fontId="43" fillId="18" borderId="7" xfId="0" applyFont="1" applyFill="1" applyBorder="1" applyAlignment="1">
      <alignment horizontal="center" vertical="center"/>
    </xf>
    <xf numFmtId="0" fontId="43" fillId="9" borderId="7" xfId="0" applyFont="1" applyFill="1" applyBorder="1" applyAlignment="1">
      <alignment horizontal="center" vertical="center"/>
    </xf>
    <xf numFmtId="0" fontId="44" fillId="17" borderId="7" xfId="0" applyFont="1" applyFill="1" applyBorder="1" applyAlignment="1">
      <alignment horizontal="center" vertical="center" wrapText="1"/>
    </xf>
    <xf numFmtId="0" fontId="42" fillId="14" borderId="7" xfId="0" applyFont="1" applyFill="1" applyBorder="1" applyAlignment="1">
      <alignment horizontal="center"/>
    </xf>
    <xf numFmtId="0" fontId="42" fillId="12" borderId="7" xfId="0" applyFont="1" applyFill="1" applyBorder="1" applyAlignment="1">
      <alignment horizontal="center"/>
    </xf>
    <xf numFmtId="0" fontId="42" fillId="18" borderId="7" xfId="0" applyFont="1" applyFill="1" applyBorder="1" applyAlignment="1">
      <alignment horizontal="center"/>
    </xf>
    <xf numFmtId="0" fontId="42" fillId="9" borderId="7" xfId="0" applyFont="1" applyFill="1" applyBorder="1" applyAlignment="1">
      <alignment horizontal="center"/>
    </xf>
    <xf numFmtId="0" fontId="42" fillId="17" borderId="7" xfId="0" applyFont="1" applyFill="1" applyBorder="1" applyAlignment="1">
      <alignment horizontal="center"/>
    </xf>
    <xf numFmtId="0" fontId="44" fillId="17" borderId="0" xfId="0" applyFont="1" applyFill="1" applyAlignment="1">
      <alignment horizont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12" fillId="14" borderId="26" xfId="0" applyFont="1" applyFill="1" applyBorder="1" applyAlignment="1">
      <alignment horizontal="center" vertical="center"/>
    </xf>
    <xf numFmtId="0" fontId="12" fillId="14" borderId="27" xfId="0" applyFont="1" applyFill="1" applyBorder="1" applyAlignment="1">
      <alignment horizontal="center" vertical="center"/>
    </xf>
    <xf numFmtId="0" fontId="12" fillId="14" borderId="28" xfId="0" applyFont="1" applyFill="1" applyBorder="1" applyAlignment="1">
      <alignment horizontal="center" vertical="center"/>
    </xf>
    <xf numFmtId="0" fontId="12" fillId="14" borderId="35" xfId="0" applyFont="1" applyFill="1" applyBorder="1" applyAlignment="1">
      <alignment horizontal="center" vertical="center"/>
    </xf>
    <xf numFmtId="0" fontId="12" fillId="14" borderId="17" xfId="0" applyFont="1" applyFill="1" applyBorder="1" applyAlignment="1">
      <alignment horizontal="center" vertical="center"/>
    </xf>
    <xf numFmtId="0" fontId="12" fillId="14" borderId="18" xfId="0" applyFont="1" applyFill="1" applyBorder="1" applyAlignment="1">
      <alignment horizontal="center" vertical="center"/>
    </xf>
    <xf numFmtId="0" fontId="11" fillId="13" borderId="10" xfId="0" applyFont="1" applyFill="1" applyBorder="1" applyAlignment="1">
      <alignment horizontal="center" vertical="center"/>
    </xf>
    <xf numFmtId="0" fontId="11" fillId="13" borderId="11" xfId="0" applyFont="1" applyFill="1" applyBorder="1" applyAlignment="1">
      <alignment horizontal="center" vertical="center"/>
    </xf>
    <xf numFmtId="0" fontId="11" fillId="13" borderId="12" xfId="0" applyFont="1" applyFill="1" applyBorder="1" applyAlignment="1">
      <alignment horizontal="center" vertical="center"/>
    </xf>
    <xf numFmtId="0" fontId="11" fillId="13" borderId="13" xfId="0" applyFont="1" applyFill="1" applyBorder="1" applyAlignment="1">
      <alignment horizontal="center" vertical="center"/>
    </xf>
    <xf numFmtId="0" fontId="11" fillId="13" borderId="14" xfId="0" applyFont="1" applyFill="1" applyBorder="1" applyAlignment="1">
      <alignment horizontal="center" vertical="center"/>
    </xf>
    <xf numFmtId="0" fontId="11" fillId="13" borderId="15" xfId="0" applyFont="1" applyFill="1" applyBorder="1" applyAlignment="1">
      <alignment horizontal="center" vertical="center"/>
    </xf>
    <xf numFmtId="0" fontId="12" fillId="14" borderId="16" xfId="0" applyFont="1" applyFill="1" applyBorder="1" applyAlignment="1">
      <alignment horizontal="center" vertical="center"/>
    </xf>
    <xf numFmtId="0" fontId="12" fillId="14" borderId="34" xfId="0" applyFont="1" applyFill="1" applyBorder="1" applyAlignment="1">
      <alignment horizontal="center" vertical="center"/>
    </xf>
    <xf numFmtId="0" fontId="13" fillId="14" borderId="26" xfId="0" applyFont="1" applyFill="1" applyBorder="1" applyAlignment="1">
      <alignment horizontal="center" vertical="center"/>
    </xf>
    <xf numFmtId="0" fontId="13" fillId="14" borderId="27" xfId="0" applyFont="1" applyFill="1" applyBorder="1" applyAlignment="1">
      <alignment horizontal="center" vertical="center"/>
    </xf>
    <xf numFmtId="0" fontId="13" fillId="14" borderId="28" xfId="0" applyFont="1" applyFill="1" applyBorder="1" applyAlignment="1">
      <alignment horizontal="center" vertical="center"/>
    </xf>
    <xf numFmtId="0" fontId="42" fillId="14" borderId="7" xfId="0" applyFont="1" applyFill="1" applyBorder="1" applyAlignment="1">
      <alignment horizontal="center"/>
    </xf>
    <xf numFmtId="0" fontId="42" fillId="17" borderId="7" xfId="0" applyFont="1" applyFill="1" applyBorder="1" applyAlignment="1">
      <alignment horizontal="center"/>
    </xf>
    <xf numFmtId="0" fontId="42" fillId="9" borderId="8" xfId="0" applyFont="1" applyFill="1" applyBorder="1" applyAlignment="1">
      <alignment horizontal="center"/>
    </xf>
    <xf numFmtId="0" fontId="42" fillId="9" borderId="43" xfId="0" applyFont="1" applyFill="1" applyBorder="1" applyAlignment="1">
      <alignment horizontal="center"/>
    </xf>
    <xf numFmtId="0" fontId="42" fillId="9" borderId="9" xfId="0" applyFont="1" applyFill="1" applyBorder="1" applyAlignment="1">
      <alignment horizontal="center"/>
    </xf>
    <xf numFmtId="0" fontId="4" fillId="16" borderId="7" xfId="0" applyFont="1" applyFill="1" applyBorder="1" applyAlignment="1">
      <alignment horizontal="center" vertical="center" wrapText="1"/>
    </xf>
    <xf numFmtId="0" fontId="38" fillId="25" borderId="8" xfId="0" applyFont="1" applyFill="1" applyBorder="1" applyAlignment="1">
      <alignment horizontal="center" vertical="center"/>
    </xf>
    <xf numFmtId="0" fontId="38" fillId="25" borderId="43" xfId="0" applyFont="1" applyFill="1" applyBorder="1" applyAlignment="1">
      <alignment horizontal="center" vertical="center"/>
    </xf>
    <xf numFmtId="0" fontId="38" fillId="25" borderId="9" xfId="0" applyFont="1" applyFill="1" applyBorder="1" applyAlignment="1">
      <alignment horizontal="center" vertical="center"/>
    </xf>
    <xf numFmtId="0" fontId="38" fillId="25" borderId="7" xfId="0" applyFont="1" applyFill="1" applyBorder="1" applyAlignment="1">
      <alignment horizontal="center" vertical="center"/>
    </xf>
    <xf numFmtId="0" fontId="38" fillId="25" borderId="7" xfId="0" applyFont="1" applyFill="1" applyBorder="1" applyAlignment="1">
      <alignment horizontal="center"/>
    </xf>
    <xf numFmtId="0" fontId="42" fillId="9" borderId="7" xfId="0" applyFont="1" applyFill="1" applyBorder="1" applyAlignment="1">
      <alignment horizontal="center"/>
    </xf>
    <xf numFmtId="0" fontId="4" fillId="16" borderId="13" xfId="0" applyFont="1" applyFill="1" applyBorder="1" applyAlignment="1">
      <alignment horizontal="center" vertical="center" wrapText="1"/>
    </xf>
    <xf numFmtId="0" fontId="4" fillId="16" borderId="39" xfId="0" applyFont="1" applyFill="1" applyBorder="1" applyAlignment="1">
      <alignment horizontal="center" vertical="center" wrapText="1"/>
    </xf>
    <xf numFmtId="0" fontId="4" fillId="16" borderId="40" xfId="0" applyFont="1" applyFill="1" applyBorder="1" applyAlignment="1">
      <alignment horizontal="center" vertical="center" wrapText="1"/>
    </xf>
    <xf numFmtId="0" fontId="4" fillId="16" borderId="14" xfId="0" applyFont="1" applyFill="1" applyBorder="1" applyAlignment="1">
      <alignment horizontal="center" vertical="center" wrapText="1"/>
    </xf>
    <xf numFmtId="0" fontId="4" fillId="16" borderId="0" xfId="0" applyFont="1" applyFill="1" applyBorder="1" applyAlignment="1">
      <alignment horizontal="center" vertical="center" wrapText="1"/>
    </xf>
    <xf numFmtId="0" fontId="4" fillId="16" borderId="44" xfId="0" applyFont="1" applyFill="1" applyBorder="1" applyAlignment="1">
      <alignment horizontal="center" vertical="center" wrapText="1"/>
    </xf>
    <xf numFmtId="0" fontId="4" fillId="16" borderId="15" xfId="0" applyFont="1" applyFill="1" applyBorder="1" applyAlignment="1">
      <alignment horizontal="center" vertical="center" wrapText="1"/>
    </xf>
    <xf numFmtId="0" fontId="4" fillId="16" borderId="41" xfId="0" applyFont="1" applyFill="1" applyBorder="1" applyAlignment="1">
      <alignment horizontal="center" vertical="center" wrapText="1"/>
    </xf>
    <xf numFmtId="0" fontId="4" fillId="16" borderId="42" xfId="0" applyFont="1" applyFill="1" applyBorder="1" applyAlignment="1">
      <alignment horizontal="center" vertical="center" wrapText="1"/>
    </xf>
    <xf numFmtId="0" fontId="2" fillId="16" borderId="7" xfId="0" applyFont="1" applyFill="1" applyBorder="1" applyAlignment="1">
      <alignment horizontal="center" vertical="center" wrapText="1"/>
    </xf>
    <xf numFmtId="0" fontId="36" fillId="9" borderId="7" xfId="0" applyFont="1" applyFill="1" applyBorder="1" applyAlignment="1">
      <alignment horizontal="center"/>
    </xf>
    <xf numFmtId="0" fontId="36" fillId="9" borderId="8" xfId="0" applyFont="1" applyFill="1" applyBorder="1" applyAlignment="1">
      <alignment horizontal="center"/>
    </xf>
    <xf numFmtId="0" fontId="36" fillId="9" borderId="43" xfId="0" applyFont="1" applyFill="1" applyBorder="1" applyAlignment="1">
      <alignment horizontal="center"/>
    </xf>
    <xf numFmtId="0" fontId="36" fillId="9" borderId="9" xfId="0" applyFont="1" applyFill="1" applyBorder="1" applyAlignment="1">
      <alignment horizontal="center"/>
    </xf>
    <xf numFmtId="0" fontId="0" fillId="0" borderId="39" xfId="0" applyBorder="1" applyAlignment="1">
      <alignment horizontal="center"/>
    </xf>
    <xf numFmtId="0" fontId="0" fillId="0" borderId="0" xfId="0" applyAlignment="1">
      <alignment horizontal="center"/>
    </xf>
    <xf numFmtId="0" fontId="0" fillId="0" borderId="41" xfId="0" applyBorder="1" applyAlignment="1">
      <alignment horizontal="center"/>
    </xf>
    <xf numFmtId="0" fontId="35" fillId="14" borderId="7" xfId="0" applyFont="1" applyFill="1" applyBorder="1" applyAlignment="1">
      <alignment horizontal="center"/>
    </xf>
    <xf numFmtId="0" fontId="34" fillId="25" borderId="8" xfId="0" applyFont="1" applyFill="1" applyBorder="1" applyAlignment="1">
      <alignment horizontal="center" vertical="center"/>
    </xf>
    <xf numFmtId="0" fontId="34" fillId="25" borderId="43" xfId="0" applyFont="1" applyFill="1" applyBorder="1" applyAlignment="1">
      <alignment horizontal="center" vertical="center"/>
    </xf>
    <xf numFmtId="0" fontId="34" fillId="25" borderId="9" xfId="0" applyFont="1" applyFill="1" applyBorder="1" applyAlignment="1">
      <alignment horizontal="center" vertical="center"/>
    </xf>
    <xf numFmtId="0" fontId="34" fillId="25" borderId="7" xfId="0" applyFont="1" applyFill="1" applyBorder="1" applyAlignment="1">
      <alignment horizontal="center" vertical="center"/>
    </xf>
    <xf numFmtId="0" fontId="34" fillId="25" borderId="7" xfId="0" applyFont="1" applyFill="1" applyBorder="1" applyAlignment="1">
      <alignment horizontal="center"/>
    </xf>
    <xf numFmtId="0" fontId="41" fillId="16" borderId="13" xfId="0" applyFont="1" applyFill="1" applyBorder="1" applyAlignment="1">
      <alignment horizontal="center" vertical="center" wrapText="1"/>
    </xf>
    <xf numFmtId="0" fontId="41" fillId="16" borderId="39" xfId="0" applyFont="1" applyFill="1" applyBorder="1" applyAlignment="1">
      <alignment horizontal="center" vertical="center" wrapText="1"/>
    </xf>
    <xf numFmtId="0" fontId="41" fillId="16" borderId="40" xfId="0" applyFont="1" applyFill="1" applyBorder="1" applyAlignment="1">
      <alignment horizontal="center" vertical="center" wrapText="1"/>
    </xf>
    <xf numFmtId="0" fontId="41" fillId="16" borderId="14" xfId="0" applyFont="1" applyFill="1" applyBorder="1" applyAlignment="1">
      <alignment horizontal="center" vertical="center" wrapText="1"/>
    </xf>
    <xf numFmtId="0" fontId="41" fillId="16" borderId="0" xfId="0" applyFont="1" applyFill="1" applyBorder="1" applyAlignment="1">
      <alignment horizontal="center" vertical="center" wrapText="1"/>
    </xf>
    <xf numFmtId="0" fontId="41" fillId="16" borderId="44" xfId="0" applyFont="1" applyFill="1" applyBorder="1" applyAlignment="1">
      <alignment horizontal="center" vertical="center" wrapText="1"/>
    </xf>
    <xf numFmtId="0" fontId="41" fillId="16" borderId="15" xfId="0" applyFont="1" applyFill="1" applyBorder="1" applyAlignment="1">
      <alignment horizontal="center" vertical="center" wrapText="1"/>
    </xf>
    <xf numFmtId="0" fontId="41" fillId="16" borderId="41" xfId="0" applyFont="1" applyFill="1" applyBorder="1" applyAlignment="1">
      <alignment horizontal="center" vertical="center" wrapText="1"/>
    </xf>
    <xf numFmtId="0" fontId="41" fillId="16" borderId="42" xfId="0" applyFont="1" applyFill="1" applyBorder="1" applyAlignment="1">
      <alignment horizontal="center" vertical="center" wrapText="1"/>
    </xf>
    <xf numFmtId="0" fontId="35" fillId="17" borderId="7" xfId="0" applyFont="1" applyFill="1" applyBorder="1" applyAlignment="1">
      <alignment horizontal="center"/>
    </xf>
    <xf numFmtId="0" fontId="40" fillId="17" borderId="7" xfId="0" applyFont="1" applyFill="1" applyBorder="1" applyAlignment="1">
      <alignment horizontal="center"/>
    </xf>
    <xf numFmtId="0" fontId="0" fillId="0" borderId="12" xfId="0" applyBorder="1" applyAlignment="1">
      <alignment horizontal="center"/>
    </xf>
    <xf numFmtId="0" fontId="35" fillId="14" borderId="8" xfId="0" applyFont="1" applyFill="1" applyBorder="1" applyAlignment="1">
      <alignment horizontal="center"/>
    </xf>
    <xf numFmtId="0" fontId="35" fillId="14" borderId="9" xfId="0" applyFont="1" applyFill="1" applyBorder="1" applyAlignment="1">
      <alignment horizontal="center"/>
    </xf>
    <xf numFmtId="0" fontId="5" fillId="22" borderId="13" xfId="0" applyFont="1" applyFill="1" applyBorder="1" applyAlignment="1">
      <alignment horizontal="center" vertical="center"/>
    </xf>
    <xf numFmtId="0" fontId="5" fillId="22" borderId="39" xfId="0" applyFont="1" applyFill="1" applyBorder="1" applyAlignment="1">
      <alignment horizontal="center" vertical="center"/>
    </xf>
    <xf numFmtId="0" fontId="5" fillId="22" borderId="40" xfId="0" applyFont="1" applyFill="1" applyBorder="1" applyAlignment="1">
      <alignment horizontal="center" vertical="center"/>
    </xf>
    <xf numFmtId="0" fontId="5" fillId="22" borderId="15" xfId="0" applyFont="1" applyFill="1" applyBorder="1" applyAlignment="1">
      <alignment horizontal="center" vertical="center"/>
    </xf>
    <xf numFmtId="0" fontId="5" fillId="22" borderId="41" xfId="0" applyFont="1" applyFill="1" applyBorder="1" applyAlignment="1">
      <alignment horizontal="center" vertical="center"/>
    </xf>
    <xf numFmtId="0" fontId="5" fillId="22" borderId="42" xfId="0" applyFont="1" applyFill="1" applyBorder="1" applyAlignment="1">
      <alignment horizontal="center" vertical="center"/>
    </xf>
    <xf numFmtId="0" fontId="26" fillId="19" borderId="7" xfId="0" applyFont="1" applyFill="1" applyBorder="1" applyAlignment="1">
      <alignment horizontal="center" vertical="center"/>
    </xf>
    <xf numFmtId="0" fontId="26" fillId="19" borderId="7" xfId="0" applyFont="1" applyFill="1" applyBorder="1" applyAlignment="1">
      <alignment horizontal="center" vertical="center" wrapText="1"/>
    </xf>
    <xf numFmtId="0" fontId="29" fillId="0" borderId="7" xfId="0" applyFont="1" applyBorder="1" applyAlignment="1">
      <alignment horizontal="center" vertical="top" wrapText="1"/>
    </xf>
    <xf numFmtId="0" fontId="7" fillId="19" borderId="7" xfId="0" applyFont="1" applyFill="1" applyBorder="1" applyAlignment="1">
      <alignment horizontal="center" wrapText="1"/>
    </xf>
    <xf numFmtId="0" fontId="45" fillId="17" borderId="14" xfId="0" applyFont="1" applyFill="1" applyBorder="1" applyAlignment="1">
      <alignment horizontal="center"/>
    </xf>
    <xf numFmtId="0" fontId="45" fillId="17" borderId="0" xfId="0" applyFont="1" applyFill="1" applyBorder="1" applyAlignment="1">
      <alignment horizontal="center"/>
    </xf>
    <xf numFmtId="0" fontId="35" fillId="9" borderId="15" xfId="0" applyFont="1" applyFill="1" applyBorder="1" applyAlignment="1">
      <alignment horizontal="center"/>
    </xf>
    <xf numFmtId="0" fontId="35" fillId="9" borderId="41" xfId="0" applyFont="1" applyFill="1" applyBorder="1" applyAlignment="1">
      <alignment horizontal="center"/>
    </xf>
  </cellXfs>
  <cellStyles count="1">
    <cellStyle name="Normal" xfId="0" builtinId="0"/>
  </cellStyles>
  <dxfs count="8">
    <dxf>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center" textRotation="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36E824-122C-4DFE-A1B2-E71C50B61B23}" name="Table1" displayName="Table1" ref="A1:F17" totalsRowShown="0" headerRowDxfId="7" dataDxfId="6">
  <autoFilter ref="A1:F17" xr:uid="{E936E824-122C-4DFE-A1B2-E71C50B61B23}"/>
  <tableColumns count="6">
    <tableColumn id="1" xr3:uid="{E25903C9-A629-41A2-A946-46A054DD1396}" name="GA Name" dataDxfId="5"/>
    <tableColumn id="2" xr3:uid="{7826AE41-D381-4D9D-B58E-E9A3FBA864D0}" name="Govt / Institution/PSU/High Rise Name" dataDxfId="4"/>
    <tableColumn id="3" xr3:uid="{33E045A0-17C2-4DAA-A603-89F87FF03362}" name="Household No." dataDxfId="3"/>
    <tableColumn id="4" xr3:uid="{E45066E5-E1FF-4E1E-90BD-A09C1C0EA55E}" name="Commercial No." dataDxfId="2"/>
    <tableColumn id="5" xr3:uid="{ABC92645-8E0B-43E6-A43A-B2412F2C2358}" name="Consumption (SCM)" dataDxfId="1"/>
    <tableColumn id="6" xr3:uid="{48869278-768B-4B4D-B307-8838CDFF338F}" name="Comme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56F9D-E790-4C0F-8F13-95A5E5B733BE}">
  <sheetPr>
    <pageSetUpPr fitToPage="1"/>
  </sheetPr>
  <dimension ref="A1:CM14"/>
  <sheetViews>
    <sheetView zoomScale="50" zoomScaleNormal="50" workbookViewId="0">
      <pane xSplit="3" topLeftCell="BV1" activePane="topRight" state="frozen"/>
      <selection activeCell="A5" sqref="A5"/>
      <selection pane="topRight" activeCell="CJ4" sqref="CJ4:CJ10"/>
    </sheetView>
  </sheetViews>
  <sheetFormatPr defaultColWidth="8.08984375" defaultRowHeight="56" customHeight="1"/>
  <cols>
    <col min="3" max="3" width="16.6328125" customWidth="1"/>
    <col min="4" max="6" width="10.08984375" customWidth="1"/>
    <col min="7" max="7" width="8.26953125" customWidth="1"/>
    <col min="8" max="8" width="11.36328125" customWidth="1"/>
    <col min="9" max="9" width="9.90625" customWidth="1"/>
    <col min="10" max="10" width="13.1796875" customWidth="1"/>
    <col min="11" max="11" width="8.26953125" customWidth="1"/>
    <col min="12" max="12" width="9.453125" customWidth="1"/>
    <col min="13" max="87" width="8.26953125" customWidth="1"/>
    <col min="88" max="91" width="8.26953125" bestFit="1" customWidth="1"/>
  </cols>
  <sheetData>
    <row r="1" spans="1:91" ht="35.5" customHeight="1" thickTop="1" thickBot="1">
      <c r="A1" s="230" t="s">
        <v>22</v>
      </c>
      <c r="B1" s="231"/>
      <c r="C1" s="231"/>
      <c r="D1" s="231"/>
      <c r="E1" s="231"/>
      <c r="F1" s="231"/>
      <c r="G1" s="232"/>
      <c r="H1" s="224" t="s">
        <v>27</v>
      </c>
      <c r="I1" s="225"/>
      <c r="J1" s="225"/>
      <c r="K1" s="226"/>
      <c r="L1" s="224" t="s">
        <v>35</v>
      </c>
      <c r="M1" s="225"/>
      <c r="N1" s="225"/>
      <c r="O1" s="226"/>
      <c r="P1" s="224" t="s">
        <v>23</v>
      </c>
      <c r="Q1" s="225"/>
      <c r="R1" s="225"/>
      <c r="S1" s="226"/>
      <c r="T1" s="224" t="s">
        <v>24</v>
      </c>
      <c r="U1" s="225"/>
      <c r="V1" s="225"/>
      <c r="W1" s="226"/>
      <c r="X1" s="224" t="s">
        <v>25</v>
      </c>
      <c r="Y1" s="225"/>
      <c r="Z1" s="225"/>
      <c r="AA1" s="226"/>
      <c r="AB1" s="224" t="s">
        <v>26</v>
      </c>
      <c r="AC1" s="225"/>
      <c r="AD1" s="225"/>
      <c r="AE1" s="226"/>
      <c r="AF1" s="224" t="s">
        <v>16</v>
      </c>
      <c r="AG1" s="225"/>
      <c r="AH1" s="225"/>
      <c r="AI1" s="226"/>
      <c r="AJ1" s="217" t="s">
        <v>17</v>
      </c>
      <c r="AK1" s="218"/>
      <c r="AL1" s="218"/>
      <c r="AM1" s="219"/>
      <c r="AN1" s="217" t="s">
        <v>34</v>
      </c>
      <c r="AO1" s="218"/>
      <c r="AP1" s="218"/>
      <c r="AQ1" s="219"/>
      <c r="AR1" s="217" t="s">
        <v>37</v>
      </c>
      <c r="AS1" s="218"/>
      <c r="AT1" s="218"/>
      <c r="AU1" s="219"/>
      <c r="AV1" s="217" t="s">
        <v>38</v>
      </c>
      <c r="AW1" s="218"/>
      <c r="AX1" s="218"/>
      <c r="AY1" s="219"/>
      <c r="AZ1" s="217" t="s">
        <v>73</v>
      </c>
      <c r="BA1" s="218"/>
      <c r="BB1" s="218"/>
      <c r="BC1" s="219"/>
      <c r="BD1" s="217" t="s">
        <v>75</v>
      </c>
      <c r="BE1" s="218"/>
      <c r="BF1" s="218"/>
      <c r="BG1" s="219"/>
      <c r="BH1" s="217" t="s">
        <v>76</v>
      </c>
      <c r="BI1" s="218"/>
      <c r="BJ1" s="218"/>
      <c r="BK1" s="219"/>
      <c r="BL1" s="217" t="s">
        <v>476</v>
      </c>
      <c r="BM1" s="218"/>
      <c r="BN1" s="218"/>
      <c r="BO1" s="219"/>
      <c r="BP1" s="217" t="s">
        <v>486</v>
      </c>
      <c r="BQ1" s="218"/>
      <c r="BR1" s="218"/>
      <c r="BS1" s="219"/>
      <c r="BT1" s="217" t="s">
        <v>504</v>
      </c>
      <c r="BU1" s="218"/>
      <c r="BV1" s="218"/>
      <c r="BW1" s="219"/>
      <c r="BX1" s="217" t="s">
        <v>557</v>
      </c>
      <c r="BY1" s="218"/>
      <c r="BZ1" s="218"/>
      <c r="CA1" s="219"/>
      <c r="CB1" s="217" t="s">
        <v>559</v>
      </c>
      <c r="CC1" s="218"/>
      <c r="CD1" s="218"/>
      <c r="CE1" s="219"/>
      <c r="CF1" s="217" t="s">
        <v>561</v>
      </c>
      <c r="CG1" s="218"/>
      <c r="CH1" s="218"/>
      <c r="CI1" s="219"/>
      <c r="CJ1" s="217" t="s">
        <v>77</v>
      </c>
      <c r="CK1" s="218"/>
      <c r="CL1" s="218"/>
      <c r="CM1" s="219"/>
    </row>
    <row r="2" spans="1:91" ht="56" customHeight="1" thickTop="1" thickBot="1">
      <c r="A2" s="220" t="s">
        <v>10</v>
      </c>
      <c r="B2" s="212" t="s">
        <v>9</v>
      </c>
      <c r="C2" s="212" t="s">
        <v>0</v>
      </c>
      <c r="D2" s="233" t="s">
        <v>11</v>
      </c>
      <c r="E2" s="234"/>
      <c r="F2" s="235"/>
      <c r="G2" s="220" t="s">
        <v>12</v>
      </c>
      <c r="H2" s="214" t="s">
        <v>36</v>
      </c>
      <c r="I2" s="215"/>
      <c r="J2" s="216"/>
      <c r="K2" s="222" t="s">
        <v>19</v>
      </c>
      <c r="L2" s="214" t="s">
        <v>18</v>
      </c>
      <c r="M2" s="215"/>
      <c r="N2" s="216"/>
      <c r="O2" s="222" t="s">
        <v>19</v>
      </c>
      <c r="P2" s="214" t="s">
        <v>18</v>
      </c>
      <c r="Q2" s="215"/>
      <c r="R2" s="216"/>
      <c r="S2" s="222" t="s">
        <v>19</v>
      </c>
      <c r="T2" s="214" t="s">
        <v>18</v>
      </c>
      <c r="U2" s="215"/>
      <c r="V2" s="216"/>
      <c r="W2" s="222" t="s">
        <v>19</v>
      </c>
      <c r="X2" s="214" t="s">
        <v>18</v>
      </c>
      <c r="Y2" s="215"/>
      <c r="Z2" s="216"/>
      <c r="AA2" s="222" t="s">
        <v>19</v>
      </c>
      <c r="AB2" s="214" t="s">
        <v>18</v>
      </c>
      <c r="AC2" s="215"/>
      <c r="AD2" s="216"/>
      <c r="AE2" s="222" t="s">
        <v>19</v>
      </c>
      <c r="AF2" s="214" t="s">
        <v>18</v>
      </c>
      <c r="AG2" s="215"/>
      <c r="AH2" s="216"/>
      <c r="AI2" s="222" t="s">
        <v>19</v>
      </c>
      <c r="AJ2" s="214" t="s">
        <v>18</v>
      </c>
      <c r="AK2" s="215"/>
      <c r="AL2" s="216"/>
      <c r="AM2" s="222" t="s">
        <v>19</v>
      </c>
      <c r="AN2" s="214" t="s">
        <v>18</v>
      </c>
      <c r="AO2" s="215"/>
      <c r="AP2" s="216"/>
      <c r="AQ2" s="222" t="s">
        <v>19</v>
      </c>
      <c r="AR2" s="214" t="s">
        <v>18</v>
      </c>
      <c r="AS2" s="215"/>
      <c r="AT2" s="216"/>
      <c r="AU2" s="222" t="s">
        <v>19</v>
      </c>
      <c r="AV2" s="214" t="s">
        <v>18</v>
      </c>
      <c r="AW2" s="215"/>
      <c r="AX2" s="216"/>
      <c r="AY2" s="222" t="s">
        <v>19</v>
      </c>
      <c r="AZ2" s="214" t="s">
        <v>18</v>
      </c>
      <c r="BA2" s="215"/>
      <c r="BB2" s="216"/>
      <c r="BC2" s="222" t="s">
        <v>19</v>
      </c>
      <c r="BD2" s="214" t="s">
        <v>18</v>
      </c>
      <c r="BE2" s="215"/>
      <c r="BF2" s="216"/>
      <c r="BG2" s="222" t="s">
        <v>19</v>
      </c>
      <c r="BH2" s="214" t="s">
        <v>18</v>
      </c>
      <c r="BI2" s="215"/>
      <c r="BJ2" s="216"/>
      <c r="BK2" s="222" t="s">
        <v>19</v>
      </c>
      <c r="BL2" s="214" t="s">
        <v>18</v>
      </c>
      <c r="BM2" s="215"/>
      <c r="BN2" s="216"/>
      <c r="BO2" s="222" t="s">
        <v>19</v>
      </c>
      <c r="BP2" s="214" t="s">
        <v>18</v>
      </c>
      <c r="BQ2" s="215"/>
      <c r="BR2" s="216"/>
      <c r="BS2" s="222" t="s">
        <v>19</v>
      </c>
      <c r="BT2" s="214" t="s">
        <v>18</v>
      </c>
      <c r="BU2" s="215"/>
      <c r="BV2" s="216"/>
      <c r="BW2" s="222" t="s">
        <v>19</v>
      </c>
      <c r="BX2" s="214" t="s">
        <v>18</v>
      </c>
      <c r="BY2" s="215"/>
      <c r="BZ2" s="216"/>
      <c r="CA2" s="222" t="s">
        <v>19</v>
      </c>
      <c r="CB2" s="214" t="s">
        <v>18</v>
      </c>
      <c r="CC2" s="215"/>
      <c r="CD2" s="216"/>
      <c r="CE2" s="222" t="s">
        <v>19</v>
      </c>
      <c r="CF2" s="214" t="s">
        <v>18</v>
      </c>
      <c r="CG2" s="215"/>
      <c r="CH2" s="216"/>
      <c r="CI2" s="222" t="s">
        <v>19</v>
      </c>
      <c r="CJ2" s="214" t="s">
        <v>18</v>
      </c>
      <c r="CK2" s="215"/>
      <c r="CL2" s="216"/>
      <c r="CM2" s="222" t="s">
        <v>19</v>
      </c>
    </row>
    <row r="3" spans="1:91" ht="56" customHeight="1" thickTop="1" thickBot="1">
      <c r="A3" s="221"/>
      <c r="B3" s="213"/>
      <c r="C3" s="213"/>
      <c r="D3" s="81" t="s">
        <v>13</v>
      </c>
      <c r="E3" s="80" t="s">
        <v>14</v>
      </c>
      <c r="F3" s="81" t="s">
        <v>15</v>
      </c>
      <c r="G3" s="221"/>
      <c r="H3" s="78" t="s">
        <v>28</v>
      </c>
      <c r="I3" s="78" t="s">
        <v>29</v>
      </c>
      <c r="J3" s="2" t="s">
        <v>15</v>
      </c>
      <c r="K3" s="223"/>
      <c r="L3" s="78" t="s">
        <v>28</v>
      </c>
      <c r="M3" s="78" t="s">
        <v>29</v>
      </c>
      <c r="N3" s="2" t="s">
        <v>15</v>
      </c>
      <c r="O3" s="223"/>
      <c r="P3" s="78" t="s">
        <v>20</v>
      </c>
      <c r="Q3" s="78" t="s">
        <v>14</v>
      </c>
      <c r="R3" s="2" t="s">
        <v>15</v>
      </c>
      <c r="S3" s="223"/>
      <c r="T3" s="78" t="s">
        <v>20</v>
      </c>
      <c r="U3" s="78" t="s">
        <v>14</v>
      </c>
      <c r="V3" s="2" t="s">
        <v>15</v>
      </c>
      <c r="W3" s="223"/>
      <c r="X3" s="78" t="s">
        <v>20</v>
      </c>
      <c r="Y3" s="78" t="s">
        <v>14</v>
      </c>
      <c r="Z3" s="2" t="s">
        <v>15</v>
      </c>
      <c r="AA3" s="223"/>
      <c r="AB3" s="78" t="s">
        <v>20</v>
      </c>
      <c r="AC3" s="78" t="s">
        <v>14</v>
      </c>
      <c r="AD3" s="2" t="s">
        <v>15</v>
      </c>
      <c r="AE3" s="223"/>
      <c r="AF3" s="78" t="s">
        <v>20</v>
      </c>
      <c r="AG3" s="78" t="s">
        <v>14</v>
      </c>
      <c r="AH3" s="2" t="s">
        <v>15</v>
      </c>
      <c r="AI3" s="223"/>
      <c r="AJ3" s="78" t="s">
        <v>20</v>
      </c>
      <c r="AK3" s="78" t="s">
        <v>21</v>
      </c>
      <c r="AL3" s="78" t="s">
        <v>15</v>
      </c>
      <c r="AM3" s="223"/>
      <c r="AN3" s="79" t="s">
        <v>20</v>
      </c>
      <c r="AO3" s="79" t="s">
        <v>21</v>
      </c>
      <c r="AP3" s="79" t="s">
        <v>15</v>
      </c>
      <c r="AQ3" s="223"/>
      <c r="AR3" s="79" t="s">
        <v>20</v>
      </c>
      <c r="AS3" s="79" t="s">
        <v>21</v>
      </c>
      <c r="AT3" s="79" t="s">
        <v>15</v>
      </c>
      <c r="AU3" s="223"/>
      <c r="AV3" s="79" t="s">
        <v>20</v>
      </c>
      <c r="AW3" s="79" t="s">
        <v>21</v>
      </c>
      <c r="AX3" s="79" t="s">
        <v>15</v>
      </c>
      <c r="AY3" s="223"/>
      <c r="AZ3" s="79" t="s">
        <v>20</v>
      </c>
      <c r="BA3" s="79" t="s">
        <v>21</v>
      </c>
      <c r="BB3" s="79" t="s">
        <v>15</v>
      </c>
      <c r="BC3" s="223"/>
      <c r="BD3" s="79" t="s">
        <v>20</v>
      </c>
      <c r="BE3" s="79" t="s">
        <v>21</v>
      </c>
      <c r="BF3" s="79" t="s">
        <v>15</v>
      </c>
      <c r="BG3" s="223"/>
      <c r="BH3" s="79" t="s">
        <v>20</v>
      </c>
      <c r="BI3" s="79" t="s">
        <v>21</v>
      </c>
      <c r="BJ3" s="79" t="s">
        <v>15</v>
      </c>
      <c r="BK3" s="223"/>
      <c r="BL3" s="87" t="s">
        <v>20</v>
      </c>
      <c r="BM3" s="87" t="s">
        <v>21</v>
      </c>
      <c r="BN3" s="87" t="s">
        <v>15</v>
      </c>
      <c r="BO3" s="223"/>
      <c r="BP3" s="116" t="s">
        <v>20</v>
      </c>
      <c r="BQ3" s="116" t="s">
        <v>21</v>
      </c>
      <c r="BR3" s="116" t="s">
        <v>15</v>
      </c>
      <c r="BS3" s="223"/>
      <c r="BT3" s="127" t="s">
        <v>20</v>
      </c>
      <c r="BU3" s="127" t="s">
        <v>21</v>
      </c>
      <c r="BV3" s="127" t="s">
        <v>15</v>
      </c>
      <c r="BW3" s="223"/>
      <c r="BX3" s="136" t="s">
        <v>20</v>
      </c>
      <c r="BY3" s="136" t="s">
        <v>21</v>
      </c>
      <c r="BZ3" s="136" t="s">
        <v>15</v>
      </c>
      <c r="CA3" s="223"/>
      <c r="CB3" s="168" t="s">
        <v>20</v>
      </c>
      <c r="CC3" s="168" t="s">
        <v>21</v>
      </c>
      <c r="CD3" s="168" t="s">
        <v>15</v>
      </c>
      <c r="CE3" s="223"/>
      <c r="CF3" s="169" t="s">
        <v>20</v>
      </c>
      <c r="CG3" s="169" t="s">
        <v>21</v>
      </c>
      <c r="CH3" s="169" t="s">
        <v>15</v>
      </c>
      <c r="CI3" s="223"/>
      <c r="CJ3" s="78" t="s">
        <v>20</v>
      </c>
      <c r="CK3" s="78" t="s">
        <v>21</v>
      </c>
      <c r="CL3" s="78" t="s">
        <v>15</v>
      </c>
      <c r="CM3" s="223"/>
    </row>
    <row r="4" spans="1:91" ht="56" customHeight="1" thickTop="1" thickBot="1">
      <c r="A4" s="3">
        <v>1</v>
      </c>
      <c r="B4" s="3">
        <v>10.37</v>
      </c>
      <c r="C4" s="3" t="s">
        <v>2</v>
      </c>
      <c r="D4" s="4">
        <v>15000</v>
      </c>
      <c r="E4" s="4">
        <v>20000</v>
      </c>
      <c r="F4" s="4">
        <v>30000</v>
      </c>
      <c r="G4" s="5">
        <v>5</v>
      </c>
      <c r="H4" s="6">
        <v>1068</v>
      </c>
      <c r="I4" s="6">
        <v>1068</v>
      </c>
      <c r="J4" s="6">
        <v>28185</v>
      </c>
      <c r="K4" s="7">
        <v>0</v>
      </c>
      <c r="L4" s="7">
        <v>1331</v>
      </c>
      <c r="M4" s="7">
        <v>1133</v>
      </c>
      <c r="N4" s="7">
        <v>626</v>
      </c>
      <c r="O4" s="7"/>
      <c r="P4" s="16">
        <v>9</v>
      </c>
      <c r="Q4" s="16">
        <v>13</v>
      </c>
      <c r="R4" s="16">
        <v>0</v>
      </c>
      <c r="S4" s="16">
        <v>0</v>
      </c>
      <c r="T4" s="18">
        <v>3</v>
      </c>
      <c r="U4" s="18">
        <v>6</v>
      </c>
      <c r="V4" s="18">
        <v>3</v>
      </c>
      <c r="W4" s="18">
        <v>0</v>
      </c>
      <c r="X4" s="16">
        <v>4</v>
      </c>
      <c r="Y4" s="16">
        <v>14</v>
      </c>
      <c r="Z4" s="16">
        <v>9</v>
      </c>
      <c r="AA4" s="16">
        <v>0</v>
      </c>
      <c r="AB4" s="18">
        <v>4</v>
      </c>
      <c r="AC4" s="18">
        <v>17</v>
      </c>
      <c r="AD4" s="18">
        <v>13</v>
      </c>
      <c r="AE4" s="18">
        <v>0</v>
      </c>
      <c r="AF4" s="16">
        <v>4</v>
      </c>
      <c r="AG4" s="16">
        <v>17</v>
      </c>
      <c r="AH4" s="16">
        <v>13</v>
      </c>
      <c r="AI4" s="16">
        <v>0</v>
      </c>
      <c r="AJ4" s="18">
        <v>0</v>
      </c>
      <c r="AK4" s="18">
        <v>10</v>
      </c>
      <c r="AL4" s="18">
        <v>13</v>
      </c>
      <c r="AM4" s="18">
        <v>0</v>
      </c>
      <c r="AN4" s="16">
        <v>0</v>
      </c>
      <c r="AO4" s="16">
        <v>5</v>
      </c>
      <c r="AP4" s="16">
        <v>0</v>
      </c>
      <c r="AQ4" s="16">
        <v>0</v>
      </c>
      <c r="AR4" s="18">
        <v>4</v>
      </c>
      <c r="AS4" s="18">
        <v>8</v>
      </c>
      <c r="AT4" s="18">
        <v>5</v>
      </c>
      <c r="AU4" s="18">
        <v>0</v>
      </c>
      <c r="AV4" s="16">
        <v>0</v>
      </c>
      <c r="AW4" s="16">
        <v>9</v>
      </c>
      <c r="AX4" s="16">
        <v>3</v>
      </c>
      <c r="AY4" s="16">
        <v>0</v>
      </c>
      <c r="AZ4" s="21">
        <v>0</v>
      </c>
      <c r="BA4" s="21">
        <v>15</v>
      </c>
      <c r="BB4" s="21">
        <v>3</v>
      </c>
      <c r="BC4" s="21">
        <v>0</v>
      </c>
      <c r="BD4" s="21">
        <v>0</v>
      </c>
      <c r="BE4" s="21">
        <v>15</v>
      </c>
      <c r="BF4" s="21">
        <v>3</v>
      </c>
      <c r="BG4" s="21">
        <v>0</v>
      </c>
      <c r="BH4" s="21">
        <v>20</v>
      </c>
      <c r="BI4" s="21">
        <v>14</v>
      </c>
      <c r="BJ4" s="21">
        <v>5</v>
      </c>
      <c r="BK4" s="21">
        <v>0</v>
      </c>
      <c r="BL4" s="21">
        <v>7</v>
      </c>
      <c r="BM4" s="21">
        <v>14</v>
      </c>
      <c r="BN4" s="21">
        <v>3</v>
      </c>
      <c r="BO4" s="21">
        <v>0</v>
      </c>
      <c r="BP4" s="21">
        <v>12</v>
      </c>
      <c r="BQ4" s="21">
        <v>18</v>
      </c>
      <c r="BR4" s="21">
        <v>3</v>
      </c>
      <c r="BS4" s="21">
        <v>0</v>
      </c>
      <c r="BT4" s="21">
        <f>'All GAs'!AR4</f>
        <v>10</v>
      </c>
      <c r="BU4" s="21">
        <f>'All GAs'!AS4</f>
        <v>16</v>
      </c>
      <c r="BV4" s="21">
        <f>'All GAs'!AT4</f>
        <v>10</v>
      </c>
      <c r="BW4" s="21">
        <f>'All GAs'!AU4</f>
        <v>0</v>
      </c>
      <c r="BX4" s="21">
        <f>'All GAs'!AV4</f>
        <v>7</v>
      </c>
      <c r="BY4" s="21">
        <f>'All GAs'!AW4</f>
        <v>17</v>
      </c>
      <c r="BZ4" s="21">
        <f>'All GAs'!AX4</f>
        <v>10</v>
      </c>
      <c r="CA4" s="21">
        <f>'All GAs'!AY4</f>
        <v>0</v>
      </c>
      <c r="CB4" s="21">
        <f>'All GAs'!AZ4</f>
        <v>8</v>
      </c>
      <c r="CC4" s="21">
        <f>'All GAs'!BA4</f>
        <v>20</v>
      </c>
      <c r="CD4" s="21">
        <f>'All GAs'!BB4</f>
        <v>5</v>
      </c>
      <c r="CE4" s="21">
        <f>'All GAs'!BC4</f>
        <v>0</v>
      </c>
      <c r="CF4" s="21">
        <f>'All GAs'!BD4</f>
        <v>7</v>
      </c>
      <c r="CG4" s="21">
        <f>'All GAs'!BE4</f>
        <v>14</v>
      </c>
      <c r="CH4" s="21">
        <f>'All GAs'!BF4</f>
        <v>5</v>
      </c>
      <c r="CI4" s="21">
        <f>'All GAs'!BG4</f>
        <v>0</v>
      </c>
      <c r="CJ4" s="14">
        <f t="shared" ref="CJ4:CM10" si="0">AV4+AR4+AN4+AJ4+AF4+AB4+X4+T4+P4+AZ4+BD4+BH4+BL4+BP4+BT4+BX4</f>
        <v>84</v>
      </c>
      <c r="CK4" s="14">
        <f t="shared" si="0"/>
        <v>208</v>
      </c>
      <c r="CL4" s="14">
        <f t="shared" si="0"/>
        <v>96</v>
      </c>
      <c r="CM4" s="14">
        <f t="shared" si="0"/>
        <v>0</v>
      </c>
    </row>
    <row r="5" spans="1:91" ht="56" customHeight="1" thickTop="1" thickBot="1">
      <c r="A5" s="3">
        <v>2</v>
      </c>
      <c r="B5" s="3">
        <v>10.47</v>
      </c>
      <c r="C5" s="3" t="s">
        <v>3</v>
      </c>
      <c r="D5" s="4">
        <v>15000</v>
      </c>
      <c r="E5" s="4">
        <v>20000</v>
      </c>
      <c r="F5" s="4">
        <v>30000</v>
      </c>
      <c r="G5" s="5">
        <v>20</v>
      </c>
      <c r="H5" s="6">
        <v>12248</v>
      </c>
      <c r="I5" s="6">
        <v>501</v>
      </c>
      <c r="J5" s="6">
        <v>17611</v>
      </c>
      <c r="K5" s="7">
        <v>1</v>
      </c>
      <c r="L5" s="7">
        <v>5068</v>
      </c>
      <c r="M5" s="7">
        <v>531</v>
      </c>
      <c r="N5" s="7">
        <v>2514</v>
      </c>
      <c r="O5" s="7"/>
      <c r="P5" s="16">
        <v>0</v>
      </c>
      <c r="Q5" s="16">
        <v>223</v>
      </c>
      <c r="R5" s="16">
        <v>35</v>
      </c>
      <c r="S5" s="16">
        <v>0</v>
      </c>
      <c r="T5" s="18">
        <v>76</v>
      </c>
      <c r="U5" s="18">
        <v>40</v>
      </c>
      <c r="V5" s="18">
        <v>123</v>
      </c>
      <c r="W5" s="18">
        <v>0</v>
      </c>
      <c r="X5" s="16">
        <v>50</v>
      </c>
      <c r="Y5" s="16">
        <v>20</v>
      </c>
      <c r="Z5" s="16">
        <v>38</v>
      </c>
      <c r="AA5" s="16">
        <v>0</v>
      </c>
      <c r="AB5" s="18">
        <v>94</v>
      </c>
      <c r="AC5" s="18">
        <v>10</v>
      </c>
      <c r="AD5" s="18">
        <v>98</v>
      </c>
      <c r="AE5" s="18">
        <v>0</v>
      </c>
      <c r="AF5" s="16">
        <v>94</v>
      </c>
      <c r="AG5" s="16">
        <v>10</v>
      </c>
      <c r="AH5" s="16">
        <v>98</v>
      </c>
      <c r="AI5" s="16">
        <v>0</v>
      </c>
      <c r="AJ5" s="18">
        <v>71</v>
      </c>
      <c r="AK5" s="18">
        <v>0</v>
      </c>
      <c r="AL5" s="18">
        <v>3</v>
      </c>
      <c r="AM5" s="18">
        <v>1</v>
      </c>
      <c r="AN5" s="16">
        <v>62</v>
      </c>
      <c r="AO5" s="16">
        <v>5</v>
      </c>
      <c r="AP5" s="16">
        <v>2</v>
      </c>
      <c r="AQ5" s="16">
        <v>0</v>
      </c>
      <c r="AR5" s="18">
        <v>4</v>
      </c>
      <c r="AS5" s="18">
        <v>5</v>
      </c>
      <c r="AT5" s="18">
        <v>5</v>
      </c>
      <c r="AU5" s="18">
        <v>1</v>
      </c>
      <c r="AV5" s="16">
        <v>115</v>
      </c>
      <c r="AW5" s="16">
        <v>7</v>
      </c>
      <c r="AX5" s="16">
        <v>5</v>
      </c>
      <c r="AY5" s="16">
        <v>0</v>
      </c>
      <c r="AZ5" s="21">
        <v>3</v>
      </c>
      <c r="BA5" s="21">
        <v>8</v>
      </c>
      <c r="BB5" s="21">
        <v>4</v>
      </c>
      <c r="BC5" s="21">
        <v>0</v>
      </c>
      <c r="BD5" s="21">
        <v>68</v>
      </c>
      <c r="BE5" s="21">
        <v>15</v>
      </c>
      <c r="BF5" s="21">
        <v>17</v>
      </c>
      <c r="BG5" s="21">
        <v>0</v>
      </c>
      <c r="BH5" s="21">
        <v>61</v>
      </c>
      <c r="BI5" s="21">
        <v>18</v>
      </c>
      <c r="BJ5" s="21">
        <v>9</v>
      </c>
      <c r="BK5" s="21">
        <v>0</v>
      </c>
      <c r="BL5" s="21">
        <v>35</v>
      </c>
      <c r="BM5" s="21">
        <v>20</v>
      </c>
      <c r="BN5" s="21">
        <v>25</v>
      </c>
      <c r="BO5" s="21">
        <v>0</v>
      </c>
      <c r="BP5" s="21">
        <v>33</v>
      </c>
      <c r="BQ5" s="21">
        <v>23</v>
      </c>
      <c r="BR5" s="21">
        <v>37</v>
      </c>
      <c r="BS5" s="21">
        <v>0</v>
      </c>
      <c r="BT5" s="21">
        <f>'All GAs'!AR5</f>
        <v>71</v>
      </c>
      <c r="BU5" s="21">
        <f>'All GAs'!AS5</f>
        <v>30</v>
      </c>
      <c r="BV5" s="21">
        <f>'All GAs'!AT5</f>
        <v>35</v>
      </c>
      <c r="BW5" s="21">
        <f>'All GAs'!AU5</f>
        <v>0</v>
      </c>
      <c r="BX5" s="21">
        <f>'All GAs'!AV5</f>
        <v>21</v>
      </c>
      <c r="BY5" s="21">
        <f>'All GAs'!AW5</f>
        <v>30</v>
      </c>
      <c r="BZ5" s="21">
        <f>'All GAs'!AX5</f>
        <v>34</v>
      </c>
      <c r="CA5" s="21">
        <f>'All GAs'!AY5</f>
        <v>1</v>
      </c>
      <c r="CB5" s="21">
        <f>'All GAs'!AZ5</f>
        <v>23</v>
      </c>
      <c r="CC5" s="21">
        <f>'All GAs'!BA5</f>
        <v>20</v>
      </c>
      <c r="CD5" s="21">
        <f>'All GAs'!BB5</f>
        <v>30</v>
      </c>
      <c r="CE5" s="21">
        <f>'All GAs'!BC5</f>
        <v>0</v>
      </c>
      <c r="CF5" s="21">
        <f>'All GAs'!BD5</f>
        <v>85</v>
      </c>
      <c r="CG5" s="21">
        <f>'All GAs'!BE5</f>
        <v>28</v>
      </c>
      <c r="CH5" s="21">
        <f>'All GAs'!BF5</f>
        <v>5</v>
      </c>
      <c r="CI5" s="21">
        <f>'All GAs'!BG5</f>
        <v>0</v>
      </c>
      <c r="CJ5" s="14">
        <f t="shared" si="0"/>
        <v>858</v>
      </c>
      <c r="CK5" s="14">
        <f t="shared" si="0"/>
        <v>464</v>
      </c>
      <c r="CL5" s="14">
        <f t="shared" si="0"/>
        <v>568</v>
      </c>
      <c r="CM5" s="14">
        <f t="shared" si="0"/>
        <v>3</v>
      </c>
    </row>
    <row r="6" spans="1:91" ht="56" customHeight="1" thickTop="1" thickBot="1">
      <c r="A6" s="3">
        <v>3</v>
      </c>
      <c r="B6" s="3">
        <v>10.39</v>
      </c>
      <c r="C6" s="3" t="s">
        <v>4</v>
      </c>
      <c r="D6" s="4">
        <v>15000</v>
      </c>
      <c r="E6" s="4">
        <v>25000</v>
      </c>
      <c r="F6" s="4">
        <v>30000</v>
      </c>
      <c r="G6" s="5">
        <v>20</v>
      </c>
      <c r="H6" s="6">
        <v>18744</v>
      </c>
      <c r="I6" s="6">
        <v>940</v>
      </c>
      <c r="J6" s="6">
        <v>30271</v>
      </c>
      <c r="K6" s="7">
        <v>0</v>
      </c>
      <c r="L6" s="7">
        <v>1530</v>
      </c>
      <c r="M6" s="7">
        <v>617</v>
      </c>
      <c r="N6" s="7">
        <v>495</v>
      </c>
      <c r="O6" s="7"/>
      <c r="P6" s="16">
        <v>5</v>
      </c>
      <c r="Q6" s="16">
        <v>5</v>
      </c>
      <c r="R6" s="16">
        <v>9</v>
      </c>
      <c r="S6" s="16">
        <v>0</v>
      </c>
      <c r="T6" s="18">
        <v>1</v>
      </c>
      <c r="U6" s="18">
        <v>1</v>
      </c>
      <c r="V6" s="18">
        <v>0</v>
      </c>
      <c r="W6" s="18">
        <v>0</v>
      </c>
      <c r="X6" s="16">
        <v>5</v>
      </c>
      <c r="Y6" s="16">
        <v>3</v>
      </c>
      <c r="Z6" s="16">
        <v>3</v>
      </c>
      <c r="AA6" s="16">
        <v>0</v>
      </c>
      <c r="AB6" s="18">
        <v>16</v>
      </c>
      <c r="AC6" s="18">
        <v>24</v>
      </c>
      <c r="AD6" s="18">
        <v>8</v>
      </c>
      <c r="AE6" s="18">
        <v>0</v>
      </c>
      <c r="AF6" s="16">
        <v>16</v>
      </c>
      <c r="AG6" s="16">
        <v>24</v>
      </c>
      <c r="AH6" s="16">
        <v>8</v>
      </c>
      <c r="AI6" s="16">
        <v>0</v>
      </c>
      <c r="AJ6" s="18">
        <v>5</v>
      </c>
      <c r="AK6" s="18">
        <v>14</v>
      </c>
      <c r="AL6" s="18">
        <v>9</v>
      </c>
      <c r="AM6" s="18">
        <v>0</v>
      </c>
      <c r="AN6" s="16">
        <v>4</v>
      </c>
      <c r="AO6" s="16">
        <v>3</v>
      </c>
      <c r="AP6" s="16">
        <v>11</v>
      </c>
      <c r="AQ6" s="16">
        <v>0</v>
      </c>
      <c r="AR6" s="18">
        <v>2</v>
      </c>
      <c r="AS6" s="18">
        <v>2</v>
      </c>
      <c r="AT6" s="18">
        <v>20</v>
      </c>
      <c r="AU6" s="18">
        <v>0</v>
      </c>
      <c r="AV6" s="16">
        <v>5</v>
      </c>
      <c r="AW6" s="16">
        <v>3</v>
      </c>
      <c r="AX6" s="16">
        <v>10</v>
      </c>
      <c r="AY6" s="16">
        <v>0</v>
      </c>
      <c r="AZ6" s="21">
        <v>6</v>
      </c>
      <c r="BA6" s="21">
        <v>4</v>
      </c>
      <c r="BB6" s="21">
        <v>9</v>
      </c>
      <c r="BC6" s="21">
        <v>0</v>
      </c>
      <c r="BD6" s="21">
        <v>25</v>
      </c>
      <c r="BE6" s="21">
        <v>15</v>
      </c>
      <c r="BF6" s="21">
        <v>12</v>
      </c>
      <c r="BG6" s="21">
        <v>0</v>
      </c>
      <c r="BH6" s="21">
        <v>30</v>
      </c>
      <c r="BI6" s="21">
        <v>10</v>
      </c>
      <c r="BJ6" s="21">
        <v>21</v>
      </c>
      <c r="BK6" s="21">
        <v>0</v>
      </c>
      <c r="BL6" s="21">
        <v>30</v>
      </c>
      <c r="BM6" s="21">
        <v>10</v>
      </c>
      <c r="BN6" s="21">
        <v>10</v>
      </c>
      <c r="BO6" s="21">
        <v>0</v>
      </c>
      <c r="BP6" s="21">
        <v>27</v>
      </c>
      <c r="BQ6" s="21">
        <v>10</v>
      </c>
      <c r="BR6" s="21">
        <v>12</v>
      </c>
      <c r="BS6" s="21">
        <v>0</v>
      </c>
      <c r="BT6" s="21">
        <f>'All GAs'!AR6</f>
        <v>36</v>
      </c>
      <c r="BU6" s="21">
        <f>'All GAs'!AS6</f>
        <v>15</v>
      </c>
      <c r="BV6" s="21">
        <f>'All GAs'!AT6</f>
        <v>14</v>
      </c>
      <c r="BW6" s="21">
        <f>'All GAs'!AU6</f>
        <v>0</v>
      </c>
      <c r="BX6" s="21">
        <f>'All GAs'!AV6</f>
        <v>18</v>
      </c>
      <c r="BY6" s="21">
        <f>'All GAs'!AW6</f>
        <v>10</v>
      </c>
      <c r="BZ6" s="21">
        <f>'All GAs'!AX6</f>
        <v>14</v>
      </c>
      <c r="CA6" s="21">
        <f>'All GAs'!AY6</f>
        <v>0</v>
      </c>
      <c r="CB6" s="21">
        <f>'All GAs'!AZ6</f>
        <v>43</v>
      </c>
      <c r="CC6" s="21">
        <f>'All GAs'!BA6</f>
        <v>10</v>
      </c>
      <c r="CD6" s="21">
        <f>'All GAs'!BB6</f>
        <v>22</v>
      </c>
      <c r="CE6" s="21">
        <f>'All GAs'!BC6</f>
        <v>0</v>
      </c>
      <c r="CF6" s="21">
        <f>'All GAs'!BD6</f>
        <v>16</v>
      </c>
      <c r="CG6" s="21">
        <f>'All GAs'!BE6</f>
        <v>5</v>
      </c>
      <c r="CH6" s="21">
        <f>'All GAs'!BF6</f>
        <v>15</v>
      </c>
      <c r="CI6" s="21">
        <f>'All GAs'!BG6</f>
        <v>0</v>
      </c>
      <c r="CJ6" s="14">
        <f t="shared" si="0"/>
        <v>231</v>
      </c>
      <c r="CK6" s="14">
        <f t="shared" si="0"/>
        <v>153</v>
      </c>
      <c r="CL6" s="14">
        <f t="shared" si="0"/>
        <v>170</v>
      </c>
      <c r="CM6" s="14">
        <f t="shared" si="0"/>
        <v>0</v>
      </c>
    </row>
    <row r="7" spans="1:91" ht="56" customHeight="1" thickTop="1" thickBot="1">
      <c r="A7" s="3">
        <v>4</v>
      </c>
      <c r="B7" s="3">
        <v>10.48</v>
      </c>
      <c r="C7" s="3" t="s">
        <v>5</v>
      </c>
      <c r="D7" s="4">
        <v>20000</v>
      </c>
      <c r="E7" s="4">
        <v>20000</v>
      </c>
      <c r="F7" s="4">
        <v>40000</v>
      </c>
      <c r="G7" s="5">
        <v>20</v>
      </c>
      <c r="H7" s="6">
        <v>8768</v>
      </c>
      <c r="I7" s="6">
        <v>125</v>
      </c>
      <c r="J7" s="6">
        <v>14449</v>
      </c>
      <c r="K7" s="7">
        <v>0</v>
      </c>
      <c r="L7" s="7">
        <v>2207</v>
      </c>
      <c r="M7" s="7">
        <v>194</v>
      </c>
      <c r="N7" s="7">
        <v>1455</v>
      </c>
      <c r="O7" s="7"/>
      <c r="P7" s="16">
        <v>140</v>
      </c>
      <c r="Q7" s="16">
        <v>0</v>
      </c>
      <c r="R7" s="16">
        <v>45</v>
      </c>
      <c r="S7" s="16">
        <v>0</v>
      </c>
      <c r="T7" s="18">
        <v>39</v>
      </c>
      <c r="U7" s="18">
        <v>0</v>
      </c>
      <c r="V7" s="18">
        <v>43</v>
      </c>
      <c r="W7" s="18">
        <v>0</v>
      </c>
      <c r="X7" s="16">
        <v>4</v>
      </c>
      <c r="Y7" s="16">
        <v>4</v>
      </c>
      <c r="Z7" s="16">
        <v>39</v>
      </c>
      <c r="AA7" s="16">
        <v>0</v>
      </c>
      <c r="AB7" s="18">
        <v>1</v>
      </c>
      <c r="AC7" s="18">
        <v>10</v>
      </c>
      <c r="AD7" s="18">
        <v>46</v>
      </c>
      <c r="AE7" s="18">
        <v>0</v>
      </c>
      <c r="AF7" s="16">
        <v>1</v>
      </c>
      <c r="AG7" s="16">
        <v>10</v>
      </c>
      <c r="AH7" s="16">
        <v>46</v>
      </c>
      <c r="AI7" s="16">
        <v>0</v>
      </c>
      <c r="AJ7" s="18">
        <v>14</v>
      </c>
      <c r="AK7" s="18">
        <v>10</v>
      </c>
      <c r="AL7" s="18">
        <v>12</v>
      </c>
      <c r="AM7" s="18">
        <v>0</v>
      </c>
      <c r="AN7" s="16">
        <v>17</v>
      </c>
      <c r="AO7" s="16">
        <v>2</v>
      </c>
      <c r="AP7" s="16">
        <v>22</v>
      </c>
      <c r="AQ7" s="16">
        <v>0</v>
      </c>
      <c r="AR7" s="18">
        <v>2</v>
      </c>
      <c r="AS7" s="18">
        <v>2</v>
      </c>
      <c r="AT7" s="18">
        <v>32</v>
      </c>
      <c r="AU7" s="18">
        <v>1</v>
      </c>
      <c r="AV7" s="16">
        <v>70</v>
      </c>
      <c r="AW7" s="16">
        <v>6</v>
      </c>
      <c r="AX7" s="16">
        <v>35</v>
      </c>
      <c r="AY7" s="16">
        <v>0</v>
      </c>
      <c r="AZ7" s="21">
        <v>35</v>
      </c>
      <c r="BA7" s="21">
        <v>6</v>
      </c>
      <c r="BB7" s="21">
        <v>25</v>
      </c>
      <c r="BC7" s="21">
        <v>0</v>
      </c>
      <c r="BD7" s="21">
        <v>27</v>
      </c>
      <c r="BE7" s="21">
        <v>3</v>
      </c>
      <c r="BF7" s="21">
        <v>25</v>
      </c>
      <c r="BG7" s="21">
        <v>0</v>
      </c>
      <c r="BH7" s="21">
        <v>20</v>
      </c>
      <c r="BI7" s="21">
        <v>8</v>
      </c>
      <c r="BJ7" s="21">
        <v>17</v>
      </c>
      <c r="BK7" s="21">
        <v>0</v>
      </c>
      <c r="BL7" s="21">
        <v>15</v>
      </c>
      <c r="BM7" s="21">
        <v>6</v>
      </c>
      <c r="BN7" s="21">
        <v>25</v>
      </c>
      <c r="BO7" s="21">
        <v>1</v>
      </c>
      <c r="BP7" s="21">
        <v>12</v>
      </c>
      <c r="BQ7" s="21">
        <v>6</v>
      </c>
      <c r="BR7" s="21">
        <v>17</v>
      </c>
      <c r="BS7" s="21">
        <v>0</v>
      </c>
      <c r="BT7" s="21">
        <f>'All GAs'!AR7</f>
        <v>22</v>
      </c>
      <c r="BU7" s="21">
        <f>'All GAs'!AS7</f>
        <v>5</v>
      </c>
      <c r="BV7" s="21">
        <f>'All GAs'!AT7</f>
        <v>17</v>
      </c>
      <c r="BW7" s="21">
        <f>'All GAs'!AU7</f>
        <v>0</v>
      </c>
      <c r="BX7" s="21">
        <f>'All GAs'!AV7</f>
        <v>2</v>
      </c>
      <c r="BY7" s="21">
        <f>'All GAs'!AW7</f>
        <v>5</v>
      </c>
      <c r="BZ7" s="21">
        <f>'All GAs'!AX7</f>
        <v>16</v>
      </c>
      <c r="CA7" s="21">
        <f>'All GAs'!AY7</f>
        <v>0</v>
      </c>
      <c r="CB7" s="21">
        <f>'All GAs'!AZ7</f>
        <v>21</v>
      </c>
      <c r="CC7" s="21">
        <f>'All GAs'!BA7</f>
        <v>4</v>
      </c>
      <c r="CD7" s="21">
        <f>'All GAs'!BB7</f>
        <v>27</v>
      </c>
      <c r="CE7" s="21">
        <f>'All GAs'!BC7</f>
        <v>0</v>
      </c>
      <c r="CF7" s="21">
        <f>'All GAs'!BD7</f>
        <v>19</v>
      </c>
      <c r="CG7" s="21">
        <f>'All GAs'!BE7</f>
        <v>4</v>
      </c>
      <c r="CH7" s="21">
        <f>'All GAs'!BF7</f>
        <v>25</v>
      </c>
      <c r="CI7" s="21">
        <f>'All GAs'!BG7</f>
        <v>0</v>
      </c>
      <c r="CJ7" s="14">
        <f t="shared" si="0"/>
        <v>421</v>
      </c>
      <c r="CK7" s="14">
        <f t="shared" si="0"/>
        <v>83</v>
      </c>
      <c r="CL7" s="14">
        <f t="shared" si="0"/>
        <v>462</v>
      </c>
      <c r="CM7" s="14">
        <f t="shared" si="0"/>
        <v>2</v>
      </c>
    </row>
    <row r="8" spans="1:91" ht="56" customHeight="1" thickTop="1" thickBot="1">
      <c r="A8" s="3">
        <v>5</v>
      </c>
      <c r="B8" s="3">
        <v>10.49</v>
      </c>
      <c r="C8" s="3" t="s">
        <v>6</v>
      </c>
      <c r="D8" s="4">
        <v>15000</v>
      </c>
      <c r="E8" s="4">
        <v>15000</v>
      </c>
      <c r="F8" s="4">
        <v>30000</v>
      </c>
      <c r="G8" s="5">
        <v>10</v>
      </c>
      <c r="H8" s="6">
        <v>15942</v>
      </c>
      <c r="I8" s="6">
        <v>349</v>
      </c>
      <c r="J8" s="6">
        <v>19739</v>
      </c>
      <c r="K8" s="7">
        <v>0</v>
      </c>
      <c r="L8" s="7">
        <v>4892</v>
      </c>
      <c r="M8" s="7">
        <v>495</v>
      </c>
      <c r="N8" s="7">
        <v>1552</v>
      </c>
      <c r="O8" s="7"/>
      <c r="P8" s="16">
        <v>27</v>
      </c>
      <c r="Q8" s="16">
        <v>19</v>
      </c>
      <c r="R8" s="16">
        <v>38</v>
      </c>
      <c r="S8" s="16">
        <v>0</v>
      </c>
      <c r="T8" s="18">
        <v>12</v>
      </c>
      <c r="U8" s="18">
        <v>14</v>
      </c>
      <c r="V8" s="18">
        <v>10</v>
      </c>
      <c r="W8" s="18">
        <v>0</v>
      </c>
      <c r="X8" s="16">
        <v>9</v>
      </c>
      <c r="Y8" s="16">
        <v>0</v>
      </c>
      <c r="Z8" s="16">
        <v>18</v>
      </c>
      <c r="AA8" s="16">
        <v>0</v>
      </c>
      <c r="AB8" s="18">
        <v>80</v>
      </c>
      <c r="AC8" s="18">
        <v>0</v>
      </c>
      <c r="AD8" s="18">
        <v>55</v>
      </c>
      <c r="AE8" s="18">
        <v>0</v>
      </c>
      <c r="AF8" s="16">
        <v>80</v>
      </c>
      <c r="AG8" s="16">
        <v>0</v>
      </c>
      <c r="AH8" s="16">
        <v>55</v>
      </c>
      <c r="AI8" s="16">
        <v>0</v>
      </c>
      <c r="AJ8" s="18">
        <v>56</v>
      </c>
      <c r="AK8" s="18">
        <v>8</v>
      </c>
      <c r="AL8" s="18">
        <v>17</v>
      </c>
      <c r="AM8" s="18">
        <v>0</v>
      </c>
      <c r="AN8" s="16">
        <v>10</v>
      </c>
      <c r="AO8" s="16">
        <v>0</v>
      </c>
      <c r="AP8" s="16">
        <v>8</v>
      </c>
      <c r="AQ8" s="16">
        <v>0</v>
      </c>
      <c r="AR8" s="18">
        <v>1</v>
      </c>
      <c r="AS8" s="18">
        <v>1</v>
      </c>
      <c r="AT8" s="18">
        <v>1</v>
      </c>
      <c r="AU8" s="18">
        <v>1</v>
      </c>
      <c r="AV8" s="16">
        <v>80</v>
      </c>
      <c r="AW8" s="16">
        <v>1</v>
      </c>
      <c r="AX8" s="16">
        <v>8</v>
      </c>
      <c r="AY8" s="16">
        <v>0</v>
      </c>
      <c r="AZ8" s="21">
        <v>20</v>
      </c>
      <c r="BA8" s="21">
        <v>2</v>
      </c>
      <c r="BB8" s="21">
        <v>9</v>
      </c>
      <c r="BC8" s="21">
        <v>0</v>
      </c>
      <c r="BD8" s="21">
        <v>81</v>
      </c>
      <c r="BE8" s="21">
        <v>5</v>
      </c>
      <c r="BF8" s="21">
        <v>15</v>
      </c>
      <c r="BG8" s="21">
        <v>0</v>
      </c>
      <c r="BH8" s="21">
        <v>39</v>
      </c>
      <c r="BI8" s="21">
        <v>3</v>
      </c>
      <c r="BJ8" s="21">
        <v>33</v>
      </c>
      <c r="BK8" s="21">
        <v>0</v>
      </c>
      <c r="BL8" s="21">
        <v>40</v>
      </c>
      <c r="BM8" s="21">
        <v>5</v>
      </c>
      <c r="BN8" s="21">
        <v>8</v>
      </c>
      <c r="BO8" s="21">
        <v>1</v>
      </c>
      <c r="BP8" s="21">
        <v>49</v>
      </c>
      <c r="BQ8" s="21">
        <v>7</v>
      </c>
      <c r="BR8" s="21">
        <v>11</v>
      </c>
      <c r="BS8" s="21">
        <v>6</v>
      </c>
      <c r="BT8" s="21">
        <f>'All GAs'!AR8</f>
        <v>42</v>
      </c>
      <c r="BU8" s="21">
        <f>'All GAs'!AS8</f>
        <v>6</v>
      </c>
      <c r="BV8" s="21">
        <f>'All GAs'!AT8</f>
        <v>12</v>
      </c>
      <c r="BW8" s="21">
        <f>'All GAs'!AU8</f>
        <v>0</v>
      </c>
      <c r="BX8" s="21">
        <f>'All GAs'!AV8</f>
        <v>20</v>
      </c>
      <c r="BY8" s="21">
        <f>'All GAs'!AW8</f>
        <v>11</v>
      </c>
      <c r="BZ8" s="21">
        <f>'All GAs'!AX8</f>
        <v>30</v>
      </c>
      <c r="CA8" s="21">
        <f>'All GAs'!AY8</f>
        <v>0</v>
      </c>
      <c r="CB8" s="21">
        <f>'All GAs'!AZ8</f>
        <v>78</v>
      </c>
      <c r="CC8" s="21">
        <f>'All GAs'!BA8</f>
        <v>14</v>
      </c>
      <c r="CD8" s="21">
        <f>'All GAs'!BB8</f>
        <v>20</v>
      </c>
      <c r="CE8" s="21">
        <f>'All GAs'!BC8</f>
        <v>0</v>
      </c>
      <c r="CF8" s="21">
        <f>'All GAs'!BD8</f>
        <v>10</v>
      </c>
      <c r="CG8" s="21">
        <f>'All GAs'!BE8</f>
        <v>15</v>
      </c>
      <c r="CH8" s="21">
        <f>'All GAs'!BF8</f>
        <v>7</v>
      </c>
      <c r="CI8" s="21">
        <f>'All GAs'!BG8</f>
        <v>0</v>
      </c>
      <c r="CJ8" s="14">
        <f t="shared" si="0"/>
        <v>646</v>
      </c>
      <c r="CK8" s="14">
        <f t="shared" si="0"/>
        <v>82</v>
      </c>
      <c r="CL8" s="14">
        <f t="shared" si="0"/>
        <v>328</v>
      </c>
      <c r="CM8" s="14">
        <f t="shared" si="0"/>
        <v>8</v>
      </c>
    </row>
    <row r="9" spans="1:91" ht="56" customHeight="1" thickTop="1" thickBot="1">
      <c r="A9" s="3">
        <v>6</v>
      </c>
      <c r="B9" s="3">
        <v>10.45</v>
      </c>
      <c r="C9" s="3" t="s">
        <v>7</v>
      </c>
      <c r="D9" s="4">
        <v>15000</v>
      </c>
      <c r="E9" s="4">
        <v>20000</v>
      </c>
      <c r="F9" s="4">
        <v>30000</v>
      </c>
      <c r="G9" s="5">
        <v>5</v>
      </c>
      <c r="H9" s="6">
        <v>19639</v>
      </c>
      <c r="I9" s="6">
        <v>2884</v>
      </c>
      <c r="J9" s="6">
        <v>39248</v>
      </c>
      <c r="K9" s="7">
        <v>4</v>
      </c>
      <c r="L9" s="7">
        <v>1449</v>
      </c>
      <c r="M9" s="7">
        <v>453</v>
      </c>
      <c r="N9" s="7">
        <v>595</v>
      </c>
      <c r="O9" s="7"/>
      <c r="P9" s="16">
        <v>19</v>
      </c>
      <c r="Q9" s="16">
        <v>19</v>
      </c>
      <c r="R9" s="16">
        <v>1</v>
      </c>
      <c r="S9" s="16">
        <v>0</v>
      </c>
      <c r="T9" s="18">
        <v>18</v>
      </c>
      <c r="U9" s="18">
        <v>16</v>
      </c>
      <c r="V9" s="18">
        <v>0</v>
      </c>
      <c r="W9" s="18">
        <v>0</v>
      </c>
      <c r="X9" s="16">
        <v>16</v>
      </c>
      <c r="Y9" s="16">
        <v>12</v>
      </c>
      <c r="Z9" s="16">
        <v>0</v>
      </c>
      <c r="AA9" s="16">
        <v>0</v>
      </c>
      <c r="AB9" s="18">
        <v>32</v>
      </c>
      <c r="AC9" s="18">
        <v>26</v>
      </c>
      <c r="AD9" s="18">
        <v>0</v>
      </c>
      <c r="AE9" s="18">
        <v>0</v>
      </c>
      <c r="AF9" s="16">
        <v>32</v>
      </c>
      <c r="AG9" s="16">
        <v>26</v>
      </c>
      <c r="AH9" s="16">
        <v>0</v>
      </c>
      <c r="AI9" s="16">
        <v>0</v>
      </c>
      <c r="AJ9" s="18">
        <v>0</v>
      </c>
      <c r="AK9" s="18">
        <v>12</v>
      </c>
      <c r="AL9" s="18">
        <v>13</v>
      </c>
      <c r="AM9" s="18">
        <v>0</v>
      </c>
      <c r="AN9" s="16">
        <v>0</v>
      </c>
      <c r="AO9" s="16">
        <v>7</v>
      </c>
      <c r="AP9" s="16">
        <v>0</v>
      </c>
      <c r="AQ9" s="16">
        <v>0</v>
      </c>
      <c r="AR9" s="18">
        <v>0</v>
      </c>
      <c r="AS9" s="18">
        <v>2</v>
      </c>
      <c r="AT9" s="18">
        <v>0</v>
      </c>
      <c r="AU9" s="18">
        <v>0</v>
      </c>
      <c r="AV9" s="16">
        <v>5</v>
      </c>
      <c r="AW9" s="16">
        <v>6</v>
      </c>
      <c r="AX9" s="16">
        <v>2</v>
      </c>
      <c r="AY9" s="16">
        <v>0</v>
      </c>
      <c r="AZ9" s="21">
        <v>40</v>
      </c>
      <c r="BA9" s="21">
        <v>12</v>
      </c>
      <c r="BB9" s="21">
        <v>2</v>
      </c>
      <c r="BC9" s="21">
        <v>0</v>
      </c>
      <c r="BD9" s="21">
        <v>40</v>
      </c>
      <c r="BE9" s="21">
        <v>12</v>
      </c>
      <c r="BF9" s="21">
        <v>2</v>
      </c>
      <c r="BG9" s="21">
        <v>0</v>
      </c>
      <c r="BH9" s="21">
        <v>0</v>
      </c>
      <c r="BI9" s="21">
        <v>13</v>
      </c>
      <c r="BJ9" s="21">
        <v>11</v>
      </c>
      <c r="BK9" s="21">
        <v>0</v>
      </c>
      <c r="BL9" s="21">
        <v>94</v>
      </c>
      <c r="BM9" s="21">
        <v>18</v>
      </c>
      <c r="BN9" s="21">
        <v>0</v>
      </c>
      <c r="BO9" s="21">
        <v>0</v>
      </c>
      <c r="BP9" s="21">
        <v>10</v>
      </c>
      <c r="BQ9" s="21">
        <v>35</v>
      </c>
      <c r="BR9" s="21">
        <v>0</v>
      </c>
      <c r="BS9" s="21">
        <v>0</v>
      </c>
      <c r="BT9" s="21">
        <f>'All GAs'!AR9</f>
        <v>53</v>
      </c>
      <c r="BU9" s="21">
        <f>'All GAs'!AS9</f>
        <v>27</v>
      </c>
      <c r="BV9" s="21">
        <f>'All GAs'!AT9</f>
        <v>1</v>
      </c>
      <c r="BW9" s="21">
        <f>'All GAs'!AU9</f>
        <v>0</v>
      </c>
      <c r="BX9" s="21">
        <f>'All GAs'!AV9</f>
        <v>49</v>
      </c>
      <c r="BY9" s="21">
        <f>'All GAs'!AW9</f>
        <v>41</v>
      </c>
      <c r="BZ9" s="21">
        <f>'All GAs'!AX9</f>
        <v>99</v>
      </c>
      <c r="CA9" s="21">
        <f>'All GAs'!AY9</f>
        <v>0</v>
      </c>
      <c r="CB9" s="21">
        <f>'All GAs'!AZ9</f>
        <v>16</v>
      </c>
      <c r="CC9" s="21">
        <f>'All GAs'!BA9</f>
        <v>7</v>
      </c>
      <c r="CD9" s="21">
        <f>'All GAs'!BB9</f>
        <v>0</v>
      </c>
      <c r="CE9" s="21">
        <f>'All GAs'!BC9</f>
        <v>0</v>
      </c>
      <c r="CF9" s="21">
        <f>'All GAs'!BD9</f>
        <v>42</v>
      </c>
      <c r="CG9" s="21">
        <f>'All GAs'!BE9</f>
        <v>7</v>
      </c>
      <c r="CH9" s="21">
        <f>'All GAs'!BF9</f>
        <v>0</v>
      </c>
      <c r="CI9" s="21">
        <f>'All GAs'!BG9</f>
        <v>0</v>
      </c>
      <c r="CJ9" s="14">
        <f t="shared" si="0"/>
        <v>408</v>
      </c>
      <c r="CK9" s="14">
        <f t="shared" si="0"/>
        <v>284</v>
      </c>
      <c r="CL9" s="14">
        <f t="shared" si="0"/>
        <v>131</v>
      </c>
      <c r="CM9" s="14">
        <f t="shared" si="0"/>
        <v>0</v>
      </c>
    </row>
    <row r="10" spans="1:91" ht="56" customHeight="1" thickTop="1" thickBot="1">
      <c r="A10" s="3">
        <v>7</v>
      </c>
      <c r="B10" s="3">
        <v>9.19</v>
      </c>
      <c r="C10" s="3" t="s">
        <v>8</v>
      </c>
      <c r="D10" s="4">
        <v>15000</v>
      </c>
      <c r="E10" s="4">
        <v>12000</v>
      </c>
      <c r="F10" s="4">
        <v>30000</v>
      </c>
      <c r="G10" s="5">
        <v>5</v>
      </c>
      <c r="H10" s="6">
        <v>14983</v>
      </c>
      <c r="I10" s="6">
        <v>4198</v>
      </c>
      <c r="J10" s="6">
        <v>26569</v>
      </c>
      <c r="K10" s="7">
        <v>2</v>
      </c>
      <c r="L10" s="7">
        <v>97</v>
      </c>
      <c r="M10" s="7">
        <v>426</v>
      </c>
      <c r="N10" s="7">
        <v>18</v>
      </c>
      <c r="O10" s="7"/>
      <c r="P10" s="16">
        <v>5</v>
      </c>
      <c r="Q10" s="16">
        <v>22</v>
      </c>
      <c r="R10" s="16">
        <v>0</v>
      </c>
      <c r="S10" s="16">
        <v>0</v>
      </c>
      <c r="T10" s="18">
        <v>0</v>
      </c>
      <c r="U10" s="18">
        <v>1</v>
      </c>
      <c r="V10" s="18">
        <v>1</v>
      </c>
      <c r="W10" s="18">
        <v>0</v>
      </c>
      <c r="X10" s="16">
        <v>1</v>
      </c>
      <c r="Y10" s="16">
        <v>4</v>
      </c>
      <c r="Z10" s="16">
        <v>1</v>
      </c>
      <c r="AA10" s="16">
        <v>0</v>
      </c>
      <c r="AB10" s="18">
        <v>7</v>
      </c>
      <c r="AC10" s="18">
        <v>11</v>
      </c>
      <c r="AD10" s="18">
        <v>10</v>
      </c>
      <c r="AE10" s="18">
        <v>0</v>
      </c>
      <c r="AF10" s="16">
        <v>7</v>
      </c>
      <c r="AG10" s="16">
        <v>11</v>
      </c>
      <c r="AH10" s="16">
        <v>10</v>
      </c>
      <c r="AI10" s="16">
        <v>0</v>
      </c>
      <c r="AJ10" s="18">
        <v>0</v>
      </c>
      <c r="AK10" s="18">
        <v>6</v>
      </c>
      <c r="AL10" s="18">
        <v>0</v>
      </c>
      <c r="AM10" s="18">
        <v>1</v>
      </c>
      <c r="AN10" s="16">
        <v>1</v>
      </c>
      <c r="AO10" s="16">
        <v>8</v>
      </c>
      <c r="AP10" s="16">
        <v>0</v>
      </c>
      <c r="AQ10" s="16">
        <v>0</v>
      </c>
      <c r="AR10" s="18">
        <v>0</v>
      </c>
      <c r="AS10" s="18">
        <v>3</v>
      </c>
      <c r="AT10" s="18">
        <v>0</v>
      </c>
      <c r="AU10" s="18">
        <v>4</v>
      </c>
      <c r="AV10" s="16">
        <v>7</v>
      </c>
      <c r="AW10" s="16">
        <v>3</v>
      </c>
      <c r="AX10" s="16">
        <v>4</v>
      </c>
      <c r="AY10" s="16">
        <v>1</v>
      </c>
      <c r="AZ10" s="21">
        <v>4</v>
      </c>
      <c r="BA10" s="21">
        <v>4</v>
      </c>
      <c r="BB10" s="21">
        <v>0</v>
      </c>
      <c r="BC10" s="21">
        <v>0</v>
      </c>
      <c r="BD10" s="21">
        <v>4</v>
      </c>
      <c r="BE10" s="21">
        <v>4</v>
      </c>
      <c r="BF10" s="21">
        <v>0</v>
      </c>
      <c r="BG10" s="21">
        <v>0</v>
      </c>
      <c r="BH10" s="21">
        <v>4</v>
      </c>
      <c r="BI10" s="21">
        <v>5</v>
      </c>
      <c r="BJ10" s="21">
        <v>0</v>
      </c>
      <c r="BK10" s="21">
        <v>2</v>
      </c>
      <c r="BL10" s="21">
        <v>5</v>
      </c>
      <c r="BM10" s="21">
        <v>10</v>
      </c>
      <c r="BN10" s="21">
        <v>2</v>
      </c>
      <c r="BO10" s="21">
        <v>2</v>
      </c>
      <c r="BP10" s="21">
        <v>7</v>
      </c>
      <c r="BQ10" s="21">
        <v>5</v>
      </c>
      <c r="BR10" s="21">
        <v>1</v>
      </c>
      <c r="BS10" s="21">
        <v>0</v>
      </c>
      <c r="BT10" s="21">
        <f>'All GAs'!AR10</f>
        <v>2</v>
      </c>
      <c r="BU10" s="21">
        <f>'All GAs'!AS10</f>
        <v>11</v>
      </c>
      <c r="BV10" s="21">
        <f>'All GAs'!AT10</f>
        <v>2</v>
      </c>
      <c r="BW10" s="21">
        <f>'All GAs'!AU10</f>
        <v>0</v>
      </c>
      <c r="BX10" s="21">
        <f>'All GAs'!AV10</f>
        <v>0</v>
      </c>
      <c r="BY10" s="21">
        <f>'All GAs'!AW10</f>
        <v>49</v>
      </c>
      <c r="BZ10" s="21">
        <f>'All GAs'!AX10</f>
        <v>6</v>
      </c>
      <c r="CA10" s="21">
        <f>'All GAs'!AY10</f>
        <v>3</v>
      </c>
      <c r="CB10" s="21">
        <f>'All GAs'!AZ10</f>
        <v>0</v>
      </c>
      <c r="CC10" s="21">
        <f>'All GAs'!BA10</f>
        <v>10</v>
      </c>
      <c r="CD10" s="21">
        <f>'All GAs'!BB10</f>
        <v>4</v>
      </c>
      <c r="CE10" s="21">
        <f>'All GAs'!BC10</f>
        <v>0</v>
      </c>
      <c r="CF10" s="21">
        <f>'All GAs'!BD10</f>
        <v>2</v>
      </c>
      <c r="CG10" s="21">
        <f>'All GAs'!BE10</f>
        <v>10</v>
      </c>
      <c r="CH10" s="21">
        <f>'All GAs'!BF10</f>
        <v>0</v>
      </c>
      <c r="CI10" s="21">
        <f>'All GAs'!BG10</f>
        <v>0</v>
      </c>
      <c r="CJ10" s="14">
        <f t="shared" si="0"/>
        <v>54</v>
      </c>
      <c r="CK10" s="14">
        <f t="shared" si="0"/>
        <v>157</v>
      </c>
      <c r="CL10" s="14">
        <f t="shared" si="0"/>
        <v>37</v>
      </c>
      <c r="CM10" s="14">
        <f t="shared" si="0"/>
        <v>13</v>
      </c>
    </row>
    <row r="11" spans="1:91" s="1" customFormat="1" ht="56" customHeight="1" thickTop="1" thickBot="1">
      <c r="A11" s="8"/>
      <c r="B11" s="8"/>
      <c r="C11" s="15" t="s">
        <v>1</v>
      </c>
      <c r="D11" s="9">
        <f t="shared" ref="D11:AQ11" si="1">SUBTOTAL(9,D4:D10)</f>
        <v>110000</v>
      </c>
      <c r="E11" s="9">
        <f t="shared" si="1"/>
        <v>132000</v>
      </c>
      <c r="F11" s="9">
        <f t="shared" si="1"/>
        <v>220000</v>
      </c>
      <c r="G11" s="9">
        <f t="shared" si="1"/>
        <v>85</v>
      </c>
      <c r="H11" s="10">
        <f>SUM(H4:H10)</f>
        <v>91392</v>
      </c>
      <c r="I11" s="10">
        <f>SUM(I4:I10)</f>
        <v>10065</v>
      </c>
      <c r="J11" s="10">
        <f>SUM(J4:J10)</f>
        <v>176072</v>
      </c>
      <c r="K11" s="10">
        <v>7</v>
      </c>
      <c r="L11" s="10">
        <f>SUM(L4:L10)</f>
        <v>16574</v>
      </c>
      <c r="M11" s="10">
        <f>SUM(M4:M10)</f>
        <v>3849</v>
      </c>
      <c r="N11" s="10">
        <f>SUM(N4:N10)</f>
        <v>7255</v>
      </c>
      <c r="O11" s="10"/>
      <c r="P11" s="17">
        <f>SUM(P4:P10)</f>
        <v>205</v>
      </c>
      <c r="Q11" s="17">
        <f>SUM(Q4:Q10)</f>
        <v>301</v>
      </c>
      <c r="R11" s="17">
        <f>SUM(R4:R10)</f>
        <v>128</v>
      </c>
      <c r="S11" s="17">
        <v>0</v>
      </c>
      <c r="T11" s="19">
        <f>SUM(T4:T10)</f>
        <v>149</v>
      </c>
      <c r="U11" s="19">
        <f>SUM(U4:U10)</f>
        <v>78</v>
      </c>
      <c r="V11" s="19">
        <f>SUM(V4:V10)</f>
        <v>180</v>
      </c>
      <c r="W11" s="19">
        <v>0</v>
      </c>
      <c r="X11" s="16">
        <f>SUM(X4:X10)</f>
        <v>89</v>
      </c>
      <c r="Y11" s="16">
        <f>SUM(Y4:Y10)</f>
        <v>57</v>
      </c>
      <c r="Z11" s="16">
        <f>SUM(Z4:Z10)</f>
        <v>108</v>
      </c>
      <c r="AA11" s="16">
        <v>0</v>
      </c>
      <c r="AB11" s="18">
        <f>SUM(AB4:AB10)</f>
        <v>234</v>
      </c>
      <c r="AC11" s="18">
        <f>SUM(AC4:AC10)</f>
        <v>98</v>
      </c>
      <c r="AD11" s="18">
        <f>SUM(AD4:AD10)</f>
        <v>230</v>
      </c>
      <c r="AE11" s="18">
        <v>0</v>
      </c>
      <c r="AF11" s="16">
        <f t="shared" si="1"/>
        <v>234</v>
      </c>
      <c r="AG11" s="16">
        <f t="shared" si="1"/>
        <v>98</v>
      </c>
      <c r="AH11" s="16">
        <f t="shared" si="1"/>
        <v>230</v>
      </c>
      <c r="AI11" s="16">
        <f t="shared" si="1"/>
        <v>0</v>
      </c>
      <c r="AJ11" s="18">
        <f t="shared" si="1"/>
        <v>146</v>
      </c>
      <c r="AK11" s="18">
        <f t="shared" si="1"/>
        <v>60</v>
      </c>
      <c r="AL11" s="18">
        <f t="shared" si="1"/>
        <v>67</v>
      </c>
      <c r="AM11" s="18">
        <f t="shared" si="1"/>
        <v>2</v>
      </c>
      <c r="AN11" s="16">
        <f t="shared" si="1"/>
        <v>94</v>
      </c>
      <c r="AO11" s="16">
        <f t="shared" si="1"/>
        <v>30</v>
      </c>
      <c r="AP11" s="16">
        <f t="shared" si="1"/>
        <v>43</v>
      </c>
      <c r="AQ11" s="16">
        <f t="shared" si="1"/>
        <v>0</v>
      </c>
      <c r="AR11" s="18">
        <f t="shared" ref="AR11:AY11" si="2">SUM(AR4:AR10)</f>
        <v>13</v>
      </c>
      <c r="AS11" s="18">
        <f t="shared" si="2"/>
        <v>23</v>
      </c>
      <c r="AT11" s="18">
        <f t="shared" si="2"/>
        <v>63</v>
      </c>
      <c r="AU11" s="18">
        <f t="shared" si="2"/>
        <v>7</v>
      </c>
      <c r="AV11" s="16">
        <f t="shared" si="2"/>
        <v>282</v>
      </c>
      <c r="AW11" s="16">
        <f t="shared" si="2"/>
        <v>35</v>
      </c>
      <c r="AX11" s="16">
        <f t="shared" si="2"/>
        <v>67</v>
      </c>
      <c r="AY11" s="16">
        <f t="shared" si="2"/>
        <v>1</v>
      </c>
      <c r="AZ11" s="16">
        <f t="shared" ref="AZ11" si="3">SUM(AZ4:AZ10)</f>
        <v>108</v>
      </c>
      <c r="BA11" s="16">
        <f t="shared" ref="BA11" si="4">SUM(BA4:BA10)</f>
        <v>51</v>
      </c>
      <c r="BB11" s="16">
        <f t="shared" ref="BB11" si="5">SUM(BB4:BB10)</f>
        <v>52</v>
      </c>
      <c r="BC11" s="16">
        <f t="shared" ref="BC11:BS11" si="6">SUM(BC4:BC10)</f>
        <v>0</v>
      </c>
      <c r="BD11" s="16">
        <f t="shared" si="6"/>
        <v>245</v>
      </c>
      <c r="BE11" s="16">
        <f t="shared" si="6"/>
        <v>69</v>
      </c>
      <c r="BF11" s="16">
        <f t="shared" si="6"/>
        <v>74</v>
      </c>
      <c r="BG11" s="16">
        <f t="shared" si="6"/>
        <v>0</v>
      </c>
      <c r="BH11" s="16">
        <f t="shared" si="6"/>
        <v>174</v>
      </c>
      <c r="BI11" s="16">
        <f t="shared" si="6"/>
        <v>71</v>
      </c>
      <c r="BJ11" s="16">
        <f t="shared" si="6"/>
        <v>96</v>
      </c>
      <c r="BK11" s="16">
        <f t="shared" si="6"/>
        <v>2</v>
      </c>
      <c r="BL11" s="16">
        <f t="shared" si="6"/>
        <v>226</v>
      </c>
      <c r="BM11" s="16">
        <f t="shared" si="6"/>
        <v>83</v>
      </c>
      <c r="BN11" s="16">
        <f t="shared" si="6"/>
        <v>73</v>
      </c>
      <c r="BO11" s="16">
        <f t="shared" si="6"/>
        <v>4</v>
      </c>
      <c r="BP11" s="16">
        <f t="shared" si="6"/>
        <v>150</v>
      </c>
      <c r="BQ11" s="16">
        <f t="shared" si="6"/>
        <v>104</v>
      </c>
      <c r="BR11" s="16">
        <f t="shared" si="6"/>
        <v>81</v>
      </c>
      <c r="BS11" s="16">
        <f t="shared" si="6"/>
        <v>6</v>
      </c>
      <c r="BT11" s="21">
        <f>SUM(BT4:BT10)</f>
        <v>236</v>
      </c>
      <c r="BU11" s="21">
        <f t="shared" ref="BU11:CA11" si="7">SUM(BU4:BU10)</f>
        <v>110</v>
      </c>
      <c r="BV11" s="21">
        <f t="shared" si="7"/>
        <v>91</v>
      </c>
      <c r="BW11" s="21">
        <f t="shared" si="7"/>
        <v>0</v>
      </c>
      <c r="BX11" s="21">
        <f>SUM(BX4:BX10)</f>
        <v>117</v>
      </c>
      <c r="BY11" s="21">
        <f t="shared" si="7"/>
        <v>163</v>
      </c>
      <c r="BZ11" s="21">
        <f t="shared" si="7"/>
        <v>209</v>
      </c>
      <c r="CA11" s="21">
        <f t="shared" si="7"/>
        <v>4</v>
      </c>
      <c r="CB11" s="21">
        <f>SUM(CB4:CB10)</f>
        <v>189</v>
      </c>
      <c r="CC11" s="21">
        <f t="shared" ref="CC11:CE11" si="8">SUM(CC4:CC10)</f>
        <v>85</v>
      </c>
      <c r="CD11" s="21">
        <f t="shared" si="8"/>
        <v>108</v>
      </c>
      <c r="CE11" s="21">
        <f t="shared" si="8"/>
        <v>0</v>
      </c>
      <c r="CF11" s="21">
        <f>SUM(CF4:CF10)</f>
        <v>181</v>
      </c>
      <c r="CG11" s="21">
        <f t="shared" ref="CG11:CI11" si="9">SUM(CG4:CG10)</f>
        <v>83</v>
      </c>
      <c r="CH11" s="21">
        <f t="shared" si="9"/>
        <v>57</v>
      </c>
      <c r="CI11" s="21">
        <f t="shared" si="9"/>
        <v>0</v>
      </c>
      <c r="CJ11" s="14">
        <f>SUM(CJ4:CJ10)</f>
        <v>2702</v>
      </c>
      <c r="CK11" s="14">
        <f t="shared" ref="CK11:CM11" si="10">SUM(CK4:CK10)</f>
        <v>1431</v>
      </c>
      <c r="CL11" s="14">
        <f t="shared" si="10"/>
        <v>1792</v>
      </c>
      <c r="CM11" s="14">
        <f t="shared" si="10"/>
        <v>26</v>
      </c>
    </row>
    <row r="12" spans="1:91" ht="56" customHeight="1" thickTop="1" thickBot="1">
      <c r="A12" s="227" t="s">
        <v>32</v>
      </c>
      <c r="B12" s="228"/>
      <c r="C12" s="228"/>
      <c r="D12" s="228"/>
      <c r="E12" s="228"/>
      <c r="F12" s="228"/>
      <c r="G12" s="229"/>
      <c r="H12" s="10" t="s">
        <v>30</v>
      </c>
      <c r="I12" s="11">
        <v>12266</v>
      </c>
      <c r="J12" s="10" t="s">
        <v>31</v>
      </c>
      <c r="K12" s="13" t="s">
        <v>33</v>
      </c>
      <c r="L12" s="13"/>
      <c r="M12" s="13"/>
      <c r="N12" s="13"/>
      <c r="O12" s="13"/>
      <c r="P12" s="12"/>
      <c r="Q12" s="12"/>
      <c r="R12" s="12"/>
      <c r="S12" s="12"/>
      <c r="T12" s="12"/>
      <c r="U12" s="12"/>
      <c r="V12" s="12"/>
      <c r="W12" s="12"/>
      <c r="X12" s="16"/>
      <c r="Y12" s="16"/>
      <c r="Z12" s="16"/>
      <c r="AA12" s="16"/>
      <c r="AB12" s="18"/>
      <c r="AC12" s="18"/>
      <c r="AD12" s="18"/>
      <c r="AE12" s="18"/>
      <c r="AF12" s="16"/>
      <c r="AG12" s="12"/>
      <c r="AH12" s="12"/>
      <c r="AI12" s="12"/>
      <c r="AJ12" s="12"/>
      <c r="AK12" s="12"/>
      <c r="AL12" s="12"/>
      <c r="AM12" s="12"/>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12"/>
      <c r="CK12" s="12"/>
      <c r="CL12" s="12"/>
      <c r="CM12" s="12"/>
    </row>
    <row r="13" spans="1:91" ht="56" customHeight="1" thickTop="1"/>
    <row r="14" spans="1:91" ht="56" customHeight="1">
      <c r="BK14">
        <v>10829</v>
      </c>
    </row>
  </sheetData>
  <mergeCells count="70">
    <mergeCell ref="CF1:CI1"/>
    <mergeCell ref="CF2:CH2"/>
    <mergeCell ref="CI2:CI3"/>
    <mergeCell ref="CB2:CD2"/>
    <mergeCell ref="CE2:CE3"/>
    <mergeCell ref="CB1:CE1"/>
    <mergeCell ref="AB1:AE1"/>
    <mergeCell ref="BT2:BV2"/>
    <mergeCell ref="BW2:BW3"/>
    <mergeCell ref="BT1:BW1"/>
    <mergeCell ref="AZ2:BB2"/>
    <mergeCell ref="AV1:AY1"/>
    <mergeCell ref="AY2:AY3"/>
    <mergeCell ref="BH1:BK1"/>
    <mergeCell ref="BH2:BJ2"/>
    <mergeCell ref="BK2:BK3"/>
    <mergeCell ref="BX1:CA1"/>
    <mergeCell ref="BX2:BZ2"/>
    <mergeCell ref="CA2:CA3"/>
    <mergeCell ref="BL1:BO1"/>
    <mergeCell ref="BL2:BN2"/>
    <mergeCell ref="BO2:BO3"/>
    <mergeCell ref="CJ1:CM1"/>
    <mergeCell ref="CJ2:CL2"/>
    <mergeCell ref="CM2:CM3"/>
    <mergeCell ref="AJ1:AM1"/>
    <mergeCell ref="AJ2:AL2"/>
    <mergeCell ref="AM2:AM3"/>
    <mergeCell ref="BD1:BG1"/>
    <mergeCell ref="BD2:BF2"/>
    <mergeCell ref="BG2:BG3"/>
    <mergeCell ref="AN2:AP2"/>
    <mergeCell ref="AQ2:AQ3"/>
    <mergeCell ref="AZ1:BC1"/>
    <mergeCell ref="BP1:BS1"/>
    <mergeCell ref="BP2:BR2"/>
    <mergeCell ref="BS2:BS3"/>
    <mergeCell ref="BC2:BC3"/>
    <mergeCell ref="A12:G12"/>
    <mergeCell ref="H1:K1"/>
    <mergeCell ref="H2:J2"/>
    <mergeCell ref="K2:K3"/>
    <mergeCell ref="AF1:AI1"/>
    <mergeCell ref="AF2:AH2"/>
    <mergeCell ref="AI2:AI3"/>
    <mergeCell ref="P1:S1"/>
    <mergeCell ref="P2:R2"/>
    <mergeCell ref="S2:S3"/>
    <mergeCell ref="L1:O1"/>
    <mergeCell ref="L2:N2"/>
    <mergeCell ref="A2:A3"/>
    <mergeCell ref="A1:G1"/>
    <mergeCell ref="C2:C3"/>
    <mergeCell ref="D2:F2"/>
    <mergeCell ref="B2:B3"/>
    <mergeCell ref="AV2:AX2"/>
    <mergeCell ref="AN1:AQ1"/>
    <mergeCell ref="G2:G3"/>
    <mergeCell ref="AR1:AU1"/>
    <mergeCell ref="AR2:AT2"/>
    <mergeCell ref="AU2:AU3"/>
    <mergeCell ref="T1:W1"/>
    <mergeCell ref="T2:V2"/>
    <mergeCell ref="W2:W3"/>
    <mergeCell ref="X1:AA1"/>
    <mergeCell ref="X2:Z2"/>
    <mergeCell ref="AA2:AA3"/>
    <mergeCell ref="O2:O3"/>
    <mergeCell ref="AE2:AE3"/>
    <mergeCell ref="AB2:AD2"/>
  </mergeCells>
  <pageMargins left="0.7" right="0.7" top="0.75" bottom="0.75" header="0.3" footer="0.3"/>
  <pageSetup paperSize="9" scale="2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3E1D4-8407-4CEB-BB25-5CE696704A5F}">
  <sheetPr>
    <pageSetUpPr fitToPage="1"/>
  </sheetPr>
  <dimension ref="A1:BK22"/>
  <sheetViews>
    <sheetView zoomScale="70" zoomScaleNormal="70" workbookViewId="0">
      <selection activeCell="AV4" sqref="AV4:BG14"/>
    </sheetView>
  </sheetViews>
  <sheetFormatPr defaultRowHeight="23.5" customHeight="1"/>
  <cols>
    <col min="1" max="1" width="9.54296875" bestFit="1" customWidth="1"/>
    <col min="2" max="2" width="14.1796875" customWidth="1"/>
    <col min="3" max="3" width="14.26953125" customWidth="1"/>
    <col min="4" max="4" width="12.1796875" customWidth="1"/>
    <col min="5" max="5" width="11.453125" customWidth="1"/>
    <col min="6" max="6" width="11.36328125" customWidth="1"/>
    <col min="7" max="7" width="7.81640625" customWidth="1"/>
    <col min="8" max="8" width="12.36328125" customWidth="1"/>
    <col min="9" max="9" width="8.54296875" customWidth="1"/>
    <col min="10" max="10" width="10.81640625" customWidth="1"/>
    <col min="11" max="59" width="8.54296875" customWidth="1"/>
    <col min="60" max="60" width="11.08984375" customWidth="1"/>
    <col min="61" max="61" width="8.54296875" customWidth="1"/>
    <col min="62" max="62" width="10.1796875" customWidth="1"/>
    <col min="63" max="63" width="8.54296875" customWidth="1"/>
  </cols>
  <sheetData>
    <row r="1" spans="1:63" ht="17" customHeight="1" thickTop="1">
      <c r="A1" s="242" t="s">
        <v>9</v>
      </c>
      <c r="B1" s="242" t="s">
        <v>39</v>
      </c>
      <c r="C1" s="245" t="s">
        <v>40</v>
      </c>
      <c r="D1" s="248" t="s">
        <v>41</v>
      </c>
      <c r="E1" s="240"/>
      <c r="F1" s="240"/>
      <c r="G1" s="249"/>
      <c r="H1" s="250" t="s">
        <v>42</v>
      </c>
      <c r="I1" s="251"/>
      <c r="J1" s="251"/>
      <c r="K1" s="252"/>
      <c r="L1" s="250" t="s">
        <v>43</v>
      </c>
      <c r="M1" s="251"/>
      <c r="N1" s="251"/>
      <c r="O1" s="252"/>
      <c r="P1" s="236" t="s">
        <v>44</v>
      </c>
      <c r="Q1" s="237"/>
      <c r="R1" s="237"/>
      <c r="S1" s="238"/>
      <c r="T1" s="236" t="s">
        <v>74</v>
      </c>
      <c r="U1" s="237"/>
      <c r="V1" s="237"/>
      <c r="W1" s="238"/>
      <c r="X1" s="236" t="s">
        <v>78</v>
      </c>
      <c r="Y1" s="237"/>
      <c r="Z1" s="237"/>
      <c r="AA1" s="238"/>
      <c r="AB1" s="236" t="s">
        <v>79</v>
      </c>
      <c r="AC1" s="237"/>
      <c r="AD1" s="237"/>
      <c r="AE1" s="238"/>
      <c r="AF1" s="236" t="s">
        <v>222</v>
      </c>
      <c r="AG1" s="237"/>
      <c r="AH1" s="237"/>
      <c r="AI1" s="238"/>
      <c r="AJ1" s="236" t="s">
        <v>477</v>
      </c>
      <c r="AK1" s="237"/>
      <c r="AL1" s="237"/>
      <c r="AM1" s="238"/>
      <c r="AN1" s="236" t="s">
        <v>485</v>
      </c>
      <c r="AO1" s="237"/>
      <c r="AP1" s="237"/>
      <c r="AQ1" s="238"/>
      <c r="AR1" s="236" t="s">
        <v>503</v>
      </c>
      <c r="AS1" s="237"/>
      <c r="AT1" s="237"/>
      <c r="AU1" s="238"/>
      <c r="AV1" s="236" t="s">
        <v>510</v>
      </c>
      <c r="AW1" s="237"/>
      <c r="AX1" s="237"/>
      <c r="AY1" s="238"/>
      <c r="AZ1" s="236" t="s">
        <v>558</v>
      </c>
      <c r="BA1" s="237"/>
      <c r="BB1" s="237"/>
      <c r="BC1" s="238"/>
      <c r="BD1" s="236" t="s">
        <v>560</v>
      </c>
      <c r="BE1" s="237"/>
      <c r="BF1" s="237"/>
      <c r="BG1" s="238"/>
      <c r="BH1" s="239" t="s">
        <v>45</v>
      </c>
      <c r="BI1" s="240"/>
      <c r="BJ1" s="240"/>
      <c r="BK1" s="241"/>
    </row>
    <row r="2" spans="1:63" ht="18.5" customHeight="1">
      <c r="A2" s="243"/>
      <c r="B2" s="243"/>
      <c r="C2" s="246"/>
      <c r="D2" s="22" t="s">
        <v>28</v>
      </c>
      <c r="E2" s="23" t="s">
        <v>29</v>
      </c>
      <c r="F2" s="23" t="s">
        <v>46</v>
      </c>
      <c r="G2" s="24" t="s">
        <v>47</v>
      </c>
      <c r="H2" s="25" t="s">
        <v>28</v>
      </c>
      <c r="I2" s="23" t="s">
        <v>29</v>
      </c>
      <c r="J2" s="23" t="s">
        <v>46</v>
      </c>
      <c r="K2" s="26" t="s">
        <v>47</v>
      </c>
      <c r="L2" s="25" t="s">
        <v>28</v>
      </c>
      <c r="M2" s="23" t="s">
        <v>29</v>
      </c>
      <c r="N2" s="23" t="s">
        <v>46</v>
      </c>
      <c r="O2" s="26" t="s">
        <v>47</v>
      </c>
      <c r="P2" s="25" t="s">
        <v>28</v>
      </c>
      <c r="Q2" s="23" t="s">
        <v>29</v>
      </c>
      <c r="R2" s="23" t="s">
        <v>46</v>
      </c>
      <c r="S2" s="26" t="s">
        <v>47</v>
      </c>
      <c r="T2" s="25" t="s">
        <v>28</v>
      </c>
      <c r="U2" s="23" t="s">
        <v>29</v>
      </c>
      <c r="V2" s="23" t="s">
        <v>46</v>
      </c>
      <c r="W2" s="26" t="s">
        <v>47</v>
      </c>
      <c r="X2" s="25" t="s">
        <v>28</v>
      </c>
      <c r="Y2" s="23" t="s">
        <v>29</v>
      </c>
      <c r="Z2" s="23" t="s">
        <v>46</v>
      </c>
      <c r="AA2" s="26" t="s">
        <v>47</v>
      </c>
      <c r="AB2" s="25" t="s">
        <v>28</v>
      </c>
      <c r="AC2" s="23" t="s">
        <v>29</v>
      </c>
      <c r="AD2" s="23" t="s">
        <v>46</v>
      </c>
      <c r="AE2" s="26" t="s">
        <v>47</v>
      </c>
      <c r="AF2" s="25" t="s">
        <v>28</v>
      </c>
      <c r="AG2" s="23" t="s">
        <v>29</v>
      </c>
      <c r="AH2" s="23" t="s">
        <v>46</v>
      </c>
      <c r="AI2" s="26" t="s">
        <v>47</v>
      </c>
      <c r="AJ2" s="25" t="s">
        <v>28</v>
      </c>
      <c r="AK2" s="23" t="s">
        <v>29</v>
      </c>
      <c r="AL2" s="23" t="s">
        <v>46</v>
      </c>
      <c r="AM2" s="26" t="s">
        <v>47</v>
      </c>
      <c r="AN2" s="25" t="s">
        <v>28</v>
      </c>
      <c r="AO2" s="23" t="s">
        <v>29</v>
      </c>
      <c r="AP2" s="23" t="s">
        <v>46</v>
      </c>
      <c r="AQ2" s="26" t="s">
        <v>47</v>
      </c>
      <c r="AR2" s="25" t="s">
        <v>28</v>
      </c>
      <c r="AS2" s="23" t="s">
        <v>29</v>
      </c>
      <c r="AT2" s="23" t="s">
        <v>46</v>
      </c>
      <c r="AU2" s="26" t="s">
        <v>47</v>
      </c>
      <c r="AV2" s="25" t="s">
        <v>28</v>
      </c>
      <c r="AW2" s="23" t="s">
        <v>29</v>
      </c>
      <c r="AX2" s="23" t="s">
        <v>46</v>
      </c>
      <c r="AY2" s="26" t="s">
        <v>47</v>
      </c>
      <c r="AZ2" s="25" t="s">
        <v>28</v>
      </c>
      <c r="BA2" s="23" t="s">
        <v>29</v>
      </c>
      <c r="BB2" s="23" t="s">
        <v>46</v>
      </c>
      <c r="BC2" s="26" t="s">
        <v>47</v>
      </c>
      <c r="BD2" s="25" t="s">
        <v>28</v>
      </c>
      <c r="BE2" s="23" t="s">
        <v>29</v>
      </c>
      <c r="BF2" s="23" t="s">
        <v>46</v>
      </c>
      <c r="BG2" s="26" t="s">
        <v>47</v>
      </c>
      <c r="BH2" s="27" t="s">
        <v>28</v>
      </c>
      <c r="BI2" s="23" t="s">
        <v>29</v>
      </c>
      <c r="BJ2" s="23" t="s">
        <v>46</v>
      </c>
      <c r="BK2" s="28" t="s">
        <v>47</v>
      </c>
    </row>
    <row r="3" spans="1:63" ht="21" customHeight="1" thickBot="1">
      <c r="A3" s="244"/>
      <c r="B3" s="244"/>
      <c r="C3" s="247"/>
      <c r="D3" s="22" t="s">
        <v>48</v>
      </c>
      <c r="E3" s="23" t="s">
        <v>49</v>
      </c>
      <c r="F3" s="23" t="s">
        <v>49</v>
      </c>
      <c r="G3" s="24" t="s">
        <v>50</v>
      </c>
      <c r="H3" s="29" t="s">
        <v>48</v>
      </c>
      <c r="I3" s="30" t="s">
        <v>49</v>
      </c>
      <c r="J3" s="30" t="s">
        <v>49</v>
      </c>
      <c r="K3" s="31" t="s">
        <v>50</v>
      </c>
      <c r="L3" s="25" t="s">
        <v>48</v>
      </c>
      <c r="M3" s="23" t="s">
        <v>49</v>
      </c>
      <c r="N3" s="23" t="s">
        <v>49</v>
      </c>
      <c r="O3" s="26" t="s">
        <v>50</v>
      </c>
      <c r="P3" s="25" t="s">
        <v>48</v>
      </c>
      <c r="Q3" s="23" t="s">
        <v>49</v>
      </c>
      <c r="R3" s="23" t="s">
        <v>49</v>
      </c>
      <c r="S3" s="26" t="s">
        <v>50</v>
      </c>
      <c r="T3" s="25" t="s">
        <v>48</v>
      </c>
      <c r="U3" s="23" t="s">
        <v>49</v>
      </c>
      <c r="V3" s="23" t="s">
        <v>49</v>
      </c>
      <c r="W3" s="26" t="s">
        <v>50</v>
      </c>
      <c r="X3" s="25" t="s">
        <v>48</v>
      </c>
      <c r="Y3" s="23" t="s">
        <v>49</v>
      </c>
      <c r="Z3" s="23" t="s">
        <v>49</v>
      </c>
      <c r="AA3" s="24" t="s">
        <v>50</v>
      </c>
      <c r="AB3" s="23" t="s">
        <v>48</v>
      </c>
      <c r="AC3" s="23" t="s">
        <v>49</v>
      </c>
      <c r="AD3" s="23" t="s">
        <v>49</v>
      </c>
      <c r="AE3" s="23" t="s">
        <v>50</v>
      </c>
      <c r="AF3" s="23" t="s">
        <v>48</v>
      </c>
      <c r="AG3" s="23" t="s">
        <v>49</v>
      </c>
      <c r="AH3" s="23" t="s">
        <v>49</v>
      </c>
      <c r="AI3" s="23" t="s">
        <v>50</v>
      </c>
      <c r="AJ3" s="29" t="s">
        <v>48</v>
      </c>
      <c r="AK3" s="30" t="s">
        <v>49</v>
      </c>
      <c r="AL3" s="30" t="s">
        <v>49</v>
      </c>
      <c r="AM3" s="31" t="s">
        <v>50</v>
      </c>
      <c r="AN3" s="29" t="s">
        <v>48</v>
      </c>
      <c r="AO3" s="30" t="s">
        <v>49</v>
      </c>
      <c r="AP3" s="30" t="s">
        <v>49</v>
      </c>
      <c r="AQ3" s="31" t="s">
        <v>50</v>
      </c>
      <c r="AR3" s="29" t="s">
        <v>48</v>
      </c>
      <c r="AS3" s="30" t="s">
        <v>49</v>
      </c>
      <c r="AT3" s="30" t="s">
        <v>49</v>
      </c>
      <c r="AU3" s="31" t="s">
        <v>50</v>
      </c>
      <c r="AV3" s="29" t="s">
        <v>48</v>
      </c>
      <c r="AW3" s="30" t="s">
        <v>49</v>
      </c>
      <c r="AX3" s="30" t="s">
        <v>49</v>
      </c>
      <c r="AY3" s="31" t="s">
        <v>50</v>
      </c>
      <c r="AZ3" s="29" t="s">
        <v>48</v>
      </c>
      <c r="BA3" s="30" t="s">
        <v>49</v>
      </c>
      <c r="BB3" s="30" t="s">
        <v>49</v>
      </c>
      <c r="BC3" s="31" t="s">
        <v>50</v>
      </c>
      <c r="BD3" s="29" t="s">
        <v>48</v>
      </c>
      <c r="BE3" s="30" t="s">
        <v>49</v>
      </c>
      <c r="BF3" s="30" t="s">
        <v>49</v>
      </c>
      <c r="BG3" s="31" t="s">
        <v>50</v>
      </c>
      <c r="BH3" s="27" t="s">
        <v>48</v>
      </c>
      <c r="BI3" s="23" t="s">
        <v>49</v>
      </c>
      <c r="BJ3" s="23" t="s">
        <v>49</v>
      </c>
      <c r="BK3" s="28" t="s">
        <v>50</v>
      </c>
    </row>
    <row r="4" spans="1:63" ht="34.5" customHeight="1">
      <c r="A4" s="32">
        <v>10.37</v>
      </c>
      <c r="B4" s="33" t="s">
        <v>51</v>
      </c>
      <c r="C4" s="34" t="s">
        <v>52</v>
      </c>
      <c r="D4" s="35">
        <v>15000</v>
      </c>
      <c r="E4" s="36">
        <v>20000</v>
      </c>
      <c r="F4" s="36">
        <v>30000</v>
      </c>
      <c r="G4" s="37">
        <v>5</v>
      </c>
      <c r="H4" s="38">
        <v>894</v>
      </c>
      <c r="I4" s="39">
        <v>418</v>
      </c>
      <c r="J4" s="39">
        <v>650</v>
      </c>
      <c r="K4" s="40">
        <v>0</v>
      </c>
      <c r="L4" s="41">
        <v>4</v>
      </c>
      <c r="M4" s="42">
        <v>8</v>
      </c>
      <c r="N4" s="42">
        <v>5</v>
      </c>
      <c r="O4" s="43">
        <v>0</v>
      </c>
      <c r="P4" s="44">
        <v>0</v>
      </c>
      <c r="Q4" s="45">
        <v>9</v>
      </c>
      <c r="R4" s="45">
        <v>3</v>
      </c>
      <c r="S4" s="46">
        <v>0</v>
      </c>
      <c r="T4" s="47">
        <f>'Focused GAs -MOPNG DATA'!AZ4</f>
        <v>0</v>
      </c>
      <c r="U4" s="48">
        <f>'Focused GAs -MOPNG DATA'!BA4</f>
        <v>15</v>
      </c>
      <c r="V4" s="48">
        <f>'Focused GAs -MOPNG DATA'!BB4</f>
        <v>3</v>
      </c>
      <c r="W4" s="49">
        <f>'Focused GAs -MOPNG DATA'!BC4</f>
        <v>0</v>
      </c>
      <c r="X4" s="41">
        <f>'Focused GAs -MOPNG DATA'!BD4</f>
        <v>0</v>
      </c>
      <c r="Y4" s="42">
        <f>'Focused GAs -MOPNG DATA'!BE4</f>
        <v>15</v>
      </c>
      <c r="Z4" s="42">
        <f>'Focused GAs -MOPNG DATA'!BF4</f>
        <v>3</v>
      </c>
      <c r="AA4" s="82">
        <f>'Focused GAs -MOPNG DATA'!BG4</f>
        <v>0</v>
      </c>
      <c r="AB4" s="85">
        <f>'Focused GAs -MOPNG DATA'!BH4</f>
        <v>20</v>
      </c>
      <c r="AC4" s="85">
        <f>'Focused GAs -MOPNG DATA'!BI4</f>
        <v>14</v>
      </c>
      <c r="AD4" s="85">
        <f>'Focused GAs -MOPNG DATA'!BJ4</f>
        <v>5</v>
      </c>
      <c r="AE4" s="85">
        <f>'Focused GAs -MOPNG DATA'!BK4</f>
        <v>0</v>
      </c>
      <c r="AF4" s="48">
        <f>'Focused GAs -MOPNG DATA'!BL4</f>
        <v>7</v>
      </c>
      <c r="AG4" s="48">
        <f>'Focused GAs -MOPNG DATA'!BM4</f>
        <v>14</v>
      </c>
      <c r="AH4" s="48">
        <f>'Focused GAs -MOPNG DATA'!BN4</f>
        <v>3</v>
      </c>
      <c r="AI4" s="48">
        <f>'Focused GAs -MOPNG DATA'!BO4</f>
        <v>0</v>
      </c>
      <c r="AJ4" s="42">
        <f>'Focused GAs -MOPNG DATA'!BP4</f>
        <v>12</v>
      </c>
      <c r="AK4" s="42">
        <f>'Focused GAs -MOPNG DATA'!BQ4</f>
        <v>18</v>
      </c>
      <c r="AL4" s="42">
        <f>'Focused GAs -MOPNG DATA'!BR4</f>
        <v>3</v>
      </c>
      <c r="AM4" s="42">
        <f>'Focused GAs -MOPNG DATA'!BS4</f>
        <v>0</v>
      </c>
      <c r="AN4" s="124">
        <v>10</v>
      </c>
      <c r="AO4" s="124">
        <v>18</v>
      </c>
      <c r="AP4" s="124">
        <v>5</v>
      </c>
      <c r="AQ4" s="124">
        <v>0</v>
      </c>
      <c r="AR4" s="134">
        <v>10</v>
      </c>
      <c r="AS4" s="134">
        <v>16</v>
      </c>
      <c r="AT4" s="134">
        <v>10</v>
      </c>
      <c r="AU4" s="134">
        <v>0</v>
      </c>
      <c r="AV4" s="165">
        <v>7</v>
      </c>
      <c r="AW4" s="165">
        <v>17</v>
      </c>
      <c r="AX4" s="165">
        <v>10</v>
      </c>
      <c r="AY4" s="165">
        <v>0</v>
      </c>
      <c r="AZ4" s="173">
        <v>8</v>
      </c>
      <c r="BA4" s="173">
        <v>20</v>
      </c>
      <c r="BB4" s="173">
        <v>5</v>
      </c>
      <c r="BC4" s="173">
        <v>0</v>
      </c>
      <c r="BD4" s="134">
        <v>7</v>
      </c>
      <c r="BE4" s="134">
        <v>14</v>
      </c>
      <c r="BF4" s="134">
        <v>5</v>
      </c>
      <c r="BG4" s="134">
        <v>0</v>
      </c>
      <c r="BH4" s="50">
        <f>L4+P4+X4+AB4+AF4+AN4+AR4+AV4+AZ4</f>
        <v>66</v>
      </c>
      <c r="BI4" s="50">
        <f t="shared" ref="BI4:BK4" si="0">M4+Q4+Y4+AC4+AG4+AO4+AS4+AW4+BA4</f>
        <v>131</v>
      </c>
      <c r="BJ4" s="50">
        <f t="shared" si="0"/>
        <v>49</v>
      </c>
      <c r="BK4" s="50">
        <f t="shared" si="0"/>
        <v>0</v>
      </c>
    </row>
    <row r="5" spans="1:63" ht="45" customHeight="1">
      <c r="A5" s="32">
        <v>10.47</v>
      </c>
      <c r="B5" s="51" t="s">
        <v>53</v>
      </c>
      <c r="C5" s="34" t="s">
        <v>54</v>
      </c>
      <c r="D5" s="35">
        <v>15000</v>
      </c>
      <c r="E5" s="36">
        <v>20000</v>
      </c>
      <c r="F5" s="36">
        <v>30000</v>
      </c>
      <c r="G5" s="37">
        <v>20</v>
      </c>
      <c r="H5" s="52">
        <f>3113+29</f>
        <v>3142</v>
      </c>
      <c r="I5" s="53">
        <f>544+27</f>
        <v>571</v>
      </c>
      <c r="J5" s="53">
        <f>2694+37</f>
        <v>2731</v>
      </c>
      <c r="K5" s="54">
        <v>1</v>
      </c>
      <c r="L5" s="41">
        <v>4</v>
      </c>
      <c r="M5" s="42">
        <v>5</v>
      </c>
      <c r="N5" s="42">
        <v>5</v>
      </c>
      <c r="O5" s="43">
        <v>1</v>
      </c>
      <c r="P5" s="44">
        <v>115</v>
      </c>
      <c r="Q5" s="45">
        <v>7</v>
      </c>
      <c r="R5" s="45">
        <v>5</v>
      </c>
      <c r="S5" s="46">
        <v>0</v>
      </c>
      <c r="T5" s="47">
        <f>'Focused GAs -MOPNG DATA'!AZ5</f>
        <v>3</v>
      </c>
      <c r="U5" s="48">
        <f>'Focused GAs -MOPNG DATA'!BA5</f>
        <v>8</v>
      </c>
      <c r="V5" s="48">
        <f>'Focused GAs -MOPNG DATA'!BB5</f>
        <v>4</v>
      </c>
      <c r="W5" s="49">
        <f>'Focused GAs -MOPNG DATA'!BC5</f>
        <v>0</v>
      </c>
      <c r="X5" s="41">
        <f>'Focused GAs -MOPNG DATA'!BD5</f>
        <v>68</v>
      </c>
      <c r="Y5" s="42">
        <f>'Focused GAs -MOPNG DATA'!BE5</f>
        <v>15</v>
      </c>
      <c r="Z5" s="42">
        <f>'Focused GAs -MOPNG DATA'!BF5</f>
        <v>17</v>
      </c>
      <c r="AA5" s="82">
        <f>'Focused GAs -MOPNG DATA'!BG5</f>
        <v>0</v>
      </c>
      <c r="AB5" s="85">
        <f>'Focused GAs -MOPNG DATA'!BH5</f>
        <v>61</v>
      </c>
      <c r="AC5" s="85">
        <f>'Focused GAs -MOPNG DATA'!BI5</f>
        <v>18</v>
      </c>
      <c r="AD5" s="85">
        <f>'Focused GAs -MOPNG DATA'!BJ5</f>
        <v>9</v>
      </c>
      <c r="AE5" s="85">
        <f>'Focused GAs -MOPNG DATA'!BK5</f>
        <v>0</v>
      </c>
      <c r="AF5" s="48">
        <f>'Focused GAs -MOPNG DATA'!BL5</f>
        <v>35</v>
      </c>
      <c r="AG5" s="48">
        <f>'Focused GAs -MOPNG DATA'!BM5</f>
        <v>20</v>
      </c>
      <c r="AH5" s="48">
        <f>'Focused GAs -MOPNG DATA'!BN5</f>
        <v>25</v>
      </c>
      <c r="AI5" s="48">
        <f>'Focused GAs -MOPNG DATA'!BO5</f>
        <v>0</v>
      </c>
      <c r="AJ5" s="42">
        <f>'Focused GAs -MOPNG DATA'!BP5</f>
        <v>33</v>
      </c>
      <c r="AK5" s="42">
        <f>'Focused GAs -MOPNG DATA'!BQ5</f>
        <v>23</v>
      </c>
      <c r="AL5" s="42">
        <f>'Focused GAs -MOPNG DATA'!BR5</f>
        <v>37</v>
      </c>
      <c r="AM5" s="42">
        <f>'Focused GAs -MOPNG DATA'!BS5</f>
        <v>0</v>
      </c>
      <c r="AN5" s="124">
        <v>43</v>
      </c>
      <c r="AO5" s="124">
        <v>18</v>
      </c>
      <c r="AP5" s="124">
        <v>41</v>
      </c>
      <c r="AQ5" s="124">
        <v>0</v>
      </c>
      <c r="AR5" s="134">
        <v>71</v>
      </c>
      <c r="AS5" s="134">
        <v>30</v>
      </c>
      <c r="AT5" s="134">
        <v>35</v>
      </c>
      <c r="AU5" s="134">
        <v>0</v>
      </c>
      <c r="AV5" s="165">
        <v>21</v>
      </c>
      <c r="AW5" s="165">
        <v>30</v>
      </c>
      <c r="AX5" s="165">
        <v>34</v>
      </c>
      <c r="AY5" s="165">
        <v>1</v>
      </c>
      <c r="AZ5" s="173">
        <v>23</v>
      </c>
      <c r="BA5" s="173">
        <v>20</v>
      </c>
      <c r="BB5" s="173">
        <v>30</v>
      </c>
      <c r="BC5" s="173">
        <v>0</v>
      </c>
      <c r="BD5" s="134">
        <v>85</v>
      </c>
      <c r="BE5" s="134">
        <v>28</v>
      </c>
      <c r="BF5" s="134">
        <v>5</v>
      </c>
      <c r="BG5" s="134">
        <v>0</v>
      </c>
      <c r="BH5" s="50">
        <f t="shared" ref="BH5:BH17" si="1">L5+P5+X5+AB5+AF5+AN5+AR5+AV5+AZ5</f>
        <v>441</v>
      </c>
      <c r="BI5" s="50">
        <f t="shared" ref="BI5:BI17" si="2">M5+Q5+Y5+AC5+AG5+AO5+AS5+AW5+BA5</f>
        <v>163</v>
      </c>
      <c r="BJ5" s="50">
        <f t="shared" ref="BJ5:BJ17" si="3">N5+R5+Z5+AD5+AH5+AP5+AT5+AX5+BB5</f>
        <v>201</v>
      </c>
      <c r="BK5" s="50">
        <f t="shared" ref="BK5:BK17" si="4">O5+S5+AA5+AE5+AI5+AQ5+AU5+AY5+BC5</f>
        <v>2</v>
      </c>
    </row>
    <row r="6" spans="1:63" ht="32.5" customHeight="1">
      <c r="A6" s="32">
        <v>10.39</v>
      </c>
      <c r="B6" s="33" t="s">
        <v>55</v>
      </c>
      <c r="C6" s="34" t="s">
        <v>52</v>
      </c>
      <c r="D6" s="35">
        <v>15000</v>
      </c>
      <c r="E6" s="36">
        <v>25000</v>
      </c>
      <c r="F6" s="36">
        <v>30000</v>
      </c>
      <c r="G6" s="37">
        <v>20</v>
      </c>
      <c r="H6" s="52">
        <v>630</v>
      </c>
      <c r="I6" s="53">
        <v>134</v>
      </c>
      <c r="J6" s="53">
        <v>515</v>
      </c>
      <c r="K6" s="55">
        <v>0</v>
      </c>
      <c r="L6" s="41">
        <v>2</v>
      </c>
      <c r="M6" s="42">
        <v>2</v>
      </c>
      <c r="N6" s="42">
        <v>20</v>
      </c>
      <c r="O6" s="43">
        <v>0</v>
      </c>
      <c r="P6" s="44">
        <v>5</v>
      </c>
      <c r="Q6" s="45">
        <v>3</v>
      </c>
      <c r="R6" s="45">
        <v>10</v>
      </c>
      <c r="S6" s="46">
        <v>0</v>
      </c>
      <c r="T6" s="47">
        <f>'Focused GAs -MOPNG DATA'!AZ6</f>
        <v>6</v>
      </c>
      <c r="U6" s="48">
        <f>'Focused GAs -MOPNG DATA'!BA6</f>
        <v>4</v>
      </c>
      <c r="V6" s="48">
        <f>'Focused GAs -MOPNG DATA'!BB6</f>
        <v>9</v>
      </c>
      <c r="W6" s="49">
        <f>'Focused GAs -MOPNG DATA'!BC6</f>
        <v>0</v>
      </c>
      <c r="X6" s="41">
        <f>'Focused GAs -MOPNG DATA'!BD6</f>
        <v>25</v>
      </c>
      <c r="Y6" s="42">
        <f>'Focused GAs -MOPNG DATA'!BE6</f>
        <v>15</v>
      </c>
      <c r="Z6" s="42">
        <f>'Focused GAs -MOPNG DATA'!BF6</f>
        <v>12</v>
      </c>
      <c r="AA6" s="82">
        <f>'Focused GAs -MOPNG DATA'!BG6</f>
        <v>0</v>
      </c>
      <c r="AB6" s="85">
        <f>'Focused GAs -MOPNG DATA'!BH6</f>
        <v>30</v>
      </c>
      <c r="AC6" s="85">
        <f>'Focused GAs -MOPNG DATA'!BI6</f>
        <v>10</v>
      </c>
      <c r="AD6" s="85">
        <f>'Focused GAs -MOPNG DATA'!BJ6</f>
        <v>21</v>
      </c>
      <c r="AE6" s="85">
        <f>'Focused GAs -MOPNG DATA'!BK6</f>
        <v>0</v>
      </c>
      <c r="AF6" s="48">
        <f>'Focused GAs -MOPNG DATA'!BL6</f>
        <v>30</v>
      </c>
      <c r="AG6" s="48">
        <f>'Focused GAs -MOPNG DATA'!BM6</f>
        <v>10</v>
      </c>
      <c r="AH6" s="48">
        <f>'Focused GAs -MOPNG DATA'!BN6</f>
        <v>10</v>
      </c>
      <c r="AI6" s="48">
        <f>'Focused GAs -MOPNG DATA'!BO6</f>
        <v>0</v>
      </c>
      <c r="AJ6" s="42">
        <f>'Focused GAs -MOPNG DATA'!BP6</f>
        <v>27</v>
      </c>
      <c r="AK6" s="42">
        <f>'Focused GAs -MOPNG DATA'!BQ6</f>
        <v>10</v>
      </c>
      <c r="AL6" s="42">
        <f>'Focused GAs -MOPNG DATA'!BR6</f>
        <v>12</v>
      </c>
      <c r="AM6" s="42">
        <f>'Focused GAs -MOPNG DATA'!BS6</f>
        <v>0</v>
      </c>
      <c r="AN6" s="124">
        <v>9</v>
      </c>
      <c r="AO6" s="124">
        <v>4</v>
      </c>
      <c r="AP6" s="124">
        <v>15</v>
      </c>
      <c r="AQ6" s="124">
        <v>0</v>
      </c>
      <c r="AR6" s="134">
        <v>36</v>
      </c>
      <c r="AS6" s="134">
        <v>15</v>
      </c>
      <c r="AT6" s="134">
        <v>14</v>
      </c>
      <c r="AU6" s="134">
        <v>0</v>
      </c>
      <c r="AV6" s="165">
        <v>18</v>
      </c>
      <c r="AW6" s="165">
        <v>10</v>
      </c>
      <c r="AX6" s="165">
        <v>14</v>
      </c>
      <c r="AY6" s="165">
        <v>0</v>
      </c>
      <c r="AZ6" s="173">
        <v>43</v>
      </c>
      <c r="BA6" s="173">
        <v>10</v>
      </c>
      <c r="BB6" s="173">
        <v>22</v>
      </c>
      <c r="BC6" s="173">
        <v>0</v>
      </c>
      <c r="BD6" s="134">
        <v>16</v>
      </c>
      <c r="BE6" s="134">
        <v>5</v>
      </c>
      <c r="BF6" s="134">
        <v>15</v>
      </c>
      <c r="BG6" s="134">
        <v>0</v>
      </c>
      <c r="BH6" s="50">
        <f t="shared" si="1"/>
        <v>198</v>
      </c>
      <c r="BI6" s="50">
        <f t="shared" si="2"/>
        <v>79</v>
      </c>
      <c r="BJ6" s="50">
        <f t="shared" si="3"/>
        <v>138</v>
      </c>
      <c r="BK6" s="50">
        <f t="shared" si="4"/>
        <v>0</v>
      </c>
    </row>
    <row r="7" spans="1:63" ht="39" customHeight="1">
      <c r="A7" s="32">
        <v>10.48</v>
      </c>
      <c r="B7" s="51" t="s">
        <v>56</v>
      </c>
      <c r="C7" s="34" t="s">
        <v>54</v>
      </c>
      <c r="D7" s="35">
        <v>20000</v>
      </c>
      <c r="E7" s="36">
        <v>20000</v>
      </c>
      <c r="F7" s="36">
        <v>40000</v>
      </c>
      <c r="G7" s="37">
        <v>20</v>
      </c>
      <c r="H7" s="52">
        <v>1662</v>
      </c>
      <c r="I7" s="53">
        <v>98</v>
      </c>
      <c r="J7" s="53">
        <v>1519</v>
      </c>
      <c r="K7" s="55">
        <v>1</v>
      </c>
      <c r="L7" s="41">
        <v>2</v>
      </c>
      <c r="M7" s="42">
        <v>2</v>
      </c>
      <c r="N7" s="42">
        <v>32</v>
      </c>
      <c r="O7" s="43">
        <v>0</v>
      </c>
      <c r="P7" s="44">
        <v>70</v>
      </c>
      <c r="Q7" s="45">
        <v>6</v>
      </c>
      <c r="R7" s="45">
        <v>35</v>
      </c>
      <c r="S7" s="46">
        <v>0</v>
      </c>
      <c r="T7" s="47">
        <f>'Focused GAs -MOPNG DATA'!AZ7</f>
        <v>35</v>
      </c>
      <c r="U7" s="48">
        <f>'Focused GAs -MOPNG DATA'!BA7</f>
        <v>6</v>
      </c>
      <c r="V7" s="48">
        <f>'Focused GAs -MOPNG DATA'!BB7</f>
        <v>25</v>
      </c>
      <c r="W7" s="49">
        <f>'Focused GAs -MOPNG DATA'!BC7</f>
        <v>0</v>
      </c>
      <c r="X7" s="41">
        <f>'Focused GAs -MOPNG DATA'!BD7</f>
        <v>27</v>
      </c>
      <c r="Y7" s="42">
        <f>'Focused GAs -MOPNG DATA'!BE7</f>
        <v>3</v>
      </c>
      <c r="Z7" s="42">
        <f>'Focused GAs -MOPNG DATA'!BF7</f>
        <v>25</v>
      </c>
      <c r="AA7" s="82">
        <f>'Focused GAs -MOPNG DATA'!BG7</f>
        <v>0</v>
      </c>
      <c r="AB7" s="85">
        <f>'Focused GAs -MOPNG DATA'!BH7</f>
        <v>20</v>
      </c>
      <c r="AC7" s="85">
        <f>'Focused GAs -MOPNG DATA'!BI7</f>
        <v>8</v>
      </c>
      <c r="AD7" s="85">
        <f>'Focused GAs -MOPNG DATA'!BJ7</f>
        <v>17</v>
      </c>
      <c r="AE7" s="85">
        <f>'Focused GAs -MOPNG DATA'!BK7</f>
        <v>0</v>
      </c>
      <c r="AF7" s="48">
        <f>'Focused GAs -MOPNG DATA'!BL7</f>
        <v>15</v>
      </c>
      <c r="AG7" s="48">
        <f>'Focused GAs -MOPNG DATA'!BM7</f>
        <v>6</v>
      </c>
      <c r="AH7" s="48">
        <f>'Focused GAs -MOPNG DATA'!BN7</f>
        <v>25</v>
      </c>
      <c r="AI7" s="48">
        <f>'Focused GAs -MOPNG DATA'!BO7</f>
        <v>1</v>
      </c>
      <c r="AJ7" s="42">
        <f>'Focused GAs -MOPNG DATA'!BP7</f>
        <v>12</v>
      </c>
      <c r="AK7" s="42">
        <f>'Focused GAs -MOPNG DATA'!BQ7</f>
        <v>6</v>
      </c>
      <c r="AL7" s="42">
        <f>'Focused GAs -MOPNG DATA'!BR7</f>
        <v>17</v>
      </c>
      <c r="AM7" s="42">
        <f>'Focused GAs -MOPNG DATA'!BS7</f>
        <v>0</v>
      </c>
      <c r="AN7" s="124">
        <v>13</v>
      </c>
      <c r="AO7" s="124">
        <v>5</v>
      </c>
      <c r="AP7" s="124">
        <v>12</v>
      </c>
      <c r="AQ7" s="124">
        <v>0</v>
      </c>
      <c r="AR7" s="134">
        <v>22</v>
      </c>
      <c r="AS7" s="134">
        <v>5</v>
      </c>
      <c r="AT7" s="134">
        <v>17</v>
      </c>
      <c r="AU7" s="134">
        <v>0</v>
      </c>
      <c r="AV7" s="165">
        <v>2</v>
      </c>
      <c r="AW7" s="165">
        <v>5</v>
      </c>
      <c r="AX7" s="165">
        <v>16</v>
      </c>
      <c r="AY7" s="165">
        <v>0</v>
      </c>
      <c r="AZ7" s="173">
        <v>21</v>
      </c>
      <c r="BA7" s="173">
        <v>4</v>
      </c>
      <c r="BB7" s="173">
        <v>27</v>
      </c>
      <c r="BC7" s="173">
        <v>0</v>
      </c>
      <c r="BD7" s="134">
        <v>19</v>
      </c>
      <c r="BE7" s="134">
        <v>4</v>
      </c>
      <c r="BF7" s="134">
        <v>25</v>
      </c>
      <c r="BG7" s="134">
        <v>0</v>
      </c>
      <c r="BH7" s="50">
        <f t="shared" si="1"/>
        <v>192</v>
      </c>
      <c r="BI7" s="50">
        <f t="shared" si="2"/>
        <v>44</v>
      </c>
      <c r="BJ7" s="50">
        <f t="shared" si="3"/>
        <v>206</v>
      </c>
      <c r="BK7" s="50">
        <f t="shared" si="4"/>
        <v>1</v>
      </c>
    </row>
    <row r="8" spans="1:63" ht="38" customHeight="1">
      <c r="A8" s="32">
        <v>10.49</v>
      </c>
      <c r="B8" s="51" t="s">
        <v>57</v>
      </c>
      <c r="C8" s="34" t="s">
        <v>54</v>
      </c>
      <c r="D8" s="35">
        <v>15000</v>
      </c>
      <c r="E8" s="36">
        <v>15000</v>
      </c>
      <c r="F8" s="36">
        <v>30000</v>
      </c>
      <c r="G8" s="37">
        <v>10</v>
      </c>
      <c r="H8" s="52">
        <v>4209</v>
      </c>
      <c r="I8" s="53">
        <v>149</v>
      </c>
      <c r="J8" s="53">
        <v>1455</v>
      </c>
      <c r="K8" s="55">
        <v>0</v>
      </c>
      <c r="L8" s="41">
        <v>1</v>
      </c>
      <c r="M8" s="42">
        <v>1</v>
      </c>
      <c r="N8" s="42">
        <v>1</v>
      </c>
      <c r="O8" s="43">
        <v>1</v>
      </c>
      <c r="P8" s="44">
        <v>80</v>
      </c>
      <c r="Q8" s="45">
        <v>1</v>
      </c>
      <c r="R8" s="45">
        <v>8</v>
      </c>
      <c r="S8" s="46">
        <v>0</v>
      </c>
      <c r="T8" s="47">
        <f>'Focused GAs -MOPNG DATA'!AZ8</f>
        <v>20</v>
      </c>
      <c r="U8" s="48">
        <f>'Focused GAs -MOPNG DATA'!BA8</f>
        <v>2</v>
      </c>
      <c r="V8" s="48">
        <f>'Focused GAs -MOPNG DATA'!BB8</f>
        <v>9</v>
      </c>
      <c r="W8" s="49">
        <f>'Focused GAs -MOPNG DATA'!BC8</f>
        <v>0</v>
      </c>
      <c r="X8" s="41">
        <f>'Focused GAs -MOPNG DATA'!BD8</f>
        <v>81</v>
      </c>
      <c r="Y8" s="42">
        <f>'Focused GAs -MOPNG DATA'!BE8</f>
        <v>5</v>
      </c>
      <c r="Z8" s="42">
        <f>'Focused GAs -MOPNG DATA'!BF8</f>
        <v>15</v>
      </c>
      <c r="AA8" s="82">
        <f>'Focused GAs -MOPNG DATA'!BG8</f>
        <v>0</v>
      </c>
      <c r="AB8" s="85">
        <f>'Focused GAs -MOPNG DATA'!BH8</f>
        <v>39</v>
      </c>
      <c r="AC8" s="85">
        <f>'Focused GAs -MOPNG DATA'!BI8</f>
        <v>3</v>
      </c>
      <c r="AD8" s="85">
        <f>'Focused GAs -MOPNG DATA'!BJ8</f>
        <v>33</v>
      </c>
      <c r="AE8" s="85">
        <f>'Focused GAs -MOPNG DATA'!BK8</f>
        <v>0</v>
      </c>
      <c r="AF8" s="48">
        <f>'Focused GAs -MOPNG DATA'!BL8</f>
        <v>40</v>
      </c>
      <c r="AG8" s="48">
        <f>'Focused GAs -MOPNG DATA'!BM8</f>
        <v>5</v>
      </c>
      <c r="AH8" s="48">
        <f>'Focused GAs -MOPNG DATA'!BN8</f>
        <v>8</v>
      </c>
      <c r="AI8" s="48">
        <f>'Focused GAs -MOPNG DATA'!BO8</f>
        <v>1</v>
      </c>
      <c r="AJ8" s="42">
        <f>'Focused GAs -MOPNG DATA'!BP8</f>
        <v>49</v>
      </c>
      <c r="AK8" s="42">
        <f>'Focused GAs -MOPNG DATA'!BQ8</f>
        <v>7</v>
      </c>
      <c r="AL8" s="42">
        <f>'Focused GAs -MOPNG DATA'!BR8</f>
        <v>11</v>
      </c>
      <c r="AM8" s="42">
        <f>'Focused GAs -MOPNG DATA'!BS8</f>
        <v>6</v>
      </c>
      <c r="AN8" s="124">
        <v>36</v>
      </c>
      <c r="AO8" s="124">
        <v>6</v>
      </c>
      <c r="AP8" s="124">
        <v>9</v>
      </c>
      <c r="AQ8" s="124">
        <v>0</v>
      </c>
      <c r="AR8" s="134">
        <v>42</v>
      </c>
      <c r="AS8" s="134">
        <v>6</v>
      </c>
      <c r="AT8" s="134">
        <v>12</v>
      </c>
      <c r="AU8" s="134">
        <v>0</v>
      </c>
      <c r="AV8" s="165">
        <v>20</v>
      </c>
      <c r="AW8" s="165">
        <v>11</v>
      </c>
      <c r="AX8" s="165">
        <v>30</v>
      </c>
      <c r="AY8" s="165">
        <v>0</v>
      </c>
      <c r="AZ8" s="173">
        <v>78</v>
      </c>
      <c r="BA8" s="173">
        <v>14</v>
      </c>
      <c r="BB8" s="173">
        <v>20</v>
      </c>
      <c r="BC8" s="173">
        <v>0</v>
      </c>
      <c r="BD8" s="134">
        <v>10</v>
      </c>
      <c r="BE8" s="134">
        <v>15</v>
      </c>
      <c r="BF8" s="134">
        <v>7</v>
      </c>
      <c r="BG8" s="134">
        <v>0</v>
      </c>
      <c r="BH8" s="50">
        <f t="shared" si="1"/>
        <v>417</v>
      </c>
      <c r="BI8" s="50">
        <f t="shared" si="2"/>
        <v>52</v>
      </c>
      <c r="BJ8" s="50">
        <f t="shared" si="3"/>
        <v>136</v>
      </c>
      <c r="BK8" s="50">
        <f t="shared" si="4"/>
        <v>2</v>
      </c>
    </row>
    <row r="9" spans="1:63" ht="38.5" customHeight="1">
      <c r="A9" s="32">
        <v>10.45</v>
      </c>
      <c r="B9" s="51" t="s">
        <v>58</v>
      </c>
      <c r="C9" s="34" t="s">
        <v>52</v>
      </c>
      <c r="D9" s="35">
        <v>15000</v>
      </c>
      <c r="E9" s="36">
        <v>20000</v>
      </c>
      <c r="F9" s="36">
        <v>30000</v>
      </c>
      <c r="G9" s="37">
        <v>5</v>
      </c>
      <c r="H9" s="52">
        <f>813-38</f>
        <v>775</v>
      </c>
      <c r="I9" s="53">
        <f>365+7</f>
        <v>372</v>
      </c>
      <c r="J9" s="53">
        <f>624-3</f>
        <v>621</v>
      </c>
      <c r="K9" s="55">
        <v>0</v>
      </c>
      <c r="L9" s="41">
        <v>0</v>
      </c>
      <c r="M9" s="42">
        <v>2</v>
      </c>
      <c r="N9" s="42">
        <v>0</v>
      </c>
      <c r="O9" s="43">
        <v>0</v>
      </c>
      <c r="P9" s="44">
        <v>5</v>
      </c>
      <c r="Q9" s="45">
        <v>6</v>
      </c>
      <c r="R9" s="45">
        <v>2</v>
      </c>
      <c r="S9" s="46">
        <v>0</v>
      </c>
      <c r="T9" s="47">
        <f>'Focused GAs -MOPNG DATA'!AZ9</f>
        <v>40</v>
      </c>
      <c r="U9" s="48">
        <f>'Focused GAs -MOPNG DATA'!BA9</f>
        <v>12</v>
      </c>
      <c r="V9" s="48">
        <f>'Focused GAs -MOPNG DATA'!BB9</f>
        <v>2</v>
      </c>
      <c r="W9" s="49">
        <f>'Focused GAs -MOPNG DATA'!BC9</f>
        <v>0</v>
      </c>
      <c r="X9" s="41">
        <f>'Focused GAs -MOPNG DATA'!BD9</f>
        <v>40</v>
      </c>
      <c r="Y9" s="42">
        <f>'Focused GAs -MOPNG DATA'!BE9</f>
        <v>12</v>
      </c>
      <c r="Z9" s="42">
        <f>'Focused GAs -MOPNG DATA'!BF9</f>
        <v>2</v>
      </c>
      <c r="AA9" s="82">
        <f>'Focused GAs -MOPNG DATA'!BG9</f>
        <v>0</v>
      </c>
      <c r="AB9" s="85">
        <f>'Focused GAs -MOPNG DATA'!BH9</f>
        <v>0</v>
      </c>
      <c r="AC9" s="85">
        <f>'Focused GAs -MOPNG DATA'!BI9</f>
        <v>13</v>
      </c>
      <c r="AD9" s="85">
        <f>'Focused GAs -MOPNG DATA'!BJ9</f>
        <v>11</v>
      </c>
      <c r="AE9" s="85">
        <f>'Focused GAs -MOPNG DATA'!BK9</f>
        <v>0</v>
      </c>
      <c r="AF9" s="48">
        <f>'Focused GAs -MOPNG DATA'!BL9</f>
        <v>94</v>
      </c>
      <c r="AG9" s="48">
        <f>'Focused GAs -MOPNG DATA'!BM9</f>
        <v>18</v>
      </c>
      <c r="AH9" s="48">
        <f>'Focused GAs -MOPNG DATA'!BN9</f>
        <v>0</v>
      </c>
      <c r="AI9" s="48">
        <f>'Focused GAs -MOPNG DATA'!BO9</f>
        <v>0</v>
      </c>
      <c r="AJ9" s="42">
        <f>'Focused GAs -MOPNG DATA'!BP9</f>
        <v>10</v>
      </c>
      <c r="AK9" s="42">
        <f>'Focused GAs -MOPNG DATA'!BQ9</f>
        <v>35</v>
      </c>
      <c r="AL9" s="42">
        <f>'Focused GAs -MOPNG DATA'!BR9</f>
        <v>0</v>
      </c>
      <c r="AM9" s="42">
        <f>'Focused GAs -MOPNG DATA'!BS9</f>
        <v>0</v>
      </c>
      <c r="AN9" s="124">
        <v>53</v>
      </c>
      <c r="AO9" s="124">
        <v>27</v>
      </c>
      <c r="AP9" s="124">
        <v>1</v>
      </c>
      <c r="AQ9" s="124">
        <v>0</v>
      </c>
      <c r="AR9" s="134">
        <v>53</v>
      </c>
      <c r="AS9" s="134">
        <v>27</v>
      </c>
      <c r="AT9" s="134">
        <v>1</v>
      </c>
      <c r="AU9" s="134">
        <v>0</v>
      </c>
      <c r="AV9" s="165">
        <v>49</v>
      </c>
      <c r="AW9" s="165">
        <v>41</v>
      </c>
      <c r="AX9" s="165">
        <v>99</v>
      </c>
      <c r="AY9" s="165">
        <v>0</v>
      </c>
      <c r="AZ9" s="173">
        <v>16</v>
      </c>
      <c r="BA9" s="173">
        <v>7</v>
      </c>
      <c r="BB9" s="173">
        <v>0</v>
      </c>
      <c r="BC9" s="173">
        <v>0</v>
      </c>
      <c r="BD9" s="134">
        <v>42</v>
      </c>
      <c r="BE9" s="134">
        <v>7</v>
      </c>
      <c r="BF9" s="134">
        <v>0</v>
      </c>
      <c r="BG9" s="134">
        <v>0</v>
      </c>
      <c r="BH9" s="50">
        <f t="shared" si="1"/>
        <v>310</v>
      </c>
      <c r="BI9" s="50">
        <f t="shared" si="2"/>
        <v>153</v>
      </c>
      <c r="BJ9" s="50">
        <f t="shared" si="3"/>
        <v>116</v>
      </c>
      <c r="BK9" s="50">
        <f t="shared" si="4"/>
        <v>0</v>
      </c>
    </row>
    <row r="10" spans="1:63" ht="23.5" customHeight="1">
      <c r="A10" s="32">
        <v>9.19</v>
      </c>
      <c r="B10" s="51" t="s">
        <v>59</v>
      </c>
      <c r="C10" s="34" t="s">
        <v>60</v>
      </c>
      <c r="D10" s="35">
        <v>15000</v>
      </c>
      <c r="E10" s="36">
        <v>12000</v>
      </c>
      <c r="F10" s="36">
        <v>30000</v>
      </c>
      <c r="G10" s="37">
        <v>5</v>
      </c>
      <c r="H10" s="52">
        <f>105+15</f>
        <v>120</v>
      </c>
      <c r="I10" s="53">
        <f>217+18</f>
        <v>235</v>
      </c>
      <c r="J10" s="56">
        <f>48+7</f>
        <v>55</v>
      </c>
      <c r="K10" s="54">
        <v>3</v>
      </c>
      <c r="L10" s="41">
        <v>0</v>
      </c>
      <c r="M10" s="42">
        <v>3</v>
      </c>
      <c r="N10" s="42">
        <v>0</v>
      </c>
      <c r="O10" s="43">
        <v>2</v>
      </c>
      <c r="P10" s="44">
        <v>7</v>
      </c>
      <c r="Q10" s="45">
        <v>3</v>
      </c>
      <c r="R10" s="45">
        <v>4</v>
      </c>
      <c r="S10" s="46">
        <v>1</v>
      </c>
      <c r="T10" s="47">
        <f>'Focused GAs -MOPNG DATA'!AZ10</f>
        <v>4</v>
      </c>
      <c r="U10" s="48">
        <f>'Focused GAs -MOPNG DATA'!BA10</f>
        <v>4</v>
      </c>
      <c r="V10" s="48">
        <f>'Focused GAs -MOPNG DATA'!BB10</f>
        <v>0</v>
      </c>
      <c r="W10" s="49">
        <f>'Focused GAs -MOPNG DATA'!BC10</f>
        <v>0</v>
      </c>
      <c r="X10" s="41">
        <f>'Focused GAs -MOPNG DATA'!BD10</f>
        <v>4</v>
      </c>
      <c r="Y10" s="42">
        <f>'Focused GAs -MOPNG DATA'!BE10</f>
        <v>4</v>
      </c>
      <c r="Z10" s="42">
        <f>'Focused GAs -MOPNG DATA'!BF10</f>
        <v>0</v>
      </c>
      <c r="AA10" s="82">
        <f>'Focused GAs -MOPNG DATA'!BG10</f>
        <v>0</v>
      </c>
      <c r="AB10" s="85">
        <f>'Focused GAs -MOPNG DATA'!BH10</f>
        <v>4</v>
      </c>
      <c r="AC10" s="85">
        <f>'Focused GAs -MOPNG DATA'!BI10</f>
        <v>5</v>
      </c>
      <c r="AD10" s="85">
        <f>'Focused GAs -MOPNG DATA'!BJ10</f>
        <v>0</v>
      </c>
      <c r="AE10" s="85">
        <f>'Focused GAs -MOPNG DATA'!BK10</f>
        <v>2</v>
      </c>
      <c r="AF10" s="48">
        <f>'Focused GAs -MOPNG DATA'!BL10</f>
        <v>5</v>
      </c>
      <c r="AG10" s="48">
        <f>'Focused GAs -MOPNG DATA'!BM10</f>
        <v>10</v>
      </c>
      <c r="AH10" s="48">
        <f>'Focused GAs -MOPNG DATA'!BN10</f>
        <v>2</v>
      </c>
      <c r="AI10" s="48">
        <f>'Focused GAs -MOPNG DATA'!BO10</f>
        <v>2</v>
      </c>
      <c r="AJ10" s="42">
        <f>'Focused GAs -MOPNG DATA'!BP10</f>
        <v>7</v>
      </c>
      <c r="AK10" s="42">
        <f>'Focused GAs -MOPNG DATA'!BQ10</f>
        <v>5</v>
      </c>
      <c r="AL10" s="42">
        <f>'Focused GAs -MOPNG DATA'!BR10</f>
        <v>1</v>
      </c>
      <c r="AM10" s="42">
        <f>'Focused GAs -MOPNG DATA'!BS10</f>
        <v>0</v>
      </c>
      <c r="AN10" s="124">
        <v>4</v>
      </c>
      <c r="AO10" s="124">
        <v>6</v>
      </c>
      <c r="AP10" s="124">
        <v>0</v>
      </c>
      <c r="AQ10" s="124">
        <v>0</v>
      </c>
      <c r="AR10" s="134">
        <v>2</v>
      </c>
      <c r="AS10" s="134">
        <v>11</v>
      </c>
      <c r="AT10" s="134">
        <v>2</v>
      </c>
      <c r="AU10" s="134">
        <v>0</v>
      </c>
      <c r="AV10" s="165">
        <v>0</v>
      </c>
      <c r="AW10" s="165">
        <v>49</v>
      </c>
      <c r="AX10" s="165">
        <v>6</v>
      </c>
      <c r="AY10" s="165">
        <v>3</v>
      </c>
      <c r="AZ10" s="173">
        <v>0</v>
      </c>
      <c r="BA10" s="173">
        <v>10</v>
      </c>
      <c r="BB10" s="173">
        <v>4</v>
      </c>
      <c r="BC10" s="173">
        <v>0</v>
      </c>
      <c r="BD10" s="134">
        <v>2</v>
      </c>
      <c r="BE10" s="134">
        <v>10</v>
      </c>
      <c r="BF10" s="134">
        <v>0</v>
      </c>
      <c r="BG10" s="134">
        <v>0</v>
      </c>
      <c r="BH10" s="50">
        <f t="shared" si="1"/>
        <v>26</v>
      </c>
      <c r="BI10" s="50">
        <f t="shared" si="2"/>
        <v>101</v>
      </c>
      <c r="BJ10" s="50">
        <f t="shared" si="3"/>
        <v>18</v>
      </c>
      <c r="BK10" s="50">
        <f t="shared" si="4"/>
        <v>10</v>
      </c>
    </row>
    <row r="11" spans="1:63" ht="23.5" customHeight="1">
      <c r="A11" s="32">
        <v>10.43</v>
      </c>
      <c r="B11" s="51" t="s">
        <v>61</v>
      </c>
      <c r="C11" s="34" t="s">
        <v>52</v>
      </c>
      <c r="D11" s="35">
        <v>10000</v>
      </c>
      <c r="E11" s="36">
        <v>5000</v>
      </c>
      <c r="F11" s="36">
        <v>20000</v>
      </c>
      <c r="G11" s="37">
        <v>8</v>
      </c>
      <c r="H11" s="52">
        <v>960</v>
      </c>
      <c r="I11" s="53">
        <v>423</v>
      </c>
      <c r="J11" s="56">
        <v>665</v>
      </c>
      <c r="K11" s="55">
        <v>1</v>
      </c>
      <c r="L11" s="41">
        <v>9</v>
      </c>
      <c r="M11" s="42">
        <v>8</v>
      </c>
      <c r="N11" s="42">
        <v>8</v>
      </c>
      <c r="O11" s="43">
        <v>0</v>
      </c>
      <c r="P11" s="57">
        <v>10</v>
      </c>
      <c r="Q11" s="58">
        <v>13</v>
      </c>
      <c r="R11" s="58">
        <v>10</v>
      </c>
      <c r="S11" s="59">
        <v>0</v>
      </c>
      <c r="T11" s="60">
        <v>10</v>
      </c>
      <c r="U11" s="56">
        <v>20</v>
      </c>
      <c r="V11" s="56">
        <v>4</v>
      </c>
      <c r="W11" s="55">
        <v>0</v>
      </c>
      <c r="X11" s="61">
        <v>10</v>
      </c>
      <c r="Y11" s="62">
        <v>20</v>
      </c>
      <c r="Z11" s="62">
        <v>4</v>
      </c>
      <c r="AA11" s="83">
        <v>0</v>
      </c>
      <c r="AB11" s="86">
        <v>8</v>
      </c>
      <c r="AC11" s="86">
        <v>20</v>
      </c>
      <c r="AD11" s="86">
        <v>4</v>
      </c>
      <c r="AE11" s="86">
        <v>0</v>
      </c>
      <c r="AF11" s="110">
        <v>10</v>
      </c>
      <c r="AG11" s="110">
        <v>14</v>
      </c>
      <c r="AH11" s="110">
        <v>3</v>
      </c>
      <c r="AI11" s="110">
        <v>0</v>
      </c>
      <c r="AJ11" s="122">
        <v>10</v>
      </c>
      <c r="AK11" s="122">
        <v>20</v>
      </c>
      <c r="AL11" s="122">
        <v>6</v>
      </c>
      <c r="AM11" s="122">
        <v>0</v>
      </c>
      <c r="AN11" s="125">
        <v>10</v>
      </c>
      <c r="AO11" s="125">
        <v>18</v>
      </c>
      <c r="AP11" s="125">
        <v>8</v>
      </c>
      <c r="AQ11" s="125">
        <v>0</v>
      </c>
      <c r="AR11" s="110">
        <v>10</v>
      </c>
      <c r="AS11" s="110">
        <v>30</v>
      </c>
      <c r="AT11" s="110">
        <v>5</v>
      </c>
      <c r="AU11" s="110">
        <v>0</v>
      </c>
      <c r="AV11" s="122">
        <v>8</v>
      </c>
      <c r="AW11" s="122">
        <v>32</v>
      </c>
      <c r="AX11" s="122">
        <v>6</v>
      </c>
      <c r="AY11" s="122">
        <v>0</v>
      </c>
      <c r="AZ11" s="174">
        <v>6</v>
      </c>
      <c r="BA11" s="174">
        <v>15</v>
      </c>
      <c r="BB11" s="174">
        <v>2</v>
      </c>
      <c r="BC11" s="174">
        <v>0</v>
      </c>
      <c r="BD11" s="110">
        <v>7</v>
      </c>
      <c r="BE11" s="110">
        <v>9</v>
      </c>
      <c r="BF11" s="110">
        <v>6</v>
      </c>
      <c r="BG11" s="110">
        <v>0</v>
      </c>
      <c r="BH11" s="50">
        <f t="shared" si="1"/>
        <v>81</v>
      </c>
      <c r="BI11" s="50">
        <f t="shared" si="2"/>
        <v>170</v>
      </c>
      <c r="BJ11" s="50">
        <f t="shared" si="3"/>
        <v>50</v>
      </c>
      <c r="BK11" s="50">
        <f t="shared" si="4"/>
        <v>0</v>
      </c>
    </row>
    <row r="12" spans="1:63" ht="23.5" customHeight="1">
      <c r="A12" s="32">
        <v>10.46</v>
      </c>
      <c r="B12" s="51" t="s">
        <v>62</v>
      </c>
      <c r="C12" s="34" t="s">
        <v>63</v>
      </c>
      <c r="D12" s="35">
        <v>10000</v>
      </c>
      <c r="E12" s="36">
        <v>5000</v>
      </c>
      <c r="F12" s="36">
        <v>20000</v>
      </c>
      <c r="G12" s="63">
        <v>8</v>
      </c>
      <c r="H12" s="52">
        <v>483</v>
      </c>
      <c r="I12" s="53">
        <v>429</v>
      </c>
      <c r="J12" s="53">
        <v>104</v>
      </c>
      <c r="K12" s="55">
        <v>0</v>
      </c>
      <c r="L12" s="41">
        <v>5</v>
      </c>
      <c r="M12" s="42">
        <v>0</v>
      </c>
      <c r="N12" s="42">
        <v>24</v>
      </c>
      <c r="O12" s="43">
        <v>0</v>
      </c>
      <c r="P12" s="57">
        <v>2</v>
      </c>
      <c r="Q12" s="58">
        <v>0</v>
      </c>
      <c r="R12" s="58">
        <v>18</v>
      </c>
      <c r="S12" s="59">
        <v>0</v>
      </c>
      <c r="T12" s="60">
        <v>2</v>
      </c>
      <c r="U12" s="56">
        <v>3</v>
      </c>
      <c r="V12" s="56">
        <v>4</v>
      </c>
      <c r="W12" s="55">
        <v>0</v>
      </c>
      <c r="X12" s="61">
        <v>5</v>
      </c>
      <c r="Y12" s="62">
        <v>8</v>
      </c>
      <c r="Z12" s="62">
        <v>15</v>
      </c>
      <c r="AA12" s="83">
        <v>0</v>
      </c>
      <c r="AB12" s="86">
        <v>5</v>
      </c>
      <c r="AC12" s="86">
        <v>14</v>
      </c>
      <c r="AD12" s="86">
        <v>12</v>
      </c>
      <c r="AE12" s="86">
        <v>0</v>
      </c>
      <c r="AF12" s="110">
        <v>11</v>
      </c>
      <c r="AG12" s="110">
        <v>15</v>
      </c>
      <c r="AH12" s="110">
        <v>15</v>
      </c>
      <c r="AI12" s="110">
        <v>0</v>
      </c>
      <c r="AJ12" s="122">
        <v>16</v>
      </c>
      <c r="AK12" s="122">
        <v>25</v>
      </c>
      <c r="AL12" s="122">
        <v>8</v>
      </c>
      <c r="AM12" s="122">
        <v>0</v>
      </c>
      <c r="AN12" s="125">
        <v>5</v>
      </c>
      <c r="AO12" s="125">
        <v>19</v>
      </c>
      <c r="AP12" s="125">
        <v>5</v>
      </c>
      <c r="AQ12" s="125">
        <v>0</v>
      </c>
      <c r="AR12" s="110">
        <v>15</v>
      </c>
      <c r="AS12" s="110">
        <v>24</v>
      </c>
      <c r="AT12" s="110">
        <v>22</v>
      </c>
      <c r="AU12" s="110">
        <v>0</v>
      </c>
      <c r="AV12" s="122">
        <v>10</v>
      </c>
      <c r="AW12" s="122">
        <v>19</v>
      </c>
      <c r="AX12" s="122">
        <v>25</v>
      </c>
      <c r="AY12" s="122">
        <v>0</v>
      </c>
      <c r="AZ12" s="174">
        <v>10</v>
      </c>
      <c r="BA12" s="174">
        <v>17</v>
      </c>
      <c r="BB12" s="174">
        <v>0</v>
      </c>
      <c r="BC12" s="174">
        <v>0</v>
      </c>
      <c r="BD12" s="110">
        <v>15</v>
      </c>
      <c r="BE12" s="110">
        <v>16</v>
      </c>
      <c r="BF12" s="110">
        <v>0</v>
      </c>
      <c r="BG12" s="110">
        <v>0</v>
      </c>
      <c r="BH12" s="50">
        <f t="shared" si="1"/>
        <v>68</v>
      </c>
      <c r="BI12" s="50">
        <f t="shared" si="2"/>
        <v>116</v>
      </c>
      <c r="BJ12" s="50">
        <f t="shared" si="3"/>
        <v>136</v>
      </c>
      <c r="BK12" s="50">
        <f t="shared" si="4"/>
        <v>0</v>
      </c>
    </row>
    <row r="13" spans="1:63" ht="23.5" customHeight="1">
      <c r="A13" s="32">
        <v>10.5</v>
      </c>
      <c r="B13" s="51" t="s">
        <v>64</v>
      </c>
      <c r="C13" s="34" t="s">
        <v>54</v>
      </c>
      <c r="D13" s="35">
        <v>10000</v>
      </c>
      <c r="E13" s="36">
        <v>5000</v>
      </c>
      <c r="F13" s="36">
        <v>20000</v>
      </c>
      <c r="G13" s="63">
        <v>8</v>
      </c>
      <c r="H13" s="52">
        <v>700</v>
      </c>
      <c r="I13" s="56">
        <v>28</v>
      </c>
      <c r="J13" s="53">
        <v>438</v>
      </c>
      <c r="K13" s="55">
        <v>0</v>
      </c>
      <c r="L13" s="41">
        <v>7</v>
      </c>
      <c r="M13" s="42">
        <v>1</v>
      </c>
      <c r="N13" s="42">
        <v>5</v>
      </c>
      <c r="O13" s="43">
        <v>0</v>
      </c>
      <c r="P13" s="57">
        <v>8</v>
      </c>
      <c r="Q13" s="58">
        <v>0</v>
      </c>
      <c r="R13" s="58">
        <v>2</v>
      </c>
      <c r="S13" s="59">
        <v>0</v>
      </c>
      <c r="T13" s="60">
        <v>6</v>
      </c>
      <c r="U13" s="56">
        <v>0</v>
      </c>
      <c r="V13" s="56">
        <v>8</v>
      </c>
      <c r="W13" s="55">
        <v>0</v>
      </c>
      <c r="X13" s="61">
        <v>6</v>
      </c>
      <c r="Y13" s="62">
        <v>0</v>
      </c>
      <c r="Z13" s="62">
        <v>8</v>
      </c>
      <c r="AA13" s="83">
        <v>0</v>
      </c>
      <c r="AB13" s="86">
        <v>2</v>
      </c>
      <c r="AC13" s="86">
        <v>0</v>
      </c>
      <c r="AD13" s="86">
        <v>5</v>
      </c>
      <c r="AE13" s="86">
        <v>0</v>
      </c>
      <c r="AF13" s="110">
        <v>2</v>
      </c>
      <c r="AG13" s="110">
        <v>3</v>
      </c>
      <c r="AH13" s="110">
        <v>1</v>
      </c>
      <c r="AI13" s="110">
        <v>0</v>
      </c>
      <c r="AJ13" s="122">
        <v>2</v>
      </c>
      <c r="AK13" s="122">
        <v>2</v>
      </c>
      <c r="AL13" s="122">
        <v>9</v>
      </c>
      <c r="AM13" s="122">
        <v>0</v>
      </c>
      <c r="AN13" s="125">
        <v>1</v>
      </c>
      <c r="AO13" s="125">
        <v>9</v>
      </c>
      <c r="AP13" s="125">
        <v>1</v>
      </c>
      <c r="AQ13" s="125">
        <v>0</v>
      </c>
      <c r="AR13" s="110">
        <v>2</v>
      </c>
      <c r="AS13" s="110">
        <v>2</v>
      </c>
      <c r="AT13" s="110">
        <v>10</v>
      </c>
      <c r="AU13" s="110">
        <v>0</v>
      </c>
      <c r="AV13" s="122">
        <v>2</v>
      </c>
      <c r="AW13" s="122">
        <v>2</v>
      </c>
      <c r="AX13" s="122">
        <v>9</v>
      </c>
      <c r="AY13" s="122">
        <v>0</v>
      </c>
      <c r="AZ13" s="174">
        <v>4</v>
      </c>
      <c r="BA13" s="174">
        <v>0</v>
      </c>
      <c r="BB13" s="174">
        <v>2</v>
      </c>
      <c r="BC13" s="174">
        <v>0</v>
      </c>
      <c r="BD13" s="110">
        <v>7</v>
      </c>
      <c r="BE13" s="110">
        <v>1</v>
      </c>
      <c r="BF13" s="110">
        <v>10</v>
      </c>
      <c r="BG13" s="110">
        <v>0</v>
      </c>
      <c r="BH13" s="50">
        <f t="shared" si="1"/>
        <v>34</v>
      </c>
      <c r="BI13" s="50">
        <f t="shared" si="2"/>
        <v>17</v>
      </c>
      <c r="BJ13" s="50">
        <f t="shared" si="3"/>
        <v>43</v>
      </c>
      <c r="BK13" s="50">
        <f t="shared" si="4"/>
        <v>0</v>
      </c>
    </row>
    <row r="14" spans="1:63" ht="23.5" customHeight="1">
      <c r="A14" s="32">
        <v>11.44</v>
      </c>
      <c r="B14" s="51" t="s">
        <v>65</v>
      </c>
      <c r="C14" s="34" t="s">
        <v>66</v>
      </c>
      <c r="D14" s="35">
        <v>10000</v>
      </c>
      <c r="E14" s="36">
        <v>5000</v>
      </c>
      <c r="F14" s="36">
        <v>20000</v>
      </c>
      <c r="G14" s="63">
        <v>5</v>
      </c>
      <c r="H14" s="52">
        <v>1853</v>
      </c>
      <c r="I14" s="53">
        <v>34</v>
      </c>
      <c r="J14" s="53">
        <v>1933</v>
      </c>
      <c r="K14" s="55">
        <v>0</v>
      </c>
      <c r="L14" s="41">
        <v>24</v>
      </c>
      <c r="M14" s="42">
        <v>2</v>
      </c>
      <c r="N14" s="42">
        <v>22</v>
      </c>
      <c r="O14" s="43">
        <v>0</v>
      </c>
      <c r="P14" s="57">
        <v>22</v>
      </c>
      <c r="Q14" s="58">
        <v>3</v>
      </c>
      <c r="R14" s="58">
        <v>20</v>
      </c>
      <c r="S14" s="59">
        <v>0</v>
      </c>
      <c r="T14" s="60">
        <v>10</v>
      </c>
      <c r="U14" s="56">
        <v>5</v>
      </c>
      <c r="V14" s="56">
        <v>12</v>
      </c>
      <c r="W14" s="55">
        <v>0</v>
      </c>
      <c r="X14" s="61">
        <v>20</v>
      </c>
      <c r="Y14" s="62">
        <v>2</v>
      </c>
      <c r="Z14" s="62">
        <v>18</v>
      </c>
      <c r="AA14" s="83">
        <v>0</v>
      </c>
      <c r="AB14" s="86">
        <v>18</v>
      </c>
      <c r="AC14" s="86">
        <v>4</v>
      </c>
      <c r="AD14" s="86">
        <v>19</v>
      </c>
      <c r="AE14" s="86">
        <v>0</v>
      </c>
      <c r="AF14" s="110">
        <v>22</v>
      </c>
      <c r="AG14" s="110">
        <v>5</v>
      </c>
      <c r="AH14" s="110">
        <v>16</v>
      </c>
      <c r="AI14" s="110">
        <v>0</v>
      </c>
      <c r="AJ14" s="122">
        <v>19</v>
      </c>
      <c r="AK14" s="122">
        <v>8</v>
      </c>
      <c r="AL14" s="122">
        <v>17</v>
      </c>
      <c r="AM14" s="122">
        <v>0</v>
      </c>
      <c r="AN14" s="125">
        <v>10</v>
      </c>
      <c r="AO14" s="125">
        <v>6</v>
      </c>
      <c r="AP14" s="125">
        <v>12</v>
      </c>
      <c r="AQ14" s="125">
        <v>0</v>
      </c>
      <c r="AR14" s="110">
        <v>19</v>
      </c>
      <c r="AS14" s="110">
        <v>7</v>
      </c>
      <c r="AT14" s="110">
        <v>17</v>
      </c>
      <c r="AU14" s="110">
        <v>0</v>
      </c>
      <c r="AV14" s="122">
        <v>17</v>
      </c>
      <c r="AW14" s="122">
        <v>11</v>
      </c>
      <c r="AX14" s="122">
        <v>19</v>
      </c>
      <c r="AY14" s="122">
        <v>0</v>
      </c>
      <c r="AZ14" s="174">
        <v>20</v>
      </c>
      <c r="BA14" s="174">
        <v>6</v>
      </c>
      <c r="BB14" s="174">
        <v>12</v>
      </c>
      <c r="BC14" s="174">
        <v>0</v>
      </c>
      <c r="BD14" s="110">
        <v>19</v>
      </c>
      <c r="BE14" s="110">
        <v>6</v>
      </c>
      <c r="BF14" s="110">
        <v>18</v>
      </c>
      <c r="BG14" s="110">
        <v>0</v>
      </c>
      <c r="BH14" s="50">
        <f t="shared" si="1"/>
        <v>172</v>
      </c>
      <c r="BI14" s="50">
        <f t="shared" si="2"/>
        <v>46</v>
      </c>
      <c r="BJ14" s="50">
        <f t="shared" si="3"/>
        <v>155</v>
      </c>
      <c r="BK14" s="50">
        <f t="shared" si="4"/>
        <v>0</v>
      </c>
    </row>
    <row r="15" spans="1:63" ht="23.5" customHeight="1">
      <c r="A15" s="32" t="s">
        <v>67</v>
      </c>
      <c r="B15" s="51" t="s">
        <v>68</v>
      </c>
      <c r="C15" s="34" t="s">
        <v>69</v>
      </c>
      <c r="D15" s="35">
        <v>10000</v>
      </c>
      <c r="E15" s="36">
        <v>5000</v>
      </c>
      <c r="F15" s="36">
        <v>20000</v>
      </c>
      <c r="G15" s="63">
        <v>0</v>
      </c>
      <c r="H15" s="52">
        <v>1069</v>
      </c>
      <c r="I15" s="56">
        <v>0</v>
      </c>
      <c r="J15" s="56">
        <v>1135</v>
      </c>
      <c r="K15" s="55">
        <v>0</v>
      </c>
      <c r="L15" s="41">
        <v>8</v>
      </c>
      <c r="M15" s="42">
        <v>0</v>
      </c>
      <c r="N15" s="42">
        <v>5</v>
      </c>
      <c r="O15" s="43">
        <v>0</v>
      </c>
      <c r="P15" s="57">
        <v>9</v>
      </c>
      <c r="Q15" s="58">
        <v>0</v>
      </c>
      <c r="R15" s="58">
        <v>30</v>
      </c>
      <c r="S15" s="59">
        <v>0</v>
      </c>
      <c r="T15" s="60">
        <v>7</v>
      </c>
      <c r="U15" s="56">
        <v>0</v>
      </c>
      <c r="V15" s="56">
        <v>10</v>
      </c>
      <c r="W15" s="55">
        <v>0</v>
      </c>
      <c r="X15" s="61">
        <v>10</v>
      </c>
      <c r="Y15" s="62">
        <v>0</v>
      </c>
      <c r="Z15" s="62">
        <v>17</v>
      </c>
      <c r="AA15" s="83">
        <v>0</v>
      </c>
      <c r="AB15" s="86">
        <v>11</v>
      </c>
      <c r="AC15" s="86">
        <v>0</v>
      </c>
      <c r="AD15" s="86">
        <v>12</v>
      </c>
      <c r="AE15" s="86">
        <v>0</v>
      </c>
      <c r="AF15" s="110">
        <v>7</v>
      </c>
      <c r="AG15" s="110">
        <v>0</v>
      </c>
      <c r="AH15" s="110">
        <v>7</v>
      </c>
      <c r="AI15" s="110">
        <v>0</v>
      </c>
      <c r="AJ15" s="122">
        <v>11</v>
      </c>
      <c r="AK15" s="122">
        <v>0</v>
      </c>
      <c r="AL15" s="122">
        <v>10</v>
      </c>
      <c r="AM15" s="122">
        <v>0</v>
      </c>
      <c r="AN15" s="125">
        <v>8</v>
      </c>
      <c r="AO15" s="125">
        <v>0</v>
      </c>
      <c r="AP15" s="125">
        <v>11</v>
      </c>
      <c r="AQ15" s="125">
        <v>0</v>
      </c>
      <c r="AR15" s="110">
        <v>10</v>
      </c>
      <c r="AS15" s="110">
        <v>0</v>
      </c>
      <c r="AT15" s="110">
        <v>13</v>
      </c>
      <c r="AU15" s="110">
        <v>0</v>
      </c>
      <c r="AV15" s="122">
        <v>15</v>
      </c>
      <c r="AW15" s="122">
        <v>0</v>
      </c>
      <c r="AX15" s="122">
        <v>10</v>
      </c>
      <c r="AY15" s="122">
        <v>0</v>
      </c>
      <c r="AZ15" s="174">
        <v>13</v>
      </c>
      <c r="BA15" s="174">
        <v>13</v>
      </c>
      <c r="BB15" s="174">
        <v>13</v>
      </c>
      <c r="BC15" s="174">
        <v>13</v>
      </c>
      <c r="BD15" s="110">
        <v>9</v>
      </c>
      <c r="BE15" s="110">
        <v>0</v>
      </c>
      <c r="BF15" s="110">
        <v>13</v>
      </c>
      <c r="BG15" s="110">
        <v>0</v>
      </c>
      <c r="BH15" s="50">
        <f t="shared" si="1"/>
        <v>91</v>
      </c>
      <c r="BI15" s="50">
        <f t="shared" si="2"/>
        <v>13</v>
      </c>
      <c r="BJ15" s="50">
        <f t="shared" si="3"/>
        <v>118</v>
      </c>
      <c r="BK15" s="50">
        <f t="shared" si="4"/>
        <v>13</v>
      </c>
    </row>
    <row r="16" spans="1:63" ht="23.5" customHeight="1">
      <c r="A16" s="32" t="s">
        <v>70</v>
      </c>
      <c r="B16" s="51" t="s">
        <v>71</v>
      </c>
      <c r="C16" s="34" t="s">
        <v>54</v>
      </c>
      <c r="D16" s="35">
        <v>10000</v>
      </c>
      <c r="E16" s="36">
        <v>5000</v>
      </c>
      <c r="F16" s="36">
        <v>20000</v>
      </c>
      <c r="G16" s="63">
        <v>5</v>
      </c>
      <c r="H16" s="52">
        <v>854</v>
      </c>
      <c r="I16" s="56">
        <v>0</v>
      </c>
      <c r="J16" s="53">
        <v>1877</v>
      </c>
      <c r="K16" s="55">
        <v>0</v>
      </c>
      <c r="L16" s="41">
        <v>20</v>
      </c>
      <c r="M16" s="42">
        <v>0</v>
      </c>
      <c r="N16" s="42">
        <v>13</v>
      </c>
      <c r="O16" s="43">
        <v>0</v>
      </c>
      <c r="P16" s="57">
        <v>20</v>
      </c>
      <c r="Q16" s="58">
        <v>0</v>
      </c>
      <c r="R16" s="58">
        <v>13</v>
      </c>
      <c r="S16" s="59">
        <v>0</v>
      </c>
      <c r="T16" s="60">
        <v>15</v>
      </c>
      <c r="U16" s="56">
        <v>0</v>
      </c>
      <c r="V16" s="56">
        <v>12</v>
      </c>
      <c r="W16" s="55">
        <v>0</v>
      </c>
      <c r="X16" s="61">
        <v>21</v>
      </c>
      <c r="Y16" s="62">
        <v>0</v>
      </c>
      <c r="Z16" s="62">
        <v>15</v>
      </c>
      <c r="AA16" s="83">
        <v>0</v>
      </c>
      <c r="AB16" s="86">
        <v>21</v>
      </c>
      <c r="AC16" s="86">
        <v>0</v>
      </c>
      <c r="AD16" s="86">
        <v>20</v>
      </c>
      <c r="AE16" s="86">
        <v>0</v>
      </c>
      <c r="AF16" s="110">
        <v>12</v>
      </c>
      <c r="AG16" s="110">
        <v>0</v>
      </c>
      <c r="AH16" s="110">
        <v>13</v>
      </c>
      <c r="AI16" s="110">
        <v>0</v>
      </c>
      <c r="AJ16" s="122">
        <v>16</v>
      </c>
      <c r="AK16" s="122">
        <v>0</v>
      </c>
      <c r="AL16" s="122">
        <v>21</v>
      </c>
      <c r="AM16" s="122">
        <v>0</v>
      </c>
      <c r="AN16" s="125">
        <v>20</v>
      </c>
      <c r="AO16" s="125">
        <v>0</v>
      </c>
      <c r="AP16" s="125">
        <v>14</v>
      </c>
      <c r="AQ16" s="125">
        <v>0</v>
      </c>
      <c r="AR16" s="110">
        <v>27</v>
      </c>
      <c r="AS16" s="110">
        <v>0</v>
      </c>
      <c r="AT16" s="110">
        <v>25</v>
      </c>
      <c r="AU16" s="110">
        <v>0</v>
      </c>
      <c r="AV16" s="122">
        <v>29</v>
      </c>
      <c r="AW16" s="122">
        <v>0</v>
      </c>
      <c r="AX16" s="122">
        <v>31</v>
      </c>
      <c r="AY16" s="122">
        <v>0</v>
      </c>
      <c r="AZ16" s="174">
        <v>22</v>
      </c>
      <c r="BA16" s="174">
        <v>0</v>
      </c>
      <c r="BB16" s="174">
        <v>26</v>
      </c>
      <c r="BC16" s="174">
        <v>0</v>
      </c>
      <c r="BD16" s="110">
        <v>25</v>
      </c>
      <c r="BE16" s="110">
        <v>0</v>
      </c>
      <c r="BF16" s="110">
        <v>23</v>
      </c>
      <c r="BG16" s="110">
        <v>0</v>
      </c>
      <c r="BH16" s="50">
        <f t="shared" si="1"/>
        <v>192</v>
      </c>
      <c r="BI16" s="50">
        <f t="shared" si="2"/>
        <v>0</v>
      </c>
      <c r="BJ16" s="50">
        <f t="shared" si="3"/>
        <v>170</v>
      </c>
      <c r="BK16" s="50">
        <f t="shared" si="4"/>
        <v>0</v>
      </c>
    </row>
    <row r="17" spans="1:63" ht="23.5" customHeight="1">
      <c r="A17" s="32">
        <v>12.05</v>
      </c>
      <c r="B17" s="51" t="s">
        <v>72</v>
      </c>
      <c r="C17" s="34" t="s">
        <v>72</v>
      </c>
      <c r="D17" s="35">
        <v>0</v>
      </c>
      <c r="E17" s="36">
        <v>0</v>
      </c>
      <c r="F17" s="36">
        <v>0</v>
      </c>
      <c r="G17" s="63">
        <v>0</v>
      </c>
      <c r="H17" s="60">
        <v>0</v>
      </c>
      <c r="I17" s="56">
        <v>0</v>
      </c>
      <c r="J17" s="56">
        <v>0</v>
      </c>
      <c r="K17" s="55">
        <v>0</v>
      </c>
      <c r="L17" s="41">
        <v>0</v>
      </c>
      <c r="M17" s="42">
        <v>0</v>
      </c>
      <c r="N17" s="42">
        <v>0</v>
      </c>
      <c r="O17" s="43">
        <v>0</v>
      </c>
      <c r="P17" s="57">
        <v>0</v>
      </c>
      <c r="Q17" s="58">
        <v>0</v>
      </c>
      <c r="R17" s="58">
        <v>0</v>
      </c>
      <c r="S17" s="59">
        <v>0</v>
      </c>
      <c r="T17" s="60">
        <v>0</v>
      </c>
      <c r="U17" s="56">
        <v>0</v>
      </c>
      <c r="V17" s="56">
        <v>0</v>
      </c>
      <c r="W17" s="55">
        <v>0</v>
      </c>
      <c r="X17" s="61">
        <v>0</v>
      </c>
      <c r="Y17" s="62">
        <v>0</v>
      </c>
      <c r="Z17" s="62">
        <v>0</v>
      </c>
      <c r="AA17" s="83">
        <v>0</v>
      </c>
      <c r="AB17" s="86">
        <v>0</v>
      </c>
      <c r="AC17" s="86">
        <v>0</v>
      </c>
      <c r="AD17" s="86">
        <v>0</v>
      </c>
      <c r="AE17" s="86">
        <v>0</v>
      </c>
      <c r="AF17" s="110">
        <v>0</v>
      </c>
      <c r="AG17" s="110">
        <v>0</v>
      </c>
      <c r="AH17" s="110">
        <v>0</v>
      </c>
      <c r="AI17" s="110">
        <v>0</v>
      </c>
      <c r="AJ17" s="122">
        <v>0</v>
      </c>
      <c r="AK17" s="122">
        <v>0</v>
      </c>
      <c r="AL17" s="122">
        <v>0</v>
      </c>
      <c r="AM17" s="122">
        <v>0</v>
      </c>
      <c r="AN17" s="125">
        <v>0</v>
      </c>
      <c r="AO17" s="125">
        <v>0</v>
      </c>
      <c r="AP17" s="125">
        <v>0</v>
      </c>
      <c r="AQ17" s="125">
        <v>0</v>
      </c>
      <c r="AR17" s="110">
        <v>0</v>
      </c>
      <c r="AS17" s="110">
        <v>0</v>
      </c>
      <c r="AT17" s="110">
        <v>0</v>
      </c>
      <c r="AU17" s="110">
        <v>0</v>
      </c>
      <c r="AV17" s="122">
        <v>0</v>
      </c>
      <c r="AW17" s="122">
        <v>0</v>
      </c>
      <c r="AX17" s="122">
        <v>0</v>
      </c>
      <c r="AY17" s="122">
        <v>0</v>
      </c>
      <c r="AZ17" s="174">
        <v>0</v>
      </c>
      <c r="BA17" s="174">
        <v>0</v>
      </c>
      <c r="BB17" s="174">
        <v>0</v>
      </c>
      <c r="BC17" s="174">
        <v>0</v>
      </c>
      <c r="BD17" s="110">
        <v>0</v>
      </c>
      <c r="BE17" s="110">
        <v>0</v>
      </c>
      <c r="BF17" s="110">
        <v>0</v>
      </c>
      <c r="BG17" s="110">
        <v>0</v>
      </c>
      <c r="BH17" s="50">
        <f t="shared" si="1"/>
        <v>0</v>
      </c>
      <c r="BI17" s="50">
        <f t="shared" si="2"/>
        <v>0</v>
      </c>
      <c r="BJ17" s="50">
        <f t="shared" si="3"/>
        <v>0</v>
      </c>
      <c r="BK17" s="50">
        <f t="shared" si="4"/>
        <v>0</v>
      </c>
    </row>
    <row r="18" spans="1:63" ht="23.5" customHeight="1" thickBot="1">
      <c r="A18" s="32"/>
      <c r="B18" s="64" t="s">
        <v>1</v>
      </c>
      <c r="C18" s="34"/>
      <c r="D18" s="65">
        <f t="shared" ref="D18:T18" si="5">SUM(D4:D17)</f>
        <v>170000</v>
      </c>
      <c r="E18" s="66">
        <f t="shared" si="5"/>
        <v>162000</v>
      </c>
      <c r="F18" s="66">
        <f t="shared" si="5"/>
        <v>340000</v>
      </c>
      <c r="G18" s="67">
        <f t="shared" si="5"/>
        <v>119</v>
      </c>
      <c r="H18" s="68">
        <f t="shared" si="5"/>
        <v>17351</v>
      </c>
      <c r="I18" s="69">
        <f t="shared" si="5"/>
        <v>2891</v>
      </c>
      <c r="J18" s="69">
        <f t="shared" si="5"/>
        <v>13698</v>
      </c>
      <c r="K18" s="70">
        <f t="shared" si="5"/>
        <v>6</v>
      </c>
      <c r="L18" s="71">
        <f t="shared" si="5"/>
        <v>86</v>
      </c>
      <c r="M18" s="72">
        <f t="shared" si="5"/>
        <v>34</v>
      </c>
      <c r="N18" s="72">
        <f t="shared" si="5"/>
        <v>140</v>
      </c>
      <c r="O18" s="73">
        <f t="shared" si="5"/>
        <v>4</v>
      </c>
      <c r="P18" s="74">
        <f t="shared" si="5"/>
        <v>353</v>
      </c>
      <c r="Q18" s="75">
        <f t="shared" si="5"/>
        <v>51</v>
      </c>
      <c r="R18" s="75">
        <f t="shared" si="5"/>
        <v>160</v>
      </c>
      <c r="S18" s="76">
        <f t="shared" si="5"/>
        <v>1</v>
      </c>
      <c r="T18" s="68">
        <f t="shared" si="5"/>
        <v>158</v>
      </c>
      <c r="U18" s="68">
        <f t="shared" ref="U18:W18" si="6">SUM(U4:U17)</f>
        <v>79</v>
      </c>
      <c r="V18" s="68">
        <f t="shared" si="6"/>
        <v>102</v>
      </c>
      <c r="W18" s="68">
        <f t="shared" si="6"/>
        <v>0</v>
      </c>
      <c r="X18" s="77">
        <f t="shared" ref="X18" si="7">SUM(X4:X17)</f>
        <v>317</v>
      </c>
      <c r="Y18" s="77">
        <f t="shared" ref="Y18:AQ18" si="8">SUM(Y4:Y17)</f>
        <v>99</v>
      </c>
      <c r="Z18" s="77">
        <f t="shared" si="8"/>
        <v>151</v>
      </c>
      <c r="AA18" s="84">
        <f t="shared" si="8"/>
        <v>0</v>
      </c>
      <c r="AB18" s="111">
        <f t="shared" si="8"/>
        <v>239</v>
      </c>
      <c r="AC18" s="111">
        <f t="shared" si="8"/>
        <v>109</v>
      </c>
      <c r="AD18" s="111">
        <f t="shared" si="8"/>
        <v>168</v>
      </c>
      <c r="AE18" s="111">
        <f t="shared" si="8"/>
        <v>2</v>
      </c>
      <c r="AF18" s="112">
        <f t="shared" si="8"/>
        <v>290</v>
      </c>
      <c r="AG18" s="112">
        <f t="shared" si="8"/>
        <v>120</v>
      </c>
      <c r="AH18" s="112">
        <f t="shared" si="8"/>
        <v>128</v>
      </c>
      <c r="AI18" s="112">
        <f t="shared" si="8"/>
        <v>4</v>
      </c>
      <c r="AJ18" s="123">
        <f t="shared" si="8"/>
        <v>224</v>
      </c>
      <c r="AK18" s="123">
        <f t="shared" si="8"/>
        <v>159</v>
      </c>
      <c r="AL18" s="123">
        <f t="shared" si="8"/>
        <v>152</v>
      </c>
      <c r="AM18" s="123">
        <f t="shared" si="8"/>
        <v>6</v>
      </c>
      <c r="AN18" s="126">
        <f t="shared" si="8"/>
        <v>222</v>
      </c>
      <c r="AO18" s="126">
        <f t="shared" si="8"/>
        <v>136</v>
      </c>
      <c r="AP18" s="126">
        <f t="shared" si="8"/>
        <v>134</v>
      </c>
      <c r="AQ18" s="126">
        <f t="shared" si="8"/>
        <v>0</v>
      </c>
      <c r="AR18" s="135">
        <f t="shared" ref="AR18:BK18" si="9">SUM(AR4:AR17)</f>
        <v>319</v>
      </c>
      <c r="AS18" s="135">
        <f t="shared" si="9"/>
        <v>173</v>
      </c>
      <c r="AT18" s="135">
        <f t="shared" si="9"/>
        <v>183</v>
      </c>
      <c r="AU18" s="135">
        <f t="shared" si="9"/>
        <v>0</v>
      </c>
      <c r="AV18" s="77">
        <f t="shared" si="9"/>
        <v>198</v>
      </c>
      <c r="AW18" s="166">
        <f t="shared" si="9"/>
        <v>227</v>
      </c>
      <c r="AX18" s="166">
        <f t="shared" si="9"/>
        <v>309</v>
      </c>
      <c r="AY18" s="167">
        <f t="shared" si="9"/>
        <v>4</v>
      </c>
      <c r="AZ18" s="175">
        <f t="shared" si="9"/>
        <v>264</v>
      </c>
      <c r="BA18" s="176">
        <f t="shared" si="9"/>
        <v>136</v>
      </c>
      <c r="BB18" s="176">
        <f t="shared" si="9"/>
        <v>163</v>
      </c>
      <c r="BC18" s="177">
        <f t="shared" si="9"/>
        <v>13</v>
      </c>
      <c r="BD18" s="178">
        <f>SUM(BD4:BD17)</f>
        <v>263</v>
      </c>
      <c r="BE18" s="178">
        <f t="shared" ref="BE18:BG18" si="10">SUM(BE4:BE17)</f>
        <v>115</v>
      </c>
      <c r="BF18" s="178">
        <f t="shared" si="10"/>
        <v>127</v>
      </c>
      <c r="BG18" s="178">
        <f t="shared" si="10"/>
        <v>0</v>
      </c>
      <c r="BH18" s="113">
        <f t="shared" si="9"/>
        <v>2288</v>
      </c>
      <c r="BI18" s="114">
        <f t="shared" si="9"/>
        <v>1085</v>
      </c>
      <c r="BJ18" s="114">
        <f t="shared" si="9"/>
        <v>1536</v>
      </c>
      <c r="BK18" s="115">
        <f t="shared" si="9"/>
        <v>28</v>
      </c>
    </row>
    <row r="19" spans="1:63" ht="23.5" customHeight="1" thickTop="1">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row>
    <row r="20" spans="1:63" ht="23.5" customHeight="1">
      <c r="BI20">
        <v>16555</v>
      </c>
    </row>
    <row r="22" spans="1:63" ht="23.5" customHeight="1">
      <c r="BI22">
        <v>10829</v>
      </c>
      <c r="BJ22">
        <v>3406</v>
      </c>
      <c r="BK22">
        <v>2349</v>
      </c>
    </row>
  </sheetData>
  <mergeCells count="18">
    <mergeCell ref="L1:O1"/>
    <mergeCell ref="X1:AA1"/>
    <mergeCell ref="AB1:AE1"/>
    <mergeCell ref="AF1:AI1"/>
    <mergeCell ref="AJ1:AM1"/>
    <mergeCell ref="A1:A3"/>
    <mergeCell ref="B1:B3"/>
    <mergeCell ref="C1:C3"/>
    <mergeCell ref="D1:G1"/>
    <mergeCell ref="H1:K1"/>
    <mergeCell ref="AV1:AY1"/>
    <mergeCell ref="AZ1:BC1"/>
    <mergeCell ref="P1:S1"/>
    <mergeCell ref="BH1:BK1"/>
    <mergeCell ref="T1:W1"/>
    <mergeCell ref="AN1:AQ1"/>
    <mergeCell ref="AR1:AU1"/>
    <mergeCell ref="BD1:BG1"/>
  </mergeCells>
  <pageMargins left="0.7" right="0.7" top="0.75" bottom="0.75" header="0.3" footer="0.3"/>
  <pageSetup paperSize="9" scale="2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94924-B292-4671-8719-6F92484F69EF}">
  <dimension ref="B2:S10"/>
  <sheetViews>
    <sheetView tabSelected="1" workbookViewId="0">
      <selection activeCell="T11" sqref="T11"/>
    </sheetView>
  </sheetViews>
  <sheetFormatPr defaultRowHeight="14.5"/>
  <cols>
    <col min="1" max="1" width="6.6328125" customWidth="1"/>
    <col min="3" max="3" width="6.81640625" customWidth="1"/>
    <col min="4" max="4" width="2.90625" hidden="1" customWidth="1"/>
    <col min="5" max="5" width="12.6328125" customWidth="1"/>
    <col min="6" max="6" width="13.1796875" customWidth="1"/>
    <col min="7" max="7" width="13.26953125" hidden="1" customWidth="1"/>
    <col min="8" max="9" width="12.7265625" hidden="1" customWidth="1"/>
    <col min="10" max="10" width="13.7265625" hidden="1" customWidth="1"/>
    <col min="11" max="11" width="13" hidden="1" customWidth="1"/>
    <col min="12" max="12" width="11.08984375" hidden="1" customWidth="1"/>
    <col min="13" max="13" width="10.81640625" customWidth="1"/>
    <col min="14" max="14" width="10.54296875" customWidth="1"/>
    <col min="15" max="15" width="13.54296875" customWidth="1"/>
    <col min="16" max="16" width="16.26953125" customWidth="1"/>
    <col min="17" max="17" width="13.7265625" customWidth="1"/>
    <col min="18" max="18" width="13.1796875" customWidth="1"/>
    <col min="19" max="19" width="18.26953125" customWidth="1"/>
  </cols>
  <sheetData>
    <row r="2" spans="2:19" ht="24.5">
      <c r="B2" s="264" t="s">
        <v>589</v>
      </c>
      <c r="C2" s="264"/>
      <c r="D2" s="264"/>
      <c r="E2" s="264" t="s">
        <v>596</v>
      </c>
      <c r="F2" s="264"/>
      <c r="G2" s="264" t="s">
        <v>572</v>
      </c>
      <c r="H2" s="264"/>
      <c r="I2" s="264" t="s">
        <v>571</v>
      </c>
      <c r="J2" s="264"/>
      <c r="K2" s="264" t="s">
        <v>573</v>
      </c>
      <c r="L2" s="264"/>
      <c r="M2" s="264" t="s">
        <v>593</v>
      </c>
      <c r="N2" s="264"/>
      <c r="O2" s="264" t="s">
        <v>594</v>
      </c>
      <c r="P2" s="264"/>
      <c r="Q2" s="255" t="s">
        <v>595</v>
      </c>
      <c r="R2" s="256"/>
      <c r="S2" s="257"/>
    </row>
    <row r="3" spans="2:19">
      <c r="B3" s="265" t="s">
        <v>590</v>
      </c>
      <c r="C3" s="266"/>
      <c r="D3" s="267"/>
      <c r="E3" s="258" t="s">
        <v>562</v>
      </c>
      <c r="F3" s="258" t="s">
        <v>563</v>
      </c>
      <c r="G3" s="258" t="s">
        <v>562</v>
      </c>
      <c r="H3" s="258" t="s">
        <v>563</v>
      </c>
      <c r="I3" s="258" t="s">
        <v>562</v>
      </c>
      <c r="J3" s="258" t="s">
        <v>563</v>
      </c>
      <c r="K3" s="258" t="s">
        <v>562</v>
      </c>
      <c r="L3" s="258" t="s">
        <v>563</v>
      </c>
      <c r="M3" s="258" t="s">
        <v>562</v>
      </c>
      <c r="N3" s="258" t="s">
        <v>563</v>
      </c>
      <c r="O3" s="258" t="s">
        <v>562</v>
      </c>
      <c r="P3" s="258" t="s">
        <v>563</v>
      </c>
      <c r="Q3" s="258" t="s">
        <v>562</v>
      </c>
      <c r="R3" s="258" t="s">
        <v>563</v>
      </c>
      <c r="S3" s="258" t="s">
        <v>591</v>
      </c>
    </row>
    <row r="4" spans="2:19">
      <c r="B4" s="268"/>
      <c r="C4" s="269"/>
      <c r="D4" s="270"/>
      <c r="E4" s="258"/>
      <c r="F4" s="258"/>
      <c r="G4" s="258"/>
      <c r="H4" s="258"/>
      <c r="I4" s="258"/>
      <c r="J4" s="258"/>
      <c r="K4" s="258"/>
      <c r="L4" s="258"/>
      <c r="M4" s="258"/>
      <c r="N4" s="258"/>
      <c r="O4" s="258"/>
      <c r="P4" s="258"/>
      <c r="Q4" s="258"/>
      <c r="R4" s="258"/>
      <c r="S4" s="258"/>
    </row>
    <row r="5" spans="2:19" ht="83.5" customHeight="1">
      <c r="B5" s="271"/>
      <c r="C5" s="272"/>
      <c r="D5" s="273"/>
      <c r="E5" s="258"/>
      <c r="F5" s="258"/>
      <c r="G5" s="258"/>
      <c r="H5" s="258"/>
      <c r="I5" s="258"/>
      <c r="J5" s="258"/>
      <c r="K5" s="258"/>
      <c r="L5" s="258"/>
      <c r="M5" s="258"/>
      <c r="N5" s="258"/>
      <c r="O5" s="258"/>
      <c r="P5" s="258"/>
      <c r="Q5" s="258"/>
      <c r="R5" s="258"/>
      <c r="S5" s="258"/>
    </row>
    <row r="6" spans="2:19" ht="24.5">
      <c r="B6" s="259" t="s">
        <v>564</v>
      </c>
      <c r="C6" s="260"/>
      <c r="D6" s="261"/>
      <c r="E6" s="201">
        <f>'HPCL-JV MIS'!D17</f>
        <v>2366</v>
      </c>
      <c r="F6" s="201">
        <f>'HPCL-JV MIS'!E17</f>
        <v>2022</v>
      </c>
      <c r="G6" s="202">
        <f>'HPCL-JV MIS'!F17</f>
        <v>154</v>
      </c>
      <c r="H6" s="202">
        <f>'HPCL-JV MIS'!G17</f>
        <v>227</v>
      </c>
      <c r="I6" s="203">
        <f>'HPCL-JV MIS'!H17</f>
        <v>229</v>
      </c>
      <c r="J6" s="203">
        <f>'HPCL-JV MIS'!I17</f>
        <v>123</v>
      </c>
      <c r="K6" s="204">
        <f>'HPCL-JV MIS'!J17</f>
        <v>229</v>
      </c>
      <c r="L6" s="204">
        <f>'HPCL-JV MIS'!K17</f>
        <v>115</v>
      </c>
      <c r="M6" s="202">
        <f>'HPCL-JV MIS'!L17</f>
        <v>189</v>
      </c>
      <c r="N6" s="202">
        <f>'HPCL-JV MIS'!M17</f>
        <v>104</v>
      </c>
      <c r="O6" s="201">
        <f>G6+I6+K6+M6</f>
        <v>801</v>
      </c>
      <c r="P6" s="201">
        <f>H6+J6+L6+N6</f>
        <v>569</v>
      </c>
      <c r="Q6" s="205">
        <f>E6+O6</f>
        <v>3167</v>
      </c>
      <c r="R6" s="205">
        <f>F6+P6</f>
        <v>2591</v>
      </c>
      <c r="S6" s="205">
        <f>Q6+R6</f>
        <v>5758</v>
      </c>
    </row>
    <row r="7" spans="2:19" ht="24.5">
      <c r="B7" s="259" t="s">
        <v>577</v>
      </c>
      <c r="C7" s="260"/>
      <c r="D7" s="261"/>
      <c r="E7" s="201">
        <f>'HPCL-JV MIS'!D26</f>
        <v>84</v>
      </c>
      <c r="F7" s="201">
        <f>'HPCL-JV MIS'!E26</f>
        <v>475</v>
      </c>
      <c r="G7" s="202">
        <f>'HPCL-JV MIS'!F26</f>
        <v>12</v>
      </c>
      <c r="H7" s="202">
        <f>'HPCL-JV MIS'!G26</f>
        <v>18</v>
      </c>
      <c r="I7" s="203">
        <f>'HPCL-JV MIS'!H26</f>
        <v>1</v>
      </c>
      <c r="J7" s="203">
        <f>'HPCL-JV MIS'!I26</f>
        <v>36</v>
      </c>
      <c r="K7" s="204">
        <f>'HPCL-JV MIS'!J26</f>
        <v>0</v>
      </c>
      <c r="L7" s="204">
        <f>'HPCL-JV MIS'!K26</f>
        <v>27</v>
      </c>
      <c r="M7" s="202">
        <f>'HPCL-JV MIS'!L26</f>
        <v>2</v>
      </c>
      <c r="N7" s="202">
        <f>'HPCL-JV MIS'!M26</f>
        <v>74</v>
      </c>
      <c r="O7" s="201">
        <f t="shared" ref="O7:P8" si="0">G7+I7+K7+M7</f>
        <v>15</v>
      </c>
      <c r="P7" s="201">
        <f t="shared" si="0"/>
        <v>155</v>
      </c>
      <c r="Q7" s="205">
        <f t="shared" ref="Q7:R8" si="1">E7+O7</f>
        <v>99</v>
      </c>
      <c r="R7" s="205">
        <f t="shared" si="1"/>
        <v>630</v>
      </c>
      <c r="S7" s="205">
        <f t="shared" ref="S7:S8" si="2">Q7+R7</f>
        <v>729</v>
      </c>
    </row>
    <row r="8" spans="2:19" ht="24.5">
      <c r="B8" s="259" t="s">
        <v>583</v>
      </c>
      <c r="C8" s="260"/>
      <c r="D8" s="261"/>
      <c r="E8" s="201">
        <f>'HPCL-JV MIS'!D36</f>
        <v>212</v>
      </c>
      <c r="F8" s="201">
        <f>'HPCL-JV MIS'!E36</f>
        <v>508</v>
      </c>
      <c r="G8" s="202">
        <f>'HPCL-JV MIS'!F36</f>
        <v>0</v>
      </c>
      <c r="H8" s="202">
        <f>'HPCL-JV MIS'!G36</f>
        <v>43</v>
      </c>
      <c r="I8" s="203">
        <f>'HPCL-JV MIS'!H36</f>
        <v>1</v>
      </c>
      <c r="J8" s="203">
        <f>'HPCL-JV MIS'!I36</f>
        <v>38</v>
      </c>
      <c r="K8" s="204">
        <f>'HPCL-JV MIS'!J36</f>
        <v>2</v>
      </c>
      <c r="L8" s="204">
        <f>'HPCL-JV MIS'!K36</f>
        <v>60</v>
      </c>
      <c r="M8" s="202">
        <f>'HPCL-JV MIS'!L36</f>
        <v>2</v>
      </c>
      <c r="N8" s="202">
        <f>'HPCL-JV MIS'!M36</f>
        <v>39</v>
      </c>
      <c r="O8" s="201">
        <f t="shared" si="0"/>
        <v>5</v>
      </c>
      <c r="P8" s="201">
        <f>H8+J8+L8+N8</f>
        <v>180</v>
      </c>
      <c r="Q8" s="205">
        <f t="shared" si="1"/>
        <v>217</v>
      </c>
      <c r="R8" s="205">
        <f t="shared" si="1"/>
        <v>688</v>
      </c>
      <c r="S8" s="205">
        <f t="shared" si="2"/>
        <v>905</v>
      </c>
    </row>
    <row r="9" spans="2:19" ht="24.5">
      <c r="B9" s="262" t="s">
        <v>1</v>
      </c>
      <c r="C9" s="262"/>
      <c r="D9" s="262"/>
      <c r="E9" s="206">
        <f t="shared" ref="E9:P9" si="3">SUM(E6:E8)</f>
        <v>2662</v>
      </c>
      <c r="F9" s="206">
        <f t="shared" si="3"/>
        <v>3005</v>
      </c>
      <c r="G9" s="207">
        <f t="shared" si="3"/>
        <v>166</v>
      </c>
      <c r="H9" s="207">
        <f t="shared" si="3"/>
        <v>288</v>
      </c>
      <c r="I9" s="208">
        <f t="shared" si="3"/>
        <v>231</v>
      </c>
      <c r="J9" s="208">
        <f t="shared" si="3"/>
        <v>197</v>
      </c>
      <c r="K9" s="209">
        <f t="shared" si="3"/>
        <v>231</v>
      </c>
      <c r="L9" s="209">
        <f t="shared" si="3"/>
        <v>202</v>
      </c>
      <c r="M9" s="207">
        <f t="shared" ref="M9:N9" si="4">SUM(M6:M8)</f>
        <v>193</v>
      </c>
      <c r="N9" s="207">
        <f t="shared" si="4"/>
        <v>217</v>
      </c>
      <c r="O9" s="206">
        <f t="shared" si="3"/>
        <v>821</v>
      </c>
      <c r="P9" s="206">
        <f t="shared" si="3"/>
        <v>904</v>
      </c>
      <c r="Q9" s="210">
        <f>SUM(Q6:Q8)</f>
        <v>3483</v>
      </c>
      <c r="R9" s="210">
        <f t="shared" ref="R9:S9" si="5">SUM(R6:R8)</f>
        <v>3909</v>
      </c>
      <c r="S9" s="210">
        <f t="shared" si="5"/>
        <v>7392</v>
      </c>
    </row>
    <row r="10" spans="2:19" ht="24.5">
      <c r="B10" s="263" t="s">
        <v>581</v>
      </c>
      <c r="C10" s="263"/>
      <c r="D10" s="263"/>
      <c r="E10" s="253">
        <f>E9+F9</f>
        <v>5667</v>
      </c>
      <c r="F10" s="253"/>
      <c r="G10" s="253">
        <f>G9+H9</f>
        <v>454</v>
      </c>
      <c r="H10" s="253"/>
      <c r="I10" s="253">
        <f>I9+J9</f>
        <v>428</v>
      </c>
      <c r="J10" s="253"/>
      <c r="K10" s="253">
        <f>K9+L9</f>
        <v>433</v>
      </c>
      <c r="L10" s="253"/>
      <c r="M10" s="253">
        <f>M9+N9</f>
        <v>410</v>
      </c>
      <c r="N10" s="253"/>
      <c r="O10" s="253">
        <f>O9+P9</f>
        <v>1725</v>
      </c>
      <c r="P10" s="253"/>
      <c r="Q10" s="254">
        <f>Q9+R9</f>
        <v>7392</v>
      </c>
      <c r="R10" s="254"/>
      <c r="S10" s="211"/>
    </row>
  </sheetData>
  <mergeCells count="36">
    <mergeCell ref="B2:D2"/>
    <mergeCell ref="E2:F2"/>
    <mergeCell ref="G2:H2"/>
    <mergeCell ref="I2:J2"/>
    <mergeCell ref="K2:L2"/>
    <mergeCell ref="B3:D5"/>
    <mergeCell ref="E3:E5"/>
    <mergeCell ref="F3:F5"/>
    <mergeCell ref="G3:G5"/>
    <mergeCell ref="H3:H5"/>
    <mergeCell ref="E10:F10"/>
    <mergeCell ref="G10:H10"/>
    <mergeCell ref="I10:J10"/>
    <mergeCell ref="K10:L10"/>
    <mergeCell ref="M3:M5"/>
    <mergeCell ref="I3:I5"/>
    <mergeCell ref="J3:J5"/>
    <mergeCell ref="K3:K5"/>
    <mergeCell ref="L3:L5"/>
    <mergeCell ref="B6:D6"/>
    <mergeCell ref="B7:D7"/>
    <mergeCell ref="B8:D8"/>
    <mergeCell ref="B9:D9"/>
    <mergeCell ref="B10:D10"/>
    <mergeCell ref="M10:N10"/>
    <mergeCell ref="O10:P10"/>
    <mergeCell ref="Q10:R10"/>
    <mergeCell ref="Q2:S2"/>
    <mergeCell ref="S3:S5"/>
    <mergeCell ref="N3:N5"/>
    <mergeCell ref="O3:O5"/>
    <mergeCell ref="P3:P5"/>
    <mergeCell ref="Q3:Q5"/>
    <mergeCell ref="R3:R5"/>
    <mergeCell ref="O2:P2"/>
    <mergeCell ref="M2:N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67509-9106-4EAA-8E03-9B650AAD5A6E}">
  <dimension ref="A1:R50"/>
  <sheetViews>
    <sheetView topLeftCell="C19" zoomScale="60" zoomScaleNormal="60" workbookViewId="0">
      <selection activeCell="N6" sqref="N6:O16"/>
    </sheetView>
  </sheetViews>
  <sheetFormatPr defaultRowHeight="14.5"/>
  <cols>
    <col min="2" max="2" width="21.453125" customWidth="1"/>
    <col min="3" max="3" width="23.81640625" customWidth="1"/>
    <col min="4" max="13" width="14.453125" customWidth="1"/>
    <col min="14" max="14" width="12.6328125" customWidth="1"/>
    <col min="15" max="15" width="22.7265625" customWidth="1"/>
    <col min="16" max="16" width="12.6328125" customWidth="1"/>
    <col min="17" max="17" width="17.6328125" customWidth="1"/>
    <col min="18" max="18" width="17.36328125" style="186" customWidth="1"/>
  </cols>
  <sheetData>
    <row r="1" spans="1:18" ht="38" customHeight="1">
      <c r="A1" s="298" t="s">
        <v>582</v>
      </c>
      <c r="B1" s="298"/>
      <c r="C1" s="298"/>
      <c r="D1" s="298"/>
      <c r="E1" s="298"/>
      <c r="F1" s="298"/>
      <c r="G1" s="298"/>
      <c r="H1" s="298"/>
      <c r="I1" s="298"/>
      <c r="J1" s="298"/>
      <c r="K1" s="298"/>
      <c r="L1" s="298"/>
      <c r="M1" s="298"/>
      <c r="N1" s="298"/>
      <c r="O1" s="298"/>
      <c r="P1" s="298"/>
      <c r="Q1" s="298"/>
      <c r="R1" s="298"/>
    </row>
    <row r="2" spans="1:18" ht="36.5">
      <c r="A2" s="275" t="s">
        <v>564</v>
      </c>
      <c r="B2" s="275"/>
      <c r="C2" s="275"/>
      <c r="D2" s="275" t="s">
        <v>597</v>
      </c>
      <c r="E2" s="275"/>
      <c r="F2" s="275" t="s">
        <v>572</v>
      </c>
      <c r="G2" s="275"/>
      <c r="H2" s="275" t="s">
        <v>571</v>
      </c>
      <c r="I2" s="275"/>
      <c r="J2" s="275" t="s">
        <v>573</v>
      </c>
      <c r="K2" s="275"/>
      <c r="L2" s="275" t="s">
        <v>593</v>
      </c>
      <c r="M2" s="275"/>
      <c r="N2" s="275" t="s">
        <v>594</v>
      </c>
      <c r="O2" s="275"/>
      <c r="P2" s="191" t="s">
        <v>595</v>
      </c>
      <c r="Q2" s="195"/>
      <c r="R2" s="196"/>
    </row>
    <row r="3" spans="1:18" ht="14.5" customHeight="1">
      <c r="A3" s="274" t="s">
        <v>9</v>
      </c>
      <c r="B3" s="274" t="s">
        <v>39</v>
      </c>
      <c r="C3" s="274" t="s">
        <v>40</v>
      </c>
      <c r="D3" s="274" t="s">
        <v>562</v>
      </c>
      <c r="E3" s="274" t="s">
        <v>563</v>
      </c>
      <c r="F3" s="274" t="s">
        <v>562</v>
      </c>
      <c r="G3" s="274" t="s">
        <v>563</v>
      </c>
      <c r="H3" s="274" t="s">
        <v>562</v>
      </c>
      <c r="I3" s="274" t="s">
        <v>563</v>
      </c>
      <c r="J3" s="274" t="s">
        <v>562</v>
      </c>
      <c r="K3" s="274" t="s">
        <v>563</v>
      </c>
      <c r="L3" s="274" t="s">
        <v>562</v>
      </c>
      <c r="M3" s="274" t="s">
        <v>563</v>
      </c>
      <c r="N3" s="274" t="s">
        <v>562</v>
      </c>
      <c r="O3" s="274" t="s">
        <v>563</v>
      </c>
      <c r="P3" s="274" t="s">
        <v>562</v>
      </c>
      <c r="Q3" s="274" t="s">
        <v>563</v>
      </c>
      <c r="R3" s="274" t="s">
        <v>591</v>
      </c>
    </row>
    <row r="4" spans="1:18" ht="36" customHeight="1">
      <c r="A4" s="274"/>
      <c r="B4" s="274"/>
      <c r="C4" s="274"/>
      <c r="D4" s="274"/>
      <c r="E4" s="274"/>
      <c r="F4" s="274"/>
      <c r="G4" s="274"/>
      <c r="H4" s="274"/>
      <c r="I4" s="274"/>
      <c r="J4" s="274"/>
      <c r="K4" s="274"/>
      <c r="L4" s="274"/>
      <c r="M4" s="274"/>
      <c r="N4" s="274"/>
      <c r="O4" s="274"/>
      <c r="P4" s="274"/>
      <c r="Q4" s="274"/>
      <c r="R4" s="274"/>
    </row>
    <row r="5" spans="1:18" ht="55" customHeight="1">
      <c r="A5" s="274"/>
      <c r="B5" s="274"/>
      <c r="C5" s="274"/>
      <c r="D5" s="274"/>
      <c r="E5" s="274"/>
      <c r="F5" s="274"/>
      <c r="G5" s="274"/>
      <c r="H5" s="274"/>
      <c r="I5" s="274"/>
      <c r="J5" s="274"/>
      <c r="K5" s="274"/>
      <c r="L5" s="274"/>
      <c r="M5" s="274"/>
      <c r="N5" s="274"/>
      <c r="O5" s="274"/>
      <c r="P5" s="274"/>
      <c r="Q5" s="274"/>
      <c r="R5" s="274"/>
    </row>
    <row r="6" spans="1:18" ht="46">
      <c r="A6" s="184">
        <v>10.37</v>
      </c>
      <c r="B6" s="171" t="s">
        <v>51</v>
      </c>
      <c r="C6" s="184" t="s">
        <v>52</v>
      </c>
      <c r="D6" s="179">
        <v>84</v>
      </c>
      <c r="E6" s="179">
        <v>233</v>
      </c>
      <c r="F6" s="42">
        <v>7</v>
      </c>
      <c r="G6" s="42">
        <v>17</v>
      </c>
      <c r="H6" s="85">
        <v>8</v>
      </c>
      <c r="I6" s="85">
        <v>20</v>
      </c>
      <c r="J6" s="48">
        <v>7</v>
      </c>
      <c r="K6" s="48">
        <v>14</v>
      </c>
      <c r="L6" s="42">
        <v>10</v>
      </c>
      <c r="M6" s="42">
        <v>24</v>
      </c>
      <c r="N6" s="187">
        <f>F6+H6+J6+L6</f>
        <v>32</v>
      </c>
      <c r="O6" s="187">
        <f>G6+I6+K6+M6</f>
        <v>75</v>
      </c>
      <c r="P6" s="192">
        <f>D6+N6</f>
        <v>116</v>
      </c>
      <c r="Q6" s="192">
        <f>E6+O6</f>
        <v>308</v>
      </c>
      <c r="R6" s="197">
        <f>P6+Q6</f>
        <v>424</v>
      </c>
    </row>
    <row r="7" spans="1:18" ht="73.5">
      <c r="A7" s="184">
        <v>10.47</v>
      </c>
      <c r="B7" s="172" t="s">
        <v>53</v>
      </c>
      <c r="C7" s="184" t="s">
        <v>54</v>
      </c>
      <c r="D7" s="179">
        <v>688</v>
      </c>
      <c r="E7" s="179">
        <v>546</v>
      </c>
      <c r="F7" s="42">
        <v>21</v>
      </c>
      <c r="G7" s="42">
        <v>30</v>
      </c>
      <c r="H7" s="85">
        <v>23</v>
      </c>
      <c r="I7" s="85">
        <v>20</v>
      </c>
      <c r="J7" s="48">
        <v>85</v>
      </c>
      <c r="K7" s="48">
        <v>28</v>
      </c>
      <c r="L7" s="42">
        <v>79</v>
      </c>
      <c r="M7" s="42">
        <v>21</v>
      </c>
      <c r="N7" s="187">
        <f t="shared" ref="N7:N16" si="0">F7+H7+J7+L7</f>
        <v>208</v>
      </c>
      <c r="O7" s="187">
        <f t="shared" ref="O7:O16" si="1">G7+I7+K7+M7</f>
        <v>99</v>
      </c>
      <c r="P7" s="192">
        <f>D7+N7</f>
        <v>896</v>
      </c>
      <c r="Q7" s="192">
        <f>E7+O7</f>
        <v>645</v>
      </c>
      <c r="R7" s="197">
        <f t="shared" ref="R7:R16" si="2">P7+Q7</f>
        <v>1541</v>
      </c>
    </row>
    <row r="8" spans="1:18" ht="46">
      <c r="A8" s="184">
        <v>10.39</v>
      </c>
      <c r="B8" s="171" t="s">
        <v>55</v>
      </c>
      <c r="C8" s="184" t="s">
        <v>52</v>
      </c>
      <c r="D8" s="179">
        <v>231</v>
      </c>
      <c r="E8" s="179">
        <v>141</v>
      </c>
      <c r="F8" s="42">
        <v>18</v>
      </c>
      <c r="G8" s="42">
        <v>10</v>
      </c>
      <c r="H8" s="85">
        <v>43</v>
      </c>
      <c r="I8" s="85">
        <v>10</v>
      </c>
      <c r="J8" s="48">
        <v>16</v>
      </c>
      <c r="K8" s="48">
        <v>5</v>
      </c>
      <c r="L8" s="42">
        <v>14</v>
      </c>
      <c r="M8" s="42">
        <v>6</v>
      </c>
      <c r="N8" s="187">
        <f t="shared" si="0"/>
        <v>91</v>
      </c>
      <c r="O8" s="187">
        <f t="shared" si="1"/>
        <v>31</v>
      </c>
      <c r="P8" s="192">
        <f t="shared" ref="P8:P16" si="3">D8+N8</f>
        <v>322</v>
      </c>
      <c r="Q8" s="192">
        <f t="shared" ref="Q8:Q16" si="4">E8+O8</f>
        <v>172</v>
      </c>
      <c r="R8" s="197">
        <f t="shared" si="2"/>
        <v>494</v>
      </c>
    </row>
    <row r="9" spans="1:18" ht="32.5">
      <c r="A9" s="184">
        <v>10.48</v>
      </c>
      <c r="B9" s="172" t="s">
        <v>56</v>
      </c>
      <c r="C9" s="184" t="s">
        <v>54</v>
      </c>
      <c r="D9" s="179">
        <v>421</v>
      </c>
      <c r="E9" s="179">
        <v>56</v>
      </c>
      <c r="F9" s="42">
        <v>2</v>
      </c>
      <c r="G9" s="42">
        <v>5</v>
      </c>
      <c r="H9" s="85">
        <v>21</v>
      </c>
      <c r="I9" s="85">
        <v>4</v>
      </c>
      <c r="J9" s="48">
        <v>19</v>
      </c>
      <c r="K9" s="48">
        <v>4</v>
      </c>
      <c r="L9" s="42">
        <v>21</v>
      </c>
      <c r="M9" s="42">
        <v>4</v>
      </c>
      <c r="N9" s="187">
        <f t="shared" si="0"/>
        <v>63</v>
      </c>
      <c r="O9" s="187">
        <f t="shared" si="1"/>
        <v>17</v>
      </c>
      <c r="P9" s="192">
        <f t="shared" si="3"/>
        <v>484</v>
      </c>
      <c r="Q9" s="192">
        <f t="shared" si="4"/>
        <v>73</v>
      </c>
      <c r="R9" s="197">
        <f t="shared" si="2"/>
        <v>557</v>
      </c>
    </row>
    <row r="10" spans="1:18" ht="49">
      <c r="A10" s="184">
        <v>10.49</v>
      </c>
      <c r="B10" s="172" t="s">
        <v>57</v>
      </c>
      <c r="C10" s="184" t="s">
        <v>54</v>
      </c>
      <c r="D10" s="179">
        <v>400</v>
      </c>
      <c r="E10" s="179">
        <v>137</v>
      </c>
      <c r="F10" s="42">
        <v>20</v>
      </c>
      <c r="G10" s="42">
        <v>11</v>
      </c>
      <c r="H10" s="85">
        <v>78</v>
      </c>
      <c r="I10" s="85">
        <v>14</v>
      </c>
      <c r="J10" s="48">
        <v>10</v>
      </c>
      <c r="K10" s="48">
        <v>15</v>
      </c>
      <c r="L10" s="42">
        <v>4</v>
      </c>
      <c r="M10" s="42">
        <v>10</v>
      </c>
      <c r="N10" s="187">
        <f t="shared" si="0"/>
        <v>112</v>
      </c>
      <c r="O10" s="187">
        <f t="shared" si="1"/>
        <v>50</v>
      </c>
      <c r="P10" s="192">
        <f t="shared" si="3"/>
        <v>512</v>
      </c>
      <c r="Q10" s="192">
        <f t="shared" si="4"/>
        <v>187</v>
      </c>
      <c r="R10" s="197">
        <f t="shared" si="2"/>
        <v>699</v>
      </c>
    </row>
    <row r="11" spans="1:18" ht="49">
      <c r="A11" s="184">
        <v>10.45</v>
      </c>
      <c r="B11" s="172" t="s">
        <v>58</v>
      </c>
      <c r="C11" s="184" t="s">
        <v>52</v>
      </c>
      <c r="D11" s="179">
        <v>408</v>
      </c>
      <c r="E11" s="179">
        <v>296</v>
      </c>
      <c r="F11" s="42">
        <v>49</v>
      </c>
      <c r="G11" s="42">
        <v>41</v>
      </c>
      <c r="H11" s="85">
        <v>16</v>
      </c>
      <c r="I11" s="85">
        <v>7</v>
      </c>
      <c r="J11" s="48">
        <v>42</v>
      </c>
      <c r="K11" s="48">
        <v>7</v>
      </c>
      <c r="L11" s="42">
        <v>25</v>
      </c>
      <c r="M11" s="42">
        <v>7</v>
      </c>
      <c r="N11" s="187">
        <f t="shared" si="0"/>
        <v>132</v>
      </c>
      <c r="O11" s="187">
        <f t="shared" si="1"/>
        <v>62</v>
      </c>
      <c r="P11" s="192">
        <f t="shared" si="3"/>
        <v>540</v>
      </c>
      <c r="Q11" s="192">
        <f t="shared" si="4"/>
        <v>358</v>
      </c>
      <c r="R11" s="197">
        <f t="shared" si="2"/>
        <v>898</v>
      </c>
    </row>
    <row r="12" spans="1:18" ht="32.5">
      <c r="A12" s="184">
        <v>9.19</v>
      </c>
      <c r="B12" s="172" t="s">
        <v>59</v>
      </c>
      <c r="C12" s="184" t="s">
        <v>60</v>
      </c>
      <c r="D12" s="179">
        <v>54</v>
      </c>
      <c r="E12" s="179">
        <v>193</v>
      </c>
      <c r="F12" s="42">
        <v>0</v>
      </c>
      <c r="G12" s="42">
        <v>49</v>
      </c>
      <c r="H12" s="85">
        <v>0</v>
      </c>
      <c r="I12" s="85">
        <v>10</v>
      </c>
      <c r="J12" s="48">
        <v>2</v>
      </c>
      <c r="K12" s="48">
        <v>10</v>
      </c>
      <c r="L12" s="42">
        <v>0</v>
      </c>
      <c r="M12" s="42">
        <v>0</v>
      </c>
      <c r="N12" s="187">
        <f t="shared" si="0"/>
        <v>2</v>
      </c>
      <c r="O12" s="187">
        <f t="shared" si="1"/>
        <v>69</v>
      </c>
      <c r="P12" s="192">
        <f t="shared" si="3"/>
        <v>56</v>
      </c>
      <c r="Q12" s="192">
        <f t="shared" si="4"/>
        <v>262</v>
      </c>
      <c r="R12" s="197">
        <f t="shared" si="2"/>
        <v>318</v>
      </c>
    </row>
    <row r="13" spans="1:18" ht="32.5">
      <c r="A13" s="184">
        <v>10.43</v>
      </c>
      <c r="B13" s="172" t="s">
        <v>61</v>
      </c>
      <c r="C13" s="184" t="s">
        <v>52</v>
      </c>
      <c r="D13" s="179">
        <v>20</v>
      </c>
      <c r="E13" s="179">
        <v>232</v>
      </c>
      <c r="F13" s="62">
        <v>8</v>
      </c>
      <c r="G13" s="62">
        <v>32</v>
      </c>
      <c r="H13" s="86">
        <v>6</v>
      </c>
      <c r="I13" s="86">
        <v>15</v>
      </c>
      <c r="J13" s="56">
        <v>7</v>
      </c>
      <c r="K13" s="56">
        <v>9</v>
      </c>
      <c r="L13" s="62">
        <v>6</v>
      </c>
      <c r="M13" s="62">
        <v>9</v>
      </c>
      <c r="N13" s="187">
        <f t="shared" si="0"/>
        <v>27</v>
      </c>
      <c r="O13" s="187">
        <f t="shared" si="1"/>
        <v>65</v>
      </c>
      <c r="P13" s="192">
        <f t="shared" si="3"/>
        <v>47</v>
      </c>
      <c r="Q13" s="192">
        <f t="shared" si="4"/>
        <v>297</v>
      </c>
      <c r="R13" s="197">
        <f t="shared" si="2"/>
        <v>344</v>
      </c>
    </row>
    <row r="14" spans="1:18" ht="32.5">
      <c r="A14" s="184">
        <v>10.46</v>
      </c>
      <c r="B14" s="172" t="s">
        <v>62</v>
      </c>
      <c r="C14" s="184" t="s">
        <v>63</v>
      </c>
      <c r="D14" s="179">
        <v>5</v>
      </c>
      <c r="E14" s="179">
        <v>167</v>
      </c>
      <c r="F14" s="62">
        <v>10</v>
      </c>
      <c r="G14" s="62">
        <v>19</v>
      </c>
      <c r="H14" s="86">
        <v>10</v>
      </c>
      <c r="I14" s="86">
        <v>17</v>
      </c>
      <c r="J14" s="56">
        <v>15</v>
      </c>
      <c r="K14" s="56">
        <v>16</v>
      </c>
      <c r="L14" s="62">
        <v>8</v>
      </c>
      <c r="M14" s="62">
        <v>15</v>
      </c>
      <c r="N14" s="187">
        <f t="shared" si="0"/>
        <v>43</v>
      </c>
      <c r="O14" s="187">
        <f t="shared" si="1"/>
        <v>67</v>
      </c>
      <c r="P14" s="192">
        <f t="shared" si="3"/>
        <v>48</v>
      </c>
      <c r="Q14" s="192">
        <f t="shared" si="4"/>
        <v>234</v>
      </c>
      <c r="R14" s="197">
        <f t="shared" si="2"/>
        <v>282</v>
      </c>
    </row>
    <row r="15" spans="1:18" ht="32.5">
      <c r="A15" s="184">
        <v>10.5</v>
      </c>
      <c r="B15" s="172" t="s">
        <v>64</v>
      </c>
      <c r="C15" s="184" t="s">
        <v>54</v>
      </c>
      <c r="D15" s="179">
        <v>3</v>
      </c>
      <c r="E15" s="179">
        <v>21</v>
      </c>
      <c r="F15" s="62">
        <v>2</v>
      </c>
      <c r="G15" s="62">
        <v>2</v>
      </c>
      <c r="H15" s="86">
        <v>4</v>
      </c>
      <c r="I15" s="86">
        <v>0</v>
      </c>
      <c r="J15" s="56">
        <v>7</v>
      </c>
      <c r="K15" s="56">
        <v>1</v>
      </c>
      <c r="L15" s="62">
        <v>5</v>
      </c>
      <c r="M15" s="62">
        <v>0</v>
      </c>
      <c r="N15" s="187">
        <f t="shared" si="0"/>
        <v>18</v>
      </c>
      <c r="O15" s="187">
        <f t="shared" si="1"/>
        <v>3</v>
      </c>
      <c r="P15" s="192">
        <f t="shared" si="3"/>
        <v>21</v>
      </c>
      <c r="Q15" s="192">
        <f t="shared" si="4"/>
        <v>24</v>
      </c>
      <c r="R15" s="197">
        <f t="shared" si="2"/>
        <v>45</v>
      </c>
    </row>
    <row r="16" spans="1:18" ht="73.5">
      <c r="A16" s="184">
        <v>11.44</v>
      </c>
      <c r="B16" s="172" t="s">
        <v>65</v>
      </c>
      <c r="C16" s="184" t="s">
        <v>66</v>
      </c>
      <c r="D16" s="179">
        <v>52</v>
      </c>
      <c r="E16" s="179">
        <v>0</v>
      </c>
      <c r="F16" s="62">
        <v>17</v>
      </c>
      <c r="G16" s="62">
        <v>11</v>
      </c>
      <c r="H16" s="86">
        <v>20</v>
      </c>
      <c r="I16" s="86">
        <v>6</v>
      </c>
      <c r="J16" s="56">
        <v>19</v>
      </c>
      <c r="K16" s="56">
        <v>6</v>
      </c>
      <c r="L16" s="62">
        <v>17</v>
      </c>
      <c r="M16" s="62">
        <v>8</v>
      </c>
      <c r="N16" s="187">
        <f t="shared" si="0"/>
        <v>73</v>
      </c>
      <c r="O16" s="187">
        <f t="shared" si="1"/>
        <v>31</v>
      </c>
      <c r="P16" s="192">
        <f t="shared" si="3"/>
        <v>125</v>
      </c>
      <c r="Q16" s="192">
        <f t="shared" si="4"/>
        <v>31</v>
      </c>
      <c r="R16" s="197">
        <f t="shared" si="2"/>
        <v>156</v>
      </c>
    </row>
    <row r="17" spans="1:18" ht="32.5">
      <c r="A17" s="286" t="s">
        <v>1</v>
      </c>
      <c r="B17" s="286"/>
      <c r="C17" s="286"/>
      <c r="D17" s="185">
        <f t="shared" ref="D17:O17" si="5">SUM(D6:D16)</f>
        <v>2366</v>
      </c>
      <c r="E17" s="185">
        <f t="shared" si="5"/>
        <v>2022</v>
      </c>
      <c r="F17" s="181">
        <f t="shared" si="5"/>
        <v>154</v>
      </c>
      <c r="G17" s="181">
        <f t="shared" si="5"/>
        <v>227</v>
      </c>
      <c r="H17" s="182">
        <f t="shared" si="5"/>
        <v>229</v>
      </c>
      <c r="I17" s="182">
        <f t="shared" si="5"/>
        <v>123</v>
      </c>
      <c r="J17" s="183">
        <f t="shared" si="5"/>
        <v>229</v>
      </c>
      <c r="K17" s="183">
        <f t="shared" si="5"/>
        <v>115</v>
      </c>
      <c r="L17" s="181">
        <f t="shared" si="5"/>
        <v>189</v>
      </c>
      <c r="M17" s="181">
        <f t="shared" si="5"/>
        <v>104</v>
      </c>
      <c r="N17" s="185">
        <f t="shared" si="5"/>
        <v>801</v>
      </c>
      <c r="O17" s="185">
        <f t="shared" si="5"/>
        <v>569</v>
      </c>
      <c r="P17" s="193">
        <f t="shared" ref="P17" si="6">SUM(P6:P16)</f>
        <v>3167</v>
      </c>
      <c r="Q17" s="193">
        <f t="shared" ref="Q17:R17" si="7">SUM(Q6:Q16)</f>
        <v>2591</v>
      </c>
      <c r="R17" s="193">
        <f t="shared" si="7"/>
        <v>5758</v>
      </c>
    </row>
    <row r="18" spans="1:18" ht="53.5" customHeight="1">
      <c r="A18" s="287" t="s">
        <v>581</v>
      </c>
      <c r="B18" s="287"/>
      <c r="C18" s="287"/>
      <c r="D18" s="282">
        <f>D17+E17</f>
        <v>4388</v>
      </c>
      <c r="E18" s="282"/>
      <c r="F18" s="282">
        <f>F17+G17</f>
        <v>381</v>
      </c>
      <c r="G18" s="282"/>
      <c r="H18" s="282">
        <f>H17+I17</f>
        <v>352</v>
      </c>
      <c r="I18" s="282"/>
      <c r="J18" s="282">
        <f>J17+K17</f>
        <v>344</v>
      </c>
      <c r="K18" s="282"/>
      <c r="L18" s="300">
        <f>L17+M17</f>
        <v>293</v>
      </c>
      <c r="M18" s="301"/>
      <c r="N18" s="282">
        <f>N17+O17</f>
        <v>1370</v>
      </c>
      <c r="O18" s="282"/>
      <c r="P18" s="282">
        <f>P17+Q17</f>
        <v>5758</v>
      </c>
      <c r="Q18" s="282"/>
      <c r="R18" s="187"/>
    </row>
    <row r="19" spans="1:18">
      <c r="A19" s="299"/>
      <c r="B19" s="299"/>
      <c r="C19" s="299"/>
      <c r="D19" s="299"/>
      <c r="E19" s="299"/>
      <c r="F19" s="299"/>
      <c r="G19" s="299"/>
      <c r="H19" s="299"/>
      <c r="I19" s="299"/>
      <c r="J19" s="299"/>
      <c r="K19" s="299"/>
      <c r="L19" s="299"/>
      <c r="M19" s="299"/>
      <c r="N19" s="299"/>
      <c r="O19" s="299"/>
    </row>
    <row r="20" spans="1:18" ht="36.5">
      <c r="A20" s="275" t="s">
        <v>577</v>
      </c>
      <c r="B20" s="275"/>
      <c r="C20" s="275"/>
      <c r="D20" s="275" t="s">
        <v>597</v>
      </c>
      <c r="E20" s="275"/>
      <c r="F20" s="275" t="s">
        <v>572</v>
      </c>
      <c r="G20" s="275"/>
      <c r="H20" s="275" t="s">
        <v>571</v>
      </c>
      <c r="I20" s="275"/>
      <c r="J20" s="275" t="s">
        <v>573</v>
      </c>
      <c r="K20" s="275"/>
      <c r="L20" s="275" t="s">
        <v>593</v>
      </c>
      <c r="M20" s="275"/>
      <c r="N20" s="275" t="s">
        <v>594</v>
      </c>
      <c r="O20" s="275"/>
      <c r="P20" s="276" t="s">
        <v>595</v>
      </c>
      <c r="Q20" s="277"/>
      <c r="R20" s="278"/>
    </row>
    <row r="21" spans="1:18" ht="14.5" customHeight="1">
      <c r="A21" s="274" t="s">
        <v>9</v>
      </c>
      <c r="B21" s="274" t="s">
        <v>39</v>
      </c>
      <c r="C21" s="274" t="s">
        <v>40</v>
      </c>
      <c r="D21" s="274" t="s">
        <v>562</v>
      </c>
      <c r="E21" s="274" t="s">
        <v>563</v>
      </c>
      <c r="F21" s="274" t="s">
        <v>562</v>
      </c>
      <c r="G21" s="274" t="s">
        <v>563</v>
      </c>
      <c r="H21" s="274" t="s">
        <v>562</v>
      </c>
      <c r="I21" s="274" t="s">
        <v>563</v>
      </c>
      <c r="J21" s="274" t="s">
        <v>562</v>
      </c>
      <c r="K21" s="274" t="s">
        <v>563</v>
      </c>
      <c r="L21" s="274" t="s">
        <v>562</v>
      </c>
      <c r="M21" s="274" t="s">
        <v>563</v>
      </c>
      <c r="N21" s="274" t="s">
        <v>562</v>
      </c>
      <c r="O21" s="274" t="s">
        <v>563</v>
      </c>
      <c r="P21" s="274" t="s">
        <v>562</v>
      </c>
      <c r="Q21" s="274" t="s">
        <v>563</v>
      </c>
      <c r="R21" s="274" t="s">
        <v>591</v>
      </c>
    </row>
    <row r="22" spans="1:18">
      <c r="A22" s="274"/>
      <c r="B22" s="274"/>
      <c r="C22" s="274"/>
      <c r="D22" s="274"/>
      <c r="E22" s="274"/>
      <c r="F22" s="274"/>
      <c r="G22" s="274"/>
      <c r="H22" s="274"/>
      <c r="I22" s="274"/>
      <c r="J22" s="274"/>
      <c r="K22" s="274"/>
      <c r="L22" s="274"/>
      <c r="M22" s="274"/>
      <c r="N22" s="274"/>
      <c r="O22" s="274"/>
      <c r="P22" s="274"/>
      <c r="Q22" s="274"/>
      <c r="R22" s="274"/>
    </row>
    <row r="23" spans="1:18" ht="54" customHeight="1">
      <c r="A23" s="274"/>
      <c r="B23" s="274"/>
      <c r="C23" s="274"/>
      <c r="D23" s="274"/>
      <c r="E23" s="274"/>
      <c r="F23" s="274"/>
      <c r="G23" s="274"/>
      <c r="H23" s="274"/>
      <c r="I23" s="274"/>
      <c r="J23" s="274"/>
      <c r="K23" s="274"/>
      <c r="L23" s="274"/>
      <c r="M23" s="274"/>
      <c r="N23" s="274"/>
      <c r="O23" s="274"/>
      <c r="P23" s="274"/>
      <c r="Q23" s="274"/>
      <c r="R23" s="274"/>
    </row>
    <row r="24" spans="1:18" ht="55.5" customHeight="1">
      <c r="A24" s="170">
        <v>8.0299999999999994</v>
      </c>
      <c r="B24" s="171" t="s">
        <v>578</v>
      </c>
      <c r="C24" s="170" t="s">
        <v>60</v>
      </c>
      <c r="D24" s="179">
        <v>74</v>
      </c>
      <c r="E24" s="179">
        <v>251</v>
      </c>
      <c r="F24" s="42">
        <v>12</v>
      </c>
      <c r="G24" s="42">
        <v>7</v>
      </c>
      <c r="H24" s="86">
        <v>1</v>
      </c>
      <c r="I24" s="86">
        <v>21</v>
      </c>
      <c r="J24" s="56">
        <v>0</v>
      </c>
      <c r="K24" s="56">
        <v>19</v>
      </c>
      <c r="L24" s="62">
        <v>2</v>
      </c>
      <c r="M24" s="62">
        <v>39</v>
      </c>
      <c r="N24" s="187">
        <f t="shared" ref="N24:N25" si="8">F24+H24+J24+L24</f>
        <v>15</v>
      </c>
      <c r="O24" s="187">
        <f t="shared" ref="O24:O25" si="9">G24+I24+K24+M24</f>
        <v>86</v>
      </c>
      <c r="P24" s="192">
        <f>D24+N24</f>
        <v>89</v>
      </c>
      <c r="Q24" s="192">
        <f>E24+O24</f>
        <v>337</v>
      </c>
      <c r="R24" s="197">
        <f>P24+Q24</f>
        <v>426</v>
      </c>
    </row>
    <row r="25" spans="1:18" ht="47.5" customHeight="1">
      <c r="A25" s="170">
        <v>8.0399999999999991</v>
      </c>
      <c r="B25" s="172" t="s">
        <v>579</v>
      </c>
      <c r="C25" s="170" t="s">
        <v>580</v>
      </c>
      <c r="D25" s="179">
        <v>10</v>
      </c>
      <c r="E25" s="179">
        <v>224</v>
      </c>
      <c r="F25" s="42">
        <v>0</v>
      </c>
      <c r="G25" s="42">
        <v>11</v>
      </c>
      <c r="H25" s="86">
        <v>0</v>
      </c>
      <c r="I25" s="86">
        <v>15</v>
      </c>
      <c r="J25" s="56">
        <v>0</v>
      </c>
      <c r="K25" s="56">
        <v>8</v>
      </c>
      <c r="L25" s="62">
        <v>0</v>
      </c>
      <c r="M25" s="62">
        <v>35</v>
      </c>
      <c r="N25" s="187">
        <f t="shared" si="8"/>
        <v>0</v>
      </c>
      <c r="O25" s="187">
        <f t="shared" si="9"/>
        <v>69</v>
      </c>
      <c r="P25" s="192">
        <f>D25+N25</f>
        <v>10</v>
      </c>
      <c r="Q25" s="192">
        <f>E25+O25</f>
        <v>293</v>
      </c>
      <c r="R25" s="197">
        <f t="shared" ref="R25:R26" si="10">P25+Q25</f>
        <v>303</v>
      </c>
    </row>
    <row r="26" spans="1:18" ht="32.5">
      <c r="A26" s="286" t="s">
        <v>1</v>
      </c>
      <c r="B26" s="286"/>
      <c r="C26" s="286"/>
      <c r="D26" s="180">
        <f t="shared" ref="D26:O26" si="11">SUM(D24:D25)</f>
        <v>84</v>
      </c>
      <c r="E26" s="180">
        <f t="shared" si="11"/>
        <v>475</v>
      </c>
      <c r="F26" s="181">
        <f t="shared" si="11"/>
        <v>12</v>
      </c>
      <c r="G26" s="181">
        <f t="shared" si="11"/>
        <v>18</v>
      </c>
      <c r="H26" s="111">
        <f t="shared" si="11"/>
        <v>1</v>
      </c>
      <c r="I26" s="111">
        <f t="shared" si="11"/>
        <v>36</v>
      </c>
      <c r="J26" s="112">
        <f t="shared" si="11"/>
        <v>0</v>
      </c>
      <c r="K26" s="112">
        <f t="shared" si="11"/>
        <v>27</v>
      </c>
      <c r="L26" s="123">
        <f t="shared" si="11"/>
        <v>2</v>
      </c>
      <c r="M26" s="123">
        <f t="shared" si="11"/>
        <v>74</v>
      </c>
      <c r="N26" s="180">
        <f t="shared" si="11"/>
        <v>15</v>
      </c>
      <c r="O26" s="180">
        <f t="shared" si="11"/>
        <v>155</v>
      </c>
      <c r="P26" s="193">
        <f t="shared" ref="P26" si="12">SUM(P24:P25)</f>
        <v>99</v>
      </c>
      <c r="Q26" s="193">
        <f t="shared" ref="Q26" si="13">SUM(Q24:Q25)</f>
        <v>630</v>
      </c>
      <c r="R26" s="197">
        <f t="shared" si="10"/>
        <v>729</v>
      </c>
    </row>
    <row r="27" spans="1:18" ht="32.5">
      <c r="A27" s="287" t="s">
        <v>581</v>
      </c>
      <c r="B27" s="287"/>
      <c r="C27" s="287"/>
      <c r="D27" s="282">
        <f>D26+E26</f>
        <v>559</v>
      </c>
      <c r="E27" s="282"/>
      <c r="F27" s="282">
        <f>F26+G26</f>
        <v>30</v>
      </c>
      <c r="G27" s="282"/>
      <c r="H27" s="282">
        <f>H26+I26</f>
        <v>37</v>
      </c>
      <c r="I27" s="282"/>
      <c r="J27" s="282">
        <f>J26+K26</f>
        <v>27</v>
      </c>
      <c r="K27" s="282"/>
      <c r="L27" s="282">
        <f>L26+M26</f>
        <v>76</v>
      </c>
      <c r="M27" s="282"/>
      <c r="N27" s="282">
        <f>N26+O26</f>
        <v>170</v>
      </c>
      <c r="O27" s="282"/>
      <c r="P27" s="297">
        <f>P26+Q26</f>
        <v>729</v>
      </c>
      <c r="Q27" s="297"/>
      <c r="R27" s="194"/>
    </row>
    <row r="29" spans="1:18" ht="36.5">
      <c r="A29" s="275" t="s">
        <v>583</v>
      </c>
      <c r="B29" s="275"/>
      <c r="C29" s="275"/>
      <c r="D29" s="275" t="s">
        <v>597</v>
      </c>
      <c r="E29" s="275"/>
      <c r="F29" s="275" t="s">
        <v>572</v>
      </c>
      <c r="G29" s="275"/>
      <c r="H29" s="275" t="s">
        <v>571</v>
      </c>
      <c r="I29" s="275"/>
      <c r="J29" s="275" t="s">
        <v>573</v>
      </c>
      <c r="K29" s="275"/>
      <c r="L29" s="275" t="s">
        <v>593</v>
      </c>
      <c r="M29" s="275"/>
      <c r="N29" s="275" t="s">
        <v>594</v>
      </c>
      <c r="O29" s="275"/>
      <c r="P29" s="191" t="s">
        <v>595</v>
      </c>
      <c r="Q29" s="195"/>
      <c r="R29" s="196"/>
    </row>
    <row r="30" spans="1:18" ht="14.5" customHeight="1">
      <c r="A30" s="274" t="s">
        <v>9</v>
      </c>
      <c r="B30" s="274" t="s">
        <v>39</v>
      </c>
      <c r="C30" s="274" t="s">
        <v>40</v>
      </c>
      <c r="D30" s="274" t="s">
        <v>562</v>
      </c>
      <c r="E30" s="274" t="s">
        <v>563</v>
      </c>
      <c r="F30" s="274" t="s">
        <v>562</v>
      </c>
      <c r="G30" s="274" t="s">
        <v>563</v>
      </c>
      <c r="H30" s="274" t="s">
        <v>562</v>
      </c>
      <c r="I30" s="274" t="s">
        <v>563</v>
      </c>
      <c r="J30" s="274" t="s">
        <v>562</v>
      </c>
      <c r="K30" s="274" t="s">
        <v>563</v>
      </c>
      <c r="L30" s="274" t="s">
        <v>562</v>
      </c>
      <c r="M30" s="274" t="s">
        <v>563</v>
      </c>
      <c r="N30" s="274" t="s">
        <v>562</v>
      </c>
      <c r="O30" s="274" t="s">
        <v>563</v>
      </c>
      <c r="P30" s="274" t="s">
        <v>562</v>
      </c>
      <c r="Q30" s="274" t="s">
        <v>563</v>
      </c>
      <c r="R30" s="274" t="s">
        <v>591</v>
      </c>
    </row>
    <row r="31" spans="1:18">
      <c r="A31" s="274"/>
      <c r="B31" s="274"/>
      <c r="C31" s="274"/>
      <c r="D31" s="274"/>
      <c r="E31" s="274"/>
      <c r="F31" s="274"/>
      <c r="G31" s="274"/>
      <c r="H31" s="274"/>
      <c r="I31" s="274"/>
      <c r="J31" s="274"/>
      <c r="K31" s="274"/>
      <c r="L31" s="274"/>
      <c r="M31" s="274"/>
      <c r="N31" s="274"/>
      <c r="O31" s="274"/>
      <c r="P31" s="274"/>
      <c r="Q31" s="274"/>
      <c r="R31" s="274"/>
    </row>
    <row r="32" spans="1:18" ht="43" customHeight="1">
      <c r="A32" s="274"/>
      <c r="B32" s="274"/>
      <c r="C32" s="274"/>
      <c r="D32" s="274"/>
      <c r="E32" s="274"/>
      <c r="F32" s="274"/>
      <c r="G32" s="274"/>
      <c r="H32" s="274"/>
      <c r="I32" s="274"/>
      <c r="J32" s="274"/>
      <c r="K32" s="274"/>
      <c r="L32" s="274"/>
      <c r="M32" s="274"/>
      <c r="N32" s="274"/>
      <c r="O32" s="274"/>
      <c r="P32" s="274"/>
      <c r="Q32" s="274"/>
      <c r="R32" s="274"/>
    </row>
    <row r="33" spans="1:18" ht="32.5">
      <c r="A33" s="170">
        <v>99.09</v>
      </c>
      <c r="B33" s="171" t="s">
        <v>584</v>
      </c>
      <c r="C33" s="170" t="s">
        <v>587</v>
      </c>
      <c r="D33" s="179">
        <v>192</v>
      </c>
      <c r="E33" s="179">
        <v>261</v>
      </c>
      <c r="F33" s="42">
        <v>0</v>
      </c>
      <c r="G33" s="42">
        <v>30</v>
      </c>
      <c r="H33" s="86">
        <v>0</v>
      </c>
      <c r="I33" s="86">
        <v>23</v>
      </c>
      <c r="J33" s="56">
        <v>0</v>
      </c>
      <c r="K33" s="56">
        <v>39</v>
      </c>
      <c r="L33" s="62">
        <v>0</v>
      </c>
      <c r="M33" s="62">
        <v>23</v>
      </c>
      <c r="N33" s="187">
        <f>F33+H33+J33+L33</f>
        <v>0</v>
      </c>
      <c r="O33" s="187">
        <f t="shared" ref="O33:O34" si="14">G33+I33+K33+M33</f>
        <v>115</v>
      </c>
      <c r="P33" s="192">
        <f>D33+N33</f>
        <v>192</v>
      </c>
      <c r="Q33" s="192">
        <f>E33+O33</f>
        <v>376</v>
      </c>
      <c r="R33" s="192">
        <f>P33+Q33</f>
        <v>568</v>
      </c>
    </row>
    <row r="34" spans="1:18" ht="32.5">
      <c r="A34" s="170">
        <v>1.04</v>
      </c>
      <c r="B34" s="171" t="s">
        <v>585</v>
      </c>
      <c r="C34" s="170" t="s">
        <v>588</v>
      </c>
      <c r="D34" s="179">
        <v>5</v>
      </c>
      <c r="E34" s="179">
        <v>107</v>
      </c>
      <c r="F34" s="42">
        <v>0</v>
      </c>
      <c r="G34" s="42">
        <v>8</v>
      </c>
      <c r="H34" s="86">
        <v>1</v>
      </c>
      <c r="I34" s="86">
        <v>8</v>
      </c>
      <c r="J34" s="56">
        <v>2</v>
      </c>
      <c r="K34" s="56">
        <v>9</v>
      </c>
      <c r="L34" s="62">
        <v>2</v>
      </c>
      <c r="M34" s="62">
        <v>7</v>
      </c>
      <c r="N34" s="187">
        <f t="shared" ref="N34" si="15">F34+H34+J34+L34</f>
        <v>5</v>
      </c>
      <c r="O34" s="187">
        <f t="shared" si="14"/>
        <v>32</v>
      </c>
      <c r="P34" s="192">
        <f t="shared" ref="P34:P35" si="16">D34+N34</f>
        <v>10</v>
      </c>
      <c r="Q34" s="192">
        <f t="shared" ref="Q34:Q35" si="17">E34+O34</f>
        <v>139</v>
      </c>
      <c r="R34" s="192">
        <f t="shared" ref="R34:R35" si="18">P34+Q34</f>
        <v>149</v>
      </c>
    </row>
    <row r="35" spans="1:18" ht="32.5">
      <c r="A35" s="170">
        <v>99.06</v>
      </c>
      <c r="B35" s="172" t="s">
        <v>586</v>
      </c>
      <c r="C35" s="170" t="s">
        <v>588</v>
      </c>
      <c r="D35" s="179">
        <v>15</v>
      </c>
      <c r="E35" s="179">
        <v>140</v>
      </c>
      <c r="F35" s="42">
        <v>0</v>
      </c>
      <c r="G35" s="42">
        <v>5</v>
      </c>
      <c r="H35" s="86">
        <v>0</v>
      </c>
      <c r="I35" s="86">
        <v>7</v>
      </c>
      <c r="J35" s="56">
        <v>0</v>
      </c>
      <c r="K35" s="56">
        <v>12</v>
      </c>
      <c r="L35" s="62">
        <v>0</v>
      </c>
      <c r="M35" s="62">
        <v>9</v>
      </c>
      <c r="N35" s="187">
        <f>F35+H35+J35+L35</f>
        <v>0</v>
      </c>
      <c r="O35" s="187">
        <f>G35+I35+K35+M35</f>
        <v>33</v>
      </c>
      <c r="P35" s="192">
        <f t="shared" si="16"/>
        <v>15</v>
      </c>
      <c r="Q35" s="192">
        <f t="shared" si="17"/>
        <v>173</v>
      </c>
      <c r="R35" s="192">
        <f t="shared" si="18"/>
        <v>188</v>
      </c>
    </row>
    <row r="36" spans="1:18" ht="32.5">
      <c r="A36" s="286" t="s">
        <v>1</v>
      </c>
      <c r="B36" s="286"/>
      <c r="C36" s="286"/>
      <c r="D36" s="180">
        <f t="shared" ref="D36:O36" si="19">SUM(D33:D35)</f>
        <v>212</v>
      </c>
      <c r="E36" s="180">
        <f t="shared" si="19"/>
        <v>508</v>
      </c>
      <c r="F36" s="181">
        <f t="shared" si="19"/>
        <v>0</v>
      </c>
      <c r="G36" s="181">
        <f t="shared" si="19"/>
        <v>43</v>
      </c>
      <c r="H36" s="111">
        <f t="shared" si="19"/>
        <v>1</v>
      </c>
      <c r="I36" s="111">
        <f t="shared" si="19"/>
        <v>38</v>
      </c>
      <c r="J36" s="112">
        <f t="shared" si="19"/>
        <v>2</v>
      </c>
      <c r="K36" s="112">
        <f t="shared" si="19"/>
        <v>60</v>
      </c>
      <c r="L36" s="123">
        <f t="shared" ref="L36:M36" si="20">SUM(L33:L35)</f>
        <v>2</v>
      </c>
      <c r="M36" s="123">
        <f t="shared" si="20"/>
        <v>39</v>
      </c>
      <c r="N36" s="180">
        <f t="shared" si="19"/>
        <v>5</v>
      </c>
      <c r="O36" s="180">
        <f t="shared" si="19"/>
        <v>180</v>
      </c>
      <c r="P36" s="193">
        <f t="shared" ref="P36" si="21">SUM(P33:P35)</f>
        <v>217</v>
      </c>
      <c r="Q36" s="193">
        <f t="shared" ref="Q36:R36" si="22">SUM(Q33:Q35)</f>
        <v>688</v>
      </c>
      <c r="R36" s="193">
        <f t="shared" si="22"/>
        <v>905</v>
      </c>
    </row>
    <row r="37" spans="1:18" ht="32.5">
      <c r="A37" s="287" t="s">
        <v>581</v>
      </c>
      <c r="B37" s="287"/>
      <c r="C37" s="287"/>
      <c r="D37" s="282">
        <f>D36+E36</f>
        <v>720</v>
      </c>
      <c r="E37" s="282"/>
      <c r="F37" s="282">
        <f>F36+G36</f>
        <v>43</v>
      </c>
      <c r="G37" s="282"/>
      <c r="H37" s="282">
        <f>H36+I36</f>
        <v>39</v>
      </c>
      <c r="I37" s="282"/>
      <c r="J37" s="282">
        <f>J36+K36</f>
        <v>62</v>
      </c>
      <c r="K37" s="282"/>
      <c r="L37" s="282">
        <f>L36+M36</f>
        <v>41</v>
      </c>
      <c r="M37" s="282"/>
      <c r="N37" s="282">
        <f>N36+O36</f>
        <v>185</v>
      </c>
      <c r="O37" s="282"/>
      <c r="P37" s="297">
        <f>P36+Q36</f>
        <v>905</v>
      </c>
      <c r="Q37" s="297"/>
      <c r="R37" s="194"/>
    </row>
    <row r="38" spans="1:18">
      <c r="A38" s="279"/>
      <c r="B38" s="279"/>
      <c r="C38" s="279"/>
      <c r="D38" s="279"/>
      <c r="E38" s="279"/>
      <c r="F38" s="279"/>
      <c r="G38" s="279"/>
      <c r="H38" s="279"/>
      <c r="I38" s="279"/>
      <c r="J38" s="279"/>
      <c r="K38" s="279"/>
      <c r="L38" s="279"/>
      <c r="M38" s="279"/>
      <c r="N38" s="279"/>
      <c r="O38" s="279"/>
    </row>
    <row r="39" spans="1:18">
      <c r="A39" s="280"/>
      <c r="B39" s="280"/>
      <c r="C39" s="280"/>
      <c r="D39" s="280"/>
      <c r="E39" s="280"/>
      <c r="F39" s="280"/>
      <c r="G39" s="280"/>
      <c r="H39" s="280"/>
      <c r="I39" s="280"/>
      <c r="J39" s="280"/>
      <c r="K39" s="280"/>
      <c r="L39" s="280"/>
      <c r="M39" s="280"/>
      <c r="N39" s="280"/>
      <c r="O39" s="280"/>
    </row>
    <row r="40" spans="1:18">
      <c r="A40" s="280"/>
      <c r="B40" s="280"/>
      <c r="C40" s="280"/>
      <c r="D40" s="280"/>
      <c r="E40" s="280"/>
      <c r="F40" s="280"/>
      <c r="G40" s="280"/>
      <c r="H40" s="280"/>
      <c r="I40" s="280"/>
      <c r="J40" s="280"/>
      <c r="K40" s="280"/>
      <c r="L40" s="280"/>
      <c r="M40" s="280"/>
      <c r="N40" s="280"/>
      <c r="O40" s="280"/>
    </row>
    <row r="41" spans="1:18">
      <c r="A41" s="281"/>
      <c r="B41" s="281"/>
      <c r="C41" s="281"/>
      <c r="D41" s="281"/>
      <c r="E41" s="281"/>
      <c r="F41" s="281"/>
      <c r="G41" s="281"/>
      <c r="H41" s="281"/>
      <c r="I41" s="281"/>
      <c r="J41" s="281"/>
      <c r="K41" s="281"/>
      <c r="L41" s="281"/>
      <c r="M41" s="281"/>
      <c r="N41" s="281"/>
      <c r="O41" s="281"/>
    </row>
    <row r="42" spans="1:18" ht="36.5" hidden="1">
      <c r="A42" s="275" t="s">
        <v>589</v>
      </c>
      <c r="B42" s="275"/>
      <c r="C42" s="275"/>
      <c r="D42" s="275" t="s">
        <v>575</v>
      </c>
      <c r="E42" s="275"/>
      <c r="F42" s="275" t="s">
        <v>572</v>
      </c>
      <c r="G42" s="275"/>
      <c r="H42" s="275" t="s">
        <v>571</v>
      </c>
      <c r="I42" s="275"/>
      <c r="J42" s="275" t="s">
        <v>573</v>
      </c>
      <c r="K42" s="275"/>
      <c r="L42" s="275" t="s">
        <v>593</v>
      </c>
      <c r="M42" s="275"/>
      <c r="N42" s="275" t="s">
        <v>574</v>
      </c>
      <c r="O42" s="275"/>
      <c r="P42" s="191" t="s">
        <v>592</v>
      </c>
      <c r="Q42" s="195"/>
      <c r="R42" s="196"/>
    </row>
    <row r="43" spans="1:18" ht="14.5" hidden="1" customHeight="1">
      <c r="A43" s="288" t="s">
        <v>590</v>
      </c>
      <c r="B43" s="289"/>
      <c r="C43" s="290"/>
      <c r="D43" s="274" t="s">
        <v>562</v>
      </c>
      <c r="E43" s="274" t="s">
        <v>563</v>
      </c>
      <c r="F43" s="274" t="s">
        <v>562</v>
      </c>
      <c r="G43" s="274" t="s">
        <v>563</v>
      </c>
      <c r="H43" s="274" t="s">
        <v>562</v>
      </c>
      <c r="I43" s="274" t="s">
        <v>563</v>
      </c>
      <c r="J43" s="274" t="s">
        <v>562</v>
      </c>
      <c r="K43" s="274" t="s">
        <v>563</v>
      </c>
      <c r="L43" s="274" t="s">
        <v>562</v>
      </c>
      <c r="M43" s="274" t="s">
        <v>563</v>
      </c>
      <c r="N43" s="274" t="s">
        <v>562</v>
      </c>
      <c r="O43" s="274" t="s">
        <v>563</v>
      </c>
      <c r="P43" s="274" t="s">
        <v>562</v>
      </c>
      <c r="Q43" s="274" t="s">
        <v>563</v>
      </c>
      <c r="R43" s="274" t="s">
        <v>591</v>
      </c>
    </row>
    <row r="44" spans="1:18" hidden="1">
      <c r="A44" s="291"/>
      <c r="B44" s="292"/>
      <c r="C44" s="293"/>
      <c r="D44" s="274"/>
      <c r="E44" s="274"/>
      <c r="F44" s="274"/>
      <c r="G44" s="274"/>
      <c r="H44" s="274"/>
      <c r="I44" s="274"/>
      <c r="J44" s="274"/>
      <c r="K44" s="274"/>
      <c r="L44" s="274"/>
      <c r="M44" s="274"/>
      <c r="N44" s="274"/>
      <c r="O44" s="274"/>
      <c r="P44" s="274"/>
      <c r="Q44" s="274"/>
      <c r="R44" s="274"/>
    </row>
    <row r="45" spans="1:18" ht="68" hidden="1" customHeight="1">
      <c r="A45" s="294"/>
      <c r="B45" s="295"/>
      <c r="C45" s="296"/>
      <c r="D45" s="274"/>
      <c r="E45" s="274"/>
      <c r="F45" s="274"/>
      <c r="G45" s="274"/>
      <c r="H45" s="274"/>
      <c r="I45" s="274"/>
      <c r="J45" s="274"/>
      <c r="K45" s="274"/>
      <c r="L45" s="274"/>
      <c r="M45" s="274"/>
      <c r="N45" s="274"/>
      <c r="O45" s="274"/>
      <c r="P45" s="274"/>
      <c r="Q45" s="274"/>
      <c r="R45" s="274"/>
    </row>
    <row r="46" spans="1:18" ht="32.5" hidden="1">
      <c r="A46" s="283" t="s">
        <v>564</v>
      </c>
      <c r="B46" s="284"/>
      <c r="C46" s="285"/>
      <c r="D46" s="179">
        <f t="shared" ref="D46:K46" si="23">D17</f>
        <v>2366</v>
      </c>
      <c r="E46" s="179">
        <f t="shared" si="23"/>
        <v>2022</v>
      </c>
      <c r="F46" s="188">
        <f t="shared" si="23"/>
        <v>154</v>
      </c>
      <c r="G46" s="188">
        <f t="shared" si="23"/>
        <v>227</v>
      </c>
      <c r="H46" s="189">
        <f t="shared" si="23"/>
        <v>229</v>
      </c>
      <c r="I46" s="189">
        <f t="shared" si="23"/>
        <v>123</v>
      </c>
      <c r="J46" s="190">
        <f t="shared" si="23"/>
        <v>229</v>
      </c>
      <c r="K46" s="190">
        <f t="shared" si="23"/>
        <v>115</v>
      </c>
      <c r="L46" s="188">
        <f t="shared" ref="L46:M46" si="24">L17</f>
        <v>189</v>
      </c>
      <c r="M46" s="188">
        <f t="shared" si="24"/>
        <v>104</v>
      </c>
      <c r="N46" s="179">
        <f>F46+H46+J46+L46</f>
        <v>801</v>
      </c>
      <c r="O46" s="179">
        <f>G46+I46+K46+M46</f>
        <v>569</v>
      </c>
      <c r="P46" s="192">
        <f>D46+N46</f>
        <v>3167</v>
      </c>
      <c r="Q46" s="192">
        <f>E46+O46</f>
        <v>2591</v>
      </c>
      <c r="R46" s="192">
        <f>P46+Q46</f>
        <v>5758</v>
      </c>
    </row>
    <row r="47" spans="1:18" ht="32.5" hidden="1">
      <c r="A47" s="283" t="s">
        <v>577</v>
      </c>
      <c r="B47" s="284"/>
      <c r="C47" s="285"/>
      <c r="D47" s="179">
        <f t="shared" ref="D47:K47" si="25">D26</f>
        <v>84</v>
      </c>
      <c r="E47" s="179">
        <f t="shared" si="25"/>
        <v>475</v>
      </c>
      <c r="F47" s="188">
        <f t="shared" si="25"/>
        <v>12</v>
      </c>
      <c r="G47" s="188">
        <f t="shared" si="25"/>
        <v>18</v>
      </c>
      <c r="H47" s="189">
        <f t="shared" si="25"/>
        <v>1</v>
      </c>
      <c r="I47" s="189">
        <f t="shared" si="25"/>
        <v>36</v>
      </c>
      <c r="J47" s="190">
        <f t="shared" si="25"/>
        <v>0</v>
      </c>
      <c r="K47" s="190">
        <f t="shared" si="25"/>
        <v>27</v>
      </c>
      <c r="L47" s="188">
        <f t="shared" ref="L47:M47" si="26">L26</f>
        <v>2</v>
      </c>
      <c r="M47" s="188">
        <f t="shared" si="26"/>
        <v>74</v>
      </c>
      <c r="N47" s="179">
        <f t="shared" ref="N47:N48" si="27">F47+H47+J47+L47</f>
        <v>15</v>
      </c>
      <c r="O47" s="179">
        <f t="shared" ref="O47" si="28">G47+I47+K47+M47</f>
        <v>155</v>
      </c>
      <c r="P47" s="192">
        <f t="shared" ref="P47:P48" si="29">D47+N47</f>
        <v>99</v>
      </c>
      <c r="Q47" s="192">
        <f t="shared" ref="Q47:Q48" si="30">E47+O47</f>
        <v>630</v>
      </c>
      <c r="R47" s="192">
        <f t="shared" ref="R47:R48" si="31">P47+Q47</f>
        <v>729</v>
      </c>
    </row>
    <row r="48" spans="1:18" ht="32.5" hidden="1">
      <c r="A48" s="283" t="s">
        <v>583</v>
      </c>
      <c r="B48" s="284"/>
      <c r="C48" s="285"/>
      <c r="D48" s="179">
        <f t="shared" ref="D48:K48" si="32">D36</f>
        <v>212</v>
      </c>
      <c r="E48" s="179">
        <f t="shared" si="32"/>
        <v>508</v>
      </c>
      <c r="F48" s="188">
        <f t="shared" si="32"/>
        <v>0</v>
      </c>
      <c r="G48" s="188">
        <f t="shared" si="32"/>
        <v>43</v>
      </c>
      <c r="H48" s="189">
        <f t="shared" si="32"/>
        <v>1</v>
      </c>
      <c r="I48" s="189">
        <f t="shared" si="32"/>
        <v>38</v>
      </c>
      <c r="J48" s="190">
        <f t="shared" si="32"/>
        <v>2</v>
      </c>
      <c r="K48" s="190">
        <f t="shared" si="32"/>
        <v>60</v>
      </c>
      <c r="L48" s="188">
        <f t="shared" ref="L48:M48" si="33">L36</f>
        <v>2</v>
      </c>
      <c r="M48" s="188">
        <f t="shared" si="33"/>
        <v>39</v>
      </c>
      <c r="N48" s="179">
        <f t="shared" si="27"/>
        <v>5</v>
      </c>
      <c r="O48" s="179">
        <f>G48+I48+K48+M48</f>
        <v>180</v>
      </c>
      <c r="P48" s="192">
        <f t="shared" si="29"/>
        <v>217</v>
      </c>
      <c r="Q48" s="192">
        <f t="shared" si="30"/>
        <v>688</v>
      </c>
      <c r="R48" s="192">
        <f t="shared" si="31"/>
        <v>905</v>
      </c>
    </row>
    <row r="49" spans="1:18" ht="32.5" hidden="1">
      <c r="A49" s="286" t="s">
        <v>1</v>
      </c>
      <c r="B49" s="286"/>
      <c r="C49" s="286"/>
      <c r="D49" s="180">
        <f t="shared" ref="D49:O49" si="34">SUM(D46:D48)</f>
        <v>2662</v>
      </c>
      <c r="E49" s="180">
        <f t="shared" si="34"/>
        <v>3005</v>
      </c>
      <c r="F49" s="181">
        <f t="shared" si="34"/>
        <v>166</v>
      </c>
      <c r="G49" s="181">
        <f t="shared" si="34"/>
        <v>288</v>
      </c>
      <c r="H49" s="182">
        <f t="shared" si="34"/>
        <v>231</v>
      </c>
      <c r="I49" s="182">
        <f t="shared" si="34"/>
        <v>197</v>
      </c>
      <c r="J49" s="183">
        <f t="shared" si="34"/>
        <v>231</v>
      </c>
      <c r="K49" s="183">
        <f t="shared" si="34"/>
        <v>202</v>
      </c>
      <c r="L49" s="181">
        <f t="shared" ref="L49:M49" si="35">SUM(L46:L48)</f>
        <v>193</v>
      </c>
      <c r="M49" s="181">
        <f t="shared" si="35"/>
        <v>217</v>
      </c>
      <c r="N49" s="180">
        <f t="shared" si="34"/>
        <v>821</v>
      </c>
      <c r="O49" s="180">
        <f t="shared" si="34"/>
        <v>904</v>
      </c>
      <c r="P49" s="193">
        <f>SUM(P46:P48)</f>
        <v>3483</v>
      </c>
      <c r="Q49" s="193">
        <f t="shared" ref="Q49:R49" si="36">SUM(Q46:Q48)</f>
        <v>3909</v>
      </c>
      <c r="R49" s="193">
        <f t="shared" si="36"/>
        <v>7392</v>
      </c>
    </row>
    <row r="50" spans="1:18" ht="32.5" hidden="1">
      <c r="A50" s="287" t="s">
        <v>581</v>
      </c>
      <c r="B50" s="287"/>
      <c r="C50" s="287"/>
      <c r="D50" s="282">
        <f>D49+E49</f>
        <v>5667</v>
      </c>
      <c r="E50" s="282"/>
      <c r="F50" s="282">
        <f>F49+G49</f>
        <v>454</v>
      </c>
      <c r="G50" s="282"/>
      <c r="H50" s="282">
        <f>H49+I49</f>
        <v>428</v>
      </c>
      <c r="I50" s="282"/>
      <c r="J50" s="282">
        <f>J49+K49</f>
        <v>433</v>
      </c>
      <c r="K50" s="282"/>
      <c r="L50" s="282">
        <f>L49+M49</f>
        <v>410</v>
      </c>
      <c r="M50" s="282"/>
      <c r="N50" s="282">
        <f>N49+O49</f>
        <v>1725</v>
      </c>
      <c r="O50" s="282"/>
      <c r="P50" s="297">
        <f>P49+Q49</f>
        <v>7392</v>
      </c>
      <c r="Q50" s="297"/>
      <c r="R50" s="194"/>
    </row>
  </sheetData>
  <mergeCells count="141">
    <mergeCell ref="N20:O20"/>
    <mergeCell ref="L2:M2"/>
    <mergeCell ref="L3:L5"/>
    <mergeCell ref="M3:M5"/>
    <mergeCell ref="L18:M18"/>
    <mergeCell ref="L20:M20"/>
    <mergeCell ref="L21:L23"/>
    <mergeCell ref="M21:M23"/>
    <mergeCell ref="L29:M29"/>
    <mergeCell ref="L27:M27"/>
    <mergeCell ref="N21:N23"/>
    <mergeCell ref="N2:O2"/>
    <mergeCell ref="N3:N5"/>
    <mergeCell ref="O3:O5"/>
    <mergeCell ref="P30:P32"/>
    <mergeCell ref="Q30:Q32"/>
    <mergeCell ref="P37:Q37"/>
    <mergeCell ref="P43:P45"/>
    <mergeCell ref="Q43:Q45"/>
    <mergeCell ref="P50:Q50"/>
    <mergeCell ref="A1:R1"/>
    <mergeCell ref="R3:R5"/>
    <mergeCell ref="R21:R23"/>
    <mergeCell ref="R43:R45"/>
    <mergeCell ref="R30:R32"/>
    <mergeCell ref="P3:P5"/>
    <mergeCell ref="Q3:Q5"/>
    <mergeCell ref="P18:Q18"/>
    <mergeCell ref="P21:P23"/>
    <mergeCell ref="Q21:Q23"/>
    <mergeCell ref="P27:Q27"/>
    <mergeCell ref="A19:O19"/>
    <mergeCell ref="A20:C20"/>
    <mergeCell ref="D20:E20"/>
    <mergeCell ref="F20:G20"/>
    <mergeCell ref="H20:I20"/>
    <mergeCell ref="J20:K20"/>
    <mergeCell ref="H2:I2"/>
    <mergeCell ref="H3:H5"/>
    <mergeCell ref="I3:I5"/>
    <mergeCell ref="J2:K2"/>
    <mergeCell ref="J3:J5"/>
    <mergeCell ref="K3:K5"/>
    <mergeCell ref="F21:F23"/>
    <mergeCell ref="G21:G23"/>
    <mergeCell ref="H21:H23"/>
    <mergeCell ref="A2:C2"/>
    <mergeCell ref="D2:E2"/>
    <mergeCell ref="F2:G2"/>
    <mergeCell ref="F3:F5"/>
    <mergeCell ref="G3:G5"/>
    <mergeCell ref="A3:A5"/>
    <mergeCell ref="B3:B5"/>
    <mergeCell ref="C3:C5"/>
    <mergeCell ref="D3:D5"/>
    <mergeCell ref="E3:E5"/>
    <mergeCell ref="A17:C17"/>
    <mergeCell ref="A18:C18"/>
    <mergeCell ref="D18:E18"/>
    <mergeCell ref="F18:G18"/>
    <mergeCell ref="H18:I18"/>
    <mergeCell ref="A29:C29"/>
    <mergeCell ref="D29:E29"/>
    <mergeCell ref="F29:G29"/>
    <mergeCell ref="H29:I29"/>
    <mergeCell ref="J29:K29"/>
    <mergeCell ref="N29:O29"/>
    <mergeCell ref="J18:K18"/>
    <mergeCell ref="N18:O18"/>
    <mergeCell ref="A26:C26"/>
    <mergeCell ref="A27:C27"/>
    <mergeCell ref="D27:E27"/>
    <mergeCell ref="F27:G27"/>
    <mergeCell ref="H27:I27"/>
    <mergeCell ref="J27:K27"/>
    <mergeCell ref="N27:O27"/>
    <mergeCell ref="O21:O23"/>
    <mergeCell ref="I21:I23"/>
    <mergeCell ref="J21:J23"/>
    <mergeCell ref="K21:K23"/>
    <mergeCell ref="A21:A23"/>
    <mergeCell ref="B21:B23"/>
    <mergeCell ref="C21:C23"/>
    <mergeCell ref="D21:D23"/>
    <mergeCell ref="E21:E23"/>
    <mergeCell ref="J42:K42"/>
    <mergeCell ref="K30:K32"/>
    <mergeCell ref="N30:N32"/>
    <mergeCell ref="O30:O32"/>
    <mergeCell ref="A36:C36"/>
    <mergeCell ref="A37:C37"/>
    <mergeCell ref="D37:E37"/>
    <mergeCell ref="F37:G37"/>
    <mergeCell ref="H37:I37"/>
    <mergeCell ref="J37:K37"/>
    <mergeCell ref="N37:O37"/>
    <mergeCell ref="F30:F32"/>
    <mergeCell ref="G30:G32"/>
    <mergeCell ref="H30:H32"/>
    <mergeCell ref="I30:I32"/>
    <mergeCell ref="J30:J32"/>
    <mergeCell ref="A30:A32"/>
    <mergeCell ref="B30:B32"/>
    <mergeCell ref="C30:C32"/>
    <mergeCell ref="D30:D32"/>
    <mergeCell ref="E30:E32"/>
    <mergeCell ref="J50:K50"/>
    <mergeCell ref="N50:O50"/>
    <mergeCell ref="A46:C46"/>
    <mergeCell ref="A47:C47"/>
    <mergeCell ref="A48:C48"/>
    <mergeCell ref="A49:C49"/>
    <mergeCell ref="A50:C50"/>
    <mergeCell ref="D50:E50"/>
    <mergeCell ref="F50:G50"/>
    <mergeCell ref="H50:I50"/>
    <mergeCell ref="L50:M50"/>
    <mergeCell ref="J43:J45"/>
    <mergeCell ref="K43:K45"/>
    <mergeCell ref="N43:N45"/>
    <mergeCell ref="O43:O45"/>
    <mergeCell ref="L42:M42"/>
    <mergeCell ref="L43:L45"/>
    <mergeCell ref="M43:M45"/>
    <mergeCell ref="P20:R20"/>
    <mergeCell ref="A38:O41"/>
    <mergeCell ref="L30:L32"/>
    <mergeCell ref="M30:M32"/>
    <mergeCell ref="L37:M37"/>
    <mergeCell ref="A43:C45"/>
    <mergeCell ref="A42:C42"/>
    <mergeCell ref="N42:O42"/>
    <mergeCell ref="D43:D45"/>
    <mergeCell ref="E43:E45"/>
    <mergeCell ref="F43:F45"/>
    <mergeCell ref="G43:G45"/>
    <mergeCell ref="H43:H45"/>
    <mergeCell ref="I43:I45"/>
    <mergeCell ref="D42:E42"/>
    <mergeCell ref="F42:G42"/>
    <mergeCell ref="H42:I4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FD527-F49B-4223-8BE7-0B81AA460FC8}">
  <dimension ref="A1:G37"/>
  <sheetViews>
    <sheetView workbookViewId="0">
      <selection activeCell="F7" sqref="F7"/>
    </sheetView>
  </sheetViews>
  <sheetFormatPr defaultRowHeight="14.5"/>
  <cols>
    <col min="2" max="2" width="27.36328125" customWidth="1"/>
    <col min="4" max="4" width="12.6328125" customWidth="1"/>
    <col min="5" max="5" width="20.1796875" customWidth="1"/>
    <col min="6" max="6" width="11.54296875" customWidth="1"/>
    <col min="7" max="7" width="32.6328125" customWidth="1"/>
  </cols>
  <sheetData>
    <row r="1" spans="1:7" ht="28.5">
      <c r="A1" s="312" t="s">
        <v>582</v>
      </c>
      <c r="B1" s="313"/>
      <c r="C1" s="313"/>
      <c r="D1" s="313"/>
      <c r="E1" s="313"/>
      <c r="F1" s="313"/>
      <c r="G1" s="313"/>
    </row>
    <row r="2" spans="1:7" ht="32.5">
      <c r="A2" s="314" t="s">
        <v>564</v>
      </c>
      <c r="B2" s="315"/>
      <c r="C2" s="315"/>
      <c r="D2" s="315"/>
      <c r="E2" s="315"/>
      <c r="F2" s="315"/>
      <c r="G2" s="315"/>
    </row>
    <row r="3" spans="1:7">
      <c r="A3" s="274" t="s">
        <v>9</v>
      </c>
      <c r="B3" s="274" t="s">
        <v>39</v>
      </c>
      <c r="C3" s="274" t="s">
        <v>40</v>
      </c>
      <c r="D3" s="274" t="s">
        <v>598</v>
      </c>
      <c r="E3" s="274" t="s">
        <v>601</v>
      </c>
      <c r="F3" s="274" t="s">
        <v>600</v>
      </c>
      <c r="G3" s="274" t="s">
        <v>599</v>
      </c>
    </row>
    <row r="4" spans="1:7">
      <c r="A4" s="274"/>
      <c r="B4" s="274"/>
      <c r="C4" s="274"/>
      <c r="D4" s="274"/>
      <c r="E4" s="274"/>
      <c r="F4" s="274"/>
      <c r="G4" s="274"/>
    </row>
    <row r="5" spans="1:7">
      <c r="A5" s="274"/>
      <c r="B5" s="274"/>
      <c r="C5" s="274"/>
      <c r="D5" s="274"/>
      <c r="E5" s="274"/>
      <c r="F5" s="274"/>
      <c r="G5" s="274"/>
    </row>
    <row r="6" spans="1:7" ht="32.5">
      <c r="A6" s="200">
        <v>10.37</v>
      </c>
      <c r="B6" s="171" t="s">
        <v>51</v>
      </c>
      <c r="C6" s="200" t="s">
        <v>52</v>
      </c>
      <c r="D6" s="179">
        <v>68</v>
      </c>
      <c r="E6" s="179">
        <v>200</v>
      </c>
      <c r="F6" s="42">
        <v>0</v>
      </c>
      <c r="G6" s="42">
        <v>107</v>
      </c>
    </row>
    <row r="7" spans="1:7" ht="49">
      <c r="A7" s="200">
        <v>10.47</v>
      </c>
      <c r="B7" s="172" t="s">
        <v>53</v>
      </c>
      <c r="C7" s="200" t="s">
        <v>54</v>
      </c>
      <c r="D7" s="179">
        <v>17</v>
      </c>
      <c r="E7" s="179">
        <v>100</v>
      </c>
      <c r="F7" s="42">
        <v>0</v>
      </c>
      <c r="G7" s="42">
        <v>307</v>
      </c>
    </row>
    <row r="8" spans="1:7" ht="32.5">
      <c r="A8" s="200">
        <v>10.39</v>
      </c>
      <c r="B8" s="171" t="s">
        <v>55</v>
      </c>
      <c r="C8" s="200" t="s">
        <v>52</v>
      </c>
      <c r="D8" s="179">
        <v>25</v>
      </c>
      <c r="E8" s="179">
        <v>200</v>
      </c>
      <c r="F8" s="42">
        <v>0</v>
      </c>
      <c r="G8" s="42">
        <v>122</v>
      </c>
    </row>
    <row r="9" spans="1:7" ht="32.5">
      <c r="A9" s="200">
        <v>10.48</v>
      </c>
      <c r="B9" s="172" t="s">
        <v>56</v>
      </c>
      <c r="C9" s="200" t="s">
        <v>54</v>
      </c>
      <c r="D9" s="179">
        <v>11</v>
      </c>
      <c r="E9" s="179">
        <v>120</v>
      </c>
      <c r="F9" s="42">
        <v>0</v>
      </c>
      <c r="G9" s="42">
        <v>80</v>
      </c>
    </row>
    <row r="10" spans="1:7" ht="49">
      <c r="A10" s="200">
        <v>10.49</v>
      </c>
      <c r="B10" s="172" t="s">
        <v>57</v>
      </c>
      <c r="C10" s="200" t="s">
        <v>54</v>
      </c>
      <c r="D10" s="179">
        <v>28</v>
      </c>
      <c r="E10" s="179">
        <v>120</v>
      </c>
      <c r="F10" s="42">
        <v>0</v>
      </c>
      <c r="G10" s="42"/>
    </row>
    <row r="11" spans="1:7" ht="32.5">
      <c r="A11" s="200">
        <v>10.45</v>
      </c>
      <c r="B11" s="172" t="s">
        <v>58</v>
      </c>
      <c r="C11" s="200" t="s">
        <v>52</v>
      </c>
      <c r="D11" s="179">
        <v>70</v>
      </c>
      <c r="E11" s="179">
        <v>200</v>
      </c>
      <c r="F11" s="42">
        <v>0</v>
      </c>
      <c r="G11" s="42">
        <v>194</v>
      </c>
    </row>
    <row r="12" spans="1:7" ht="32.5">
      <c r="A12" s="200">
        <v>9.19</v>
      </c>
      <c r="B12" s="172" t="s">
        <v>59</v>
      </c>
      <c r="C12" s="200" t="s">
        <v>60</v>
      </c>
      <c r="D12" s="179">
        <v>87</v>
      </c>
      <c r="E12" s="179">
        <v>150</v>
      </c>
      <c r="F12" s="42">
        <v>0</v>
      </c>
      <c r="G12" s="42">
        <v>71</v>
      </c>
    </row>
    <row r="13" spans="1:7" ht="32.5">
      <c r="A13" s="200">
        <v>10.43</v>
      </c>
      <c r="B13" s="172" t="s">
        <v>61</v>
      </c>
      <c r="C13" s="200" t="s">
        <v>52</v>
      </c>
      <c r="D13" s="179">
        <v>42</v>
      </c>
      <c r="E13" s="179">
        <v>200</v>
      </c>
      <c r="F13" s="62">
        <v>0</v>
      </c>
      <c r="G13" s="62">
        <v>92</v>
      </c>
    </row>
    <row r="14" spans="1:7" ht="32.5">
      <c r="A14" s="200">
        <v>10.46</v>
      </c>
      <c r="B14" s="172" t="s">
        <v>62</v>
      </c>
      <c r="C14" s="200" t="s">
        <v>63</v>
      </c>
      <c r="D14" s="179">
        <v>73</v>
      </c>
      <c r="E14" s="179">
        <v>150</v>
      </c>
      <c r="F14" s="62">
        <v>0</v>
      </c>
      <c r="G14" s="62">
        <v>110</v>
      </c>
    </row>
    <row r="15" spans="1:7" ht="32.5">
      <c r="A15" s="200">
        <v>10.5</v>
      </c>
      <c r="B15" s="172" t="s">
        <v>64</v>
      </c>
      <c r="C15" s="200" t="s">
        <v>54</v>
      </c>
      <c r="D15" s="179">
        <v>5</v>
      </c>
      <c r="E15" s="179">
        <v>24</v>
      </c>
      <c r="F15" s="62">
        <v>0</v>
      </c>
      <c r="G15" s="62">
        <v>21</v>
      </c>
    </row>
    <row r="16" spans="1:7" ht="49">
      <c r="A16" s="200">
        <v>11.44</v>
      </c>
      <c r="B16" s="172" t="s">
        <v>65</v>
      </c>
      <c r="C16" s="200" t="s">
        <v>66</v>
      </c>
      <c r="D16" s="179">
        <v>3</v>
      </c>
      <c r="E16" s="179">
        <v>50</v>
      </c>
      <c r="F16" s="62">
        <v>0</v>
      </c>
      <c r="G16" s="62">
        <v>104</v>
      </c>
    </row>
    <row r="17" spans="1:7" ht="32.5">
      <c r="A17" s="286" t="s">
        <v>1</v>
      </c>
      <c r="B17" s="286"/>
      <c r="C17" s="286"/>
      <c r="D17" s="199">
        <f>SUM(D6:D16)</f>
        <v>429</v>
      </c>
      <c r="E17" s="199">
        <v>1514</v>
      </c>
      <c r="F17" s="181">
        <f t="shared" ref="D17:F17" si="0">SUM(F6:F16)</f>
        <v>0</v>
      </c>
      <c r="G17" s="181">
        <f>SUM(G6:G16)</f>
        <v>1208</v>
      </c>
    </row>
    <row r="18" spans="1:7" ht="32.5">
      <c r="A18" s="287" t="s">
        <v>581</v>
      </c>
      <c r="B18" s="287"/>
      <c r="C18" s="287"/>
      <c r="D18" s="282">
        <f>D17+E17</f>
        <v>1943</v>
      </c>
      <c r="E18" s="282"/>
      <c r="F18" s="199">
        <v>0</v>
      </c>
    </row>
    <row r="19" spans="1:7">
      <c r="A19" s="299"/>
      <c r="B19" s="299"/>
      <c r="C19" s="299"/>
      <c r="D19" s="299"/>
      <c r="E19" s="299"/>
      <c r="F19" s="299"/>
    </row>
    <row r="20" spans="1:7" ht="36.5">
      <c r="A20" s="275" t="s">
        <v>577</v>
      </c>
      <c r="B20" s="275"/>
      <c r="C20" s="275"/>
      <c r="D20" s="275" t="s">
        <v>597</v>
      </c>
      <c r="E20" s="275"/>
      <c r="F20" s="198" t="s">
        <v>572</v>
      </c>
    </row>
    <row r="21" spans="1:7">
      <c r="A21" s="274" t="s">
        <v>9</v>
      </c>
      <c r="B21" s="274" t="s">
        <v>39</v>
      </c>
      <c r="C21" s="274" t="s">
        <v>40</v>
      </c>
      <c r="D21" s="274" t="s">
        <v>562</v>
      </c>
      <c r="E21" s="274" t="s">
        <v>563</v>
      </c>
      <c r="F21" s="274" t="s">
        <v>562</v>
      </c>
    </row>
    <row r="22" spans="1:7">
      <c r="A22" s="274"/>
      <c r="B22" s="274"/>
      <c r="C22" s="274"/>
      <c r="D22" s="274"/>
      <c r="E22" s="274"/>
      <c r="F22" s="274"/>
    </row>
    <row r="23" spans="1:7">
      <c r="A23" s="274"/>
      <c r="B23" s="274"/>
      <c r="C23" s="274"/>
      <c r="D23" s="274"/>
      <c r="E23" s="274"/>
      <c r="F23" s="274"/>
    </row>
    <row r="24" spans="1:7" ht="46">
      <c r="A24" s="200">
        <v>8.0299999999999994</v>
      </c>
      <c r="B24" s="171" t="s">
        <v>578</v>
      </c>
      <c r="C24" s="200" t="s">
        <v>60</v>
      </c>
      <c r="D24" s="179">
        <v>74</v>
      </c>
      <c r="E24" s="179">
        <v>251</v>
      </c>
      <c r="F24" s="42">
        <v>12</v>
      </c>
    </row>
    <row r="25" spans="1:7" ht="32.5">
      <c r="A25" s="200">
        <v>8.0399999999999991</v>
      </c>
      <c r="B25" s="172" t="s">
        <v>579</v>
      </c>
      <c r="C25" s="200" t="s">
        <v>580</v>
      </c>
      <c r="D25" s="179">
        <v>10</v>
      </c>
      <c r="E25" s="179">
        <v>224</v>
      </c>
      <c r="F25" s="42">
        <v>0</v>
      </c>
    </row>
    <row r="26" spans="1:7" ht="32.5">
      <c r="A26" s="286" t="s">
        <v>1</v>
      </c>
      <c r="B26" s="286"/>
      <c r="C26" s="286"/>
      <c r="D26" s="199">
        <f t="shared" ref="D26:F26" si="1">SUM(D24:D25)</f>
        <v>84</v>
      </c>
      <c r="E26" s="199">
        <f t="shared" si="1"/>
        <v>475</v>
      </c>
      <c r="F26" s="181">
        <f t="shared" si="1"/>
        <v>12</v>
      </c>
    </row>
    <row r="27" spans="1:7" ht="32.5">
      <c r="A27" s="287" t="s">
        <v>581</v>
      </c>
      <c r="B27" s="287"/>
      <c r="C27" s="287"/>
      <c r="D27" s="282">
        <f>D26+E26</f>
        <v>559</v>
      </c>
      <c r="E27" s="282"/>
      <c r="F27" s="199" t="e">
        <f>F26+#REF!</f>
        <v>#REF!</v>
      </c>
    </row>
    <row r="29" spans="1:7" ht="36.5">
      <c r="A29" s="275" t="s">
        <v>583</v>
      </c>
      <c r="B29" s="275"/>
      <c r="C29" s="275"/>
      <c r="D29" s="275" t="s">
        <v>597</v>
      </c>
      <c r="E29" s="275"/>
      <c r="F29" s="198" t="s">
        <v>572</v>
      </c>
    </row>
    <row r="30" spans="1:7">
      <c r="A30" s="274" t="s">
        <v>9</v>
      </c>
      <c r="B30" s="274" t="s">
        <v>39</v>
      </c>
      <c r="C30" s="274" t="s">
        <v>40</v>
      </c>
      <c r="D30" s="274" t="s">
        <v>562</v>
      </c>
      <c r="E30" s="274" t="s">
        <v>563</v>
      </c>
      <c r="F30" s="274" t="s">
        <v>562</v>
      </c>
    </row>
    <row r="31" spans="1:7">
      <c r="A31" s="274"/>
      <c r="B31" s="274"/>
      <c r="C31" s="274"/>
      <c r="D31" s="274"/>
      <c r="E31" s="274"/>
      <c r="F31" s="274"/>
    </row>
    <row r="32" spans="1:7">
      <c r="A32" s="274"/>
      <c r="B32" s="274"/>
      <c r="C32" s="274"/>
      <c r="D32" s="274"/>
      <c r="E32" s="274"/>
      <c r="F32" s="274"/>
    </row>
    <row r="33" spans="1:6" ht="32.5">
      <c r="A33" s="200">
        <v>99.09</v>
      </c>
      <c r="B33" s="171" t="s">
        <v>584</v>
      </c>
      <c r="C33" s="200" t="s">
        <v>587</v>
      </c>
      <c r="D33" s="179">
        <v>192</v>
      </c>
      <c r="E33" s="179">
        <v>261</v>
      </c>
      <c r="F33" s="42">
        <v>0</v>
      </c>
    </row>
    <row r="34" spans="1:6" ht="32.5">
      <c r="A34" s="200">
        <v>1.04</v>
      </c>
      <c r="B34" s="171" t="s">
        <v>585</v>
      </c>
      <c r="C34" s="200" t="s">
        <v>588</v>
      </c>
      <c r="D34" s="179">
        <v>5</v>
      </c>
      <c r="E34" s="179">
        <v>107</v>
      </c>
      <c r="F34" s="42">
        <v>0</v>
      </c>
    </row>
    <row r="35" spans="1:6" ht="32.5">
      <c r="A35" s="200">
        <v>99.06</v>
      </c>
      <c r="B35" s="172" t="s">
        <v>586</v>
      </c>
      <c r="C35" s="200" t="s">
        <v>588</v>
      </c>
      <c r="D35" s="179">
        <v>15</v>
      </c>
      <c r="E35" s="179">
        <v>140</v>
      </c>
      <c r="F35" s="42">
        <v>0</v>
      </c>
    </row>
    <row r="36" spans="1:6" ht="32.5">
      <c r="A36" s="286" t="s">
        <v>1</v>
      </c>
      <c r="B36" s="286"/>
      <c r="C36" s="286"/>
      <c r="D36" s="199">
        <f t="shared" ref="D36:F36" si="2">SUM(D33:D35)</f>
        <v>212</v>
      </c>
      <c r="E36" s="199">
        <f t="shared" si="2"/>
        <v>508</v>
      </c>
      <c r="F36" s="181">
        <f t="shared" si="2"/>
        <v>0</v>
      </c>
    </row>
    <row r="37" spans="1:6" ht="32.5">
      <c r="A37" s="287" t="s">
        <v>581</v>
      </c>
      <c r="B37" s="287"/>
      <c r="C37" s="287"/>
      <c r="D37" s="282">
        <f>D36+E36</f>
        <v>720</v>
      </c>
      <c r="E37" s="282"/>
      <c r="F37" s="199" t="e">
        <f>F36+#REF!</f>
        <v>#REF!</v>
      </c>
    </row>
  </sheetData>
  <mergeCells count="35">
    <mergeCell ref="A2:G2"/>
    <mergeCell ref="A1:G1"/>
    <mergeCell ref="A36:C36"/>
    <mergeCell ref="A37:C37"/>
    <mergeCell ref="D37:E37"/>
    <mergeCell ref="A30:A32"/>
    <mergeCell ref="B30:B32"/>
    <mergeCell ref="C30:C32"/>
    <mergeCell ref="D30:D32"/>
    <mergeCell ref="E30:E32"/>
    <mergeCell ref="F30:F32"/>
    <mergeCell ref="A29:C29"/>
    <mergeCell ref="D29:E29"/>
    <mergeCell ref="A26:C26"/>
    <mergeCell ref="A27:C27"/>
    <mergeCell ref="D27:E27"/>
    <mergeCell ref="A21:A23"/>
    <mergeCell ref="B21:B23"/>
    <mergeCell ref="C21:C23"/>
    <mergeCell ref="D21:D23"/>
    <mergeCell ref="E21:E23"/>
    <mergeCell ref="F21:F23"/>
    <mergeCell ref="A19:F19"/>
    <mergeCell ref="A20:C20"/>
    <mergeCell ref="D20:E20"/>
    <mergeCell ref="A17:C17"/>
    <mergeCell ref="A18:C18"/>
    <mergeCell ref="D18:E18"/>
    <mergeCell ref="G3:G5"/>
    <mergeCell ref="A3:A5"/>
    <mergeCell ref="B3:B5"/>
    <mergeCell ref="C3:C5"/>
    <mergeCell ref="D3:D5"/>
    <mergeCell ref="E3:E5"/>
    <mergeCell ref="F3:F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2450E-FF7E-4229-8867-48FE0E460F79}">
  <dimension ref="A1:N3"/>
  <sheetViews>
    <sheetView workbookViewId="0">
      <selection activeCell="K11" sqref="J11:K13"/>
    </sheetView>
  </sheetViews>
  <sheetFormatPr defaultRowHeight="14.5"/>
  <cols>
    <col min="1" max="1" width="13.6328125" bestFit="1" customWidth="1"/>
  </cols>
  <sheetData>
    <row r="1" spans="1:14">
      <c r="K1" t="s">
        <v>29</v>
      </c>
      <c r="L1" t="s">
        <v>28</v>
      </c>
      <c r="M1" t="s">
        <v>570</v>
      </c>
      <c r="N1" t="s">
        <v>576</v>
      </c>
    </row>
    <row r="2" spans="1:14">
      <c r="A2" t="s">
        <v>565</v>
      </c>
      <c r="B2" t="s">
        <v>28</v>
      </c>
      <c r="C2" t="s">
        <v>566</v>
      </c>
      <c r="D2" t="s">
        <v>567</v>
      </c>
      <c r="F2" t="s">
        <v>568</v>
      </c>
      <c r="G2" t="s">
        <v>569</v>
      </c>
      <c r="K2">
        <v>4388</v>
      </c>
      <c r="L2">
        <v>5506</v>
      </c>
      <c r="M2">
        <v>3779</v>
      </c>
    </row>
    <row r="3" spans="1:14">
      <c r="E3">
        <v>2</v>
      </c>
      <c r="F3">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04EF4-9750-4E33-B4E6-D756F47B11C6}">
  <dimension ref="A1:E18"/>
  <sheetViews>
    <sheetView workbookViewId="0">
      <selection sqref="A1:E18"/>
    </sheetView>
  </sheetViews>
  <sheetFormatPr defaultRowHeight="14.5"/>
  <sheetData>
    <row r="1" spans="1:5">
      <c r="A1" s="302" t="s">
        <v>487</v>
      </c>
      <c r="B1" s="303"/>
      <c r="C1" s="303"/>
      <c r="D1" s="303"/>
      <c r="E1" s="304"/>
    </row>
    <row r="2" spans="1:5">
      <c r="A2" s="305"/>
      <c r="B2" s="306"/>
      <c r="C2" s="306"/>
      <c r="D2" s="306"/>
      <c r="E2" s="307"/>
    </row>
    <row r="3" spans="1:5">
      <c r="A3" s="308" t="s">
        <v>0</v>
      </c>
      <c r="B3" s="309" t="s">
        <v>488</v>
      </c>
      <c r="C3" s="128"/>
      <c r="D3" s="128"/>
      <c r="E3" s="128"/>
    </row>
    <row r="4" spans="1:5" ht="74">
      <c r="A4" s="308"/>
      <c r="B4" s="309"/>
      <c r="C4" s="129" t="s">
        <v>489</v>
      </c>
      <c r="D4" s="129" t="s">
        <v>490</v>
      </c>
      <c r="E4" s="129" t="s">
        <v>1</v>
      </c>
    </row>
    <row r="5" spans="1:5">
      <c r="A5" s="130" t="s">
        <v>491</v>
      </c>
      <c r="B5" s="131">
        <v>4032</v>
      </c>
      <c r="C5" s="132">
        <v>266</v>
      </c>
      <c r="D5" s="132">
        <v>52</v>
      </c>
      <c r="E5" s="132">
        <f>B5+C5+D5</f>
        <v>4350</v>
      </c>
    </row>
    <row r="6" spans="1:5">
      <c r="A6" s="130" t="s">
        <v>492</v>
      </c>
      <c r="B6" s="131">
        <v>724</v>
      </c>
      <c r="C6" s="132">
        <v>496</v>
      </c>
      <c r="D6" s="132">
        <v>67</v>
      </c>
      <c r="E6" s="132">
        <f t="shared" ref="E6:E17" si="0">B6+C6+D6</f>
        <v>1287</v>
      </c>
    </row>
    <row r="7" spans="1:5">
      <c r="A7" s="130" t="s">
        <v>493</v>
      </c>
      <c r="B7" s="131">
        <v>840</v>
      </c>
      <c r="C7" s="132">
        <v>178</v>
      </c>
      <c r="D7" s="132">
        <v>177</v>
      </c>
      <c r="E7" s="132">
        <f t="shared" si="0"/>
        <v>1195</v>
      </c>
    </row>
    <row r="8" spans="1:5">
      <c r="A8" s="130" t="s">
        <v>494</v>
      </c>
      <c r="B8" s="131">
        <v>681</v>
      </c>
      <c r="C8" s="132">
        <v>516</v>
      </c>
      <c r="D8" s="132">
        <v>0</v>
      </c>
      <c r="E8" s="132">
        <f t="shared" si="0"/>
        <v>1197</v>
      </c>
    </row>
    <row r="9" spans="1:5">
      <c r="A9" s="130" t="s">
        <v>495</v>
      </c>
      <c r="B9" s="131">
        <v>1430</v>
      </c>
      <c r="C9" s="132">
        <v>485</v>
      </c>
      <c r="D9" s="132">
        <v>0</v>
      </c>
      <c r="E9" s="132">
        <f t="shared" si="0"/>
        <v>1915</v>
      </c>
    </row>
    <row r="10" spans="1:5">
      <c r="A10" s="130" t="s">
        <v>496</v>
      </c>
      <c r="B10" s="131">
        <v>2603</v>
      </c>
      <c r="C10" s="132">
        <v>443</v>
      </c>
      <c r="D10" s="132">
        <v>306</v>
      </c>
      <c r="E10" s="132">
        <f t="shared" si="0"/>
        <v>3352</v>
      </c>
    </row>
    <row r="11" spans="1:5">
      <c r="A11" s="130" t="s">
        <v>497</v>
      </c>
      <c r="B11" s="131">
        <v>109</v>
      </c>
      <c r="C11" s="132">
        <v>128</v>
      </c>
      <c r="D11" s="132">
        <v>397</v>
      </c>
      <c r="E11" s="132">
        <f t="shared" si="0"/>
        <v>634</v>
      </c>
    </row>
    <row r="12" spans="1:5">
      <c r="A12" s="130" t="s">
        <v>498</v>
      </c>
      <c r="B12" s="131">
        <v>256</v>
      </c>
      <c r="C12" s="132">
        <v>170</v>
      </c>
      <c r="D12" s="132">
        <v>584</v>
      </c>
      <c r="E12" s="132">
        <f t="shared" si="0"/>
        <v>1010</v>
      </c>
    </row>
    <row r="13" spans="1:5">
      <c r="A13" s="130" t="s">
        <v>64</v>
      </c>
      <c r="B13" s="131">
        <v>53</v>
      </c>
      <c r="C13" s="132">
        <v>41</v>
      </c>
      <c r="D13" s="132">
        <v>0</v>
      </c>
      <c r="E13" s="132">
        <f t="shared" si="0"/>
        <v>94</v>
      </c>
    </row>
    <row r="14" spans="1:5">
      <c r="A14" s="130" t="s">
        <v>499</v>
      </c>
      <c r="B14" s="131">
        <v>67</v>
      </c>
      <c r="C14" s="132">
        <v>627</v>
      </c>
      <c r="D14" s="132">
        <v>766</v>
      </c>
      <c r="E14" s="132">
        <f t="shared" si="0"/>
        <v>1460</v>
      </c>
    </row>
    <row r="15" spans="1:5">
      <c r="A15" s="130" t="s">
        <v>500</v>
      </c>
      <c r="B15" s="131">
        <v>0</v>
      </c>
      <c r="C15" s="132">
        <v>0</v>
      </c>
      <c r="D15" s="132">
        <v>0</v>
      </c>
      <c r="E15" s="132">
        <f t="shared" si="0"/>
        <v>0</v>
      </c>
    </row>
    <row r="16" spans="1:5">
      <c r="A16" s="130" t="s">
        <v>501</v>
      </c>
      <c r="B16" s="131">
        <v>0</v>
      </c>
      <c r="C16" s="132">
        <v>0</v>
      </c>
      <c r="D16" s="132">
        <v>0</v>
      </c>
      <c r="E16" s="132">
        <f t="shared" si="0"/>
        <v>0</v>
      </c>
    </row>
    <row r="17" spans="1:5">
      <c r="A17" s="130" t="s">
        <v>502</v>
      </c>
      <c r="B17" s="131">
        <v>34</v>
      </c>
      <c r="C17" s="132">
        <v>56</v>
      </c>
      <c r="D17" s="132">
        <v>0</v>
      </c>
      <c r="E17" s="132">
        <f t="shared" si="0"/>
        <v>90</v>
      </c>
    </row>
    <row r="18" spans="1:5">
      <c r="A18" s="133" t="s">
        <v>1</v>
      </c>
      <c r="B18" s="132">
        <f t="shared" ref="B18" si="1">SUM(B5:B17)</f>
        <v>10829</v>
      </c>
      <c r="C18" s="132">
        <f>SUM(C5:C17)</f>
        <v>3406</v>
      </c>
      <c r="D18" s="132">
        <f>SUM(D5:D17)</f>
        <v>2349</v>
      </c>
      <c r="E18" s="132">
        <f>SUM(E5:E17)</f>
        <v>16584</v>
      </c>
    </row>
  </sheetData>
  <mergeCells count="3">
    <mergeCell ref="A1:E2"/>
    <mergeCell ref="A3:A4"/>
    <mergeCell ref="B3:B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71710-9E51-4448-8007-B1B7A866AA76}">
  <dimension ref="A1:M15"/>
  <sheetViews>
    <sheetView topLeftCell="B8" zoomScale="80" zoomScaleNormal="80" workbookViewId="0">
      <selection activeCell="P14" sqref="P14"/>
    </sheetView>
  </sheetViews>
  <sheetFormatPr defaultColWidth="20.7265625" defaultRowHeight="14.5"/>
  <cols>
    <col min="1" max="1" width="7.81640625" customWidth="1"/>
    <col min="2" max="2" width="12.7265625" customWidth="1"/>
    <col min="4" max="4" width="12.453125" hidden="1" customWidth="1"/>
    <col min="5" max="5" width="0" hidden="1" customWidth="1"/>
    <col min="6" max="6" width="11.36328125" customWidth="1"/>
    <col min="7" max="7" width="9.453125" customWidth="1"/>
    <col min="8" max="9" width="12.453125" customWidth="1"/>
    <col min="10" max="10" width="11.36328125" customWidth="1"/>
    <col min="11" max="11" width="12.26953125" customWidth="1"/>
    <col min="12" max="12" width="9" customWidth="1"/>
    <col min="13" max="13" width="50.36328125" customWidth="1"/>
  </cols>
  <sheetData>
    <row r="1" spans="1:13" s="153" customFormat="1" ht="36">
      <c r="A1" s="141" t="s">
        <v>513</v>
      </c>
      <c r="B1" s="141" t="s">
        <v>514</v>
      </c>
      <c r="C1" s="150" t="s">
        <v>515</v>
      </c>
      <c r="D1" s="150" t="s">
        <v>516</v>
      </c>
      <c r="E1" s="150" t="s">
        <v>517</v>
      </c>
      <c r="F1" s="141" t="s">
        <v>518</v>
      </c>
      <c r="G1" s="141" t="s">
        <v>519</v>
      </c>
      <c r="H1" s="150" t="s">
        <v>520</v>
      </c>
      <c r="I1" s="151" t="s">
        <v>521</v>
      </c>
      <c r="J1" s="151" t="s">
        <v>522</v>
      </c>
      <c r="K1" s="152" t="s">
        <v>523</v>
      </c>
      <c r="L1" s="148" t="s">
        <v>524</v>
      </c>
      <c r="M1" s="149" t="s">
        <v>547</v>
      </c>
    </row>
    <row r="2" spans="1:13" s="153" customFormat="1" ht="43.5">
      <c r="A2" s="142">
        <v>1</v>
      </c>
      <c r="B2" s="143">
        <v>9.19</v>
      </c>
      <c r="C2" s="154" t="s">
        <v>525</v>
      </c>
      <c r="D2" s="144" t="s">
        <v>526</v>
      </c>
      <c r="E2" s="155" t="s">
        <v>527</v>
      </c>
      <c r="F2" s="145">
        <v>43369</v>
      </c>
      <c r="G2" s="142">
        <v>8</v>
      </c>
      <c r="H2" s="145">
        <v>47026</v>
      </c>
      <c r="I2" s="146">
        <v>10000</v>
      </c>
      <c r="J2" s="146">
        <v>10000</v>
      </c>
      <c r="K2" s="146">
        <v>10000</v>
      </c>
      <c r="L2" s="142">
        <v>20</v>
      </c>
      <c r="M2" s="156" t="s">
        <v>550</v>
      </c>
    </row>
    <row r="3" spans="1:13" s="153" customFormat="1" ht="29">
      <c r="A3" s="142">
        <v>2</v>
      </c>
      <c r="B3" s="143">
        <v>10.37</v>
      </c>
      <c r="C3" s="154" t="s">
        <v>528</v>
      </c>
      <c r="D3" s="144" t="s">
        <v>529</v>
      </c>
      <c r="E3" s="155" t="s">
        <v>527</v>
      </c>
      <c r="F3" s="145">
        <v>43553</v>
      </c>
      <c r="G3" s="142">
        <v>8</v>
      </c>
      <c r="H3" s="145">
        <v>47208</v>
      </c>
      <c r="I3" s="146">
        <v>10000</v>
      </c>
      <c r="J3" s="146">
        <v>10000</v>
      </c>
      <c r="K3" s="146">
        <v>20000</v>
      </c>
      <c r="L3" s="142">
        <v>5</v>
      </c>
      <c r="M3" s="156" t="s">
        <v>551</v>
      </c>
    </row>
    <row r="4" spans="1:13" s="153" customFormat="1" ht="18">
      <c r="A4" s="142">
        <v>3</v>
      </c>
      <c r="B4" s="143">
        <v>10.39</v>
      </c>
      <c r="C4" s="155" t="s">
        <v>530</v>
      </c>
      <c r="D4" s="144" t="s">
        <v>529</v>
      </c>
      <c r="E4" s="155" t="s">
        <v>527</v>
      </c>
      <c r="F4" s="145">
        <v>43553</v>
      </c>
      <c r="G4" s="142">
        <v>8</v>
      </c>
      <c r="H4" s="145">
        <v>47208</v>
      </c>
      <c r="I4" s="146">
        <v>15000</v>
      </c>
      <c r="J4" s="146">
        <v>25000</v>
      </c>
      <c r="K4" s="146">
        <v>30000</v>
      </c>
      <c r="L4" s="142">
        <v>20</v>
      </c>
      <c r="M4" s="156"/>
    </row>
    <row r="5" spans="1:13" s="153" customFormat="1" ht="18">
      <c r="A5" s="142">
        <v>4</v>
      </c>
      <c r="B5" s="143">
        <v>10.43</v>
      </c>
      <c r="C5" s="144" t="s">
        <v>531</v>
      </c>
      <c r="D5" s="144" t="s">
        <v>529</v>
      </c>
      <c r="E5" s="155" t="s">
        <v>527</v>
      </c>
      <c r="F5" s="145">
        <v>43553</v>
      </c>
      <c r="G5" s="142">
        <v>8</v>
      </c>
      <c r="H5" s="145">
        <v>47208</v>
      </c>
      <c r="I5" s="146">
        <v>10000</v>
      </c>
      <c r="J5" s="146">
        <v>5000</v>
      </c>
      <c r="K5" s="146">
        <v>20000</v>
      </c>
      <c r="L5" s="142">
        <v>20</v>
      </c>
      <c r="M5" s="156"/>
    </row>
    <row r="6" spans="1:13" s="153" customFormat="1" ht="18">
      <c r="A6" s="142">
        <v>5</v>
      </c>
      <c r="B6" s="143">
        <v>10.45</v>
      </c>
      <c r="C6" s="144" t="s">
        <v>532</v>
      </c>
      <c r="D6" s="144" t="s">
        <v>529</v>
      </c>
      <c r="E6" s="155" t="s">
        <v>527</v>
      </c>
      <c r="F6" s="145">
        <v>43553</v>
      </c>
      <c r="G6" s="142">
        <v>8</v>
      </c>
      <c r="H6" s="145">
        <v>47208</v>
      </c>
      <c r="I6" s="146">
        <v>15000</v>
      </c>
      <c r="J6" s="146">
        <v>20000</v>
      </c>
      <c r="K6" s="146">
        <v>30000</v>
      </c>
      <c r="L6" s="142">
        <v>5</v>
      </c>
      <c r="M6" s="156"/>
    </row>
    <row r="7" spans="1:13" s="153" customFormat="1" ht="43.5">
      <c r="A7" s="142">
        <v>6</v>
      </c>
      <c r="B7" s="143">
        <v>10.47</v>
      </c>
      <c r="C7" s="155" t="s">
        <v>533</v>
      </c>
      <c r="D7" s="144" t="s">
        <v>534</v>
      </c>
      <c r="E7" s="155" t="s">
        <v>527</v>
      </c>
      <c r="F7" s="105" t="s">
        <v>535</v>
      </c>
      <c r="G7" s="142">
        <v>10</v>
      </c>
      <c r="H7" s="145">
        <v>48304</v>
      </c>
      <c r="I7" s="146">
        <v>10000</v>
      </c>
      <c r="J7" s="146">
        <v>15000</v>
      </c>
      <c r="K7" s="146">
        <v>30000</v>
      </c>
      <c r="L7" s="142">
        <v>10</v>
      </c>
      <c r="M7" s="156" t="s">
        <v>554</v>
      </c>
    </row>
    <row r="8" spans="1:13" s="153" customFormat="1" ht="87">
      <c r="A8" s="142">
        <v>7</v>
      </c>
      <c r="B8" s="143">
        <v>10.48</v>
      </c>
      <c r="C8" s="155" t="s">
        <v>536</v>
      </c>
      <c r="D8" s="144" t="s">
        <v>534</v>
      </c>
      <c r="E8" s="155" t="s">
        <v>527</v>
      </c>
      <c r="F8" s="105" t="s">
        <v>537</v>
      </c>
      <c r="G8" s="142">
        <v>8</v>
      </c>
      <c r="H8" s="145">
        <v>47848</v>
      </c>
      <c r="I8" s="146">
        <v>10000</v>
      </c>
      <c r="J8" s="146">
        <v>10000</v>
      </c>
      <c r="K8" s="146">
        <v>40000</v>
      </c>
      <c r="L8" s="142">
        <v>10</v>
      </c>
      <c r="M8" s="156" t="s">
        <v>552</v>
      </c>
    </row>
    <row r="9" spans="1:13" s="153" customFormat="1" ht="87">
      <c r="A9" s="142">
        <v>8</v>
      </c>
      <c r="B9" s="143">
        <v>10.49</v>
      </c>
      <c r="C9" s="155" t="s">
        <v>538</v>
      </c>
      <c r="D9" s="144" t="s">
        <v>534</v>
      </c>
      <c r="E9" s="155" t="s">
        <v>527</v>
      </c>
      <c r="F9" s="105" t="s">
        <v>537</v>
      </c>
      <c r="G9" s="142">
        <v>8</v>
      </c>
      <c r="H9" s="145">
        <v>47848</v>
      </c>
      <c r="I9" s="146">
        <v>10000</v>
      </c>
      <c r="J9" s="146">
        <v>10000</v>
      </c>
      <c r="K9" s="146">
        <v>30000</v>
      </c>
      <c r="L9" s="142">
        <v>20</v>
      </c>
      <c r="M9" s="156" t="s">
        <v>552</v>
      </c>
    </row>
    <row r="10" spans="1:13" s="153" customFormat="1" ht="87">
      <c r="A10" s="142">
        <v>9</v>
      </c>
      <c r="B10" s="143">
        <v>10.5</v>
      </c>
      <c r="C10" s="144" t="s">
        <v>539</v>
      </c>
      <c r="D10" s="144" t="s">
        <v>534</v>
      </c>
      <c r="E10" s="155" t="s">
        <v>527</v>
      </c>
      <c r="F10" s="105" t="s">
        <v>540</v>
      </c>
      <c r="G10" s="142">
        <v>8</v>
      </c>
      <c r="H10" s="145">
        <v>47573</v>
      </c>
      <c r="I10" s="146">
        <v>5000</v>
      </c>
      <c r="J10" s="146">
        <v>5000</v>
      </c>
      <c r="K10" s="146">
        <v>10000</v>
      </c>
      <c r="L10" s="142">
        <v>10</v>
      </c>
      <c r="M10" s="156" t="s">
        <v>555</v>
      </c>
    </row>
    <row r="11" spans="1:13" s="153" customFormat="1" ht="18">
      <c r="A11" s="142">
        <v>10</v>
      </c>
      <c r="B11" s="143">
        <v>11.44</v>
      </c>
      <c r="C11" s="105" t="s">
        <v>541</v>
      </c>
      <c r="D11" s="144" t="s">
        <v>542</v>
      </c>
      <c r="E11" s="157" t="s">
        <v>543</v>
      </c>
      <c r="F11" s="145">
        <v>44635</v>
      </c>
      <c r="G11" s="142">
        <v>8</v>
      </c>
      <c r="H11" s="145">
        <v>47573</v>
      </c>
      <c r="I11" s="146">
        <v>15000</v>
      </c>
      <c r="J11" s="146">
        <v>7500</v>
      </c>
      <c r="K11" s="146">
        <v>30000</v>
      </c>
      <c r="L11" s="142">
        <v>5</v>
      </c>
      <c r="M11" s="156"/>
    </row>
    <row r="12" spans="1:13" s="153" customFormat="1" ht="43.5">
      <c r="A12" s="142">
        <v>11</v>
      </c>
      <c r="B12" s="144" t="s">
        <v>544</v>
      </c>
      <c r="C12" s="155" t="s">
        <v>545</v>
      </c>
      <c r="D12" s="144" t="s">
        <v>534</v>
      </c>
      <c r="E12" s="155" t="s">
        <v>527</v>
      </c>
      <c r="F12" s="145">
        <v>44729</v>
      </c>
      <c r="G12" s="142">
        <v>8</v>
      </c>
      <c r="H12" s="145">
        <v>47664</v>
      </c>
      <c r="I12" s="146">
        <v>5000</v>
      </c>
      <c r="J12" s="146">
        <v>5000</v>
      </c>
      <c r="K12" s="146">
        <v>30000</v>
      </c>
      <c r="L12" s="142">
        <v>5</v>
      </c>
      <c r="M12" s="156" t="s">
        <v>556</v>
      </c>
    </row>
    <row r="13" spans="1:13" s="153" customFormat="1" ht="43.5">
      <c r="A13" s="142">
        <v>12</v>
      </c>
      <c r="B13" s="159" t="s">
        <v>67</v>
      </c>
      <c r="C13" s="159" t="s">
        <v>68</v>
      </c>
      <c r="D13" s="160"/>
      <c r="E13" s="161"/>
      <c r="F13" s="162" t="s">
        <v>549</v>
      </c>
      <c r="G13" s="158">
        <v>8</v>
      </c>
      <c r="H13" s="162"/>
      <c r="I13" s="163">
        <v>5000</v>
      </c>
      <c r="J13" s="163">
        <v>5000</v>
      </c>
      <c r="K13" s="163">
        <v>10000</v>
      </c>
      <c r="L13" s="158">
        <v>5</v>
      </c>
      <c r="M13" s="164" t="s">
        <v>553</v>
      </c>
    </row>
    <row r="14" spans="1:13" s="153" customFormat="1" ht="18">
      <c r="A14" s="142">
        <v>13</v>
      </c>
      <c r="B14" s="159">
        <v>10.46</v>
      </c>
      <c r="C14" s="159" t="s">
        <v>62</v>
      </c>
      <c r="D14" s="160" t="s">
        <v>534</v>
      </c>
      <c r="E14" s="159" t="s">
        <v>527</v>
      </c>
      <c r="F14" s="162" t="s">
        <v>548</v>
      </c>
      <c r="G14" s="158">
        <v>8</v>
      </c>
      <c r="H14" s="162"/>
      <c r="I14" s="163">
        <v>10000</v>
      </c>
      <c r="J14" s="163">
        <v>10000</v>
      </c>
      <c r="K14" s="163">
        <v>20000</v>
      </c>
      <c r="L14" s="158">
        <v>5</v>
      </c>
      <c r="M14" s="164" t="s">
        <v>546</v>
      </c>
    </row>
    <row r="15" spans="1:13">
      <c r="A15" s="310" t="s">
        <v>1</v>
      </c>
      <c r="B15" s="310"/>
      <c r="C15" s="310"/>
      <c r="D15" s="310"/>
      <c r="E15" s="310"/>
      <c r="F15" s="310"/>
      <c r="G15" s="310"/>
      <c r="H15" s="310"/>
      <c r="I15" s="147">
        <f>SUM(I2:I14)</f>
        <v>130000</v>
      </c>
      <c r="J15" s="147">
        <f>SUM(J2:J14)</f>
        <v>137500</v>
      </c>
      <c r="K15" s="147">
        <f>SUM(K2:K14)</f>
        <v>310000</v>
      </c>
      <c r="L15" s="147">
        <f>SUM(L2:L14)</f>
        <v>140</v>
      </c>
      <c r="M15" s="138"/>
    </row>
  </sheetData>
  <mergeCells count="1">
    <mergeCell ref="A15:H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61CD7-77AD-4272-AB67-55B99157F198}">
  <dimension ref="A1:F34"/>
  <sheetViews>
    <sheetView topLeftCell="A7" workbookViewId="0">
      <selection activeCell="B26" sqref="B26"/>
    </sheetView>
  </sheetViews>
  <sheetFormatPr defaultRowHeight="14.5"/>
  <cols>
    <col min="1" max="1" width="16.36328125" bestFit="1" customWidth="1"/>
    <col min="2" max="2" width="41.08984375" bestFit="1" customWidth="1"/>
    <col min="3" max="3" width="17.26953125" bestFit="1" customWidth="1"/>
    <col min="4" max="4" width="18.1796875" bestFit="1" customWidth="1"/>
    <col min="5" max="5" width="19.54296875" customWidth="1"/>
    <col min="6" max="6" width="37.453125" customWidth="1"/>
  </cols>
  <sheetData>
    <row r="1" spans="1:6">
      <c r="A1" s="120" t="s">
        <v>0</v>
      </c>
      <c r="B1" s="120" t="s">
        <v>135</v>
      </c>
      <c r="C1" s="120" t="s">
        <v>136</v>
      </c>
      <c r="D1" s="120" t="s">
        <v>137</v>
      </c>
      <c r="E1" s="120" t="s">
        <v>115</v>
      </c>
      <c r="F1" s="120" t="s">
        <v>138</v>
      </c>
    </row>
    <row r="2" spans="1:6">
      <c r="A2" s="117" t="s">
        <v>102</v>
      </c>
      <c r="B2" s="117" t="s">
        <v>117</v>
      </c>
      <c r="C2" s="117">
        <v>500</v>
      </c>
      <c r="D2" s="117">
        <v>4</v>
      </c>
      <c r="E2" s="117">
        <v>5100</v>
      </c>
      <c r="F2" s="105" t="s">
        <v>120</v>
      </c>
    </row>
    <row r="3" spans="1:6">
      <c r="A3" s="117" t="s">
        <v>102</v>
      </c>
      <c r="B3" s="117" t="s">
        <v>100</v>
      </c>
      <c r="C3" s="117">
        <v>1500</v>
      </c>
      <c r="D3" s="117">
        <v>0</v>
      </c>
      <c r="E3" s="117">
        <f>1500*0.2*30</f>
        <v>9000</v>
      </c>
      <c r="F3" s="105" t="s">
        <v>121</v>
      </c>
    </row>
    <row r="4" spans="1:6">
      <c r="A4" s="117" t="s">
        <v>94</v>
      </c>
      <c r="B4" s="117" t="s">
        <v>103</v>
      </c>
      <c r="C4" s="117">
        <v>70</v>
      </c>
      <c r="D4" s="117">
        <v>1</v>
      </c>
      <c r="E4" s="117">
        <v>6500</v>
      </c>
      <c r="F4" s="105" t="s">
        <v>122</v>
      </c>
    </row>
    <row r="5" spans="1:6">
      <c r="A5" s="117" t="s">
        <v>94</v>
      </c>
      <c r="B5" s="117" t="s">
        <v>104</v>
      </c>
      <c r="C5" s="117">
        <v>171</v>
      </c>
      <c r="D5" s="117">
        <v>6</v>
      </c>
      <c r="E5" s="117">
        <v>13000</v>
      </c>
      <c r="F5" s="105" t="s">
        <v>121</v>
      </c>
    </row>
    <row r="6" spans="1:6" ht="29">
      <c r="A6" s="117" t="s">
        <v>94</v>
      </c>
      <c r="B6" s="117" t="s">
        <v>118</v>
      </c>
      <c r="C6" s="117">
        <v>325</v>
      </c>
      <c r="D6" s="117">
        <v>5</v>
      </c>
      <c r="E6" s="117">
        <v>8000</v>
      </c>
      <c r="F6" s="105" t="s">
        <v>123</v>
      </c>
    </row>
    <row r="7" spans="1:6" ht="43.5">
      <c r="A7" s="117" t="s">
        <v>94</v>
      </c>
      <c r="B7" s="117" t="s">
        <v>105</v>
      </c>
      <c r="C7" s="117">
        <v>15000</v>
      </c>
      <c r="D7" s="117">
        <v>0</v>
      </c>
      <c r="E7" s="117">
        <f>(3000*0.2*30)</f>
        <v>18000</v>
      </c>
      <c r="F7" s="105" t="s">
        <v>124</v>
      </c>
    </row>
    <row r="8" spans="1:6">
      <c r="A8" s="117" t="s">
        <v>106</v>
      </c>
      <c r="B8" s="117" t="s">
        <v>107</v>
      </c>
      <c r="C8" s="117">
        <v>75</v>
      </c>
      <c r="D8" s="117">
        <v>8</v>
      </c>
      <c r="E8" s="117">
        <v>10000</v>
      </c>
      <c r="F8" s="105" t="s">
        <v>125</v>
      </c>
    </row>
    <row r="9" spans="1:6">
      <c r="A9" s="117" t="s">
        <v>108</v>
      </c>
      <c r="B9" s="118" t="s">
        <v>109</v>
      </c>
      <c r="C9" s="118">
        <v>350</v>
      </c>
      <c r="D9" s="118">
        <v>2</v>
      </c>
      <c r="E9" s="118">
        <v>8000</v>
      </c>
      <c r="F9" s="105" t="s">
        <v>122</v>
      </c>
    </row>
    <row r="10" spans="1:6" ht="20.5">
      <c r="A10" s="117" t="s">
        <v>108</v>
      </c>
      <c r="B10" s="119" t="s">
        <v>110</v>
      </c>
      <c r="C10" s="119">
        <v>500</v>
      </c>
      <c r="D10" s="119">
        <v>1</v>
      </c>
      <c r="E10" s="119">
        <v>5000</v>
      </c>
      <c r="F10" s="105" t="s">
        <v>121</v>
      </c>
    </row>
    <row r="11" spans="1:6">
      <c r="A11" s="117" t="s">
        <v>108</v>
      </c>
      <c r="B11" s="118" t="s">
        <v>111</v>
      </c>
      <c r="C11" s="118">
        <v>600</v>
      </c>
      <c r="D11" s="118">
        <v>4</v>
      </c>
      <c r="E11" s="118">
        <v>6000</v>
      </c>
      <c r="F11" s="105" t="s">
        <v>126</v>
      </c>
    </row>
    <row r="12" spans="1:6" ht="29">
      <c r="A12" s="117" t="s">
        <v>112</v>
      </c>
      <c r="B12" s="118" t="s">
        <v>113</v>
      </c>
      <c r="C12" s="118">
        <v>900</v>
      </c>
      <c r="D12" s="118">
        <v>5</v>
      </c>
      <c r="E12" s="118">
        <v>7000</v>
      </c>
      <c r="F12" s="105" t="s">
        <v>127</v>
      </c>
    </row>
    <row r="13" spans="1:6">
      <c r="A13" s="117" t="s">
        <v>112</v>
      </c>
      <c r="B13" s="118" t="s">
        <v>114</v>
      </c>
      <c r="C13" s="118">
        <v>0</v>
      </c>
      <c r="D13" s="118">
        <v>2</v>
      </c>
      <c r="E13" s="118">
        <f>10*30</f>
        <v>300</v>
      </c>
      <c r="F13" s="105" t="s">
        <v>128</v>
      </c>
    </row>
    <row r="14" spans="1:6">
      <c r="A14" s="117" t="s">
        <v>112</v>
      </c>
      <c r="B14" s="118" t="s">
        <v>119</v>
      </c>
      <c r="C14" s="118">
        <v>400</v>
      </c>
      <c r="D14" s="117">
        <v>2</v>
      </c>
      <c r="E14" s="117">
        <v>8000</v>
      </c>
      <c r="F14" s="105" t="s">
        <v>129</v>
      </c>
    </row>
    <row r="15" spans="1:6" ht="29">
      <c r="A15" s="117" t="s">
        <v>96</v>
      </c>
      <c r="B15" s="117" t="s">
        <v>116</v>
      </c>
      <c r="C15" s="117">
        <v>1600</v>
      </c>
      <c r="D15" s="117">
        <v>4</v>
      </c>
      <c r="E15" s="117">
        <f>1600*0.2*30+90</f>
        <v>9690</v>
      </c>
      <c r="F15" s="105" t="s">
        <v>130</v>
      </c>
    </row>
    <row r="16" spans="1:6">
      <c r="A16" s="117" t="s">
        <v>131</v>
      </c>
      <c r="B16" s="118" t="s">
        <v>132</v>
      </c>
      <c r="C16" s="118">
        <v>600</v>
      </c>
      <c r="D16" s="118">
        <v>0</v>
      </c>
      <c r="E16" s="117">
        <f>(600*0.2*30)</f>
        <v>3600</v>
      </c>
      <c r="F16" s="105" t="s">
        <v>134</v>
      </c>
    </row>
    <row r="17" spans="1:6">
      <c r="A17" s="117" t="s">
        <v>131</v>
      </c>
      <c r="B17" s="118" t="s">
        <v>133</v>
      </c>
      <c r="C17" s="118">
        <v>200</v>
      </c>
      <c r="D17" s="118">
        <v>0</v>
      </c>
      <c r="E17" s="117">
        <f>(200*0.2*30)</f>
        <v>1200</v>
      </c>
      <c r="F17" s="105" t="s">
        <v>134</v>
      </c>
    </row>
    <row r="18" spans="1:6">
      <c r="A18" s="117" t="s">
        <v>475</v>
      </c>
      <c r="B18" s="117" t="s">
        <v>478</v>
      </c>
      <c r="C18" s="117">
        <v>300</v>
      </c>
      <c r="D18" s="117">
        <v>2</v>
      </c>
      <c r="E18" s="117">
        <v>3600</v>
      </c>
      <c r="F18" s="117" t="s">
        <v>479</v>
      </c>
    </row>
    <row r="19" spans="1:6">
      <c r="A19" s="117" t="s">
        <v>475</v>
      </c>
      <c r="B19" s="117" t="s">
        <v>480</v>
      </c>
      <c r="C19" s="117">
        <v>250</v>
      </c>
      <c r="D19" s="117">
        <v>16</v>
      </c>
      <c r="E19" s="117">
        <v>10000</v>
      </c>
      <c r="F19" s="117" t="s">
        <v>481</v>
      </c>
    </row>
    <row r="20" spans="1:6">
      <c r="A20" s="117" t="s">
        <v>475</v>
      </c>
      <c r="B20" s="117" t="s">
        <v>482</v>
      </c>
      <c r="C20" s="117">
        <v>300</v>
      </c>
      <c r="D20" s="117">
        <v>1</v>
      </c>
      <c r="E20" s="117">
        <v>3500</v>
      </c>
      <c r="F20" s="117" t="s">
        <v>483</v>
      </c>
    </row>
    <row r="21" spans="1:6">
      <c r="A21" s="117" t="s">
        <v>453</v>
      </c>
      <c r="B21" s="117" t="s">
        <v>484</v>
      </c>
      <c r="C21" s="117">
        <v>1000</v>
      </c>
      <c r="D21" s="117">
        <v>2</v>
      </c>
      <c r="E21" s="117">
        <v>8000</v>
      </c>
      <c r="F21" s="121" t="s">
        <v>126</v>
      </c>
    </row>
    <row r="22" spans="1:6">
      <c r="A22" s="117"/>
      <c r="B22" s="117"/>
      <c r="C22" s="117"/>
      <c r="D22" s="117"/>
      <c r="E22" s="117"/>
      <c r="F22" s="117"/>
    </row>
    <row r="23" spans="1:6">
      <c r="A23" s="117"/>
      <c r="B23" s="117"/>
      <c r="C23" s="117"/>
      <c r="D23" s="117"/>
      <c r="E23" s="117"/>
      <c r="F23" s="117"/>
    </row>
    <row r="24" spans="1:6">
      <c r="A24" s="117"/>
      <c r="B24" s="117"/>
      <c r="C24" s="117"/>
      <c r="D24" s="117"/>
      <c r="E24" s="117"/>
      <c r="F24" s="117"/>
    </row>
    <row r="25" spans="1:6">
      <c r="A25" s="117"/>
      <c r="B25" s="117"/>
      <c r="C25" s="117"/>
      <c r="D25" s="117"/>
      <c r="E25" s="117"/>
      <c r="F25" s="117"/>
    </row>
    <row r="26" spans="1:6">
      <c r="A26" s="117"/>
      <c r="B26" s="117"/>
      <c r="C26" s="117"/>
      <c r="D26" s="117"/>
      <c r="E26" s="117"/>
      <c r="F26" s="117"/>
    </row>
    <row r="27" spans="1:6">
      <c r="A27" s="117"/>
      <c r="B27" s="117"/>
      <c r="C27" s="117"/>
      <c r="D27" s="117"/>
      <c r="E27" s="117"/>
      <c r="F27" s="117"/>
    </row>
    <row r="28" spans="1:6">
      <c r="A28" s="117"/>
      <c r="B28" s="117"/>
      <c r="C28" s="117"/>
      <c r="D28" s="117"/>
      <c r="E28" s="117"/>
      <c r="F28" s="117"/>
    </row>
    <row r="29" spans="1:6">
      <c r="A29" s="117"/>
      <c r="B29" s="117"/>
      <c r="C29" s="117"/>
      <c r="D29" s="117"/>
      <c r="E29" s="117"/>
      <c r="F29" s="117"/>
    </row>
    <row r="30" spans="1:6">
      <c r="A30" s="117"/>
      <c r="B30" s="117"/>
      <c r="C30" s="117"/>
      <c r="D30" s="117"/>
      <c r="E30" s="117"/>
      <c r="F30" s="117"/>
    </row>
    <row r="31" spans="1:6">
      <c r="A31" s="117"/>
      <c r="B31" s="117"/>
      <c r="C31" s="117"/>
      <c r="D31" s="117"/>
      <c r="E31" s="117"/>
      <c r="F31" s="117"/>
    </row>
    <row r="32" spans="1:6">
      <c r="A32" s="117"/>
      <c r="B32" s="117"/>
      <c r="C32" s="117"/>
      <c r="D32" s="117"/>
      <c r="E32" s="117"/>
      <c r="F32" s="117"/>
    </row>
    <row r="33" spans="1:6">
      <c r="A33" s="117"/>
      <c r="B33" s="117"/>
      <c r="C33" s="117"/>
      <c r="D33" s="117"/>
      <c r="E33" s="117"/>
      <c r="F33" s="117"/>
    </row>
    <row r="34" spans="1:6">
      <c r="A34" s="117"/>
      <c r="B34" s="117"/>
      <c r="C34" s="117"/>
      <c r="D34" s="117"/>
      <c r="E34" s="117"/>
      <c r="F34" s="117"/>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D8BA-C3C7-43D6-BF07-F073D30222C9}">
  <dimension ref="A1:G55"/>
  <sheetViews>
    <sheetView topLeftCell="A43" workbookViewId="0">
      <selection activeCell="B63" sqref="B63"/>
    </sheetView>
  </sheetViews>
  <sheetFormatPr defaultRowHeight="14.5"/>
  <cols>
    <col min="1" max="1" width="8.7265625" style="1"/>
    <col min="2" max="2" width="32.90625" bestFit="1" customWidth="1"/>
    <col min="3" max="3" width="8.7265625" style="1"/>
    <col min="4" max="4" width="14" customWidth="1"/>
    <col min="5" max="5" width="14.453125" customWidth="1"/>
    <col min="6" max="6" width="13.1796875" style="1" customWidth="1"/>
    <col min="7" max="7" width="29.90625" bestFit="1" customWidth="1"/>
  </cols>
  <sheetData>
    <row r="1" spans="1:7" ht="21">
      <c r="A1" s="311" t="s">
        <v>223</v>
      </c>
      <c r="B1" s="311"/>
      <c r="C1" s="311"/>
      <c r="D1" s="311"/>
      <c r="E1" s="311"/>
      <c r="F1" s="311"/>
      <c r="G1" s="311"/>
    </row>
    <row r="2" spans="1:7" ht="53" customHeight="1">
      <c r="A2" s="90" t="s">
        <v>139</v>
      </c>
      <c r="B2" s="91" t="s">
        <v>140</v>
      </c>
      <c r="C2" s="91" t="s">
        <v>0</v>
      </c>
      <c r="D2" s="91" t="s">
        <v>141</v>
      </c>
      <c r="E2" s="90" t="s">
        <v>142</v>
      </c>
      <c r="F2" s="91" t="s">
        <v>143</v>
      </c>
      <c r="G2" s="92" t="s">
        <v>144</v>
      </c>
    </row>
    <row r="3" spans="1:7" ht="18.5">
      <c r="A3" s="93">
        <v>1</v>
      </c>
      <c r="B3" s="94" t="s">
        <v>145</v>
      </c>
      <c r="C3" s="94" t="s">
        <v>80</v>
      </c>
      <c r="D3" s="94" t="s">
        <v>146</v>
      </c>
      <c r="E3" s="95">
        <v>300</v>
      </c>
      <c r="F3" s="94" t="s">
        <v>147</v>
      </c>
      <c r="G3" s="96" t="s">
        <v>148</v>
      </c>
    </row>
    <row r="4" spans="1:7" ht="18.5">
      <c r="A4" s="93">
        <v>2</v>
      </c>
      <c r="B4" s="94" t="s">
        <v>149</v>
      </c>
      <c r="C4" s="94" t="s">
        <v>80</v>
      </c>
      <c r="D4" s="94" t="s">
        <v>146</v>
      </c>
      <c r="E4" s="95">
        <v>500</v>
      </c>
      <c r="F4" s="94" t="s">
        <v>147</v>
      </c>
      <c r="G4" s="96" t="s">
        <v>150</v>
      </c>
    </row>
    <row r="5" spans="1:7" ht="18.5">
      <c r="A5" s="93">
        <v>3</v>
      </c>
      <c r="B5" s="94" t="s">
        <v>151</v>
      </c>
      <c r="C5" s="94" t="s">
        <v>80</v>
      </c>
      <c r="D5" s="94" t="s">
        <v>146</v>
      </c>
      <c r="E5" s="95">
        <v>1500</v>
      </c>
      <c r="F5" s="94" t="s">
        <v>152</v>
      </c>
      <c r="G5" s="96" t="s">
        <v>150</v>
      </c>
    </row>
    <row r="6" spans="1:7" ht="18.5">
      <c r="A6" s="93">
        <v>4</v>
      </c>
      <c r="B6" s="94" t="s">
        <v>153</v>
      </c>
      <c r="C6" s="94" t="s">
        <v>80</v>
      </c>
      <c r="D6" s="94" t="s">
        <v>146</v>
      </c>
      <c r="E6" s="95">
        <v>1300</v>
      </c>
      <c r="F6" s="94" t="s">
        <v>147</v>
      </c>
      <c r="G6" s="96" t="s">
        <v>150</v>
      </c>
    </row>
    <row r="7" spans="1:7" ht="18.5">
      <c r="A7" s="93">
        <v>5</v>
      </c>
      <c r="B7" s="94" t="s">
        <v>154</v>
      </c>
      <c r="C7" s="94" t="s">
        <v>80</v>
      </c>
      <c r="D7" s="94" t="s">
        <v>146</v>
      </c>
      <c r="E7" s="95">
        <v>500</v>
      </c>
      <c r="F7" s="94" t="s">
        <v>152</v>
      </c>
      <c r="G7" s="96" t="s">
        <v>150</v>
      </c>
    </row>
    <row r="8" spans="1:7" ht="18.5">
      <c r="A8" s="93">
        <v>6</v>
      </c>
      <c r="B8" s="94" t="s">
        <v>155</v>
      </c>
      <c r="C8" s="94" t="s">
        <v>80</v>
      </c>
      <c r="D8" s="94" t="s">
        <v>146</v>
      </c>
      <c r="E8" s="95">
        <v>200</v>
      </c>
      <c r="F8" s="94" t="s">
        <v>147</v>
      </c>
      <c r="G8" s="96" t="s">
        <v>150</v>
      </c>
    </row>
    <row r="9" spans="1:7" ht="18.5">
      <c r="A9" s="93">
        <v>7</v>
      </c>
      <c r="B9" s="94" t="s">
        <v>156</v>
      </c>
      <c r="C9" s="94" t="s">
        <v>80</v>
      </c>
      <c r="D9" s="94" t="s">
        <v>146</v>
      </c>
      <c r="E9" s="95">
        <v>150</v>
      </c>
      <c r="F9" s="94" t="s">
        <v>157</v>
      </c>
      <c r="G9" s="96" t="s">
        <v>150</v>
      </c>
    </row>
    <row r="10" spans="1:7" ht="18.5">
      <c r="A10" s="93">
        <v>8</v>
      </c>
      <c r="B10" s="94" t="s">
        <v>158</v>
      </c>
      <c r="C10" s="94" t="s">
        <v>80</v>
      </c>
      <c r="D10" s="94" t="s">
        <v>146</v>
      </c>
      <c r="E10" s="95">
        <v>100</v>
      </c>
      <c r="F10" s="94" t="s">
        <v>159</v>
      </c>
      <c r="G10" s="96" t="s">
        <v>150</v>
      </c>
    </row>
    <row r="11" spans="1:7" ht="18.5">
      <c r="A11" s="93">
        <v>9</v>
      </c>
      <c r="B11" s="94" t="s">
        <v>160</v>
      </c>
      <c r="C11" s="94" t="s">
        <v>80</v>
      </c>
      <c r="D11" s="94" t="s">
        <v>146</v>
      </c>
      <c r="E11" s="95">
        <v>600</v>
      </c>
      <c r="F11" s="94" t="s">
        <v>161</v>
      </c>
      <c r="G11" s="96" t="s">
        <v>150</v>
      </c>
    </row>
    <row r="12" spans="1:7" ht="18.5">
      <c r="A12" s="93">
        <v>10</v>
      </c>
      <c r="B12" s="94" t="s">
        <v>162</v>
      </c>
      <c r="C12" s="94" t="s">
        <v>80</v>
      </c>
      <c r="D12" s="94" t="s">
        <v>146</v>
      </c>
      <c r="E12" s="95">
        <v>200</v>
      </c>
      <c r="F12" s="94" t="s">
        <v>163</v>
      </c>
      <c r="G12" s="94" t="s">
        <v>148</v>
      </c>
    </row>
    <row r="13" spans="1:7" ht="18.5">
      <c r="A13" s="93">
        <v>11</v>
      </c>
      <c r="B13" s="96" t="s">
        <v>164</v>
      </c>
      <c r="C13" s="96" t="s">
        <v>80</v>
      </c>
      <c r="D13" s="96" t="s">
        <v>146</v>
      </c>
      <c r="E13" s="97">
        <v>1300</v>
      </c>
      <c r="F13" s="96" t="s">
        <v>165</v>
      </c>
      <c r="G13" s="96" t="s">
        <v>150</v>
      </c>
    </row>
    <row r="14" spans="1:7" ht="18.5">
      <c r="A14" s="93">
        <v>12</v>
      </c>
      <c r="B14" s="96" t="s">
        <v>166</v>
      </c>
      <c r="C14" s="96" t="s">
        <v>80</v>
      </c>
      <c r="D14" s="96" t="s">
        <v>146</v>
      </c>
      <c r="E14" s="97">
        <v>300</v>
      </c>
      <c r="F14" s="96" t="s">
        <v>167</v>
      </c>
      <c r="G14" s="96" t="s">
        <v>148</v>
      </c>
    </row>
    <row r="15" spans="1:7" ht="18.5">
      <c r="A15" s="93">
        <v>13</v>
      </c>
      <c r="B15" s="96" t="s">
        <v>168</v>
      </c>
      <c r="C15" s="96" t="s">
        <v>80</v>
      </c>
      <c r="D15" s="96" t="s">
        <v>146</v>
      </c>
      <c r="E15" s="97">
        <v>400</v>
      </c>
      <c r="F15" s="96" t="s">
        <v>169</v>
      </c>
      <c r="G15" s="96" t="s">
        <v>148</v>
      </c>
    </row>
    <row r="16" spans="1:7" ht="18.5">
      <c r="A16" s="93">
        <v>14</v>
      </c>
      <c r="B16" s="96" t="s">
        <v>170</v>
      </c>
      <c r="C16" s="96" t="s">
        <v>80</v>
      </c>
      <c r="D16" s="96" t="s">
        <v>146</v>
      </c>
      <c r="E16" s="97">
        <v>1200</v>
      </c>
      <c r="F16" s="96" t="s">
        <v>171</v>
      </c>
      <c r="G16" s="96" t="s">
        <v>148</v>
      </c>
    </row>
    <row r="17" spans="1:7" ht="18.5">
      <c r="A17" s="93">
        <v>15</v>
      </c>
      <c r="B17" s="96" t="s">
        <v>172</v>
      </c>
      <c r="C17" s="96" t="s">
        <v>80</v>
      </c>
      <c r="D17" s="96" t="s">
        <v>146</v>
      </c>
      <c r="E17" s="97">
        <v>100</v>
      </c>
      <c r="F17" s="96" t="s">
        <v>171</v>
      </c>
      <c r="G17" s="96" t="s">
        <v>148</v>
      </c>
    </row>
    <row r="18" spans="1:7" ht="18.5">
      <c r="A18" s="93">
        <v>16</v>
      </c>
      <c r="B18" s="96" t="s">
        <v>173</v>
      </c>
      <c r="C18" s="96" t="s">
        <v>80</v>
      </c>
      <c r="D18" s="96" t="s">
        <v>146</v>
      </c>
      <c r="E18" s="97">
        <v>300</v>
      </c>
      <c r="F18" s="96" t="s">
        <v>171</v>
      </c>
      <c r="G18" s="96" t="s">
        <v>148</v>
      </c>
    </row>
    <row r="19" spans="1:7" ht="18.5">
      <c r="A19" s="93">
        <v>17</v>
      </c>
      <c r="B19" s="96" t="s">
        <v>174</v>
      </c>
      <c r="C19" s="96" t="s">
        <v>80</v>
      </c>
      <c r="D19" s="96" t="s">
        <v>146</v>
      </c>
      <c r="E19" s="97">
        <v>300</v>
      </c>
      <c r="F19" s="96" t="s">
        <v>175</v>
      </c>
      <c r="G19" s="96" t="s">
        <v>148</v>
      </c>
    </row>
    <row r="20" spans="1:7" ht="18.5">
      <c r="A20" s="93">
        <v>18</v>
      </c>
      <c r="B20" s="98" t="s">
        <v>224</v>
      </c>
      <c r="C20" s="98" t="s">
        <v>112</v>
      </c>
      <c r="D20" s="98" t="s">
        <v>177</v>
      </c>
      <c r="E20" s="93">
        <v>41</v>
      </c>
      <c r="F20" s="94" t="s">
        <v>217</v>
      </c>
      <c r="G20" s="94" t="s">
        <v>225</v>
      </c>
    </row>
    <row r="21" spans="1:7" ht="18.5">
      <c r="A21" s="93">
        <v>19</v>
      </c>
      <c r="B21" s="98" t="s">
        <v>218</v>
      </c>
      <c r="C21" s="98" t="s">
        <v>112</v>
      </c>
      <c r="D21" s="98" t="s">
        <v>177</v>
      </c>
      <c r="E21" s="93">
        <v>25</v>
      </c>
      <c r="F21" s="94" t="s">
        <v>219</v>
      </c>
      <c r="G21" s="94" t="s">
        <v>226</v>
      </c>
    </row>
    <row r="22" spans="1:7" ht="18.5">
      <c r="A22" s="93">
        <v>20</v>
      </c>
      <c r="B22" s="98" t="s">
        <v>220</v>
      </c>
      <c r="C22" s="98" t="s">
        <v>112</v>
      </c>
      <c r="D22" s="98" t="s">
        <v>177</v>
      </c>
      <c r="E22" s="93">
        <v>25</v>
      </c>
      <c r="F22" s="94" t="s">
        <v>219</v>
      </c>
      <c r="G22" s="94" t="s">
        <v>148</v>
      </c>
    </row>
    <row r="23" spans="1:7" ht="18.5">
      <c r="A23" s="93">
        <v>21</v>
      </c>
      <c r="B23" s="98" t="s">
        <v>227</v>
      </c>
      <c r="C23" s="98" t="s">
        <v>112</v>
      </c>
      <c r="D23" s="98" t="s">
        <v>177</v>
      </c>
      <c r="E23" s="93">
        <v>50</v>
      </c>
      <c r="F23" s="94" t="s">
        <v>221</v>
      </c>
      <c r="G23" s="94" t="s">
        <v>148</v>
      </c>
    </row>
    <row r="24" spans="1:7" ht="18.5">
      <c r="A24" s="93">
        <v>22</v>
      </c>
      <c r="B24" s="98" t="s">
        <v>227</v>
      </c>
      <c r="C24" s="98" t="s">
        <v>112</v>
      </c>
      <c r="D24" s="98" t="s">
        <v>177</v>
      </c>
      <c r="E24" s="93">
        <v>50</v>
      </c>
      <c r="F24" s="94" t="s">
        <v>221</v>
      </c>
      <c r="G24" s="94" t="s">
        <v>148</v>
      </c>
    </row>
    <row r="25" spans="1:7" ht="18.5">
      <c r="A25" s="93">
        <v>23</v>
      </c>
      <c r="B25" s="98" t="s">
        <v>204</v>
      </c>
      <c r="C25" s="98" t="s">
        <v>97</v>
      </c>
      <c r="D25" s="98" t="s">
        <v>193</v>
      </c>
      <c r="E25" s="93">
        <v>70</v>
      </c>
      <c r="F25" s="99" t="s">
        <v>228</v>
      </c>
      <c r="G25" s="98" t="s">
        <v>148</v>
      </c>
    </row>
    <row r="26" spans="1:7" ht="18.5">
      <c r="A26" s="93">
        <v>24</v>
      </c>
      <c r="B26" s="98" t="s">
        <v>205</v>
      </c>
      <c r="C26" s="98" t="s">
        <v>97</v>
      </c>
      <c r="D26" s="98" t="s">
        <v>193</v>
      </c>
      <c r="E26" s="93">
        <v>35</v>
      </c>
      <c r="F26" s="99" t="s">
        <v>228</v>
      </c>
      <c r="G26" s="98" t="s">
        <v>148</v>
      </c>
    </row>
    <row r="27" spans="1:7" ht="18.5">
      <c r="A27" s="93">
        <v>25</v>
      </c>
      <c r="B27" s="98" t="s">
        <v>206</v>
      </c>
      <c r="C27" s="98" t="s">
        <v>97</v>
      </c>
      <c r="D27" s="98" t="s">
        <v>193</v>
      </c>
      <c r="E27" s="93">
        <v>70</v>
      </c>
      <c r="F27" s="99" t="s">
        <v>228</v>
      </c>
      <c r="G27" s="98" t="s">
        <v>148</v>
      </c>
    </row>
    <row r="28" spans="1:7" ht="18.5">
      <c r="A28" s="93">
        <v>26</v>
      </c>
      <c r="B28" s="98" t="s">
        <v>207</v>
      </c>
      <c r="C28" s="98" t="s">
        <v>97</v>
      </c>
      <c r="D28" s="98" t="s">
        <v>193</v>
      </c>
      <c r="E28" s="93">
        <v>25</v>
      </c>
      <c r="F28" s="99" t="s">
        <v>184</v>
      </c>
      <c r="G28" s="98" t="s">
        <v>148</v>
      </c>
    </row>
    <row r="29" spans="1:7" ht="18.5">
      <c r="A29" s="93">
        <v>27</v>
      </c>
      <c r="B29" s="98" t="s">
        <v>208</v>
      </c>
      <c r="C29" s="98" t="s">
        <v>97</v>
      </c>
      <c r="D29" s="98" t="s">
        <v>193</v>
      </c>
      <c r="E29" s="93">
        <v>20</v>
      </c>
      <c r="F29" s="99" t="s">
        <v>184</v>
      </c>
      <c r="G29" s="98" t="s">
        <v>148</v>
      </c>
    </row>
    <row r="30" spans="1:7" ht="18.5">
      <c r="A30" s="93">
        <v>28</v>
      </c>
      <c r="B30" s="98" t="s">
        <v>209</v>
      </c>
      <c r="C30" s="98" t="s">
        <v>97</v>
      </c>
      <c r="D30" s="98" t="s">
        <v>193</v>
      </c>
      <c r="E30" s="93">
        <v>50</v>
      </c>
      <c r="F30" s="99" t="s">
        <v>229</v>
      </c>
      <c r="G30" s="98" t="s">
        <v>148</v>
      </c>
    </row>
    <row r="31" spans="1:7" ht="18.5">
      <c r="A31" s="93">
        <v>29</v>
      </c>
      <c r="B31" s="98" t="s">
        <v>210</v>
      </c>
      <c r="C31" s="98" t="s">
        <v>97</v>
      </c>
      <c r="D31" s="98" t="s">
        <v>193</v>
      </c>
      <c r="E31" s="93">
        <v>21</v>
      </c>
      <c r="F31" s="99" t="s">
        <v>152</v>
      </c>
      <c r="G31" s="98" t="s">
        <v>148</v>
      </c>
    </row>
    <row r="32" spans="1:7" ht="18.5">
      <c r="A32" s="93">
        <v>30</v>
      </c>
      <c r="B32" s="98" t="s">
        <v>203</v>
      </c>
      <c r="C32" s="98" t="s">
        <v>97</v>
      </c>
      <c r="D32" s="98" t="s">
        <v>146</v>
      </c>
      <c r="E32" s="93">
        <v>85</v>
      </c>
      <c r="F32" s="99" t="s">
        <v>230</v>
      </c>
      <c r="G32" s="98" t="s">
        <v>148</v>
      </c>
    </row>
    <row r="33" spans="1:7" ht="18.5">
      <c r="A33" s="93">
        <v>31</v>
      </c>
      <c r="B33" s="98" t="s">
        <v>202</v>
      </c>
      <c r="C33" s="98" t="s">
        <v>97</v>
      </c>
      <c r="D33" s="98" t="s">
        <v>193</v>
      </c>
      <c r="E33" s="93">
        <v>30</v>
      </c>
      <c r="F33" s="99" t="s">
        <v>231</v>
      </c>
      <c r="G33" s="98" t="s">
        <v>150</v>
      </c>
    </row>
    <row r="34" spans="1:7" ht="18.5">
      <c r="A34" s="93">
        <v>32</v>
      </c>
      <c r="B34" s="98" t="s">
        <v>201</v>
      </c>
      <c r="C34" s="98" t="s">
        <v>97</v>
      </c>
      <c r="D34" s="98" t="s">
        <v>193</v>
      </c>
      <c r="E34" s="93">
        <v>30</v>
      </c>
      <c r="F34" s="99" t="s">
        <v>232</v>
      </c>
      <c r="G34" s="98" t="s">
        <v>148</v>
      </c>
    </row>
    <row r="35" spans="1:7" ht="18.5">
      <c r="A35" s="93">
        <v>33</v>
      </c>
      <c r="B35" s="98" t="s">
        <v>200</v>
      </c>
      <c r="C35" s="98" t="s">
        <v>97</v>
      </c>
      <c r="D35" s="98" t="s">
        <v>193</v>
      </c>
      <c r="E35" s="93">
        <v>80</v>
      </c>
      <c r="F35" s="99" t="s">
        <v>232</v>
      </c>
      <c r="G35" s="98" t="s">
        <v>148</v>
      </c>
    </row>
    <row r="36" spans="1:7" ht="18.5">
      <c r="A36" s="93">
        <v>34</v>
      </c>
      <c r="B36" s="98" t="s">
        <v>210</v>
      </c>
      <c r="C36" s="98" t="s">
        <v>97</v>
      </c>
      <c r="D36" s="98" t="s">
        <v>193</v>
      </c>
      <c r="E36" s="93">
        <v>25</v>
      </c>
      <c r="F36" s="99" t="s">
        <v>152</v>
      </c>
      <c r="G36" s="98" t="s">
        <v>148</v>
      </c>
    </row>
    <row r="37" spans="1:7" ht="18.5">
      <c r="A37" s="93">
        <v>35</v>
      </c>
      <c r="B37" s="98" t="s">
        <v>233</v>
      </c>
      <c r="C37" s="98" t="s">
        <v>94</v>
      </c>
      <c r="D37" s="98" t="s">
        <v>193</v>
      </c>
      <c r="E37" s="93">
        <v>180</v>
      </c>
      <c r="F37" s="94" t="s">
        <v>234</v>
      </c>
      <c r="G37" s="94" t="s">
        <v>235</v>
      </c>
    </row>
    <row r="38" spans="1:7" ht="18.5">
      <c r="A38" s="93">
        <v>36</v>
      </c>
      <c r="B38" s="96" t="s">
        <v>236</v>
      </c>
      <c r="C38" s="96" t="s">
        <v>94</v>
      </c>
      <c r="D38" s="96" t="s">
        <v>193</v>
      </c>
      <c r="E38" s="97">
        <v>330</v>
      </c>
      <c r="F38" s="96" t="s">
        <v>237</v>
      </c>
      <c r="G38" s="96" t="s">
        <v>238</v>
      </c>
    </row>
    <row r="39" spans="1:7" ht="18.5">
      <c r="A39" s="93">
        <v>37</v>
      </c>
      <c r="B39" s="98" t="s">
        <v>176</v>
      </c>
      <c r="C39" s="98" t="s">
        <v>91</v>
      </c>
      <c r="D39" s="98" t="s">
        <v>177</v>
      </c>
      <c r="E39" s="93">
        <v>3</v>
      </c>
      <c r="F39" s="94" t="s">
        <v>178</v>
      </c>
      <c r="G39" s="94" t="s">
        <v>150</v>
      </c>
    </row>
    <row r="40" spans="1:7" ht="18.5">
      <c r="A40" s="93">
        <v>38</v>
      </c>
      <c r="B40" s="98" t="s">
        <v>179</v>
      </c>
      <c r="C40" s="98" t="s">
        <v>91</v>
      </c>
      <c r="D40" s="98" t="s">
        <v>177</v>
      </c>
      <c r="E40" s="93">
        <v>3</v>
      </c>
      <c r="F40" s="94" t="s">
        <v>178</v>
      </c>
      <c r="G40" s="94" t="s">
        <v>148</v>
      </c>
    </row>
    <row r="41" spans="1:7" ht="18.5">
      <c r="A41" s="93">
        <v>39</v>
      </c>
      <c r="B41" s="98" t="s">
        <v>180</v>
      </c>
      <c r="C41" s="98" t="s">
        <v>91</v>
      </c>
      <c r="D41" s="98" t="s">
        <v>146</v>
      </c>
      <c r="E41" s="93">
        <v>12500</v>
      </c>
      <c r="F41" s="94" t="s">
        <v>181</v>
      </c>
      <c r="G41" s="94" t="s">
        <v>182</v>
      </c>
    </row>
    <row r="42" spans="1:7" ht="18.5">
      <c r="A42" s="93">
        <v>40</v>
      </c>
      <c r="B42" s="98" t="s">
        <v>183</v>
      </c>
      <c r="C42" s="98" t="s">
        <v>91</v>
      </c>
      <c r="D42" s="98" t="s">
        <v>146</v>
      </c>
      <c r="E42" s="93">
        <v>4500</v>
      </c>
      <c r="F42" s="94" t="s">
        <v>184</v>
      </c>
      <c r="G42" s="94" t="s">
        <v>185</v>
      </c>
    </row>
    <row r="43" spans="1:7" ht="18.5">
      <c r="A43" s="93">
        <v>41</v>
      </c>
      <c r="B43" s="98" t="s">
        <v>186</v>
      </c>
      <c r="C43" s="98" t="s">
        <v>91</v>
      </c>
      <c r="D43" s="98" t="s">
        <v>177</v>
      </c>
      <c r="E43" s="93">
        <v>9</v>
      </c>
      <c r="F43" s="94" t="s">
        <v>187</v>
      </c>
      <c r="G43" s="94" t="s">
        <v>182</v>
      </c>
    </row>
    <row r="44" spans="1:7" ht="18.5">
      <c r="A44" s="93">
        <v>42</v>
      </c>
      <c r="B44" s="96" t="s">
        <v>211</v>
      </c>
      <c r="C44" s="96" t="s">
        <v>212</v>
      </c>
      <c r="D44" s="96" t="s">
        <v>146</v>
      </c>
      <c r="E44" s="97">
        <v>8000</v>
      </c>
      <c r="F44" s="96" t="s">
        <v>171</v>
      </c>
      <c r="G44" s="96" t="s">
        <v>213</v>
      </c>
    </row>
    <row r="45" spans="1:7" ht="18.5">
      <c r="A45" s="93">
        <v>43</v>
      </c>
      <c r="B45" s="96" t="s">
        <v>214</v>
      </c>
      <c r="C45" s="96" t="s">
        <v>91</v>
      </c>
      <c r="D45" s="96" t="s">
        <v>146</v>
      </c>
      <c r="E45" s="97">
        <v>10000</v>
      </c>
      <c r="F45" s="96" t="s">
        <v>171</v>
      </c>
      <c r="G45" s="96" t="s">
        <v>213</v>
      </c>
    </row>
    <row r="46" spans="1:7" ht="18.5">
      <c r="A46" s="93">
        <v>44</v>
      </c>
      <c r="B46" s="96" t="s">
        <v>215</v>
      </c>
      <c r="C46" s="96" t="s">
        <v>91</v>
      </c>
      <c r="D46" s="96" t="s">
        <v>146</v>
      </c>
      <c r="E46" s="97">
        <v>5000</v>
      </c>
      <c r="F46" s="96" t="s">
        <v>171</v>
      </c>
      <c r="G46" s="96" t="s">
        <v>213</v>
      </c>
    </row>
    <row r="47" spans="1:7" ht="18.5">
      <c r="A47" s="93">
        <v>45</v>
      </c>
      <c r="B47" s="96" t="s">
        <v>216</v>
      </c>
      <c r="C47" s="96" t="s">
        <v>91</v>
      </c>
      <c r="D47" s="96" t="s">
        <v>193</v>
      </c>
      <c r="E47" s="97">
        <v>60</v>
      </c>
      <c r="F47" s="96" t="s">
        <v>171</v>
      </c>
      <c r="G47" s="96" t="s">
        <v>213</v>
      </c>
    </row>
    <row r="48" spans="1:7" ht="18.5">
      <c r="A48" s="93">
        <v>46</v>
      </c>
      <c r="B48" s="94" t="s">
        <v>188</v>
      </c>
      <c r="C48" s="94" t="s">
        <v>189</v>
      </c>
      <c r="D48" s="94" t="s">
        <v>177</v>
      </c>
      <c r="E48" s="95">
        <v>15</v>
      </c>
      <c r="F48" s="94" t="s">
        <v>190</v>
      </c>
      <c r="G48" s="94" t="s">
        <v>150</v>
      </c>
    </row>
    <row r="49" spans="1:7" ht="18.5">
      <c r="A49" s="93">
        <v>47</v>
      </c>
      <c r="B49" s="94" t="s">
        <v>198</v>
      </c>
      <c r="C49" s="94" t="s">
        <v>189</v>
      </c>
      <c r="D49" s="94" t="s">
        <v>177</v>
      </c>
      <c r="E49" s="95">
        <v>200</v>
      </c>
      <c r="F49" s="94" t="s">
        <v>239</v>
      </c>
      <c r="G49" s="94" t="s">
        <v>195</v>
      </c>
    </row>
    <row r="50" spans="1:7" ht="18.5">
      <c r="A50" s="93">
        <v>48</v>
      </c>
      <c r="B50" s="94" t="s">
        <v>199</v>
      </c>
      <c r="C50" s="94" t="s">
        <v>189</v>
      </c>
      <c r="D50" s="94" t="s">
        <v>146</v>
      </c>
      <c r="E50" s="95">
        <v>20000</v>
      </c>
      <c r="F50" s="94" t="s">
        <v>240</v>
      </c>
      <c r="G50" s="94" t="s">
        <v>241</v>
      </c>
    </row>
    <row r="51" spans="1:7" ht="18.5">
      <c r="A51" s="93">
        <v>49</v>
      </c>
      <c r="B51" s="94" t="s">
        <v>191</v>
      </c>
      <c r="C51" s="94" t="s">
        <v>192</v>
      </c>
      <c r="D51" s="94" t="s">
        <v>193</v>
      </c>
      <c r="E51" s="95">
        <v>50</v>
      </c>
      <c r="F51" s="94" t="s">
        <v>194</v>
      </c>
      <c r="G51" s="94" t="s">
        <v>195</v>
      </c>
    </row>
    <row r="52" spans="1:7" ht="18.5">
      <c r="A52" s="93">
        <v>50</v>
      </c>
      <c r="B52" s="94" t="s">
        <v>242</v>
      </c>
      <c r="C52" s="94" t="s">
        <v>243</v>
      </c>
      <c r="D52" s="94" t="s">
        <v>193</v>
      </c>
      <c r="E52" s="95">
        <v>50</v>
      </c>
      <c r="F52" s="94" t="s">
        <v>169</v>
      </c>
      <c r="G52" s="94" t="s">
        <v>195</v>
      </c>
    </row>
    <row r="53" spans="1:7" ht="18.5">
      <c r="A53" s="93">
        <v>51</v>
      </c>
      <c r="B53" s="94" t="s">
        <v>244</v>
      </c>
      <c r="C53" s="94" t="s">
        <v>245</v>
      </c>
      <c r="D53" s="94" t="s">
        <v>193</v>
      </c>
      <c r="E53" s="95">
        <v>30</v>
      </c>
      <c r="F53" s="94" t="s">
        <v>237</v>
      </c>
      <c r="G53" s="94" t="s">
        <v>195</v>
      </c>
    </row>
    <row r="54" spans="1:7" ht="18.5">
      <c r="A54" s="93">
        <v>52</v>
      </c>
      <c r="B54" s="98" t="s">
        <v>196</v>
      </c>
      <c r="C54" s="98" t="s">
        <v>246</v>
      </c>
      <c r="D54" s="98" t="s">
        <v>146</v>
      </c>
      <c r="E54" s="93">
        <v>450</v>
      </c>
      <c r="F54" s="94" t="s">
        <v>197</v>
      </c>
      <c r="G54" s="94" t="s">
        <v>148</v>
      </c>
    </row>
    <row r="55" spans="1:7" ht="21">
      <c r="A55" s="100"/>
      <c r="B55" s="101"/>
      <c r="C55" s="101"/>
      <c r="D55" s="102" t="s">
        <v>1</v>
      </c>
      <c r="E55" s="103">
        <f>SUM(E3:E54)</f>
        <v>71362</v>
      </c>
      <c r="F55" s="101"/>
      <c r="G55" s="101"/>
    </row>
  </sheetData>
  <mergeCells count="1">
    <mergeCell ref="A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9A2BA-F6F4-45C1-97BA-AF28D159F6F4}">
  <sheetPr>
    <pageSetUpPr fitToPage="1"/>
  </sheetPr>
  <dimension ref="A1:F20"/>
  <sheetViews>
    <sheetView workbookViewId="0">
      <selection sqref="A1:F15"/>
    </sheetView>
  </sheetViews>
  <sheetFormatPr defaultRowHeight="14.5"/>
  <cols>
    <col min="1" max="1" width="28.26953125" bestFit="1" customWidth="1"/>
    <col min="2" max="2" width="15.26953125" bestFit="1" customWidth="1"/>
    <col min="3" max="3" width="15.6328125" style="1" bestFit="1" customWidth="1"/>
    <col min="4" max="4" width="28.08984375" bestFit="1" customWidth="1"/>
    <col min="5" max="5" width="22.54296875" bestFit="1" customWidth="1"/>
    <col min="6" max="6" width="18.54296875" bestFit="1" customWidth="1"/>
  </cols>
  <sheetData>
    <row r="1" spans="1:6">
      <c r="A1" s="88" t="s">
        <v>512</v>
      </c>
    </row>
    <row r="2" spans="1:6">
      <c r="A2" s="132" t="s">
        <v>80</v>
      </c>
      <c r="B2" s="128" t="s">
        <v>91</v>
      </c>
      <c r="C2" s="132" t="s">
        <v>94</v>
      </c>
      <c r="D2" s="128" t="s">
        <v>96</v>
      </c>
      <c r="E2" s="132" t="s">
        <v>97</v>
      </c>
      <c r="F2" s="128" t="s">
        <v>112</v>
      </c>
    </row>
    <row r="3" spans="1:6">
      <c r="A3" s="137" t="s">
        <v>81</v>
      </c>
      <c r="B3" s="138" t="s">
        <v>92</v>
      </c>
      <c r="C3" s="104" t="s">
        <v>95</v>
      </c>
      <c r="D3" s="139" t="s">
        <v>99</v>
      </c>
      <c r="E3" s="138" t="s">
        <v>98</v>
      </c>
      <c r="F3" s="138" t="s">
        <v>509</v>
      </c>
    </row>
    <row r="4" spans="1:6">
      <c r="A4" s="137" t="s">
        <v>82</v>
      </c>
      <c r="B4" s="138" t="s">
        <v>93</v>
      </c>
      <c r="C4" s="104"/>
      <c r="D4" s="138" t="s">
        <v>505</v>
      </c>
      <c r="E4" s="138"/>
      <c r="F4" s="138"/>
    </row>
    <row r="5" spans="1:6">
      <c r="A5" s="138" t="s">
        <v>83</v>
      </c>
      <c r="B5" s="138"/>
      <c r="C5" s="140"/>
      <c r="D5" s="138" t="s">
        <v>506</v>
      </c>
      <c r="E5" s="138"/>
      <c r="F5" s="138"/>
    </row>
    <row r="6" spans="1:6">
      <c r="A6" s="138" t="s">
        <v>84</v>
      </c>
      <c r="B6" s="138"/>
      <c r="C6" s="104"/>
      <c r="D6" s="138"/>
      <c r="E6" s="138"/>
      <c r="F6" s="138"/>
    </row>
    <row r="7" spans="1:6">
      <c r="A7" s="138" t="s">
        <v>85</v>
      </c>
      <c r="B7" s="138"/>
      <c r="C7" s="104"/>
      <c r="D7" s="138"/>
      <c r="E7" s="138"/>
      <c r="F7" s="138"/>
    </row>
    <row r="8" spans="1:6">
      <c r="A8" s="138" t="s">
        <v>86</v>
      </c>
      <c r="B8" s="138"/>
      <c r="C8" s="104"/>
      <c r="D8" s="138"/>
      <c r="E8" s="138"/>
      <c r="F8" s="138"/>
    </row>
    <row r="9" spans="1:6">
      <c r="A9" s="138" t="s">
        <v>87</v>
      </c>
      <c r="B9" s="138"/>
      <c r="C9" s="104"/>
      <c r="D9" s="138"/>
      <c r="E9" s="138"/>
      <c r="F9" s="138"/>
    </row>
    <row r="10" spans="1:6">
      <c r="A10" s="138" t="s">
        <v>88</v>
      </c>
      <c r="B10" s="138"/>
      <c r="C10" s="104"/>
      <c r="D10" s="138"/>
      <c r="E10" s="138"/>
      <c r="F10" s="138"/>
    </row>
    <row r="11" spans="1:6">
      <c r="A11" s="138" t="s">
        <v>89</v>
      </c>
      <c r="B11" s="138"/>
      <c r="C11" s="104"/>
      <c r="D11" s="138"/>
      <c r="E11" s="138"/>
      <c r="F11" s="138"/>
    </row>
    <row r="12" spans="1:6">
      <c r="A12" s="138" t="s">
        <v>90</v>
      </c>
      <c r="B12" s="138"/>
      <c r="C12" s="104"/>
      <c r="D12" s="138"/>
      <c r="E12" s="138"/>
      <c r="F12" s="138"/>
    </row>
    <row r="13" spans="1:6">
      <c r="A13" s="138" t="s">
        <v>507</v>
      </c>
      <c r="B13" s="138"/>
      <c r="C13" s="104"/>
      <c r="D13" s="138"/>
      <c r="E13" s="138"/>
      <c r="F13" s="138"/>
    </row>
    <row r="14" spans="1:6">
      <c r="A14" s="138" t="s">
        <v>508</v>
      </c>
      <c r="B14" s="138"/>
      <c r="C14" s="104"/>
      <c r="D14" s="138"/>
      <c r="E14" s="138"/>
      <c r="F14" s="138"/>
    </row>
    <row r="15" spans="1:6">
      <c r="A15" s="138" t="s">
        <v>511</v>
      </c>
      <c r="B15" s="138"/>
      <c r="C15" s="104"/>
      <c r="D15" s="138"/>
      <c r="E15" s="138"/>
      <c r="F15" s="138"/>
    </row>
    <row r="17" spans="1:1">
      <c r="A17" s="89"/>
    </row>
    <row r="18" spans="1:1">
      <c r="A18" s="89"/>
    </row>
    <row r="19" spans="1:1">
      <c r="A19" s="89"/>
    </row>
    <row r="20" spans="1:1">
      <c r="A20" s="89"/>
    </row>
  </sheetData>
  <pageMargins left="0.7" right="0.7" top="0.75" bottom="0.75" header="0.3" footer="0.3"/>
  <pageSetup paperSize="9" scale="68"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63F36-A9E7-4A71-8258-FAD69E8A0AA1}">
  <dimension ref="A1:F182"/>
  <sheetViews>
    <sheetView workbookViewId="0">
      <selection activeCell="K12" sqref="K12"/>
    </sheetView>
  </sheetViews>
  <sheetFormatPr defaultRowHeight="14.5"/>
  <cols>
    <col min="2" max="2" width="140.26953125" bestFit="1" customWidth="1"/>
    <col min="5" max="5" width="20.26953125" bestFit="1" customWidth="1"/>
  </cols>
  <sheetData>
    <row r="1" spans="1:6" ht="43.5">
      <c r="A1" s="106" t="s">
        <v>424</v>
      </c>
      <c r="B1" s="106" t="s">
        <v>425</v>
      </c>
      <c r="C1" s="106" t="s">
        <v>0</v>
      </c>
      <c r="D1" s="106" t="s">
        <v>426</v>
      </c>
      <c r="E1" s="106" t="s">
        <v>427</v>
      </c>
      <c r="F1" s="106" t="s">
        <v>428</v>
      </c>
    </row>
    <row r="2" spans="1:6">
      <c r="A2" s="104">
        <v>1</v>
      </c>
      <c r="B2" s="104" t="s">
        <v>247</v>
      </c>
      <c r="C2" s="104" t="s">
        <v>112</v>
      </c>
      <c r="D2" s="104" t="s">
        <v>429</v>
      </c>
      <c r="E2" s="107">
        <v>46174</v>
      </c>
      <c r="F2" s="108">
        <v>9.8800000000000008</v>
      </c>
    </row>
    <row r="3" spans="1:6">
      <c r="A3" s="104">
        <v>2</v>
      </c>
      <c r="B3" s="104" t="s">
        <v>248</v>
      </c>
      <c r="C3" s="104" t="s">
        <v>112</v>
      </c>
      <c r="D3" s="104" t="s">
        <v>429</v>
      </c>
      <c r="E3" s="107">
        <v>46143</v>
      </c>
      <c r="F3" s="108">
        <v>20.58</v>
      </c>
    </row>
    <row r="4" spans="1:6">
      <c r="A4" s="104">
        <v>3</v>
      </c>
      <c r="B4" s="104" t="s">
        <v>249</v>
      </c>
      <c r="C4" s="104" t="s">
        <v>112</v>
      </c>
      <c r="D4" s="104" t="s">
        <v>429</v>
      </c>
      <c r="E4" s="107">
        <v>46204</v>
      </c>
      <c r="F4" s="108">
        <v>21.41</v>
      </c>
    </row>
    <row r="5" spans="1:6">
      <c r="A5" s="104">
        <v>4</v>
      </c>
      <c r="B5" s="104" t="s">
        <v>250</v>
      </c>
      <c r="C5" s="104" t="s">
        <v>112</v>
      </c>
      <c r="D5" s="104" t="s">
        <v>429</v>
      </c>
      <c r="E5" s="107">
        <v>46143</v>
      </c>
      <c r="F5" s="108">
        <v>12.35</v>
      </c>
    </row>
    <row r="6" spans="1:6">
      <c r="A6" s="104">
        <v>5</v>
      </c>
      <c r="B6" s="104" t="s">
        <v>251</v>
      </c>
      <c r="C6" s="104" t="s">
        <v>112</v>
      </c>
      <c r="D6" s="104" t="s">
        <v>429</v>
      </c>
      <c r="E6" s="107">
        <v>46174</v>
      </c>
      <c r="F6" s="108">
        <v>24.7</v>
      </c>
    </row>
    <row r="7" spans="1:6">
      <c r="A7" s="104">
        <v>6</v>
      </c>
      <c r="B7" s="104" t="s">
        <v>252</v>
      </c>
      <c r="C7" s="104" t="s">
        <v>112</v>
      </c>
      <c r="D7" s="104" t="s">
        <v>429</v>
      </c>
      <c r="E7" s="107">
        <v>46174</v>
      </c>
      <c r="F7" s="108">
        <v>23</v>
      </c>
    </row>
    <row r="8" spans="1:6">
      <c r="A8" s="104">
        <v>7</v>
      </c>
      <c r="B8" s="104" t="s">
        <v>253</v>
      </c>
      <c r="C8" s="104" t="s">
        <v>112</v>
      </c>
      <c r="D8" s="104" t="s">
        <v>429</v>
      </c>
      <c r="E8" s="107">
        <v>46204</v>
      </c>
      <c r="F8" s="108">
        <v>9.8800000000000008</v>
      </c>
    </row>
    <row r="9" spans="1:6">
      <c r="A9" s="104">
        <v>8</v>
      </c>
      <c r="B9" s="104" t="s">
        <v>254</v>
      </c>
      <c r="C9" s="104" t="s">
        <v>112</v>
      </c>
      <c r="D9" s="104" t="s">
        <v>429</v>
      </c>
      <c r="E9" s="107">
        <v>46204</v>
      </c>
      <c r="F9" s="108">
        <v>16.47</v>
      </c>
    </row>
    <row r="10" spans="1:6">
      <c r="A10" s="104">
        <v>9</v>
      </c>
      <c r="B10" s="104" t="s">
        <v>255</v>
      </c>
      <c r="C10" s="104" t="s">
        <v>112</v>
      </c>
      <c r="D10" s="104" t="s">
        <v>429</v>
      </c>
      <c r="E10" s="107">
        <v>46235</v>
      </c>
      <c r="F10" s="108">
        <v>37.049999999999997</v>
      </c>
    </row>
    <row r="11" spans="1:6">
      <c r="A11" s="104">
        <v>10</v>
      </c>
      <c r="B11" s="104" t="s">
        <v>256</v>
      </c>
      <c r="C11" s="104" t="s">
        <v>112</v>
      </c>
      <c r="D11" s="104" t="s">
        <v>429</v>
      </c>
      <c r="E11" s="107">
        <v>46235</v>
      </c>
      <c r="F11" s="108">
        <v>16.47</v>
      </c>
    </row>
    <row r="12" spans="1:6">
      <c r="A12" s="104">
        <v>11</v>
      </c>
      <c r="B12" s="104" t="s">
        <v>257</v>
      </c>
      <c r="C12" s="104" t="s">
        <v>112</v>
      </c>
      <c r="D12" s="104" t="s">
        <v>429</v>
      </c>
      <c r="E12" s="107" t="s">
        <v>430</v>
      </c>
      <c r="F12" s="108">
        <v>50</v>
      </c>
    </row>
    <row r="13" spans="1:6">
      <c r="A13" s="104">
        <v>12</v>
      </c>
      <c r="B13" s="104" t="s">
        <v>258</v>
      </c>
      <c r="C13" s="104" t="s">
        <v>112</v>
      </c>
      <c r="D13" s="104" t="s">
        <v>429</v>
      </c>
      <c r="E13" s="107" t="s">
        <v>431</v>
      </c>
      <c r="F13" s="108">
        <v>40</v>
      </c>
    </row>
    <row r="14" spans="1:6">
      <c r="A14" s="104">
        <v>13</v>
      </c>
      <c r="B14" s="104" t="s">
        <v>259</v>
      </c>
      <c r="C14" s="104" t="s">
        <v>112</v>
      </c>
      <c r="D14" s="104" t="s">
        <v>429</v>
      </c>
      <c r="E14" s="107">
        <v>46204</v>
      </c>
      <c r="F14" s="108">
        <v>24.7</v>
      </c>
    </row>
    <row r="15" spans="1:6">
      <c r="A15" s="104">
        <v>14</v>
      </c>
      <c r="B15" s="104" t="s">
        <v>260</v>
      </c>
      <c r="C15" s="104" t="s">
        <v>112</v>
      </c>
      <c r="D15" s="104" t="s">
        <v>429</v>
      </c>
      <c r="E15" s="107">
        <v>46235</v>
      </c>
      <c r="F15" s="108">
        <v>24.7</v>
      </c>
    </row>
    <row r="16" spans="1:6">
      <c r="A16" s="104">
        <v>15</v>
      </c>
      <c r="B16" s="104" t="s">
        <v>261</v>
      </c>
      <c r="C16" s="104" t="s">
        <v>112</v>
      </c>
      <c r="D16" s="104" t="s">
        <v>429</v>
      </c>
      <c r="E16" s="107">
        <v>46266</v>
      </c>
      <c r="F16" s="108">
        <v>14.82</v>
      </c>
    </row>
    <row r="17" spans="1:6">
      <c r="A17" s="104">
        <v>16</v>
      </c>
      <c r="B17" s="104" t="s">
        <v>262</v>
      </c>
      <c r="C17" s="104" t="s">
        <v>112</v>
      </c>
      <c r="D17" s="104" t="s">
        <v>429</v>
      </c>
      <c r="E17" s="107">
        <v>46266</v>
      </c>
      <c r="F17" s="108">
        <v>42.81</v>
      </c>
    </row>
    <row r="18" spans="1:6">
      <c r="A18" s="104">
        <v>17</v>
      </c>
      <c r="B18" s="104" t="s">
        <v>263</v>
      </c>
      <c r="C18" s="104" t="s">
        <v>112</v>
      </c>
      <c r="D18" s="104" t="s">
        <v>429</v>
      </c>
      <c r="E18" s="107">
        <v>46266</v>
      </c>
      <c r="F18" s="108">
        <v>13.17</v>
      </c>
    </row>
    <row r="19" spans="1:6">
      <c r="A19" s="104">
        <v>18</v>
      </c>
      <c r="B19" s="104" t="s">
        <v>264</v>
      </c>
      <c r="C19" s="104" t="s">
        <v>112</v>
      </c>
      <c r="D19" s="104" t="s">
        <v>429</v>
      </c>
      <c r="E19" s="107">
        <v>46266</v>
      </c>
      <c r="F19" s="108">
        <v>39.520000000000003</v>
      </c>
    </row>
    <row r="20" spans="1:6">
      <c r="A20" s="104">
        <v>19</v>
      </c>
      <c r="B20" s="104" t="s">
        <v>265</v>
      </c>
      <c r="C20" s="104" t="s">
        <v>112</v>
      </c>
      <c r="D20" s="104" t="s">
        <v>429</v>
      </c>
      <c r="E20" s="107">
        <v>46296</v>
      </c>
      <c r="F20" s="108">
        <v>21.41</v>
      </c>
    </row>
    <row r="21" spans="1:6">
      <c r="A21" s="104">
        <v>20</v>
      </c>
      <c r="B21" s="104" t="s">
        <v>266</v>
      </c>
      <c r="C21" s="104" t="s">
        <v>112</v>
      </c>
      <c r="D21" s="104" t="s">
        <v>429</v>
      </c>
      <c r="E21" s="107">
        <v>46296</v>
      </c>
      <c r="F21" s="108">
        <v>34.58</v>
      </c>
    </row>
    <row r="22" spans="1:6">
      <c r="A22" s="104">
        <v>21</v>
      </c>
      <c r="B22" s="104" t="s">
        <v>267</v>
      </c>
      <c r="C22" s="104" t="s">
        <v>112</v>
      </c>
      <c r="D22" s="104" t="s">
        <v>429</v>
      </c>
      <c r="E22" s="107">
        <v>46296</v>
      </c>
      <c r="F22" s="108">
        <v>27.99</v>
      </c>
    </row>
    <row r="23" spans="1:6">
      <c r="A23" s="104">
        <v>22</v>
      </c>
      <c r="B23" s="104" t="s">
        <v>268</v>
      </c>
      <c r="C23" s="104" t="s">
        <v>112</v>
      </c>
      <c r="D23" s="104" t="s">
        <v>429</v>
      </c>
      <c r="E23" s="107">
        <v>46357</v>
      </c>
      <c r="F23" s="108">
        <v>45.5</v>
      </c>
    </row>
    <row r="24" spans="1:6">
      <c r="A24" s="104">
        <v>23</v>
      </c>
      <c r="B24" s="104" t="s">
        <v>269</v>
      </c>
      <c r="C24" s="104" t="s">
        <v>112</v>
      </c>
      <c r="D24" s="104" t="s">
        <v>429</v>
      </c>
      <c r="E24" s="107">
        <v>46357</v>
      </c>
      <c r="F24" s="108">
        <v>36.4</v>
      </c>
    </row>
    <row r="25" spans="1:6">
      <c r="A25" s="104">
        <v>24</v>
      </c>
      <c r="B25" s="104" t="s">
        <v>270</v>
      </c>
      <c r="C25" s="104" t="s">
        <v>112</v>
      </c>
      <c r="D25" s="104" t="s">
        <v>429</v>
      </c>
      <c r="E25" s="107">
        <v>46357</v>
      </c>
      <c r="F25" s="108">
        <v>36.4</v>
      </c>
    </row>
    <row r="26" spans="1:6">
      <c r="A26" s="104">
        <v>25</v>
      </c>
      <c r="B26" s="104" t="s">
        <v>271</v>
      </c>
      <c r="C26" s="104" t="s">
        <v>112</v>
      </c>
      <c r="D26" s="104" t="s">
        <v>432</v>
      </c>
      <c r="E26" s="107">
        <v>46174</v>
      </c>
      <c r="F26" s="108">
        <v>50</v>
      </c>
    </row>
    <row r="27" spans="1:6">
      <c r="A27" s="104">
        <v>26</v>
      </c>
      <c r="B27" s="104" t="s">
        <v>272</v>
      </c>
      <c r="C27" s="104" t="s">
        <v>112</v>
      </c>
      <c r="D27" s="104" t="s">
        <v>432</v>
      </c>
      <c r="E27" s="107">
        <v>46388</v>
      </c>
      <c r="F27" s="108">
        <v>19.5</v>
      </c>
    </row>
    <row r="28" spans="1:6">
      <c r="A28" s="104">
        <v>27</v>
      </c>
      <c r="B28" s="104" t="s">
        <v>273</v>
      </c>
      <c r="C28" s="104" t="s">
        <v>112</v>
      </c>
      <c r="D28" s="104" t="s">
        <v>432</v>
      </c>
      <c r="E28" s="107">
        <v>46357</v>
      </c>
      <c r="F28" s="108">
        <v>27.3</v>
      </c>
    </row>
    <row r="29" spans="1:6">
      <c r="A29" s="104">
        <v>28</v>
      </c>
      <c r="B29" s="104" t="s">
        <v>274</v>
      </c>
      <c r="C29" s="104" t="s">
        <v>112</v>
      </c>
      <c r="D29" s="104" t="s">
        <v>432</v>
      </c>
      <c r="E29" s="107">
        <v>46357</v>
      </c>
      <c r="F29" s="108">
        <v>18.2</v>
      </c>
    </row>
    <row r="30" spans="1:6">
      <c r="A30" s="104">
        <v>29</v>
      </c>
      <c r="B30" s="104" t="s">
        <v>275</v>
      </c>
      <c r="C30" s="104" t="s">
        <v>112</v>
      </c>
      <c r="D30" s="104" t="s">
        <v>432</v>
      </c>
      <c r="E30" s="107">
        <v>46388</v>
      </c>
      <c r="F30" s="108">
        <v>18.2</v>
      </c>
    </row>
    <row r="31" spans="1:6">
      <c r="A31" s="104">
        <v>30</v>
      </c>
      <c r="B31" s="104" t="s">
        <v>276</v>
      </c>
      <c r="C31" s="104" t="s">
        <v>112</v>
      </c>
      <c r="D31" s="104" t="s">
        <v>432</v>
      </c>
      <c r="E31" s="107">
        <v>46357</v>
      </c>
      <c r="F31" s="108">
        <v>36.4</v>
      </c>
    </row>
    <row r="32" spans="1:6">
      <c r="A32" s="104">
        <v>31</v>
      </c>
      <c r="B32" s="104" t="s">
        <v>277</v>
      </c>
      <c r="C32" s="104" t="s">
        <v>112</v>
      </c>
      <c r="D32" s="104" t="s">
        <v>432</v>
      </c>
      <c r="E32" s="107">
        <v>46357</v>
      </c>
      <c r="F32" s="108">
        <v>27.3</v>
      </c>
    </row>
    <row r="33" spans="1:6">
      <c r="A33" s="104">
        <v>32</v>
      </c>
      <c r="B33" s="104" t="s">
        <v>278</v>
      </c>
      <c r="C33" s="104" t="s">
        <v>112</v>
      </c>
      <c r="D33" s="104" t="s">
        <v>432</v>
      </c>
      <c r="E33" s="107">
        <v>46357</v>
      </c>
      <c r="F33" s="108">
        <v>24.7</v>
      </c>
    </row>
    <row r="34" spans="1:6">
      <c r="A34" s="104">
        <v>33</v>
      </c>
      <c r="B34" s="104" t="s">
        <v>279</v>
      </c>
      <c r="C34" s="104" t="s">
        <v>112</v>
      </c>
      <c r="D34" s="104" t="s">
        <v>432</v>
      </c>
      <c r="E34" s="107">
        <v>46357</v>
      </c>
      <c r="F34" s="108">
        <v>18.2</v>
      </c>
    </row>
    <row r="35" spans="1:6">
      <c r="A35" s="104">
        <v>34</v>
      </c>
      <c r="B35" s="104" t="s">
        <v>280</v>
      </c>
      <c r="C35" s="104" t="s">
        <v>112</v>
      </c>
      <c r="D35" s="104" t="s">
        <v>432</v>
      </c>
      <c r="E35" s="107">
        <v>46235</v>
      </c>
      <c r="F35" s="108">
        <v>26</v>
      </c>
    </row>
    <row r="36" spans="1:6">
      <c r="A36" s="104">
        <v>35</v>
      </c>
      <c r="B36" s="104" t="s">
        <v>281</v>
      </c>
      <c r="C36" s="104" t="s">
        <v>112</v>
      </c>
      <c r="D36" s="104" t="s">
        <v>432</v>
      </c>
      <c r="E36" s="107">
        <v>46235</v>
      </c>
      <c r="F36" s="108">
        <v>13</v>
      </c>
    </row>
    <row r="37" spans="1:6">
      <c r="A37" s="104">
        <v>36</v>
      </c>
      <c r="B37" s="104" t="s">
        <v>282</v>
      </c>
      <c r="C37" s="104" t="s">
        <v>112</v>
      </c>
      <c r="D37" s="104" t="s">
        <v>433</v>
      </c>
      <c r="E37" s="107">
        <v>46204</v>
      </c>
      <c r="F37" s="108">
        <v>33.799999999999997</v>
      </c>
    </row>
    <row r="38" spans="1:6">
      <c r="A38" s="104">
        <v>37</v>
      </c>
      <c r="B38" s="104" t="s">
        <v>283</v>
      </c>
      <c r="C38" s="104" t="s">
        <v>112</v>
      </c>
      <c r="D38" s="104" t="s">
        <v>433</v>
      </c>
      <c r="E38" s="107">
        <v>46174</v>
      </c>
      <c r="F38" s="108">
        <v>15.6</v>
      </c>
    </row>
    <row r="39" spans="1:6">
      <c r="A39" s="104">
        <v>38</v>
      </c>
      <c r="B39" s="104" t="s">
        <v>284</v>
      </c>
      <c r="C39" s="104" t="s">
        <v>112</v>
      </c>
      <c r="D39" s="104" t="s">
        <v>433</v>
      </c>
      <c r="E39" s="107">
        <v>46174</v>
      </c>
      <c r="F39" s="108">
        <v>39</v>
      </c>
    </row>
    <row r="40" spans="1:6">
      <c r="A40" s="104">
        <v>39</v>
      </c>
      <c r="B40" s="104" t="s">
        <v>285</v>
      </c>
      <c r="C40" s="104" t="s">
        <v>112</v>
      </c>
      <c r="D40" s="104" t="s">
        <v>433</v>
      </c>
      <c r="E40" s="107">
        <v>46235</v>
      </c>
      <c r="F40" s="108">
        <v>13</v>
      </c>
    </row>
    <row r="41" spans="1:6">
      <c r="A41" s="104">
        <v>40</v>
      </c>
      <c r="B41" s="104" t="s">
        <v>286</v>
      </c>
      <c r="C41" s="104" t="s">
        <v>112</v>
      </c>
      <c r="D41" s="104" t="s">
        <v>433</v>
      </c>
      <c r="E41" s="107">
        <v>46266</v>
      </c>
      <c r="F41" s="108">
        <v>10.4</v>
      </c>
    </row>
    <row r="42" spans="1:6">
      <c r="A42" s="104">
        <v>41</v>
      </c>
      <c r="B42" s="104" t="s">
        <v>287</v>
      </c>
      <c r="C42" s="104" t="s">
        <v>112</v>
      </c>
      <c r="D42" s="104" t="s">
        <v>433</v>
      </c>
      <c r="E42" s="107">
        <v>46296</v>
      </c>
      <c r="F42" s="108">
        <v>24.7</v>
      </c>
    </row>
    <row r="43" spans="1:6">
      <c r="A43" s="104">
        <v>42</v>
      </c>
      <c r="B43" s="104" t="s">
        <v>288</v>
      </c>
      <c r="C43" s="104" t="s">
        <v>112</v>
      </c>
      <c r="D43" s="104" t="s">
        <v>433</v>
      </c>
      <c r="E43" s="107">
        <v>46388</v>
      </c>
      <c r="F43" s="108">
        <v>10</v>
      </c>
    </row>
    <row r="44" spans="1:6">
      <c r="A44" s="104">
        <v>43</v>
      </c>
      <c r="B44" s="104" t="s">
        <v>289</v>
      </c>
      <c r="C44" s="104" t="s">
        <v>112</v>
      </c>
      <c r="D44" s="104" t="s">
        <v>433</v>
      </c>
      <c r="E44" s="107">
        <v>46388</v>
      </c>
      <c r="F44" s="108">
        <v>13</v>
      </c>
    </row>
    <row r="45" spans="1:6">
      <c r="A45" s="104">
        <v>44</v>
      </c>
      <c r="B45" s="104" t="s">
        <v>290</v>
      </c>
      <c r="C45" s="104" t="s">
        <v>112</v>
      </c>
      <c r="D45" s="104" t="s">
        <v>433</v>
      </c>
      <c r="E45" s="107" t="s">
        <v>431</v>
      </c>
      <c r="F45" s="108">
        <v>50</v>
      </c>
    </row>
    <row r="46" spans="1:6">
      <c r="A46" s="104">
        <v>45</v>
      </c>
      <c r="B46" s="104" t="s">
        <v>291</v>
      </c>
      <c r="C46" s="104" t="s">
        <v>112</v>
      </c>
      <c r="D46" s="104" t="s">
        <v>433</v>
      </c>
      <c r="E46" s="107" t="s">
        <v>431</v>
      </c>
      <c r="F46" s="108">
        <v>50</v>
      </c>
    </row>
    <row r="47" spans="1:6">
      <c r="A47" s="104">
        <v>46</v>
      </c>
      <c r="B47" s="104" t="s">
        <v>292</v>
      </c>
      <c r="C47" s="104" t="s">
        <v>80</v>
      </c>
      <c r="D47" s="104" t="s">
        <v>434</v>
      </c>
      <c r="E47" s="107">
        <v>46143</v>
      </c>
      <c r="F47" s="108">
        <v>4000</v>
      </c>
    </row>
    <row r="48" spans="1:6">
      <c r="A48" s="104">
        <v>47</v>
      </c>
      <c r="B48" s="104" t="s">
        <v>293</v>
      </c>
      <c r="C48" s="104" t="s">
        <v>80</v>
      </c>
      <c r="D48" s="104" t="s">
        <v>434</v>
      </c>
      <c r="E48" s="107">
        <v>46143</v>
      </c>
      <c r="F48" s="108">
        <v>1200</v>
      </c>
    </row>
    <row r="49" spans="1:6">
      <c r="A49" s="104">
        <v>48</v>
      </c>
      <c r="B49" s="104" t="s">
        <v>294</v>
      </c>
      <c r="C49" s="104" t="s">
        <v>80</v>
      </c>
      <c r="D49" s="104" t="s">
        <v>434</v>
      </c>
      <c r="E49" s="107" t="s">
        <v>435</v>
      </c>
      <c r="F49" s="108">
        <v>100</v>
      </c>
    </row>
    <row r="50" spans="1:6">
      <c r="A50" s="104">
        <v>49</v>
      </c>
      <c r="B50" s="104" t="s">
        <v>295</v>
      </c>
      <c r="C50" s="104" t="s">
        <v>80</v>
      </c>
      <c r="D50" s="104" t="s">
        <v>434</v>
      </c>
      <c r="E50" s="107" t="s">
        <v>435</v>
      </c>
      <c r="F50" s="108">
        <v>200</v>
      </c>
    </row>
    <row r="51" spans="1:6">
      <c r="A51" s="104">
        <v>50</v>
      </c>
      <c r="B51" s="104" t="s">
        <v>296</v>
      </c>
      <c r="C51" s="104" t="s">
        <v>80</v>
      </c>
      <c r="D51" s="104" t="s">
        <v>434</v>
      </c>
      <c r="E51" s="107" t="s">
        <v>436</v>
      </c>
      <c r="F51" s="108">
        <v>150</v>
      </c>
    </row>
    <row r="52" spans="1:6">
      <c r="A52" s="104">
        <v>51</v>
      </c>
      <c r="B52" s="104" t="s">
        <v>297</v>
      </c>
      <c r="C52" s="104" t="s">
        <v>94</v>
      </c>
      <c r="D52" s="104" t="s">
        <v>437</v>
      </c>
      <c r="E52" s="107">
        <v>46266</v>
      </c>
      <c r="F52" s="108">
        <v>9000</v>
      </c>
    </row>
    <row r="53" spans="1:6">
      <c r="A53" s="104">
        <v>52</v>
      </c>
      <c r="B53" s="104" t="s">
        <v>298</v>
      </c>
      <c r="C53" s="104" t="s">
        <v>94</v>
      </c>
      <c r="D53" s="104" t="s">
        <v>437</v>
      </c>
      <c r="E53" s="107">
        <v>46266</v>
      </c>
      <c r="F53" s="108">
        <v>600</v>
      </c>
    </row>
    <row r="54" spans="1:6">
      <c r="A54" s="104">
        <v>53</v>
      </c>
      <c r="B54" s="104" t="s">
        <v>299</v>
      </c>
      <c r="C54" s="104" t="s">
        <v>94</v>
      </c>
      <c r="D54" s="104" t="s">
        <v>437</v>
      </c>
      <c r="E54" s="107">
        <v>46082</v>
      </c>
      <c r="F54" s="108">
        <v>175</v>
      </c>
    </row>
    <row r="55" spans="1:6">
      <c r="A55" s="104">
        <v>54</v>
      </c>
      <c r="B55" s="104" t="s">
        <v>101</v>
      </c>
      <c r="C55" s="104" t="s">
        <v>94</v>
      </c>
      <c r="D55" s="104" t="s">
        <v>437</v>
      </c>
      <c r="E55" s="107">
        <v>46174</v>
      </c>
      <c r="F55" s="108">
        <v>200</v>
      </c>
    </row>
    <row r="56" spans="1:6">
      <c r="A56" s="104">
        <v>55</v>
      </c>
      <c r="B56" s="104" t="s">
        <v>104</v>
      </c>
      <c r="C56" s="104" t="s">
        <v>94</v>
      </c>
      <c r="D56" s="104" t="s">
        <v>437</v>
      </c>
      <c r="E56" s="107">
        <v>46143</v>
      </c>
      <c r="F56" s="108">
        <v>430</v>
      </c>
    </row>
    <row r="57" spans="1:6">
      <c r="A57" s="104">
        <v>56</v>
      </c>
      <c r="B57" s="104" t="s">
        <v>300</v>
      </c>
      <c r="C57" s="104" t="s">
        <v>438</v>
      </c>
      <c r="D57" s="104" t="s">
        <v>439</v>
      </c>
      <c r="E57" s="107">
        <v>46082</v>
      </c>
      <c r="F57" s="108">
        <v>400</v>
      </c>
    </row>
    <row r="58" spans="1:6">
      <c r="A58" s="104">
        <v>57</v>
      </c>
      <c r="B58" s="104" t="s">
        <v>301</v>
      </c>
      <c r="C58" s="104" t="s">
        <v>438</v>
      </c>
      <c r="D58" s="104" t="s">
        <v>439</v>
      </c>
      <c r="E58" s="107">
        <v>46082</v>
      </c>
      <c r="F58" s="108">
        <v>200</v>
      </c>
    </row>
    <row r="59" spans="1:6">
      <c r="A59" s="104">
        <v>58</v>
      </c>
      <c r="B59" s="104" t="s">
        <v>302</v>
      </c>
      <c r="C59" s="104" t="s">
        <v>438</v>
      </c>
      <c r="D59" s="104" t="s">
        <v>440</v>
      </c>
      <c r="E59" s="107">
        <v>46174</v>
      </c>
      <c r="F59" s="108">
        <v>70</v>
      </c>
    </row>
    <row r="60" spans="1:6">
      <c r="A60" s="104">
        <v>59</v>
      </c>
      <c r="B60" s="104" t="s">
        <v>303</v>
      </c>
      <c r="C60" s="104" t="s">
        <v>438</v>
      </c>
      <c r="D60" s="104" t="s">
        <v>439</v>
      </c>
      <c r="E60" s="107">
        <v>46143</v>
      </c>
      <c r="F60" s="108">
        <v>400</v>
      </c>
    </row>
    <row r="61" spans="1:6">
      <c r="A61" s="104">
        <v>60</v>
      </c>
      <c r="B61" s="104" t="s">
        <v>304</v>
      </c>
      <c r="C61" s="104" t="s">
        <v>438</v>
      </c>
      <c r="D61" s="104" t="s">
        <v>439</v>
      </c>
      <c r="E61" s="107">
        <v>46266</v>
      </c>
      <c r="F61" s="108">
        <v>1000</v>
      </c>
    </row>
    <row r="62" spans="1:6">
      <c r="A62" s="104">
        <v>61</v>
      </c>
      <c r="B62" s="104" t="s">
        <v>305</v>
      </c>
      <c r="C62" s="104" t="s">
        <v>438</v>
      </c>
      <c r="D62" s="104" t="s">
        <v>441</v>
      </c>
      <c r="E62" s="107">
        <v>46266</v>
      </c>
      <c r="F62" s="108">
        <v>15000</v>
      </c>
    </row>
    <row r="63" spans="1:6">
      <c r="A63" s="104">
        <v>62</v>
      </c>
      <c r="B63" s="104" t="s">
        <v>306</v>
      </c>
      <c r="C63" s="104" t="s">
        <v>442</v>
      </c>
      <c r="D63" s="104" t="s">
        <v>443</v>
      </c>
      <c r="E63" s="107">
        <v>46204</v>
      </c>
      <c r="F63" s="108">
        <v>12.6</v>
      </c>
    </row>
    <row r="64" spans="1:6">
      <c r="A64" s="104">
        <v>63</v>
      </c>
      <c r="B64" s="104" t="s">
        <v>307</v>
      </c>
      <c r="C64" s="104" t="s">
        <v>442</v>
      </c>
      <c r="D64" s="104" t="s">
        <v>443</v>
      </c>
      <c r="E64" s="107">
        <v>46204</v>
      </c>
      <c r="F64" s="108">
        <v>75.400000000000006</v>
      </c>
    </row>
    <row r="65" spans="1:6">
      <c r="A65" s="104">
        <v>64</v>
      </c>
      <c r="B65" s="104" t="s">
        <v>308</v>
      </c>
      <c r="C65" s="104" t="s">
        <v>442</v>
      </c>
      <c r="D65" s="104" t="s">
        <v>443</v>
      </c>
      <c r="E65" s="107">
        <v>46204</v>
      </c>
      <c r="F65" s="108">
        <v>31.4</v>
      </c>
    </row>
    <row r="66" spans="1:6">
      <c r="A66" s="104">
        <v>65</v>
      </c>
      <c r="B66" s="104" t="s">
        <v>309</v>
      </c>
      <c r="C66" s="104" t="s">
        <v>442</v>
      </c>
      <c r="D66" s="104" t="s">
        <v>443</v>
      </c>
      <c r="E66" s="107">
        <v>46296</v>
      </c>
      <c r="F66" s="108">
        <v>37.700000000000003</v>
      </c>
    </row>
    <row r="67" spans="1:6">
      <c r="A67" s="104">
        <v>66</v>
      </c>
      <c r="B67" s="104" t="s">
        <v>310</v>
      </c>
      <c r="C67" s="104" t="s">
        <v>442</v>
      </c>
      <c r="D67" s="104" t="s">
        <v>443</v>
      </c>
      <c r="E67" s="107">
        <v>46327</v>
      </c>
      <c r="F67" s="108">
        <v>25.1</v>
      </c>
    </row>
    <row r="68" spans="1:6">
      <c r="A68" s="104">
        <v>67</v>
      </c>
      <c r="B68" s="104" t="s">
        <v>311</v>
      </c>
      <c r="C68" s="104" t="s">
        <v>442</v>
      </c>
      <c r="D68" s="104" t="s">
        <v>443</v>
      </c>
      <c r="E68" s="107">
        <v>46388</v>
      </c>
      <c r="F68" s="108">
        <v>10</v>
      </c>
    </row>
    <row r="69" spans="1:6">
      <c r="A69" s="104">
        <v>68</v>
      </c>
      <c r="B69" s="104" t="s">
        <v>312</v>
      </c>
      <c r="C69" s="104" t="s">
        <v>442</v>
      </c>
      <c r="D69" s="104" t="s">
        <v>443</v>
      </c>
      <c r="E69" s="107">
        <v>46388</v>
      </c>
      <c r="F69" s="108">
        <v>19.600000000000001</v>
      </c>
    </row>
    <row r="70" spans="1:6">
      <c r="A70" s="104">
        <v>69</v>
      </c>
      <c r="B70" s="104" t="s">
        <v>313</v>
      </c>
      <c r="C70" s="104" t="s">
        <v>442</v>
      </c>
      <c r="D70" s="104" t="s">
        <v>444</v>
      </c>
      <c r="E70" s="107">
        <v>46327</v>
      </c>
      <c r="F70" s="108">
        <v>324</v>
      </c>
    </row>
    <row r="71" spans="1:6">
      <c r="A71" s="104">
        <v>70</v>
      </c>
      <c r="B71" s="104" t="s">
        <v>314</v>
      </c>
      <c r="C71" s="104" t="s">
        <v>442</v>
      </c>
      <c r="D71" s="104" t="s">
        <v>444</v>
      </c>
      <c r="E71" s="107">
        <v>46327</v>
      </c>
      <c r="F71" s="108">
        <v>162</v>
      </c>
    </row>
    <row r="72" spans="1:6">
      <c r="A72" s="104">
        <v>71</v>
      </c>
      <c r="B72" s="104" t="s">
        <v>315</v>
      </c>
      <c r="C72" s="104" t="s">
        <v>442</v>
      </c>
      <c r="D72" s="104" t="s">
        <v>444</v>
      </c>
      <c r="E72" s="107">
        <v>46327</v>
      </c>
      <c r="F72" s="108">
        <v>108</v>
      </c>
    </row>
    <row r="73" spans="1:6">
      <c r="A73" s="104">
        <v>72</v>
      </c>
      <c r="B73" s="104" t="s">
        <v>316</v>
      </c>
      <c r="C73" s="104" t="s">
        <v>442</v>
      </c>
      <c r="D73" s="104" t="s">
        <v>444</v>
      </c>
      <c r="E73" s="107">
        <v>46327</v>
      </c>
      <c r="F73" s="108">
        <v>108</v>
      </c>
    </row>
    <row r="74" spans="1:6">
      <c r="A74" s="104">
        <v>73</v>
      </c>
      <c r="B74" s="104" t="s">
        <v>317</v>
      </c>
      <c r="C74" s="104" t="s">
        <v>442</v>
      </c>
      <c r="D74" s="104" t="s">
        <v>444</v>
      </c>
      <c r="E74" s="107">
        <v>46357</v>
      </c>
      <c r="F74" s="108">
        <v>216</v>
      </c>
    </row>
    <row r="75" spans="1:6">
      <c r="A75" s="104">
        <v>74</v>
      </c>
      <c r="B75" s="104" t="s">
        <v>318</v>
      </c>
      <c r="C75" s="104" t="s">
        <v>442</v>
      </c>
      <c r="D75" s="104" t="s">
        <v>444</v>
      </c>
      <c r="E75" s="107">
        <v>46357</v>
      </c>
      <c r="F75" s="108">
        <v>54</v>
      </c>
    </row>
    <row r="76" spans="1:6">
      <c r="A76" s="104">
        <v>75</v>
      </c>
      <c r="B76" s="104" t="s">
        <v>319</v>
      </c>
      <c r="C76" s="104" t="s">
        <v>442</v>
      </c>
      <c r="D76" s="104" t="s">
        <v>444</v>
      </c>
      <c r="E76" s="107">
        <v>46357</v>
      </c>
      <c r="F76" s="108">
        <v>405</v>
      </c>
    </row>
    <row r="77" spans="1:6">
      <c r="A77" s="104">
        <v>76</v>
      </c>
      <c r="B77" s="104" t="s">
        <v>320</v>
      </c>
      <c r="C77" s="104" t="s">
        <v>108</v>
      </c>
      <c r="D77" s="104" t="s">
        <v>445</v>
      </c>
      <c r="E77" s="107">
        <v>46082</v>
      </c>
      <c r="F77" s="108">
        <v>9</v>
      </c>
    </row>
    <row r="78" spans="1:6">
      <c r="A78" s="104">
        <v>77</v>
      </c>
      <c r="B78" s="104" t="s">
        <v>321</v>
      </c>
      <c r="C78" s="104" t="s">
        <v>108</v>
      </c>
      <c r="D78" s="104" t="s">
        <v>445</v>
      </c>
      <c r="E78" s="107">
        <v>46082</v>
      </c>
      <c r="F78" s="108">
        <v>30</v>
      </c>
    </row>
    <row r="79" spans="1:6">
      <c r="A79" s="104">
        <v>78</v>
      </c>
      <c r="B79" s="104" t="s">
        <v>322</v>
      </c>
      <c r="C79" s="104" t="s">
        <v>108</v>
      </c>
      <c r="D79" s="104" t="s">
        <v>445</v>
      </c>
      <c r="E79" s="107">
        <v>46082</v>
      </c>
      <c r="F79" s="108">
        <v>6</v>
      </c>
    </row>
    <row r="80" spans="1:6">
      <c r="A80" s="104">
        <v>79</v>
      </c>
      <c r="B80" s="104" t="s">
        <v>323</v>
      </c>
      <c r="C80" s="104" t="s">
        <v>108</v>
      </c>
      <c r="D80" s="104" t="s">
        <v>445</v>
      </c>
      <c r="E80" s="107">
        <v>46143</v>
      </c>
      <c r="F80" s="108">
        <v>6</v>
      </c>
    </row>
    <row r="81" spans="1:6">
      <c r="A81" s="104">
        <v>80</v>
      </c>
      <c r="B81" s="104" t="s">
        <v>324</v>
      </c>
      <c r="C81" s="104" t="s">
        <v>108</v>
      </c>
      <c r="D81" s="104" t="s">
        <v>445</v>
      </c>
      <c r="E81" s="107">
        <v>46143</v>
      </c>
      <c r="F81" s="108">
        <v>95</v>
      </c>
    </row>
    <row r="82" spans="1:6">
      <c r="A82" s="104">
        <v>81</v>
      </c>
      <c r="B82" s="104" t="s">
        <v>325</v>
      </c>
      <c r="C82" s="104" t="s">
        <v>108</v>
      </c>
      <c r="D82" s="104" t="s">
        <v>446</v>
      </c>
      <c r="E82" s="107">
        <v>46174</v>
      </c>
      <c r="F82" s="108">
        <v>4</v>
      </c>
    </row>
    <row r="83" spans="1:6">
      <c r="A83" s="104">
        <v>82</v>
      </c>
      <c r="B83" s="104" t="s">
        <v>326</v>
      </c>
      <c r="C83" s="104" t="s">
        <v>108</v>
      </c>
      <c r="D83" s="104" t="s">
        <v>446</v>
      </c>
      <c r="E83" s="107">
        <v>46174</v>
      </c>
      <c r="F83" s="108">
        <v>9</v>
      </c>
    </row>
    <row r="84" spans="1:6">
      <c r="A84" s="104">
        <v>83</v>
      </c>
      <c r="B84" s="104" t="s">
        <v>327</v>
      </c>
      <c r="C84" s="104" t="s">
        <v>108</v>
      </c>
      <c r="D84" s="104" t="s">
        <v>446</v>
      </c>
      <c r="E84" s="107">
        <v>46266</v>
      </c>
      <c r="F84" s="108">
        <v>14</v>
      </c>
    </row>
    <row r="85" spans="1:6">
      <c r="A85" s="104">
        <v>84</v>
      </c>
      <c r="B85" s="104" t="s">
        <v>328</v>
      </c>
      <c r="C85" s="104" t="s">
        <v>108</v>
      </c>
      <c r="D85" s="104" t="s">
        <v>445</v>
      </c>
      <c r="E85" s="107" t="s">
        <v>447</v>
      </c>
      <c r="F85" s="108">
        <v>400</v>
      </c>
    </row>
    <row r="86" spans="1:6">
      <c r="A86" s="104">
        <v>85</v>
      </c>
      <c r="B86" s="104" t="s">
        <v>329</v>
      </c>
      <c r="C86" s="104" t="s">
        <v>97</v>
      </c>
      <c r="D86" s="104" t="s">
        <v>448</v>
      </c>
      <c r="E86" s="107">
        <v>46113</v>
      </c>
      <c r="F86" s="108">
        <v>25</v>
      </c>
    </row>
    <row r="87" spans="1:6">
      <c r="A87" s="104">
        <v>86</v>
      </c>
      <c r="B87" s="104" t="s">
        <v>330</v>
      </c>
      <c r="C87" s="104" t="s">
        <v>97</v>
      </c>
      <c r="D87" s="104" t="s">
        <v>448</v>
      </c>
      <c r="E87" s="107">
        <v>46143</v>
      </c>
      <c r="F87" s="108">
        <v>80</v>
      </c>
    </row>
    <row r="88" spans="1:6">
      <c r="A88" s="104">
        <v>87</v>
      </c>
      <c r="B88" s="104" t="s">
        <v>331</v>
      </c>
      <c r="C88" s="104" t="s">
        <v>97</v>
      </c>
      <c r="D88" s="104" t="s">
        <v>449</v>
      </c>
      <c r="E88" s="107">
        <v>46174</v>
      </c>
      <c r="F88" s="108">
        <v>550</v>
      </c>
    </row>
    <row r="89" spans="1:6">
      <c r="A89" s="104">
        <v>88</v>
      </c>
      <c r="B89" s="104" t="s">
        <v>332</v>
      </c>
      <c r="C89" s="104" t="s">
        <v>97</v>
      </c>
      <c r="D89" s="104" t="s">
        <v>449</v>
      </c>
      <c r="E89" s="107">
        <v>46174</v>
      </c>
      <c r="F89" s="108">
        <v>16</v>
      </c>
    </row>
    <row r="90" spans="1:6">
      <c r="A90" s="104">
        <v>89</v>
      </c>
      <c r="B90" s="104" t="s">
        <v>333</v>
      </c>
      <c r="C90" s="104" t="s">
        <v>97</v>
      </c>
      <c r="D90" s="104" t="s">
        <v>449</v>
      </c>
      <c r="E90" s="107">
        <v>46204</v>
      </c>
      <c r="F90" s="108">
        <v>360</v>
      </c>
    </row>
    <row r="91" spans="1:6">
      <c r="A91" s="104">
        <v>90</v>
      </c>
      <c r="B91" s="104" t="s">
        <v>334</v>
      </c>
      <c r="C91" s="104" t="s">
        <v>97</v>
      </c>
      <c r="D91" s="104" t="s">
        <v>449</v>
      </c>
      <c r="E91" s="107">
        <v>46174</v>
      </c>
      <c r="F91" s="108">
        <v>80</v>
      </c>
    </row>
    <row r="92" spans="1:6">
      <c r="A92" s="104">
        <v>91</v>
      </c>
      <c r="B92" s="104" t="s">
        <v>335</v>
      </c>
      <c r="C92" s="104" t="s">
        <v>97</v>
      </c>
      <c r="D92" s="104" t="s">
        <v>449</v>
      </c>
      <c r="E92" s="107">
        <v>46235</v>
      </c>
      <c r="F92" s="108">
        <v>16</v>
      </c>
    </row>
    <row r="93" spans="1:6">
      <c r="A93" s="104">
        <v>92</v>
      </c>
      <c r="B93" s="104" t="s">
        <v>336</v>
      </c>
      <c r="C93" s="104" t="s">
        <v>97</v>
      </c>
      <c r="D93" s="104" t="s">
        <v>448</v>
      </c>
      <c r="E93" s="107">
        <v>46143</v>
      </c>
      <c r="F93" s="108">
        <v>105</v>
      </c>
    </row>
    <row r="94" spans="1:6">
      <c r="A94" s="104">
        <v>93</v>
      </c>
      <c r="B94" s="104" t="s">
        <v>337</v>
      </c>
      <c r="C94" s="104" t="s">
        <v>97</v>
      </c>
      <c r="D94" s="104" t="s">
        <v>448</v>
      </c>
      <c r="E94" s="107">
        <v>46327</v>
      </c>
      <c r="F94" s="108">
        <v>55</v>
      </c>
    </row>
    <row r="95" spans="1:6">
      <c r="A95" s="104">
        <v>94</v>
      </c>
      <c r="B95" s="104" t="s">
        <v>338</v>
      </c>
      <c r="C95" s="104" t="s">
        <v>97</v>
      </c>
      <c r="D95" s="104" t="s">
        <v>448</v>
      </c>
      <c r="E95" s="107">
        <v>46388</v>
      </c>
      <c r="F95" s="108">
        <v>140</v>
      </c>
    </row>
    <row r="96" spans="1:6">
      <c r="A96" s="104">
        <v>95</v>
      </c>
      <c r="B96" s="104" t="s">
        <v>339</v>
      </c>
      <c r="C96" s="104" t="s">
        <v>97</v>
      </c>
      <c r="D96" s="104" t="s">
        <v>448</v>
      </c>
      <c r="E96" s="107">
        <v>46388</v>
      </c>
      <c r="F96" s="108">
        <v>25</v>
      </c>
    </row>
    <row r="97" spans="1:6">
      <c r="A97" s="104">
        <v>96</v>
      </c>
      <c r="B97" s="104" t="s">
        <v>340</v>
      </c>
      <c r="C97" s="104" t="s">
        <v>91</v>
      </c>
      <c r="D97" s="104" t="s">
        <v>450</v>
      </c>
      <c r="E97" s="107">
        <v>46327</v>
      </c>
      <c r="F97" s="108">
        <v>50000</v>
      </c>
    </row>
    <row r="98" spans="1:6">
      <c r="A98" s="104">
        <v>97</v>
      </c>
      <c r="B98" s="104" t="s">
        <v>341</v>
      </c>
      <c r="C98" s="104" t="s">
        <v>91</v>
      </c>
      <c r="D98" s="104" t="s">
        <v>451</v>
      </c>
      <c r="E98" s="107">
        <v>46357</v>
      </c>
      <c r="F98" s="108">
        <v>4500</v>
      </c>
    </row>
    <row r="99" spans="1:6">
      <c r="A99" s="104">
        <v>98</v>
      </c>
      <c r="B99" s="104" t="s">
        <v>342</v>
      </c>
      <c r="C99" s="104" t="s">
        <v>91</v>
      </c>
      <c r="D99" s="104" t="s">
        <v>451</v>
      </c>
      <c r="E99" s="107">
        <v>46419</v>
      </c>
      <c r="F99" s="108">
        <v>30000</v>
      </c>
    </row>
    <row r="100" spans="1:6">
      <c r="A100" s="104">
        <v>99</v>
      </c>
      <c r="B100" s="104" t="s">
        <v>343</v>
      </c>
      <c r="C100" s="104" t="s">
        <v>91</v>
      </c>
      <c r="D100" s="104" t="s">
        <v>451</v>
      </c>
      <c r="E100" s="107">
        <v>46419</v>
      </c>
      <c r="F100" s="108">
        <v>30000</v>
      </c>
    </row>
    <row r="101" spans="1:6">
      <c r="A101" s="104">
        <v>100</v>
      </c>
      <c r="B101" s="104" t="s">
        <v>344</v>
      </c>
      <c r="C101" s="104" t="s">
        <v>91</v>
      </c>
      <c r="D101" s="104" t="s">
        <v>451</v>
      </c>
      <c r="E101" s="107">
        <v>46447</v>
      </c>
      <c r="F101" s="108">
        <v>2000</v>
      </c>
    </row>
    <row r="102" spans="1:6">
      <c r="A102" s="104">
        <v>101</v>
      </c>
      <c r="B102" s="104" t="s">
        <v>305</v>
      </c>
      <c r="C102" s="104" t="s">
        <v>91</v>
      </c>
      <c r="D102" s="104" t="s">
        <v>451</v>
      </c>
      <c r="E102" s="107">
        <v>46447</v>
      </c>
      <c r="F102" s="108">
        <v>3500</v>
      </c>
    </row>
    <row r="103" spans="1:6">
      <c r="A103" s="104">
        <v>102</v>
      </c>
      <c r="B103" s="104" t="s">
        <v>345</v>
      </c>
      <c r="C103" s="104" t="s">
        <v>91</v>
      </c>
      <c r="D103" s="104" t="s">
        <v>451</v>
      </c>
      <c r="E103" s="107">
        <v>46447</v>
      </c>
      <c r="F103" s="108">
        <v>4000</v>
      </c>
    </row>
    <row r="104" spans="1:6">
      <c r="A104" s="104">
        <v>103</v>
      </c>
      <c r="B104" s="104" t="s">
        <v>346</v>
      </c>
      <c r="C104" s="104" t="s">
        <v>91</v>
      </c>
      <c r="D104" s="104" t="s">
        <v>452</v>
      </c>
      <c r="E104" s="107">
        <v>46447</v>
      </c>
      <c r="F104" s="108">
        <v>10000</v>
      </c>
    </row>
    <row r="105" spans="1:6">
      <c r="A105" s="104">
        <v>104</v>
      </c>
      <c r="B105" s="104" t="s">
        <v>347</v>
      </c>
      <c r="C105" s="104" t="s">
        <v>91</v>
      </c>
      <c r="D105" s="104" t="s">
        <v>451</v>
      </c>
      <c r="E105" s="107">
        <v>46447</v>
      </c>
      <c r="F105" s="108">
        <v>6000</v>
      </c>
    </row>
    <row r="106" spans="1:6">
      <c r="A106" s="104">
        <v>105</v>
      </c>
      <c r="B106" s="104" t="s">
        <v>348</v>
      </c>
      <c r="C106" s="104" t="s">
        <v>453</v>
      </c>
      <c r="D106" s="104" t="s">
        <v>454</v>
      </c>
      <c r="E106" s="107" t="s">
        <v>455</v>
      </c>
      <c r="F106" s="108">
        <v>6000</v>
      </c>
    </row>
    <row r="107" spans="1:6">
      <c r="A107" s="104">
        <v>106</v>
      </c>
      <c r="B107" s="104" t="s">
        <v>349</v>
      </c>
      <c r="C107" s="104" t="s">
        <v>453</v>
      </c>
      <c r="D107" s="104" t="s">
        <v>454</v>
      </c>
      <c r="E107" s="107" t="s">
        <v>456</v>
      </c>
      <c r="F107" s="108">
        <v>2000</v>
      </c>
    </row>
    <row r="108" spans="1:6">
      <c r="A108" s="104">
        <v>107</v>
      </c>
      <c r="B108" s="104" t="s">
        <v>350</v>
      </c>
      <c r="C108" s="104" t="s">
        <v>453</v>
      </c>
      <c r="D108" s="104" t="s">
        <v>454</v>
      </c>
      <c r="E108" s="107" t="s">
        <v>457</v>
      </c>
      <c r="F108" s="108">
        <v>1200</v>
      </c>
    </row>
    <row r="109" spans="1:6">
      <c r="A109" s="104">
        <v>108</v>
      </c>
      <c r="B109" s="104" t="s">
        <v>351</v>
      </c>
      <c r="C109" s="104" t="s">
        <v>453</v>
      </c>
      <c r="D109" s="104" t="s">
        <v>454</v>
      </c>
      <c r="E109" s="107" t="s">
        <v>457</v>
      </c>
      <c r="F109" s="108">
        <v>250</v>
      </c>
    </row>
    <row r="110" spans="1:6">
      <c r="A110" s="104">
        <v>109</v>
      </c>
      <c r="B110" s="104" t="s">
        <v>352</v>
      </c>
      <c r="C110" s="104" t="s">
        <v>453</v>
      </c>
      <c r="D110" s="104" t="s">
        <v>458</v>
      </c>
      <c r="E110" s="107" t="s">
        <v>456</v>
      </c>
      <c r="F110" s="108">
        <v>1000</v>
      </c>
    </row>
    <row r="111" spans="1:6">
      <c r="A111" s="104">
        <v>110</v>
      </c>
      <c r="B111" s="104" t="s">
        <v>353</v>
      </c>
      <c r="C111" s="104" t="s">
        <v>453</v>
      </c>
      <c r="D111" s="104" t="s">
        <v>459</v>
      </c>
      <c r="E111" s="107" t="s">
        <v>460</v>
      </c>
      <c r="F111" s="108">
        <v>650</v>
      </c>
    </row>
    <row r="112" spans="1:6">
      <c r="A112" s="104">
        <v>111</v>
      </c>
      <c r="B112" s="104" t="s">
        <v>354</v>
      </c>
      <c r="C112" s="104" t="s">
        <v>453</v>
      </c>
      <c r="D112" s="104" t="s">
        <v>459</v>
      </c>
      <c r="E112" s="107" t="s">
        <v>460</v>
      </c>
      <c r="F112" s="108">
        <v>650</v>
      </c>
    </row>
    <row r="113" spans="1:6">
      <c r="A113" s="104">
        <v>112</v>
      </c>
      <c r="B113" s="104" t="s">
        <v>355</v>
      </c>
      <c r="C113" s="104" t="s">
        <v>453</v>
      </c>
      <c r="D113" s="104" t="s">
        <v>461</v>
      </c>
      <c r="E113" s="107" t="s">
        <v>460</v>
      </c>
      <c r="F113" s="108">
        <v>650</v>
      </c>
    </row>
    <row r="114" spans="1:6">
      <c r="A114" s="104">
        <v>113</v>
      </c>
      <c r="B114" s="104" t="s">
        <v>356</v>
      </c>
      <c r="C114" s="104" t="s">
        <v>453</v>
      </c>
      <c r="D114" s="104" t="s">
        <v>462</v>
      </c>
      <c r="E114" s="107" t="s">
        <v>463</v>
      </c>
      <c r="F114" s="108">
        <v>650</v>
      </c>
    </row>
    <row r="115" spans="1:6">
      <c r="A115" s="104">
        <v>114</v>
      </c>
      <c r="B115" s="104" t="s">
        <v>357</v>
      </c>
      <c r="C115" s="104" t="s">
        <v>453</v>
      </c>
      <c r="D115" s="104" t="s">
        <v>462</v>
      </c>
      <c r="E115" s="107" t="s">
        <v>460</v>
      </c>
      <c r="F115" s="108">
        <v>650</v>
      </c>
    </row>
    <row r="116" spans="1:6">
      <c r="A116" s="104">
        <v>115</v>
      </c>
      <c r="B116" s="104" t="s">
        <v>358</v>
      </c>
      <c r="C116" s="104" t="s">
        <v>453</v>
      </c>
      <c r="D116" s="104" t="s">
        <v>464</v>
      </c>
      <c r="E116" s="107" t="s">
        <v>460</v>
      </c>
      <c r="F116" s="108">
        <v>650</v>
      </c>
    </row>
    <row r="117" spans="1:6">
      <c r="A117" s="104">
        <v>116</v>
      </c>
      <c r="B117" s="104" t="s">
        <v>359</v>
      </c>
      <c r="C117" s="104" t="s">
        <v>453</v>
      </c>
      <c r="D117" s="104" t="s">
        <v>464</v>
      </c>
      <c r="E117" s="107" t="s">
        <v>460</v>
      </c>
      <c r="F117" s="108">
        <v>650</v>
      </c>
    </row>
    <row r="118" spans="1:6">
      <c r="A118" s="104">
        <v>117</v>
      </c>
      <c r="B118" s="104" t="s">
        <v>360</v>
      </c>
      <c r="C118" s="104" t="s">
        <v>453</v>
      </c>
      <c r="D118" s="104" t="s">
        <v>464</v>
      </c>
      <c r="E118" s="107" t="s">
        <v>460</v>
      </c>
      <c r="F118" s="108">
        <v>650</v>
      </c>
    </row>
    <row r="119" spans="1:6">
      <c r="A119" s="104">
        <v>118</v>
      </c>
      <c r="B119" s="104" t="s">
        <v>361</v>
      </c>
      <c r="C119" s="104" t="s">
        <v>453</v>
      </c>
      <c r="D119" s="104" t="s">
        <v>465</v>
      </c>
      <c r="E119" s="107" t="s">
        <v>463</v>
      </c>
      <c r="F119" s="108">
        <v>650</v>
      </c>
    </row>
    <row r="120" spans="1:6">
      <c r="A120" s="104">
        <v>119</v>
      </c>
      <c r="B120" s="104" t="s">
        <v>362</v>
      </c>
      <c r="C120" s="104" t="s">
        <v>453</v>
      </c>
      <c r="D120" s="104" t="s">
        <v>466</v>
      </c>
      <c r="E120" s="107" t="s">
        <v>463</v>
      </c>
      <c r="F120" s="108">
        <v>650</v>
      </c>
    </row>
    <row r="121" spans="1:6">
      <c r="A121" s="104">
        <v>120</v>
      </c>
      <c r="B121" s="104" t="s">
        <v>363</v>
      </c>
      <c r="C121" s="104" t="s">
        <v>453</v>
      </c>
      <c r="D121" s="104" t="s">
        <v>464</v>
      </c>
      <c r="E121" s="107" t="s">
        <v>460</v>
      </c>
      <c r="F121" s="108">
        <v>650</v>
      </c>
    </row>
    <row r="122" spans="1:6">
      <c r="A122" s="104">
        <v>121</v>
      </c>
      <c r="B122" s="104" t="s">
        <v>364</v>
      </c>
      <c r="C122" s="104" t="s">
        <v>453</v>
      </c>
      <c r="D122" s="104" t="s">
        <v>467</v>
      </c>
      <c r="E122" s="107" t="s">
        <v>463</v>
      </c>
      <c r="F122" s="108">
        <v>650</v>
      </c>
    </row>
    <row r="123" spans="1:6">
      <c r="A123" s="104">
        <v>122</v>
      </c>
      <c r="B123" s="104" t="s">
        <v>365</v>
      </c>
      <c r="C123" s="104" t="s">
        <v>453</v>
      </c>
      <c r="D123" s="104" t="s">
        <v>464</v>
      </c>
      <c r="E123" s="107" t="s">
        <v>460</v>
      </c>
      <c r="F123" s="108">
        <v>650</v>
      </c>
    </row>
    <row r="124" spans="1:6">
      <c r="A124" s="104">
        <v>123</v>
      </c>
      <c r="B124" s="104" t="s">
        <v>366</v>
      </c>
      <c r="C124" s="104" t="s">
        <v>453</v>
      </c>
      <c r="D124" s="104" t="s">
        <v>467</v>
      </c>
      <c r="E124" s="107" t="s">
        <v>460</v>
      </c>
      <c r="F124" s="108">
        <v>550</v>
      </c>
    </row>
    <row r="125" spans="1:6">
      <c r="A125" s="104">
        <v>124</v>
      </c>
      <c r="B125" s="104" t="s">
        <v>367</v>
      </c>
      <c r="C125" s="104" t="s">
        <v>453</v>
      </c>
      <c r="D125" s="104" t="s">
        <v>468</v>
      </c>
      <c r="E125" s="107" t="s">
        <v>460</v>
      </c>
      <c r="F125" s="108">
        <v>120</v>
      </c>
    </row>
    <row r="126" spans="1:6">
      <c r="A126" s="104">
        <v>125</v>
      </c>
      <c r="B126" s="104" t="s">
        <v>368</v>
      </c>
      <c r="C126" s="104" t="s">
        <v>453</v>
      </c>
      <c r="D126" s="104" t="s">
        <v>461</v>
      </c>
      <c r="E126" s="107" t="s">
        <v>460</v>
      </c>
      <c r="F126" s="108">
        <v>200</v>
      </c>
    </row>
    <row r="127" spans="1:6">
      <c r="A127" s="104">
        <v>126</v>
      </c>
      <c r="B127" s="104" t="s">
        <v>369</v>
      </c>
      <c r="C127" s="104" t="s">
        <v>453</v>
      </c>
      <c r="D127" s="104" t="s">
        <v>464</v>
      </c>
      <c r="E127" s="107" t="s">
        <v>460</v>
      </c>
      <c r="F127" s="108">
        <v>550</v>
      </c>
    </row>
    <row r="128" spans="1:6">
      <c r="A128" s="104">
        <v>127</v>
      </c>
      <c r="B128" s="104" t="s">
        <v>370</v>
      </c>
      <c r="C128" s="104" t="s">
        <v>453</v>
      </c>
      <c r="D128" s="104" t="s">
        <v>467</v>
      </c>
      <c r="E128" s="107" t="s">
        <v>460</v>
      </c>
      <c r="F128" s="108">
        <v>550</v>
      </c>
    </row>
    <row r="129" spans="1:6">
      <c r="A129" s="104">
        <v>128</v>
      </c>
      <c r="B129" s="104" t="s">
        <v>371</v>
      </c>
      <c r="C129" s="104" t="s">
        <v>453</v>
      </c>
      <c r="D129" s="104" t="s">
        <v>464</v>
      </c>
      <c r="E129" s="107" t="s">
        <v>460</v>
      </c>
      <c r="F129" s="108">
        <v>550</v>
      </c>
    </row>
    <row r="130" spans="1:6">
      <c r="A130" s="104">
        <v>129</v>
      </c>
      <c r="B130" s="104" t="s">
        <v>372</v>
      </c>
      <c r="C130" s="104" t="s">
        <v>453</v>
      </c>
      <c r="D130" s="104" t="s">
        <v>467</v>
      </c>
      <c r="E130" s="107" t="s">
        <v>460</v>
      </c>
      <c r="F130" s="108">
        <v>250</v>
      </c>
    </row>
    <row r="131" spans="1:6">
      <c r="A131" s="104">
        <v>130</v>
      </c>
      <c r="B131" s="104" t="s">
        <v>373</v>
      </c>
      <c r="C131" s="104" t="s">
        <v>453</v>
      </c>
      <c r="D131" s="104" t="s">
        <v>464</v>
      </c>
      <c r="E131" s="107" t="s">
        <v>460</v>
      </c>
      <c r="F131" s="108">
        <v>550</v>
      </c>
    </row>
    <row r="132" spans="1:6">
      <c r="A132" s="104">
        <v>131</v>
      </c>
      <c r="B132" s="104" t="s">
        <v>374</v>
      </c>
      <c r="C132" s="104" t="s">
        <v>453</v>
      </c>
      <c r="D132" s="104" t="s">
        <v>467</v>
      </c>
      <c r="E132" s="107" t="s">
        <v>460</v>
      </c>
      <c r="F132" s="108">
        <v>550</v>
      </c>
    </row>
    <row r="133" spans="1:6">
      <c r="A133" s="104">
        <v>132</v>
      </c>
      <c r="B133" s="104" t="s">
        <v>375</v>
      </c>
      <c r="C133" s="104" t="s">
        <v>453</v>
      </c>
      <c r="D133" s="104" t="s">
        <v>464</v>
      </c>
      <c r="E133" s="107" t="s">
        <v>457</v>
      </c>
      <c r="F133" s="108">
        <v>550</v>
      </c>
    </row>
    <row r="134" spans="1:6">
      <c r="A134" s="104">
        <v>133</v>
      </c>
      <c r="B134" s="104" t="s">
        <v>376</v>
      </c>
      <c r="C134" s="104" t="s">
        <v>453</v>
      </c>
      <c r="D134" s="104" t="s">
        <v>467</v>
      </c>
      <c r="E134" s="107" t="s">
        <v>457</v>
      </c>
      <c r="F134" s="108">
        <v>550</v>
      </c>
    </row>
    <row r="135" spans="1:6">
      <c r="A135" s="104">
        <v>134</v>
      </c>
      <c r="B135" s="104" t="s">
        <v>377</v>
      </c>
      <c r="C135" s="104" t="s">
        <v>453</v>
      </c>
      <c r="D135" s="104" t="s">
        <v>468</v>
      </c>
      <c r="E135" s="107" t="s">
        <v>457</v>
      </c>
      <c r="F135" s="108">
        <v>550</v>
      </c>
    </row>
    <row r="136" spans="1:6">
      <c r="A136" s="104">
        <v>135</v>
      </c>
      <c r="B136" s="104" t="s">
        <v>378</v>
      </c>
      <c r="C136" s="104" t="s">
        <v>453</v>
      </c>
      <c r="D136" s="104" t="s">
        <v>461</v>
      </c>
      <c r="E136" s="107" t="s">
        <v>457</v>
      </c>
      <c r="F136" s="108">
        <v>550</v>
      </c>
    </row>
    <row r="137" spans="1:6">
      <c r="A137" s="104">
        <v>136</v>
      </c>
      <c r="B137" s="104" t="s">
        <v>379</v>
      </c>
      <c r="C137" s="104" t="s">
        <v>453</v>
      </c>
      <c r="D137" s="104" t="s">
        <v>461</v>
      </c>
      <c r="E137" s="107" t="s">
        <v>457</v>
      </c>
      <c r="F137" s="108">
        <v>200</v>
      </c>
    </row>
    <row r="138" spans="1:6">
      <c r="A138" s="104">
        <v>137</v>
      </c>
      <c r="B138" s="104" t="s">
        <v>380</v>
      </c>
      <c r="C138" s="104" t="s">
        <v>453</v>
      </c>
      <c r="D138" s="104" t="s">
        <v>461</v>
      </c>
      <c r="E138" s="107" t="s">
        <v>469</v>
      </c>
      <c r="F138" s="108">
        <v>200</v>
      </c>
    </row>
    <row r="139" spans="1:6">
      <c r="A139" s="104">
        <v>138</v>
      </c>
      <c r="B139" s="104" t="s">
        <v>381</v>
      </c>
      <c r="C139" s="104" t="s">
        <v>453</v>
      </c>
      <c r="D139" s="104" t="s">
        <v>461</v>
      </c>
      <c r="E139" s="107" t="s">
        <v>469</v>
      </c>
      <c r="F139" s="108">
        <v>200</v>
      </c>
    </row>
    <row r="140" spans="1:6">
      <c r="A140" s="104">
        <v>139</v>
      </c>
      <c r="B140" s="104" t="s">
        <v>382</v>
      </c>
      <c r="C140" s="104" t="s">
        <v>453</v>
      </c>
      <c r="D140" s="104" t="s">
        <v>464</v>
      </c>
      <c r="E140" s="107" t="s">
        <v>469</v>
      </c>
      <c r="F140" s="108">
        <v>200</v>
      </c>
    </row>
    <row r="141" spans="1:6">
      <c r="A141" s="104">
        <v>140</v>
      </c>
      <c r="B141" s="104" t="s">
        <v>383</v>
      </c>
      <c r="C141" s="104" t="s">
        <v>453</v>
      </c>
      <c r="D141" s="104" t="s">
        <v>467</v>
      </c>
      <c r="E141" s="107" t="s">
        <v>469</v>
      </c>
      <c r="F141" s="108">
        <v>20</v>
      </c>
    </row>
    <row r="142" spans="1:6">
      <c r="A142" s="104">
        <v>141</v>
      </c>
      <c r="B142" s="104" t="s">
        <v>384</v>
      </c>
      <c r="C142" s="104" t="s">
        <v>453</v>
      </c>
      <c r="D142" s="104" t="s">
        <v>464</v>
      </c>
      <c r="E142" s="107" t="s">
        <v>469</v>
      </c>
      <c r="F142" s="108">
        <v>20</v>
      </c>
    </row>
    <row r="143" spans="1:6">
      <c r="A143" s="104">
        <v>142</v>
      </c>
      <c r="B143" s="104" t="s">
        <v>385</v>
      </c>
      <c r="C143" s="104" t="s">
        <v>453</v>
      </c>
      <c r="D143" s="104" t="s">
        <v>467</v>
      </c>
      <c r="E143" s="107" t="s">
        <v>470</v>
      </c>
      <c r="F143" s="108">
        <v>20</v>
      </c>
    </row>
    <row r="144" spans="1:6">
      <c r="A144" s="104">
        <v>143</v>
      </c>
      <c r="B144" s="104" t="s">
        <v>386</v>
      </c>
      <c r="C144" s="104" t="s">
        <v>453</v>
      </c>
      <c r="D144" s="104" t="s">
        <v>461</v>
      </c>
      <c r="E144" s="107" t="s">
        <v>470</v>
      </c>
      <c r="F144" s="108">
        <v>20</v>
      </c>
    </row>
    <row r="145" spans="1:6">
      <c r="A145" s="104">
        <v>144</v>
      </c>
      <c r="B145" s="104" t="s">
        <v>387</v>
      </c>
      <c r="C145" s="104" t="s">
        <v>453</v>
      </c>
      <c r="D145" s="104" t="s">
        <v>471</v>
      </c>
      <c r="E145" s="107">
        <v>46174</v>
      </c>
      <c r="F145" s="108">
        <v>33.496296296296293</v>
      </c>
    </row>
    <row r="146" spans="1:6">
      <c r="A146" s="104">
        <v>145</v>
      </c>
      <c r="B146" s="104" t="s">
        <v>388</v>
      </c>
      <c r="C146" s="104" t="s">
        <v>453</v>
      </c>
      <c r="D146" s="104" t="s">
        <v>471</v>
      </c>
      <c r="E146" s="107">
        <v>46174</v>
      </c>
      <c r="F146" s="108">
        <v>33.496296296296293</v>
      </c>
    </row>
    <row r="147" spans="1:6">
      <c r="A147" s="104">
        <v>146</v>
      </c>
      <c r="B147" s="104" t="s">
        <v>389</v>
      </c>
      <c r="C147" s="104" t="s">
        <v>453</v>
      </c>
      <c r="D147" s="104" t="s">
        <v>471</v>
      </c>
      <c r="E147" s="107">
        <v>46174</v>
      </c>
      <c r="F147" s="108">
        <v>25.122222222222224</v>
      </c>
    </row>
    <row r="148" spans="1:6">
      <c r="A148" s="104">
        <v>147</v>
      </c>
      <c r="B148" s="104" t="s">
        <v>390</v>
      </c>
      <c r="C148" s="104" t="s">
        <v>453</v>
      </c>
      <c r="D148" s="104" t="s">
        <v>471</v>
      </c>
      <c r="E148" s="107">
        <v>46204</v>
      </c>
      <c r="F148" s="108">
        <v>20.935185185185187</v>
      </c>
    </row>
    <row r="149" spans="1:6">
      <c r="A149" s="104">
        <v>148</v>
      </c>
      <c r="B149" s="104" t="s">
        <v>391</v>
      </c>
      <c r="C149" s="104" t="s">
        <v>453</v>
      </c>
      <c r="D149" s="104" t="s">
        <v>471</v>
      </c>
      <c r="E149" s="107">
        <v>46235</v>
      </c>
      <c r="F149" s="108">
        <v>20.935185185185187</v>
      </c>
    </row>
    <row r="150" spans="1:6">
      <c r="A150" s="104">
        <v>149</v>
      </c>
      <c r="B150" s="104" t="s">
        <v>392</v>
      </c>
      <c r="C150" s="104" t="s">
        <v>453</v>
      </c>
      <c r="D150" s="104" t="s">
        <v>471</v>
      </c>
      <c r="E150" s="107">
        <v>46235</v>
      </c>
      <c r="F150" s="108">
        <v>20.935185185185187</v>
      </c>
    </row>
    <row r="151" spans="1:6">
      <c r="A151" s="104">
        <v>150</v>
      </c>
      <c r="B151" s="104" t="s">
        <v>393</v>
      </c>
      <c r="C151" s="104" t="s">
        <v>453</v>
      </c>
      <c r="D151" s="104" t="s">
        <v>472</v>
      </c>
      <c r="E151" s="107">
        <v>46143</v>
      </c>
      <c r="F151" s="108">
        <v>3.9666666666666668</v>
      </c>
    </row>
    <row r="152" spans="1:6">
      <c r="A152" s="104">
        <v>151</v>
      </c>
      <c r="B152" s="104" t="s">
        <v>394</v>
      </c>
      <c r="C152" s="104" t="s">
        <v>453</v>
      </c>
      <c r="D152" s="104" t="s">
        <v>472</v>
      </c>
      <c r="E152" s="107">
        <v>46143</v>
      </c>
      <c r="F152" s="108">
        <v>7.9333333333333336</v>
      </c>
    </row>
    <row r="153" spans="1:6">
      <c r="A153" s="104">
        <v>152</v>
      </c>
      <c r="B153" s="104" t="s">
        <v>395</v>
      </c>
      <c r="C153" s="104" t="s">
        <v>453</v>
      </c>
      <c r="D153" s="104" t="s">
        <v>472</v>
      </c>
      <c r="E153" s="107">
        <v>46174</v>
      </c>
      <c r="F153" s="108">
        <v>7.9333333333333336</v>
      </c>
    </row>
    <row r="154" spans="1:6">
      <c r="A154" s="104">
        <v>153</v>
      </c>
      <c r="B154" s="104" t="s">
        <v>396</v>
      </c>
      <c r="C154" s="104" t="s">
        <v>453</v>
      </c>
      <c r="D154" s="104" t="s">
        <v>472</v>
      </c>
      <c r="E154" s="107">
        <v>46174</v>
      </c>
      <c r="F154" s="108">
        <v>89.911111111111111</v>
      </c>
    </row>
    <row r="155" spans="1:6">
      <c r="A155" s="104">
        <v>154</v>
      </c>
      <c r="B155" s="104" t="s">
        <v>397</v>
      </c>
      <c r="C155" s="104" t="s">
        <v>453</v>
      </c>
      <c r="D155" s="104" t="s">
        <v>473</v>
      </c>
      <c r="E155" s="107">
        <v>46174</v>
      </c>
      <c r="F155" s="108">
        <v>50.244444444444447</v>
      </c>
    </row>
    <row r="156" spans="1:6">
      <c r="A156" s="104">
        <v>155</v>
      </c>
      <c r="B156" s="104" t="s">
        <v>398</v>
      </c>
      <c r="C156" s="104" t="s">
        <v>453</v>
      </c>
      <c r="D156" s="104" t="s">
        <v>473</v>
      </c>
      <c r="E156" s="107">
        <v>46204</v>
      </c>
      <c r="F156" s="108">
        <v>25.122222222222224</v>
      </c>
    </row>
    <row r="157" spans="1:6">
      <c r="A157" s="104">
        <v>156</v>
      </c>
      <c r="B157" s="104" t="s">
        <v>399</v>
      </c>
      <c r="C157" s="104" t="s">
        <v>453</v>
      </c>
      <c r="D157" s="104" t="s">
        <v>473</v>
      </c>
      <c r="E157" s="107">
        <v>46082</v>
      </c>
      <c r="F157" s="108">
        <v>30.411111111111111</v>
      </c>
    </row>
    <row r="158" spans="1:6">
      <c r="A158" s="104">
        <v>157</v>
      </c>
      <c r="B158" s="104" t="s">
        <v>400</v>
      </c>
      <c r="C158" s="104" t="s">
        <v>453</v>
      </c>
      <c r="D158" s="104" t="s">
        <v>473</v>
      </c>
      <c r="E158" s="107">
        <v>46266</v>
      </c>
      <c r="F158" s="108">
        <v>37.022222222222226</v>
      </c>
    </row>
    <row r="159" spans="1:6">
      <c r="A159" s="104">
        <v>158</v>
      </c>
      <c r="B159" s="104" t="s">
        <v>401</v>
      </c>
      <c r="C159" s="104" t="s">
        <v>453</v>
      </c>
      <c r="D159" s="104" t="s">
        <v>473</v>
      </c>
      <c r="E159" s="107">
        <v>46082</v>
      </c>
      <c r="F159" s="108">
        <v>50.244444444444447</v>
      </c>
    </row>
    <row r="160" spans="1:6">
      <c r="A160" s="104">
        <v>159</v>
      </c>
      <c r="B160" s="104" t="s">
        <v>402</v>
      </c>
      <c r="C160" s="104" t="s">
        <v>453</v>
      </c>
      <c r="D160" s="104" t="s">
        <v>473</v>
      </c>
      <c r="E160" s="107">
        <v>46113</v>
      </c>
      <c r="F160" s="108">
        <v>31.733333333333334</v>
      </c>
    </row>
    <row r="161" spans="1:6">
      <c r="A161" s="104">
        <v>160</v>
      </c>
      <c r="B161" s="104" t="s">
        <v>403</v>
      </c>
      <c r="C161" s="104" t="s">
        <v>453</v>
      </c>
      <c r="D161" s="104" t="s">
        <v>473</v>
      </c>
      <c r="E161" s="107">
        <v>46235</v>
      </c>
      <c r="F161" s="108">
        <v>19.833333333333332</v>
      </c>
    </row>
    <row r="162" spans="1:6">
      <c r="A162" s="104">
        <v>161</v>
      </c>
      <c r="B162" s="104" t="s">
        <v>404</v>
      </c>
      <c r="C162" s="104" t="s">
        <v>453</v>
      </c>
      <c r="D162" s="104" t="s">
        <v>473</v>
      </c>
      <c r="E162" s="107">
        <v>46174</v>
      </c>
      <c r="F162" s="108">
        <v>125.61111111111111</v>
      </c>
    </row>
    <row r="163" spans="1:6">
      <c r="A163" s="104">
        <v>162</v>
      </c>
      <c r="B163" s="104" t="s">
        <v>405</v>
      </c>
      <c r="C163" s="104" t="s">
        <v>453</v>
      </c>
      <c r="D163" s="104" t="s">
        <v>473</v>
      </c>
      <c r="E163" s="107">
        <v>46174</v>
      </c>
      <c r="F163" s="108">
        <v>25.122222222222224</v>
      </c>
    </row>
    <row r="164" spans="1:6">
      <c r="A164" s="104">
        <v>163</v>
      </c>
      <c r="B164" s="104" t="s">
        <v>406</v>
      </c>
      <c r="C164" s="104" t="s">
        <v>453</v>
      </c>
      <c r="D164" s="104" t="s">
        <v>473</v>
      </c>
      <c r="E164" s="107">
        <v>46235</v>
      </c>
      <c r="F164" s="108">
        <v>16.748148148148147</v>
      </c>
    </row>
    <row r="165" spans="1:6">
      <c r="A165" s="104">
        <v>164</v>
      </c>
      <c r="B165" s="104" t="s">
        <v>407</v>
      </c>
      <c r="C165" s="104" t="s">
        <v>453</v>
      </c>
      <c r="D165" s="104" t="s">
        <v>473</v>
      </c>
      <c r="E165" s="107">
        <v>46174</v>
      </c>
      <c r="F165" s="108">
        <v>50.244444444444447</v>
      </c>
    </row>
    <row r="166" spans="1:6">
      <c r="A166" s="104">
        <v>165</v>
      </c>
      <c r="B166" s="104" t="s">
        <v>408</v>
      </c>
      <c r="C166" s="104" t="s">
        <v>453</v>
      </c>
      <c r="D166" s="104" t="s">
        <v>473</v>
      </c>
      <c r="E166" s="107">
        <v>46174</v>
      </c>
      <c r="F166" s="108">
        <v>16.748148148148147</v>
      </c>
    </row>
    <row r="167" spans="1:6">
      <c r="A167" s="104">
        <v>166</v>
      </c>
      <c r="B167" s="105" t="s">
        <v>409</v>
      </c>
      <c r="C167" s="105" t="s">
        <v>474</v>
      </c>
      <c r="D167" s="105" t="s">
        <v>475</v>
      </c>
      <c r="E167" s="109">
        <v>46113</v>
      </c>
      <c r="F167" s="105">
        <v>600</v>
      </c>
    </row>
    <row r="168" spans="1:6">
      <c r="A168" s="104">
        <v>167</v>
      </c>
      <c r="B168" s="105" t="s">
        <v>410</v>
      </c>
      <c r="C168" s="105" t="s">
        <v>474</v>
      </c>
      <c r="D168" s="105" t="s">
        <v>475</v>
      </c>
      <c r="E168" s="109">
        <v>46174</v>
      </c>
      <c r="F168" s="105">
        <v>1200</v>
      </c>
    </row>
    <row r="169" spans="1:6">
      <c r="A169" s="104">
        <v>168</v>
      </c>
      <c r="B169" s="105" t="s">
        <v>411</v>
      </c>
      <c r="C169" s="105" t="s">
        <v>474</v>
      </c>
      <c r="D169" s="105" t="s">
        <v>475</v>
      </c>
      <c r="E169" s="109">
        <v>46174</v>
      </c>
      <c r="F169" s="105">
        <v>1000</v>
      </c>
    </row>
    <row r="170" spans="1:6">
      <c r="A170" s="104">
        <v>169</v>
      </c>
      <c r="B170" s="105" t="s">
        <v>412</v>
      </c>
      <c r="C170" s="105" t="s">
        <v>474</v>
      </c>
      <c r="D170" s="105" t="s">
        <v>475</v>
      </c>
      <c r="E170" s="109">
        <v>46266</v>
      </c>
      <c r="F170" s="105">
        <v>750</v>
      </c>
    </row>
    <row r="171" spans="1:6">
      <c r="A171" s="104">
        <v>170</v>
      </c>
      <c r="B171" s="105" t="s">
        <v>413</v>
      </c>
      <c r="C171" s="105" t="s">
        <v>474</v>
      </c>
      <c r="D171" s="105" t="s">
        <v>475</v>
      </c>
      <c r="E171" s="109">
        <v>46266</v>
      </c>
      <c r="F171" s="105">
        <v>23250</v>
      </c>
    </row>
    <row r="172" spans="1:6">
      <c r="A172" s="104">
        <v>171</v>
      </c>
      <c r="B172" s="105" t="s">
        <v>414</v>
      </c>
      <c r="C172" s="105" t="s">
        <v>474</v>
      </c>
      <c r="D172" s="105" t="s">
        <v>475</v>
      </c>
      <c r="E172" s="109">
        <v>46266</v>
      </c>
      <c r="F172" s="105">
        <v>4500</v>
      </c>
    </row>
    <row r="173" spans="1:6">
      <c r="A173" s="104">
        <v>172</v>
      </c>
      <c r="B173" s="105" t="s">
        <v>415</v>
      </c>
      <c r="C173" s="105" t="s">
        <v>474</v>
      </c>
      <c r="D173" s="105" t="s">
        <v>475</v>
      </c>
      <c r="E173" s="109">
        <v>46327</v>
      </c>
      <c r="F173" s="105">
        <v>600</v>
      </c>
    </row>
    <row r="174" spans="1:6">
      <c r="A174" s="104">
        <v>173</v>
      </c>
      <c r="B174" s="105" t="s">
        <v>416</v>
      </c>
      <c r="C174" s="105" t="s">
        <v>474</v>
      </c>
      <c r="D174" s="105" t="s">
        <v>475</v>
      </c>
      <c r="E174" s="109">
        <v>46327</v>
      </c>
      <c r="F174" s="105">
        <v>1000</v>
      </c>
    </row>
    <row r="175" spans="1:6">
      <c r="A175" s="104">
        <v>174</v>
      </c>
      <c r="B175" s="105" t="s">
        <v>417</v>
      </c>
      <c r="C175" s="105" t="s">
        <v>474</v>
      </c>
      <c r="D175" s="105" t="s">
        <v>475</v>
      </c>
      <c r="E175" s="109">
        <v>46357</v>
      </c>
      <c r="F175" s="105">
        <v>600</v>
      </c>
    </row>
    <row r="176" spans="1:6">
      <c r="A176" s="104">
        <v>175</v>
      </c>
      <c r="B176" s="105" t="s">
        <v>418</v>
      </c>
      <c r="C176" s="105" t="s">
        <v>474</v>
      </c>
      <c r="D176" s="105" t="s">
        <v>475</v>
      </c>
      <c r="E176" s="109">
        <v>46357</v>
      </c>
      <c r="F176" s="105">
        <v>750</v>
      </c>
    </row>
    <row r="177" spans="1:6">
      <c r="A177" s="104">
        <v>176</v>
      </c>
      <c r="B177" s="105" t="s">
        <v>419</v>
      </c>
      <c r="C177" s="105" t="s">
        <v>474</v>
      </c>
      <c r="D177" s="105" t="s">
        <v>475</v>
      </c>
      <c r="E177" s="109">
        <v>46357</v>
      </c>
      <c r="F177" s="105">
        <v>600</v>
      </c>
    </row>
    <row r="178" spans="1:6">
      <c r="A178" s="104">
        <v>177</v>
      </c>
      <c r="B178" s="105" t="s">
        <v>420</v>
      </c>
      <c r="C178" s="105" t="s">
        <v>106</v>
      </c>
      <c r="D178" s="105" t="s">
        <v>106</v>
      </c>
      <c r="E178" s="109">
        <v>46357</v>
      </c>
      <c r="F178" s="105">
        <v>8000</v>
      </c>
    </row>
    <row r="179" spans="1:6">
      <c r="A179" s="104">
        <v>178</v>
      </c>
      <c r="B179" s="105" t="s">
        <v>421</v>
      </c>
      <c r="C179" s="105" t="s">
        <v>106</v>
      </c>
      <c r="D179" s="105" t="s">
        <v>106</v>
      </c>
      <c r="E179" s="109">
        <v>46235</v>
      </c>
      <c r="F179" s="105">
        <v>1000</v>
      </c>
    </row>
    <row r="180" spans="1:6">
      <c r="A180" s="104">
        <v>179</v>
      </c>
      <c r="B180" s="105" t="s">
        <v>422</v>
      </c>
      <c r="C180" s="105" t="s">
        <v>106</v>
      </c>
      <c r="D180" s="105" t="s">
        <v>106</v>
      </c>
      <c r="E180" s="109">
        <v>46266</v>
      </c>
      <c r="F180" s="105">
        <v>1200</v>
      </c>
    </row>
    <row r="181" spans="1:6">
      <c r="A181" s="104">
        <v>180</v>
      </c>
      <c r="B181" s="105" t="s">
        <v>423</v>
      </c>
      <c r="C181" s="105" t="s">
        <v>106</v>
      </c>
      <c r="D181" s="105" t="s">
        <v>106</v>
      </c>
      <c r="E181" s="109">
        <v>46327</v>
      </c>
      <c r="F181" s="105">
        <v>1000</v>
      </c>
    </row>
    <row r="182" spans="1:6">
      <c r="A182" s="104">
        <v>181</v>
      </c>
      <c r="B182" s="105" t="s">
        <v>340</v>
      </c>
      <c r="C182" s="105" t="s">
        <v>106</v>
      </c>
      <c r="D182" s="105" t="s">
        <v>106</v>
      </c>
      <c r="E182" s="109">
        <v>46419</v>
      </c>
      <c r="F182" s="105">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Focused GAs -MOPNG DATA</vt:lpstr>
      <vt:lpstr>All GAs</vt:lpstr>
      <vt:lpstr>MIS Summary</vt:lpstr>
      <vt:lpstr>HPCL-JV MIS</vt:lpstr>
      <vt:lpstr>Sheet1</vt:lpstr>
      <vt:lpstr>Sheet2</vt:lpstr>
      <vt:lpstr>calculation 30 mar</vt:lpstr>
      <vt:lpstr>Revised target</vt:lpstr>
      <vt:lpstr>Govt</vt:lpstr>
      <vt:lpstr>GSA details</vt:lpstr>
      <vt:lpstr>INDUSCOMMERCIAL</vt:lpstr>
      <vt:lpstr>target customers</vt:lpstr>
    </vt:vector>
  </TitlesOfParts>
  <Company>HPCL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Supriya Kini</dc:creator>
  <cp:lastModifiedBy>Amit Singh ( अमित सिंह )</cp:lastModifiedBy>
  <cp:lastPrinted>2026-04-01T04:09:53Z</cp:lastPrinted>
  <dcterms:created xsi:type="dcterms:W3CDTF">2026-03-05T04:03:31Z</dcterms:created>
  <dcterms:modified xsi:type="dcterms:W3CDTF">2026-04-05T10:14:13Z</dcterms:modified>
</cp:coreProperties>
</file>