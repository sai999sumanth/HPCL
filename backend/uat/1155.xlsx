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k Master" sheetId="1" r:id="rId4"/>
    <sheet state="visible" name="Tank Maintenance" sheetId="2" r:id="rId5"/>
    <sheet state="visible" name="Pump Master" sheetId="3" r:id="rId6"/>
    <sheet state="visible" name="Fire Pump Master" sheetId="4" r:id="rId7"/>
    <sheet state="visible" name="UPS Master" sheetId="5" r:id="rId8"/>
    <sheet state="visible" name="PLC Master" sheetId="6" r:id="rId9"/>
    <sheet state="visible" name="HCD Master" sheetId="7" r:id="rId10"/>
    <sheet state="visible" name="Dyke Master" sheetId="8" r:id="rId11"/>
    <sheet state="visible" name="Barrier Gate" sheetId="9" r:id="rId12"/>
    <sheet state="visible" name="Hooter Master" sheetId="10" r:id="rId13"/>
    <sheet state="visible" name="ESD Master" sheetId="11" r:id="rId14"/>
    <sheet state="visible" name="Loading Point Master" sheetId="12" r:id="rId15"/>
    <sheet state="visible" name="Gantry override" sheetId="13" r:id="rId16"/>
    <sheet state="visible" name="Fire Effect" sheetId="14" r:id="rId17"/>
    <sheet state="visible" name="Air Compressor" sheetId="15" r:id="rId18"/>
    <sheet state="visible" name="LRC Switchover" sheetId="16" r:id="rId19"/>
    <sheet state="visible" name="OI" sheetId="17" r:id="rId20"/>
  </sheets>
  <definedNames>
    <definedName hidden="1" localSheetId="2" name="_xlnm._FilterDatabase">'Pump Master'!$A$1:$AA$41</definedName>
  </definedNames>
  <calcPr/>
  <extLst>
    <ext uri="GoogleSheetsCustomDataVersion2">
      <go:sheetsCustomData xmlns:go="http://customooxmlschemas.google.com/" r:id="rId21" roundtripDataChecksum="ZlzY4FpkvEiPVi0/HGQBcB45ouNx6AQHbqysQfk7g/0="/>
    </ext>
  </extLst>
</workbook>
</file>

<file path=xl/sharedStrings.xml><?xml version="1.0" encoding="utf-8"?>
<sst xmlns="http://schemas.openxmlformats.org/spreadsheetml/2006/main" count="2106" uniqueCount="1124">
  <si>
    <t>SAPID</t>
  </si>
  <si>
    <t>Location</t>
  </si>
  <si>
    <t>Device Name</t>
  </si>
  <si>
    <t>Tank ID</t>
  </si>
  <si>
    <t>Tank Type</t>
  </si>
  <si>
    <t>Product</t>
  </si>
  <si>
    <t>ESD Active</t>
  </si>
  <si>
    <t>Normal value</t>
  </si>
  <si>
    <t>Sensor_Id</t>
  </si>
  <si>
    <t>Sensor_type</t>
  </si>
  <si>
    <t>Tank Receipt Mode</t>
  </si>
  <si>
    <t>Primary Gauge Level</t>
  </si>
  <si>
    <t>Sensor_Type</t>
  </si>
  <si>
    <t>Primary Gauge HIGH</t>
  </si>
  <si>
    <t>Normal Value</t>
  </si>
  <si>
    <t xml:space="preserve">TANK LEAKAGE STATUS </t>
  </si>
  <si>
    <t>TANK LEAKAGE STATUS Normal value</t>
  </si>
  <si>
    <t>Primary Gauge HIGH HIGH</t>
  </si>
  <si>
    <t>Primary Gauge HIGH HIGH Normal Value</t>
  </si>
  <si>
    <t>LEVEL SWITCH</t>
  </si>
  <si>
    <t>LEVEL SWITCH Normal Value</t>
  </si>
  <si>
    <t xml:space="preserve">LEVEL SWITCH PROOF OK </t>
  </si>
  <si>
    <t>LEVEL SWITCH PROOF OK  Normal Value</t>
  </si>
  <si>
    <t>LEVEL SWITCH PROOF FAILED</t>
  </si>
  <si>
    <t>LEVEL SWITCH PROOF FAILED Normal Value</t>
  </si>
  <si>
    <t>RADAR HHH</t>
  </si>
  <si>
    <t>RADAR HHH Normal Value</t>
  </si>
  <si>
    <t>RADAR PROOF OK</t>
  </si>
  <si>
    <t>RADAR PROOF Normal Value</t>
  </si>
  <si>
    <t>RADAR PROOF FAILED</t>
  </si>
  <si>
    <t>RADAR PROOF FAILED Normal Value</t>
  </si>
  <si>
    <t>ROSOV OPEN STATUS IL1</t>
  </si>
  <si>
    <t>ROSOV FAIL TO CLOSE STATUS IL1</t>
  </si>
  <si>
    <t>ROSOV OPEN STATUS IL2</t>
  </si>
  <si>
    <t>ROSOV FAIL TO CLOSE STATUS IL2</t>
  </si>
  <si>
    <t>ROSOV FAIL TO CLOSE STATUS IL2 Normal value</t>
  </si>
  <si>
    <t>ROSOV OPEN STATUS OL</t>
  </si>
  <si>
    <t>ROSOV OPEN STATUS OL Normal value</t>
  </si>
  <si>
    <t>ROSOV FAIL TO CLOSE STATUS OL</t>
  </si>
  <si>
    <t>ROSOV FAIL TO CLOSE STATUS OL Normal value</t>
  </si>
  <si>
    <t>ROSOV OPEN STATUS RCL</t>
  </si>
  <si>
    <t>ROSOV FAIL TO CLOSE STATUS RCL</t>
  </si>
  <si>
    <t>MOV STATUS IL1</t>
  </si>
  <si>
    <t>MOV STATUS IL2</t>
  </si>
  <si>
    <t>MOV STATUS OL</t>
  </si>
  <si>
    <t>MOV STATUS RCL</t>
  </si>
  <si>
    <t>RIMSEAL FIRE ALARM</t>
  </si>
  <si>
    <t>RIMSEAL FAULT ALARM</t>
  </si>
  <si>
    <t>Roorkee</t>
  </si>
  <si>
    <t>TK-01</t>
  </si>
  <si>
    <t>BS VI MS</t>
  </si>
  <si>
    <t>PLC.SFTPLC.ANY_ESD_PB_ACTI</t>
  </si>
  <si>
    <t>TANK.TK-01.LEVEL</t>
  </si>
  <si>
    <t>Primary Radar</t>
  </si>
  <si>
    <t>TANK.TK-01.HIGH_LEVEL</t>
  </si>
  <si>
    <t>TANK.TK-01.TANK_ALERT_ALARM</t>
  </si>
  <si>
    <t>TANK.TK-01.HIGH_HIGH_LEVEL</t>
  </si>
  <si>
    <t>TK-02</t>
  </si>
  <si>
    <t>TANK.TK-02.LEVEL</t>
  </si>
  <si>
    <t>TANK.TK-02.HIGH_LEVEL</t>
  </si>
  <si>
    <t>TANK.TK-02.TANK_ALERT_ALARM</t>
  </si>
  <si>
    <t>TANK.TK-02.HIGH_HIGH_LEVEL</t>
  </si>
  <si>
    <t>TK-03</t>
  </si>
  <si>
    <t>ETHANOL</t>
  </si>
  <si>
    <t>TANK.TK-03.LEVEL</t>
  </si>
  <si>
    <t>TANK.TK-03.HIGH_LEVEL</t>
  </si>
  <si>
    <t>TANK.TK-03.TANK_ALERT_ALARM</t>
  </si>
  <si>
    <t>TANK.TK-03.HIGH_HIGH_LEVEL</t>
  </si>
  <si>
    <t>TK-04</t>
  </si>
  <si>
    <t>TANK.TK-04.LEVEL</t>
  </si>
  <si>
    <t>TANK.TK-04.HIGH_LEVEL</t>
  </si>
  <si>
    <t>TANK.TK-04.TANK_ALERT_ALARM</t>
  </si>
  <si>
    <t>TANK.TK-04.HIGH_HIGH_LEVEL</t>
  </si>
  <si>
    <t>TK-05</t>
  </si>
  <si>
    <t>BIO DIESEL</t>
  </si>
  <si>
    <t>TANK.TK-05.LEVEL</t>
  </si>
  <si>
    <t>TANK.TK-05.HIGH_LEVEL</t>
  </si>
  <si>
    <t>TANK.TK-05.TANK_ALERT_ALARM</t>
  </si>
  <si>
    <t>TANK.TK-05.HIGH_HIGH_LEVEL</t>
  </si>
  <si>
    <t>TK-06</t>
  </si>
  <si>
    <t>TANK.TK-06.LEVEL</t>
  </si>
  <si>
    <t>TANK.TK-06.HIGH_LEVEL</t>
  </si>
  <si>
    <t>TANK.TK-06.TANK_ALERT_ALARM</t>
  </si>
  <si>
    <t>TANK.TK-06.HIGH_HIGH_LEVEL</t>
  </si>
  <si>
    <t>TK-07</t>
  </si>
  <si>
    <t>SKO</t>
  </si>
  <si>
    <t>TANK.TK-07.LEVEL</t>
  </si>
  <si>
    <t>TANK.TK-07.HIGH_LEVEL</t>
  </si>
  <si>
    <t>TANK.TK-07.TANK_ALERT_ALARM</t>
  </si>
  <si>
    <t>TANK.TK-07.HIGH_HIGH_LEVEL</t>
  </si>
  <si>
    <t>TK-08</t>
  </si>
  <si>
    <t>TANK.TK-08.LEVEL</t>
  </si>
  <si>
    <t>TANK.TK-08.HIGH_LEVEL</t>
  </si>
  <si>
    <t>TANK.TK-08.TANK_ALERT_ALARM</t>
  </si>
  <si>
    <t>TANK.TK-08.HIGH_HIGH_LEVEL</t>
  </si>
  <si>
    <t>LEVELSWITCH.LSW-01.SWITCH_STATUS</t>
  </si>
  <si>
    <t>VFT</t>
  </si>
  <si>
    <t>LEVELSWITCH.LSW-01.PROOF_TEST_OK</t>
  </si>
  <si>
    <t>LEVELSWITCH.LSW-01.PROOF_TEST_FAILED</t>
  </si>
  <si>
    <t>LEVELSWITCH.RDR-01.SWITCH_STATUS</t>
  </si>
  <si>
    <t>RADAR</t>
  </si>
  <si>
    <t>LEVELSWITCH.RDR-01.PROOF_TEST_OK</t>
  </si>
  <si>
    <t>LEVELSWITCH.RDR-01.PROOF_TEST_FAILED</t>
  </si>
  <si>
    <t>MOV.ROSOV-01.OPEN_STATUS</t>
  </si>
  <si>
    <t>ROSOV IL1</t>
  </si>
  <si>
    <t>MOV.ROSOV-01.FAILED_TO_CLOSE</t>
  </si>
  <si>
    <t>ROSOV FAILED IL1</t>
  </si>
  <si>
    <t>MOV.ROSOV-02.OPEN_STATUS</t>
  </si>
  <si>
    <t>ROSOV OL1</t>
  </si>
  <si>
    <t>MOV.ROSOV-02.FAILED_TO_CLOSE</t>
  </si>
  <si>
    <t>ROSOV FAILED OL1</t>
  </si>
  <si>
    <t>MOV.DBBV-001.OPEN_STATUS</t>
  </si>
  <si>
    <t>MOV IL1</t>
  </si>
  <si>
    <t>MOV.DBBV-003.OPEN_STATUS</t>
  </si>
  <si>
    <t>MOV OL</t>
  </si>
  <si>
    <t>TK-09</t>
  </si>
  <si>
    <t>BS VI HSD</t>
  </si>
  <si>
    <t>TANK.TK-09.LEVEL</t>
  </si>
  <si>
    <t>TANK.TK-09.HIGH_LEVEL</t>
  </si>
  <si>
    <t>TANK.TK-09.TANK_ALERT_ALARM</t>
  </si>
  <si>
    <t>TANK.TK-09.HIGH_HIGH_LEVEL</t>
  </si>
  <si>
    <t>LEVELSWITCH.LSW-02.SWITCH_STATUS</t>
  </si>
  <si>
    <t>LEVELSWITCH.LSW-02.PROOF_TEST_OK</t>
  </si>
  <si>
    <t>LEVELSWITCH.LSW-02.PROOF_TEST_FAILED</t>
  </si>
  <si>
    <t>LEVELSWITCH.RDR-02.SWITCH_STATUS</t>
  </si>
  <si>
    <t>LEVELSWITCH.RDR-02.PROOF_TEST_OK</t>
  </si>
  <si>
    <t>LEVELSWITCH.RDR-02.PROOF_TEST_FAILED</t>
  </si>
  <si>
    <t>MOV.ROSOV-06.OPEN_STATUS</t>
  </si>
  <si>
    <t>MOV.ROSOV-06.FAILED_TO_CLOSE</t>
  </si>
  <si>
    <t>MOV.ROSOV-05.OPEN_STATUS</t>
  </si>
  <si>
    <t>MOV.ROSOV-05.FAILED_TO_CLOSE</t>
  </si>
  <si>
    <t>MOV.ROSOV-04.OPEN_STATUS</t>
  </si>
  <si>
    <t>ROSOV RCL</t>
  </si>
  <si>
    <t>MOV.ROSOV-04.FAILED_TO_CLOSE</t>
  </si>
  <si>
    <t>MOV.DBBV-004.OPEN_STATUS</t>
  </si>
  <si>
    <t>MOV.DBBV-005.OPEN_STATUS</t>
  </si>
  <si>
    <t>MOV.DBBV-006.OPEN_STATUS</t>
  </si>
  <si>
    <t>MOV RCL</t>
  </si>
  <si>
    <t>TK-10</t>
  </si>
  <si>
    <t>TANK.TK-10.LEVEL</t>
  </si>
  <si>
    <t>TANK.TK-10.HIGH_LEVEL</t>
  </si>
  <si>
    <t>TANK.TK-10.TANK_ALERT_ALARM</t>
  </si>
  <si>
    <t>TANK.TK-10.HIGH_HIGH_LEVEL</t>
  </si>
  <si>
    <t>LEVELSWITCH.LSW-03.SWITCH_STATUS</t>
  </si>
  <si>
    <t>LEVELSWITCH.LSW-03.PROOF_TEST_OK</t>
  </si>
  <si>
    <t>LEVELSWITCH.LSW-03.PROOF_TEST_FAILED</t>
  </si>
  <si>
    <t>LEVELSWITCH.RDR-03.SWITCH_STATUS</t>
  </si>
  <si>
    <t>LEVELSWITCH.RDR-03.PROOF_TEST_OK</t>
  </si>
  <si>
    <t>LEVELSWITCH.RDR-03.PROOF_TEST_FAILED</t>
  </si>
  <si>
    <t>MOV.ROSOV-09.OPEN_STATUS</t>
  </si>
  <si>
    <t>MOV.ROSOV-09.FAILED_TO_CLOSE</t>
  </si>
  <si>
    <t>MOV.ROSOV-08.OPEN_STATUS</t>
  </si>
  <si>
    <t>MOV.ROSOV-08.FAILED_TO_CLOSE</t>
  </si>
  <si>
    <t>MOV.ROSOV-07.OPEN_STATUS</t>
  </si>
  <si>
    <t>MOV.ROSOV-07.FAILED_TO_CLOSE</t>
  </si>
  <si>
    <t>MOV.DBBV-007.OPEN_STATUS</t>
  </si>
  <si>
    <t>MOV.DBBV-008.OPEN_STATUS</t>
  </si>
  <si>
    <t>MOV.DBBV-009.OPEN_STATUS</t>
  </si>
  <si>
    <t>TK-11</t>
  </si>
  <si>
    <t>TANK.TK-11.LEVEL</t>
  </si>
  <si>
    <t>TANK.TK-11.HIGH_LEVEL</t>
  </si>
  <si>
    <t>TANK.TK-11.TANK_ALERT_ALARM</t>
  </si>
  <si>
    <t>TANK.TK-11.HIGH_HIGH_LEVEL</t>
  </si>
  <si>
    <t>LEVELSWITCH.LSW-04.SWITCH_STATUS</t>
  </si>
  <si>
    <t>LEVELSWITCH.LSW-04.PROOF_TEST_OK</t>
  </si>
  <si>
    <t>LEVELSWITCH.LSW-04.PROOF_TEST_FAILED</t>
  </si>
  <si>
    <t>LEVELSWITCH.RDR-04.SWITCH_STATUS</t>
  </si>
  <si>
    <t>LEVELSWITCH.RDR-04.PROOF_TEST_OK</t>
  </si>
  <si>
    <t>LEVELSWITCH.RDR-04.PROOF_TEST_FAILED</t>
  </si>
  <si>
    <t>MOV.ROSOV-12.OPEN_STATUS</t>
  </si>
  <si>
    <t>MOV.ROSOV-12.FAILED_TO_CLOSE</t>
  </si>
  <si>
    <t>MOV.ROSOV-11.OPEN_STATUS</t>
  </si>
  <si>
    <t>MOV.ROSOV-11.FAILED_TO_CLOSE</t>
  </si>
  <si>
    <t>MOV.ROSOV-10.OPEN_STATUS</t>
  </si>
  <si>
    <t>MOV.ROSOV-10.FAILED_TO_CLOSE</t>
  </si>
  <si>
    <t>MOV.DBBV-010.OPEN_STATUS</t>
  </si>
  <si>
    <t>MOV.DBBV-011.OPEN_STATUS</t>
  </si>
  <si>
    <t>MOV.DBBV-012.OPEN_STATUS</t>
  </si>
  <si>
    <t>TK-12</t>
  </si>
  <si>
    <t>TANK.TK-12.LEVEL</t>
  </si>
  <si>
    <t>TANK.TK-12.HIGH_LEVEL</t>
  </si>
  <si>
    <t>TANK.TK-12.TANK_ALERT_ALARM</t>
  </si>
  <si>
    <t>TANK.TK-12.HIGH_HIGH_LEVEL</t>
  </si>
  <si>
    <t>LEVELSWITCH.LSW-05.SWITCH_STATUS</t>
  </si>
  <si>
    <t>LEVELSWITCH.LSW-05.PROOF_TEST_OK</t>
  </si>
  <si>
    <t>LEVELSWITCH.LSW-05.PROOF_TEST_FAILED</t>
  </si>
  <si>
    <t>LEVELSWITCH.RDR-05.SWITCH_STATUS</t>
  </si>
  <si>
    <t>LEVELSWITCH.RDR-05.PROOF_TEST_OK</t>
  </si>
  <si>
    <t>LEVELSWITCH.RDR-05.PROOF_TEST_FAILED</t>
  </si>
  <si>
    <t>MOV.ROSOV-15.OPEN_STATUS</t>
  </si>
  <si>
    <t>MOV.ROSOV-15.FAILED_TO_CLOSE</t>
  </si>
  <si>
    <t>MOV.ROSOV-14.OPEN_STATUS</t>
  </si>
  <si>
    <t>MOV.ROSOV-14.FAILED_TO_CLOSE</t>
  </si>
  <si>
    <t>MOV.ROSOV-13.OPEN_STATUS</t>
  </si>
  <si>
    <t>MOV.ROSOV-13.FAILED_TO_CLOSE</t>
  </si>
  <si>
    <t>MOV.DBBV-013.OPEN_STATUS</t>
  </si>
  <si>
    <t>MOV.DBBV-014.OPEN_STATUS</t>
  </si>
  <si>
    <t>MOV.DBBV-015.OPEN_STATUS</t>
  </si>
  <si>
    <t>TK-13</t>
  </si>
  <si>
    <t>WATER</t>
  </si>
  <si>
    <t>TANK.TK-13.LEVEL</t>
  </si>
  <si>
    <t>TANK.TK-13.TANK_ALERT_ALARM</t>
  </si>
  <si>
    <t>TK-14</t>
  </si>
  <si>
    <t>TANK.TK-14.LEVEL</t>
  </si>
  <si>
    <t>TANK.TK-14.TANK_ALERT_ALARM</t>
  </si>
  <si>
    <t>TK-15</t>
  </si>
  <si>
    <t>TANK.TK-15.LEVEL</t>
  </si>
  <si>
    <t>TANK.TK-15.HIGH_LEVEL</t>
  </si>
  <si>
    <t>TANK.TK-15.TANK_ALERT_ALARM</t>
  </si>
  <si>
    <t>TANK.TK-15.HIGH_HIGH_LEVEL</t>
  </si>
  <si>
    <t>TK-16</t>
  </si>
  <si>
    <t>TANK.TK-16.LEVEL</t>
  </si>
  <si>
    <t>TANK.TK-16.HIGH_LEVEL</t>
  </si>
  <si>
    <t>TANK.TK-16.TANK_ALERT_ALARM</t>
  </si>
  <si>
    <t>TANK.TK-16.HIGH_HIGH_LEVEL</t>
  </si>
  <si>
    <t>TK-17</t>
  </si>
  <si>
    <t>TANK.TK-17.LEVEL</t>
  </si>
  <si>
    <t>TANK.TK-17.HIGH_LEVEL</t>
  </si>
  <si>
    <t>TANK.TK-17.TANK_ALERT_ALARM</t>
  </si>
  <si>
    <t>TANK.TK-17.HIGH_HIGH_LEVEL</t>
  </si>
  <si>
    <t>LEVELSWITCH.LSW-06.SWITCH_STATUS</t>
  </si>
  <si>
    <t>LEVELSWITCH.LSW-06.PROOF_TEST_OK</t>
  </si>
  <si>
    <t>LEVELSWITCH.LSW-06.PROOF_TEST_FAILED</t>
  </si>
  <si>
    <t>LEVELSWITCH.RDR-06.SWITCH_STATUS</t>
  </si>
  <si>
    <t>LEVELSWITCH.RDR-06.PROOF_TEST_OK</t>
  </si>
  <si>
    <t>LEVELSWITCH.RDR-06.PROOF_TEST_FAILED</t>
  </si>
  <si>
    <t>MOV.ROSOV-16.OPEN_STATUS</t>
  </si>
  <si>
    <t>MOV.ROSOV-16.FAILED_TO_CLOSE</t>
  </si>
  <si>
    <t>MOV.ROSOV-17.OPEN_STATUS</t>
  </si>
  <si>
    <t>MOV.ROSOV-17.FAILED_TO_CLOSE</t>
  </si>
  <si>
    <t>MOV.ROSOV-18.OPEN_STATUS</t>
  </si>
  <si>
    <t>MOV.ROSOV-18.FAILED_TO_CLOSE</t>
  </si>
  <si>
    <t>MOV.DBBV-018.OPEN_STATUS</t>
  </si>
  <si>
    <t>MOV.DBBV-019.OPEN_STATUS</t>
  </si>
  <si>
    <t>MOV.DBBV-020.OPEN_STATUS</t>
  </si>
  <si>
    <t>TANK MAINTENANCE</t>
  </si>
  <si>
    <t>LEVEL SWITCH MAINTENANCE</t>
  </si>
  <si>
    <t>RADAR MAINTENANCE</t>
  </si>
  <si>
    <t>ROSOV MAINTENANCE IL1</t>
  </si>
  <si>
    <t>ROSOV MAINTENANCE IL2</t>
  </si>
  <si>
    <t>Sensor_id</t>
  </si>
  <si>
    <t>ROSOV MAINTENANCE OL</t>
  </si>
  <si>
    <t>ROSOV MAINTENANCE RCL</t>
  </si>
  <si>
    <t>MOV MAINTENANCE IL1</t>
  </si>
  <si>
    <t>MOV MAINTENANCE IL2</t>
  </si>
  <si>
    <t>MOV MAINTENANCE RCL</t>
  </si>
  <si>
    <t>MOV MAINTENANCE OL</t>
  </si>
  <si>
    <t>RIM SEAL MAINTENANCE STATUS</t>
  </si>
  <si>
    <t>Roorkee_M</t>
  </si>
  <si>
    <t>TANK.TK-01.MAINTENANCE_STATUS</t>
  </si>
  <si>
    <t>TANK.TK-02.MAINTENANCE_STATUS</t>
  </si>
  <si>
    <t>TANK.TK-03.MAINTENANCE_STATUS</t>
  </si>
  <si>
    <t>TANK.TK-04.MAINTENANCE_STATUS</t>
  </si>
  <si>
    <t>TANK.TK-05.MAINTENANCE_STATUS</t>
  </si>
  <si>
    <t>TANK.TK-06.MAINTENANCE_STATUS</t>
  </si>
  <si>
    <t>TANK.TK-07.MAINTENANCE_STATUS</t>
  </si>
  <si>
    <t>TANK.TK-08.MAINTENANCE_STATUS</t>
  </si>
  <si>
    <t>LEVELSWITCH.LSW-01.MAINTENANCE_STATUS</t>
  </si>
  <si>
    <t>VTF</t>
  </si>
  <si>
    <t>LEVELSWITCH.RDR-01.MAINTENANCE_STATUS</t>
  </si>
  <si>
    <t>MOV.ROSOV-01.MAINTENANCE_STATUS</t>
  </si>
  <si>
    <t>MOV.ROSOV-02.MAINTENANCE_STATUS</t>
  </si>
  <si>
    <t>ROSOV OL</t>
  </si>
  <si>
    <t>MOV.DBBV-001.MAINTENANCE_STATUS</t>
  </si>
  <si>
    <t>MOV.DBBV-003.MAINTENANCE_STATUS</t>
  </si>
  <si>
    <t>TANK.TK-09.MAINTENANCE_STATUS</t>
  </si>
  <si>
    <t>LEVELSWITCH.LSW-02.MAINTENANCE_STATUS</t>
  </si>
  <si>
    <t>LEVELSWITCH.RDR-02.MAINTENANCE_STATUS</t>
  </si>
  <si>
    <t>MOV.ROSOV-06.MAINTENANCE_STATUS</t>
  </si>
  <si>
    <t>MOV.ROSOV-05.MAINTENANCE_STATUS</t>
  </si>
  <si>
    <t>MOV.ROSOV-04.MAINTENANCE_STATUS</t>
  </si>
  <si>
    <t>MOV.DBBV-004.MAINTENANCE_STATUS</t>
  </si>
  <si>
    <t>MOV.DBBV-006.MAINTENANCE_STATUS</t>
  </si>
  <si>
    <t>MOV.DBBV-005.MAINTENANCE_STATUS</t>
  </si>
  <si>
    <t>TANK.TK-10.MAINTENANCE_STATUS</t>
  </si>
  <si>
    <t>LEVELSWITCH.LSW-03.MAINTENANCE_STATUS</t>
  </si>
  <si>
    <t>LEVELSWITCH.RDR-03.MAINTENANCE_STATUS</t>
  </si>
  <si>
    <t>MOV.ROSOV-09.MAINTENANCE_STATUS</t>
  </si>
  <si>
    <t>MOV.ROSOV-08.MAINTENANCE_STATUS</t>
  </si>
  <si>
    <t>MOV.ROSOV-07.MAINTENANCE_STATUS</t>
  </si>
  <si>
    <t>MOV.DBBV-007.MAINTENANCE_STATUS</t>
  </si>
  <si>
    <t>MOV.DBBV-009.MAINTENANCE_STATUS</t>
  </si>
  <si>
    <t>MOV.DBBV-008.MAINTENANCE_STATUS</t>
  </si>
  <si>
    <t>TANK.TK-11.MAINTENANCE_STATUS</t>
  </si>
  <si>
    <t>LEVELSWITCH.LSW-04.MAINTENANCE_STATUS</t>
  </si>
  <si>
    <t>LEVELSWITCH.RDR-04.MAINTENANCE_STATUS</t>
  </si>
  <si>
    <t>MOV.ROSOV-12.MAINTENANCE_STATUS</t>
  </si>
  <si>
    <t>MOV.ROSOV-11.MAINTENANCE_STATUS</t>
  </si>
  <si>
    <t>MOV.ROSOV-10.MAINTENANCE_STATUS</t>
  </si>
  <si>
    <t>MOV.DBBV-010.MAINTENANCE_STATUS</t>
  </si>
  <si>
    <t>MOV.DBBV-012.MAINTENANCE_STATUS</t>
  </si>
  <si>
    <t>MOV.DBBV-011.MAINTENANCE_STATUS</t>
  </si>
  <si>
    <t>TANK.TK-12.MAINTENANCE_STATUS</t>
  </si>
  <si>
    <t>LEVELSWITCH.LSW-05.MAINTENANCE_STATUS</t>
  </si>
  <si>
    <t>LEVELSWITCH.RDR-05.MAINTENANCE_STATUS</t>
  </si>
  <si>
    <t>MOV.ROSOV-15.MAINTENANCE_STATUS</t>
  </si>
  <si>
    <t>MOV.ROSOV-14.MAINTENANCE_STATUS</t>
  </si>
  <si>
    <t>MOV.ROSOV-13.MAINTENANCE_STATUS</t>
  </si>
  <si>
    <t>MOV.DBBV-013.MAINTENANCE_STATUS</t>
  </si>
  <si>
    <t>MOV.DBBV-015.MAINTENANCE_STATUS</t>
  </si>
  <si>
    <t>MOV.DBBV-014.MAINTENANCE_STATUS</t>
  </si>
  <si>
    <t>TANK.TK-13.MAINTENANCE_STATUS</t>
  </si>
  <si>
    <t>TANK.TK-14.MAINTENANCE_STATUS</t>
  </si>
  <si>
    <t>TANK.TK-15.MAINTENANCE_STATUS</t>
  </si>
  <si>
    <t>TANK.TK-16.MAINTENANCE_STATUS</t>
  </si>
  <si>
    <t>TANK.TK-17.MAINTENANCE_STATUS</t>
  </si>
  <si>
    <t>LEVELSWITCH.LSW-06.MAINTENANCE_STATUS</t>
  </si>
  <si>
    <t>LEVELSWITCH.RDR-06.MAINTENANCE_STATUS</t>
  </si>
  <si>
    <t>MOV.ROSOV-16.MAINTENANCE_STATUS</t>
  </si>
  <si>
    <t>MOV.ROSOV-17.MAINTENANCE_STATUS</t>
  </si>
  <si>
    <t>MOV.ROSOV-18.MAINTENANCE_STATUS</t>
  </si>
  <si>
    <t>MOV.DBBV-018.MAINTENANCE_STATUS</t>
  </si>
  <si>
    <t>MOV.DBBV-020.MAINTENANCE_STATUS</t>
  </si>
  <si>
    <t>MOV.DBBV-019.MAINTENANCE_STATUS</t>
  </si>
  <si>
    <t>Pump ID</t>
  </si>
  <si>
    <t>Fuel Type</t>
  </si>
  <si>
    <t>Pump Type</t>
  </si>
  <si>
    <t>Pump Direction(Reciept/Dispatch)</t>
  </si>
  <si>
    <t>PUMP ON STATUS</t>
  </si>
  <si>
    <t>PUMP ON STATUS Normal value</t>
  </si>
  <si>
    <t>PUMP OFF STATUS</t>
  </si>
  <si>
    <t>PUMP OFF STATUS Normal value</t>
  </si>
  <si>
    <t>PUMP LR STATUS</t>
  </si>
  <si>
    <t>PUMP LR STATUS Normal value</t>
  </si>
  <si>
    <t>PUMP MAINTENANCE STATUS</t>
  </si>
  <si>
    <t>ADTV-PMP-01</t>
  </si>
  <si>
    <t>POWERMS</t>
  </si>
  <si>
    <t>Truck Loading</t>
  </si>
  <si>
    <t>PUMP.ADTV-PMP-01.ON</t>
  </si>
  <si>
    <t>PUMP.ADTV-PMP-01.OFF</t>
  </si>
  <si>
    <t>PUMP.ADTV-PMP-01.REMOTE_STATUS</t>
  </si>
  <si>
    <t>PUMP.ADTV-PMP-01.MAINTENANCE_STATUS</t>
  </si>
  <si>
    <t>ADTV-PMP-02</t>
  </si>
  <si>
    <t>PUMP.ADTV-PMP-02.ON</t>
  </si>
  <si>
    <t>PUMP.ADTV-PMP-02.OFF</t>
  </si>
  <si>
    <t>PUMP.ADTV-PMP-02.REMOTE_STATUS</t>
  </si>
  <si>
    <t>PUMP.ADTV-PMP-02.MAINTENANCE_STATUS</t>
  </si>
  <si>
    <t>ADTV-PMP-03</t>
  </si>
  <si>
    <t>TURBOHSD</t>
  </si>
  <si>
    <t>PUMP.ADTV-PMP-03.ON</t>
  </si>
  <si>
    <t>PUMP.ADTV-PMP-03.OFF</t>
  </si>
  <si>
    <t>PUMP.ADTV-PMP-03.REMOTE_STATUS</t>
  </si>
  <si>
    <t>PUMP.ADTV-PMP-03.MAINTENANCE_STATUS</t>
  </si>
  <si>
    <t>ADTV-PMP-04</t>
  </si>
  <si>
    <t>PUMP.ADTV-PMP-04.ON</t>
  </si>
  <si>
    <t>PUMP.ADTV-PMP-04.OFF</t>
  </si>
  <si>
    <t>PUMP.ADTV-PMP-04.REMOTE_STATUS</t>
  </si>
  <si>
    <t>PUMP.ADTV-PMP-04.MAINTENANCE_STATUS</t>
  </si>
  <si>
    <t>ADTV-PMP-05</t>
  </si>
  <si>
    <t>BLUE DYE</t>
  </si>
  <si>
    <t>PUMP.ADTV-PMP-05.ON</t>
  </si>
  <si>
    <t>PUMP.ADTV-PMP-05.OFF</t>
  </si>
  <si>
    <t>PUMP.ADTV-PMP-05.REMOTE_STATUS</t>
  </si>
  <si>
    <t>PUMP.ADTV-PMP-05.MAINTENANCE_STATUS</t>
  </si>
  <si>
    <t>ADTV-PMP-06</t>
  </si>
  <si>
    <t>PUMP.ADTV-PMP-06.ON</t>
  </si>
  <si>
    <t>PUMP.ADTV-PMP-06.OFF</t>
  </si>
  <si>
    <t>PUMP.ADTV-PMP-06.REMOTE_STATUS</t>
  </si>
  <si>
    <t>PUMP.ADTV-PMP-06.MAINTENANCE_STATUS</t>
  </si>
  <si>
    <t>PMP-01</t>
  </si>
  <si>
    <t>PUMP.PMP-01.ON</t>
  </si>
  <si>
    <t>PUMP.PMP-01.OFF</t>
  </si>
  <si>
    <t>PUMP.PMP-01.REMOTE_STATUS</t>
  </si>
  <si>
    <t>PUMP.PMP-01.MAINTENANCE_STATUS</t>
  </si>
  <si>
    <t>PMP-02</t>
  </si>
  <si>
    <t>PUMP.PMP-02.ON</t>
  </si>
  <si>
    <t>PUMP.PMP-02.OFF</t>
  </si>
  <si>
    <t>PUMP.PMP-02.REMOTE_STATUS</t>
  </si>
  <si>
    <t>PUMP.PMP-02.MAINTENANCE_STATUS</t>
  </si>
  <si>
    <t>PMP-03</t>
  </si>
  <si>
    <t>PUMP.PMP-03.ON</t>
  </si>
  <si>
    <t>PUMP.PMP-03.OFF</t>
  </si>
  <si>
    <t>PUMP.PMP-03.REMOTE_STATUS</t>
  </si>
  <si>
    <t>PUMP.PMP-03.MAINTENANCE_STATUS</t>
  </si>
  <si>
    <t>PMP-04</t>
  </si>
  <si>
    <t>PUMP.PMP-04.ON</t>
  </si>
  <si>
    <t>PUMP.PMP-04.OFF</t>
  </si>
  <si>
    <t>PUMP.PMP-04.REMOTE_STATUS</t>
  </si>
  <si>
    <t>PUMP.PMP-04.MAINTENANCE_STATUS</t>
  </si>
  <si>
    <t>PMP-05</t>
  </si>
  <si>
    <t>PUMP.PMP-05.ON</t>
  </si>
  <si>
    <t>PUMP.PMP-05.OFF</t>
  </si>
  <si>
    <t>PUMP.PMP-05.REMOTE_STATUS</t>
  </si>
  <si>
    <t>PUMP.PMP-05.MAINTENANCE_STATUS</t>
  </si>
  <si>
    <t>PMP-06</t>
  </si>
  <si>
    <t>PUMP.PMP-06.ON</t>
  </si>
  <si>
    <t>PUMP.PMP-06.OFF</t>
  </si>
  <si>
    <t>PUMP.PMP-06.REMOTE_STATUS</t>
  </si>
  <si>
    <t>PUMP.PMP-06.MAINTENANCE_STATUS</t>
  </si>
  <si>
    <t>PMP-07</t>
  </si>
  <si>
    <t>PUMP.PMP-07.ON</t>
  </si>
  <si>
    <t>PUMP.PMP-07.OFF</t>
  </si>
  <si>
    <t>PUMP.PMP-07.REMOTE_STATUS</t>
  </si>
  <si>
    <t>PUMP.PMP-07.MAINTENANCE_STATUS</t>
  </si>
  <si>
    <t>PMP-08</t>
  </si>
  <si>
    <t>PUMP.PMP-08.ON</t>
  </si>
  <si>
    <t>PUMP.PMP-08.OFF</t>
  </si>
  <si>
    <t>PUMP.PMP-08.REMOTE_STATUS</t>
  </si>
  <si>
    <t>PUMP.PMP-08.MAINTENANCE_STATUS</t>
  </si>
  <si>
    <t>PMP-09</t>
  </si>
  <si>
    <t>PUMP.PMP-09.ON</t>
  </si>
  <si>
    <t>PUMP.PMP-09.OFF</t>
  </si>
  <si>
    <t>PUMP.PMP-09.REMOTE_STATUS</t>
  </si>
  <si>
    <t>PUMP.PMP-09.MAINTENANCE_STATUS</t>
  </si>
  <si>
    <t>PMP-10</t>
  </si>
  <si>
    <t>PUMP.PMP-10.ON</t>
  </si>
  <si>
    <t>PUMP.PMP-10.OFF</t>
  </si>
  <si>
    <t>PUMP.PMP-10.REMOTE_STATUS</t>
  </si>
  <si>
    <t>PUMP.PMP-10.MAINTENANCE_STATUS</t>
  </si>
  <si>
    <t>PMP-11</t>
  </si>
  <si>
    <t>PUMP.PMP-11.ON</t>
  </si>
  <si>
    <t>PUMP.PMP-11.OFF</t>
  </si>
  <si>
    <t>PUMP.PMP-11.REMOTE_STATUS</t>
  </si>
  <si>
    <t>PUMP.PMP-11.MAINTENANCE_STATUS</t>
  </si>
  <si>
    <t>PMP-12</t>
  </si>
  <si>
    <t>PUMP.PMP-12.ON</t>
  </si>
  <si>
    <t>PUMP.PMP-12.OFF</t>
  </si>
  <si>
    <t>PUMP.PMP-12.REMOTE_STATUS</t>
  </si>
  <si>
    <t>PUMP.PMP-12.MAINTENANCE_STATUS</t>
  </si>
  <si>
    <t>PMP-13</t>
  </si>
  <si>
    <t>PUMP.PMP-13.ON</t>
  </si>
  <si>
    <t>PUMP.PMP-13.OFF</t>
  </si>
  <si>
    <t>PUMP.PMP-13.REMOTE_STATUS</t>
  </si>
  <si>
    <t>PUMP.PMP-13.MAINTENANCE_STATUS</t>
  </si>
  <si>
    <t>PMP-14</t>
  </si>
  <si>
    <t>PUMP.PMP-14.ON</t>
  </si>
  <si>
    <t>PUMP.PMP-14.OFF</t>
  </si>
  <si>
    <t>PUMP.PMP-14.REMOTE_STATUS</t>
  </si>
  <si>
    <t>PUMP.PMP-14.MAINTENANCE_STATUS</t>
  </si>
  <si>
    <t>PMP-15</t>
  </si>
  <si>
    <t>PUMP.PMP-15.ON</t>
  </si>
  <si>
    <t>PUMP.PMP-15.OFF</t>
  </si>
  <si>
    <t>PUMP.PMP-15.REMOTE_STATUS</t>
  </si>
  <si>
    <t>PUMP.PMP-15.MAINTENANCE_STATUS</t>
  </si>
  <si>
    <t>PMP-16</t>
  </si>
  <si>
    <t>PUMP.PMP-16.ON</t>
  </si>
  <si>
    <t>PUMP.PMP-16.OFF</t>
  </si>
  <si>
    <t>PUMP.PMP-16.REMOTE_STATUS</t>
  </si>
  <si>
    <t>PUMP.PMP-16.MAINTENANCE_STATUS</t>
  </si>
  <si>
    <t>PMP-17</t>
  </si>
  <si>
    <t>PUMP.PMP-17.ON</t>
  </si>
  <si>
    <t>PUMP.PMP-17.OFF</t>
  </si>
  <si>
    <t>PUMP.PMP-17.REMOTE_STATUS</t>
  </si>
  <si>
    <t>PUMP.PMP-17.MAINTENANCE_STATUS</t>
  </si>
  <si>
    <t>PMP-18</t>
  </si>
  <si>
    <t>PUMP.PMP-18.ON</t>
  </si>
  <si>
    <t>PUMP.PMP-18.OFF</t>
  </si>
  <si>
    <t>PUMP.PMP-18.REMOTE_STATUS</t>
  </si>
  <si>
    <t>PUMP.PMP-18.MAINTENANCE_STATUS</t>
  </si>
  <si>
    <t>PMP-19</t>
  </si>
  <si>
    <t>Wagon Loading</t>
  </si>
  <si>
    <t>PUMP.PMP-19.ON</t>
  </si>
  <si>
    <t>PUMP.PMP-19.OFF</t>
  </si>
  <si>
    <t>PUMP.PMP-19.REMOTE_STATUS</t>
  </si>
  <si>
    <t>PUMP.PMP-19.MAINTENANCE_STATUS</t>
  </si>
  <si>
    <t>PMP-20</t>
  </si>
  <si>
    <t>PUMP.PMP-20.ON</t>
  </si>
  <si>
    <t>PUMP.PMP-20.OFF</t>
  </si>
  <si>
    <t>PUMP.PMP-20.REMOTE_STATUS</t>
  </si>
  <si>
    <t>PUMP.PMP-20.MAINTENANCE_STATUS</t>
  </si>
  <si>
    <t>PMP-21</t>
  </si>
  <si>
    <t>BS IV HSD</t>
  </si>
  <si>
    <t>PUMP.PMP-21.ON</t>
  </si>
  <si>
    <t>PUMP.PMP-21.OFF</t>
  </si>
  <si>
    <t>PUMP.PMP-21.REMOTE_STATUS</t>
  </si>
  <si>
    <t>PUMP.PMP-21.MAINTENANCE_STATUS</t>
  </si>
  <si>
    <t>PMP-22</t>
  </si>
  <si>
    <t>PUMP.PMP-22.ON</t>
  </si>
  <si>
    <t>PUMP.PMP-22.OFF</t>
  </si>
  <si>
    <t>PUMP.PMP-22.REMOTE_STATUS</t>
  </si>
  <si>
    <t>PUMP.PMP-22.MAINTENANCE_STATUS</t>
  </si>
  <si>
    <t>PMP-23</t>
  </si>
  <si>
    <t>PUMP.PMP-23.ON</t>
  </si>
  <si>
    <t>PUMP.PMP-23.OFF</t>
  </si>
  <si>
    <t>PUMP.PMP-23.REMOTE_STATUS</t>
  </si>
  <si>
    <t>PUMP.PMP-23.MAINTENANCE_STATUS</t>
  </si>
  <si>
    <t>PMP-24</t>
  </si>
  <si>
    <t>PUMP.PMP-24.ON</t>
  </si>
  <si>
    <t>PUMP.PMP-24.OFF</t>
  </si>
  <si>
    <t>PUMP.PMP-24.REMOTE_STATUS</t>
  </si>
  <si>
    <t>PUMP.PMP-24.MAINTENANCE_STATUS</t>
  </si>
  <si>
    <t>PMP-25</t>
  </si>
  <si>
    <t>PUMP.PMP-25.ON</t>
  </si>
  <si>
    <t>PUMP.PMP-25.OFF</t>
  </si>
  <si>
    <t>PUMP.PMP-25.REMOTE_STATUS</t>
  </si>
  <si>
    <t>PUMP.PMP-25.MAINTENANCE_STATUS</t>
  </si>
  <si>
    <t>PMP-26</t>
  </si>
  <si>
    <t>PUMP.PMP-26.ON</t>
  </si>
  <si>
    <t>PUMP.PMP-26.OFF</t>
  </si>
  <si>
    <t>PUMP.PMP-26.REMOTE_STATUS</t>
  </si>
  <si>
    <t>PUMP.PMP-26.MAINTENANCE_STATUS</t>
  </si>
  <si>
    <t>PMP-27</t>
  </si>
  <si>
    <t>PUMP.PMP-27.ON</t>
  </si>
  <si>
    <t>PUMP.PMP-27.OFF</t>
  </si>
  <si>
    <t>PUMP.PMP-27.REMOTE_STATUS</t>
  </si>
  <si>
    <t>PUMP.PMP-27.MAINTENANCE_STATUS</t>
  </si>
  <si>
    <t>PMP-28</t>
  </si>
  <si>
    <t>PUMP.PMP-28.ON</t>
  </si>
  <si>
    <t>PUMP.PMP-28.OFF</t>
  </si>
  <si>
    <t>PUMP.PMP-28.REMOTE_STATUS</t>
  </si>
  <si>
    <t>PUMP.PMP-28.MAINTENANCE_STATUS</t>
  </si>
  <si>
    <t>PMP-29</t>
  </si>
  <si>
    <t>PUMP.PMP-29.ON</t>
  </si>
  <si>
    <t>PUMP.PMP-29.OFF</t>
  </si>
  <si>
    <t>PUMP.PMP-29.REMOTE_STATUS</t>
  </si>
  <si>
    <t>PUMP.PMP-29.MAINTENANCE_STATUS</t>
  </si>
  <si>
    <t>PMP-30</t>
  </si>
  <si>
    <t>PUMP.PMP-30.ON</t>
  </si>
  <si>
    <t>PUMP.PMP-30.OFF</t>
  </si>
  <si>
    <t>PUMP.PMP-30.REMOTE_STATUS</t>
  </si>
  <si>
    <t>PUMP.PMP-30.MAINTENANCE_STATUS</t>
  </si>
  <si>
    <t>PMP-IOCL-01</t>
  </si>
  <si>
    <t>PUMP.PMP-IOCL-01.ON</t>
  </si>
  <si>
    <t>PUMP.PMP-IOCL-01.OFF</t>
  </si>
  <si>
    <t>PMP-IOCL-02</t>
  </si>
  <si>
    <t>PUMP.PMP-IOCL-02.ON</t>
  </si>
  <si>
    <t>PUMP.PMP-IOCL-02.OFF</t>
  </si>
  <si>
    <t>PMP-IOCL-03</t>
  </si>
  <si>
    <t>PUMP.PMP-IOCL-03.ON</t>
  </si>
  <si>
    <t>PUMP.PMP-IOCL-03.OFF</t>
  </si>
  <si>
    <t>PMP-IOCL-04</t>
  </si>
  <si>
    <t>PUMP.PMP-IOCL-04.ON</t>
  </si>
  <si>
    <t>PUMP.PMP-IOCL-04.OFF</t>
  </si>
  <si>
    <t>FIRE PUMP MAINTENANCE</t>
  </si>
  <si>
    <t>FIRE PUMP MAINTENANCE Normal value</t>
  </si>
  <si>
    <t>FIRE PUMP FAIL TO START 1</t>
  </si>
  <si>
    <t>FIRE PUMP FAIL TO START 1 Normal value</t>
  </si>
  <si>
    <t>FIRE PUMP FAIL TO START 2</t>
  </si>
  <si>
    <t>FIRE PUMP FAIL TO START 2 Normal value</t>
  </si>
  <si>
    <t>FIRE PUMP FAIL TO START 3</t>
  </si>
  <si>
    <t>FIRE PUMP FAIL TO START 3 Normal value</t>
  </si>
  <si>
    <t>FIRE PUMP FAIL TO START STANDBY</t>
  </si>
  <si>
    <t>FIRE PUMP TRIPPED FAULT</t>
  </si>
  <si>
    <t>FIRE PUMP TRIPPED FAULT Normal value</t>
  </si>
  <si>
    <t>FIRE PUMP LLOP ALARM</t>
  </si>
  <si>
    <t>FIRE PUMP LLOP ALARM Normal value</t>
  </si>
  <si>
    <t>FIRE PUMP HWT ALARM</t>
  </si>
  <si>
    <t>FIRE PUMP HWT ALARM Normal value</t>
  </si>
  <si>
    <t>FWP-01</t>
  </si>
  <si>
    <t>Water</t>
  </si>
  <si>
    <t>PUMP HOUSE</t>
  </si>
  <si>
    <t>PUMP.FWP-01.ON</t>
  </si>
  <si>
    <t>PUMP.FWP-01.OFF</t>
  </si>
  <si>
    <t>PUMP.FWP-01.REMOTE_STATUS</t>
  </si>
  <si>
    <t>PUMP.FWP-01.MAINTENANCE_STATUS</t>
  </si>
  <si>
    <t>PUMP.FWP-01.FAILED_TO_START_MAIN1</t>
  </si>
  <si>
    <t>PUMP.FWP-01.FAILED_TO_START_STANDBY1</t>
  </si>
  <si>
    <t>PUMP.FWP-01.PUMP_TRIPPED</t>
  </si>
  <si>
    <t>PUMP.FWP-01.LOW_OIL_PRESSURE_ALARM</t>
  </si>
  <si>
    <t>PUMP.FWP-01.HIGH_TEMPERATURE_ALARM</t>
  </si>
  <si>
    <t>FWP-02</t>
  </si>
  <si>
    <t>PUMP.FWP-02.ON</t>
  </si>
  <si>
    <t>PUMP.FWP-02.OFF</t>
  </si>
  <si>
    <t>PUMP.FWP-02.REMOTE_STATUS</t>
  </si>
  <si>
    <t>PUMP.FWP-02.MAINTENANCE_STATUS</t>
  </si>
  <si>
    <t>PUMP.FWP-02.FAILED_TO_START_MAIN1</t>
  </si>
  <si>
    <t>PUMP.FWP-02.FAILED_TO_START_STANDBY1</t>
  </si>
  <si>
    <t>PUMP.FWP-02.PUMP_TRIPPED</t>
  </si>
  <si>
    <t>PUMP.FWP-02.LOW_OIL_PRESSURE_ALARM</t>
  </si>
  <si>
    <t>PUMP.FWP-02.HIGH_TEMPERATURE_ALARM</t>
  </si>
  <si>
    <t>JCY-01</t>
  </si>
  <si>
    <t>Jockey</t>
  </si>
  <si>
    <t>PUMP.JCY-01.ON</t>
  </si>
  <si>
    <t>PUMP.JCY-01.OFF</t>
  </si>
  <si>
    <t>PUMP.JCY-01.REMOTE_STATUS</t>
  </si>
  <si>
    <t>PUMP.JCY-01.MAINTENANCE_STATUS</t>
  </si>
  <si>
    <t>PUMP.JCY-01.FAILED_TO_START_MAIN1</t>
  </si>
  <si>
    <t>PUMP.JCY-01.FAILED_TO_START_STANDBY</t>
  </si>
  <si>
    <t>PUMP.JCY-01.PUMP_TRIPPED</t>
  </si>
  <si>
    <t>JCY-02</t>
  </si>
  <si>
    <t>PUMP.JCY-02.ON</t>
  </si>
  <si>
    <t>PUMP.JCY-02.OFF</t>
  </si>
  <si>
    <t>PUMP.JCY-02.REMOTE_STATUS</t>
  </si>
  <si>
    <t>PUMP.JCY-02.MAINTENANCE_STATUS</t>
  </si>
  <si>
    <t>PUMP.JCY-02.FAILED_TO_START_MAIN1</t>
  </si>
  <si>
    <t>PUMP.JCY-02.FAILED_TO_START_STANDBY</t>
  </si>
  <si>
    <t>PUMP.JCY-02.PUMP_TRIPPED</t>
  </si>
  <si>
    <t>Farthest Point PT</t>
  </si>
  <si>
    <t>WATER Pressure</t>
  </si>
  <si>
    <t>PT</t>
  </si>
  <si>
    <t>Near Tank no. 01</t>
  </si>
  <si>
    <t>PressureTransmitter.PT-01.MAINTENANCE_STATUS</t>
  </si>
  <si>
    <t>Nearest Point PT</t>
  </si>
  <si>
    <t>FWP pump house</t>
  </si>
  <si>
    <t>PressureTransmitter.PT-02.MAINTENANCE_STATUS</t>
  </si>
  <si>
    <t>UPS ID</t>
  </si>
  <si>
    <t>UPS FAIL</t>
  </si>
  <si>
    <t>UPS FAIL Normal Value</t>
  </si>
  <si>
    <t>LOW BATTERY</t>
  </si>
  <si>
    <t>LOW BATTERY Normal Value</t>
  </si>
  <si>
    <t>UPS ON</t>
  </si>
  <si>
    <t>UPS ON Normal Value</t>
  </si>
  <si>
    <t>UPS MAIN AC FAIL</t>
  </si>
  <si>
    <t>UPS MAIN AC FAIL Normal Value</t>
  </si>
  <si>
    <t>UPS-01</t>
  </si>
  <si>
    <t>CR - Process</t>
  </si>
  <si>
    <t>UPS.UPS-01.MAIN_AC_FAIL</t>
  </si>
  <si>
    <t>UPS.UPS-01.LOW_BATTERY</t>
  </si>
  <si>
    <t>UPS.UPS-01.UPS_ON</t>
  </si>
  <si>
    <t>UPS-02</t>
  </si>
  <si>
    <t>UPS.UPS-02.MAIN_AC_FAIL</t>
  </si>
  <si>
    <t>UPS.UPS-02.LOW_BATTERY</t>
  </si>
  <si>
    <t>UPS.UPS-02.UPS_ON</t>
  </si>
  <si>
    <t>PLC ID</t>
  </si>
  <si>
    <t>PLC A IS MASTER</t>
  </si>
  <si>
    <t>PLC A IS MASTER Normal Value</t>
  </si>
  <si>
    <t>PLC B IS MASTER</t>
  </si>
  <si>
    <t>PLC B IS MASTER Normal Value</t>
  </si>
  <si>
    <t>PLC A FAIL SAFE</t>
  </si>
  <si>
    <t>PLC A FAIL SAFE Normal Value</t>
  </si>
  <si>
    <t>PLC B FAIL SAFE</t>
  </si>
  <si>
    <t>PLC B FAIL SAFE Normal Value</t>
  </si>
  <si>
    <t>Senosr_Type</t>
  </si>
  <si>
    <t>PLC A COOMUNCIATION</t>
  </si>
  <si>
    <t>PLC A COOMUNCIATION Normal Value</t>
  </si>
  <si>
    <t>PLC B COOMUNCIATION</t>
  </si>
  <si>
    <t>PLC B COOMUNCIATION Normal Value</t>
  </si>
  <si>
    <t>GEPLC</t>
  </si>
  <si>
    <t>Process PLC</t>
  </si>
  <si>
    <t>PLC.TASPLC.PLCA_IS_MASTER</t>
  </si>
  <si>
    <t>TASPLC</t>
  </si>
  <si>
    <t>PLC A</t>
  </si>
  <si>
    <t>PLC.TASPLC.PLCB_IS_MASTER</t>
  </si>
  <si>
    <t>PLC B</t>
  </si>
  <si>
    <t>SFT PLC</t>
  </si>
  <si>
    <t>Safety PLC</t>
  </si>
  <si>
    <t>PLC.SFTPLC.PLCA_IS_MASTER</t>
  </si>
  <si>
    <t>SFTPLC</t>
  </si>
  <si>
    <t>PLC.SFTPLC.PLCB_IS_MASTER</t>
  </si>
  <si>
    <t>PLC.SFTPLC.PLCA_FAIL_SAFE_STATUS</t>
  </si>
  <si>
    <t>PLC.SFTPLC.PLCB_FAIL_SAFE_STATUS</t>
  </si>
  <si>
    <t>PLC.SFTPLC.PLCA_COMM_OK</t>
  </si>
  <si>
    <t>PLC.SFTPLC.PLCB_COMM_OK</t>
  </si>
  <si>
    <t>HCD ID</t>
  </si>
  <si>
    <t>Type</t>
  </si>
  <si>
    <t>HCD 40 % ALARM</t>
  </si>
  <si>
    <t>HCD 40 % ALARM Normal Value</t>
  </si>
  <si>
    <t>HCD 20 % ALARM</t>
  </si>
  <si>
    <t>HCD 20 % ALARM Normal Value</t>
  </si>
  <si>
    <t>HCD FAULT</t>
  </si>
  <si>
    <t>HCD FAULT Normal Value</t>
  </si>
  <si>
    <t>MISALIGNMENT FAULT</t>
  </si>
  <si>
    <t>MISALIGNMENT FAULT Normal Value</t>
  </si>
  <si>
    <t>HCD MAINTENANCE</t>
  </si>
  <si>
    <t>HCD MAINTENANCE Normal Value</t>
  </si>
  <si>
    <t>HCD Hooter Activated</t>
  </si>
  <si>
    <t>HDS-01</t>
  </si>
  <si>
    <t>HCD-OPENED-TYP1</t>
  </si>
  <si>
    <t>TANKFARM TK11 12 MS</t>
  </si>
  <si>
    <t>GDS.HDS-01.HYDROCARBON_40_PCT_LEL</t>
  </si>
  <si>
    <t>GDS.HDS-01.HYDROCARBON_20_PCT_LEL</t>
  </si>
  <si>
    <t>GDS.HDS-01.CRITICAL_FAULT_ALARM</t>
  </si>
  <si>
    <t>GDS.HDS-01.MISALIGNMENT_FAULT_ALARM</t>
  </si>
  <si>
    <t>GDS.HDS-01.MAINTENANCE_CALL</t>
  </si>
  <si>
    <t>PLC.SFTPLC.HOOTER_FOR_HC_CR</t>
  </si>
  <si>
    <t>HDS-02</t>
  </si>
  <si>
    <t>HCD-OPENED-TYP2</t>
  </si>
  <si>
    <t>TTL PUM HOUSE</t>
  </si>
  <si>
    <t>GDS.HDS-02.HYDROCARBON_40_PCT_LEL</t>
  </si>
  <si>
    <t>GDS.HDS-02.HYDROCARBON_20_PCT_LEL</t>
  </si>
  <si>
    <t>GDS.HDS-02.CRITICAL_FAULT_ALARM</t>
  </si>
  <si>
    <t>GDS.HDS-02.MISALIGNMENT_FAULT_ALARM</t>
  </si>
  <si>
    <t>GDS.HDS-02.MAINTENANCE_CALL</t>
  </si>
  <si>
    <t>HDS-03</t>
  </si>
  <si>
    <t>HCD-OPENED-TYP3</t>
  </si>
  <si>
    <t>PLT PUMP HOUSE</t>
  </si>
  <si>
    <t>GDS.HDS-03.HYDROCARBON_40_PCT_LEL</t>
  </si>
  <si>
    <t>GDS.HDS-03.HYDROCARBON_20_PCT_LEL</t>
  </si>
  <si>
    <t>GDS.HDS-03.CRITICAL_FAULT_ALARM</t>
  </si>
  <si>
    <t>GDS.HDS-03.MISALIGNMENT_FAULT_ALARM</t>
  </si>
  <si>
    <t>GDS.HDS-03.MAINTENANCE_CALL</t>
  </si>
  <si>
    <t>HDS-04</t>
  </si>
  <si>
    <t>HCD-FIXED-TYP1</t>
  </si>
  <si>
    <t>TANKFARM TK-11 MS</t>
  </si>
  <si>
    <t>GDS.HDS-04.HYDROCARBON_40_PCT_LEL</t>
  </si>
  <si>
    <t>GDS.HDS-04.HYDROCARBON_20_PCT_LEL</t>
  </si>
  <si>
    <t>GDS.HDS-04.CRITICAL_FAULT_ALARM</t>
  </si>
  <si>
    <t>GDS.HDS-04.MISALIGNMENT_FAULT_ALARM</t>
  </si>
  <si>
    <t>GDS.HDS-04.MAINTENANCE_CALL</t>
  </si>
  <si>
    <t>HDS-07</t>
  </si>
  <si>
    <t>HCD-FIXED-TYP4</t>
  </si>
  <si>
    <t>TLF PUMP HOUSE</t>
  </si>
  <si>
    <t>GDS.HDS-07.HYDROCARBON_40_PCT_LEL</t>
  </si>
  <si>
    <t>GDS.HDS-07.HYDROCARBON_20_PCT_LEL</t>
  </si>
  <si>
    <t>GDS.HDS-07.CRITICAL_FAULT_ALARM</t>
  </si>
  <si>
    <t>GDS.HDS-07.MISALIGNMENT_FAULT_ALARM</t>
  </si>
  <si>
    <t>GDS.HDS-07.MAINTENANCE_CALL</t>
  </si>
  <si>
    <t>HDS-08</t>
  </si>
  <si>
    <t>HCD-OPEN-TYPE</t>
  </si>
  <si>
    <t>NEAR TANK-8</t>
  </si>
  <si>
    <t>GDS.HDS-08.HYDROCARBON_40_PCT_LEL</t>
  </si>
  <si>
    <t>GDS.HDS-08.HYDROCARBON_20_PCT_LEL</t>
  </si>
  <si>
    <t>GDS.HDS-08.CRITICAL_FAULT_ALARM</t>
  </si>
  <si>
    <t>GDS.HDS-08.MISALIGNMENT_FAULT_ALARM</t>
  </si>
  <si>
    <t>GDS.HDS-08.MAINTENANCE_CALL</t>
  </si>
  <si>
    <t>HDS-09</t>
  </si>
  <si>
    <t>HCD-FIXED-TYPE</t>
  </si>
  <si>
    <t>GDS.HDS-09.HYDROCARBON_40_PCT_LEL</t>
  </si>
  <si>
    <t>GDS.HDS-09.HYDROCARBON_20_PCT_LEL</t>
  </si>
  <si>
    <t>GDS.HDS-09.CRITICAL_FAULT_ALARM</t>
  </si>
  <si>
    <t>GDS.HDS-09.MISALIGNMENT_FAULT_ALARM</t>
  </si>
  <si>
    <t>GDS.HDS-09.MAINTENANCE_CALL</t>
  </si>
  <si>
    <t>Dyke ID</t>
  </si>
  <si>
    <t>DYKE VALVE STATUS</t>
  </si>
  <si>
    <t>DYKE VALVE STATUS Normal Value</t>
  </si>
  <si>
    <t>Dyke Hooter Activated</t>
  </si>
  <si>
    <t>DV-01</t>
  </si>
  <si>
    <t>DRAINVALVE.DV-01.DRAIN_VALVE_STATUS</t>
  </si>
  <si>
    <t>PLC.SFTPLC.EFFECT_HOOTER_FOR_DYKE_FWP_CR</t>
  </si>
  <si>
    <t>DV-02</t>
  </si>
  <si>
    <t>DRAINVALVE.DV-02.DRAIN_VALVE_STATUS</t>
  </si>
  <si>
    <t>Barrier ID</t>
  </si>
  <si>
    <t>BARRIER GATE OPEN STATUS</t>
  </si>
  <si>
    <t>BARRIER GATE OPEN STATUS Normal value</t>
  </si>
  <si>
    <t>BARRIER GATE CLOSE STATUS</t>
  </si>
  <si>
    <t>BARRIER GATE CLOSE STATUS Normal value</t>
  </si>
  <si>
    <t>BARRIER GATE LR STATUS</t>
  </si>
  <si>
    <t>EntryGate</t>
  </si>
  <si>
    <t>GATE.EntryGate.OPEN_STATUS</t>
  </si>
  <si>
    <t>GATE.EntryGate.CLOSE_STATUS</t>
  </si>
  <si>
    <t>GATE.EntryGate.REMOTE_STATUS</t>
  </si>
  <si>
    <t>ExitGate</t>
  </si>
  <si>
    <t>GATE.ExitGate.OPEN_STATUS</t>
  </si>
  <si>
    <t>GATE.ExitGate.CLOSE_STATUS</t>
  </si>
  <si>
    <t>GATE.ExitGate.REMOTE_STATUS</t>
  </si>
  <si>
    <t>Hooter ID</t>
  </si>
  <si>
    <t>Hooter Name</t>
  </si>
  <si>
    <t>HOOTER STATUS</t>
  </si>
  <si>
    <t>HOOTER STATUS Normal Value</t>
  </si>
  <si>
    <t>HOOTER1</t>
  </si>
  <si>
    <t>ANY_HOOTER_FOR_HCD_FIELD</t>
  </si>
  <si>
    <t>PLC.SFTPLC.ANY_HOOTER_FOR_HCD_FIELD</t>
  </si>
  <si>
    <t>HOOTER2</t>
  </si>
  <si>
    <t>ACK_STATUS</t>
  </si>
  <si>
    <t>PLC.SFTPLC.HOOTER_ACK_STATUS</t>
  </si>
  <si>
    <t>HOOTER3</t>
  </si>
  <si>
    <t>FIELD_1</t>
  </si>
  <si>
    <t>PLC.SFTPLC.HOOTER_FIELD_1</t>
  </si>
  <si>
    <t>HOOTER4</t>
  </si>
  <si>
    <t>FIELD_2</t>
  </si>
  <si>
    <t>PLC.SFTPLC.HOOTER_FIELD_2</t>
  </si>
  <si>
    <t>HOOTER5</t>
  </si>
  <si>
    <t>FIELD_3</t>
  </si>
  <si>
    <t>PLC.SFTPLC.HOOTER_FIELD_3</t>
  </si>
  <si>
    <t>HOOTER6</t>
  </si>
  <si>
    <t>FOR_ESD_CR</t>
  </si>
  <si>
    <t>PLC.SFTPLC.HOOTER_FOR_ESD_CR</t>
  </si>
  <si>
    <t>HOOTER7</t>
  </si>
  <si>
    <t>FOR_HC_CR</t>
  </si>
  <si>
    <t>HOOTER8</t>
  </si>
  <si>
    <t>FOR_RIMSEAL_CR</t>
  </si>
  <si>
    <t>PLC.SFTPLC.HOOTER_FOR_RIMSEAL_CR</t>
  </si>
  <si>
    <t>HOOTER9</t>
  </si>
  <si>
    <t>RESET_STATUS</t>
  </si>
  <si>
    <t>PLC.SFTPLC.HOOTER_RESET_STATUS</t>
  </si>
  <si>
    <t>ESD ID</t>
  </si>
  <si>
    <t>ESD Name</t>
  </si>
  <si>
    <t>ESD STATUS</t>
  </si>
  <si>
    <t>ESD STATUS Normal Value</t>
  </si>
  <si>
    <t>ESD MAINTENANCE STATUS</t>
  </si>
  <si>
    <t xml:space="preserve">ESD MAINTENANCE STATUS Normal Value
</t>
  </si>
  <si>
    <t>All ROSOVs closed</t>
  </si>
  <si>
    <t>All ROSOVs closed Normal value</t>
  </si>
  <si>
    <t>Barrier Gate opened</t>
  </si>
  <si>
    <t>Barrier Gate opened Normal Value</t>
  </si>
  <si>
    <t>TLF Gantry Permissive Power Off</t>
  </si>
  <si>
    <t>TLF Gantry Permissive Power Off Normal value</t>
  </si>
  <si>
    <t>All TLF Product Pumps Stopped</t>
  </si>
  <si>
    <t>All TLF Product Pumps Stopped Normal value</t>
  </si>
  <si>
    <t>All Tanks in Dormant Mode</t>
  </si>
  <si>
    <t>All Tanks in Dormant Mode Normal value</t>
  </si>
  <si>
    <t>All DBBVs Closed</t>
  </si>
  <si>
    <t>All DBBVs Closed Normal value</t>
  </si>
  <si>
    <t>ESD Command To Process PLC</t>
  </si>
  <si>
    <t>ESD Command To Process PLC Normal value</t>
  </si>
  <si>
    <t>Siren Activated</t>
  </si>
  <si>
    <t>Siren Activated Normal value</t>
  </si>
  <si>
    <t>ESD Hooter activated in control room</t>
  </si>
  <si>
    <t>ESD Hooter activated in control room Normal value</t>
  </si>
  <si>
    <t>Power ESD Activation after 120 Sec</t>
  </si>
  <si>
    <t>Power ESD Activation after 120 Sec Normal value</t>
  </si>
  <si>
    <t>TTL Dispatch in Dormant Mode</t>
  </si>
  <si>
    <t>TTL Dispatch in Dormant Mode Normal value</t>
  </si>
  <si>
    <t>ESD-01</t>
  </si>
  <si>
    <t>ESDPB-01</t>
  </si>
  <si>
    <t>INSIDE CONTROLROOM</t>
  </si>
  <si>
    <t>ESD.ESD-01.ESD_STATUS</t>
  </si>
  <si>
    <t>ESD.ESD-01.MAINTENANCE_STATUS</t>
  </si>
  <si>
    <t>PLC.SFTPLC.ALL_ROSOV_CLOSE</t>
  </si>
  <si>
    <t>PLC.SFTPLC.GATE_BARRIER_OPENED</t>
  </si>
  <si>
    <t>PLC.SFTPLC.TLF_GANTRY_PERMISSIVE_OFF</t>
  </si>
  <si>
    <t>PLC.SFTPLC.ALL_TLF_PUMP_STOPPED</t>
  </si>
  <si>
    <t>PLC.SFTPLC.EFFECT_ALL_TANKS_IN_DORMANT_EXCP_RECIEPT</t>
  </si>
  <si>
    <t>PLC.SFTPLC.ALL_DBBV_CLOSED</t>
  </si>
  <si>
    <t>PLC.SFTPLC.ESD_RELAY_PCC_PANEL</t>
  </si>
  <si>
    <t>PLC.SFTPLC.SIREN_ACTIVATED</t>
  </si>
  <si>
    <t>PLC.SFTPLC.EFFECT_POWER_ESD_ACTI</t>
  </si>
  <si>
    <t>PLC.SFTPLC.ALL_DISPATCH_TANKS_IN_DORMANT</t>
  </si>
  <si>
    <t>ESD-02</t>
  </si>
  <si>
    <t>ESDPB-02</t>
  </si>
  <si>
    <t>MCC ROOM</t>
  </si>
  <si>
    <t>ESD.ESD-02.ESD_STATUS</t>
  </si>
  <si>
    <t>ESD.ESD-02.MAINTENANCE_STATUS</t>
  </si>
  <si>
    <t>ESD-03</t>
  </si>
  <si>
    <t>ESDPB-03</t>
  </si>
  <si>
    <t>SECURITY ROOM</t>
  </si>
  <si>
    <t>ESD.ESD-03.ESD_STATUS</t>
  </si>
  <si>
    <t>ESD.ESD-03.MAINTENANCE_STATUS</t>
  </si>
  <si>
    <t>ESD-04</t>
  </si>
  <si>
    <t>ESDPB-04</t>
  </si>
  <si>
    <t>ESD.ESD-04.ESD_STATUS</t>
  </si>
  <si>
    <t>ESD.ESD-04.MAINTENANCE_STATUS</t>
  </si>
  <si>
    <t>ESD-05</t>
  </si>
  <si>
    <t>ESDPB-05</t>
  </si>
  <si>
    <t>LOCATION IN CHARGE ROOM</t>
  </si>
  <si>
    <t>ESD.ESD-05.ESD_STATUS</t>
  </si>
  <si>
    <t>ESD.ESD-05.MAINTENANCE_STATUS</t>
  </si>
  <si>
    <t>ESD-06</t>
  </si>
  <si>
    <t>ESDPB-06</t>
  </si>
  <si>
    <t>NEAR LUBE GODOWN - 1</t>
  </si>
  <si>
    <t>ESD.ESD-06.ESD_STATUS</t>
  </si>
  <si>
    <t>ESD.ESD-06.MAINTENANCE_STATUS</t>
  </si>
  <si>
    <t>ESD-07</t>
  </si>
  <si>
    <t>ESDPB-07</t>
  </si>
  <si>
    <t>NEAR FIRE WATER PUMP HOUSE</t>
  </si>
  <si>
    <t>ESD.ESD-07.ESD_STATUS</t>
  </si>
  <si>
    <t>ESD.ESD-07.MAINTENANCE_STATUS</t>
  </si>
  <si>
    <t>ESD-08</t>
  </si>
  <si>
    <t>ESDPB-08</t>
  </si>
  <si>
    <t>IN BETWEEN TK-08 AND TK-09 CATWALK SIDE</t>
  </si>
  <si>
    <t>ESD.ESD-08.ESD_STATUS</t>
  </si>
  <si>
    <t>ESD.ESD-08.MAINTENANCE_STATUS</t>
  </si>
  <si>
    <t>ESD-09</t>
  </si>
  <si>
    <t>ESDPB-09</t>
  </si>
  <si>
    <t>NEAR TANK-10 CATWALK SIDE</t>
  </si>
  <si>
    <t>ESD.ESD-09.ESD_STATUS</t>
  </si>
  <si>
    <t>ESD.ESD-09.MAINTENANCE_STATUS</t>
  </si>
  <si>
    <t>ESD-10</t>
  </si>
  <si>
    <t>ESDPB-10</t>
  </si>
  <si>
    <t>NEAR BULK AIR ELUMINATER</t>
  </si>
  <si>
    <t>ESD.ESD-10.ESD_STATUS</t>
  </si>
  <si>
    <t>ESD.ESD-10.MAINTENANCE_STATUS</t>
  </si>
  <si>
    <t>ESD-11</t>
  </si>
  <si>
    <t>ESDPB-11</t>
  </si>
  <si>
    <t>ESD.ESD-11.ESD_STATUS</t>
  </si>
  <si>
    <t>ESD.ESD-11.MAINTENANCE_STATUS</t>
  </si>
  <si>
    <t>ESD-12</t>
  </si>
  <si>
    <t>ESDPB-12</t>
  </si>
  <si>
    <t>NEAR U/G TANK - 15/16 (BEHIND GANTRY)</t>
  </si>
  <si>
    <t>ESD.ESD-12.ESD_STATUS</t>
  </si>
  <si>
    <t>ESD.ESD-12.MAINTENANCE_STATUS</t>
  </si>
  <si>
    <t>ESD-13</t>
  </si>
  <si>
    <t>ESDPB-13</t>
  </si>
  <si>
    <t>IN BETWEEN TK-11 and TK-12 CATWALK SIDE</t>
  </si>
  <si>
    <t>ESD.ESD-13.ESD_STATUS</t>
  </si>
  <si>
    <t>ESD.ESD-13.MAINTENANCE_STATUS</t>
  </si>
  <si>
    <t>ESD-14</t>
  </si>
  <si>
    <t>ESDPB-14</t>
  </si>
  <si>
    <t>GANTRY CABIN</t>
  </si>
  <si>
    <t>ESD.ESD-14.ESD_STATUS</t>
  </si>
  <si>
    <t>ESD.ESD-14.MAINTENANCE_STATUS</t>
  </si>
  <si>
    <t>ESD-15</t>
  </si>
  <si>
    <t>ESDPB-15</t>
  </si>
  <si>
    <t>GANTRY BAY 2 STAIRCASE</t>
  </si>
  <si>
    <t>ESD.ESD-15.ESD_STATUS</t>
  </si>
  <si>
    <t>ESD.ESD-15.MAINTENANCE_STATUS</t>
  </si>
  <si>
    <t>ESD-16</t>
  </si>
  <si>
    <t>ESD-SYSTEM</t>
  </si>
  <si>
    <t>CENTRAL ESD</t>
  </si>
  <si>
    <t>ESD.ESD-16.ESD_STATUS</t>
  </si>
  <si>
    <t>ESD-17</t>
  </si>
  <si>
    <t>ESD-VFT</t>
  </si>
  <si>
    <t>ESD DUE TO VIBRATING FORK</t>
  </si>
  <si>
    <t>ESD.ESD-17.ESD_STATUS</t>
  </si>
  <si>
    <t>ESD-18</t>
  </si>
  <si>
    <t>ESD-RDR</t>
  </si>
  <si>
    <t>ESD DUE TO RADAR RELAY</t>
  </si>
  <si>
    <t>ESD.ESD-18.ESD_STATUS</t>
  </si>
  <si>
    <t>ESD-IOCL</t>
  </si>
  <si>
    <t>ESD.ESD-IOCL.ESD_STATUS</t>
  </si>
  <si>
    <t>ESD-SOFT</t>
  </si>
  <si>
    <t>SOFT FROM OIC</t>
  </si>
  <si>
    <t>ESD.ESD-SOFT.ESD_STATUS</t>
  </si>
  <si>
    <t>Loading Point ID</t>
  </si>
  <si>
    <t>Loading Point Type(TLF/TWF/TLFG/TWD)</t>
  </si>
  <si>
    <t>BCU Number</t>
  </si>
  <si>
    <t>LP Earthing STATUS</t>
  </si>
  <si>
    <t>NO FLOW STATUS OF MAIN</t>
  </si>
  <si>
    <t>NO FLOW STATUS OF BLEND</t>
  </si>
  <si>
    <t>LOW FLOW STATUS OF MAIN</t>
  </si>
  <si>
    <t>LOW FLOW STATUS OF BLEND</t>
  </si>
  <si>
    <t>HIGH FLOW STATUS OF MAIN</t>
  </si>
  <si>
    <t>HIGH FLOW STATUS OF BLEND</t>
  </si>
  <si>
    <t>UNAUTHORISE FLOW STATUS OF MAIN</t>
  </si>
  <si>
    <t>METER OVERRUN STATUS OF MAIN</t>
  </si>
  <si>
    <t>BLEND OVERDOSE STATUS OF MAIN</t>
  </si>
  <si>
    <t>BLEND UNDERDOSE STATUS OF MAIN</t>
  </si>
  <si>
    <t>ADD OVERDOSE STATUS OF MAIN</t>
  </si>
  <si>
    <t>ADD UNDERDOSE STATUS OF MAIN</t>
  </si>
  <si>
    <t>BCU LOADING STATUS</t>
  </si>
  <si>
    <t xml:space="preserve">K-FACTOR CHANGE STATUS </t>
  </si>
  <si>
    <t>K-FACTOR CHANGE STATUS BLEND</t>
  </si>
  <si>
    <t>BCU VS MFM TOTALIZER MISMATCH</t>
  </si>
  <si>
    <t>DAY START TOTALIZER MISMATCH</t>
  </si>
  <si>
    <t>DAY START TOTALIZER MISMATCH BLEND</t>
  </si>
  <si>
    <t>LP 01</t>
  </si>
  <si>
    <t>TLF</t>
  </si>
  <si>
    <t>BC-501A</t>
  </si>
  <si>
    <t>SmartLoad-Dual.BC-501A.EARTH_ALARM_STATUS</t>
  </si>
  <si>
    <t>SmartLoad-Dual.BC-501A.NO_FLOW_ALARM_STATUS_M1</t>
  </si>
  <si>
    <t>SmartLoad-Dual.BC-501A.NO_FLOW_ALARM_STATUS_M2</t>
  </si>
  <si>
    <t>SmartLoad-Dual.BC-501A.LOW_FLOW_ALARM_STATUS_M1</t>
  </si>
  <si>
    <t>SmartLoad-Dual.BC-501A.LOW_FLOW_ALARM_STATUS_M2</t>
  </si>
  <si>
    <t>SmartLoad-Dual.BC-501A.HIGH_FLOW_ALARM_STATUS_M1</t>
  </si>
  <si>
    <t>SmartLoad-Dual.BC-501A.HIGH_FLOW_ALARM_STATUS_M2</t>
  </si>
  <si>
    <t>SmartLoad-Dual.BC-501A.UNAUTHORIZE_FLOW_ALARM_STATUS_M1</t>
  </si>
  <si>
    <t>SmartLoad-Dual.BC-501A.METER_OVERRUN_ALARM_STATUS_M1</t>
  </si>
  <si>
    <t>SmartLoad-Dual.BC-501A.BLEND_OVERDOSE_ALARM_STATUS</t>
  </si>
  <si>
    <t>SmartLoad-Dual.BC-501A.BLEND_UNDERDOSE_ALARM_STATUS</t>
  </si>
  <si>
    <t>SmartLoad-Dual.BC-501A.ADDITIVE_OVERDOSE_ALARM_STATUS</t>
  </si>
  <si>
    <t>SmartLoad-Dual.BC-501A.ADDITIVE_UNDERDOSE_ALARM_STATUS</t>
  </si>
  <si>
    <t>SmartLoad-Dual.BC-501A.BATCH_STATUS</t>
  </si>
  <si>
    <t>SmartLoad-Dual.BC-501A.NOMINAL_ARM1_COMP1_KFACTOR_CHANGED</t>
  </si>
  <si>
    <t>SmartLoad-Dual.BC-501A.NOMINAL_ARM1_COMP2_KFACTOR_CHANGED</t>
  </si>
  <si>
    <t>SmartLoad-Dual.BC-501A.MFM_BCU_QTY_BEYOND_TOLERANCE_LIMIT_STATUS</t>
  </si>
  <si>
    <t>SmartLoad-Dual.BC-501A.BCU_C1_TOTALIZER_MISMATCH_ALARM</t>
  </si>
  <si>
    <t>SmartLoad-Dual.BC-501A.BCU_C2_TOTALIZER_MISMATCH_ALARM</t>
  </si>
  <si>
    <t>LP 02</t>
  </si>
  <si>
    <t>BC-501B</t>
  </si>
  <si>
    <t>SmartLoad-Dual.BC-501B.EARTH_ALARM_STATUS</t>
  </si>
  <si>
    <t>SmartLoad-Dual.BC-501B.NO_FLOW_ALARM_STATUS_M3</t>
  </si>
  <si>
    <t>SmartLoad-Dual.BC-501B.LOW_FLOW_ALARM_STATUS_M3</t>
  </si>
  <si>
    <t>SmartLoad-Dual.BC-501B.HIGH_FLOW_ALARM_STATUS_M3</t>
  </si>
  <si>
    <t>SmartLoad-Dual.BC-501B.UNAUTHORIZE_FLOW_ALARM_STATUS_M3</t>
  </si>
  <si>
    <t>SmartLoad-Dual.BC-501B.METER_OVERRUN_ALARM_STATUS_M3</t>
  </si>
  <si>
    <t>SmartLoad-Dual.BC-501B.BLEND_OVERDOSE_ALARM_STATUS</t>
  </si>
  <si>
    <t>SmartLoad-Dual.BC-501B.BLEND_UNDERDOSE_ALARM_STATUS</t>
  </si>
  <si>
    <t>SmartLoad-Dual.BC-501B.ADDITIVE_OVERDOSE_ALARM_STATUS</t>
  </si>
  <si>
    <t>SmartLoad-Dual.BC-501B.ADDITIVE_UNDERDOSE_ALARM_STATUS</t>
  </si>
  <si>
    <t>SmartLoad-Dual.BC-501B.BATCH_STATUS</t>
  </si>
  <si>
    <t>SmartLoad-Dual.BC-501B.NOMINAL_ARM2_COMP1_KFACTOR_CHANGED</t>
  </si>
  <si>
    <t>SmartLoad-Dual.BC-501B.MFM_BCU_QTY_BEYOND_TOLERANCE_LIMIT_STATUS</t>
  </si>
  <si>
    <t>SmartLoad-Dual.BC-501B.BCU_C3_TOTALIZER_MISMATCH_ALARM</t>
  </si>
  <si>
    <t>LP 03</t>
  </si>
  <si>
    <t>BC-502A</t>
  </si>
  <si>
    <t>SmartLoad-Dual.BC-502A.EARTH_ALARM_STATUS</t>
  </si>
  <si>
    <t>SmartLoad-Dual.BC-502A.NO_FLOW_ALARM_STATUS_M1</t>
  </si>
  <si>
    <t>SmartLoad-Dual.BC-502A.NO_FLOW_ALARM_STATUS_M2</t>
  </si>
  <si>
    <t>SmartLoad-Dual.BC-502A.LOW_FLOW_ALARM_STATUS_M1</t>
  </si>
  <si>
    <t>SmartLoad-Dual.BC-502A.LOW_FLOW_ALARM_STATUS_M2</t>
  </si>
  <si>
    <t>SmartLoad-Dual.BC-502A.HIGH_FLOW_ALARM_STATUS_M1</t>
  </si>
  <si>
    <t>SmartLoad-Dual.BC-502A.HIGH_FLOW_ALARM_STATUS_M2</t>
  </si>
  <si>
    <t>SmartLoad-Dual.BC-502A.UNAUTHORIZE_FLOW_ALARM_STATUS_M1</t>
  </si>
  <si>
    <t>SmartLoad-Dual.BC-502A.METER_OVERRUN_ALARM_STATUS_M1</t>
  </si>
  <si>
    <t>SmartLoad-Dual.BC-502A.BLEND_OVERDOSE_ALARM_STATUS</t>
  </si>
  <si>
    <t>SmartLoad-Dual.BC-502A.BLEND_UNDERDOSE_ALARM_STATUS</t>
  </si>
  <si>
    <t>SmartLoad-Dual.BC-502A.ADDITIVE_OVERDOSE_ALARM_STATUS</t>
  </si>
  <si>
    <t>SmartLoad-Dual.BC-502A.ADDITIVE_UNDERDOSE_ALARM_STATUS</t>
  </si>
  <si>
    <t>SmartLoad-Dual.BC-502A.BATCH_STATUS</t>
  </si>
  <si>
    <t>SmartLoad-Dual.BC-502A.NOMINAL_ARM1_COMP1_KFACTOR_CHANGED</t>
  </si>
  <si>
    <t>SmartLoad-Dual.BC-502A.NOMINAL_ARM1_COMP2_KFACTOR_CHANGED</t>
  </si>
  <si>
    <t>SmartLoad-Dual.BC-502A.MFM_BCU_QTY_BEYOND_TOLERANCE_LIMIT_STATUS</t>
  </si>
  <si>
    <t>SmartLoad-Dual.BC-502A.BCU_C1_TOTALIZER_MISMATCH_ALARM</t>
  </si>
  <si>
    <t>SmartLoad-Dual.BC-502A.BCU_C2_TOTALIZER_MISMATCH_ALARM</t>
  </si>
  <si>
    <t>LP 04</t>
  </si>
  <si>
    <t>BC-502B</t>
  </si>
  <si>
    <t>SmartLoad-Dual.BC-502B.EARTH_ALARM_STATUS</t>
  </si>
  <si>
    <t>SmartLoad-Dual.BC-502B.NO_FLOW_ALARM_STATUS_M3</t>
  </si>
  <si>
    <t>SmartLoad-Dual.BC-502B.LOW_FLOW_ALARM_STATUS_M3</t>
  </si>
  <si>
    <t>SmartLoad-Dual.BC-502B.HIGH_FLOW_ALARM_STATUS_M3</t>
  </si>
  <si>
    <t>SmartLoad-Dual.BC-502B.UNAUTHORIZE_FLOW_ALARM_STATUS_M3</t>
  </si>
  <si>
    <t>SmartLoad-Dual.BC-502B.METER_OVERRUN_ALARM_STATUS_M3</t>
  </si>
  <si>
    <t>SmartLoad-Dual.BC-502B.BLEND_OVERDOSE_ALARM_STATUS</t>
  </si>
  <si>
    <t>SmartLoad-Dual.BC-502B.BLEND_UNDERDOSE_ALARM_STATUS</t>
  </si>
  <si>
    <t>SmartLoad-Dual.BC-502B.ADDITIVE_OVERDOSE_ALARM_STATUS</t>
  </si>
  <si>
    <t>SmartLoad-Dual.BC-502B.ADDITIVE_UNDERDOSE_ALARM_STATUS</t>
  </si>
  <si>
    <t>SmartLoad-Dual.BC-502B.BATCH_STATUS</t>
  </si>
  <si>
    <t>SmartLoad-Dual.BC-502B.NOMINAL_ARM2_COMP1_KFACTOR_CHANGED</t>
  </si>
  <si>
    <t>SmartLoad-Dual.BC-502B.MFM_BCU_QTY_BEYOND_TOLERANCE_LIMIT_STATUS</t>
  </si>
  <si>
    <t>SmartLoad-Dual.BC-502B.BCU_C3_TOTALIZER_MISMATCH_ALARM</t>
  </si>
  <si>
    <t>LP 05</t>
  </si>
  <si>
    <t>BC-503A</t>
  </si>
  <si>
    <t>SmartLoad-Dual.BC-503A.EARTH_ALARM_STATUS</t>
  </si>
  <si>
    <t>SmartLoad-Dual.BC-503A.NO_FLOW_ALARM_STATUS_M1</t>
  </si>
  <si>
    <t>SmartLoad-Dual.BC-503A.NO_FLOW_ALARM_STATUS_M2</t>
  </si>
  <si>
    <t>SmartLoad-Dual.BC-503A.LOW_FLOW_ALARM_STATUS_M1</t>
  </si>
  <si>
    <t>SmartLoad-Dual.BC-503A.LOW_FLOW_ALARM_STATUS_M2</t>
  </si>
  <si>
    <t>SmartLoad-Dual.BC-503A.HIGH_FLOW_ALARM_STATUS_M1</t>
  </si>
  <si>
    <t>SmartLoad-Dual.BC-503A.HIGH_FLOW_ALARM_STATUS_M2</t>
  </si>
  <si>
    <t>SmartLoad-Dual.BC-503A.UNAUTHORIZE_FLOW_ALARM_STATUS_M1</t>
  </si>
  <si>
    <t>SmartLoad-Dual.BC-503A.METER_OVERRUN_ALARM_STATUS_M1</t>
  </si>
  <si>
    <t>SmartLoad-Dual.BC-503A.BLEND_OVERDOSE_ALARM_STATUS</t>
  </si>
  <si>
    <t>SmartLoad-Dual.BC-503A.BLEND_UNDERDOSE_ALARM_STATUS</t>
  </si>
  <si>
    <t>SmartLoad-Dual.BC-503A.ADDITIVE_OVERDOSE_ALARM_STATUS</t>
  </si>
  <si>
    <t>SmartLoad-Dual.BC-503A.ADDITIVE_UNDERDOSE_ALARM_STATUS</t>
  </si>
  <si>
    <t>SmartLoad-Dual.BC-503A.BATCH_STATUS</t>
  </si>
  <si>
    <t>SmartLoad-Dual.BC-503A.NOMINAL_ARM1_COMP1_KFACTOR_CHANGED</t>
  </si>
  <si>
    <t>SmartLoad-Dual.BC-503A.NOMINAL_ARM1_COMP2_KFACTOR_CHANGED</t>
  </si>
  <si>
    <t>SmartLoad-Dual.BC-503A.MFM_BCU_QTY_BEYOND_TOLERANCE_LIMIT_STATUS</t>
  </si>
  <si>
    <t>SmartLoad-Dual.BC-503A.BCU_C1_TOTALIZER_MISMATCH_ALARM</t>
  </si>
  <si>
    <t>SmartLoad-Dual.BC-503A.BCU_C2_TOTALIZER_MISMATCH_ALARM</t>
  </si>
  <si>
    <t>LP 06</t>
  </si>
  <si>
    <t>BC-503B</t>
  </si>
  <si>
    <t>SmartLoad-Dual.BC-503B.EARTH_ALARM_STATUS</t>
  </si>
  <si>
    <t>SmartLoad-Dual.BC-503B.NO_FLOW_ALARM_STATUS_M3</t>
  </si>
  <si>
    <t>SmartLoad-Dual.BC-503B.LOW_FLOW_ALARM_STATUS_M3</t>
  </si>
  <si>
    <t>SmartLoad-Dual.BC-503B.HIGH_FLOW_ALARM_STATUS_M3</t>
  </si>
  <si>
    <t>SmartLoad-Dual.BC-503B.UNAUTHORIZE_FLOW_ALARM_STATUS_M3</t>
  </si>
  <si>
    <t>SmartLoad-Dual.BC-503B.METER_OVERRUN_ALARM_STATUS_M3</t>
  </si>
  <si>
    <t>SmartLoad-Dual.BC-503B.BLEND_OVERDOSE_ALARM_STATUS</t>
  </si>
  <si>
    <t>SmartLoad-Dual.BC-503B.BLEND_UNDERDOSE_ALARM_STATUS</t>
  </si>
  <si>
    <t>SmartLoad-Dual.BC-503B.ADDITIVE_OVERDOSE_ALARM_STATUS</t>
  </si>
  <si>
    <t>SmartLoad-Dual.BC-503B.ADDITIVE_UNDERDOSE_ALARM_STATUS</t>
  </si>
  <si>
    <t>SmartLoad-Dual.BC-503B.BATCH_STATUS</t>
  </si>
  <si>
    <t>SmartLoad-Dual.BC-503B.NOMINAL_ARM2_COMP1_KFACTOR_CHANGED</t>
  </si>
  <si>
    <t>SmartLoad-Dual.BC-503B.MFM_BCU_QTY_BEYOND_TOLERANCE_LIMIT_STATUS</t>
  </si>
  <si>
    <t>SmartLoad-Dual.BC-503B.BCU_C3_TOTALIZER_MISMATCH_ALARM</t>
  </si>
  <si>
    <t>LP 07</t>
  </si>
  <si>
    <t>BC-504A</t>
  </si>
  <si>
    <t>SmartLoad-Dual.BC-504A.EARTH_ALARM_STATUS</t>
  </si>
  <si>
    <t>SmartLoad-Dual.BC-504A.NO_FLOW_ALARM_STATUS_M1</t>
  </si>
  <si>
    <t>SmartLoad-Dual.BC-504A.NO_FLOW_ALARM_STATUS_M2</t>
  </si>
  <si>
    <t>SmartLoad-Dual.BC-504A.LOW_FLOW_ALARM_STATUS_M1</t>
  </si>
  <si>
    <t>SmartLoad-Dual.BC-504A.LOW_FLOW_ALARM_STATUS_M2</t>
  </si>
  <si>
    <t>SmartLoad-Dual.BC-504A.HIGH_FLOW_ALARM_STATUS_M1</t>
  </si>
  <si>
    <t>SmartLoad-Dual.BC-504A.HIGH_FLOW_ALARM_STATUS_M2</t>
  </si>
  <si>
    <t>SmartLoad-Dual.BC-504A.UNAUTHORIZE_FLOW_ALARM_STATUS_M1</t>
  </si>
  <si>
    <t>SmartLoad-Dual.BC-504A.METER_OVERRUN_ALARM_STATUS_M1</t>
  </si>
  <si>
    <t>SmartLoad-Dual.BC-504A.BLEND_OVERDOSE_ALARM_STATUS</t>
  </si>
  <si>
    <t>SmartLoad-Dual.BC-504A.BLEND_UNDERDOSE_ALARM_STATUS</t>
  </si>
  <si>
    <t>SmartLoad-Dual.BC-504A.ADDITIVE_OVERDOSE_ALARM_STATUS</t>
  </si>
  <si>
    <t>SmartLoad-Dual.BC-504A.ADDITIVE_UNDERDOSE_ALARM_STATUS</t>
  </si>
  <si>
    <t>SmartLoad-Dual.BC-504A.BATCH_STATUS</t>
  </si>
  <si>
    <t>SmartLoad-Dual.BC-504A.NOMINAL_ARM1_COMP1_KFACTOR_CHANGED</t>
  </si>
  <si>
    <t>SmartLoad-Dual.BC-504A.NOMINAL_ARM1_COMP2_KFACTOR_CHANGED</t>
  </si>
  <si>
    <t>SmartLoad-Dual.BC-504A.MFM_BCU_QTY_BEYOND_TOLERANCE_LIMIT_STATUS</t>
  </si>
  <si>
    <t>SmartLoad-Dual.BC-504A.BCU_C1_TOTALIZER_MISMATCH_ALARM</t>
  </si>
  <si>
    <t>SmartLoad-Dual.BC-504A.BCU_C2_TOTALIZER_MISMATCH_ALARM</t>
  </si>
  <si>
    <t>LP 08</t>
  </si>
  <si>
    <t>BC-504B</t>
  </si>
  <si>
    <t>SmartLoad-Dual.BC-504B.EARTH_ALARM_STATUS</t>
  </si>
  <si>
    <t>SmartLoad-Dual.BC-504B.NO_FLOW_ALARM_STATUS_M3</t>
  </si>
  <si>
    <t>SmartLoad-Dual.BC-504B.LOW_FLOW_ALARM_STATUS_M3</t>
  </si>
  <si>
    <t>SmartLoad-Dual.BC-504B.HIGH_FLOW_ALARM_STATUS_M3</t>
  </si>
  <si>
    <t>SmartLoad-Dual.BC-504B.UNAUTHORIZE_FLOW_ALARM_STATUS_M3</t>
  </si>
  <si>
    <t>SmartLoad-Dual.BC-504B.METER_OVERRUN_ALARM_STATUS_M3</t>
  </si>
  <si>
    <t>SmartLoad-Dual.BC-504B.BLEND_OVERDOSE_ALARM_STATUS</t>
  </si>
  <si>
    <t>SmartLoad-Dual.BC-504B.BLEND_UNDERDOSE_ALARM_STATUS</t>
  </si>
  <si>
    <t>SmartLoad-Dual.BC-504B.ADDITIVE_OVERDOSE_ALARM_STATUS</t>
  </si>
  <si>
    <t>SmartLoad-Dual.BC-504B.ADDITIVE_UNDERDOSE_ALARM_STATUS</t>
  </si>
  <si>
    <t>SmartLoad-Dual.BC-504B.BATCH_STATUS</t>
  </si>
  <si>
    <t>SmartLoad-Dual.BC-504B.NOMINAL_ARM2_COMP1_KFACTOR_CHANGED</t>
  </si>
  <si>
    <t>SmartLoad-Dual.BC-504B.MFM_BCU_QTY_BEYOND_TOLERANCE_LIMIT_STATUS</t>
  </si>
  <si>
    <t>SmartLoad-Dual.BC-504B.BCU_C3_TOTALIZER_MISMATCH_ALARM</t>
  </si>
  <si>
    <t>LP 09</t>
  </si>
  <si>
    <t>BC-505A</t>
  </si>
  <si>
    <t>BS IV MS</t>
  </si>
  <si>
    <t>SmartLoad-Dual.BC-505A.EARTH_ALARM_STATUS</t>
  </si>
  <si>
    <t>SmartLoad-Dual.BC-505A.NO_FLOW_ALARM_STATUS_M1</t>
  </si>
  <si>
    <t>SmartLoad-Dual.BC-505A.NO_FLOW_ALARM_STATUS_M2</t>
  </si>
  <si>
    <t>SmartLoad-Dual.BC-505A.LOW_FLOW_ALARM_STATUS_M1</t>
  </si>
  <si>
    <t>SmartLoad-Dual.BC-505A.LOW_FLOW_ALARM_STATUS_M2</t>
  </si>
  <si>
    <t>SmartLoad-Dual.BC-505A.HIGH_FLOW_ALARM_STATUS_M1</t>
  </si>
  <si>
    <t>SmartLoad-Dual.BC-505A.HIGH_FLOW_ALARM_STATUS_M2</t>
  </si>
  <si>
    <t>SmartLoad-Dual.BC-505A.UNAUTHORIZE_FLOW_ALARM_STATUS_M1</t>
  </si>
  <si>
    <t>SmartLoad-Dual.BC-505A.METER_OVERRUN_ALARM_STATUS_M1</t>
  </si>
  <si>
    <t>SmartLoad-Dual.BC-505A.BLEND_OVERDOSE_ALARM_STATUS</t>
  </si>
  <si>
    <t>SmartLoad-Dual.BC-505A.BLEND_UNDERDOSE_ALARM_STATUS</t>
  </si>
  <si>
    <t>SmartLoad-Dual.BC-505A.ADDITIVE_OVERDOSE_ALARM_STATUS</t>
  </si>
  <si>
    <t>SmartLoad-Dual.BC-505A.ADDITIVE_UNDERDOSE_ALARM_STATUS</t>
  </si>
  <si>
    <t>SmartLoad-Dual.BC-505A.BATCH_STATUS</t>
  </si>
  <si>
    <t>SmartLoad-Dual.BC-505A.NOMINAL_ARM1_COMP1_KFACTOR_CHANGED</t>
  </si>
  <si>
    <t>SmartLoad-Dual.BC-505A.NOMINAL_ARM1_COMP2_KFACTOR_CHANGED</t>
  </si>
  <si>
    <t>SmartLoad-Dual.BC-505A.MFM_BCU_QTY_BEYOND_TOLERANCE_LIMIT_STATUS</t>
  </si>
  <si>
    <t>SmartLoad-Dual.BC-505A.BCU_C1_TOTALIZER_MISMATCH_ALARM</t>
  </si>
  <si>
    <t>SmartLoad-Dual.BC-505A.BCU_C2_TOTALIZER_MISMATCH_ALARM</t>
  </si>
  <si>
    <t xml:space="preserve"> Permissive override ID</t>
  </si>
  <si>
    <t xml:space="preserve">OVERRIDE STATUS </t>
  </si>
  <si>
    <t>Gantry Permissive override</t>
  </si>
  <si>
    <t>PLC.SFTPLC.RESET_GANTRY_OPERATION</t>
  </si>
  <si>
    <t>Gantry Permissive Write CMD status</t>
  </si>
  <si>
    <t>SmartLoad-Dual.BC-01A.PERMISSIVE_FROM_DNC_STATUS</t>
  </si>
  <si>
    <t>ESD Write CMD status</t>
  </si>
  <si>
    <t>PLC.SFTPLC.ESD_FROM_DNC_STATUS</t>
  </si>
  <si>
    <t>Cause ID</t>
  </si>
  <si>
    <t>Cause</t>
  </si>
  <si>
    <t>Cause Normal value</t>
  </si>
  <si>
    <t>TLF Header Line MOV Close</t>
  </si>
  <si>
    <t>TLF Header Line MOV Close Normal value</t>
  </si>
  <si>
    <t>Hooter activated in control room</t>
  </si>
  <si>
    <t>Two Fire Engine Running status</t>
  </si>
  <si>
    <t>PLC.SFTPLC.CAUSE_ANY_FWP_IS_RUNNING</t>
  </si>
  <si>
    <t>PLC.SFTPLC.EFFECT_ALL_HEADER_MOV_CLOSED</t>
  </si>
  <si>
    <t>WATER Level below Ref. Volume</t>
  </si>
  <si>
    <t>PLC.SFTPLC.CAUSE_WATERTK_VOL_BELOW_90PCT</t>
  </si>
  <si>
    <t>Main Fire Engines not in REMOTE</t>
  </si>
  <si>
    <t>PLC.SFTPLC.CAUSE_ANY_MAIN_FWP_IN_REMOTE_MANUAL</t>
  </si>
  <si>
    <t>Gantry Permissive Off</t>
  </si>
  <si>
    <t>SmartLoad-Dual.BC-501A.PERMISSIVE_FROM_DNC_STATUS</t>
  </si>
  <si>
    <t>Air Compressor ID</t>
  </si>
  <si>
    <t>AIR COMPRESSOR FAULT STATUS</t>
  </si>
  <si>
    <t>AIR COMPRESSOR FAULT STATUS Normal value</t>
  </si>
  <si>
    <t>LRC ID</t>
  </si>
  <si>
    <t>LRC SWITCHOVER 30 DAYS STATUS</t>
  </si>
  <si>
    <t>LRC Switch Over</t>
  </si>
  <si>
    <t>CLIENT.LRCA.HSB_COMMS_FAIL</t>
  </si>
  <si>
    <t>OI ID</t>
  </si>
  <si>
    <t>Fire Engine1</t>
  </si>
  <si>
    <t>Fire Engine2</t>
  </si>
  <si>
    <t>Jockey Pump Run1</t>
  </si>
  <si>
    <t>Jockey Pump Run2</t>
  </si>
  <si>
    <t>Farthest Point Pt</t>
  </si>
  <si>
    <t>Water Volume</t>
  </si>
  <si>
    <t>Main Fire Engine not in Remote</t>
  </si>
  <si>
    <t>Jockey Pump1 Remote</t>
  </si>
  <si>
    <t>Jockey Pump1 Auto</t>
  </si>
  <si>
    <t>Jockey Pump2 Remote</t>
  </si>
  <si>
    <t>Jockey Pump2 Auto</t>
  </si>
  <si>
    <t>Operability Index</t>
  </si>
  <si>
    <t>PressureTransmitter.PT-02.PRESSURE</t>
  </si>
  <si>
    <t>PressureTransmitter.PT-01.PRESSURE</t>
  </si>
  <si>
    <t>PLC.TASPLC.TOV_ON_SCREEN</t>
  </si>
  <si>
    <t>PUMP.JCY-01.AUTO_STATUS</t>
  </si>
  <si>
    <t>PUMP.JCY-02.AUTO_STATUS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</si>
</sst>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sz val="11.0"/>
      <color theme="1"/>
      <name val="Arial"/>
    </font>
    <font>
      <b/>
      <sz val="11.0"/>
      <color rgb="FF222222"/>
      <name val="Arial"/>
    </font>
    <font>
      <b/>
      <sz val="11.0"/>
      <color theme="1"/>
      <name val="Calibri"/>
    </font>
    <font>
      <color rgb="FF000000"/>
      <name val="Roboto"/>
    </font>
    <font>
      <sz val="10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F7F7E7"/>
        <bgColor rgb="FFF7F7E7"/>
      </patternFill>
    </fill>
    <fill>
      <patternFill patternType="solid">
        <fgColor rgb="FFFFFF00"/>
        <bgColor rgb="FFFFFF00"/>
      </patternFill>
    </fill>
    <fill>
      <patternFill patternType="solid">
        <fgColor rgb="FFFAD9D6"/>
        <bgColor rgb="FFFAD9D6"/>
      </patternFill>
    </fill>
    <fill>
      <patternFill patternType="solid">
        <fgColor rgb="FFD8E5F8"/>
        <bgColor rgb="FFD8E5F8"/>
      </patternFill>
    </fill>
    <fill>
      <patternFill patternType="solid">
        <fgColor rgb="FFE9E9E9"/>
        <bgColor rgb="FFE9E9E9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1" fillId="3" fontId="1" numFmtId="0" xfId="0" applyAlignment="1" applyBorder="1" applyFill="1" applyFont="1">
      <alignment horizontal="center" shrinkToFit="0" vertical="bottom" wrapText="1"/>
    </xf>
    <xf borderId="1" fillId="3" fontId="1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1" fillId="4" fontId="2" numFmtId="0" xfId="0" applyAlignment="1" applyBorder="1" applyFill="1" applyFont="1">
      <alignment shrinkToFit="0" vertical="bottom" wrapText="1"/>
    </xf>
    <xf borderId="1" fillId="0" fontId="2" numFmtId="0" xfId="0" applyBorder="1" applyFont="1"/>
    <xf borderId="1" fillId="3" fontId="2" numFmtId="0" xfId="0" applyAlignment="1" applyBorder="1" applyFont="1">
      <alignment vertical="bottom"/>
    </xf>
    <xf borderId="1" fillId="0" fontId="2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horizontal="center" shrinkToFit="0" wrapText="1"/>
    </xf>
    <xf borderId="1" fillId="3" fontId="2" numFmtId="0" xfId="0" applyAlignment="1" applyBorder="1" applyFont="1">
      <alignment horizontal="center" vertical="bottom"/>
    </xf>
    <xf borderId="1" fillId="5" fontId="2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 shrinkToFit="0" vertical="bottom" wrapText="0"/>
    </xf>
    <xf borderId="1" fillId="3" fontId="1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shrinkToFit="0" vertical="bottom" wrapText="0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readingOrder="0" shrinkToFit="0" wrapText="0"/>
    </xf>
    <xf borderId="1" fillId="4" fontId="2" numFmtId="0" xfId="0" applyAlignment="1" applyBorder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2" fillId="4" fontId="2" numFmtId="0" xfId="0" applyAlignment="1" applyBorder="1" applyFont="1">
      <alignment shrinkToFit="0" vertical="bottom" wrapText="0"/>
    </xf>
    <xf borderId="3" fillId="0" fontId="2" numFmtId="0" xfId="0" applyAlignment="1" applyBorder="1" applyFont="1">
      <alignment horizontal="center" shrinkToFit="0" vertical="bottom" wrapText="0"/>
    </xf>
    <xf borderId="3" fillId="0" fontId="2" numFmtId="0" xfId="0" applyAlignment="1" applyBorder="1" applyFont="1">
      <alignment shrinkToFit="0" vertical="bottom" wrapText="0"/>
    </xf>
    <xf borderId="4" fillId="3" fontId="2" numFmtId="0" xfId="0" applyAlignment="1" applyBorder="1" applyFont="1">
      <alignment shrinkToFit="0" vertical="bottom" wrapText="0"/>
    </xf>
    <xf borderId="5" fillId="3" fontId="2" numFmtId="0" xfId="0" applyAlignment="1" applyBorder="1" applyFont="1">
      <alignment shrinkToFit="0" vertical="bottom" wrapText="0"/>
    </xf>
    <xf borderId="3" fillId="0" fontId="2" numFmtId="0" xfId="0" applyBorder="1" applyFont="1"/>
    <xf borderId="6" fillId="0" fontId="2" numFmtId="0" xfId="0" applyAlignment="1" applyBorder="1" applyFont="1">
      <alignment horizontal="center" shrinkToFit="0" vertical="bottom" wrapText="0"/>
    </xf>
    <xf borderId="6" fillId="0" fontId="2" numFmtId="0" xfId="0" applyAlignment="1" applyBorder="1" applyFont="1">
      <alignment shrinkToFit="0" vertical="bottom" wrapText="0"/>
    </xf>
    <xf borderId="7" fillId="3" fontId="2" numFmtId="0" xfId="0" applyAlignment="1" applyBorder="1" applyFont="1">
      <alignment shrinkToFit="0" vertical="bottom" wrapText="0"/>
    </xf>
    <xf borderId="6" fillId="0" fontId="2" numFmtId="0" xfId="0" applyBorder="1" applyFont="1"/>
    <xf borderId="6" fillId="0" fontId="2" numFmtId="0" xfId="0" applyAlignment="1" applyBorder="1" applyFont="1">
      <alignment horizontal="center" shrinkToFit="0" wrapText="1"/>
    </xf>
    <xf borderId="7" fillId="3" fontId="2" numFmtId="0" xfId="0" applyAlignment="1" applyBorder="1" applyFont="1">
      <alignment horizontal="center" shrinkToFit="0" vertical="bottom" wrapText="0"/>
    </xf>
    <xf borderId="7" fillId="5" fontId="2" numFmtId="0" xfId="0" applyAlignment="1" applyBorder="1" applyFont="1">
      <alignment horizontal="center" shrinkToFit="0" wrapText="1"/>
    </xf>
    <xf borderId="0" fillId="0" fontId="3" numFmtId="0" xfId="0" applyAlignment="1" applyFont="1">
      <alignment shrinkToFit="0" wrapText="0"/>
    </xf>
    <xf borderId="1" fillId="2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shrinkToFit="0" vertical="bottom" wrapText="1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shrinkToFit="0" vertical="bottom" wrapText="1"/>
    </xf>
    <xf borderId="3" fillId="0" fontId="2" numFmtId="0" xfId="0" applyAlignment="1" applyBorder="1" applyFont="1">
      <alignment horizontal="center" vertical="bottom"/>
    </xf>
    <xf borderId="6" fillId="0" fontId="2" numFmtId="0" xfId="0" applyAlignment="1" applyBorder="1" applyFont="1">
      <alignment horizontal="center" vertical="bottom"/>
    </xf>
    <xf borderId="6" fillId="0" fontId="2" numFmtId="0" xfId="0" applyAlignment="1" applyBorder="1" applyFont="1">
      <alignment vertical="bottom"/>
    </xf>
    <xf borderId="1" fillId="2" fontId="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3" fillId="0" fontId="2" numFmtId="0" xfId="0" applyBorder="1" applyFont="1"/>
    <xf borderId="6" fillId="0" fontId="2" numFmtId="0" xfId="0" applyBorder="1" applyFont="1"/>
    <xf borderId="1" fillId="6" fontId="2" numFmtId="0" xfId="0" applyAlignment="1" applyBorder="1" applyFill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0" fillId="0" fontId="2" numFmtId="0" xfId="0" applyAlignment="1" applyFont="1">
      <alignment horizontal="center"/>
    </xf>
    <xf borderId="1" fillId="6" fontId="1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  <xf borderId="8" fillId="4" fontId="2" numFmtId="0" xfId="0" applyAlignment="1" applyBorder="1" applyFont="1">
      <alignment shrinkToFit="0" vertical="bottom" wrapText="1"/>
    </xf>
    <xf borderId="9" fillId="4" fontId="2" numFmtId="0" xfId="0" applyAlignment="1" applyBorder="1" applyFont="1">
      <alignment shrinkToFit="0" vertical="bottom" wrapText="1"/>
    </xf>
    <xf borderId="0" fillId="0" fontId="2" numFmtId="0" xfId="0" applyAlignment="1" applyFont="1">
      <alignment horizontal="right" vertical="bottom"/>
    </xf>
    <xf borderId="0" fillId="7" fontId="5" numFmtId="0" xfId="0" applyAlignment="1" applyFill="1" applyFont="1">
      <alignment vertical="bottom"/>
    </xf>
    <xf borderId="9" fillId="4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1" fillId="0" fontId="6" numFmtId="0" xfId="0" applyAlignment="1" applyBorder="1" applyFont="1">
      <alignment horizontal="center" vertical="top"/>
    </xf>
    <xf borderId="4" fillId="3" fontId="1" numFmtId="0" xfId="0" applyAlignment="1" applyBorder="1" applyFont="1">
      <alignment vertical="bottom"/>
    </xf>
    <xf borderId="1" fillId="3" fontId="1" numFmtId="0" xfId="0" applyAlignment="1" applyBorder="1" applyFont="1">
      <alignment horizontal="center" vertical="bottom"/>
    </xf>
    <xf borderId="3" fillId="0" fontId="2" numFmtId="0" xfId="0" applyAlignment="1" applyBorder="1" applyFont="1">
      <alignment horizontal="right" vertical="bottom"/>
    </xf>
    <xf borderId="4" fillId="3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6" fillId="0" fontId="2" numFmtId="0" xfId="0" applyAlignment="1" applyBorder="1" applyFont="1">
      <alignment horizontal="right" vertical="bottom"/>
    </xf>
    <xf borderId="7" fillId="3" fontId="2" numFmtId="0" xfId="0" applyBorder="1" applyFont="1"/>
    <xf borderId="6" fillId="3" fontId="2" numFmtId="0" xfId="0" applyBorder="1" applyFont="1"/>
    <xf borderId="0" fillId="8" fontId="7" numFmtId="0" xfId="0" applyAlignment="1" applyFill="1" applyFont="1">
      <alignment readingOrder="0"/>
    </xf>
    <xf borderId="4" fillId="5" fontId="8" numFmtId="0" xfId="0" applyAlignment="1" applyBorder="1" applyFont="1">
      <alignment horizontal="left" vertical="center"/>
    </xf>
    <xf borderId="0" fillId="0" fontId="2" numFmtId="0" xfId="0" applyAlignment="1" applyFont="1">
      <alignment readingOrder="0" vertical="bottom"/>
    </xf>
    <xf borderId="10" fillId="0" fontId="8" numFmtId="0" xfId="0" applyAlignment="1" applyBorder="1" applyFont="1">
      <alignment horizontal="left" readingOrder="0" vertical="center"/>
    </xf>
    <xf borderId="0" fillId="0" fontId="8" numFmtId="0" xfId="0" applyAlignment="1" applyFont="1">
      <alignment horizontal="left" vertical="center"/>
    </xf>
    <xf borderId="6" fillId="0" fontId="8" numFmtId="0" xfId="0" applyAlignment="1" applyBorder="1" applyFont="1">
      <alignment horizontal="left" vertical="center"/>
    </xf>
    <xf borderId="1" fillId="0" fontId="6" numFmtId="0" xfId="0" applyAlignment="1" applyBorder="1" applyFont="1">
      <alignment vertical="top"/>
    </xf>
    <xf borderId="1" fillId="0" fontId="2" numFmtId="0" xfId="0" applyAlignment="1" applyBorder="1" applyFont="1">
      <alignment horizontal="center"/>
    </xf>
    <xf borderId="1" fillId="3" fontId="2" numFmtId="0" xfId="0" applyBorder="1" applyFont="1"/>
    <xf borderId="1" fillId="0" fontId="2" numFmtId="0" xfId="0" applyAlignment="1" applyBorder="1" applyFont="1">
      <alignment horizontal="right" vertical="bottom"/>
    </xf>
    <xf borderId="7" fillId="5" fontId="8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5.75"/>
    <col customWidth="1" min="4" max="4" width="12.63"/>
    <col customWidth="1" min="5" max="5" width="9.0"/>
    <col customWidth="1" min="6" max="6" width="12.63"/>
    <col customWidth="1" min="7" max="7" width="27.25"/>
    <col customWidth="1" min="17" max="17" width="21.13"/>
    <col customWidth="1" min="53" max="53" width="25.88"/>
    <col customWidth="1" min="57" max="57" width="29.38"/>
    <col customWidth="1" min="60" max="60" width="16.0"/>
    <col customWidth="1" min="69" max="69" width="29.13"/>
    <col customWidth="1" min="73" max="73" width="30.25"/>
    <col customWidth="1" min="76" max="76" width="16.88"/>
    <col customWidth="1" min="77" max="77" width="30.38"/>
    <col customWidth="1" min="81" max="81" width="29.5"/>
    <col customWidth="1" min="85" max="85" width="31.38"/>
    <col customWidth="1" min="93" max="93" width="34.38"/>
    <col customWidth="1" min="97" max="97" width="27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7</v>
      </c>
      <c r="M1" s="2" t="s">
        <v>11</v>
      </c>
      <c r="N1" s="2" t="s">
        <v>7</v>
      </c>
      <c r="O1" s="2" t="s">
        <v>8</v>
      </c>
      <c r="P1" s="2" t="s">
        <v>12</v>
      </c>
      <c r="Q1" s="2" t="s">
        <v>13</v>
      </c>
      <c r="R1" s="2" t="s">
        <v>14</v>
      </c>
      <c r="S1" s="2" t="s">
        <v>8</v>
      </c>
      <c r="T1" s="2" t="s">
        <v>12</v>
      </c>
      <c r="U1" s="3" t="s">
        <v>15</v>
      </c>
      <c r="V1" s="4" t="s">
        <v>16</v>
      </c>
      <c r="W1" s="4" t="s">
        <v>8</v>
      </c>
      <c r="X1" s="4" t="s">
        <v>12</v>
      </c>
      <c r="Y1" s="2" t="s">
        <v>17</v>
      </c>
      <c r="Z1" s="2" t="s">
        <v>18</v>
      </c>
      <c r="AA1" s="2" t="s">
        <v>8</v>
      </c>
      <c r="AB1" s="2" t="s">
        <v>12</v>
      </c>
      <c r="AC1" s="2" t="s">
        <v>19</v>
      </c>
      <c r="AD1" s="2" t="s">
        <v>20</v>
      </c>
      <c r="AE1" s="2" t="s">
        <v>8</v>
      </c>
      <c r="AF1" s="2" t="s">
        <v>12</v>
      </c>
      <c r="AG1" s="2" t="s">
        <v>21</v>
      </c>
      <c r="AH1" s="2" t="s">
        <v>22</v>
      </c>
      <c r="AI1" s="2" t="s">
        <v>8</v>
      </c>
      <c r="AJ1" s="2" t="s">
        <v>12</v>
      </c>
      <c r="AK1" s="2" t="s">
        <v>23</v>
      </c>
      <c r="AL1" s="2" t="s">
        <v>24</v>
      </c>
      <c r="AM1" s="2" t="s">
        <v>8</v>
      </c>
      <c r="AN1" s="2" t="s">
        <v>12</v>
      </c>
      <c r="AO1" s="2" t="s">
        <v>25</v>
      </c>
      <c r="AP1" s="2" t="s">
        <v>26</v>
      </c>
      <c r="AQ1" s="2" t="s">
        <v>8</v>
      </c>
      <c r="AR1" s="2" t="s">
        <v>12</v>
      </c>
      <c r="AS1" s="2" t="s">
        <v>27</v>
      </c>
      <c r="AT1" s="2" t="s">
        <v>28</v>
      </c>
      <c r="AU1" s="2" t="s">
        <v>8</v>
      </c>
      <c r="AV1" s="2" t="s">
        <v>12</v>
      </c>
      <c r="AW1" s="2" t="s">
        <v>29</v>
      </c>
      <c r="AX1" s="2" t="s">
        <v>30</v>
      </c>
      <c r="AY1" s="2" t="s">
        <v>8</v>
      </c>
      <c r="AZ1" s="2" t="s">
        <v>12</v>
      </c>
      <c r="BA1" s="2" t="s">
        <v>31</v>
      </c>
      <c r="BB1" s="2" t="s">
        <v>7</v>
      </c>
      <c r="BC1" s="2" t="s">
        <v>8</v>
      </c>
      <c r="BD1" s="2" t="s">
        <v>12</v>
      </c>
      <c r="BE1" s="2" t="s">
        <v>32</v>
      </c>
      <c r="BF1" s="2" t="s">
        <v>14</v>
      </c>
      <c r="BG1" s="2" t="s">
        <v>8</v>
      </c>
      <c r="BH1" s="2" t="s">
        <v>12</v>
      </c>
      <c r="BI1" s="2" t="s">
        <v>33</v>
      </c>
      <c r="BJ1" s="2" t="s">
        <v>7</v>
      </c>
      <c r="BK1" s="2" t="s">
        <v>8</v>
      </c>
      <c r="BL1" s="2" t="s">
        <v>12</v>
      </c>
      <c r="BM1" s="2" t="s">
        <v>34</v>
      </c>
      <c r="BN1" s="2" t="s">
        <v>35</v>
      </c>
      <c r="BO1" s="2" t="s">
        <v>8</v>
      </c>
      <c r="BP1" s="2" t="s">
        <v>12</v>
      </c>
      <c r="BQ1" s="2" t="s">
        <v>36</v>
      </c>
      <c r="BR1" s="2" t="s">
        <v>37</v>
      </c>
      <c r="BS1" s="2" t="s">
        <v>8</v>
      </c>
      <c r="BT1" s="2" t="s">
        <v>12</v>
      </c>
      <c r="BU1" s="2" t="s">
        <v>38</v>
      </c>
      <c r="BV1" s="2" t="s">
        <v>39</v>
      </c>
      <c r="BW1" s="2" t="s">
        <v>8</v>
      </c>
      <c r="BX1" s="2" t="s">
        <v>12</v>
      </c>
      <c r="BY1" s="2" t="s">
        <v>40</v>
      </c>
      <c r="BZ1" s="2" t="s">
        <v>7</v>
      </c>
      <c r="CA1" s="2" t="s">
        <v>8</v>
      </c>
      <c r="CB1" s="2" t="s">
        <v>12</v>
      </c>
      <c r="CC1" s="2" t="s">
        <v>41</v>
      </c>
      <c r="CD1" s="2" t="s">
        <v>7</v>
      </c>
      <c r="CE1" s="2" t="s">
        <v>8</v>
      </c>
      <c r="CF1" s="2" t="s">
        <v>12</v>
      </c>
      <c r="CG1" s="2" t="s">
        <v>42</v>
      </c>
      <c r="CH1" s="2" t="s">
        <v>14</v>
      </c>
      <c r="CI1" s="2" t="s">
        <v>8</v>
      </c>
      <c r="CJ1" s="2" t="s">
        <v>12</v>
      </c>
      <c r="CK1" s="2" t="s">
        <v>43</v>
      </c>
      <c r="CL1" s="2" t="s">
        <v>14</v>
      </c>
      <c r="CM1" s="2" t="s">
        <v>8</v>
      </c>
      <c r="CN1" s="2" t="s">
        <v>12</v>
      </c>
      <c r="CO1" s="2" t="s">
        <v>44</v>
      </c>
      <c r="CP1" s="2" t="s">
        <v>14</v>
      </c>
      <c r="CQ1" s="2" t="s">
        <v>8</v>
      </c>
      <c r="CR1" s="2" t="s">
        <v>12</v>
      </c>
      <c r="CS1" s="2" t="s">
        <v>45</v>
      </c>
      <c r="CT1" s="2" t="s">
        <v>14</v>
      </c>
      <c r="CU1" s="2" t="s">
        <v>8</v>
      </c>
      <c r="CV1" s="2" t="s">
        <v>12</v>
      </c>
      <c r="CW1" s="2" t="s">
        <v>46</v>
      </c>
      <c r="CX1" s="2" t="s">
        <v>14</v>
      </c>
      <c r="CY1" s="2" t="s">
        <v>8</v>
      </c>
      <c r="CZ1" s="2" t="s">
        <v>12</v>
      </c>
      <c r="DA1" s="2" t="s">
        <v>47</v>
      </c>
      <c r="DB1" s="2" t="s">
        <v>14</v>
      </c>
      <c r="DC1" s="2" t="s">
        <v>8</v>
      </c>
      <c r="DD1" s="2" t="s">
        <v>12</v>
      </c>
    </row>
    <row r="2" ht="15.75" customHeight="1">
      <c r="A2" s="5">
        <v>1155.0</v>
      </c>
      <c r="B2" s="6" t="s">
        <v>48</v>
      </c>
      <c r="C2" s="5" t="str">
        <f t="shared" ref="C2:C18" si="1">CONCATENATE(D2,"_",F2)</f>
        <v>TK-01_BS VI MS</v>
      </c>
      <c r="D2" s="7" t="s">
        <v>49</v>
      </c>
      <c r="E2" s="6"/>
      <c r="F2" s="7" t="s">
        <v>50</v>
      </c>
      <c r="G2" s="8" t="s">
        <v>51</v>
      </c>
      <c r="H2" s="5">
        <v>0.0</v>
      </c>
      <c r="I2" s="6"/>
      <c r="J2" s="6"/>
      <c r="K2" s="6"/>
      <c r="L2" s="6"/>
      <c r="M2" s="5" t="s">
        <v>52</v>
      </c>
      <c r="N2" s="6"/>
      <c r="O2" s="5" t="str">
        <f t="shared" ref="O2:O18" si="2">MID(M2,6,5)</f>
        <v>TK-01</v>
      </c>
      <c r="P2" s="5" t="s">
        <v>53</v>
      </c>
      <c r="Q2" s="5" t="s">
        <v>54</v>
      </c>
      <c r="R2" s="5">
        <v>0.0</v>
      </c>
      <c r="S2" s="5" t="str">
        <f t="shared" ref="S2:S18" si="3">MID(Q2,6,5)</f>
        <v>TK-01</v>
      </c>
      <c r="T2" s="5" t="s">
        <v>53</v>
      </c>
      <c r="U2" s="5" t="s">
        <v>55</v>
      </c>
      <c r="V2" s="5">
        <v>0.0</v>
      </c>
      <c r="W2" s="5" t="str">
        <f t="shared" ref="W2:W18" si="4">MID(U2,6,5)</f>
        <v>TK-01</v>
      </c>
      <c r="X2" s="5" t="s">
        <v>53</v>
      </c>
      <c r="Y2" s="5" t="s">
        <v>56</v>
      </c>
      <c r="Z2" s="5">
        <v>0.0</v>
      </c>
      <c r="AA2" s="5" t="str">
        <f t="shared" ref="AA2:AA18" si="5">MID(Y2,6,5)</f>
        <v>TK-01</v>
      </c>
      <c r="AB2" s="5" t="s">
        <v>53</v>
      </c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9"/>
      <c r="BI2" s="6"/>
      <c r="BJ2" s="6"/>
      <c r="BK2" s="6"/>
      <c r="BL2" s="9"/>
      <c r="BM2" s="9"/>
      <c r="BN2" s="9"/>
      <c r="BO2" s="6"/>
      <c r="BP2" s="9"/>
      <c r="BQ2" s="6"/>
      <c r="BR2" s="6"/>
      <c r="BS2" s="6"/>
      <c r="BT2" s="6"/>
      <c r="BU2" s="6"/>
      <c r="BV2" s="9"/>
      <c r="BW2" s="6"/>
      <c r="BX2" s="9"/>
      <c r="BY2" s="6"/>
      <c r="BZ2" s="9"/>
      <c r="CA2" s="9"/>
      <c r="CB2" s="9"/>
      <c r="CC2" s="6"/>
      <c r="CD2" s="9"/>
      <c r="CE2" s="9"/>
      <c r="CF2" s="6"/>
      <c r="CG2" s="8"/>
      <c r="CH2" s="9"/>
      <c r="CI2" s="6"/>
      <c r="CJ2" s="6"/>
      <c r="CK2" s="6"/>
      <c r="CL2" s="9"/>
      <c r="CM2" s="6"/>
      <c r="CN2" s="6"/>
      <c r="CO2" s="6"/>
      <c r="CP2" s="9"/>
      <c r="CQ2" s="6"/>
      <c r="CR2" s="6"/>
      <c r="CS2" s="8"/>
      <c r="CT2" s="6"/>
      <c r="CU2" s="6"/>
      <c r="CV2" s="6"/>
      <c r="CW2" s="6"/>
      <c r="CX2" s="9"/>
      <c r="CY2" s="6"/>
      <c r="CZ2" s="6"/>
      <c r="DA2" s="6"/>
      <c r="DB2" s="9"/>
      <c r="DC2" s="6"/>
      <c r="DD2" s="6"/>
    </row>
    <row r="3" ht="15.75" customHeight="1">
      <c r="A3" s="5">
        <v>1155.0</v>
      </c>
      <c r="B3" s="6" t="s">
        <v>48</v>
      </c>
      <c r="C3" s="5" t="str">
        <f t="shared" si="1"/>
        <v>TK-02_BS VI MS</v>
      </c>
      <c r="D3" s="7" t="s">
        <v>57</v>
      </c>
      <c r="E3" s="6"/>
      <c r="F3" s="7" t="s">
        <v>50</v>
      </c>
      <c r="G3" s="8" t="s">
        <v>51</v>
      </c>
      <c r="H3" s="5">
        <v>0.0</v>
      </c>
      <c r="I3" s="6"/>
      <c r="J3" s="6"/>
      <c r="K3" s="6"/>
      <c r="L3" s="6"/>
      <c r="M3" s="5" t="s">
        <v>58</v>
      </c>
      <c r="N3" s="6"/>
      <c r="O3" s="5" t="str">
        <f t="shared" si="2"/>
        <v>TK-02</v>
      </c>
      <c r="P3" s="5" t="s">
        <v>53</v>
      </c>
      <c r="Q3" s="5" t="s">
        <v>59</v>
      </c>
      <c r="R3" s="5">
        <v>0.0</v>
      </c>
      <c r="S3" s="5" t="str">
        <f t="shared" si="3"/>
        <v>TK-02</v>
      </c>
      <c r="T3" s="5" t="s">
        <v>53</v>
      </c>
      <c r="U3" s="5" t="s">
        <v>60</v>
      </c>
      <c r="V3" s="6"/>
      <c r="W3" s="5" t="str">
        <f t="shared" si="4"/>
        <v>TK-02</v>
      </c>
      <c r="X3" s="5" t="s">
        <v>53</v>
      </c>
      <c r="Y3" s="5" t="s">
        <v>61</v>
      </c>
      <c r="Z3" s="5">
        <v>0.0</v>
      </c>
      <c r="AA3" s="5" t="str">
        <f t="shared" si="5"/>
        <v>TK-02</v>
      </c>
      <c r="AB3" s="5" t="s">
        <v>53</v>
      </c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9"/>
      <c r="BW3" s="6"/>
      <c r="BX3" s="6"/>
      <c r="BY3" s="6"/>
      <c r="BZ3" s="9"/>
      <c r="CA3" s="6"/>
      <c r="CB3" s="6"/>
      <c r="CC3" s="6"/>
      <c r="CD3" s="9"/>
      <c r="CE3" s="6"/>
      <c r="CF3" s="6"/>
      <c r="CG3" s="8"/>
      <c r="CH3" s="9"/>
      <c r="CI3" s="6"/>
      <c r="CJ3" s="6"/>
      <c r="CK3" s="6"/>
      <c r="CL3" s="6"/>
      <c r="CM3" s="6"/>
      <c r="CN3" s="6"/>
      <c r="CO3" s="6"/>
      <c r="CP3" s="9"/>
      <c r="CQ3" s="6"/>
      <c r="CR3" s="6"/>
      <c r="CS3" s="8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</row>
    <row r="4" ht="15.75" customHeight="1">
      <c r="A4" s="5">
        <v>1155.0</v>
      </c>
      <c r="B4" s="6" t="s">
        <v>48</v>
      </c>
      <c r="C4" s="5" t="str">
        <f t="shared" si="1"/>
        <v>TK-03_ETHANOL</v>
      </c>
      <c r="D4" s="7" t="s">
        <v>62</v>
      </c>
      <c r="E4" s="6"/>
      <c r="F4" s="7" t="s">
        <v>63</v>
      </c>
      <c r="G4" s="8" t="s">
        <v>51</v>
      </c>
      <c r="H4" s="5">
        <v>0.0</v>
      </c>
      <c r="I4" s="6"/>
      <c r="J4" s="6"/>
      <c r="K4" s="6"/>
      <c r="L4" s="6"/>
      <c r="M4" s="5" t="s">
        <v>64</v>
      </c>
      <c r="N4" s="6"/>
      <c r="O4" s="5" t="str">
        <f t="shared" si="2"/>
        <v>TK-03</v>
      </c>
      <c r="P4" s="5" t="s">
        <v>53</v>
      </c>
      <c r="Q4" s="5" t="s">
        <v>65</v>
      </c>
      <c r="R4" s="5">
        <v>0.0</v>
      </c>
      <c r="S4" s="5" t="str">
        <f t="shared" si="3"/>
        <v>TK-03</v>
      </c>
      <c r="T4" s="5" t="s">
        <v>53</v>
      </c>
      <c r="U4" s="5" t="s">
        <v>66</v>
      </c>
      <c r="V4" s="6"/>
      <c r="W4" s="5" t="str">
        <f t="shared" si="4"/>
        <v>TK-03</v>
      </c>
      <c r="X4" s="5" t="s">
        <v>53</v>
      </c>
      <c r="Y4" s="5" t="s">
        <v>67</v>
      </c>
      <c r="Z4" s="5">
        <v>0.0</v>
      </c>
      <c r="AA4" s="5" t="str">
        <f t="shared" si="5"/>
        <v>TK-03</v>
      </c>
      <c r="AB4" s="5" t="s">
        <v>53</v>
      </c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9"/>
      <c r="BW4" s="6"/>
      <c r="BX4" s="6"/>
      <c r="BY4" s="6"/>
      <c r="BZ4" s="9"/>
      <c r="CA4" s="6"/>
      <c r="CB4" s="6"/>
      <c r="CC4" s="6"/>
      <c r="CD4" s="9"/>
      <c r="CE4" s="6"/>
      <c r="CF4" s="6"/>
      <c r="CG4" s="8"/>
      <c r="CH4" s="9"/>
      <c r="CI4" s="6"/>
      <c r="CJ4" s="6"/>
      <c r="CK4" s="6"/>
      <c r="CL4" s="6"/>
      <c r="CM4" s="6"/>
      <c r="CN4" s="6"/>
      <c r="CO4" s="6"/>
      <c r="CP4" s="9"/>
      <c r="CQ4" s="6"/>
      <c r="CR4" s="6"/>
      <c r="CS4" s="8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</row>
    <row r="5" ht="15.75" customHeight="1">
      <c r="A5" s="5">
        <v>1155.0</v>
      </c>
      <c r="B5" s="6" t="s">
        <v>48</v>
      </c>
      <c r="C5" s="5" t="str">
        <f t="shared" si="1"/>
        <v>TK-04_ETHANOL</v>
      </c>
      <c r="D5" s="7" t="s">
        <v>68</v>
      </c>
      <c r="E5" s="6"/>
      <c r="F5" s="7" t="s">
        <v>63</v>
      </c>
      <c r="G5" s="8" t="s">
        <v>51</v>
      </c>
      <c r="H5" s="5">
        <v>0.0</v>
      </c>
      <c r="I5" s="6"/>
      <c r="J5" s="6"/>
      <c r="K5" s="6"/>
      <c r="L5" s="6"/>
      <c r="M5" s="5" t="s">
        <v>69</v>
      </c>
      <c r="N5" s="6"/>
      <c r="O5" s="5" t="str">
        <f t="shared" si="2"/>
        <v>TK-04</v>
      </c>
      <c r="P5" s="5" t="s">
        <v>53</v>
      </c>
      <c r="Q5" s="5" t="s">
        <v>70</v>
      </c>
      <c r="R5" s="5">
        <v>0.0</v>
      </c>
      <c r="S5" s="5" t="str">
        <f t="shared" si="3"/>
        <v>TK-04</v>
      </c>
      <c r="T5" s="5" t="s">
        <v>53</v>
      </c>
      <c r="U5" s="5" t="s">
        <v>71</v>
      </c>
      <c r="V5" s="6"/>
      <c r="W5" s="5" t="str">
        <f t="shared" si="4"/>
        <v>TK-04</v>
      </c>
      <c r="X5" s="5" t="s">
        <v>53</v>
      </c>
      <c r="Y5" s="5" t="s">
        <v>72</v>
      </c>
      <c r="Z5" s="5">
        <v>0.0</v>
      </c>
      <c r="AA5" s="5" t="str">
        <f t="shared" si="5"/>
        <v>TK-04</v>
      </c>
      <c r="AB5" s="5" t="s">
        <v>53</v>
      </c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9"/>
      <c r="BW5" s="6"/>
      <c r="BX5" s="6"/>
      <c r="BY5" s="6"/>
      <c r="BZ5" s="9"/>
      <c r="CA5" s="6"/>
      <c r="CB5" s="6"/>
      <c r="CC5" s="6"/>
      <c r="CD5" s="9"/>
      <c r="CE5" s="6"/>
      <c r="CF5" s="6"/>
      <c r="CG5" s="8"/>
      <c r="CH5" s="9"/>
      <c r="CI5" s="6"/>
      <c r="CJ5" s="6"/>
      <c r="CK5" s="6"/>
      <c r="CL5" s="6"/>
      <c r="CM5" s="6"/>
      <c r="CN5" s="6"/>
      <c r="CO5" s="6"/>
      <c r="CP5" s="9"/>
      <c r="CQ5" s="6"/>
      <c r="CR5" s="6"/>
      <c r="CS5" s="8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</row>
    <row r="6" ht="15.75" customHeight="1">
      <c r="A6" s="5">
        <v>1155.0</v>
      </c>
      <c r="B6" s="6" t="s">
        <v>48</v>
      </c>
      <c r="C6" s="5" t="str">
        <f t="shared" si="1"/>
        <v>TK-05_BIO DIESEL</v>
      </c>
      <c r="D6" s="7" t="s">
        <v>73</v>
      </c>
      <c r="E6" s="6"/>
      <c r="F6" s="7" t="s">
        <v>74</v>
      </c>
      <c r="G6" s="8" t="s">
        <v>51</v>
      </c>
      <c r="H6" s="5">
        <v>0.0</v>
      </c>
      <c r="I6" s="6"/>
      <c r="J6" s="6"/>
      <c r="K6" s="6"/>
      <c r="L6" s="6"/>
      <c r="M6" s="5" t="s">
        <v>75</v>
      </c>
      <c r="N6" s="6"/>
      <c r="O6" s="5" t="str">
        <f t="shared" si="2"/>
        <v>TK-05</v>
      </c>
      <c r="P6" s="5" t="s">
        <v>53</v>
      </c>
      <c r="Q6" s="5" t="s">
        <v>76</v>
      </c>
      <c r="R6" s="5">
        <v>0.0</v>
      </c>
      <c r="S6" s="5" t="str">
        <f t="shared" si="3"/>
        <v>TK-05</v>
      </c>
      <c r="T6" s="5" t="s">
        <v>53</v>
      </c>
      <c r="U6" s="5" t="s">
        <v>77</v>
      </c>
      <c r="V6" s="6"/>
      <c r="W6" s="5" t="str">
        <f t="shared" si="4"/>
        <v>TK-05</v>
      </c>
      <c r="X6" s="5" t="s">
        <v>53</v>
      </c>
      <c r="Y6" s="5" t="s">
        <v>78</v>
      </c>
      <c r="Z6" s="5">
        <v>0.0</v>
      </c>
      <c r="AA6" s="5" t="str">
        <f t="shared" si="5"/>
        <v>TK-05</v>
      </c>
      <c r="AB6" s="5" t="s">
        <v>53</v>
      </c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9"/>
      <c r="BW6" s="6"/>
      <c r="BX6" s="6"/>
      <c r="BY6" s="6"/>
      <c r="BZ6" s="9"/>
      <c r="CA6" s="6"/>
      <c r="CB6" s="6"/>
      <c r="CC6" s="6"/>
      <c r="CD6" s="9"/>
      <c r="CE6" s="6"/>
      <c r="CF6" s="6"/>
      <c r="CG6" s="8"/>
      <c r="CH6" s="9"/>
      <c r="CI6" s="6"/>
      <c r="CJ6" s="6"/>
      <c r="CK6" s="6"/>
      <c r="CL6" s="6"/>
      <c r="CM6" s="6"/>
      <c r="CN6" s="6"/>
      <c r="CO6" s="6"/>
      <c r="CP6" s="9"/>
      <c r="CQ6" s="6"/>
      <c r="CR6" s="6"/>
      <c r="CS6" s="8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</row>
    <row r="7" ht="15.75" customHeight="1">
      <c r="A7" s="5">
        <v>1155.0</v>
      </c>
      <c r="B7" s="6" t="s">
        <v>48</v>
      </c>
      <c r="C7" s="5" t="str">
        <f t="shared" si="1"/>
        <v>TK-06_ETHANOL</v>
      </c>
      <c r="D7" s="7" t="s">
        <v>79</v>
      </c>
      <c r="E7" s="6"/>
      <c r="F7" s="7" t="s">
        <v>63</v>
      </c>
      <c r="G7" s="8" t="s">
        <v>51</v>
      </c>
      <c r="H7" s="5">
        <v>0.0</v>
      </c>
      <c r="I7" s="6"/>
      <c r="J7" s="6"/>
      <c r="K7" s="6"/>
      <c r="L7" s="6"/>
      <c r="M7" s="5" t="s">
        <v>80</v>
      </c>
      <c r="N7" s="6"/>
      <c r="O7" s="5" t="str">
        <f t="shared" si="2"/>
        <v>TK-06</v>
      </c>
      <c r="P7" s="5" t="s">
        <v>53</v>
      </c>
      <c r="Q7" s="5" t="s">
        <v>81</v>
      </c>
      <c r="R7" s="5">
        <v>0.0</v>
      </c>
      <c r="S7" s="5" t="str">
        <f t="shared" si="3"/>
        <v>TK-06</v>
      </c>
      <c r="T7" s="5" t="s">
        <v>53</v>
      </c>
      <c r="U7" s="5" t="s">
        <v>82</v>
      </c>
      <c r="V7" s="6"/>
      <c r="W7" s="5" t="str">
        <f t="shared" si="4"/>
        <v>TK-06</v>
      </c>
      <c r="X7" s="5" t="s">
        <v>53</v>
      </c>
      <c r="Y7" s="5" t="s">
        <v>83</v>
      </c>
      <c r="Z7" s="5">
        <v>0.0</v>
      </c>
      <c r="AA7" s="5" t="str">
        <f t="shared" si="5"/>
        <v>TK-06</v>
      </c>
      <c r="AB7" s="5" t="s">
        <v>53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9"/>
      <c r="BW7" s="6"/>
      <c r="BX7" s="6"/>
      <c r="BY7" s="6"/>
      <c r="BZ7" s="9"/>
      <c r="CA7" s="6"/>
      <c r="CB7" s="6"/>
      <c r="CC7" s="6"/>
      <c r="CD7" s="9"/>
      <c r="CE7" s="6"/>
      <c r="CF7" s="6"/>
      <c r="CG7" s="8"/>
      <c r="CH7" s="9"/>
      <c r="CI7" s="6"/>
      <c r="CJ7" s="6"/>
      <c r="CK7" s="6"/>
      <c r="CL7" s="6"/>
      <c r="CM7" s="6"/>
      <c r="CN7" s="6"/>
      <c r="CO7" s="6"/>
      <c r="CP7" s="9"/>
      <c r="CQ7" s="6"/>
      <c r="CR7" s="6"/>
      <c r="CS7" s="8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</row>
    <row r="8" ht="15.75" customHeight="1">
      <c r="A8" s="5">
        <v>1155.0</v>
      </c>
      <c r="B8" s="6" t="s">
        <v>48</v>
      </c>
      <c r="C8" s="5" t="str">
        <f t="shared" si="1"/>
        <v>TK-07_SKO</v>
      </c>
      <c r="D8" s="7" t="s">
        <v>84</v>
      </c>
      <c r="E8" s="6"/>
      <c r="F8" s="7" t="s">
        <v>85</v>
      </c>
      <c r="G8" s="8" t="s">
        <v>51</v>
      </c>
      <c r="H8" s="5">
        <v>0.0</v>
      </c>
      <c r="I8" s="6"/>
      <c r="J8" s="6"/>
      <c r="K8" s="6"/>
      <c r="L8" s="6"/>
      <c r="M8" s="5" t="s">
        <v>86</v>
      </c>
      <c r="N8" s="6"/>
      <c r="O8" s="5" t="str">
        <f t="shared" si="2"/>
        <v>TK-07</v>
      </c>
      <c r="P8" s="5" t="s">
        <v>53</v>
      </c>
      <c r="Q8" s="5" t="s">
        <v>87</v>
      </c>
      <c r="R8" s="5">
        <v>0.0</v>
      </c>
      <c r="S8" s="5" t="str">
        <f t="shared" si="3"/>
        <v>TK-07</v>
      </c>
      <c r="T8" s="5" t="s">
        <v>53</v>
      </c>
      <c r="U8" s="5" t="s">
        <v>88</v>
      </c>
      <c r="V8" s="6"/>
      <c r="W8" s="5" t="str">
        <f t="shared" si="4"/>
        <v>TK-07</v>
      </c>
      <c r="X8" s="5" t="s">
        <v>53</v>
      </c>
      <c r="Y8" s="5" t="s">
        <v>89</v>
      </c>
      <c r="Z8" s="5">
        <v>0.0</v>
      </c>
      <c r="AA8" s="5" t="str">
        <f t="shared" si="5"/>
        <v>TK-07</v>
      </c>
      <c r="AB8" s="5" t="s">
        <v>53</v>
      </c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9"/>
      <c r="BW8" s="6"/>
      <c r="BX8" s="6"/>
      <c r="BY8" s="6"/>
      <c r="BZ8" s="9"/>
      <c r="CA8" s="6"/>
      <c r="CB8" s="6"/>
      <c r="CC8" s="6"/>
      <c r="CD8" s="9"/>
      <c r="CE8" s="6"/>
      <c r="CF8" s="6"/>
      <c r="CG8" s="8"/>
      <c r="CH8" s="9"/>
      <c r="CI8" s="6"/>
      <c r="CJ8" s="6"/>
      <c r="CK8" s="6"/>
      <c r="CL8" s="6"/>
      <c r="CM8" s="6"/>
      <c r="CN8" s="6"/>
      <c r="CO8" s="6"/>
      <c r="CP8" s="9"/>
      <c r="CQ8" s="6"/>
      <c r="CR8" s="6"/>
      <c r="CS8" s="8"/>
      <c r="CT8" s="9"/>
      <c r="CU8" s="6"/>
      <c r="CV8" s="6"/>
      <c r="CW8" s="6"/>
      <c r="CX8" s="6"/>
      <c r="CY8" s="6"/>
      <c r="CZ8" s="6"/>
      <c r="DA8" s="6"/>
      <c r="DB8" s="6"/>
      <c r="DC8" s="6"/>
      <c r="DD8" s="6"/>
    </row>
    <row r="9" ht="15.75" customHeight="1">
      <c r="A9" s="5">
        <v>1155.0</v>
      </c>
      <c r="B9" s="6" t="s">
        <v>48</v>
      </c>
      <c r="C9" s="5" t="str">
        <f t="shared" si="1"/>
        <v>TK-08_ETHANOL</v>
      </c>
      <c r="D9" s="7" t="s">
        <v>90</v>
      </c>
      <c r="E9" s="6"/>
      <c r="F9" s="7" t="s">
        <v>63</v>
      </c>
      <c r="G9" s="8" t="s">
        <v>51</v>
      </c>
      <c r="H9" s="5">
        <v>0.0</v>
      </c>
      <c r="I9" s="6"/>
      <c r="J9" s="6"/>
      <c r="K9" s="6"/>
      <c r="L9" s="6"/>
      <c r="M9" s="5" t="s">
        <v>91</v>
      </c>
      <c r="N9" s="6"/>
      <c r="O9" s="5" t="str">
        <f t="shared" si="2"/>
        <v>TK-08</v>
      </c>
      <c r="P9" s="5" t="s">
        <v>53</v>
      </c>
      <c r="Q9" s="5" t="s">
        <v>92</v>
      </c>
      <c r="R9" s="5">
        <v>0.0</v>
      </c>
      <c r="S9" s="5" t="str">
        <f t="shared" si="3"/>
        <v>TK-08</v>
      </c>
      <c r="T9" s="5" t="s">
        <v>53</v>
      </c>
      <c r="U9" s="5" t="s">
        <v>93</v>
      </c>
      <c r="V9" s="6"/>
      <c r="W9" s="5" t="str">
        <f t="shared" si="4"/>
        <v>TK-08</v>
      </c>
      <c r="X9" s="5" t="s">
        <v>53</v>
      </c>
      <c r="Y9" s="5" t="s">
        <v>94</v>
      </c>
      <c r="Z9" s="5">
        <v>0.0</v>
      </c>
      <c r="AA9" s="5" t="str">
        <f t="shared" si="5"/>
        <v>TK-08</v>
      </c>
      <c r="AB9" s="5" t="s">
        <v>53</v>
      </c>
      <c r="AC9" s="5" t="s">
        <v>95</v>
      </c>
      <c r="AD9" s="5">
        <v>0.0</v>
      </c>
      <c r="AE9" s="6" t="str">
        <f t="shared" ref="AE9:AE18" si="6">MID(AC9,13,6)</f>
        <v>LSW-01</v>
      </c>
      <c r="AF9" s="5" t="s">
        <v>96</v>
      </c>
      <c r="AG9" s="5" t="s">
        <v>97</v>
      </c>
      <c r="AH9" s="5">
        <v>0.0</v>
      </c>
      <c r="AI9" s="6" t="str">
        <f t="shared" ref="AI9:AI18" si="7">MID(AG9,13,6)</f>
        <v>LSW-01</v>
      </c>
      <c r="AJ9" s="5" t="s">
        <v>96</v>
      </c>
      <c r="AK9" s="5" t="s">
        <v>98</v>
      </c>
      <c r="AL9" s="5">
        <v>0.0</v>
      </c>
      <c r="AM9" s="6" t="str">
        <f t="shared" ref="AM9:AM18" si="8">MID(AK9,13,6)</f>
        <v>LSW-01</v>
      </c>
      <c r="AN9" s="6" t="s">
        <v>96</v>
      </c>
      <c r="AO9" s="5" t="s">
        <v>99</v>
      </c>
      <c r="AP9" s="5">
        <v>0.0</v>
      </c>
      <c r="AQ9" s="6" t="str">
        <f t="shared" ref="AQ9:AQ18" si="9">MID(AO9,13,6)</f>
        <v>RDR-01</v>
      </c>
      <c r="AR9" s="5" t="s">
        <v>100</v>
      </c>
      <c r="AS9" s="5" t="s">
        <v>101</v>
      </c>
      <c r="AT9" s="5">
        <v>0.0</v>
      </c>
      <c r="AU9" s="6" t="str">
        <f t="shared" ref="AU9:AU18" si="10">MID(AS9,13,6)</f>
        <v>RDR-01</v>
      </c>
      <c r="AV9" s="6" t="s">
        <v>100</v>
      </c>
      <c r="AW9" s="5" t="s">
        <v>102</v>
      </c>
      <c r="AX9" s="5">
        <v>0.0</v>
      </c>
      <c r="AY9" s="6" t="str">
        <f t="shared" ref="AY9:AY18" si="11">MID(AW9,13,6)</f>
        <v>RDR-01</v>
      </c>
      <c r="AZ9" s="6" t="s">
        <v>100</v>
      </c>
      <c r="BA9" s="5" t="s">
        <v>103</v>
      </c>
      <c r="BB9" s="5">
        <v>0.0</v>
      </c>
      <c r="BC9" s="6" t="str">
        <f t="shared" ref="BC9:BC18" si="12">MID(BA9,5,8)</f>
        <v>ROSOV-01</v>
      </c>
      <c r="BD9" s="5" t="s">
        <v>104</v>
      </c>
      <c r="BE9" s="5" t="s">
        <v>105</v>
      </c>
      <c r="BF9" s="5">
        <v>0.0</v>
      </c>
      <c r="BG9" s="6" t="str">
        <f t="shared" ref="BG9:BG18" si="13">MID(BE9,5,8)</f>
        <v>ROSOV-01</v>
      </c>
      <c r="BH9" s="5" t="s">
        <v>106</v>
      </c>
      <c r="BI9" s="6"/>
      <c r="BJ9" s="6"/>
      <c r="BK9" s="6"/>
      <c r="BL9" s="6"/>
      <c r="BM9" s="6"/>
      <c r="BN9" s="6"/>
      <c r="BO9" s="6"/>
      <c r="BP9" s="6"/>
      <c r="BQ9" s="10" t="s">
        <v>107</v>
      </c>
      <c r="BR9" s="5">
        <v>0.0</v>
      </c>
      <c r="BS9" s="6" t="str">
        <f t="shared" ref="BS9:BS13" si="14">MID(BQ9,5,8)</f>
        <v>ROSOV-02</v>
      </c>
      <c r="BT9" s="6" t="s">
        <v>108</v>
      </c>
      <c r="BU9" s="10" t="s">
        <v>109</v>
      </c>
      <c r="BV9" s="5">
        <v>0.0</v>
      </c>
      <c r="BW9" s="6" t="str">
        <f t="shared" ref="BW9:BW13" si="15">MID(BU9,5,8)</f>
        <v>ROSOV-02</v>
      </c>
      <c r="BX9" s="6" t="s">
        <v>110</v>
      </c>
      <c r="BY9" s="6"/>
      <c r="BZ9" s="9"/>
      <c r="CA9" s="6"/>
      <c r="CB9" s="6"/>
      <c r="CC9" s="6"/>
      <c r="CD9" s="9"/>
      <c r="CE9" s="6"/>
      <c r="CF9" s="6"/>
      <c r="CG9" s="11" t="s">
        <v>111</v>
      </c>
      <c r="CH9" s="12">
        <v>1.0</v>
      </c>
      <c r="CI9" s="6" t="str">
        <f t="shared" ref="CI9:CI13" si="16">MID(CG9,5,8)</f>
        <v>DBBV-001</v>
      </c>
      <c r="CJ9" s="6" t="s">
        <v>112</v>
      </c>
      <c r="CK9" s="6"/>
      <c r="CL9" s="6"/>
      <c r="CM9" s="6"/>
      <c r="CN9" s="6"/>
      <c r="CO9" s="10" t="s">
        <v>113</v>
      </c>
      <c r="CP9" s="12">
        <v>1.0</v>
      </c>
      <c r="CQ9" s="6" t="str">
        <f t="shared" ref="CQ9:CQ13" si="17">MID(CO9,5,8)</f>
        <v>DBBV-003</v>
      </c>
      <c r="CR9" s="6" t="s">
        <v>114</v>
      </c>
      <c r="CS9" s="8"/>
      <c r="CT9" s="9"/>
      <c r="CU9" s="6"/>
      <c r="CV9" s="6"/>
      <c r="CW9" s="6"/>
      <c r="CX9" s="6"/>
      <c r="CY9" s="6"/>
      <c r="CZ9" s="6"/>
      <c r="DA9" s="6"/>
      <c r="DB9" s="6"/>
      <c r="DC9" s="6"/>
      <c r="DD9" s="6"/>
    </row>
    <row r="10" ht="15.75" customHeight="1">
      <c r="A10" s="5">
        <v>1155.0</v>
      </c>
      <c r="B10" s="6" t="s">
        <v>48</v>
      </c>
      <c r="C10" s="5" t="str">
        <f t="shared" si="1"/>
        <v>TK-09_BS VI HSD</v>
      </c>
      <c r="D10" s="7" t="s">
        <v>115</v>
      </c>
      <c r="E10" s="6"/>
      <c r="F10" s="7" t="s">
        <v>116</v>
      </c>
      <c r="G10" s="8" t="s">
        <v>51</v>
      </c>
      <c r="H10" s="5">
        <v>0.0</v>
      </c>
      <c r="I10" s="6"/>
      <c r="J10" s="6"/>
      <c r="K10" s="6"/>
      <c r="L10" s="6"/>
      <c r="M10" s="5" t="s">
        <v>117</v>
      </c>
      <c r="N10" s="6"/>
      <c r="O10" s="5" t="str">
        <f t="shared" si="2"/>
        <v>TK-09</v>
      </c>
      <c r="P10" s="5" t="s">
        <v>53</v>
      </c>
      <c r="Q10" s="5" t="s">
        <v>118</v>
      </c>
      <c r="R10" s="5">
        <v>0.0</v>
      </c>
      <c r="S10" s="5" t="str">
        <f t="shared" si="3"/>
        <v>TK-09</v>
      </c>
      <c r="T10" s="5" t="s">
        <v>53</v>
      </c>
      <c r="U10" s="5" t="s">
        <v>119</v>
      </c>
      <c r="V10" s="6"/>
      <c r="W10" s="5" t="str">
        <f t="shared" si="4"/>
        <v>TK-09</v>
      </c>
      <c r="X10" s="5" t="s">
        <v>53</v>
      </c>
      <c r="Y10" s="5" t="s">
        <v>120</v>
      </c>
      <c r="Z10" s="5">
        <v>0.0</v>
      </c>
      <c r="AA10" s="5" t="str">
        <f t="shared" si="5"/>
        <v>TK-09</v>
      </c>
      <c r="AB10" s="5" t="s">
        <v>53</v>
      </c>
      <c r="AC10" s="5" t="s">
        <v>121</v>
      </c>
      <c r="AD10" s="5">
        <v>0.0</v>
      </c>
      <c r="AE10" s="6" t="str">
        <f t="shared" si="6"/>
        <v>LSW-02</v>
      </c>
      <c r="AF10" s="5" t="s">
        <v>96</v>
      </c>
      <c r="AG10" s="5" t="s">
        <v>122</v>
      </c>
      <c r="AH10" s="5">
        <v>0.0</v>
      </c>
      <c r="AI10" s="6" t="str">
        <f t="shared" si="7"/>
        <v>LSW-02</v>
      </c>
      <c r="AJ10" s="5" t="s">
        <v>96</v>
      </c>
      <c r="AK10" s="5" t="s">
        <v>123</v>
      </c>
      <c r="AL10" s="5">
        <v>0.0</v>
      </c>
      <c r="AM10" s="6" t="str">
        <f t="shared" si="8"/>
        <v>LSW-02</v>
      </c>
      <c r="AN10" s="6" t="s">
        <v>96</v>
      </c>
      <c r="AO10" s="5" t="s">
        <v>124</v>
      </c>
      <c r="AP10" s="5">
        <v>0.0</v>
      </c>
      <c r="AQ10" s="6" t="str">
        <f t="shared" si="9"/>
        <v>RDR-02</v>
      </c>
      <c r="AR10" s="5" t="s">
        <v>100</v>
      </c>
      <c r="AS10" s="5" t="s">
        <v>125</v>
      </c>
      <c r="AT10" s="5">
        <v>0.0</v>
      </c>
      <c r="AU10" s="6" t="str">
        <f t="shared" si="10"/>
        <v>RDR-02</v>
      </c>
      <c r="AV10" s="6" t="s">
        <v>100</v>
      </c>
      <c r="AW10" s="5" t="s">
        <v>126</v>
      </c>
      <c r="AX10" s="5">
        <v>0.0</v>
      </c>
      <c r="AY10" s="6" t="str">
        <f t="shared" si="11"/>
        <v>RDR-02</v>
      </c>
      <c r="AZ10" s="6" t="s">
        <v>100</v>
      </c>
      <c r="BA10" s="5" t="s">
        <v>127</v>
      </c>
      <c r="BB10" s="5">
        <v>0.0</v>
      </c>
      <c r="BC10" s="6" t="str">
        <f t="shared" si="12"/>
        <v>ROSOV-06</v>
      </c>
      <c r="BD10" s="5" t="s">
        <v>104</v>
      </c>
      <c r="BE10" s="5" t="s">
        <v>128</v>
      </c>
      <c r="BF10" s="5">
        <v>0.0</v>
      </c>
      <c r="BG10" s="6" t="str">
        <f t="shared" si="13"/>
        <v>ROSOV-06</v>
      </c>
      <c r="BH10" s="6" t="s">
        <v>106</v>
      </c>
      <c r="BI10" s="6"/>
      <c r="BJ10" s="6"/>
      <c r="BK10" s="6"/>
      <c r="BL10" s="6"/>
      <c r="BM10" s="6"/>
      <c r="BN10" s="6"/>
      <c r="BO10" s="6"/>
      <c r="BP10" s="6"/>
      <c r="BQ10" s="10" t="s">
        <v>129</v>
      </c>
      <c r="BR10" s="5">
        <v>0.0</v>
      </c>
      <c r="BS10" s="6" t="str">
        <f t="shared" si="14"/>
        <v>ROSOV-05</v>
      </c>
      <c r="BT10" s="6" t="s">
        <v>108</v>
      </c>
      <c r="BU10" s="10" t="s">
        <v>130</v>
      </c>
      <c r="BV10" s="5">
        <v>0.0</v>
      </c>
      <c r="BW10" s="6" t="str">
        <f t="shared" si="15"/>
        <v>ROSOV-05</v>
      </c>
      <c r="BX10" s="6" t="s">
        <v>110</v>
      </c>
      <c r="BY10" s="10" t="s">
        <v>131</v>
      </c>
      <c r="BZ10" s="5">
        <v>0.0</v>
      </c>
      <c r="CA10" s="6" t="str">
        <f t="shared" ref="CA10:CA13" si="18">MID(BY10,5,8)</f>
        <v>ROSOV-04</v>
      </c>
      <c r="CB10" s="6" t="s">
        <v>132</v>
      </c>
      <c r="CC10" s="10" t="s">
        <v>133</v>
      </c>
      <c r="CD10" s="12">
        <v>0.0</v>
      </c>
      <c r="CE10" s="6" t="str">
        <f t="shared" ref="CE10:CE13" si="19">MID(CC10,5,8)</f>
        <v>ROSOV-04</v>
      </c>
      <c r="CF10" s="6" t="s">
        <v>132</v>
      </c>
      <c r="CG10" s="13" t="s">
        <v>134</v>
      </c>
      <c r="CH10" s="12">
        <v>1.0</v>
      </c>
      <c r="CI10" s="6" t="str">
        <f t="shared" si="16"/>
        <v>DBBV-004</v>
      </c>
      <c r="CJ10" s="6" t="s">
        <v>112</v>
      </c>
      <c r="CK10" s="6"/>
      <c r="CL10" s="6"/>
      <c r="CM10" s="6"/>
      <c r="CN10" s="6"/>
      <c r="CO10" s="10" t="s">
        <v>135</v>
      </c>
      <c r="CP10" s="12">
        <v>1.0</v>
      </c>
      <c r="CQ10" s="6" t="str">
        <f t="shared" si="17"/>
        <v>DBBV-005</v>
      </c>
      <c r="CR10" s="6" t="s">
        <v>114</v>
      </c>
      <c r="CS10" s="13" t="s">
        <v>136</v>
      </c>
      <c r="CT10" s="12">
        <v>1.0</v>
      </c>
      <c r="CU10" s="6" t="str">
        <f t="shared" ref="CU10:CU13" si="20">MID(CS10,5,8)</f>
        <v>DBBV-006</v>
      </c>
      <c r="CV10" s="6" t="s">
        <v>137</v>
      </c>
      <c r="CW10" s="6"/>
      <c r="CX10" s="6"/>
      <c r="CY10" s="6"/>
      <c r="CZ10" s="6"/>
      <c r="DA10" s="6"/>
      <c r="DB10" s="6"/>
      <c r="DC10" s="6"/>
      <c r="DD10" s="6"/>
    </row>
    <row r="11" ht="15.75" customHeight="1">
      <c r="A11" s="5">
        <v>1155.0</v>
      </c>
      <c r="B11" s="6" t="s">
        <v>48</v>
      </c>
      <c r="C11" s="5" t="str">
        <f t="shared" si="1"/>
        <v>TK-10_BS VI HSD</v>
      </c>
      <c r="D11" s="7" t="s">
        <v>138</v>
      </c>
      <c r="E11" s="6"/>
      <c r="F11" s="7" t="s">
        <v>116</v>
      </c>
      <c r="G11" s="8" t="s">
        <v>51</v>
      </c>
      <c r="H11" s="5">
        <v>0.0</v>
      </c>
      <c r="I11" s="6"/>
      <c r="J11" s="6"/>
      <c r="K11" s="6"/>
      <c r="L11" s="6"/>
      <c r="M11" s="5" t="s">
        <v>139</v>
      </c>
      <c r="N11" s="6"/>
      <c r="O11" s="5" t="str">
        <f t="shared" si="2"/>
        <v>TK-10</v>
      </c>
      <c r="P11" s="5" t="s">
        <v>53</v>
      </c>
      <c r="Q11" s="5" t="s">
        <v>140</v>
      </c>
      <c r="R11" s="5">
        <v>0.0</v>
      </c>
      <c r="S11" s="5" t="str">
        <f t="shared" si="3"/>
        <v>TK-10</v>
      </c>
      <c r="T11" s="5" t="s">
        <v>53</v>
      </c>
      <c r="U11" s="5" t="s">
        <v>141</v>
      </c>
      <c r="V11" s="6"/>
      <c r="W11" s="5" t="str">
        <f t="shared" si="4"/>
        <v>TK-10</v>
      </c>
      <c r="X11" s="5" t="s">
        <v>53</v>
      </c>
      <c r="Y11" s="5" t="s">
        <v>142</v>
      </c>
      <c r="Z11" s="5">
        <v>0.0</v>
      </c>
      <c r="AA11" s="5" t="str">
        <f t="shared" si="5"/>
        <v>TK-10</v>
      </c>
      <c r="AB11" s="5" t="s">
        <v>53</v>
      </c>
      <c r="AC11" s="5" t="s">
        <v>143</v>
      </c>
      <c r="AD11" s="5">
        <v>0.0</v>
      </c>
      <c r="AE11" s="6" t="str">
        <f t="shared" si="6"/>
        <v>LSW-03</v>
      </c>
      <c r="AF11" s="5" t="s">
        <v>96</v>
      </c>
      <c r="AG11" s="5" t="s">
        <v>144</v>
      </c>
      <c r="AH11" s="5">
        <v>0.0</v>
      </c>
      <c r="AI11" s="6" t="str">
        <f t="shared" si="7"/>
        <v>LSW-03</v>
      </c>
      <c r="AJ11" s="5" t="s">
        <v>96</v>
      </c>
      <c r="AK11" s="5" t="s">
        <v>145</v>
      </c>
      <c r="AL11" s="5">
        <v>0.0</v>
      </c>
      <c r="AM11" s="6" t="str">
        <f t="shared" si="8"/>
        <v>LSW-03</v>
      </c>
      <c r="AN11" s="6" t="s">
        <v>96</v>
      </c>
      <c r="AO11" s="5" t="s">
        <v>146</v>
      </c>
      <c r="AP11" s="5">
        <v>0.0</v>
      </c>
      <c r="AQ11" s="6" t="str">
        <f t="shared" si="9"/>
        <v>RDR-03</v>
      </c>
      <c r="AR11" s="5" t="s">
        <v>100</v>
      </c>
      <c r="AS11" s="5" t="s">
        <v>147</v>
      </c>
      <c r="AT11" s="5">
        <v>0.0</v>
      </c>
      <c r="AU11" s="6" t="str">
        <f t="shared" si="10"/>
        <v>RDR-03</v>
      </c>
      <c r="AV11" s="6" t="s">
        <v>100</v>
      </c>
      <c r="AW11" s="5" t="s">
        <v>148</v>
      </c>
      <c r="AX11" s="5">
        <v>0.0</v>
      </c>
      <c r="AY11" s="6" t="str">
        <f t="shared" si="11"/>
        <v>RDR-03</v>
      </c>
      <c r="AZ11" s="6" t="s">
        <v>100</v>
      </c>
      <c r="BA11" s="5" t="s">
        <v>149</v>
      </c>
      <c r="BB11" s="5">
        <v>0.0</v>
      </c>
      <c r="BC11" s="6" t="str">
        <f t="shared" si="12"/>
        <v>ROSOV-09</v>
      </c>
      <c r="BD11" s="5" t="s">
        <v>104</v>
      </c>
      <c r="BE11" s="5" t="s">
        <v>150</v>
      </c>
      <c r="BF11" s="5">
        <v>0.0</v>
      </c>
      <c r="BG11" s="6" t="str">
        <f t="shared" si="13"/>
        <v>ROSOV-09</v>
      </c>
      <c r="BH11" s="6" t="s">
        <v>106</v>
      </c>
      <c r="BI11" s="6"/>
      <c r="BJ11" s="6"/>
      <c r="BK11" s="6"/>
      <c r="BL11" s="6"/>
      <c r="BM11" s="6"/>
      <c r="BN11" s="6"/>
      <c r="BO11" s="6"/>
      <c r="BP11" s="6"/>
      <c r="BQ11" s="10" t="s">
        <v>151</v>
      </c>
      <c r="BR11" s="5">
        <v>0.0</v>
      </c>
      <c r="BS11" s="6" t="str">
        <f t="shared" si="14"/>
        <v>ROSOV-08</v>
      </c>
      <c r="BT11" s="6" t="s">
        <v>108</v>
      </c>
      <c r="BU11" s="10" t="s">
        <v>152</v>
      </c>
      <c r="BV11" s="5">
        <v>0.0</v>
      </c>
      <c r="BW11" s="6" t="str">
        <f t="shared" si="15"/>
        <v>ROSOV-08</v>
      </c>
      <c r="BX11" s="6" t="s">
        <v>110</v>
      </c>
      <c r="BY11" s="10" t="s">
        <v>153</v>
      </c>
      <c r="BZ11" s="5">
        <v>0.0</v>
      </c>
      <c r="CA11" s="6" t="str">
        <f t="shared" si="18"/>
        <v>ROSOV-07</v>
      </c>
      <c r="CB11" s="6" t="s">
        <v>132</v>
      </c>
      <c r="CC11" s="10" t="s">
        <v>154</v>
      </c>
      <c r="CD11" s="12">
        <v>0.0</v>
      </c>
      <c r="CE11" s="6" t="str">
        <f t="shared" si="19"/>
        <v>ROSOV-07</v>
      </c>
      <c r="CF11" s="6" t="s">
        <v>132</v>
      </c>
      <c r="CG11" s="13" t="s">
        <v>155</v>
      </c>
      <c r="CH11" s="12">
        <v>1.0</v>
      </c>
      <c r="CI11" s="6" t="str">
        <f t="shared" si="16"/>
        <v>DBBV-007</v>
      </c>
      <c r="CJ11" s="6" t="s">
        <v>112</v>
      </c>
      <c r="CK11" s="6"/>
      <c r="CL11" s="6"/>
      <c r="CM11" s="6"/>
      <c r="CN11" s="6"/>
      <c r="CO11" s="10" t="s">
        <v>156</v>
      </c>
      <c r="CP11" s="12">
        <v>1.0</v>
      </c>
      <c r="CQ11" s="6" t="str">
        <f t="shared" si="17"/>
        <v>DBBV-008</v>
      </c>
      <c r="CR11" s="6" t="s">
        <v>114</v>
      </c>
      <c r="CS11" s="13" t="s">
        <v>157</v>
      </c>
      <c r="CT11" s="12">
        <v>1.0</v>
      </c>
      <c r="CU11" s="6" t="str">
        <f t="shared" si="20"/>
        <v>DBBV-009</v>
      </c>
      <c r="CV11" s="6" t="s">
        <v>137</v>
      </c>
      <c r="CW11" s="6"/>
      <c r="CX11" s="6"/>
      <c r="CY11" s="6"/>
      <c r="CZ11" s="6"/>
      <c r="DA11" s="6"/>
      <c r="DB11" s="6"/>
      <c r="DC11" s="6"/>
      <c r="DD11" s="6"/>
    </row>
    <row r="12" ht="15.75" customHeight="1">
      <c r="A12" s="5">
        <v>1155.0</v>
      </c>
      <c r="B12" s="6" t="s">
        <v>48</v>
      </c>
      <c r="C12" s="5" t="str">
        <f t="shared" si="1"/>
        <v>TK-11_BS VI MS</v>
      </c>
      <c r="D12" s="7" t="s">
        <v>158</v>
      </c>
      <c r="E12" s="6"/>
      <c r="F12" s="7" t="s">
        <v>50</v>
      </c>
      <c r="G12" s="8" t="s">
        <v>51</v>
      </c>
      <c r="H12" s="5">
        <v>0.0</v>
      </c>
      <c r="I12" s="6"/>
      <c r="J12" s="6"/>
      <c r="K12" s="6"/>
      <c r="L12" s="6"/>
      <c r="M12" s="5" t="s">
        <v>159</v>
      </c>
      <c r="N12" s="6"/>
      <c r="O12" s="5" t="str">
        <f t="shared" si="2"/>
        <v>TK-11</v>
      </c>
      <c r="P12" s="5" t="s">
        <v>53</v>
      </c>
      <c r="Q12" s="5" t="s">
        <v>160</v>
      </c>
      <c r="R12" s="5">
        <v>0.0</v>
      </c>
      <c r="S12" s="5" t="str">
        <f t="shared" si="3"/>
        <v>TK-11</v>
      </c>
      <c r="T12" s="5" t="s">
        <v>53</v>
      </c>
      <c r="U12" s="5" t="s">
        <v>161</v>
      </c>
      <c r="V12" s="6"/>
      <c r="W12" s="5" t="str">
        <f t="shared" si="4"/>
        <v>TK-11</v>
      </c>
      <c r="X12" s="5" t="s">
        <v>53</v>
      </c>
      <c r="Y12" s="5" t="s">
        <v>162</v>
      </c>
      <c r="Z12" s="5">
        <v>0.0</v>
      </c>
      <c r="AA12" s="5" t="str">
        <f t="shared" si="5"/>
        <v>TK-11</v>
      </c>
      <c r="AB12" s="5" t="s">
        <v>53</v>
      </c>
      <c r="AC12" s="5" t="s">
        <v>163</v>
      </c>
      <c r="AD12" s="5">
        <v>0.0</v>
      </c>
      <c r="AE12" s="6" t="str">
        <f t="shared" si="6"/>
        <v>LSW-04</v>
      </c>
      <c r="AF12" s="5" t="s">
        <v>96</v>
      </c>
      <c r="AG12" s="5" t="s">
        <v>164</v>
      </c>
      <c r="AH12" s="5">
        <v>0.0</v>
      </c>
      <c r="AI12" s="6" t="str">
        <f t="shared" si="7"/>
        <v>LSW-04</v>
      </c>
      <c r="AJ12" s="5" t="s">
        <v>96</v>
      </c>
      <c r="AK12" s="5" t="s">
        <v>165</v>
      </c>
      <c r="AL12" s="5">
        <v>0.0</v>
      </c>
      <c r="AM12" s="6" t="str">
        <f t="shared" si="8"/>
        <v>LSW-04</v>
      </c>
      <c r="AN12" s="6" t="s">
        <v>96</v>
      </c>
      <c r="AO12" s="5" t="s">
        <v>166</v>
      </c>
      <c r="AP12" s="5">
        <v>0.0</v>
      </c>
      <c r="AQ12" s="6" t="str">
        <f t="shared" si="9"/>
        <v>RDR-04</v>
      </c>
      <c r="AR12" s="5" t="s">
        <v>100</v>
      </c>
      <c r="AS12" s="5" t="s">
        <v>167</v>
      </c>
      <c r="AT12" s="5">
        <v>0.0</v>
      </c>
      <c r="AU12" s="6" t="str">
        <f t="shared" si="10"/>
        <v>RDR-04</v>
      </c>
      <c r="AV12" s="6" t="s">
        <v>100</v>
      </c>
      <c r="AW12" s="5" t="s">
        <v>168</v>
      </c>
      <c r="AX12" s="5">
        <v>0.0</v>
      </c>
      <c r="AY12" s="6" t="str">
        <f t="shared" si="11"/>
        <v>RDR-04</v>
      </c>
      <c r="AZ12" s="6" t="s">
        <v>100</v>
      </c>
      <c r="BA12" s="5" t="s">
        <v>169</v>
      </c>
      <c r="BB12" s="5">
        <v>0.0</v>
      </c>
      <c r="BC12" s="6" t="str">
        <f t="shared" si="12"/>
        <v>ROSOV-12</v>
      </c>
      <c r="BD12" s="5" t="s">
        <v>104</v>
      </c>
      <c r="BE12" s="5" t="s">
        <v>170</v>
      </c>
      <c r="BF12" s="5">
        <v>0.0</v>
      </c>
      <c r="BG12" s="6" t="str">
        <f t="shared" si="13"/>
        <v>ROSOV-12</v>
      </c>
      <c r="BH12" s="6" t="s">
        <v>106</v>
      </c>
      <c r="BI12" s="6"/>
      <c r="BJ12" s="6"/>
      <c r="BK12" s="6"/>
      <c r="BL12" s="6"/>
      <c r="BM12" s="6"/>
      <c r="BN12" s="6"/>
      <c r="BO12" s="6"/>
      <c r="BP12" s="6"/>
      <c r="BQ12" s="10" t="s">
        <v>171</v>
      </c>
      <c r="BR12" s="5">
        <v>0.0</v>
      </c>
      <c r="BS12" s="6" t="str">
        <f t="shared" si="14"/>
        <v>ROSOV-11</v>
      </c>
      <c r="BT12" s="6" t="s">
        <v>108</v>
      </c>
      <c r="BU12" s="10" t="s">
        <v>172</v>
      </c>
      <c r="BV12" s="5">
        <v>0.0</v>
      </c>
      <c r="BW12" s="6" t="str">
        <f t="shared" si="15"/>
        <v>ROSOV-11</v>
      </c>
      <c r="BX12" s="6" t="s">
        <v>110</v>
      </c>
      <c r="BY12" s="10" t="s">
        <v>173</v>
      </c>
      <c r="BZ12" s="5">
        <v>0.0</v>
      </c>
      <c r="CA12" s="6" t="str">
        <f t="shared" si="18"/>
        <v>ROSOV-10</v>
      </c>
      <c r="CB12" s="6" t="s">
        <v>132</v>
      </c>
      <c r="CC12" s="10" t="s">
        <v>174</v>
      </c>
      <c r="CD12" s="12">
        <v>0.0</v>
      </c>
      <c r="CE12" s="6" t="str">
        <f t="shared" si="19"/>
        <v>ROSOV-10</v>
      </c>
      <c r="CF12" s="6" t="s">
        <v>132</v>
      </c>
      <c r="CG12" s="13" t="s">
        <v>175</v>
      </c>
      <c r="CH12" s="12">
        <v>1.0</v>
      </c>
      <c r="CI12" s="6" t="str">
        <f t="shared" si="16"/>
        <v>DBBV-010</v>
      </c>
      <c r="CJ12" s="6" t="s">
        <v>112</v>
      </c>
      <c r="CK12" s="6"/>
      <c r="CL12" s="6"/>
      <c r="CM12" s="6"/>
      <c r="CN12" s="6"/>
      <c r="CO12" s="10" t="s">
        <v>176</v>
      </c>
      <c r="CP12" s="12">
        <v>1.0</v>
      </c>
      <c r="CQ12" s="6" t="str">
        <f t="shared" si="17"/>
        <v>DBBV-011</v>
      </c>
      <c r="CR12" s="6" t="s">
        <v>114</v>
      </c>
      <c r="CS12" s="13" t="s">
        <v>177</v>
      </c>
      <c r="CT12" s="12">
        <v>1.0</v>
      </c>
      <c r="CU12" s="6" t="str">
        <f t="shared" si="20"/>
        <v>DBBV-012</v>
      </c>
      <c r="CV12" s="6" t="s">
        <v>137</v>
      </c>
      <c r="CW12" s="6"/>
      <c r="CX12" s="6"/>
      <c r="CY12" s="6"/>
      <c r="CZ12" s="6"/>
      <c r="DA12" s="6"/>
      <c r="DB12" s="6"/>
      <c r="DC12" s="6"/>
      <c r="DD12" s="6"/>
    </row>
    <row r="13" ht="15.75" customHeight="1">
      <c r="A13" s="5">
        <v>1155.0</v>
      </c>
      <c r="B13" s="6" t="s">
        <v>48</v>
      </c>
      <c r="C13" s="5" t="str">
        <f t="shared" si="1"/>
        <v>TK-12_BS VI MS</v>
      </c>
      <c r="D13" s="7" t="s">
        <v>178</v>
      </c>
      <c r="E13" s="6"/>
      <c r="F13" s="7" t="s">
        <v>50</v>
      </c>
      <c r="G13" s="8" t="s">
        <v>51</v>
      </c>
      <c r="H13" s="5">
        <v>0.0</v>
      </c>
      <c r="I13" s="6"/>
      <c r="J13" s="6"/>
      <c r="K13" s="6"/>
      <c r="L13" s="6"/>
      <c r="M13" s="5" t="s">
        <v>179</v>
      </c>
      <c r="N13" s="6"/>
      <c r="O13" s="5" t="str">
        <f t="shared" si="2"/>
        <v>TK-12</v>
      </c>
      <c r="P13" s="5" t="s">
        <v>53</v>
      </c>
      <c r="Q13" s="5" t="s">
        <v>180</v>
      </c>
      <c r="R13" s="5">
        <v>0.0</v>
      </c>
      <c r="S13" s="5" t="str">
        <f t="shared" si="3"/>
        <v>TK-12</v>
      </c>
      <c r="T13" s="5" t="s">
        <v>53</v>
      </c>
      <c r="U13" s="5" t="s">
        <v>181</v>
      </c>
      <c r="V13" s="6"/>
      <c r="W13" s="5" t="str">
        <f t="shared" si="4"/>
        <v>TK-12</v>
      </c>
      <c r="X13" s="5" t="s">
        <v>53</v>
      </c>
      <c r="Y13" s="5" t="s">
        <v>182</v>
      </c>
      <c r="Z13" s="5">
        <v>0.0</v>
      </c>
      <c r="AA13" s="5" t="str">
        <f t="shared" si="5"/>
        <v>TK-12</v>
      </c>
      <c r="AB13" s="5" t="s">
        <v>53</v>
      </c>
      <c r="AC13" s="5" t="s">
        <v>183</v>
      </c>
      <c r="AD13" s="5">
        <v>0.0</v>
      </c>
      <c r="AE13" s="6" t="str">
        <f t="shared" si="6"/>
        <v>LSW-05</v>
      </c>
      <c r="AF13" s="5" t="s">
        <v>96</v>
      </c>
      <c r="AG13" s="5" t="s">
        <v>184</v>
      </c>
      <c r="AH13" s="5">
        <v>0.0</v>
      </c>
      <c r="AI13" s="6" t="str">
        <f t="shared" si="7"/>
        <v>LSW-05</v>
      </c>
      <c r="AJ13" s="5" t="s">
        <v>96</v>
      </c>
      <c r="AK13" s="5" t="s">
        <v>185</v>
      </c>
      <c r="AL13" s="5">
        <v>0.0</v>
      </c>
      <c r="AM13" s="6" t="str">
        <f t="shared" si="8"/>
        <v>LSW-05</v>
      </c>
      <c r="AN13" s="6" t="s">
        <v>96</v>
      </c>
      <c r="AO13" s="5" t="s">
        <v>186</v>
      </c>
      <c r="AP13" s="5">
        <v>0.0</v>
      </c>
      <c r="AQ13" s="6" t="str">
        <f t="shared" si="9"/>
        <v>RDR-05</v>
      </c>
      <c r="AR13" s="5" t="s">
        <v>100</v>
      </c>
      <c r="AS13" s="5" t="s">
        <v>187</v>
      </c>
      <c r="AT13" s="5">
        <v>0.0</v>
      </c>
      <c r="AU13" s="6" t="str">
        <f t="shared" si="10"/>
        <v>RDR-05</v>
      </c>
      <c r="AV13" s="6" t="s">
        <v>100</v>
      </c>
      <c r="AW13" s="5" t="s">
        <v>188</v>
      </c>
      <c r="AX13" s="5">
        <v>0.0</v>
      </c>
      <c r="AY13" s="6" t="str">
        <f t="shared" si="11"/>
        <v>RDR-05</v>
      </c>
      <c r="AZ13" s="6" t="s">
        <v>100</v>
      </c>
      <c r="BA13" s="5" t="s">
        <v>189</v>
      </c>
      <c r="BB13" s="5">
        <v>0.0</v>
      </c>
      <c r="BC13" s="6" t="str">
        <f t="shared" si="12"/>
        <v>ROSOV-15</v>
      </c>
      <c r="BD13" s="5" t="s">
        <v>104</v>
      </c>
      <c r="BE13" s="5" t="s">
        <v>190</v>
      </c>
      <c r="BF13" s="5">
        <v>0.0</v>
      </c>
      <c r="BG13" s="6" t="str">
        <f t="shared" si="13"/>
        <v>ROSOV-15</v>
      </c>
      <c r="BH13" s="6" t="s">
        <v>106</v>
      </c>
      <c r="BI13" s="6"/>
      <c r="BJ13" s="6"/>
      <c r="BK13" s="6"/>
      <c r="BL13" s="6"/>
      <c r="BM13" s="6"/>
      <c r="BN13" s="6"/>
      <c r="BO13" s="6"/>
      <c r="BP13" s="6"/>
      <c r="BQ13" s="10" t="s">
        <v>191</v>
      </c>
      <c r="BR13" s="5">
        <v>0.0</v>
      </c>
      <c r="BS13" s="6" t="str">
        <f t="shared" si="14"/>
        <v>ROSOV-14</v>
      </c>
      <c r="BT13" s="6" t="s">
        <v>108</v>
      </c>
      <c r="BU13" s="10" t="s">
        <v>192</v>
      </c>
      <c r="BV13" s="5">
        <v>0.0</v>
      </c>
      <c r="BW13" s="6" t="str">
        <f t="shared" si="15"/>
        <v>ROSOV-14</v>
      </c>
      <c r="BX13" s="6" t="s">
        <v>110</v>
      </c>
      <c r="BY13" s="10" t="s">
        <v>193</v>
      </c>
      <c r="BZ13" s="5">
        <v>0.0</v>
      </c>
      <c r="CA13" s="6" t="str">
        <f t="shared" si="18"/>
        <v>ROSOV-13</v>
      </c>
      <c r="CB13" s="6" t="s">
        <v>132</v>
      </c>
      <c r="CC13" s="10" t="s">
        <v>194</v>
      </c>
      <c r="CD13" s="12">
        <v>0.0</v>
      </c>
      <c r="CE13" s="6" t="str">
        <f t="shared" si="19"/>
        <v>ROSOV-13</v>
      </c>
      <c r="CF13" s="6" t="s">
        <v>132</v>
      </c>
      <c r="CG13" s="13" t="s">
        <v>195</v>
      </c>
      <c r="CH13" s="12">
        <v>1.0</v>
      </c>
      <c r="CI13" s="6" t="str">
        <f t="shared" si="16"/>
        <v>DBBV-013</v>
      </c>
      <c r="CJ13" s="6" t="s">
        <v>112</v>
      </c>
      <c r="CK13" s="6"/>
      <c r="CL13" s="6"/>
      <c r="CM13" s="6"/>
      <c r="CN13" s="6"/>
      <c r="CO13" s="10" t="s">
        <v>196</v>
      </c>
      <c r="CP13" s="12">
        <v>1.0</v>
      </c>
      <c r="CQ13" s="6" t="str">
        <f t="shared" si="17"/>
        <v>DBBV-014</v>
      </c>
      <c r="CR13" s="6" t="s">
        <v>114</v>
      </c>
      <c r="CS13" s="13" t="s">
        <v>197</v>
      </c>
      <c r="CT13" s="12">
        <v>1.0</v>
      </c>
      <c r="CU13" s="6" t="str">
        <f t="shared" si="20"/>
        <v>DBBV-015</v>
      </c>
      <c r="CV13" s="6" t="s">
        <v>137</v>
      </c>
      <c r="CW13" s="6"/>
      <c r="CX13" s="6"/>
      <c r="CY13" s="6"/>
      <c r="CZ13" s="6"/>
      <c r="DA13" s="6"/>
      <c r="DB13" s="6"/>
      <c r="DC13" s="6"/>
      <c r="DD13" s="6"/>
    </row>
    <row r="14" ht="15.75" customHeight="1">
      <c r="A14" s="5">
        <v>1155.0</v>
      </c>
      <c r="B14" s="6" t="s">
        <v>48</v>
      </c>
      <c r="C14" s="5" t="str">
        <f t="shared" si="1"/>
        <v>TK-13_WATER</v>
      </c>
      <c r="D14" s="7" t="s">
        <v>198</v>
      </c>
      <c r="E14" s="6"/>
      <c r="F14" s="7" t="s">
        <v>199</v>
      </c>
      <c r="G14" s="8" t="s">
        <v>51</v>
      </c>
      <c r="H14" s="5">
        <v>0.0</v>
      </c>
      <c r="I14" s="6"/>
      <c r="J14" s="6"/>
      <c r="K14" s="6"/>
      <c r="L14" s="6"/>
      <c r="M14" s="5" t="s">
        <v>200</v>
      </c>
      <c r="N14" s="6"/>
      <c r="O14" s="5" t="str">
        <f t="shared" si="2"/>
        <v>TK-13</v>
      </c>
      <c r="P14" s="5" t="s">
        <v>53</v>
      </c>
      <c r="Q14" s="6"/>
      <c r="R14" s="6"/>
      <c r="S14" s="6" t="str">
        <f t="shared" si="3"/>
        <v/>
      </c>
      <c r="T14" s="6"/>
      <c r="U14" s="5" t="s">
        <v>201</v>
      </c>
      <c r="V14" s="6"/>
      <c r="W14" s="5" t="str">
        <f t="shared" si="4"/>
        <v>TK-13</v>
      </c>
      <c r="X14" s="5" t="s">
        <v>53</v>
      </c>
      <c r="Y14" s="6"/>
      <c r="Z14" s="6"/>
      <c r="AA14" s="6" t="str">
        <f t="shared" si="5"/>
        <v/>
      </c>
      <c r="AB14" s="6"/>
      <c r="AC14" s="6"/>
      <c r="AD14" s="6"/>
      <c r="AE14" s="6" t="str">
        <f t="shared" si="6"/>
        <v/>
      </c>
      <c r="AF14" s="6"/>
      <c r="AG14" s="6"/>
      <c r="AH14" s="6"/>
      <c r="AI14" s="6" t="str">
        <f t="shared" si="7"/>
        <v/>
      </c>
      <c r="AJ14" s="6"/>
      <c r="AK14" s="6"/>
      <c r="AL14" s="6"/>
      <c r="AM14" s="6" t="str">
        <f t="shared" si="8"/>
        <v/>
      </c>
      <c r="AN14" s="6"/>
      <c r="AO14" s="6"/>
      <c r="AP14" s="6"/>
      <c r="AQ14" s="6" t="str">
        <f t="shared" si="9"/>
        <v/>
      </c>
      <c r="AR14" s="6"/>
      <c r="AS14" s="6"/>
      <c r="AT14" s="6"/>
      <c r="AU14" s="6" t="str">
        <f t="shared" si="10"/>
        <v/>
      </c>
      <c r="AV14" s="6"/>
      <c r="AW14" s="6"/>
      <c r="AX14" s="6"/>
      <c r="AY14" s="6" t="str">
        <f t="shared" si="11"/>
        <v/>
      </c>
      <c r="AZ14" s="6"/>
      <c r="BA14" s="6"/>
      <c r="BB14" s="6"/>
      <c r="BC14" s="6" t="str">
        <f t="shared" si="12"/>
        <v/>
      </c>
      <c r="BD14" s="6"/>
      <c r="BE14" s="6"/>
      <c r="BF14" s="6"/>
      <c r="BG14" s="6" t="str">
        <f t="shared" si="13"/>
        <v/>
      </c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9"/>
      <c r="CE14" s="6"/>
      <c r="CF14" s="6"/>
      <c r="CG14" s="8"/>
      <c r="CH14" s="9"/>
      <c r="CI14" s="6"/>
      <c r="CJ14" s="6"/>
      <c r="CK14" s="6"/>
      <c r="CL14" s="6"/>
      <c r="CM14" s="6"/>
      <c r="CN14" s="6"/>
      <c r="CO14" s="6"/>
      <c r="CP14" s="9"/>
      <c r="CQ14" s="6"/>
      <c r="CR14" s="6"/>
      <c r="CS14" s="8"/>
      <c r="CT14" s="9"/>
      <c r="CU14" s="6"/>
      <c r="CV14" s="6"/>
      <c r="CW14" s="6"/>
      <c r="CX14" s="6"/>
      <c r="CY14" s="6"/>
      <c r="CZ14" s="6"/>
      <c r="DA14" s="6"/>
      <c r="DB14" s="6"/>
      <c r="DC14" s="6"/>
      <c r="DD14" s="6"/>
    </row>
    <row r="15" ht="15.75" customHeight="1">
      <c r="A15" s="5">
        <v>1155.0</v>
      </c>
      <c r="B15" s="6" t="s">
        <v>48</v>
      </c>
      <c r="C15" s="5" t="str">
        <f t="shared" si="1"/>
        <v>TK-14_WATER</v>
      </c>
      <c r="D15" s="7" t="s">
        <v>202</v>
      </c>
      <c r="E15" s="6"/>
      <c r="F15" s="7" t="s">
        <v>199</v>
      </c>
      <c r="G15" s="8" t="s">
        <v>51</v>
      </c>
      <c r="H15" s="5">
        <v>0.0</v>
      </c>
      <c r="I15" s="6"/>
      <c r="J15" s="6"/>
      <c r="K15" s="6"/>
      <c r="L15" s="6"/>
      <c r="M15" s="5" t="s">
        <v>203</v>
      </c>
      <c r="N15" s="6"/>
      <c r="O15" s="5" t="str">
        <f t="shared" si="2"/>
        <v>TK-14</v>
      </c>
      <c r="P15" s="5" t="s">
        <v>53</v>
      </c>
      <c r="Q15" s="6"/>
      <c r="R15" s="6"/>
      <c r="S15" s="6" t="str">
        <f t="shared" si="3"/>
        <v/>
      </c>
      <c r="T15" s="6"/>
      <c r="U15" s="5" t="s">
        <v>204</v>
      </c>
      <c r="V15" s="6"/>
      <c r="W15" s="5" t="str">
        <f t="shared" si="4"/>
        <v>TK-14</v>
      </c>
      <c r="X15" s="5" t="s">
        <v>53</v>
      </c>
      <c r="Y15" s="6"/>
      <c r="Z15" s="6"/>
      <c r="AA15" s="6" t="str">
        <f t="shared" si="5"/>
        <v/>
      </c>
      <c r="AB15" s="6"/>
      <c r="AC15" s="6"/>
      <c r="AD15" s="6"/>
      <c r="AE15" s="6" t="str">
        <f t="shared" si="6"/>
        <v/>
      </c>
      <c r="AF15" s="6"/>
      <c r="AG15" s="6"/>
      <c r="AH15" s="6"/>
      <c r="AI15" s="6" t="str">
        <f t="shared" si="7"/>
        <v/>
      </c>
      <c r="AJ15" s="6"/>
      <c r="AK15" s="6"/>
      <c r="AL15" s="6"/>
      <c r="AM15" s="6" t="str">
        <f t="shared" si="8"/>
        <v/>
      </c>
      <c r="AN15" s="6"/>
      <c r="AO15" s="6"/>
      <c r="AP15" s="6"/>
      <c r="AQ15" s="6" t="str">
        <f t="shared" si="9"/>
        <v/>
      </c>
      <c r="AR15" s="6"/>
      <c r="AS15" s="6"/>
      <c r="AT15" s="6"/>
      <c r="AU15" s="6" t="str">
        <f t="shared" si="10"/>
        <v/>
      </c>
      <c r="AV15" s="6"/>
      <c r="AW15" s="6"/>
      <c r="AX15" s="6"/>
      <c r="AY15" s="6" t="str">
        <f t="shared" si="11"/>
        <v/>
      </c>
      <c r="AZ15" s="6"/>
      <c r="BA15" s="6"/>
      <c r="BB15" s="6"/>
      <c r="BC15" s="6" t="str">
        <f t="shared" si="12"/>
        <v/>
      </c>
      <c r="BD15" s="6"/>
      <c r="BE15" s="6"/>
      <c r="BF15" s="6"/>
      <c r="BG15" s="6" t="str">
        <f t="shared" si="13"/>
        <v/>
      </c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9"/>
      <c r="CE15" s="6"/>
      <c r="CF15" s="6"/>
      <c r="CG15" s="8"/>
      <c r="CH15" s="9"/>
      <c r="CI15" s="6"/>
      <c r="CJ15" s="6"/>
      <c r="CK15" s="6"/>
      <c r="CL15" s="6"/>
      <c r="CM15" s="6"/>
      <c r="CN15" s="6"/>
      <c r="CO15" s="6"/>
      <c r="CP15" s="9"/>
      <c r="CQ15" s="6"/>
      <c r="CR15" s="6"/>
      <c r="CS15" s="8"/>
      <c r="CT15" s="9"/>
      <c r="CU15" s="6"/>
      <c r="CV15" s="6"/>
      <c r="CW15" s="6"/>
      <c r="CX15" s="6"/>
      <c r="CY15" s="6"/>
      <c r="CZ15" s="6"/>
      <c r="DA15" s="6"/>
      <c r="DB15" s="6"/>
      <c r="DC15" s="6"/>
      <c r="DD15" s="6"/>
    </row>
    <row r="16" ht="15.75" customHeight="1">
      <c r="A16" s="5">
        <v>1155.0</v>
      </c>
      <c r="B16" s="6" t="s">
        <v>48</v>
      </c>
      <c r="C16" s="5" t="str">
        <f t="shared" si="1"/>
        <v>TK-15_BS VI MS</v>
      </c>
      <c r="D16" s="7" t="s">
        <v>205</v>
      </c>
      <c r="E16" s="6"/>
      <c r="F16" s="7" t="s">
        <v>50</v>
      </c>
      <c r="G16" s="8" t="s">
        <v>51</v>
      </c>
      <c r="H16" s="5">
        <v>0.0</v>
      </c>
      <c r="I16" s="6"/>
      <c r="J16" s="6"/>
      <c r="K16" s="6"/>
      <c r="L16" s="6"/>
      <c r="M16" s="5" t="s">
        <v>206</v>
      </c>
      <c r="N16" s="6"/>
      <c r="O16" s="5" t="str">
        <f t="shared" si="2"/>
        <v>TK-15</v>
      </c>
      <c r="P16" s="5" t="s">
        <v>53</v>
      </c>
      <c r="Q16" s="5" t="s">
        <v>207</v>
      </c>
      <c r="R16" s="5">
        <v>0.0</v>
      </c>
      <c r="S16" s="5" t="str">
        <f t="shared" si="3"/>
        <v>TK-15</v>
      </c>
      <c r="T16" s="5" t="s">
        <v>53</v>
      </c>
      <c r="U16" s="5" t="s">
        <v>208</v>
      </c>
      <c r="V16" s="6"/>
      <c r="W16" s="5" t="str">
        <f t="shared" si="4"/>
        <v>TK-15</v>
      </c>
      <c r="X16" s="5" t="s">
        <v>53</v>
      </c>
      <c r="Y16" s="5" t="s">
        <v>209</v>
      </c>
      <c r="Z16" s="5">
        <v>0.0</v>
      </c>
      <c r="AA16" s="5" t="str">
        <f t="shared" si="5"/>
        <v>TK-15</v>
      </c>
      <c r="AB16" s="5" t="s">
        <v>53</v>
      </c>
      <c r="AC16" s="6"/>
      <c r="AD16" s="6"/>
      <c r="AE16" s="6" t="str">
        <f t="shared" si="6"/>
        <v/>
      </c>
      <c r="AF16" s="6"/>
      <c r="AG16" s="6"/>
      <c r="AH16" s="6"/>
      <c r="AI16" s="6" t="str">
        <f t="shared" si="7"/>
        <v/>
      </c>
      <c r="AJ16" s="6"/>
      <c r="AK16" s="6"/>
      <c r="AL16" s="6"/>
      <c r="AM16" s="6" t="str">
        <f t="shared" si="8"/>
        <v/>
      </c>
      <c r="AN16" s="6"/>
      <c r="AO16" s="6"/>
      <c r="AP16" s="6"/>
      <c r="AQ16" s="6" t="str">
        <f t="shared" si="9"/>
        <v/>
      </c>
      <c r="AR16" s="6"/>
      <c r="AS16" s="6"/>
      <c r="AT16" s="6"/>
      <c r="AU16" s="6" t="str">
        <f t="shared" si="10"/>
        <v/>
      </c>
      <c r="AV16" s="6"/>
      <c r="AW16" s="6"/>
      <c r="AX16" s="6"/>
      <c r="AY16" s="6" t="str">
        <f t="shared" si="11"/>
        <v/>
      </c>
      <c r="AZ16" s="6"/>
      <c r="BA16" s="6"/>
      <c r="BB16" s="6"/>
      <c r="BC16" s="6" t="str">
        <f t="shared" si="12"/>
        <v/>
      </c>
      <c r="BD16" s="6"/>
      <c r="BE16" s="6"/>
      <c r="BF16" s="6"/>
      <c r="BG16" s="6" t="str">
        <f t="shared" si="13"/>
        <v/>
      </c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9"/>
      <c r="CE16" s="6"/>
      <c r="CF16" s="6"/>
      <c r="CG16" s="8"/>
      <c r="CH16" s="9"/>
      <c r="CI16" s="6"/>
      <c r="CJ16" s="6"/>
      <c r="CK16" s="6"/>
      <c r="CL16" s="6"/>
      <c r="CM16" s="6"/>
      <c r="CN16" s="6"/>
      <c r="CO16" s="6"/>
      <c r="CP16" s="9"/>
      <c r="CQ16" s="6"/>
      <c r="CR16" s="6"/>
      <c r="CS16" s="8"/>
      <c r="CT16" s="9"/>
      <c r="CU16" s="6"/>
      <c r="CV16" s="6"/>
      <c r="CW16" s="6"/>
      <c r="CX16" s="6"/>
      <c r="CY16" s="6"/>
      <c r="CZ16" s="6"/>
      <c r="DA16" s="6"/>
      <c r="DB16" s="6"/>
      <c r="DC16" s="6"/>
      <c r="DD16" s="6"/>
    </row>
    <row r="17" ht="15.75" customHeight="1">
      <c r="A17" s="5">
        <v>1155.0</v>
      </c>
      <c r="B17" s="6" t="s">
        <v>48</v>
      </c>
      <c r="C17" s="5" t="str">
        <f t="shared" si="1"/>
        <v>TK-16_BS VI MS</v>
      </c>
      <c r="D17" s="7" t="s">
        <v>210</v>
      </c>
      <c r="E17" s="6"/>
      <c r="F17" s="7" t="s">
        <v>50</v>
      </c>
      <c r="G17" s="8" t="s">
        <v>51</v>
      </c>
      <c r="H17" s="5">
        <v>0.0</v>
      </c>
      <c r="I17" s="6"/>
      <c r="J17" s="6"/>
      <c r="K17" s="6"/>
      <c r="L17" s="6"/>
      <c r="M17" s="5" t="s">
        <v>211</v>
      </c>
      <c r="N17" s="6"/>
      <c r="O17" s="5" t="str">
        <f t="shared" si="2"/>
        <v>TK-16</v>
      </c>
      <c r="P17" s="5" t="s">
        <v>53</v>
      </c>
      <c r="Q17" s="5" t="s">
        <v>212</v>
      </c>
      <c r="R17" s="5">
        <v>0.0</v>
      </c>
      <c r="S17" s="5" t="str">
        <f t="shared" si="3"/>
        <v>TK-16</v>
      </c>
      <c r="T17" s="5" t="s">
        <v>53</v>
      </c>
      <c r="U17" s="5" t="s">
        <v>213</v>
      </c>
      <c r="V17" s="6"/>
      <c r="W17" s="5" t="str">
        <f t="shared" si="4"/>
        <v>TK-16</v>
      </c>
      <c r="X17" s="5" t="s">
        <v>53</v>
      </c>
      <c r="Y17" s="5" t="s">
        <v>214</v>
      </c>
      <c r="Z17" s="5">
        <v>0.0</v>
      </c>
      <c r="AA17" s="5" t="str">
        <f t="shared" si="5"/>
        <v>TK-16</v>
      </c>
      <c r="AB17" s="5" t="s">
        <v>53</v>
      </c>
      <c r="AC17" s="6"/>
      <c r="AD17" s="6"/>
      <c r="AE17" s="6" t="str">
        <f t="shared" si="6"/>
        <v/>
      </c>
      <c r="AF17" s="6"/>
      <c r="AG17" s="6"/>
      <c r="AH17" s="6"/>
      <c r="AI17" s="6" t="str">
        <f t="shared" si="7"/>
        <v/>
      </c>
      <c r="AJ17" s="6"/>
      <c r="AK17" s="6"/>
      <c r="AL17" s="6"/>
      <c r="AM17" s="6" t="str">
        <f t="shared" si="8"/>
        <v/>
      </c>
      <c r="AN17" s="6"/>
      <c r="AO17" s="6"/>
      <c r="AP17" s="6"/>
      <c r="AQ17" s="6" t="str">
        <f t="shared" si="9"/>
        <v/>
      </c>
      <c r="AR17" s="6"/>
      <c r="AS17" s="6"/>
      <c r="AT17" s="6"/>
      <c r="AU17" s="6" t="str">
        <f t="shared" si="10"/>
        <v/>
      </c>
      <c r="AV17" s="6"/>
      <c r="AW17" s="6"/>
      <c r="AX17" s="6"/>
      <c r="AY17" s="6" t="str">
        <f t="shared" si="11"/>
        <v/>
      </c>
      <c r="AZ17" s="6"/>
      <c r="BA17" s="6"/>
      <c r="BB17" s="6"/>
      <c r="BC17" s="6" t="str">
        <f t="shared" si="12"/>
        <v/>
      </c>
      <c r="BD17" s="6"/>
      <c r="BE17" s="6"/>
      <c r="BF17" s="6"/>
      <c r="BG17" s="6" t="str">
        <f t="shared" si="13"/>
        <v/>
      </c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9"/>
      <c r="CE17" s="6"/>
      <c r="CF17" s="6"/>
      <c r="CG17" s="8"/>
      <c r="CH17" s="9"/>
      <c r="CI17" s="6"/>
      <c r="CJ17" s="6"/>
      <c r="CK17" s="6"/>
      <c r="CL17" s="6"/>
      <c r="CM17" s="6"/>
      <c r="CN17" s="6"/>
      <c r="CO17" s="6"/>
      <c r="CP17" s="9"/>
      <c r="CQ17" s="6"/>
      <c r="CR17" s="6"/>
      <c r="CS17" s="8"/>
      <c r="CT17" s="9"/>
      <c r="CU17" s="6"/>
      <c r="CV17" s="6"/>
      <c r="CW17" s="6"/>
      <c r="CX17" s="6"/>
      <c r="CY17" s="6"/>
      <c r="CZ17" s="6"/>
      <c r="DA17" s="6"/>
      <c r="DB17" s="6"/>
      <c r="DC17" s="6"/>
      <c r="DD17" s="6"/>
    </row>
    <row r="18" ht="15.75" customHeight="1">
      <c r="A18" s="5">
        <v>1155.0</v>
      </c>
      <c r="B18" s="6" t="s">
        <v>48</v>
      </c>
      <c r="C18" s="5" t="str">
        <f t="shared" si="1"/>
        <v>TK-17_BS VI HSD</v>
      </c>
      <c r="D18" s="7" t="s">
        <v>215</v>
      </c>
      <c r="E18" s="6"/>
      <c r="F18" s="7" t="s">
        <v>116</v>
      </c>
      <c r="G18" s="8" t="s">
        <v>51</v>
      </c>
      <c r="H18" s="5">
        <v>0.0</v>
      </c>
      <c r="I18" s="6"/>
      <c r="J18" s="6"/>
      <c r="K18" s="6"/>
      <c r="L18" s="6"/>
      <c r="M18" s="5" t="s">
        <v>216</v>
      </c>
      <c r="N18" s="6"/>
      <c r="O18" s="5" t="str">
        <f t="shared" si="2"/>
        <v>TK-17</v>
      </c>
      <c r="P18" s="5" t="s">
        <v>53</v>
      </c>
      <c r="Q18" s="5" t="s">
        <v>217</v>
      </c>
      <c r="R18" s="5">
        <v>0.0</v>
      </c>
      <c r="S18" s="5" t="str">
        <f t="shared" si="3"/>
        <v>TK-17</v>
      </c>
      <c r="T18" s="5" t="s">
        <v>53</v>
      </c>
      <c r="U18" s="5" t="s">
        <v>218</v>
      </c>
      <c r="V18" s="6"/>
      <c r="W18" s="5" t="str">
        <f t="shared" si="4"/>
        <v>TK-17</v>
      </c>
      <c r="X18" s="5" t="s">
        <v>53</v>
      </c>
      <c r="Y18" s="5" t="s">
        <v>219</v>
      </c>
      <c r="Z18" s="5">
        <v>0.0</v>
      </c>
      <c r="AA18" s="5" t="str">
        <f t="shared" si="5"/>
        <v>TK-17</v>
      </c>
      <c r="AB18" s="5" t="s">
        <v>53</v>
      </c>
      <c r="AC18" s="5" t="s">
        <v>220</v>
      </c>
      <c r="AD18" s="5">
        <v>0.0</v>
      </c>
      <c r="AE18" s="6" t="str">
        <f t="shared" si="6"/>
        <v>LSW-06</v>
      </c>
      <c r="AF18" s="5" t="s">
        <v>96</v>
      </c>
      <c r="AG18" s="5" t="s">
        <v>221</v>
      </c>
      <c r="AH18" s="5">
        <v>0.0</v>
      </c>
      <c r="AI18" s="6" t="str">
        <f t="shared" si="7"/>
        <v>LSW-06</v>
      </c>
      <c r="AJ18" s="5" t="s">
        <v>96</v>
      </c>
      <c r="AK18" s="5" t="s">
        <v>222</v>
      </c>
      <c r="AL18" s="5">
        <v>0.0</v>
      </c>
      <c r="AM18" s="6" t="str">
        <f t="shared" si="8"/>
        <v>LSW-06</v>
      </c>
      <c r="AN18" s="6" t="s">
        <v>96</v>
      </c>
      <c r="AO18" s="5" t="s">
        <v>223</v>
      </c>
      <c r="AP18" s="5">
        <v>0.0</v>
      </c>
      <c r="AQ18" s="6" t="str">
        <f t="shared" si="9"/>
        <v>RDR-06</v>
      </c>
      <c r="AR18" s="5" t="s">
        <v>100</v>
      </c>
      <c r="AS18" s="5" t="s">
        <v>224</v>
      </c>
      <c r="AT18" s="5">
        <v>0.0</v>
      </c>
      <c r="AU18" s="6" t="str">
        <f t="shared" si="10"/>
        <v>RDR-06</v>
      </c>
      <c r="AV18" s="5" t="s">
        <v>100</v>
      </c>
      <c r="AW18" s="5" t="s">
        <v>225</v>
      </c>
      <c r="AX18" s="5">
        <v>0.0</v>
      </c>
      <c r="AY18" s="6" t="str">
        <f t="shared" si="11"/>
        <v>RDR-06</v>
      </c>
      <c r="AZ18" s="6" t="s">
        <v>100</v>
      </c>
      <c r="BA18" s="5" t="s">
        <v>226</v>
      </c>
      <c r="BB18" s="5">
        <v>0.0</v>
      </c>
      <c r="BC18" s="6" t="str">
        <f t="shared" si="12"/>
        <v>ROSOV-16</v>
      </c>
      <c r="BD18" s="5" t="s">
        <v>104</v>
      </c>
      <c r="BE18" s="5" t="s">
        <v>227</v>
      </c>
      <c r="BF18" s="5">
        <v>0.0</v>
      </c>
      <c r="BG18" s="6" t="str">
        <f t="shared" si="13"/>
        <v>ROSOV-16</v>
      </c>
      <c r="BH18" s="6" t="s">
        <v>106</v>
      </c>
      <c r="BI18" s="6"/>
      <c r="BJ18" s="6"/>
      <c r="BK18" s="6"/>
      <c r="BL18" s="6"/>
      <c r="BM18" s="6"/>
      <c r="BN18" s="6"/>
      <c r="BO18" s="6"/>
      <c r="BP18" s="6"/>
      <c r="BQ18" s="10" t="s">
        <v>228</v>
      </c>
      <c r="BR18" s="5">
        <v>0.0</v>
      </c>
      <c r="BS18" s="6" t="str">
        <f>MID(BQ18,5,8)</f>
        <v>ROSOV-17</v>
      </c>
      <c r="BT18" s="6" t="s">
        <v>108</v>
      </c>
      <c r="BU18" s="10" t="s">
        <v>229</v>
      </c>
      <c r="BV18" s="5">
        <v>0.0</v>
      </c>
      <c r="BW18" s="6" t="str">
        <f>MID(BU18,5,8)</f>
        <v>ROSOV-17</v>
      </c>
      <c r="BX18" s="6" t="s">
        <v>110</v>
      </c>
      <c r="BY18" s="10" t="s">
        <v>230</v>
      </c>
      <c r="BZ18" s="5">
        <v>0.0</v>
      </c>
      <c r="CA18" s="6" t="str">
        <f>MID(BY18,5,8)</f>
        <v>ROSOV-18</v>
      </c>
      <c r="CB18" s="6" t="s">
        <v>132</v>
      </c>
      <c r="CC18" s="10" t="s">
        <v>231</v>
      </c>
      <c r="CD18" s="12">
        <v>0.0</v>
      </c>
      <c r="CE18" s="6" t="str">
        <f>MID(CC18,5,8)</f>
        <v>ROSOV-18</v>
      </c>
      <c r="CF18" s="6" t="s">
        <v>132</v>
      </c>
      <c r="CG18" s="11" t="s">
        <v>232</v>
      </c>
      <c r="CH18" s="12">
        <v>1.0</v>
      </c>
      <c r="CI18" s="6" t="str">
        <f>MID(CG18,5,8)</f>
        <v>DBBV-018</v>
      </c>
      <c r="CJ18" s="6" t="s">
        <v>112</v>
      </c>
      <c r="CK18" s="6"/>
      <c r="CL18" s="6"/>
      <c r="CM18" s="6"/>
      <c r="CN18" s="6"/>
      <c r="CO18" s="10" t="s">
        <v>233</v>
      </c>
      <c r="CP18" s="12">
        <v>1.0</v>
      </c>
      <c r="CQ18" s="6" t="str">
        <f>MID(CO18,5,8)</f>
        <v>DBBV-019</v>
      </c>
      <c r="CR18" s="6" t="s">
        <v>114</v>
      </c>
      <c r="CS18" s="11" t="s">
        <v>234</v>
      </c>
      <c r="CT18" s="12">
        <v>1.0</v>
      </c>
      <c r="CU18" s="6" t="str">
        <f>MID(CS18,5,8)</f>
        <v>DBBV-020</v>
      </c>
      <c r="CV18" s="6" t="s">
        <v>137</v>
      </c>
      <c r="CW18" s="6"/>
      <c r="CX18" s="6"/>
      <c r="CY18" s="6"/>
      <c r="CZ18" s="6"/>
      <c r="DA18" s="6"/>
      <c r="DB18" s="6"/>
      <c r="DC18" s="6"/>
      <c r="DD18" s="6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7.5"/>
    <col customWidth="1" min="4" max="6" width="12.63"/>
    <col customWidth="1" min="33" max="33" width="32.75"/>
    <col customWidth="1" min="41" max="41" width="32.75"/>
    <col customWidth="1" min="45" max="45" width="32.75"/>
  </cols>
  <sheetData>
    <row r="1" ht="15.75" customHeight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5" t="s">
        <v>235</v>
      </c>
      <c r="H1" s="15" t="s">
        <v>7</v>
      </c>
      <c r="I1" s="15" t="s">
        <v>236</v>
      </c>
      <c r="J1" s="15" t="s">
        <v>14</v>
      </c>
      <c r="K1" s="15" t="s">
        <v>8</v>
      </c>
      <c r="L1" s="15" t="s">
        <v>12</v>
      </c>
      <c r="M1" s="15" t="s">
        <v>237</v>
      </c>
      <c r="N1" s="15" t="s">
        <v>7</v>
      </c>
      <c r="O1" s="15" t="s">
        <v>8</v>
      </c>
      <c r="P1" s="15" t="s">
        <v>12</v>
      </c>
      <c r="Q1" s="15" t="s">
        <v>238</v>
      </c>
      <c r="R1" s="15" t="s">
        <v>14</v>
      </c>
      <c r="S1" s="15" t="s">
        <v>8</v>
      </c>
      <c r="T1" s="15" t="s">
        <v>12</v>
      </c>
      <c r="U1" s="15" t="s">
        <v>239</v>
      </c>
      <c r="V1" s="15" t="s">
        <v>14</v>
      </c>
      <c r="W1" s="15" t="s">
        <v>240</v>
      </c>
      <c r="X1" s="15" t="s">
        <v>9</v>
      </c>
      <c r="Y1" s="15" t="s">
        <v>241</v>
      </c>
      <c r="Z1" s="15" t="s">
        <v>14</v>
      </c>
      <c r="AA1" s="15" t="s">
        <v>240</v>
      </c>
      <c r="AB1" s="15" t="s">
        <v>12</v>
      </c>
      <c r="AC1" s="15" t="s">
        <v>242</v>
      </c>
      <c r="AD1" s="15" t="s">
        <v>14</v>
      </c>
      <c r="AE1" s="15" t="s">
        <v>8</v>
      </c>
      <c r="AF1" s="15" t="s">
        <v>9</v>
      </c>
      <c r="AG1" s="15" t="s">
        <v>243</v>
      </c>
      <c r="AH1" s="15" t="s">
        <v>14</v>
      </c>
      <c r="AI1" s="15" t="s">
        <v>8</v>
      </c>
      <c r="AJ1" s="15" t="s">
        <v>12</v>
      </c>
      <c r="AK1" s="15" t="s">
        <v>244</v>
      </c>
      <c r="AL1" s="15" t="s">
        <v>14</v>
      </c>
      <c r="AM1" s="15" t="s">
        <v>8</v>
      </c>
      <c r="AN1" s="15" t="s">
        <v>12</v>
      </c>
      <c r="AO1" s="15" t="s">
        <v>245</v>
      </c>
      <c r="AP1" s="15" t="s">
        <v>14</v>
      </c>
      <c r="AQ1" s="15" t="s">
        <v>8</v>
      </c>
      <c r="AR1" s="15" t="s">
        <v>12</v>
      </c>
      <c r="AS1" s="15" t="s">
        <v>246</v>
      </c>
      <c r="AT1" s="15" t="s">
        <v>14</v>
      </c>
      <c r="AU1" s="15" t="s">
        <v>240</v>
      </c>
      <c r="AV1" s="15" t="s">
        <v>12</v>
      </c>
      <c r="AW1" s="16" t="s">
        <v>247</v>
      </c>
      <c r="AX1" s="16" t="s">
        <v>14</v>
      </c>
      <c r="AY1" s="17"/>
      <c r="AZ1" s="17"/>
      <c r="BA1" s="17"/>
      <c r="BB1" s="17"/>
      <c r="BC1" s="17"/>
      <c r="BD1" s="17"/>
      <c r="BE1" s="17"/>
    </row>
    <row r="2" ht="15.75" customHeight="1">
      <c r="A2" s="18">
        <v>1155.0</v>
      </c>
      <c r="B2" s="19" t="s">
        <v>248</v>
      </c>
      <c r="C2" s="18" t="str">
        <f t="shared" ref="C2:C18" si="1">CONCATENATE(D2,"_",F2)</f>
        <v>TK-01_BS VI MS</v>
      </c>
      <c r="D2" s="20" t="s">
        <v>49</v>
      </c>
      <c r="E2" s="21"/>
      <c r="F2" s="22" t="s">
        <v>50</v>
      </c>
      <c r="G2" s="23" t="s">
        <v>249</v>
      </c>
      <c r="H2" s="23">
        <v>0.0</v>
      </c>
      <c r="I2" s="24"/>
      <c r="J2" s="24"/>
      <c r="K2" s="21"/>
      <c r="L2" s="21"/>
      <c r="M2" s="24"/>
      <c r="N2" s="24"/>
      <c r="O2" s="21"/>
      <c r="P2" s="21"/>
      <c r="Q2" s="24"/>
      <c r="R2" s="24"/>
      <c r="S2" s="25"/>
      <c r="T2" s="25"/>
      <c r="U2" s="25"/>
      <c r="V2" s="25"/>
      <c r="W2" s="25"/>
      <c r="X2" s="25"/>
      <c r="Y2" s="24"/>
      <c r="Z2" s="26"/>
      <c r="AA2" s="25"/>
      <c r="AB2" s="25"/>
      <c r="AC2" s="24"/>
      <c r="AD2" s="26"/>
      <c r="AE2" s="25"/>
      <c r="AF2" s="25"/>
      <c r="AG2" s="27"/>
      <c r="AH2" s="26"/>
      <c r="AI2" s="25"/>
      <c r="AJ2" s="25"/>
      <c r="AK2" s="25"/>
      <c r="AL2" s="25"/>
      <c r="AM2" s="25"/>
      <c r="AN2" s="25"/>
      <c r="AO2" s="27"/>
      <c r="AP2" s="26"/>
      <c r="AQ2" s="25"/>
      <c r="AR2" s="25"/>
      <c r="AS2" s="24"/>
      <c r="AT2" s="24"/>
      <c r="AU2" s="25"/>
      <c r="AV2" s="25"/>
      <c r="AW2" s="21"/>
      <c r="AX2" s="21"/>
      <c r="AY2" s="17"/>
      <c r="AZ2" s="17"/>
      <c r="BA2" s="17"/>
      <c r="BB2" s="17"/>
      <c r="BC2" s="17"/>
      <c r="BD2" s="17"/>
      <c r="BE2" s="17"/>
    </row>
    <row r="3" ht="15.75" customHeight="1">
      <c r="A3" s="18">
        <v>1155.0</v>
      </c>
      <c r="B3" s="19" t="s">
        <v>248</v>
      </c>
      <c r="C3" s="18" t="str">
        <f t="shared" si="1"/>
        <v>TK-02_BS VI MS</v>
      </c>
      <c r="D3" s="20" t="s">
        <v>57</v>
      </c>
      <c r="E3" s="21"/>
      <c r="F3" s="22" t="s">
        <v>50</v>
      </c>
      <c r="G3" s="28" t="s">
        <v>250</v>
      </c>
      <c r="H3" s="28">
        <v>0.0</v>
      </c>
      <c r="I3" s="29"/>
      <c r="J3" s="29"/>
      <c r="K3" s="21"/>
      <c r="L3" s="21"/>
      <c r="M3" s="29"/>
      <c r="N3" s="29"/>
      <c r="O3" s="21"/>
      <c r="P3" s="21"/>
      <c r="Q3" s="29"/>
      <c r="R3" s="29"/>
      <c r="S3" s="25"/>
      <c r="T3" s="25"/>
      <c r="U3" s="25"/>
      <c r="V3" s="25"/>
      <c r="W3" s="25"/>
      <c r="X3" s="25"/>
      <c r="Y3" s="29"/>
      <c r="Z3" s="30"/>
      <c r="AA3" s="25"/>
      <c r="AB3" s="25"/>
      <c r="AC3" s="29"/>
      <c r="AD3" s="30"/>
      <c r="AE3" s="25"/>
      <c r="AF3" s="25"/>
      <c r="AG3" s="31"/>
      <c r="AH3" s="29"/>
      <c r="AI3" s="25"/>
      <c r="AJ3" s="25"/>
      <c r="AK3" s="25"/>
      <c r="AL3" s="25"/>
      <c r="AM3" s="25"/>
      <c r="AN3" s="25"/>
      <c r="AO3" s="31"/>
      <c r="AP3" s="30"/>
      <c r="AQ3" s="25"/>
      <c r="AR3" s="25"/>
      <c r="AS3" s="29"/>
      <c r="AT3" s="29"/>
      <c r="AU3" s="25"/>
      <c r="AV3" s="25"/>
      <c r="AW3" s="21"/>
      <c r="AX3" s="21"/>
      <c r="AY3" s="17"/>
      <c r="AZ3" s="17"/>
      <c r="BA3" s="17"/>
      <c r="BB3" s="17"/>
      <c r="BC3" s="17"/>
      <c r="BD3" s="17"/>
      <c r="BE3" s="17"/>
    </row>
    <row r="4" ht="15.75" customHeight="1">
      <c r="A4" s="18">
        <v>1155.0</v>
      </c>
      <c r="B4" s="19" t="s">
        <v>248</v>
      </c>
      <c r="C4" s="18" t="str">
        <f t="shared" si="1"/>
        <v>TK-03_ETHANOL</v>
      </c>
      <c r="D4" s="20" t="s">
        <v>62</v>
      </c>
      <c r="E4" s="21"/>
      <c r="F4" s="22" t="s">
        <v>63</v>
      </c>
      <c r="G4" s="28" t="s">
        <v>251</v>
      </c>
      <c r="H4" s="28">
        <v>0.0</v>
      </c>
      <c r="I4" s="29"/>
      <c r="J4" s="29"/>
      <c r="K4" s="21"/>
      <c r="L4" s="21"/>
      <c r="M4" s="29"/>
      <c r="N4" s="29"/>
      <c r="O4" s="21"/>
      <c r="P4" s="21"/>
      <c r="Q4" s="29"/>
      <c r="R4" s="29"/>
      <c r="S4" s="25"/>
      <c r="T4" s="25"/>
      <c r="U4" s="25"/>
      <c r="V4" s="25"/>
      <c r="W4" s="25"/>
      <c r="X4" s="25"/>
      <c r="Y4" s="29"/>
      <c r="Z4" s="30"/>
      <c r="AA4" s="25"/>
      <c r="AB4" s="25"/>
      <c r="AC4" s="29"/>
      <c r="AD4" s="30"/>
      <c r="AE4" s="25"/>
      <c r="AF4" s="25"/>
      <c r="AG4" s="31"/>
      <c r="AH4" s="29"/>
      <c r="AI4" s="25"/>
      <c r="AJ4" s="25"/>
      <c r="AK4" s="25"/>
      <c r="AL4" s="25"/>
      <c r="AM4" s="25"/>
      <c r="AN4" s="25"/>
      <c r="AO4" s="31"/>
      <c r="AP4" s="30"/>
      <c r="AQ4" s="25"/>
      <c r="AR4" s="25"/>
      <c r="AS4" s="29"/>
      <c r="AT4" s="29"/>
      <c r="AU4" s="25"/>
      <c r="AV4" s="25"/>
      <c r="AW4" s="21"/>
      <c r="AX4" s="21"/>
      <c r="AY4" s="17"/>
      <c r="AZ4" s="17"/>
      <c r="BA4" s="17"/>
      <c r="BB4" s="17"/>
      <c r="BC4" s="17"/>
      <c r="BD4" s="17"/>
      <c r="BE4" s="17"/>
    </row>
    <row r="5" ht="15.75" customHeight="1">
      <c r="A5" s="18">
        <v>1155.0</v>
      </c>
      <c r="B5" s="19" t="s">
        <v>248</v>
      </c>
      <c r="C5" s="18" t="str">
        <f t="shared" si="1"/>
        <v>TK-04_ETHANOL</v>
      </c>
      <c r="D5" s="20" t="s">
        <v>68</v>
      </c>
      <c r="E5" s="21"/>
      <c r="F5" s="22" t="s">
        <v>63</v>
      </c>
      <c r="G5" s="28" t="s">
        <v>252</v>
      </c>
      <c r="H5" s="28">
        <v>0.0</v>
      </c>
      <c r="I5" s="29"/>
      <c r="J5" s="29"/>
      <c r="K5" s="21"/>
      <c r="L5" s="21"/>
      <c r="M5" s="29"/>
      <c r="N5" s="29"/>
      <c r="O5" s="21"/>
      <c r="P5" s="21"/>
      <c r="Q5" s="29"/>
      <c r="R5" s="29"/>
      <c r="S5" s="25"/>
      <c r="T5" s="25"/>
      <c r="U5" s="25"/>
      <c r="V5" s="25"/>
      <c r="W5" s="25"/>
      <c r="X5" s="25"/>
      <c r="Y5" s="29"/>
      <c r="Z5" s="30"/>
      <c r="AA5" s="25"/>
      <c r="AB5" s="25"/>
      <c r="AC5" s="29"/>
      <c r="AD5" s="30"/>
      <c r="AE5" s="25"/>
      <c r="AF5" s="25"/>
      <c r="AG5" s="31"/>
      <c r="AH5" s="29"/>
      <c r="AI5" s="25"/>
      <c r="AJ5" s="25"/>
      <c r="AK5" s="25"/>
      <c r="AL5" s="25"/>
      <c r="AM5" s="25"/>
      <c r="AN5" s="25"/>
      <c r="AO5" s="31"/>
      <c r="AP5" s="29"/>
      <c r="AQ5" s="25"/>
      <c r="AR5" s="25"/>
      <c r="AS5" s="29"/>
      <c r="AT5" s="29"/>
      <c r="AU5" s="25"/>
      <c r="AV5" s="25"/>
      <c r="AW5" s="21"/>
      <c r="AX5" s="21"/>
      <c r="AY5" s="17"/>
      <c r="AZ5" s="17"/>
      <c r="BA5" s="17"/>
      <c r="BB5" s="17"/>
      <c r="BC5" s="17"/>
      <c r="BD5" s="17"/>
      <c r="BE5" s="17"/>
    </row>
    <row r="6" ht="15.75" customHeight="1">
      <c r="A6" s="18">
        <v>1155.0</v>
      </c>
      <c r="B6" s="19" t="s">
        <v>248</v>
      </c>
      <c r="C6" s="18" t="str">
        <f t="shared" si="1"/>
        <v>TK-05_BIO DIESEL</v>
      </c>
      <c r="D6" s="20" t="s">
        <v>73</v>
      </c>
      <c r="E6" s="21"/>
      <c r="F6" s="22" t="s">
        <v>74</v>
      </c>
      <c r="G6" s="28" t="s">
        <v>253</v>
      </c>
      <c r="H6" s="28">
        <v>0.0</v>
      </c>
      <c r="I6" s="29"/>
      <c r="J6" s="29"/>
      <c r="K6" s="21"/>
      <c r="L6" s="21"/>
      <c r="M6" s="29"/>
      <c r="N6" s="29"/>
      <c r="O6" s="21"/>
      <c r="P6" s="21"/>
      <c r="Q6" s="29"/>
      <c r="R6" s="29"/>
      <c r="S6" s="25"/>
      <c r="T6" s="25"/>
      <c r="U6" s="25"/>
      <c r="V6" s="25"/>
      <c r="W6" s="25"/>
      <c r="X6" s="25"/>
      <c r="Y6" s="29"/>
      <c r="Z6" s="30"/>
      <c r="AA6" s="25"/>
      <c r="AB6" s="25"/>
      <c r="AC6" s="29"/>
      <c r="AD6" s="30"/>
      <c r="AE6" s="25"/>
      <c r="AF6" s="25"/>
      <c r="AG6" s="31"/>
      <c r="AH6" s="29"/>
      <c r="AI6" s="25"/>
      <c r="AJ6" s="25"/>
      <c r="AK6" s="25"/>
      <c r="AL6" s="25"/>
      <c r="AM6" s="25"/>
      <c r="AN6" s="25"/>
      <c r="AO6" s="31"/>
      <c r="AP6" s="29"/>
      <c r="AQ6" s="25"/>
      <c r="AR6" s="25"/>
      <c r="AS6" s="29"/>
      <c r="AT6" s="29"/>
      <c r="AU6" s="25"/>
      <c r="AV6" s="25"/>
      <c r="AW6" s="21"/>
      <c r="AX6" s="21"/>
      <c r="AY6" s="17"/>
      <c r="AZ6" s="17"/>
      <c r="BA6" s="17"/>
      <c r="BB6" s="17"/>
      <c r="BC6" s="17"/>
      <c r="BD6" s="17"/>
      <c r="BE6" s="17"/>
    </row>
    <row r="7" ht="15.75" customHeight="1">
      <c r="A7" s="18">
        <v>1155.0</v>
      </c>
      <c r="B7" s="19" t="s">
        <v>248</v>
      </c>
      <c r="C7" s="18" t="str">
        <f t="shared" si="1"/>
        <v>TK-06_ETHANOL</v>
      </c>
      <c r="D7" s="20" t="s">
        <v>79</v>
      </c>
      <c r="E7" s="21"/>
      <c r="F7" s="22" t="s">
        <v>63</v>
      </c>
      <c r="G7" s="28" t="s">
        <v>254</v>
      </c>
      <c r="H7" s="28">
        <v>0.0</v>
      </c>
      <c r="I7" s="29"/>
      <c r="J7" s="29"/>
      <c r="K7" s="21"/>
      <c r="L7" s="21"/>
      <c r="M7" s="29"/>
      <c r="N7" s="29"/>
      <c r="O7" s="21"/>
      <c r="P7" s="21"/>
      <c r="Q7" s="29"/>
      <c r="R7" s="29"/>
      <c r="S7" s="25"/>
      <c r="T7" s="25"/>
      <c r="U7" s="25"/>
      <c r="V7" s="25"/>
      <c r="W7" s="25"/>
      <c r="X7" s="25"/>
      <c r="Y7" s="29"/>
      <c r="Z7" s="30"/>
      <c r="AA7" s="25"/>
      <c r="AB7" s="25"/>
      <c r="AC7" s="29"/>
      <c r="AD7" s="30"/>
      <c r="AE7" s="25"/>
      <c r="AF7" s="25"/>
      <c r="AG7" s="31"/>
      <c r="AH7" s="29"/>
      <c r="AI7" s="25"/>
      <c r="AJ7" s="25"/>
      <c r="AK7" s="25"/>
      <c r="AL7" s="25"/>
      <c r="AM7" s="25"/>
      <c r="AN7" s="25"/>
      <c r="AO7" s="31"/>
      <c r="AP7" s="29"/>
      <c r="AQ7" s="25"/>
      <c r="AR7" s="25"/>
      <c r="AS7" s="29"/>
      <c r="AT7" s="29"/>
      <c r="AU7" s="25"/>
      <c r="AV7" s="25"/>
      <c r="AW7" s="21"/>
      <c r="AX7" s="21"/>
      <c r="AY7" s="17"/>
      <c r="AZ7" s="17"/>
      <c r="BA7" s="17"/>
      <c r="BB7" s="17"/>
      <c r="BC7" s="17"/>
      <c r="BD7" s="17"/>
      <c r="BE7" s="17"/>
    </row>
    <row r="8" ht="15.75" customHeight="1">
      <c r="A8" s="18">
        <v>1155.0</v>
      </c>
      <c r="B8" s="19" t="s">
        <v>248</v>
      </c>
      <c r="C8" s="18" t="str">
        <f t="shared" si="1"/>
        <v>TK-07_SKO</v>
      </c>
      <c r="D8" s="20" t="s">
        <v>84</v>
      </c>
      <c r="E8" s="21"/>
      <c r="F8" s="22" t="s">
        <v>85</v>
      </c>
      <c r="G8" s="28" t="s">
        <v>255</v>
      </c>
      <c r="H8" s="28">
        <v>0.0</v>
      </c>
      <c r="I8" s="29"/>
      <c r="J8" s="29"/>
      <c r="K8" s="21"/>
      <c r="L8" s="21"/>
      <c r="M8" s="29"/>
      <c r="N8" s="29"/>
      <c r="O8" s="21"/>
      <c r="P8" s="21"/>
      <c r="Q8" s="29"/>
      <c r="R8" s="29"/>
      <c r="S8" s="25"/>
      <c r="T8" s="25"/>
      <c r="U8" s="25"/>
      <c r="V8" s="25"/>
      <c r="W8" s="25"/>
      <c r="X8" s="25"/>
      <c r="Y8" s="29"/>
      <c r="Z8" s="30"/>
      <c r="AA8" s="25"/>
      <c r="AB8" s="25"/>
      <c r="AC8" s="29"/>
      <c r="AD8" s="30"/>
      <c r="AE8" s="25"/>
      <c r="AF8" s="25"/>
      <c r="AG8" s="31"/>
      <c r="AH8" s="29"/>
      <c r="AI8" s="25"/>
      <c r="AJ8" s="25"/>
      <c r="AK8" s="25"/>
      <c r="AL8" s="25"/>
      <c r="AM8" s="25"/>
      <c r="AN8" s="25"/>
      <c r="AO8" s="31"/>
      <c r="AP8" s="29"/>
      <c r="AQ8" s="25"/>
      <c r="AR8" s="25"/>
      <c r="AS8" s="29"/>
      <c r="AT8" s="29"/>
      <c r="AU8" s="25"/>
      <c r="AV8" s="25"/>
      <c r="AW8" s="21"/>
      <c r="AX8" s="21"/>
      <c r="AY8" s="17"/>
      <c r="AZ8" s="17"/>
      <c r="BA8" s="17"/>
      <c r="BB8" s="17"/>
      <c r="BC8" s="17"/>
      <c r="BD8" s="17"/>
      <c r="BE8" s="17"/>
    </row>
    <row r="9" ht="15.75" customHeight="1">
      <c r="A9" s="18">
        <v>1155.0</v>
      </c>
      <c r="B9" s="19" t="s">
        <v>248</v>
      </c>
      <c r="C9" s="18" t="str">
        <f t="shared" si="1"/>
        <v>TK-08_ETHANOL</v>
      </c>
      <c r="D9" s="20" t="s">
        <v>90</v>
      </c>
      <c r="E9" s="21"/>
      <c r="F9" s="22" t="s">
        <v>63</v>
      </c>
      <c r="G9" s="28" t="s">
        <v>256</v>
      </c>
      <c r="H9" s="28">
        <v>0.0</v>
      </c>
      <c r="I9" s="28" t="s">
        <v>257</v>
      </c>
      <c r="J9" s="28">
        <v>0.0</v>
      </c>
      <c r="K9" s="21" t="str">
        <f t="shared" ref="K9:K18" si="2">MID(I9,13,6)</f>
        <v>LSW-01</v>
      </c>
      <c r="L9" s="21" t="s">
        <v>258</v>
      </c>
      <c r="M9" s="28" t="s">
        <v>259</v>
      </c>
      <c r="N9" s="28">
        <v>0.0</v>
      </c>
      <c r="O9" s="21" t="str">
        <f t="shared" ref="O9:O18" si="3">MID(M9,13,6)</f>
        <v>RDR-01</v>
      </c>
      <c r="P9" s="21" t="s">
        <v>100</v>
      </c>
      <c r="Q9" s="28" t="s">
        <v>260</v>
      </c>
      <c r="R9" s="28">
        <v>0.0</v>
      </c>
      <c r="S9" s="25" t="str">
        <f t="shared" ref="S9:S18" si="4">MID(Q9, 5,8)</f>
        <v>ROSOV-01</v>
      </c>
      <c r="T9" s="25" t="s">
        <v>104</v>
      </c>
      <c r="U9" s="25"/>
      <c r="V9" s="25"/>
      <c r="W9" s="25"/>
      <c r="X9" s="25"/>
      <c r="Y9" s="28" t="s">
        <v>261</v>
      </c>
      <c r="Z9" s="28">
        <v>0.0</v>
      </c>
      <c r="AA9" s="25" t="str">
        <f t="shared" ref="AA9:AA13" si="5">MID(Y9, 5,8)</f>
        <v>ROSOV-02</v>
      </c>
      <c r="AB9" s="25" t="s">
        <v>262</v>
      </c>
      <c r="AC9" s="29"/>
      <c r="AD9" s="30"/>
      <c r="AE9" s="25"/>
      <c r="AF9" s="25"/>
      <c r="AG9" s="32" t="s">
        <v>263</v>
      </c>
      <c r="AH9" s="28">
        <v>0.0</v>
      </c>
      <c r="AI9" s="25" t="str">
        <f t="shared" ref="AI9:AI13" si="6">MID(AG9, 5,8)</f>
        <v>DBBV-001</v>
      </c>
      <c r="AJ9" s="25" t="s">
        <v>112</v>
      </c>
      <c r="AK9" s="25"/>
      <c r="AL9" s="25"/>
      <c r="AM9" s="25"/>
      <c r="AN9" s="25"/>
      <c r="AO9" s="31"/>
      <c r="AP9" s="29"/>
      <c r="AQ9" s="25"/>
      <c r="AR9" s="25"/>
      <c r="AS9" s="28" t="s">
        <v>264</v>
      </c>
      <c r="AT9" s="28">
        <v>0.0</v>
      </c>
      <c r="AU9" s="25" t="str">
        <f t="shared" ref="AU9:AU13" si="7">MID(AS9, 5,8)</f>
        <v>DBBV-003</v>
      </c>
      <c r="AV9" s="25" t="s">
        <v>114</v>
      </c>
      <c r="AW9" s="21"/>
      <c r="AX9" s="21"/>
      <c r="AY9" s="17"/>
      <c r="AZ9" s="17"/>
      <c r="BA9" s="17"/>
      <c r="BB9" s="17"/>
      <c r="BC9" s="17"/>
      <c r="BD9" s="17"/>
      <c r="BE9" s="17"/>
    </row>
    <row r="10" ht="15.75" customHeight="1">
      <c r="A10" s="18">
        <v>1155.0</v>
      </c>
      <c r="B10" s="19" t="s">
        <v>248</v>
      </c>
      <c r="C10" s="18" t="str">
        <f t="shared" si="1"/>
        <v>TK-09_BS VI HSD</v>
      </c>
      <c r="D10" s="20" t="s">
        <v>115</v>
      </c>
      <c r="E10" s="21"/>
      <c r="F10" s="22" t="s">
        <v>116</v>
      </c>
      <c r="G10" s="28" t="s">
        <v>265</v>
      </c>
      <c r="H10" s="28">
        <v>0.0</v>
      </c>
      <c r="I10" s="28" t="s">
        <v>266</v>
      </c>
      <c r="J10" s="28">
        <v>0.0</v>
      </c>
      <c r="K10" s="21" t="str">
        <f t="shared" si="2"/>
        <v>LSW-02</v>
      </c>
      <c r="L10" s="21" t="s">
        <v>258</v>
      </c>
      <c r="M10" s="28" t="s">
        <v>267</v>
      </c>
      <c r="N10" s="28">
        <v>0.0</v>
      </c>
      <c r="O10" s="21" t="str">
        <f t="shared" si="3"/>
        <v>RDR-02</v>
      </c>
      <c r="P10" s="21" t="s">
        <v>100</v>
      </c>
      <c r="Q10" s="28" t="s">
        <v>268</v>
      </c>
      <c r="R10" s="28">
        <v>0.0</v>
      </c>
      <c r="S10" s="25" t="str">
        <f t="shared" si="4"/>
        <v>ROSOV-06</v>
      </c>
      <c r="T10" s="25" t="s">
        <v>104</v>
      </c>
      <c r="U10" s="25"/>
      <c r="V10" s="25"/>
      <c r="W10" s="25"/>
      <c r="X10" s="25"/>
      <c r="Y10" s="28" t="s">
        <v>269</v>
      </c>
      <c r="Z10" s="28">
        <v>0.0</v>
      </c>
      <c r="AA10" s="25" t="str">
        <f t="shared" si="5"/>
        <v>ROSOV-05</v>
      </c>
      <c r="AB10" s="25" t="s">
        <v>262</v>
      </c>
      <c r="AC10" s="28" t="s">
        <v>270</v>
      </c>
      <c r="AD10" s="33">
        <v>0.0</v>
      </c>
      <c r="AE10" s="25" t="str">
        <f t="shared" ref="AE10:AE13" si="8">MID(AC10, 5,8)</f>
        <v>ROSOV-04</v>
      </c>
      <c r="AF10" s="25" t="s">
        <v>132</v>
      </c>
      <c r="AG10" s="34" t="s">
        <v>271</v>
      </c>
      <c r="AH10" s="28">
        <v>0.0</v>
      </c>
      <c r="AI10" s="25" t="str">
        <f t="shared" si="6"/>
        <v>DBBV-004</v>
      </c>
      <c r="AJ10" s="25" t="s">
        <v>112</v>
      </c>
      <c r="AK10" s="25"/>
      <c r="AL10" s="25"/>
      <c r="AM10" s="25"/>
      <c r="AN10" s="25"/>
      <c r="AO10" s="34" t="s">
        <v>272</v>
      </c>
      <c r="AP10" s="28">
        <v>0.0</v>
      </c>
      <c r="AQ10" s="25" t="str">
        <f t="shared" ref="AQ10:AQ13" si="9">MID(AO10, 5,8)</f>
        <v>DBBV-006</v>
      </c>
      <c r="AR10" s="25" t="s">
        <v>137</v>
      </c>
      <c r="AS10" s="28" t="s">
        <v>273</v>
      </c>
      <c r="AT10" s="28">
        <v>0.0</v>
      </c>
      <c r="AU10" s="25" t="str">
        <f t="shared" si="7"/>
        <v>DBBV-005</v>
      </c>
      <c r="AV10" s="25" t="s">
        <v>114</v>
      </c>
      <c r="AW10" s="21"/>
      <c r="AX10" s="21"/>
      <c r="AY10" s="17"/>
      <c r="AZ10" s="17"/>
      <c r="BA10" s="17"/>
      <c r="BB10" s="17"/>
      <c r="BC10" s="17"/>
      <c r="BD10" s="17"/>
      <c r="BE10" s="17"/>
    </row>
    <row r="11" ht="15.75" customHeight="1">
      <c r="A11" s="18">
        <v>1155.0</v>
      </c>
      <c r="B11" s="19" t="s">
        <v>248</v>
      </c>
      <c r="C11" s="18" t="str">
        <f t="shared" si="1"/>
        <v>TK-10_BS VI HSD</v>
      </c>
      <c r="D11" s="20" t="s">
        <v>138</v>
      </c>
      <c r="E11" s="21"/>
      <c r="F11" s="22" t="s">
        <v>116</v>
      </c>
      <c r="G11" s="28" t="s">
        <v>274</v>
      </c>
      <c r="H11" s="28">
        <v>0.0</v>
      </c>
      <c r="I11" s="28" t="s">
        <v>275</v>
      </c>
      <c r="J11" s="28">
        <v>0.0</v>
      </c>
      <c r="K11" s="21" t="str">
        <f t="shared" si="2"/>
        <v>LSW-03</v>
      </c>
      <c r="L11" s="21" t="s">
        <v>258</v>
      </c>
      <c r="M11" s="28" t="s">
        <v>276</v>
      </c>
      <c r="N11" s="28">
        <v>0.0</v>
      </c>
      <c r="O11" s="21" t="str">
        <f t="shared" si="3"/>
        <v>RDR-03</v>
      </c>
      <c r="P11" s="21" t="s">
        <v>100</v>
      </c>
      <c r="Q11" s="28" t="s">
        <v>277</v>
      </c>
      <c r="R11" s="28">
        <v>0.0</v>
      </c>
      <c r="S11" s="25" t="str">
        <f t="shared" si="4"/>
        <v>ROSOV-09</v>
      </c>
      <c r="T11" s="25" t="s">
        <v>104</v>
      </c>
      <c r="U11" s="25"/>
      <c r="V11" s="25"/>
      <c r="W11" s="25"/>
      <c r="X11" s="25"/>
      <c r="Y11" s="28" t="s">
        <v>278</v>
      </c>
      <c r="Z11" s="28">
        <v>0.0</v>
      </c>
      <c r="AA11" s="25" t="str">
        <f t="shared" si="5"/>
        <v>ROSOV-08</v>
      </c>
      <c r="AB11" s="25" t="s">
        <v>262</v>
      </c>
      <c r="AC11" s="28" t="s">
        <v>279</v>
      </c>
      <c r="AD11" s="33">
        <v>0.0</v>
      </c>
      <c r="AE11" s="25" t="str">
        <f t="shared" si="8"/>
        <v>ROSOV-07</v>
      </c>
      <c r="AF11" s="25" t="s">
        <v>132</v>
      </c>
      <c r="AG11" s="34" t="s">
        <v>280</v>
      </c>
      <c r="AH11" s="28">
        <v>0.0</v>
      </c>
      <c r="AI11" s="25" t="str">
        <f t="shared" si="6"/>
        <v>DBBV-007</v>
      </c>
      <c r="AJ11" s="25" t="s">
        <v>112</v>
      </c>
      <c r="AK11" s="25"/>
      <c r="AL11" s="25"/>
      <c r="AM11" s="25"/>
      <c r="AN11" s="25"/>
      <c r="AO11" s="34" t="s">
        <v>281</v>
      </c>
      <c r="AP11" s="28">
        <v>0.0</v>
      </c>
      <c r="AQ11" s="25" t="str">
        <f t="shared" si="9"/>
        <v>DBBV-009</v>
      </c>
      <c r="AR11" s="25" t="s">
        <v>137</v>
      </c>
      <c r="AS11" s="28" t="s">
        <v>282</v>
      </c>
      <c r="AT11" s="28">
        <v>0.0</v>
      </c>
      <c r="AU11" s="25" t="str">
        <f t="shared" si="7"/>
        <v>DBBV-008</v>
      </c>
      <c r="AV11" s="25" t="s">
        <v>114</v>
      </c>
      <c r="AW11" s="21"/>
      <c r="AX11" s="21"/>
      <c r="AY11" s="17"/>
      <c r="AZ11" s="17"/>
      <c r="BA11" s="17"/>
      <c r="BB11" s="17"/>
      <c r="BC11" s="17"/>
      <c r="BD11" s="17"/>
      <c r="BE11" s="17"/>
    </row>
    <row r="12" ht="15.75" customHeight="1">
      <c r="A12" s="18">
        <v>1155.0</v>
      </c>
      <c r="B12" s="19" t="s">
        <v>248</v>
      </c>
      <c r="C12" s="18" t="str">
        <f t="shared" si="1"/>
        <v>TK-11_BS VI MS</v>
      </c>
      <c r="D12" s="20" t="s">
        <v>158</v>
      </c>
      <c r="E12" s="21"/>
      <c r="F12" s="22" t="s">
        <v>50</v>
      </c>
      <c r="G12" s="28" t="s">
        <v>283</v>
      </c>
      <c r="H12" s="28">
        <v>0.0</v>
      </c>
      <c r="I12" s="28" t="s">
        <v>284</v>
      </c>
      <c r="J12" s="28">
        <v>0.0</v>
      </c>
      <c r="K12" s="21" t="str">
        <f t="shared" si="2"/>
        <v>LSW-04</v>
      </c>
      <c r="L12" s="21" t="s">
        <v>258</v>
      </c>
      <c r="M12" s="28" t="s">
        <v>285</v>
      </c>
      <c r="N12" s="28">
        <v>0.0</v>
      </c>
      <c r="O12" s="21" t="str">
        <f t="shared" si="3"/>
        <v>RDR-04</v>
      </c>
      <c r="P12" s="21" t="s">
        <v>100</v>
      </c>
      <c r="Q12" s="28" t="s">
        <v>286</v>
      </c>
      <c r="R12" s="28">
        <v>0.0</v>
      </c>
      <c r="S12" s="25" t="str">
        <f t="shared" si="4"/>
        <v>ROSOV-12</v>
      </c>
      <c r="T12" s="25" t="s">
        <v>104</v>
      </c>
      <c r="U12" s="25"/>
      <c r="V12" s="25"/>
      <c r="W12" s="25"/>
      <c r="X12" s="25"/>
      <c r="Y12" s="28" t="s">
        <v>287</v>
      </c>
      <c r="Z12" s="28">
        <v>0.0</v>
      </c>
      <c r="AA12" s="25" t="str">
        <f t="shared" si="5"/>
        <v>ROSOV-11</v>
      </c>
      <c r="AB12" s="25" t="s">
        <v>262</v>
      </c>
      <c r="AC12" s="28" t="s">
        <v>288</v>
      </c>
      <c r="AD12" s="33">
        <v>0.0</v>
      </c>
      <c r="AE12" s="25" t="str">
        <f t="shared" si="8"/>
        <v>ROSOV-10</v>
      </c>
      <c r="AF12" s="25" t="s">
        <v>132</v>
      </c>
      <c r="AG12" s="34" t="s">
        <v>289</v>
      </c>
      <c r="AH12" s="28">
        <v>0.0</v>
      </c>
      <c r="AI12" s="25" t="str">
        <f t="shared" si="6"/>
        <v>DBBV-010</v>
      </c>
      <c r="AJ12" s="25" t="s">
        <v>112</v>
      </c>
      <c r="AK12" s="25"/>
      <c r="AL12" s="25"/>
      <c r="AM12" s="25"/>
      <c r="AN12" s="25"/>
      <c r="AO12" s="34" t="s">
        <v>290</v>
      </c>
      <c r="AP12" s="28">
        <v>0.0</v>
      </c>
      <c r="AQ12" s="25" t="str">
        <f t="shared" si="9"/>
        <v>DBBV-012</v>
      </c>
      <c r="AR12" s="25" t="s">
        <v>137</v>
      </c>
      <c r="AS12" s="28" t="s">
        <v>291</v>
      </c>
      <c r="AT12" s="28">
        <v>0.0</v>
      </c>
      <c r="AU12" s="25" t="str">
        <f t="shared" si="7"/>
        <v>DBBV-011</v>
      </c>
      <c r="AV12" s="25" t="s">
        <v>114</v>
      </c>
      <c r="AW12" s="21"/>
      <c r="AX12" s="21"/>
      <c r="AY12" s="17"/>
      <c r="AZ12" s="17"/>
      <c r="BA12" s="17"/>
      <c r="BB12" s="17"/>
      <c r="BC12" s="17"/>
      <c r="BD12" s="17"/>
      <c r="BE12" s="17"/>
    </row>
    <row r="13" ht="15.75" customHeight="1">
      <c r="A13" s="18">
        <v>1155.0</v>
      </c>
      <c r="B13" s="19" t="s">
        <v>248</v>
      </c>
      <c r="C13" s="18" t="str">
        <f t="shared" si="1"/>
        <v>TK-12_BS VI MS</v>
      </c>
      <c r="D13" s="20" t="s">
        <v>178</v>
      </c>
      <c r="E13" s="21"/>
      <c r="F13" s="22" t="s">
        <v>50</v>
      </c>
      <c r="G13" s="28" t="s">
        <v>292</v>
      </c>
      <c r="H13" s="28">
        <v>0.0</v>
      </c>
      <c r="I13" s="28" t="s">
        <v>293</v>
      </c>
      <c r="J13" s="28">
        <v>0.0</v>
      </c>
      <c r="K13" s="21" t="str">
        <f t="shared" si="2"/>
        <v>LSW-05</v>
      </c>
      <c r="L13" s="21" t="s">
        <v>258</v>
      </c>
      <c r="M13" s="28" t="s">
        <v>294</v>
      </c>
      <c r="N13" s="28">
        <v>0.0</v>
      </c>
      <c r="O13" s="21" t="str">
        <f t="shared" si="3"/>
        <v>RDR-05</v>
      </c>
      <c r="P13" s="21" t="s">
        <v>100</v>
      </c>
      <c r="Q13" s="28" t="s">
        <v>295</v>
      </c>
      <c r="R13" s="28">
        <v>0.0</v>
      </c>
      <c r="S13" s="25" t="str">
        <f t="shared" si="4"/>
        <v>ROSOV-15</v>
      </c>
      <c r="T13" s="25" t="s">
        <v>104</v>
      </c>
      <c r="U13" s="25"/>
      <c r="V13" s="25"/>
      <c r="W13" s="25"/>
      <c r="X13" s="25"/>
      <c r="Y13" s="28" t="s">
        <v>296</v>
      </c>
      <c r="Z13" s="28">
        <v>0.0</v>
      </c>
      <c r="AA13" s="25" t="str">
        <f t="shared" si="5"/>
        <v>ROSOV-14</v>
      </c>
      <c r="AB13" s="25" t="s">
        <v>262</v>
      </c>
      <c r="AC13" s="28" t="s">
        <v>297</v>
      </c>
      <c r="AD13" s="33">
        <v>0.0</v>
      </c>
      <c r="AE13" s="25" t="str">
        <f t="shared" si="8"/>
        <v>ROSOV-13</v>
      </c>
      <c r="AF13" s="25" t="s">
        <v>132</v>
      </c>
      <c r="AG13" s="34" t="s">
        <v>298</v>
      </c>
      <c r="AH13" s="28">
        <v>0.0</v>
      </c>
      <c r="AI13" s="25" t="str">
        <f t="shared" si="6"/>
        <v>DBBV-013</v>
      </c>
      <c r="AJ13" s="25" t="s">
        <v>112</v>
      </c>
      <c r="AK13" s="25"/>
      <c r="AL13" s="25"/>
      <c r="AM13" s="25"/>
      <c r="AN13" s="25"/>
      <c r="AO13" s="34" t="s">
        <v>299</v>
      </c>
      <c r="AP13" s="28">
        <v>0.0</v>
      </c>
      <c r="AQ13" s="25" t="str">
        <f t="shared" si="9"/>
        <v>DBBV-015</v>
      </c>
      <c r="AR13" s="25" t="s">
        <v>137</v>
      </c>
      <c r="AS13" s="28" t="s">
        <v>300</v>
      </c>
      <c r="AT13" s="28">
        <v>0.0</v>
      </c>
      <c r="AU13" s="25" t="str">
        <f t="shared" si="7"/>
        <v>DBBV-014</v>
      </c>
      <c r="AV13" s="25" t="s">
        <v>114</v>
      </c>
      <c r="AW13" s="21"/>
      <c r="AX13" s="21"/>
      <c r="AY13" s="17"/>
      <c r="AZ13" s="17"/>
      <c r="BA13" s="17"/>
      <c r="BB13" s="17"/>
      <c r="BC13" s="17"/>
      <c r="BD13" s="17"/>
      <c r="BE13" s="17"/>
    </row>
    <row r="14" ht="15.75" customHeight="1">
      <c r="A14" s="18">
        <v>1155.0</v>
      </c>
      <c r="B14" s="19" t="s">
        <v>248</v>
      </c>
      <c r="C14" s="18" t="str">
        <f t="shared" si="1"/>
        <v>TK-13_WATER</v>
      </c>
      <c r="D14" s="20" t="s">
        <v>198</v>
      </c>
      <c r="E14" s="21"/>
      <c r="F14" s="22" t="s">
        <v>199</v>
      </c>
      <c r="G14" s="28" t="s">
        <v>301</v>
      </c>
      <c r="H14" s="28">
        <v>0.0</v>
      </c>
      <c r="I14" s="29"/>
      <c r="J14" s="29"/>
      <c r="K14" s="21" t="str">
        <f t="shared" si="2"/>
        <v/>
      </c>
      <c r="L14" s="21"/>
      <c r="M14" s="29"/>
      <c r="N14" s="29"/>
      <c r="O14" s="21" t="str">
        <f t="shared" si="3"/>
        <v/>
      </c>
      <c r="P14" s="21"/>
      <c r="Q14" s="29"/>
      <c r="R14" s="29"/>
      <c r="S14" s="25" t="str">
        <f t="shared" si="4"/>
        <v/>
      </c>
      <c r="T14" s="25"/>
      <c r="U14" s="25"/>
      <c r="V14" s="25"/>
      <c r="W14" s="25"/>
      <c r="X14" s="25"/>
      <c r="Y14" s="29"/>
      <c r="Z14" s="29"/>
      <c r="AA14" s="25"/>
      <c r="AB14" s="25"/>
      <c r="AC14" s="29"/>
      <c r="AD14" s="30"/>
      <c r="AE14" s="25"/>
      <c r="AF14" s="25"/>
      <c r="AG14" s="31"/>
      <c r="AH14" s="29"/>
      <c r="AI14" s="25"/>
      <c r="AJ14" s="25"/>
      <c r="AK14" s="25"/>
      <c r="AL14" s="25"/>
      <c r="AM14" s="25"/>
      <c r="AN14" s="25"/>
      <c r="AO14" s="31"/>
      <c r="AP14" s="29"/>
      <c r="AQ14" s="25"/>
      <c r="AR14" s="25"/>
      <c r="AS14" s="29"/>
      <c r="AT14" s="29"/>
      <c r="AU14" s="25"/>
      <c r="AV14" s="25"/>
      <c r="AW14" s="21"/>
      <c r="AX14" s="21"/>
      <c r="AY14" s="17"/>
      <c r="AZ14" s="17"/>
      <c r="BA14" s="17"/>
      <c r="BB14" s="17"/>
      <c r="BC14" s="17"/>
      <c r="BD14" s="17"/>
      <c r="BE14" s="17"/>
    </row>
    <row r="15" ht="15.75" customHeight="1">
      <c r="A15" s="18">
        <v>1155.0</v>
      </c>
      <c r="B15" s="19" t="s">
        <v>248</v>
      </c>
      <c r="C15" s="18" t="str">
        <f t="shared" si="1"/>
        <v>TK-14_WATER</v>
      </c>
      <c r="D15" s="20" t="s">
        <v>202</v>
      </c>
      <c r="E15" s="21"/>
      <c r="F15" s="22" t="s">
        <v>199</v>
      </c>
      <c r="G15" s="28" t="s">
        <v>302</v>
      </c>
      <c r="H15" s="28">
        <v>0.0</v>
      </c>
      <c r="I15" s="29"/>
      <c r="J15" s="29"/>
      <c r="K15" s="21" t="str">
        <f t="shared" si="2"/>
        <v/>
      </c>
      <c r="L15" s="21"/>
      <c r="M15" s="29"/>
      <c r="N15" s="29"/>
      <c r="O15" s="21" t="str">
        <f t="shared" si="3"/>
        <v/>
      </c>
      <c r="P15" s="21"/>
      <c r="Q15" s="29"/>
      <c r="R15" s="29"/>
      <c r="S15" s="25" t="str">
        <f t="shared" si="4"/>
        <v/>
      </c>
      <c r="T15" s="25"/>
      <c r="U15" s="25"/>
      <c r="V15" s="25"/>
      <c r="W15" s="25"/>
      <c r="X15" s="25"/>
      <c r="Y15" s="29"/>
      <c r="Z15" s="29"/>
      <c r="AA15" s="25"/>
      <c r="AB15" s="25"/>
      <c r="AC15" s="29"/>
      <c r="AD15" s="30"/>
      <c r="AE15" s="25"/>
      <c r="AF15" s="25"/>
      <c r="AG15" s="31"/>
      <c r="AH15" s="29"/>
      <c r="AI15" s="25"/>
      <c r="AJ15" s="25"/>
      <c r="AK15" s="25"/>
      <c r="AL15" s="25"/>
      <c r="AM15" s="25"/>
      <c r="AN15" s="25"/>
      <c r="AO15" s="31"/>
      <c r="AP15" s="29"/>
      <c r="AQ15" s="25"/>
      <c r="AR15" s="25"/>
      <c r="AS15" s="29"/>
      <c r="AT15" s="29"/>
      <c r="AU15" s="25"/>
      <c r="AV15" s="25"/>
      <c r="AW15" s="21"/>
      <c r="AX15" s="21"/>
      <c r="AY15" s="17"/>
      <c r="AZ15" s="17"/>
      <c r="BA15" s="17"/>
      <c r="BB15" s="17"/>
      <c r="BC15" s="17"/>
      <c r="BD15" s="17"/>
      <c r="BE15" s="17"/>
    </row>
    <row r="16" ht="15.75" customHeight="1">
      <c r="A16" s="18">
        <v>1155.0</v>
      </c>
      <c r="B16" s="19" t="s">
        <v>248</v>
      </c>
      <c r="C16" s="18" t="str">
        <f t="shared" si="1"/>
        <v>TK-15_BS VI MS</v>
      </c>
      <c r="D16" s="20" t="s">
        <v>205</v>
      </c>
      <c r="E16" s="21"/>
      <c r="F16" s="22" t="s">
        <v>50</v>
      </c>
      <c r="G16" s="28" t="s">
        <v>303</v>
      </c>
      <c r="H16" s="28">
        <v>0.0</v>
      </c>
      <c r="I16" s="29"/>
      <c r="J16" s="29"/>
      <c r="K16" s="21" t="str">
        <f t="shared" si="2"/>
        <v/>
      </c>
      <c r="L16" s="21"/>
      <c r="M16" s="29"/>
      <c r="N16" s="29"/>
      <c r="O16" s="21" t="str">
        <f t="shared" si="3"/>
        <v/>
      </c>
      <c r="P16" s="21"/>
      <c r="Q16" s="29"/>
      <c r="R16" s="29"/>
      <c r="S16" s="25" t="str">
        <f t="shared" si="4"/>
        <v/>
      </c>
      <c r="T16" s="25"/>
      <c r="U16" s="25"/>
      <c r="V16" s="25"/>
      <c r="W16" s="25"/>
      <c r="X16" s="25"/>
      <c r="Y16" s="29"/>
      <c r="Z16" s="29"/>
      <c r="AA16" s="25"/>
      <c r="AB16" s="25"/>
      <c r="AC16" s="29"/>
      <c r="AD16" s="30"/>
      <c r="AE16" s="25"/>
      <c r="AF16" s="25"/>
      <c r="AG16" s="31"/>
      <c r="AH16" s="29"/>
      <c r="AI16" s="25"/>
      <c r="AJ16" s="25"/>
      <c r="AK16" s="25"/>
      <c r="AL16" s="25"/>
      <c r="AM16" s="25"/>
      <c r="AN16" s="25"/>
      <c r="AO16" s="31"/>
      <c r="AP16" s="29"/>
      <c r="AQ16" s="25"/>
      <c r="AR16" s="25"/>
      <c r="AS16" s="29"/>
      <c r="AT16" s="29"/>
      <c r="AU16" s="25"/>
      <c r="AV16" s="25"/>
      <c r="AW16" s="21"/>
      <c r="AX16" s="21"/>
      <c r="AY16" s="17"/>
      <c r="AZ16" s="17"/>
      <c r="BA16" s="17"/>
      <c r="BB16" s="17"/>
      <c r="BC16" s="17"/>
      <c r="BD16" s="17"/>
      <c r="BE16" s="17"/>
    </row>
    <row r="17" ht="15.75" customHeight="1">
      <c r="A17" s="18">
        <v>1155.0</v>
      </c>
      <c r="B17" s="19" t="s">
        <v>248</v>
      </c>
      <c r="C17" s="18" t="str">
        <f t="shared" si="1"/>
        <v>TK-16_BS VI MS</v>
      </c>
      <c r="D17" s="20" t="s">
        <v>210</v>
      </c>
      <c r="E17" s="21"/>
      <c r="F17" s="22" t="s">
        <v>50</v>
      </c>
      <c r="G17" s="28" t="s">
        <v>304</v>
      </c>
      <c r="H17" s="28">
        <v>0.0</v>
      </c>
      <c r="I17" s="29"/>
      <c r="J17" s="29"/>
      <c r="K17" s="21" t="str">
        <f t="shared" si="2"/>
        <v/>
      </c>
      <c r="L17" s="21"/>
      <c r="M17" s="29"/>
      <c r="N17" s="29"/>
      <c r="O17" s="21" t="str">
        <f t="shared" si="3"/>
        <v/>
      </c>
      <c r="P17" s="21"/>
      <c r="Q17" s="29"/>
      <c r="R17" s="29"/>
      <c r="S17" s="25" t="str">
        <f t="shared" si="4"/>
        <v/>
      </c>
      <c r="T17" s="25"/>
      <c r="U17" s="25"/>
      <c r="V17" s="25"/>
      <c r="W17" s="25"/>
      <c r="X17" s="25"/>
      <c r="Y17" s="29"/>
      <c r="Z17" s="29"/>
      <c r="AA17" s="25"/>
      <c r="AB17" s="25"/>
      <c r="AC17" s="29"/>
      <c r="AD17" s="33">
        <v>0.0</v>
      </c>
      <c r="AE17" s="25"/>
      <c r="AF17" s="25"/>
      <c r="AG17" s="31"/>
      <c r="AH17" s="29"/>
      <c r="AI17" s="25"/>
      <c r="AJ17" s="25"/>
      <c r="AK17" s="25"/>
      <c r="AL17" s="25"/>
      <c r="AM17" s="25"/>
      <c r="AN17" s="25"/>
      <c r="AO17" s="31"/>
      <c r="AP17" s="29"/>
      <c r="AQ17" s="25"/>
      <c r="AR17" s="25"/>
      <c r="AS17" s="29"/>
      <c r="AT17" s="29"/>
      <c r="AU17" s="25"/>
      <c r="AV17" s="25"/>
      <c r="AW17" s="21"/>
      <c r="AX17" s="21"/>
      <c r="AY17" s="17"/>
      <c r="AZ17" s="17"/>
      <c r="BA17" s="17"/>
      <c r="BB17" s="17"/>
      <c r="BC17" s="17"/>
      <c r="BD17" s="17"/>
      <c r="BE17" s="17"/>
    </row>
    <row r="18" ht="15.75" customHeight="1">
      <c r="A18" s="18">
        <v>1155.0</v>
      </c>
      <c r="B18" s="19" t="s">
        <v>248</v>
      </c>
      <c r="C18" s="18" t="str">
        <f t="shared" si="1"/>
        <v>TK-17_BS VI HSD</v>
      </c>
      <c r="D18" s="20" t="s">
        <v>215</v>
      </c>
      <c r="E18" s="21"/>
      <c r="F18" s="22" t="s">
        <v>116</v>
      </c>
      <c r="G18" s="28" t="s">
        <v>305</v>
      </c>
      <c r="H18" s="28">
        <v>0.0</v>
      </c>
      <c r="I18" s="28" t="s">
        <v>306</v>
      </c>
      <c r="J18" s="28">
        <v>0.0</v>
      </c>
      <c r="K18" s="21" t="str">
        <f t="shared" si="2"/>
        <v>LSW-06</v>
      </c>
      <c r="L18" s="21" t="s">
        <v>258</v>
      </c>
      <c r="M18" s="28" t="s">
        <v>307</v>
      </c>
      <c r="N18" s="28">
        <v>0.0</v>
      </c>
      <c r="O18" s="21" t="str">
        <f t="shared" si="3"/>
        <v>RDR-06</v>
      </c>
      <c r="P18" s="21" t="s">
        <v>100</v>
      </c>
      <c r="Q18" s="28" t="s">
        <v>308</v>
      </c>
      <c r="R18" s="28">
        <v>0.0</v>
      </c>
      <c r="S18" s="25" t="str">
        <f t="shared" si="4"/>
        <v>ROSOV-16</v>
      </c>
      <c r="T18" s="25" t="s">
        <v>104</v>
      </c>
      <c r="U18" s="25"/>
      <c r="V18" s="25"/>
      <c r="W18" s="25"/>
      <c r="X18" s="25"/>
      <c r="Y18" s="28" t="s">
        <v>309</v>
      </c>
      <c r="Z18" s="28">
        <v>0.0</v>
      </c>
      <c r="AA18" s="25" t="str">
        <f>MID(Y18, 5,8)</f>
        <v>ROSOV-17</v>
      </c>
      <c r="AB18" s="25" t="s">
        <v>262</v>
      </c>
      <c r="AC18" s="28" t="s">
        <v>310</v>
      </c>
      <c r="AD18" s="21"/>
      <c r="AE18" s="25" t="str">
        <f>MID(AC18, 5,8)</f>
        <v>ROSOV-18</v>
      </c>
      <c r="AF18" s="25" t="s">
        <v>132</v>
      </c>
      <c r="AG18" s="32" t="s">
        <v>311</v>
      </c>
      <c r="AH18" s="28">
        <v>0.0</v>
      </c>
      <c r="AI18" s="25" t="str">
        <f>MID(AG18, 5,8)</f>
        <v>DBBV-018</v>
      </c>
      <c r="AJ18" s="25" t="s">
        <v>112</v>
      </c>
      <c r="AK18" s="25"/>
      <c r="AL18" s="25"/>
      <c r="AM18" s="25"/>
      <c r="AN18" s="25"/>
      <c r="AO18" s="32" t="s">
        <v>312</v>
      </c>
      <c r="AP18" s="28">
        <v>0.0</v>
      </c>
      <c r="AQ18" s="25" t="str">
        <f>MID(AO18, 5,8)</f>
        <v>DBBV-020</v>
      </c>
      <c r="AR18" s="25" t="s">
        <v>137</v>
      </c>
      <c r="AS18" s="28" t="s">
        <v>313</v>
      </c>
      <c r="AT18" s="28">
        <v>0.0</v>
      </c>
      <c r="AU18" s="25" t="str">
        <f>MID(AS18, 5,8)</f>
        <v>DBBV-019</v>
      </c>
      <c r="AV18" s="25" t="s">
        <v>114</v>
      </c>
      <c r="AW18" s="21"/>
      <c r="AX18" s="21"/>
      <c r="AY18" s="17"/>
      <c r="AZ18" s="17"/>
      <c r="BA18" s="17"/>
      <c r="BB18" s="17"/>
      <c r="BC18" s="17"/>
      <c r="BD18" s="17"/>
      <c r="BE18" s="17"/>
    </row>
    <row r="19" ht="15.75" customHeight="1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</row>
    <row r="20" ht="15.75" customHeight="1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</row>
    <row r="21" ht="15.75" customHeight="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</row>
    <row r="22" ht="15.75" customHeight="1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</row>
    <row r="23" ht="15.75" customHeight="1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</row>
    <row r="24" ht="15.75" customHeight="1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</row>
    <row r="25" ht="15.75" customHeight="1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</row>
    <row r="26" ht="15.75" customHeight="1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</row>
    <row r="27" ht="15.75" customHeight="1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</row>
    <row r="28" ht="15.75" customHeight="1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</row>
    <row r="29" ht="15.75" customHeight="1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</row>
    <row r="30" ht="15.75" customHeight="1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</row>
    <row r="31" ht="15.75" customHeight="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</row>
    <row r="32" ht="15.75" customHeight="1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</row>
    <row r="33" ht="15.7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</row>
    <row r="34" ht="15.7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</row>
    <row r="35" ht="15.75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</row>
    <row r="36" ht="15.7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</row>
    <row r="37" ht="15.7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</row>
    <row r="38" ht="15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</row>
    <row r="39" ht="15.7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</row>
    <row r="40" ht="15.7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</row>
    <row r="41" ht="15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</row>
    <row r="42" ht="15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</row>
    <row r="43" ht="15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</row>
    <row r="44" ht="15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</row>
    <row r="45" ht="15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</row>
    <row r="46" ht="15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</row>
    <row r="47" ht="15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</row>
    <row r="48" ht="15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</row>
    <row r="49" ht="15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</row>
    <row r="50" ht="15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</row>
    <row r="51" ht="15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</row>
    <row r="52" ht="15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</row>
    <row r="53" ht="15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</row>
    <row r="54" ht="15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</row>
    <row r="55" ht="15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</row>
    <row r="56" ht="15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</row>
    <row r="57" ht="15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</row>
    <row r="58" ht="15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</row>
    <row r="59" ht="15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</row>
    <row r="60" ht="15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</row>
    <row r="61" ht="15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</row>
    <row r="62" ht="15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</row>
    <row r="63" ht="15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</row>
    <row r="64" ht="15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</row>
    <row r="65" ht="15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</row>
    <row r="66" ht="15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</row>
    <row r="67" ht="15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</row>
    <row r="68" ht="15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</row>
    <row r="69" ht="15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</row>
    <row r="70" ht="15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</row>
    <row r="71" ht="15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</row>
    <row r="72" ht="15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</row>
    <row r="73" ht="15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</row>
    <row r="74" ht="15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</row>
    <row r="75" ht="15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</row>
    <row r="76" ht="15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</row>
    <row r="77" ht="15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</row>
    <row r="78" ht="15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</row>
    <row r="79" ht="15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</row>
    <row r="80" ht="15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</row>
    <row r="81" ht="15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</row>
    <row r="82" ht="15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</row>
    <row r="83" ht="15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</row>
    <row r="84" ht="15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</row>
    <row r="85" ht="15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</row>
    <row r="86" ht="15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</row>
    <row r="87" ht="15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</row>
    <row r="88" ht="15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</row>
    <row r="89" ht="15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</row>
    <row r="90" ht="15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</row>
    <row r="91" ht="15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</row>
    <row r="92" ht="15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</row>
    <row r="93" ht="15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</row>
    <row r="94" ht="15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</row>
    <row r="95" ht="15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</row>
    <row r="96" ht="15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</row>
    <row r="97" ht="15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</row>
    <row r="98" ht="15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</row>
    <row r="99" ht="15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</row>
    <row r="100" ht="15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</row>
    <row r="101" ht="15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</row>
    <row r="102" ht="15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</row>
    <row r="103" ht="15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</row>
    <row r="104" ht="15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</row>
    <row r="105" ht="15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</row>
    <row r="106" ht="15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</row>
    <row r="107" ht="15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</row>
    <row r="108" ht="15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</row>
    <row r="109" ht="15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</row>
    <row r="110" ht="15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</row>
    <row r="111" ht="15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</row>
    <row r="112" ht="15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</row>
    <row r="113" ht="15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</row>
    <row r="114" ht="15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</row>
    <row r="115" ht="15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</row>
    <row r="116" ht="15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</row>
    <row r="117" ht="15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</row>
    <row r="118" ht="15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</row>
    <row r="119" ht="15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</row>
    <row r="120" ht="15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</row>
    <row r="121" ht="15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</row>
    <row r="122" ht="15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</row>
    <row r="123" ht="15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</row>
    <row r="124" ht="15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</row>
    <row r="125" ht="15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</row>
    <row r="126" ht="15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</row>
    <row r="127" ht="15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</row>
    <row r="128" ht="15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</row>
    <row r="129" ht="15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</row>
    <row r="130" ht="15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</row>
    <row r="131" ht="15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</row>
    <row r="132" ht="15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</row>
    <row r="133" ht="15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</row>
    <row r="134" ht="15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</row>
    <row r="135" ht="15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</row>
    <row r="136" ht="15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</row>
    <row r="137" ht="15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</row>
    <row r="138" ht="15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</row>
    <row r="139" ht="15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</row>
    <row r="140" ht="15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/>
      <c r="AP140" s="35"/>
      <c r="AQ140" s="35"/>
      <c r="AR140" s="35"/>
      <c r="AS140" s="35"/>
      <c r="AT140" s="35"/>
      <c r="AU140" s="35"/>
      <c r="AV140" s="35"/>
      <c r="AW140" s="35"/>
      <c r="AX140" s="35"/>
    </row>
    <row r="141" ht="15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  <c r="AT141" s="35"/>
      <c r="AU141" s="35"/>
      <c r="AV141" s="35"/>
      <c r="AW141" s="35"/>
      <c r="AX141" s="35"/>
    </row>
    <row r="142" ht="15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  <c r="AM142" s="35"/>
      <c r="AN142" s="35"/>
      <c r="AO142" s="35"/>
      <c r="AP142" s="35"/>
      <c r="AQ142" s="35"/>
      <c r="AR142" s="35"/>
      <c r="AS142" s="35"/>
      <c r="AT142" s="35"/>
      <c r="AU142" s="35"/>
      <c r="AV142" s="35"/>
      <c r="AW142" s="35"/>
      <c r="AX142" s="35"/>
    </row>
    <row r="143" ht="15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L143" s="35"/>
      <c r="AM143" s="35"/>
      <c r="AN143" s="35"/>
      <c r="AO143" s="35"/>
      <c r="AP143" s="35"/>
      <c r="AQ143" s="35"/>
      <c r="AR143" s="35"/>
      <c r="AS143" s="35"/>
      <c r="AT143" s="35"/>
      <c r="AU143" s="35"/>
      <c r="AV143" s="35"/>
      <c r="AW143" s="35"/>
      <c r="AX143" s="35"/>
    </row>
    <row r="144" ht="15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  <c r="AM144" s="35"/>
      <c r="AN144" s="35"/>
      <c r="AO144" s="35"/>
      <c r="AP144" s="35"/>
      <c r="AQ144" s="35"/>
      <c r="AR144" s="35"/>
      <c r="AS144" s="35"/>
      <c r="AT144" s="35"/>
      <c r="AU144" s="35"/>
      <c r="AV144" s="35"/>
      <c r="AW144" s="35"/>
      <c r="AX144" s="35"/>
    </row>
    <row r="145" ht="15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  <c r="AM145" s="35"/>
      <c r="AN145" s="35"/>
      <c r="AO145" s="35"/>
      <c r="AP145" s="35"/>
      <c r="AQ145" s="35"/>
      <c r="AR145" s="35"/>
      <c r="AS145" s="35"/>
      <c r="AT145" s="35"/>
      <c r="AU145" s="35"/>
      <c r="AV145" s="35"/>
      <c r="AW145" s="35"/>
      <c r="AX145" s="35"/>
    </row>
    <row r="146" ht="15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  <c r="AM146" s="35"/>
      <c r="AN146" s="35"/>
      <c r="AO146" s="35"/>
      <c r="AP146" s="35"/>
      <c r="AQ146" s="35"/>
      <c r="AR146" s="35"/>
      <c r="AS146" s="35"/>
      <c r="AT146" s="35"/>
      <c r="AU146" s="35"/>
      <c r="AV146" s="35"/>
      <c r="AW146" s="35"/>
      <c r="AX146" s="35"/>
    </row>
    <row r="147" ht="15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  <c r="AO147" s="35"/>
      <c r="AP147" s="35"/>
      <c r="AQ147" s="35"/>
      <c r="AR147" s="35"/>
      <c r="AS147" s="35"/>
      <c r="AT147" s="35"/>
      <c r="AU147" s="35"/>
      <c r="AV147" s="35"/>
      <c r="AW147" s="35"/>
      <c r="AX147" s="35"/>
    </row>
    <row r="148" ht="15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/>
      <c r="AN148" s="35"/>
      <c r="AO148" s="35"/>
      <c r="AP148" s="35"/>
      <c r="AQ148" s="35"/>
      <c r="AR148" s="35"/>
      <c r="AS148" s="35"/>
      <c r="AT148" s="35"/>
      <c r="AU148" s="35"/>
      <c r="AV148" s="35"/>
      <c r="AW148" s="35"/>
      <c r="AX148" s="35"/>
    </row>
    <row r="149" ht="15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5"/>
      <c r="AL149" s="35"/>
      <c r="AM149" s="35"/>
      <c r="AN149" s="35"/>
      <c r="AO149" s="35"/>
      <c r="AP149" s="35"/>
      <c r="AQ149" s="35"/>
      <c r="AR149" s="35"/>
      <c r="AS149" s="35"/>
      <c r="AT149" s="35"/>
      <c r="AU149" s="35"/>
      <c r="AV149" s="35"/>
      <c r="AW149" s="35"/>
      <c r="AX149" s="35"/>
    </row>
    <row r="150" ht="15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  <c r="AL150" s="35"/>
      <c r="AM150" s="35"/>
      <c r="AN150" s="35"/>
      <c r="AO150" s="35"/>
      <c r="AP150" s="35"/>
      <c r="AQ150" s="35"/>
      <c r="AR150" s="35"/>
      <c r="AS150" s="35"/>
      <c r="AT150" s="35"/>
      <c r="AU150" s="35"/>
      <c r="AV150" s="35"/>
      <c r="AW150" s="35"/>
      <c r="AX150" s="35"/>
    </row>
    <row r="151" ht="15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  <c r="AM151" s="35"/>
      <c r="AN151" s="35"/>
      <c r="AO151" s="35"/>
      <c r="AP151" s="35"/>
      <c r="AQ151" s="35"/>
      <c r="AR151" s="35"/>
      <c r="AS151" s="35"/>
      <c r="AT151" s="35"/>
      <c r="AU151" s="35"/>
      <c r="AV151" s="35"/>
      <c r="AW151" s="35"/>
      <c r="AX151" s="35"/>
    </row>
    <row r="152" ht="15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  <c r="AK152" s="35"/>
      <c r="AL152" s="35"/>
      <c r="AM152" s="35"/>
      <c r="AN152" s="35"/>
      <c r="AO152" s="35"/>
      <c r="AP152" s="35"/>
      <c r="AQ152" s="35"/>
      <c r="AR152" s="35"/>
      <c r="AS152" s="35"/>
      <c r="AT152" s="35"/>
      <c r="AU152" s="35"/>
      <c r="AV152" s="35"/>
      <c r="AW152" s="35"/>
      <c r="AX152" s="35"/>
    </row>
    <row r="153" ht="15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/>
      <c r="AK153" s="35"/>
      <c r="AL153" s="35"/>
      <c r="AM153" s="35"/>
      <c r="AN153" s="35"/>
      <c r="AO153" s="35"/>
      <c r="AP153" s="35"/>
      <c r="AQ153" s="35"/>
      <c r="AR153" s="35"/>
      <c r="AS153" s="35"/>
      <c r="AT153" s="35"/>
      <c r="AU153" s="35"/>
      <c r="AV153" s="35"/>
      <c r="AW153" s="35"/>
      <c r="AX153" s="35"/>
    </row>
    <row r="154" ht="15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  <c r="AM154" s="35"/>
      <c r="AN154" s="35"/>
      <c r="AO154" s="35"/>
      <c r="AP154" s="35"/>
      <c r="AQ154" s="35"/>
      <c r="AR154" s="35"/>
      <c r="AS154" s="35"/>
      <c r="AT154" s="35"/>
      <c r="AU154" s="35"/>
      <c r="AV154" s="35"/>
      <c r="AW154" s="35"/>
      <c r="AX154" s="35"/>
    </row>
    <row r="155" ht="15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  <c r="AM155" s="35"/>
      <c r="AN155" s="35"/>
      <c r="AO155" s="35"/>
      <c r="AP155" s="35"/>
      <c r="AQ155" s="35"/>
      <c r="AR155" s="35"/>
      <c r="AS155" s="35"/>
      <c r="AT155" s="35"/>
      <c r="AU155" s="35"/>
      <c r="AV155" s="35"/>
      <c r="AW155" s="35"/>
      <c r="AX155" s="35"/>
    </row>
    <row r="156" ht="15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  <c r="AM156" s="35"/>
      <c r="AN156" s="35"/>
      <c r="AO156" s="35"/>
      <c r="AP156" s="35"/>
      <c r="AQ156" s="35"/>
      <c r="AR156" s="35"/>
      <c r="AS156" s="35"/>
      <c r="AT156" s="35"/>
      <c r="AU156" s="35"/>
      <c r="AV156" s="35"/>
      <c r="AW156" s="35"/>
      <c r="AX156" s="35"/>
    </row>
    <row r="157" ht="15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  <c r="AK157" s="35"/>
      <c r="AL157" s="35"/>
      <c r="AM157" s="35"/>
      <c r="AN157" s="35"/>
      <c r="AO157" s="35"/>
      <c r="AP157" s="35"/>
      <c r="AQ157" s="35"/>
      <c r="AR157" s="35"/>
      <c r="AS157" s="35"/>
      <c r="AT157" s="35"/>
      <c r="AU157" s="35"/>
      <c r="AV157" s="35"/>
      <c r="AW157" s="35"/>
      <c r="AX157" s="35"/>
    </row>
    <row r="158" ht="15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/>
      <c r="AM158" s="35"/>
      <c r="AN158" s="35"/>
      <c r="AO158" s="35"/>
      <c r="AP158" s="35"/>
      <c r="AQ158" s="35"/>
      <c r="AR158" s="35"/>
      <c r="AS158" s="35"/>
      <c r="AT158" s="35"/>
      <c r="AU158" s="35"/>
      <c r="AV158" s="35"/>
      <c r="AW158" s="35"/>
      <c r="AX158" s="35"/>
    </row>
    <row r="159" ht="15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/>
      <c r="AN159" s="35"/>
      <c r="AO159" s="35"/>
      <c r="AP159" s="35"/>
      <c r="AQ159" s="35"/>
      <c r="AR159" s="35"/>
      <c r="AS159" s="35"/>
      <c r="AT159" s="35"/>
      <c r="AU159" s="35"/>
      <c r="AV159" s="35"/>
      <c r="AW159" s="35"/>
      <c r="AX159" s="35"/>
    </row>
    <row r="160" ht="15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/>
      <c r="AN160" s="35"/>
      <c r="AO160" s="35"/>
      <c r="AP160" s="35"/>
      <c r="AQ160" s="35"/>
      <c r="AR160" s="35"/>
      <c r="AS160" s="35"/>
      <c r="AT160" s="35"/>
      <c r="AU160" s="35"/>
      <c r="AV160" s="35"/>
      <c r="AW160" s="35"/>
      <c r="AX160" s="35"/>
    </row>
    <row r="161" ht="15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  <c r="AK161" s="35"/>
      <c r="AL161" s="35"/>
      <c r="AM161" s="35"/>
      <c r="AN161" s="35"/>
      <c r="AO161" s="35"/>
      <c r="AP161" s="35"/>
      <c r="AQ161" s="35"/>
      <c r="AR161" s="35"/>
      <c r="AS161" s="35"/>
      <c r="AT161" s="35"/>
      <c r="AU161" s="35"/>
      <c r="AV161" s="35"/>
      <c r="AW161" s="35"/>
      <c r="AX161" s="35"/>
    </row>
    <row r="162" ht="15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/>
      <c r="AK162" s="35"/>
      <c r="AL162" s="35"/>
      <c r="AM162" s="35"/>
      <c r="AN162" s="35"/>
      <c r="AO162" s="35"/>
      <c r="AP162" s="35"/>
      <c r="AQ162" s="35"/>
      <c r="AR162" s="35"/>
      <c r="AS162" s="35"/>
      <c r="AT162" s="35"/>
      <c r="AU162" s="35"/>
      <c r="AV162" s="35"/>
      <c r="AW162" s="35"/>
      <c r="AX162" s="35"/>
    </row>
    <row r="163" ht="15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/>
      <c r="AK163" s="35"/>
      <c r="AL163" s="35"/>
      <c r="AM163" s="35"/>
      <c r="AN163" s="35"/>
      <c r="AO163" s="35"/>
      <c r="AP163" s="35"/>
      <c r="AQ163" s="35"/>
      <c r="AR163" s="35"/>
      <c r="AS163" s="35"/>
      <c r="AT163" s="35"/>
      <c r="AU163" s="35"/>
      <c r="AV163" s="35"/>
      <c r="AW163" s="35"/>
      <c r="AX163" s="35"/>
    </row>
    <row r="164" ht="15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  <c r="AM164" s="35"/>
      <c r="AN164" s="35"/>
      <c r="AO164" s="35"/>
      <c r="AP164" s="35"/>
      <c r="AQ164" s="35"/>
      <c r="AR164" s="35"/>
      <c r="AS164" s="35"/>
      <c r="AT164" s="35"/>
      <c r="AU164" s="35"/>
      <c r="AV164" s="35"/>
      <c r="AW164" s="35"/>
      <c r="AX164" s="35"/>
    </row>
    <row r="165" ht="15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35"/>
      <c r="AL165" s="35"/>
      <c r="AM165" s="35"/>
      <c r="AN165" s="35"/>
      <c r="AO165" s="35"/>
      <c r="AP165" s="35"/>
      <c r="AQ165" s="35"/>
      <c r="AR165" s="35"/>
      <c r="AS165" s="35"/>
      <c r="AT165" s="35"/>
      <c r="AU165" s="35"/>
      <c r="AV165" s="35"/>
      <c r="AW165" s="35"/>
      <c r="AX165" s="35"/>
    </row>
    <row r="166" ht="15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  <c r="AL166" s="35"/>
      <c r="AM166" s="35"/>
      <c r="AN166" s="35"/>
      <c r="AO166" s="35"/>
      <c r="AP166" s="35"/>
      <c r="AQ166" s="35"/>
      <c r="AR166" s="35"/>
      <c r="AS166" s="35"/>
      <c r="AT166" s="35"/>
      <c r="AU166" s="35"/>
      <c r="AV166" s="35"/>
      <c r="AW166" s="35"/>
      <c r="AX166" s="35"/>
    </row>
    <row r="167" ht="15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  <c r="AK167" s="35"/>
      <c r="AL167" s="35"/>
      <c r="AM167" s="35"/>
      <c r="AN167" s="35"/>
      <c r="AO167" s="35"/>
      <c r="AP167" s="35"/>
      <c r="AQ167" s="35"/>
      <c r="AR167" s="35"/>
      <c r="AS167" s="35"/>
      <c r="AT167" s="35"/>
      <c r="AU167" s="35"/>
      <c r="AV167" s="35"/>
      <c r="AW167" s="35"/>
      <c r="AX167" s="35"/>
    </row>
    <row r="168" ht="15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/>
      <c r="AK168" s="35"/>
      <c r="AL168" s="35"/>
      <c r="AM168" s="35"/>
      <c r="AN168" s="35"/>
      <c r="AO168" s="35"/>
      <c r="AP168" s="35"/>
      <c r="AQ168" s="35"/>
      <c r="AR168" s="35"/>
      <c r="AS168" s="35"/>
      <c r="AT168" s="35"/>
      <c r="AU168" s="35"/>
      <c r="AV168" s="35"/>
      <c r="AW168" s="35"/>
      <c r="AX168" s="35"/>
    </row>
    <row r="169" ht="15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/>
      <c r="AK169" s="35"/>
      <c r="AL169" s="35"/>
      <c r="AM169" s="35"/>
      <c r="AN169" s="35"/>
      <c r="AO169" s="35"/>
      <c r="AP169" s="35"/>
      <c r="AQ169" s="35"/>
      <c r="AR169" s="35"/>
      <c r="AS169" s="35"/>
      <c r="AT169" s="35"/>
      <c r="AU169" s="35"/>
      <c r="AV169" s="35"/>
      <c r="AW169" s="35"/>
      <c r="AX169" s="35"/>
    </row>
    <row r="170" ht="15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/>
      <c r="AK170" s="35"/>
      <c r="AL170" s="35"/>
      <c r="AM170" s="35"/>
      <c r="AN170" s="35"/>
      <c r="AO170" s="35"/>
      <c r="AP170" s="35"/>
      <c r="AQ170" s="35"/>
      <c r="AR170" s="35"/>
      <c r="AS170" s="35"/>
      <c r="AT170" s="35"/>
      <c r="AU170" s="35"/>
      <c r="AV170" s="35"/>
      <c r="AW170" s="35"/>
      <c r="AX170" s="35"/>
    </row>
    <row r="171" ht="15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35"/>
      <c r="AL171" s="35"/>
      <c r="AM171" s="35"/>
      <c r="AN171" s="35"/>
      <c r="AO171" s="35"/>
      <c r="AP171" s="35"/>
      <c r="AQ171" s="35"/>
      <c r="AR171" s="35"/>
      <c r="AS171" s="35"/>
      <c r="AT171" s="35"/>
      <c r="AU171" s="35"/>
      <c r="AV171" s="35"/>
      <c r="AW171" s="35"/>
      <c r="AX171" s="35"/>
    </row>
    <row r="172" ht="15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  <c r="AK172" s="35"/>
      <c r="AL172" s="35"/>
      <c r="AM172" s="35"/>
      <c r="AN172" s="35"/>
      <c r="AO172" s="35"/>
      <c r="AP172" s="35"/>
      <c r="AQ172" s="35"/>
      <c r="AR172" s="35"/>
      <c r="AS172" s="35"/>
      <c r="AT172" s="35"/>
      <c r="AU172" s="35"/>
      <c r="AV172" s="35"/>
      <c r="AW172" s="35"/>
      <c r="AX172" s="35"/>
    </row>
    <row r="173" ht="15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/>
      <c r="AK173" s="35"/>
      <c r="AL173" s="35"/>
      <c r="AM173" s="35"/>
      <c r="AN173" s="35"/>
      <c r="AO173" s="35"/>
      <c r="AP173" s="35"/>
      <c r="AQ173" s="35"/>
      <c r="AR173" s="35"/>
      <c r="AS173" s="35"/>
      <c r="AT173" s="35"/>
      <c r="AU173" s="35"/>
      <c r="AV173" s="35"/>
      <c r="AW173" s="35"/>
      <c r="AX173" s="35"/>
    </row>
    <row r="174" ht="15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/>
      <c r="AK174" s="35"/>
      <c r="AL174" s="35"/>
      <c r="AM174" s="35"/>
      <c r="AN174" s="35"/>
      <c r="AO174" s="35"/>
      <c r="AP174" s="35"/>
      <c r="AQ174" s="35"/>
      <c r="AR174" s="35"/>
      <c r="AS174" s="35"/>
      <c r="AT174" s="35"/>
      <c r="AU174" s="35"/>
      <c r="AV174" s="35"/>
      <c r="AW174" s="35"/>
      <c r="AX174" s="35"/>
    </row>
    <row r="175" ht="15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/>
      <c r="AK175" s="35"/>
      <c r="AL175" s="35"/>
      <c r="AM175" s="35"/>
      <c r="AN175" s="35"/>
      <c r="AO175" s="35"/>
      <c r="AP175" s="35"/>
      <c r="AQ175" s="35"/>
      <c r="AR175" s="35"/>
      <c r="AS175" s="35"/>
      <c r="AT175" s="35"/>
      <c r="AU175" s="35"/>
      <c r="AV175" s="35"/>
      <c r="AW175" s="35"/>
      <c r="AX175" s="35"/>
    </row>
    <row r="176" ht="15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/>
      <c r="AK176" s="35"/>
      <c r="AL176" s="35"/>
      <c r="AM176" s="35"/>
      <c r="AN176" s="35"/>
      <c r="AO176" s="35"/>
      <c r="AP176" s="35"/>
      <c r="AQ176" s="35"/>
      <c r="AR176" s="35"/>
      <c r="AS176" s="35"/>
      <c r="AT176" s="35"/>
      <c r="AU176" s="35"/>
      <c r="AV176" s="35"/>
      <c r="AW176" s="35"/>
      <c r="AX176" s="35"/>
    </row>
    <row r="177" ht="15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/>
      <c r="AK177" s="35"/>
      <c r="AL177" s="35"/>
      <c r="AM177" s="35"/>
      <c r="AN177" s="35"/>
      <c r="AO177" s="35"/>
      <c r="AP177" s="35"/>
      <c r="AQ177" s="35"/>
      <c r="AR177" s="35"/>
      <c r="AS177" s="35"/>
      <c r="AT177" s="35"/>
      <c r="AU177" s="35"/>
      <c r="AV177" s="35"/>
      <c r="AW177" s="35"/>
      <c r="AX177" s="35"/>
    </row>
    <row r="178" ht="15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/>
      <c r="AK178" s="35"/>
      <c r="AL178" s="35"/>
      <c r="AM178" s="35"/>
      <c r="AN178" s="35"/>
      <c r="AO178" s="35"/>
      <c r="AP178" s="35"/>
      <c r="AQ178" s="35"/>
      <c r="AR178" s="35"/>
      <c r="AS178" s="35"/>
      <c r="AT178" s="35"/>
      <c r="AU178" s="35"/>
      <c r="AV178" s="35"/>
      <c r="AW178" s="35"/>
      <c r="AX178" s="35"/>
    </row>
    <row r="179" ht="15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/>
      <c r="AK179" s="35"/>
      <c r="AL179" s="35"/>
      <c r="AM179" s="35"/>
      <c r="AN179" s="35"/>
      <c r="AO179" s="35"/>
      <c r="AP179" s="35"/>
      <c r="AQ179" s="35"/>
      <c r="AR179" s="35"/>
      <c r="AS179" s="35"/>
      <c r="AT179" s="35"/>
      <c r="AU179" s="35"/>
      <c r="AV179" s="35"/>
      <c r="AW179" s="35"/>
      <c r="AX179" s="35"/>
    </row>
    <row r="180" ht="15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/>
      <c r="AK180" s="35"/>
      <c r="AL180" s="35"/>
      <c r="AM180" s="35"/>
      <c r="AN180" s="35"/>
      <c r="AO180" s="35"/>
      <c r="AP180" s="35"/>
      <c r="AQ180" s="35"/>
      <c r="AR180" s="35"/>
      <c r="AS180" s="35"/>
      <c r="AT180" s="35"/>
      <c r="AU180" s="35"/>
      <c r="AV180" s="35"/>
      <c r="AW180" s="35"/>
      <c r="AX180" s="35"/>
    </row>
    <row r="181" ht="15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/>
      <c r="AK181" s="35"/>
      <c r="AL181" s="35"/>
      <c r="AM181" s="35"/>
      <c r="AN181" s="35"/>
      <c r="AO181" s="35"/>
      <c r="AP181" s="35"/>
      <c r="AQ181" s="35"/>
      <c r="AR181" s="35"/>
      <c r="AS181" s="35"/>
      <c r="AT181" s="35"/>
      <c r="AU181" s="35"/>
      <c r="AV181" s="35"/>
      <c r="AW181" s="35"/>
      <c r="AX181" s="35"/>
    </row>
    <row r="182" ht="15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/>
      <c r="AK182" s="35"/>
      <c r="AL182" s="35"/>
      <c r="AM182" s="35"/>
      <c r="AN182" s="35"/>
      <c r="AO182" s="35"/>
      <c r="AP182" s="35"/>
      <c r="AQ182" s="35"/>
      <c r="AR182" s="35"/>
      <c r="AS182" s="35"/>
      <c r="AT182" s="35"/>
      <c r="AU182" s="35"/>
      <c r="AV182" s="35"/>
      <c r="AW182" s="35"/>
      <c r="AX182" s="35"/>
    </row>
    <row r="183" ht="15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/>
      <c r="AK183" s="35"/>
      <c r="AL183" s="35"/>
      <c r="AM183" s="35"/>
      <c r="AN183" s="35"/>
      <c r="AO183" s="35"/>
      <c r="AP183" s="35"/>
      <c r="AQ183" s="35"/>
      <c r="AR183" s="35"/>
      <c r="AS183" s="35"/>
      <c r="AT183" s="35"/>
      <c r="AU183" s="35"/>
      <c r="AV183" s="35"/>
      <c r="AW183" s="35"/>
      <c r="AX183" s="35"/>
    </row>
    <row r="184" ht="15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/>
      <c r="AK184" s="35"/>
      <c r="AL184" s="35"/>
      <c r="AM184" s="35"/>
      <c r="AN184" s="35"/>
      <c r="AO184" s="35"/>
      <c r="AP184" s="35"/>
      <c r="AQ184" s="35"/>
      <c r="AR184" s="35"/>
      <c r="AS184" s="35"/>
      <c r="AT184" s="35"/>
      <c r="AU184" s="35"/>
      <c r="AV184" s="35"/>
      <c r="AW184" s="35"/>
      <c r="AX184" s="35"/>
    </row>
    <row r="185" ht="15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/>
      <c r="AK185" s="35"/>
      <c r="AL185" s="35"/>
      <c r="AM185" s="35"/>
      <c r="AN185" s="35"/>
      <c r="AO185" s="35"/>
      <c r="AP185" s="35"/>
      <c r="AQ185" s="35"/>
      <c r="AR185" s="35"/>
      <c r="AS185" s="35"/>
      <c r="AT185" s="35"/>
      <c r="AU185" s="35"/>
      <c r="AV185" s="35"/>
      <c r="AW185" s="35"/>
      <c r="AX185" s="35"/>
    </row>
    <row r="186" ht="15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/>
      <c r="AK186" s="35"/>
      <c r="AL186" s="35"/>
      <c r="AM186" s="35"/>
      <c r="AN186" s="35"/>
      <c r="AO186" s="35"/>
      <c r="AP186" s="35"/>
      <c r="AQ186" s="35"/>
      <c r="AR186" s="35"/>
      <c r="AS186" s="35"/>
      <c r="AT186" s="35"/>
      <c r="AU186" s="35"/>
      <c r="AV186" s="35"/>
      <c r="AW186" s="35"/>
      <c r="AX186" s="35"/>
    </row>
    <row r="187" ht="15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/>
      <c r="AK187" s="35"/>
      <c r="AL187" s="35"/>
      <c r="AM187" s="35"/>
      <c r="AN187" s="35"/>
      <c r="AO187" s="35"/>
      <c r="AP187" s="35"/>
      <c r="AQ187" s="35"/>
      <c r="AR187" s="35"/>
      <c r="AS187" s="35"/>
      <c r="AT187" s="35"/>
      <c r="AU187" s="35"/>
      <c r="AV187" s="35"/>
      <c r="AW187" s="35"/>
      <c r="AX187" s="35"/>
    </row>
    <row r="188" ht="15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/>
      <c r="AK188" s="35"/>
      <c r="AL188" s="35"/>
      <c r="AM188" s="35"/>
      <c r="AN188" s="35"/>
      <c r="AO188" s="35"/>
      <c r="AP188" s="35"/>
      <c r="AQ188" s="35"/>
      <c r="AR188" s="35"/>
      <c r="AS188" s="35"/>
      <c r="AT188" s="35"/>
      <c r="AU188" s="35"/>
      <c r="AV188" s="35"/>
      <c r="AW188" s="35"/>
      <c r="AX188" s="35"/>
    </row>
    <row r="189" ht="15.7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/>
      <c r="AK189" s="35"/>
      <c r="AL189" s="35"/>
      <c r="AM189" s="35"/>
      <c r="AN189" s="35"/>
      <c r="AO189" s="35"/>
      <c r="AP189" s="35"/>
      <c r="AQ189" s="35"/>
      <c r="AR189" s="35"/>
      <c r="AS189" s="35"/>
      <c r="AT189" s="35"/>
      <c r="AU189" s="35"/>
      <c r="AV189" s="35"/>
      <c r="AW189" s="35"/>
      <c r="AX189" s="35"/>
    </row>
    <row r="190" ht="15.7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/>
      <c r="AK190" s="35"/>
      <c r="AL190" s="35"/>
      <c r="AM190" s="35"/>
      <c r="AN190" s="35"/>
      <c r="AO190" s="35"/>
      <c r="AP190" s="35"/>
      <c r="AQ190" s="35"/>
      <c r="AR190" s="35"/>
      <c r="AS190" s="35"/>
      <c r="AT190" s="35"/>
      <c r="AU190" s="35"/>
      <c r="AV190" s="35"/>
      <c r="AW190" s="35"/>
      <c r="AX190" s="35"/>
    </row>
    <row r="191" ht="15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/>
      <c r="AK191" s="35"/>
      <c r="AL191" s="35"/>
      <c r="AM191" s="35"/>
      <c r="AN191" s="35"/>
      <c r="AO191" s="35"/>
      <c r="AP191" s="35"/>
      <c r="AQ191" s="35"/>
      <c r="AR191" s="35"/>
      <c r="AS191" s="35"/>
      <c r="AT191" s="35"/>
      <c r="AU191" s="35"/>
      <c r="AV191" s="35"/>
      <c r="AW191" s="35"/>
      <c r="AX191" s="35"/>
    </row>
    <row r="192" ht="15.7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35"/>
      <c r="AK192" s="35"/>
      <c r="AL192" s="35"/>
      <c r="AM192" s="35"/>
      <c r="AN192" s="35"/>
      <c r="AO192" s="35"/>
      <c r="AP192" s="35"/>
      <c r="AQ192" s="35"/>
      <c r="AR192" s="35"/>
      <c r="AS192" s="35"/>
      <c r="AT192" s="35"/>
      <c r="AU192" s="35"/>
      <c r="AV192" s="35"/>
      <c r="AW192" s="35"/>
      <c r="AX192" s="35"/>
    </row>
    <row r="193" ht="15.7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  <c r="AJ193" s="35"/>
      <c r="AK193" s="35"/>
      <c r="AL193" s="35"/>
      <c r="AM193" s="35"/>
      <c r="AN193" s="35"/>
      <c r="AO193" s="35"/>
      <c r="AP193" s="35"/>
      <c r="AQ193" s="35"/>
      <c r="AR193" s="35"/>
      <c r="AS193" s="35"/>
      <c r="AT193" s="35"/>
      <c r="AU193" s="35"/>
      <c r="AV193" s="35"/>
      <c r="AW193" s="35"/>
      <c r="AX193" s="35"/>
    </row>
    <row r="194" ht="15.7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/>
      <c r="AK194" s="35"/>
      <c r="AL194" s="35"/>
      <c r="AM194" s="35"/>
      <c r="AN194" s="35"/>
      <c r="AO194" s="35"/>
      <c r="AP194" s="35"/>
      <c r="AQ194" s="35"/>
      <c r="AR194" s="35"/>
      <c r="AS194" s="35"/>
      <c r="AT194" s="35"/>
      <c r="AU194" s="35"/>
      <c r="AV194" s="35"/>
      <c r="AW194" s="35"/>
      <c r="AX194" s="35"/>
    </row>
    <row r="195" ht="15.7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/>
      <c r="AK195" s="35"/>
      <c r="AL195" s="35"/>
      <c r="AM195" s="35"/>
      <c r="AN195" s="35"/>
      <c r="AO195" s="35"/>
      <c r="AP195" s="35"/>
      <c r="AQ195" s="35"/>
      <c r="AR195" s="35"/>
      <c r="AS195" s="35"/>
      <c r="AT195" s="35"/>
      <c r="AU195" s="35"/>
      <c r="AV195" s="35"/>
      <c r="AW195" s="35"/>
      <c r="AX195" s="35"/>
    </row>
    <row r="196" ht="15.7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/>
      <c r="AK196" s="35"/>
      <c r="AL196" s="35"/>
      <c r="AM196" s="35"/>
      <c r="AN196" s="35"/>
      <c r="AO196" s="35"/>
      <c r="AP196" s="35"/>
      <c r="AQ196" s="35"/>
      <c r="AR196" s="35"/>
      <c r="AS196" s="35"/>
      <c r="AT196" s="35"/>
      <c r="AU196" s="35"/>
      <c r="AV196" s="35"/>
      <c r="AW196" s="35"/>
      <c r="AX196" s="35"/>
    </row>
    <row r="197" ht="15.7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/>
      <c r="AK197" s="35"/>
      <c r="AL197" s="35"/>
      <c r="AM197" s="35"/>
      <c r="AN197" s="35"/>
      <c r="AO197" s="35"/>
      <c r="AP197" s="35"/>
      <c r="AQ197" s="35"/>
      <c r="AR197" s="35"/>
      <c r="AS197" s="35"/>
      <c r="AT197" s="35"/>
      <c r="AU197" s="35"/>
      <c r="AV197" s="35"/>
      <c r="AW197" s="35"/>
      <c r="AX197" s="35"/>
    </row>
    <row r="198" ht="15.7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/>
      <c r="AK198" s="35"/>
      <c r="AL198" s="35"/>
      <c r="AM198" s="35"/>
      <c r="AN198" s="35"/>
      <c r="AO198" s="35"/>
      <c r="AP198" s="35"/>
      <c r="AQ198" s="35"/>
      <c r="AR198" s="35"/>
      <c r="AS198" s="35"/>
      <c r="AT198" s="35"/>
      <c r="AU198" s="35"/>
      <c r="AV198" s="35"/>
      <c r="AW198" s="35"/>
      <c r="AX198" s="35"/>
    </row>
    <row r="199" ht="15.7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/>
      <c r="AK199" s="35"/>
      <c r="AL199" s="35"/>
      <c r="AM199" s="35"/>
      <c r="AN199" s="35"/>
      <c r="AO199" s="35"/>
      <c r="AP199" s="35"/>
      <c r="AQ199" s="35"/>
      <c r="AR199" s="35"/>
      <c r="AS199" s="35"/>
      <c r="AT199" s="35"/>
      <c r="AU199" s="35"/>
      <c r="AV199" s="35"/>
      <c r="AW199" s="35"/>
      <c r="AX199" s="35"/>
    </row>
    <row r="200" ht="15.7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/>
      <c r="AK200" s="35"/>
      <c r="AL200" s="35"/>
      <c r="AM200" s="35"/>
      <c r="AN200" s="35"/>
      <c r="AO200" s="35"/>
      <c r="AP200" s="35"/>
      <c r="AQ200" s="35"/>
      <c r="AR200" s="35"/>
      <c r="AS200" s="35"/>
      <c r="AT200" s="35"/>
      <c r="AU200" s="35"/>
      <c r="AV200" s="35"/>
      <c r="AW200" s="35"/>
      <c r="AX200" s="35"/>
    </row>
    <row r="201" ht="15.75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/>
      <c r="AK201" s="35"/>
      <c r="AL201" s="35"/>
      <c r="AM201" s="35"/>
      <c r="AN201" s="35"/>
      <c r="AO201" s="35"/>
      <c r="AP201" s="35"/>
      <c r="AQ201" s="35"/>
      <c r="AR201" s="35"/>
      <c r="AS201" s="35"/>
      <c r="AT201" s="35"/>
      <c r="AU201" s="35"/>
      <c r="AV201" s="35"/>
      <c r="AW201" s="35"/>
      <c r="AX201" s="35"/>
    </row>
    <row r="202" ht="15.75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/>
      <c r="AK202" s="35"/>
      <c r="AL202" s="35"/>
      <c r="AM202" s="35"/>
      <c r="AN202" s="35"/>
      <c r="AO202" s="35"/>
      <c r="AP202" s="35"/>
      <c r="AQ202" s="35"/>
      <c r="AR202" s="35"/>
      <c r="AS202" s="35"/>
      <c r="AT202" s="35"/>
      <c r="AU202" s="35"/>
      <c r="AV202" s="35"/>
      <c r="AW202" s="35"/>
      <c r="AX202" s="35"/>
    </row>
    <row r="203" ht="15.75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/>
      <c r="AK203" s="35"/>
      <c r="AL203" s="35"/>
      <c r="AM203" s="35"/>
      <c r="AN203" s="35"/>
      <c r="AO203" s="35"/>
      <c r="AP203" s="35"/>
      <c r="AQ203" s="35"/>
      <c r="AR203" s="35"/>
      <c r="AS203" s="35"/>
      <c r="AT203" s="35"/>
      <c r="AU203" s="35"/>
      <c r="AV203" s="35"/>
      <c r="AW203" s="35"/>
      <c r="AX203" s="35"/>
    </row>
    <row r="204" ht="15.75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/>
      <c r="AK204" s="35"/>
      <c r="AL204" s="35"/>
      <c r="AM204" s="35"/>
      <c r="AN204" s="35"/>
      <c r="AO204" s="35"/>
      <c r="AP204" s="35"/>
      <c r="AQ204" s="35"/>
      <c r="AR204" s="35"/>
      <c r="AS204" s="35"/>
      <c r="AT204" s="35"/>
      <c r="AU204" s="35"/>
      <c r="AV204" s="35"/>
      <c r="AW204" s="35"/>
      <c r="AX204" s="35"/>
    </row>
    <row r="205" ht="15.75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/>
      <c r="AK205" s="35"/>
      <c r="AL205" s="35"/>
      <c r="AM205" s="35"/>
      <c r="AN205" s="35"/>
      <c r="AO205" s="35"/>
      <c r="AP205" s="35"/>
      <c r="AQ205" s="35"/>
      <c r="AR205" s="35"/>
      <c r="AS205" s="35"/>
      <c r="AT205" s="35"/>
      <c r="AU205" s="35"/>
      <c r="AV205" s="35"/>
      <c r="AW205" s="35"/>
      <c r="AX205" s="35"/>
    </row>
    <row r="206" ht="15.75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/>
      <c r="AK206" s="35"/>
      <c r="AL206" s="35"/>
      <c r="AM206" s="35"/>
      <c r="AN206" s="35"/>
      <c r="AO206" s="35"/>
      <c r="AP206" s="35"/>
      <c r="AQ206" s="35"/>
      <c r="AR206" s="35"/>
      <c r="AS206" s="35"/>
      <c r="AT206" s="35"/>
      <c r="AU206" s="35"/>
      <c r="AV206" s="35"/>
      <c r="AW206" s="35"/>
      <c r="AX206" s="35"/>
    </row>
    <row r="207" ht="15.75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/>
      <c r="AK207" s="35"/>
      <c r="AL207" s="35"/>
      <c r="AM207" s="35"/>
      <c r="AN207" s="35"/>
      <c r="AO207" s="35"/>
      <c r="AP207" s="35"/>
      <c r="AQ207" s="35"/>
      <c r="AR207" s="35"/>
      <c r="AS207" s="35"/>
      <c r="AT207" s="35"/>
      <c r="AU207" s="35"/>
      <c r="AV207" s="35"/>
      <c r="AW207" s="35"/>
      <c r="AX207" s="35"/>
    </row>
    <row r="208" ht="15.75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/>
      <c r="AK208" s="35"/>
      <c r="AL208" s="35"/>
      <c r="AM208" s="35"/>
      <c r="AN208" s="35"/>
      <c r="AO208" s="35"/>
      <c r="AP208" s="35"/>
      <c r="AQ208" s="35"/>
      <c r="AR208" s="35"/>
      <c r="AS208" s="35"/>
      <c r="AT208" s="35"/>
      <c r="AU208" s="35"/>
      <c r="AV208" s="35"/>
      <c r="AW208" s="35"/>
      <c r="AX208" s="35"/>
    </row>
    <row r="209" ht="15.75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/>
      <c r="AK209" s="35"/>
      <c r="AL209" s="35"/>
      <c r="AM209" s="35"/>
      <c r="AN209" s="35"/>
      <c r="AO209" s="35"/>
      <c r="AP209" s="35"/>
      <c r="AQ209" s="35"/>
      <c r="AR209" s="35"/>
      <c r="AS209" s="35"/>
      <c r="AT209" s="35"/>
      <c r="AU209" s="35"/>
      <c r="AV209" s="35"/>
      <c r="AW209" s="35"/>
      <c r="AX209" s="35"/>
    </row>
    <row r="210" ht="15.75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/>
      <c r="AK210" s="35"/>
      <c r="AL210" s="35"/>
      <c r="AM210" s="35"/>
      <c r="AN210" s="35"/>
      <c r="AO210" s="35"/>
      <c r="AP210" s="35"/>
      <c r="AQ210" s="35"/>
      <c r="AR210" s="35"/>
      <c r="AS210" s="35"/>
      <c r="AT210" s="35"/>
      <c r="AU210" s="35"/>
      <c r="AV210" s="35"/>
      <c r="AW210" s="35"/>
      <c r="AX210" s="35"/>
    </row>
    <row r="211" ht="15.75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/>
      <c r="AK211" s="35"/>
      <c r="AL211" s="35"/>
      <c r="AM211" s="35"/>
      <c r="AN211" s="35"/>
      <c r="AO211" s="35"/>
      <c r="AP211" s="35"/>
      <c r="AQ211" s="35"/>
      <c r="AR211" s="35"/>
      <c r="AS211" s="35"/>
      <c r="AT211" s="35"/>
      <c r="AU211" s="35"/>
      <c r="AV211" s="35"/>
      <c r="AW211" s="35"/>
      <c r="AX211" s="35"/>
    </row>
    <row r="212" ht="15.75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/>
      <c r="AK212" s="35"/>
      <c r="AL212" s="35"/>
      <c r="AM212" s="35"/>
      <c r="AN212" s="35"/>
      <c r="AO212" s="35"/>
      <c r="AP212" s="35"/>
      <c r="AQ212" s="35"/>
      <c r="AR212" s="35"/>
      <c r="AS212" s="35"/>
      <c r="AT212" s="35"/>
      <c r="AU212" s="35"/>
      <c r="AV212" s="35"/>
      <c r="AW212" s="35"/>
      <c r="AX212" s="35"/>
    </row>
    <row r="213" ht="15.75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/>
      <c r="AK213" s="35"/>
      <c r="AL213" s="35"/>
      <c r="AM213" s="35"/>
      <c r="AN213" s="35"/>
      <c r="AO213" s="35"/>
      <c r="AP213" s="35"/>
      <c r="AQ213" s="35"/>
      <c r="AR213" s="35"/>
      <c r="AS213" s="35"/>
      <c r="AT213" s="35"/>
      <c r="AU213" s="35"/>
      <c r="AV213" s="35"/>
      <c r="AW213" s="35"/>
      <c r="AX213" s="35"/>
    </row>
    <row r="214" ht="15.75" customHeigh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/>
      <c r="AK214" s="35"/>
      <c r="AL214" s="35"/>
      <c r="AM214" s="35"/>
      <c r="AN214" s="35"/>
      <c r="AO214" s="35"/>
      <c r="AP214" s="35"/>
      <c r="AQ214" s="35"/>
      <c r="AR214" s="35"/>
      <c r="AS214" s="35"/>
      <c r="AT214" s="35"/>
      <c r="AU214" s="35"/>
      <c r="AV214" s="35"/>
      <c r="AW214" s="35"/>
      <c r="AX214" s="35"/>
    </row>
    <row r="215" ht="15.75" customHeigh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/>
      <c r="AK215" s="35"/>
      <c r="AL215" s="35"/>
      <c r="AM215" s="35"/>
      <c r="AN215" s="35"/>
      <c r="AO215" s="35"/>
      <c r="AP215" s="35"/>
      <c r="AQ215" s="35"/>
      <c r="AR215" s="35"/>
      <c r="AS215" s="35"/>
      <c r="AT215" s="35"/>
      <c r="AU215" s="35"/>
      <c r="AV215" s="35"/>
      <c r="AW215" s="35"/>
      <c r="AX215" s="35"/>
    </row>
    <row r="216" ht="15.75" customHeigh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/>
      <c r="AK216" s="35"/>
      <c r="AL216" s="35"/>
      <c r="AM216" s="35"/>
      <c r="AN216" s="35"/>
      <c r="AO216" s="35"/>
      <c r="AP216" s="35"/>
      <c r="AQ216" s="35"/>
      <c r="AR216" s="35"/>
      <c r="AS216" s="35"/>
      <c r="AT216" s="35"/>
      <c r="AU216" s="35"/>
      <c r="AV216" s="35"/>
      <c r="AW216" s="35"/>
      <c r="AX216" s="35"/>
    </row>
    <row r="217" ht="15.75" customHeigh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/>
      <c r="AK217" s="35"/>
      <c r="AL217" s="35"/>
      <c r="AM217" s="35"/>
      <c r="AN217" s="35"/>
      <c r="AO217" s="35"/>
      <c r="AP217" s="35"/>
      <c r="AQ217" s="35"/>
      <c r="AR217" s="35"/>
      <c r="AS217" s="35"/>
      <c r="AT217" s="35"/>
      <c r="AU217" s="35"/>
      <c r="AV217" s="35"/>
      <c r="AW217" s="35"/>
      <c r="AX217" s="35"/>
    </row>
    <row r="218" ht="15.75" customHeigh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/>
      <c r="AK218" s="35"/>
      <c r="AL218" s="35"/>
      <c r="AM218" s="35"/>
      <c r="AN218" s="35"/>
      <c r="AO218" s="35"/>
      <c r="AP218" s="35"/>
      <c r="AQ218" s="35"/>
      <c r="AR218" s="35"/>
      <c r="AS218" s="35"/>
      <c r="AT218" s="35"/>
      <c r="AU218" s="35"/>
      <c r="AV218" s="35"/>
      <c r="AW218" s="35"/>
      <c r="AX218" s="35"/>
    </row>
    <row r="219" ht="15.75" customHeigh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/>
      <c r="AK219" s="35"/>
      <c r="AL219" s="35"/>
      <c r="AM219" s="35"/>
      <c r="AN219" s="35"/>
      <c r="AO219" s="35"/>
      <c r="AP219" s="35"/>
      <c r="AQ219" s="35"/>
      <c r="AR219" s="35"/>
      <c r="AS219" s="35"/>
      <c r="AT219" s="35"/>
      <c r="AU219" s="35"/>
      <c r="AV219" s="35"/>
      <c r="AW219" s="35"/>
      <c r="AX219" s="35"/>
    </row>
    <row r="220" ht="15.75" customHeigh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/>
      <c r="AK220" s="35"/>
      <c r="AL220" s="35"/>
      <c r="AM220" s="35"/>
      <c r="AN220" s="35"/>
      <c r="AO220" s="35"/>
      <c r="AP220" s="35"/>
      <c r="AQ220" s="35"/>
      <c r="AR220" s="35"/>
      <c r="AS220" s="35"/>
      <c r="AT220" s="35"/>
      <c r="AU220" s="35"/>
      <c r="AV220" s="35"/>
      <c r="AW220" s="35"/>
      <c r="AX220" s="35"/>
    </row>
    <row r="221" ht="15.75" customHeight="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/>
      <c r="AK221" s="35"/>
      <c r="AL221" s="35"/>
      <c r="AM221" s="35"/>
      <c r="AN221" s="35"/>
      <c r="AO221" s="35"/>
      <c r="AP221" s="35"/>
      <c r="AQ221" s="35"/>
      <c r="AR221" s="35"/>
      <c r="AS221" s="35"/>
      <c r="AT221" s="35"/>
      <c r="AU221" s="35"/>
      <c r="AV221" s="35"/>
      <c r="AW221" s="35"/>
      <c r="AX221" s="35"/>
    </row>
    <row r="222" ht="15.75" customHeight="1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/>
      <c r="AK222" s="35"/>
      <c r="AL222" s="35"/>
      <c r="AM222" s="35"/>
      <c r="AN222" s="35"/>
      <c r="AO222" s="35"/>
      <c r="AP222" s="35"/>
      <c r="AQ222" s="35"/>
      <c r="AR222" s="35"/>
      <c r="AS222" s="35"/>
      <c r="AT222" s="35"/>
      <c r="AU222" s="35"/>
      <c r="AV222" s="35"/>
      <c r="AW222" s="35"/>
      <c r="AX222" s="35"/>
    </row>
    <row r="223" ht="15.75" customHeight="1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/>
      <c r="AK223" s="35"/>
      <c r="AL223" s="35"/>
      <c r="AM223" s="35"/>
      <c r="AN223" s="35"/>
      <c r="AO223" s="35"/>
      <c r="AP223" s="35"/>
      <c r="AQ223" s="35"/>
      <c r="AR223" s="35"/>
      <c r="AS223" s="35"/>
      <c r="AT223" s="35"/>
      <c r="AU223" s="35"/>
      <c r="AV223" s="35"/>
      <c r="AW223" s="35"/>
      <c r="AX223" s="35"/>
    </row>
    <row r="224" ht="15.75" customHeight="1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/>
      <c r="AK224" s="35"/>
      <c r="AL224" s="35"/>
      <c r="AM224" s="35"/>
      <c r="AN224" s="35"/>
      <c r="AO224" s="35"/>
      <c r="AP224" s="35"/>
      <c r="AQ224" s="35"/>
      <c r="AR224" s="35"/>
      <c r="AS224" s="35"/>
      <c r="AT224" s="35"/>
      <c r="AU224" s="35"/>
      <c r="AV224" s="35"/>
      <c r="AW224" s="35"/>
      <c r="AX224" s="35"/>
    </row>
    <row r="225" ht="15.75" customHeight="1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/>
      <c r="AK225" s="35"/>
      <c r="AL225" s="35"/>
      <c r="AM225" s="35"/>
      <c r="AN225" s="35"/>
      <c r="AO225" s="35"/>
      <c r="AP225" s="35"/>
      <c r="AQ225" s="35"/>
      <c r="AR225" s="35"/>
      <c r="AS225" s="35"/>
      <c r="AT225" s="35"/>
      <c r="AU225" s="35"/>
      <c r="AV225" s="35"/>
      <c r="AW225" s="35"/>
      <c r="AX225" s="35"/>
    </row>
    <row r="226" ht="15.75" customHeight="1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/>
      <c r="AK226" s="35"/>
      <c r="AL226" s="35"/>
      <c r="AM226" s="35"/>
      <c r="AN226" s="35"/>
      <c r="AO226" s="35"/>
      <c r="AP226" s="35"/>
      <c r="AQ226" s="35"/>
      <c r="AR226" s="35"/>
      <c r="AS226" s="35"/>
      <c r="AT226" s="35"/>
      <c r="AU226" s="35"/>
      <c r="AV226" s="35"/>
      <c r="AW226" s="35"/>
      <c r="AX226" s="35"/>
    </row>
    <row r="227" ht="15.75" customHeight="1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/>
      <c r="AK227" s="35"/>
      <c r="AL227" s="35"/>
      <c r="AM227" s="35"/>
      <c r="AN227" s="35"/>
      <c r="AO227" s="35"/>
      <c r="AP227" s="35"/>
      <c r="AQ227" s="35"/>
      <c r="AR227" s="35"/>
      <c r="AS227" s="35"/>
      <c r="AT227" s="35"/>
      <c r="AU227" s="35"/>
      <c r="AV227" s="35"/>
      <c r="AW227" s="35"/>
      <c r="AX227" s="35"/>
    </row>
    <row r="228" ht="15.75" customHeight="1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/>
      <c r="AK228" s="35"/>
      <c r="AL228" s="35"/>
      <c r="AM228" s="35"/>
      <c r="AN228" s="35"/>
      <c r="AO228" s="35"/>
      <c r="AP228" s="35"/>
      <c r="AQ228" s="35"/>
      <c r="AR228" s="35"/>
      <c r="AS228" s="35"/>
      <c r="AT228" s="35"/>
      <c r="AU228" s="35"/>
      <c r="AV228" s="35"/>
      <c r="AW228" s="35"/>
      <c r="AX228" s="35"/>
    </row>
    <row r="229" ht="15.75" customHeight="1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/>
      <c r="AK229" s="35"/>
      <c r="AL229" s="35"/>
      <c r="AM229" s="35"/>
      <c r="AN229" s="35"/>
      <c r="AO229" s="35"/>
      <c r="AP229" s="35"/>
      <c r="AQ229" s="35"/>
      <c r="AR229" s="35"/>
      <c r="AS229" s="35"/>
      <c r="AT229" s="35"/>
      <c r="AU229" s="35"/>
      <c r="AV229" s="35"/>
      <c r="AW229" s="35"/>
      <c r="AX229" s="35"/>
    </row>
    <row r="230" ht="15.75" customHeight="1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/>
      <c r="AK230" s="35"/>
      <c r="AL230" s="35"/>
      <c r="AM230" s="35"/>
      <c r="AN230" s="35"/>
      <c r="AO230" s="35"/>
      <c r="AP230" s="35"/>
      <c r="AQ230" s="35"/>
      <c r="AR230" s="35"/>
      <c r="AS230" s="35"/>
      <c r="AT230" s="35"/>
      <c r="AU230" s="35"/>
      <c r="AV230" s="35"/>
      <c r="AW230" s="35"/>
      <c r="AX230" s="35"/>
    </row>
    <row r="231" ht="15.75" customHeight="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/>
      <c r="AK231" s="35"/>
      <c r="AL231" s="35"/>
      <c r="AM231" s="35"/>
      <c r="AN231" s="35"/>
      <c r="AO231" s="35"/>
      <c r="AP231" s="35"/>
      <c r="AQ231" s="35"/>
      <c r="AR231" s="35"/>
      <c r="AS231" s="35"/>
      <c r="AT231" s="35"/>
      <c r="AU231" s="35"/>
      <c r="AV231" s="35"/>
      <c r="AW231" s="35"/>
      <c r="AX231" s="35"/>
    </row>
    <row r="232" ht="15.75" customHeight="1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/>
      <c r="AK232" s="35"/>
      <c r="AL232" s="35"/>
      <c r="AM232" s="35"/>
      <c r="AN232" s="35"/>
      <c r="AO232" s="35"/>
      <c r="AP232" s="35"/>
      <c r="AQ232" s="35"/>
      <c r="AR232" s="35"/>
      <c r="AS232" s="35"/>
      <c r="AT232" s="35"/>
      <c r="AU232" s="35"/>
      <c r="AV232" s="35"/>
      <c r="AW232" s="35"/>
      <c r="AX232" s="35"/>
    </row>
    <row r="233" ht="15.75" customHeight="1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/>
      <c r="AK233" s="35"/>
      <c r="AL233" s="35"/>
      <c r="AM233" s="35"/>
      <c r="AN233" s="35"/>
      <c r="AO233" s="35"/>
      <c r="AP233" s="35"/>
      <c r="AQ233" s="35"/>
      <c r="AR233" s="35"/>
      <c r="AS233" s="35"/>
      <c r="AT233" s="35"/>
      <c r="AU233" s="35"/>
      <c r="AV233" s="35"/>
      <c r="AW233" s="35"/>
      <c r="AX233" s="35"/>
    </row>
    <row r="234" ht="15.75" customHeight="1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  <c r="AK234" s="35"/>
      <c r="AL234" s="35"/>
      <c r="AM234" s="35"/>
      <c r="AN234" s="35"/>
      <c r="AO234" s="35"/>
      <c r="AP234" s="35"/>
      <c r="AQ234" s="35"/>
      <c r="AR234" s="35"/>
      <c r="AS234" s="35"/>
      <c r="AT234" s="35"/>
      <c r="AU234" s="35"/>
      <c r="AV234" s="35"/>
      <c r="AW234" s="35"/>
      <c r="AX234" s="35"/>
    </row>
    <row r="235" ht="15.75" customHeight="1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/>
      <c r="AK235" s="35"/>
      <c r="AL235" s="35"/>
      <c r="AM235" s="35"/>
      <c r="AN235" s="35"/>
      <c r="AO235" s="35"/>
      <c r="AP235" s="35"/>
      <c r="AQ235" s="35"/>
      <c r="AR235" s="35"/>
      <c r="AS235" s="35"/>
      <c r="AT235" s="35"/>
      <c r="AU235" s="35"/>
      <c r="AV235" s="35"/>
      <c r="AW235" s="35"/>
      <c r="AX235" s="35"/>
    </row>
    <row r="236" ht="15.75" customHeight="1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/>
      <c r="AK236" s="35"/>
      <c r="AL236" s="35"/>
      <c r="AM236" s="35"/>
      <c r="AN236" s="35"/>
      <c r="AO236" s="35"/>
      <c r="AP236" s="35"/>
      <c r="AQ236" s="35"/>
      <c r="AR236" s="35"/>
      <c r="AS236" s="35"/>
      <c r="AT236" s="35"/>
      <c r="AU236" s="35"/>
      <c r="AV236" s="35"/>
      <c r="AW236" s="35"/>
      <c r="AX236" s="35"/>
    </row>
    <row r="237" ht="15.75" customHeight="1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/>
      <c r="AK237" s="35"/>
      <c r="AL237" s="35"/>
      <c r="AM237" s="35"/>
      <c r="AN237" s="35"/>
      <c r="AO237" s="35"/>
      <c r="AP237" s="35"/>
      <c r="AQ237" s="35"/>
      <c r="AR237" s="35"/>
      <c r="AS237" s="35"/>
      <c r="AT237" s="35"/>
      <c r="AU237" s="35"/>
      <c r="AV237" s="35"/>
      <c r="AW237" s="35"/>
      <c r="AX237" s="35"/>
    </row>
    <row r="238" ht="15.75" customHeight="1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/>
      <c r="AK238" s="35"/>
      <c r="AL238" s="35"/>
      <c r="AM238" s="35"/>
      <c r="AN238" s="35"/>
      <c r="AO238" s="35"/>
      <c r="AP238" s="35"/>
      <c r="AQ238" s="35"/>
      <c r="AR238" s="35"/>
      <c r="AS238" s="35"/>
      <c r="AT238" s="35"/>
      <c r="AU238" s="35"/>
      <c r="AV238" s="35"/>
      <c r="AW238" s="35"/>
      <c r="AX238" s="35"/>
    </row>
    <row r="239" ht="15.75" customHeight="1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/>
      <c r="AK239" s="35"/>
      <c r="AL239" s="35"/>
      <c r="AM239" s="35"/>
      <c r="AN239" s="35"/>
      <c r="AO239" s="35"/>
      <c r="AP239" s="35"/>
      <c r="AQ239" s="35"/>
      <c r="AR239" s="35"/>
      <c r="AS239" s="35"/>
      <c r="AT239" s="35"/>
      <c r="AU239" s="35"/>
      <c r="AV239" s="35"/>
      <c r="AW239" s="35"/>
      <c r="AX239" s="35"/>
    </row>
    <row r="240" ht="15.75" customHeight="1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/>
      <c r="AK240" s="35"/>
      <c r="AL240" s="35"/>
      <c r="AM240" s="35"/>
      <c r="AN240" s="35"/>
      <c r="AO240" s="35"/>
      <c r="AP240" s="35"/>
      <c r="AQ240" s="35"/>
      <c r="AR240" s="35"/>
      <c r="AS240" s="35"/>
      <c r="AT240" s="35"/>
      <c r="AU240" s="35"/>
      <c r="AV240" s="35"/>
      <c r="AW240" s="35"/>
      <c r="AX240" s="35"/>
    </row>
    <row r="241" ht="15.75" customHeight="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/>
      <c r="AK241" s="35"/>
      <c r="AL241" s="35"/>
      <c r="AM241" s="35"/>
      <c r="AN241" s="35"/>
      <c r="AO241" s="35"/>
      <c r="AP241" s="35"/>
      <c r="AQ241" s="35"/>
      <c r="AR241" s="35"/>
      <c r="AS241" s="35"/>
      <c r="AT241" s="35"/>
      <c r="AU241" s="35"/>
      <c r="AV241" s="35"/>
      <c r="AW241" s="35"/>
      <c r="AX241" s="35"/>
    </row>
    <row r="242" ht="15.75" customHeight="1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/>
      <c r="AK242" s="35"/>
      <c r="AL242" s="35"/>
      <c r="AM242" s="35"/>
      <c r="AN242" s="35"/>
      <c r="AO242" s="35"/>
      <c r="AP242" s="35"/>
      <c r="AQ242" s="35"/>
      <c r="AR242" s="35"/>
      <c r="AS242" s="35"/>
      <c r="AT242" s="35"/>
      <c r="AU242" s="35"/>
      <c r="AV242" s="35"/>
      <c r="AW242" s="35"/>
      <c r="AX242" s="35"/>
    </row>
    <row r="243" ht="15.75" customHeight="1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/>
      <c r="AK243" s="35"/>
      <c r="AL243" s="35"/>
      <c r="AM243" s="35"/>
      <c r="AN243" s="35"/>
      <c r="AO243" s="35"/>
      <c r="AP243" s="35"/>
      <c r="AQ243" s="35"/>
      <c r="AR243" s="35"/>
      <c r="AS243" s="35"/>
      <c r="AT243" s="35"/>
      <c r="AU243" s="35"/>
      <c r="AV243" s="35"/>
      <c r="AW243" s="35"/>
      <c r="AX243" s="35"/>
    </row>
    <row r="244" ht="15.75" customHeight="1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/>
      <c r="AK244" s="35"/>
      <c r="AL244" s="35"/>
      <c r="AM244" s="35"/>
      <c r="AN244" s="35"/>
      <c r="AO244" s="35"/>
      <c r="AP244" s="35"/>
      <c r="AQ244" s="35"/>
      <c r="AR244" s="35"/>
      <c r="AS244" s="35"/>
      <c r="AT244" s="35"/>
      <c r="AU244" s="35"/>
      <c r="AV244" s="35"/>
      <c r="AW244" s="35"/>
      <c r="AX244" s="35"/>
    </row>
    <row r="245" ht="15.75" customHeight="1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/>
      <c r="AK245" s="35"/>
      <c r="AL245" s="35"/>
      <c r="AM245" s="35"/>
      <c r="AN245" s="35"/>
      <c r="AO245" s="35"/>
      <c r="AP245" s="35"/>
      <c r="AQ245" s="35"/>
      <c r="AR245" s="35"/>
      <c r="AS245" s="35"/>
      <c r="AT245" s="35"/>
      <c r="AU245" s="35"/>
      <c r="AV245" s="35"/>
      <c r="AW245" s="35"/>
      <c r="AX245" s="35"/>
    </row>
    <row r="246" ht="15.75" customHeight="1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/>
      <c r="AK246" s="35"/>
      <c r="AL246" s="35"/>
      <c r="AM246" s="35"/>
      <c r="AN246" s="35"/>
      <c r="AO246" s="35"/>
      <c r="AP246" s="35"/>
      <c r="AQ246" s="35"/>
      <c r="AR246" s="35"/>
      <c r="AS246" s="35"/>
      <c r="AT246" s="35"/>
      <c r="AU246" s="35"/>
      <c r="AV246" s="35"/>
      <c r="AW246" s="35"/>
      <c r="AX246" s="35"/>
    </row>
    <row r="247" ht="15.75" customHeight="1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/>
      <c r="AK247" s="35"/>
      <c r="AL247" s="35"/>
      <c r="AM247" s="35"/>
      <c r="AN247" s="35"/>
      <c r="AO247" s="35"/>
      <c r="AP247" s="35"/>
      <c r="AQ247" s="35"/>
      <c r="AR247" s="35"/>
      <c r="AS247" s="35"/>
      <c r="AT247" s="35"/>
      <c r="AU247" s="35"/>
      <c r="AV247" s="35"/>
      <c r="AW247" s="35"/>
      <c r="AX247" s="35"/>
    </row>
    <row r="248" ht="15.75" customHeight="1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/>
      <c r="AK248" s="35"/>
      <c r="AL248" s="35"/>
      <c r="AM248" s="35"/>
      <c r="AN248" s="35"/>
      <c r="AO248" s="35"/>
      <c r="AP248" s="35"/>
      <c r="AQ248" s="35"/>
      <c r="AR248" s="35"/>
      <c r="AS248" s="35"/>
      <c r="AT248" s="35"/>
      <c r="AU248" s="35"/>
      <c r="AV248" s="35"/>
      <c r="AW248" s="35"/>
      <c r="AX248" s="35"/>
    </row>
    <row r="249" ht="15.75" customHeight="1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/>
      <c r="AK249" s="35"/>
      <c r="AL249" s="35"/>
      <c r="AM249" s="35"/>
      <c r="AN249" s="35"/>
      <c r="AO249" s="35"/>
      <c r="AP249" s="35"/>
      <c r="AQ249" s="35"/>
      <c r="AR249" s="35"/>
      <c r="AS249" s="35"/>
      <c r="AT249" s="35"/>
      <c r="AU249" s="35"/>
      <c r="AV249" s="35"/>
      <c r="AW249" s="35"/>
      <c r="AX249" s="35"/>
    </row>
    <row r="250" ht="15.75" customHeight="1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/>
      <c r="AK250" s="35"/>
      <c r="AL250" s="35"/>
      <c r="AM250" s="35"/>
      <c r="AN250" s="35"/>
      <c r="AO250" s="35"/>
      <c r="AP250" s="35"/>
      <c r="AQ250" s="35"/>
      <c r="AR250" s="35"/>
      <c r="AS250" s="35"/>
      <c r="AT250" s="35"/>
      <c r="AU250" s="35"/>
      <c r="AV250" s="35"/>
      <c r="AW250" s="35"/>
      <c r="AX250" s="35"/>
    </row>
    <row r="251" ht="15.75" customHeight="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/>
      <c r="AK251" s="35"/>
      <c r="AL251" s="35"/>
      <c r="AM251" s="35"/>
      <c r="AN251" s="35"/>
      <c r="AO251" s="35"/>
      <c r="AP251" s="35"/>
      <c r="AQ251" s="35"/>
      <c r="AR251" s="35"/>
      <c r="AS251" s="35"/>
      <c r="AT251" s="35"/>
      <c r="AU251" s="35"/>
      <c r="AV251" s="35"/>
      <c r="AW251" s="35"/>
      <c r="AX251" s="35"/>
    </row>
    <row r="252" ht="15.75" customHeight="1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/>
      <c r="AK252" s="35"/>
      <c r="AL252" s="35"/>
      <c r="AM252" s="35"/>
      <c r="AN252" s="35"/>
      <c r="AO252" s="35"/>
      <c r="AP252" s="35"/>
      <c r="AQ252" s="35"/>
      <c r="AR252" s="35"/>
      <c r="AS252" s="35"/>
      <c r="AT252" s="35"/>
      <c r="AU252" s="35"/>
      <c r="AV252" s="35"/>
      <c r="AW252" s="35"/>
      <c r="AX252" s="35"/>
    </row>
    <row r="253" ht="15.75" customHeight="1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/>
      <c r="AK253" s="35"/>
      <c r="AL253" s="35"/>
      <c r="AM253" s="35"/>
      <c r="AN253" s="35"/>
      <c r="AO253" s="35"/>
      <c r="AP253" s="35"/>
      <c r="AQ253" s="35"/>
      <c r="AR253" s="35"/>
      <c r="AS253" s="35"/>
      <c r="AT253" s="35"/>
      <c r="AU253" s="35"/>
      <c r="AV253" s="35"/>
      <c r="AW253" s="35"/>
      <c r="AX253" s="35"/>
    </row>
    <row r="254" ht="15.75" customHeight="1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/>
      <c r="AK254" s="35"/>
      <c r="AL254" s="35"/>
      <c r="AM254" s="35"/>
      <c r="AN254" s="35"/>
      <c r="AO254" s="35"/>
      <c r="AP254" s="35"/>
      <c r="AQ254" s="35"/>
      <c r="AR254" s="35"/>
      <c r="AS254" s="35"/>
      <c r="AT254" s="35"/>
      <c r="AU254" s="35"/>
      <c r="AV254" s="35"/>
      <c r="AW254" s="35"/>
      <c r="AX254" s="35"/>
    </row>
    <row r="255" ht="15.75" customHeight="1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/>
      <c r="AK255" s="35"/>
      <c r="AL255" s="35"/>
      <c r="AM255" s="35"/>
      <c r="AN255" s="35"/>
      <c r="AO255" s="35"/>
      <c r="AP255" s="35"/>
      <c r="AQ255" s="35"/>
      <c r="AR255" s="35"/>
      <c r="AS255" s="35"/>
      <c r="AT255" s="35"/>
      <c r="AU255" s="35"/>
      <c r="AV255" s="35"/>
      <c r="AW255" s="35"/>
      <c r="AX255" s="35"/>
    </row>
    <row r="256" ht="15.75" customHeight="1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/>
      <c r="AK256" s="35"/>
      <c r="AL256" s="35"/>
      <c r="AM256" s="35"/>
      <c r="AN256" s="35"/>
      <c r="AO256" s="35"/>
      <c r="AP256" s="35"/>
      <c r="AQ256" s="35"/>
      <c r="AR256" s="35"/>
      <c r="AS256" s="35"/>
      <c r="AT256" s="35"/>
      <c r="AU256" s="35"/>
      <c r="AV256" s="35"/>
      <c r="AW256" s="35"/>
      <c r="AX256" s="35"/>
    </row>
    <row r="257" ht="15.75" customHeight="1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/>
      <c r="AK257" s="35"/>
      <c r="AL257" s="35"/>
      <c r="AM257" s="35"/>
      <c r="AN257" s="35"/>
      <c r="AO257" s="35"/>
      <c r="AP257" s="35"/>
      <c r="AQ257" s="35"/>
      <c r="AR257" s="35"/>
      <c r="AS257" s="35"/>
      <c r="AT257" s="35"/>
      <c r="AU257" s="35"/>
      <c r="AV257" s="35"/>
      <c r="AW257" s="35"/>
      <c r="AX257" s="35"/>
    </row>
    <row r="258" ht="15.75" customHeight="1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/>
      <c r="AK258" s="35"/>
      <c r="AL258" s="35"/>
      <c r="AM258" s="35"/>
      <c r="AN258" s="35"/>
      <c r="AO258" s="35"/>
      <c r="AP258" s="35"/>
      <c r="AQ258" s="35"/>
      <c r="AR258" s="35"/>
      <c r="AS258" s="35"/>
      <c r="AT258" s="35"/>
      <c r="AU258" s="35"/>
      <c r="AV258" s="35"/>
      <c r="AW258" s="35"/>
      <c r="AX258" s="35"/>
    </row>
    <row r="259" ht="15.75" customHeight="1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/>
      <c r="AK259" s="35"/>
      <c r="AL259" s="35"/>
      <c r="AM259" s="35"/>
      <c r="AN259" s="35"/>
      <c r="AO259" s="35"/>
      <c r="AP259" s="35"/>
      <c r="AQ259" s="35"/>
      <c r="AR259" s="35"/>
      <c r="AS259" s="35"/>
      <c r="AT259" s="35"/>
      <c r="AU259" s="35"/>
      <c r="AV259" s="35"/>
      <c r="AW259" s="35"/>
      <c r="AX259" s="35"/>
    </row>
    <row r="260" ht="15.75" customHeight="1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/>
      <c r="AK260" s="35"/>
      <c r="AL260" s="35"/>
      <c r="AM260" s="35"/>
      <c r="AN260" s="35"/>
      <c r="AO260" s="35"/>
      <c r="AP260" s="35"/>
      <c r="AQ260" s="35"/>
      <c r="AR260" s="35"/>
      <c r="AS260" s="35"/>
      <c r="AT260" s="35"/>
      <c r="AU260" s="35"/>
      <c r="AV260" s="35"/>
      <c r="AW260" s="35"/>
      <c r="AX260" s="35"/>
    </row>
    <row r="261" ht="15.75" customHeight="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/>
      <c r="AK261" s="35"/>
      <c r="AL261" s="35"/>
      <c r="AM261" s="35"/>
      <c r="AN261" s="35"/>
      <c r="AO261" s="35"/>
      <c r="AP261" s="35"/>
      <c r="AQ261" s="35"/>
      <c r="AR261" s="35"/>
      <c r="AS261" s="35"/>
      <c r="AT261" s="35"/>
      <c r="AU261" s="35"/>
      <c r="AV261" s="35"/>
      <c r="AW261" s="35"/>
      <c r="AX261" s="35"/>
    </row>
    <row r="262" ht="15.75" customHeight="1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/>
      <c r="AK262" s="35"/>
      <c r="AL262" s="35"/>
      <c r="AM262" s="35"/>
      <c r="AN262" s="35"/>
      <c r="AO262" s="35"/>
      <c r="AP262" s="35"/>
      <c r="AQ262" s="35"/>
      <c r="AR262" s="35"/>
      <c r="AS262" s="35"/>
      <c r="AT262" s="35"/>
      <c r="AU262" s="35"/>
      <c r="AV262" s="35"/>
      <c r="AW262" s="35"/>
      <c r="AX262" s="35"/>
    </row>
    <row r="263" ht="15.75" customHeight="1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/>
      <c r="AK263" s="35"/>
      <c r="AL263" s="35"/>
      <c r="AM263" s="35"/>
      <c r="AN263" s="35"/>
      <c r="AO263" s="35"/>
      <c r="AP263" s="35"/>
      <c r="AQ263" s="35"/>
      <c r="AR263" s="35"/>
      <c r="AS263" s="35"/>
      <c r="AT263" s="35"/>
      <c r="AU263" s="35"/>
      <c r="AV263" s="35"/>
      <c r="AW263" s="35"/>
      <c r="AX263" s="35"/>
    </row>
    <row r="264" ht="15.75" customHeight="1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/>
      <c r="AK264" s="35"/>
      <c r="AL264" s="35"/>
      <c r="AM264" s="35"/>
      <c r="AN264" s="35"/>
      <c r="AO264" s="35"/>
      <c r="AP264" s="35"/>
      <c r="AQ264" s="35"/>
      <c r="AR264" s="35"/>
      <c r="AS264" s="35"/>
      <c r="AT264" s="35"/>
      <c r="AU264" s="35"/>
      <c r="AV264" s="35"/>
      <c r="AW264" s="35"/>
      <c r="AX264" s="35"/>
    </row>
    <row r="265" ht="15.75" customHeight="1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/>
      <c r="AK265" s="35"/>
      <c r="AL265" s="35"/>
      <c r="AM265" s="35"/>
      <c r="AN265" s="35"/>
      <c r="AO265" s="35"/>
      <c r="AP265" s="35"/>
      <c r="AQ265" s="35"/>
      <c r="AR265" s="35"/>
      <c r="AS265" s="35"/>
      <c r="AT265" s="35"/>
      <c r="AU265" s="35"/>
      <c r="AV265" s="35"/>
      <c r="AW265" s="35"/>
      <c r="AX265" s="35"/>
    </row>
    <row r="266" ht="15.75" customHeight="1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/>
      <c r="AK266" s="35"/>
      <c r="AL266" s="35"/>
      <c r="AM266" s="35"/>
      <c r="AN266" s="35"/>
      <c r="AO266" s="35"/>
      <c r="AP266" s="35"/>
      <c r="AQ266" s="35"/>
      <c r="AR266" s="35"/>
      <c r="AS266" s="35"/>
      <c r="AT266" s="35"/>
      <c r="AU266" s="35"/>
      <c r="AV266" s="35"/>
      <c r="AW266" s="35"/>
      <c r="AX266" s="35"/>
    </row>
    <row r="267" ht="15.75" customHeight="1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/>
      <c r="AK267" s="35"/>
      <c r="AL267" s="35"/>
      <c r="AM267" s="35"/>
      <c r="AN267" s="35"/>
      <c r="AO267" s="35"/>
      <c r="AP267" s="35"/>
      <c r="AQ267" s="35"/>
      <c r="AR267" s="35"/>
      <c r="AS267" s="35"/>
      <c r="AT267" s="35"/>
      <c r="AU267" s="35"/>
      <c r="AV267" s="35"/>
      <c r="AW267" s="35"/>
      <c r="AX267" s="35"/>
    </row>
    <row r="268" ht="15.75" customHeight="1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/>
      <c r="AK268" s="35"/>
      <c r="AL268" s="35"/>
      <c r="AM268" s="35"/>
      <c r="AN268" s="35"/>
      <c r="AO268" s="35"/>
      <c r="AP268" s="35"/>
      <c r="AQ268" s="35"/>
      <c r="AR268" s="35"/>
      <c r="AS268" s="35"/>
      <c r="AT268" s="35"/>
      <c r="AU268" s="35"/>
      <c r="AV268" s="35"/>
      <c r="AW268" s="35"/>
      <c r="AX268" s="35"/>
    </row>
    <row r="269" ht="15.75" customHeight="1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/>
      <c r="AK269" s="35"/>
      <c r="AL269" s="35"/>
      <c r="AM269" s="35"/>
      <c r="AN269" s="35"/>
      <c r="AO269" s="35"/>
      <c r="AP269" s="35"/>
      <c r="AQ269" s="35"/>
      <c r="AR269" s="35"/>
      <c r="AS269" s="35"/>
      <c r="AT269" s="35"/>
      <c r="AU269" s="35"/>
      <c r="AV269" s="35"/>
      <c r="AW269" s="35"/>
      <c r="AX269" s="35"/>
    </row>
    <row r="270" ht="15.75" customHeight="1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/>
      <c r="AK270" s="35"/>
      <c r="AL270" s="35"/>
      <c r="AM270" s="35"/>
      <c r="AN270" s="35"/>
      <c r="AO270" s="35"/>
      <c r="AP270" s="35"/>
      <c r="AQ270" s="35"/>
      <c r="AR270" s="35"/>
      <c r="AS270" s="35"/>
      <c r="AT270" s="35"/>
      <c r="AU270" s="35"/>
      <c r="AV270" s="35"/>
      <c r="AW270" s="35"/>
      <c r="AX270" s="35"/>
    </row>
    <row r="271" ht="15.75" customHeight="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/>
      <c r="AK271" s="35"/>
      <c r="AL271" s="35"/>
      <c r="AM271" s="35"/>
      <c r="AN271" s="35"/>
      <c r="AO271" s="35"/>
      <c r="AP271" s="35"/>
      <c r="AQ271" s="35"/>
      <c r="AR271" s="35"/>
      <c r="AS271" s="35"/>
      <c r="AT271" s="35"/>
      <c r="AU271" s="35"/>
      <c r="AV271" s="35"/>
      <c r="AW271" s="35"/>
      <c r="AX271" s="35"/>
    </row>
    <row r="272" ht="15.75" customHeight="1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/>
      <c r="AK272" s="35"/>
      <c r="AL272" s="35"/>
      <c r="AM272" s="35"/>
      <c r="AN272" s="35"/>
      <c r="AO272" s="35"/>
      <c r="AP272" s="35"/>
      <c r="AQ272" s="35"/>
      <c r="AR272" s="35"/>
      <c r="AS272" s="35"/>
      <c r="AT272" s="35"/>
      <c r="AU272" s="35"/>
      <c r="AV272" s="35"/>
      <c r="AW272" s="35"/>
      <c r="AX272" s="35"/>
    </row>
    <row r="273" ht="15.75" customHeight="1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/>
      <c r="AK273" s="35"/>
      <c r="AL273" s="35"/>
      <c r="AM273" s="35"/>
      <c r="AN273" s="35"/>
      <c r="AO273" s="35"/>
      <c r="AP273" s="35"/>
      <c r="AQ273" s="35"/>
      <c r="AR273" s="35"/>
      <c r="AS273" s="35"/>
      <c r="AT273" s="35"/>
      <c r="AU273" s="35"/>
      <c r="AV273" s="35"/>
      <c r="AW273" s="35"/>
      <c r="AX273" s="35"/>
    </row>
    <row r="274" ht="15.75" customHeight="1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/>
      <c r="AK274" s="35"/>
      <c r="AL274" s="35"/>
      <c r="AM274" s="35"/>
      <c r="AN274" s="35"/>
      <c r="AO274" s="35"/>
      <c r="AP274" s="35"/>
      <c r="AQ274" s="35"/>
      <c r="AR274" s="35"/>
      <c r="AS274" s="35"/>
      <c r="AT274" s="35"/>
      <c r="AU274" s="35"/>
      <c r="AV274" s="35"/>
      <c r="AW274" s="35"/>
      <c r="AX274" s="35"/>
    </row>
    <row r="275" ht="15.75" customHeight="1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/>
      <c r="AK275" s="35"/>
      <c r="AL275" s="35"/>
      <c r="AM275" s="35"/>
      <c r="AN275" s="35"/>
      <c r="AO275" s="35"/>
      <c r="AP275" s="35"/>
      <c r="AQ275" s="35"/>
      <c r="AR275" s="35"/>
      <c r="AS275" s="35"/>
      <c r="AT275" s="35"/>
      <c r="AU275" s="35"/>
      <c r="AV275" s="35"/>
      <c r="AW275" s="35"/>
      <c r="AX275" s="35"/>
    </row>
    <row r="276" ht="15.75" customHeight="1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/>
      <c r="AK276" s="35"/>
      <c r="AL276" s="35"/>
      <c r="AM276" s="35"/>
      <c r="AN276" s="35"/>
      <c r="AO276" s="35"/>
      <c r="AP276" s="35"/>
      <c r="AQ276" s="35"/>
      <c r="AR276" s="35"/>
      <c r="AS276" s="35"/>
      <c r="AT276" s="35"/>
      <c r="AU276" s="35"/>
      <c r="AV276" s="35"/>
      <c r="AW276" s="35"/>
      <c r="AX276" s="35"/>
    </row>
    <row r="277" ht="15.75" customHeight="1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/>
      <c r="AK277" s="35"/>
      <c r="AL277" s="35"/>
      <c r="AM277" s="35"/>
      <c r="AN277" s="35"/>
      <c r="AO277" s="35"/>
      <c r="AP277" s="35"/>
      <c r="AQ277" s="35"/>
      <c r="AR277" s="35"/>
      <c r="AS277" s="35"/>
      <c r="AT277" s="35"/>
      <c r="AU277" s="35"/>
      <c r="AV277" s="35"/>
      <c r="AW277" s="35"/>
      <c r="AX277" s="35"/>
    </row>
    <row r="278" ht="15.75" customHeight="1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/>
      <c r="AK278" s="35"/>
      <c r="AL278" s="35"/>
      <c r="AM278" s="35"/>
      <c r="AN278" s="35"/>
      <c r="AO278" s="35"/>
      <c r="AP278" s="35"/>
      <c r="AQ278" s="35"/>
      <c r="AR278" s="35"/>
      <c r="AS278" s="35"/>
      <c r="AT278" s="35"/>
      <c r="AU278" s="35"/>
      <c r="AV278" s="35"/>
      <c r="AW278" s="35"/>
      <c r="AX278" s="35"/>
    </row>
    <row r="279" ht="15.75" customHeight="1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/>
      <c r="AK279" s="35"/>
      <c r="AL279" s="35"/>
      <c r="AM279" s="35"/>
      <c r="AN279" s="35"/>
      <c r="AO279" s="35"/>
      <c r="AP279" s="35"/>
      <c r="AQ279" s="35"/>
      <c r="AR279" s="35"/>
      <c r="AS279" s="35"/>
      <c r="AT279" s="35"/>
      <c r="AU279" s="35"/>
      <c r="AV279" s="35"/>
      <c r="AW279" s="35"/>
      <c r="AX279" s="35"/>
    </row>
    <row r="280" ht="15.75" customHeight="1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/>
      <c r="AK280" s="35"/>
      <c r="AL280" s="35"/>
      <c r="AM280" s="35"/>
      <c r="AN280" s="35"/>
      <c r="AO280" s="35"/>
      <c r="AP280" s="35"/>
      <c r="AQ280" s="35"/>
      <c r="AR280" s="35"/>
      <c r="AS280" s="35"/>
      <c r="AT280" s="35"/>
      <c r="AU280" s="35"/>
      <c r="AV280" s="35"/>
      <c r="AW280" s="35"/>
      <c r="AX280" s="35"/>
    </row>
    <row r="281" ht="15.75" customHeight="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/>
      <c r="AK281" s="35"/>
      <c r="AL281" s="35"/>
      <c r="AM281" s="35"/>
      <c r="AN281" s="35"/>
      <c r="AO281" s="35"/>
      <c r="AP281" s="35"/>
      <c r="AQ281" s="35"/>
      <c r="AR281" s="35"/>
      <c r="AS281" s="35"/>
      <c r="AT281" s="35"/>
      <c r="AU281" s="35"/>
      <c r="AV281" s="35"/>
      <c r="AW281" s="35"/>
      <c r="AX281" s="35"/>
    </row>
    <row r="282" ht="15.75" customHeight="1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/>
      <c r="AK282" s="35"/>
      <c r="AL282" s="35"/>
      <c r="AM282" s="35"/>
      <c r="AN282" s="35"/>
      <c r="AO282" s="35"/>
      <c r="AP282" s="35"/>
      <c r="AQ282" s="35"/>
      <c r="AR282" s="35"/>
      <c r="AS282" s="35"/>
      <c r="AT282" s="35"/>
      <c r="AU282" s="35"/>
      <c r="AV282" s="35"/>
      <c r="AW282" s="35"/>
      <c r="AX282" s="35"/>
    </row>
    <row r="283" ht="15.75" customHeight="1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/>
      <c r="AK283" s="35"/>
      <c r="AL283" s="35"/>
      <c r="AM283" s="35"/>
      <c r="AN283" s="35"/>
      <c r="AO283" s="35"/>
      <c r="AP283" s="35"/>
      <c r="AQ283" s="35"/>
      <c r="AR283" s="35"/>
      <c r="AS283" s="35"/>
      <c r="AT283" s="35"/>
      <c r="AU283" s="35"/>
      <c r="AV283" s="35"/>
      <c r="AW283" s="35"/>
      <c r="AX283" s="35"/>
    </row>
    <row r="284" ht="15.75" customHeight="1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/>
      <c r="AK284" s="35"/>
      <c r="AL284" s="35"/>
      <c r="AM284" s="35"/>
      <c r="AN284" s="35"/>
      <c r="AO284" s="35"/>
      <c r="AP284" s="35"/>
      <c r="AQ284" s="35"/>
      <c r="AR284" s="35"/>
      <c r="AS284" s="35"/>
      <c r="AT284" s="35"/>
      <c r="AU284" s="35"/>
      <c r="AV284" s="35"/>
      <c r="AW284" s="35"/>
      <c r="AX284" s="35"/>
    </row>
    <row r="285" ht="15.75" customHeight="1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/>
      <c r="AK285" s="35"/>
      <c r="AL285" s="35"/>
      <c r="AM285" s="35"/>
      <c r="AN285" s="35"/>
      <c r="AO285" s="35"/>
      <c r="AP285" s="35"/>
      <c r="AQ285" s="35"/>
      <c r="AR285" s="35"/>
      <c r="AS285" s="35"/>
      <c r="AT285" s="35"/>
      <c r="AU285" s="35"/>
      <c r="AV285" s="35"/>
      <c r="AW285" s="35"/>
      <c r="AX285" s="35"/>
    </row>
    <row r="286" ht="15.75" customHeight="1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/>
      <c r="AK286" s="35"/>
      <c r="AL286" s="35"/>
      <c r="AM286" s="35"/>
      <c r="AN286" s="35"/>
      <c r="AO286" s="35"/>
      <c r="AP286" s="35"/>
      <c r="AQ286" s="35"/>
      <c r="AR286" s="35"/>
      <c r="AS286" s="35"/>
      <c r="AT286" s="35"/>
      <c r="AU286" s="35"/>
      <c r="AV286" s="35"/>
      <c r="AW286" s="35"/>
      <c r="AX286" s="35"/>
    </row>
    <row r="287" ht="15.75" customHeight="1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/>
      <c r="AK287" s="35"/>
      <c r="AL287" s="35"/>
      <c r="AM287" s="35"/>
      <c r="AN287" s="35"/>
      <c r="AO287" s="35"/>
      <c r="AP287" s="35"/>
      <c r="AQ287" s="35"/>
      <c r="AR287" s="35"/>
      <c r="AS287" s="35"/>
      <c r="AT287" s="35"/>
      <c r="AU287" s="35"/>
      <c r="AV287" s="35"/>
      <c r="AW287" s="35"/>
      <c r="AX287" s="35"/>
    </row>
    <row r="288" ht="15.75" customHeight="1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/>
      <c r="AK288" s="35"/>
      <c r="AL288" s="35"/>
      <c r="AM288" s="35"/>
      <c r="AN288" s="35"/>
      <c r="AO288" s="35"/>
      <c r="AP288" s="35"/>
      <c r="AQ288" s="35"/>
      <c r="AR288" s="35"/>
      <c r="AS288" s="35"/>
      <c r="AT288" s="35"/>
      <c r="AU288" s="35"/>
      <c r="AV288" s="35"/>
      <c r="AW288" s="35"/>
      <c r="AX288" s="35"/>
    </row>
    <row r="289" ht="15.75" customHeight="1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/>
      <c r="AK289" s="35"/>
      <c r="AL289" s="35"/>
      <c r="AM289" s="35"/>
      <c r="AN289" s="35"/>
      <c r="AO289" s="35"/>
      <c r="AP289" s="35"/>
      <c r="AQ289" s="35"/>
      <c r="AR289" s="35"/>
      <c r="AS289" s="35"/>
      <c r="AT289" s="35"/>
      <c r="AU289" s="35"/>
      <c r="AV289" s="35"/>
      <c r="AW289" s="35"/>
      <c r="AX289" s="35"/>
    </row>
    <row r="290" ht="15.75" customHeight="1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/>
      <c r="AK290" s="35"/>
      <c r="AL290" s="35"/>
      <c r="AM290" s="35"/>
      <c r="AN290" s="35"/>
      <c r="AO290" s="35"/>
      <c r="AP290" s="35"/>
      <c r="AQ290" s="35"/>
      <c r="AR290" s="35"/>
      <c r="AS290" s="35"/>
      <c r="AT290" s="35"/>
      <c r="AU290" s="35"/>
      <c r="AV290" s="35"/>
      <c r="AW290" s="35"/>
      <c r="AX290" s="35"/>
    </row>
    <row r="291" ht="15.75" customHeight="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/>
      <c r="AK291" s="35"/>
      <c r="AL291" s="35"/>
      <c r="AM291" s="35"/>
      <c r="AN291" s="35"/>
      <c r="AO291" s="35"/>
      <c r="AP291" s="35"/>
      <c r="AQ291" s="35"/>
      <c r="AR291" s="35"/>
      <c r="AS291" s="35"/>
      <c r="AT291" s="35"/>
      <c r="AU291" s="35"/>
      <c r="AV291" s="35"/>
      <c r="AW291" s="35"/>
      <c r="AX291" s="35"/>
    </row>
    <row r="292" ht="15.75" customHeight="1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/>
      <c r="AK292" s="35"/>
      <c r="AL292" s="35"/>
      <c r="AM292" s="35"/>
      <c r="AN292" s="35"/>
      <c r="AO292" s="35"/>
      <c r="AP292" s="35"/>
      <c r="AQ292" s="35"/>
      <c r="AR292" s="35"/>
      <c r="AS292" s="35"/>
      <c r="AT292" s="35"/>
      <c r="AU292" s="35"/>
      <c r="AV292" s="35"/>
      <c r="AW292" s="35"/>
      <c r="AX292" s="35"/>
    </row>
    <row r="293" ht="15.75" customHeight="1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/>
      <c r="AK293" s="35"/>
      <c r="AL293" s="35"/>
      <c r="AM293" s="35"/>
      <c r="AN293" s="35"/>
      <c r="AO293" s="35"/>
      <c r="AP293" s="35"/>
      <c r="AQ293" s="35"/>
      <c r="AR293" s="35"/>
      <c r="AS293" s="35"/>
      <c r="AT293" s="35"/>
      <c r="AU293" s="35"/>
      <c r="AV293" s="35"/>
      <c r="AW293" s="35"/>
      <c r="AX293" s="35"/>
    </row>
    <row r="294" ht="15.75" customHeight="1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/>
      <c r="AK294" s="35"/>
      <c r="AL294" s="35"/>
      <c r="AM294" s="35"/>
      <c r="AN294" s="35"/>
      <c r="AO294" s="35"/>
      <c r="AP294" s="35"/>
      <c r="AQ294" s="35"/>
      <c r="AR294" s="35"/>
      <c r="AS294" s="35"/>
      <c r="AT294" s="35"/>
      <c r="AU294" s="35"/>
      <c r="AV294" s="35"/>
      <c r="AW294" s="35"/>
      <c r="AX294" s="35"/>
    </row>
    <row r="295" ht="15.75" customHeight="1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/>
      <c r="AK295" s="35"/>
      <c r="AL295" s="35"/>
      <c r="AM295" s="35"/>
      <c r="AN295" s="35"/>
      <c r="AO295" s="35"/>
      <c r="AP295" s="35"/>
      <c r="AQ295" s="35"/>
      <c r="AR295" s="35"/>
      <c r="AS295" s="35"/>
      <c r="AT295" s="35"/>
      <c r="AU295" s="35"/>
      <c r="AV295" s="35"/>
      <c r="AW295" s="35"/>
      <c r="AX295" s="35"/>
    </row>
    <row r="296" ht="15.75" customHeight="1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/>
      <c r="AK296" s="35"/>
      <c r="AL296" s="35"/>
      <c r="AM296" s="35"/>
      <c r="AN296" s="35"/>
      <c r="AO296" s="35"/>
      <c r="AP296" s="35"/>
      <c r="AQ296" s="35"/>
      <c r="AR296" s="35"/>
      <c r="AS296" s="35"/>
      <c r="AT296" s="35"/>
      <c r="AU296" s="35"/>
      <c r="AV296" s="35"/>
      <c r="AW296" s="35"/>
      <c r="AX296" s="35"/>
    </row>
    <row r="297" ht="15.75" customHeight="1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/>
      <c r="AK297" s="35"/>
      <c r="AL297" s="35"/>
      <c r="AM297" s="35"/>
      <c r="AN297" s="35"/>
      <c r="AO297" s="35"/>
      <c r="AP297" s="35"/>
      <c r="AQ297" s="35"/>
      <c r="AR297" s="35"/>
      <c r="AS297" s="35"/>
      <c r="AT297" s="35"/>
      <c r="AU297" s="35"/>
      <c r="AV297" s="35"/>
      <c r="AW297" s="35"/>
      <c r="AX297" s="35"/>
    </row>
    <row r="298" ht="15.75" customHeight="1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/>
      <c r="AK298" s="35"/>
      <c r="AL298" s="35"/>
      <c r="AM298" s="35"/>
      <c r="AN298" s="35"/>
      <c r="AO298" s="35"/>
      <c r="AP298" s="35"/>
      <c r="AQ298" s="35"/>
      <c r="AR298" s="35"/>
      <c r="AS298" s="35"/>
      <c r="AT298" s="35"/>
      <c r="AU298" s="35"/>
      <c r="AV298" s="35"/>
      <c r="AW298" s="35"/>
      <c r="AX298" s="35"/>
    </row>
    <row r="299" ht="15.75" customHeight="1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/>
      <c r="AK299" s="35"/>
      <c r="AL299" s="35"/>
      <c r="AM299" s="35"/>
      <c r="AN299" s="35"/>
      <c r="AO299" s="35"/>
      <c r="AP299" s="35"/>
      <c r="AQ299" s="35"/>
      <c r="AR299" s="35"/>
      <c r="AS299" s="35"/>
      <c r="AT299" s="35"/>
      <c r="AU299" s="35"/>
      <c r="AV299" s="35"/>
      <c r="AW299" s="35"/>
      <c r="AX299" s="35"/>
    </row>
    <row r="300" ht="15.75" customHeight="1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/>
      <c r="AK300" s="35"/>
      <c r="AL300" s="35"/>
      <c r="AM300" s="35"/>
      <c r="AN300" s="35"/>
      <c r="AO300" s="35"/>
      <c r="AP300" s="35"/>
      <c r="AQ300" s="35"/>
      <c r="AR300" s="35"/>
      <c r="AS300" s="35"/>
      <c r="AT300" s="35"/>
      <c r="AU300" s="35"/>
      <c r="AV300" s="35"/>
      <c r="AW300" s="35"/>
      <c r="AX300" s="35"/>
    </row>
    <row r="301" ht="15.75" customHeight="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/>
      <c r="AK301" s="35"/>
      <c r="AL301" s="35"/>
      <c r="AM301" s="35"/>
      <c r="AN301" s="35"/>
      <c r="AO301" s="35"/>
      <c r="AP301" s="35"/>
      <c r="AQ301" s="35"/>
      <c r="AR301" s="35"/>
      <c r="AS301" s="35"/>
      <c r="AT301" s="35"/>
      <c r="AU301" s="35"/>
      <c r="AV301" s="35"/>
      <c r="AW301" s="35"/>
      <c r="AX301" s="35"/>
    </row>
    <row r="302" ht="15.75" customHeight="1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/>
      <c r="AK302" s="35"/>
      <c r="AL302" s="35"/>
      <c r="AM302" s="35"/>
      <c r="AN302" s="35"/>
      <c r="AO302" s="35"/>
      <c r="AP302" s="35"/>
      <c r="AQ302" s="35"/>
      <c r="AR302" s="35"/>
      <c r="AS302" s="35"/>
      <c r="AT302" s="35"/>
      <c r="AU302" s="35"/>
      <c r="AV302" s="35"/>
      <c r="AW302" s="35"/>
      <c r="AX302" s="35"/>
    </row>
    <row r="303" ht="15.75" customHeight="1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/>
      <c r="AK303" s="35"/>
      <c r="AL303" s="35"/>
      <c r="AM303" s="35"/>
      <c r="AN303" s="35"/>
      <c r="AO303" s="35"/>
      <c r="AP303" s="35"/>
      <c r="AQ303" s="35"/>
      <c r="AR303" s="35"/>
      <c r="AS303" s="35"/>
      <c r="AT303" s="35"/>
      <c r="AU303" s="35"/>
      <c r="AV303" s="35"/>
      <c r="AW303" s="35"/>
      <c r="AX303" s="35"/>
    </row>
    <row r="304" ht="15.75" customHeight="1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/>
      <c r="AK304" s="35"/>
      <c r="AL304" s="35"/>
      <c r="AM304" s="35"/>
      <c r="AN304" s="35"/>
      <c r="AO304" s="35"/>
      <c r="AP304" s="35"/>
      <c r="AQ304" s="35"/>
      <c r="AR304" s="35"/>
      <c r="AS304" s="35"/>
      <c r="AT304" s="35"/>
      <c r="AU304" s="35"/>
      <c r="AV304" s="35"/>
      <c r="AW304" s="35"/>
      <c r="AX304" s="35"/>
    </row>
    <row r="305" ht="15.75" customHeight="1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35"/>
      <c r="AK305" s="35"/>
      <c r="AL305" s="35"/>
      <c r="AM305" s="35"/>
      <c r="AN305" s="35"/>
      <c r="AO305" s="35"/>
      <c r="AP305" s="35"/>
      <c r="AQ305" s="35"/>
      <c r="AR305" s="35"/>
      <c r="AS305" s="35"/>
      <c r="AT305" s="35"/>
      <c r="AU305" s="35"/>
      <c r="AV305" s="35"/>
      <c r="AW305" s="35"/>
      <c r="AX305" s="35"/>
    </row>
    <row r="306" ht="15.75" customHeight="1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35"/>
      <c r="AK306" s="35"/>
      <c r="AL306" s="35"/>
      <c r="AM306" s="35"/>
      <c r="AN306" s="35"/>
      <c r="AO306" s="35"/>
      <c r="AP306" s="35"/>
      <c r="AQ306" s="35"/>
      <c r="AR306" s="35"/>
      <c r="AS306" s="35"/>
      <c r="AT306" s="35"/>
      <c r="AU306" s="35"/>
      <c r="AV306" s="35"/>
      <c r="AW306" s="35"/>
      <c r="AX306" s="35"/>
    </row>
    <row r="307" ht="15.75" customHeight="1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/>
      <c r="AK307" s="35"/>
      <c r="AL307" s="35"/>
      <c r="AM307" s="35"/>
      <c r="AN307" s="35"/>
      <c r="AO307" s="35"/>
      <c r="AP307" s="35"/>
      <c r="AQ307" s="35"/>
      <c r="AR307" s="35"/>
      <c r="AS307" s="35"/>
      <c r="AT307" s="35"/>
      <c r="AU307" s="35"/>
      <c r="AV307" s="35"/>
      <c r="AW307" s="35"/>
      <c r="AX307" s="35"/>
    </row>
    <row r="308" ht="15.75" customHeight="1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/>
      <c r="AK308" s="35"/>
      <c r="AL308" s="35"/>
      <c r="AM308" s="35"/>
      <c r="AN308" s="35"/>
      <c r="AO308" s="35"/>
      <c r="AP308" s="35"/>
      <c r="AQ308" s="35"/>
      <c r="AR308" s="35"/>
      <c r="AS308" s="35"/>
      <c r="AT308" s="35"/>
      <c r="AU308" s="35"/>
      <c r="AV308" s="35"/>
      <c r="AW308" s="35"/>
      <c r="AX308" s="35"/>
    </row>
    <row r="309" ht="15.75" customHeight="1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/>
      <c r="AK309" s="35"/>
      <c r="AL309" s="35"/>
      <c r="AM309" s="35"/>
      <c r="AN309" s="35"/>
      <c r="AO309" s="35"/>
      <c r="AP309" s="35"/>
      <c r="AQ309" s="35"/>
      <c r="AR309" s="35"/>
      <c r="AS309" s="35"/>
      <c r="AT309" s="35"/>
      <c r="AU309" s="35"/>
      <c r="AV309" s="35"/>
      <c r="AW309" s="35"/>
      <c r="AX309" s="35"/>
    </row>
    <row r="310" ht="15.75" customHeight="1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/>
      <c r="AK310" s="35"/>
      <c r="AL310" s="35"/>
      <c r="AM310" s="35"/>
      <c r="AN310" s="35"/>
      <c r="AO310" s="35"/>
      <c r="AP310" s="35"/>
      <c r="AQ310" s="35"/>
      <c r="AR310" s="35"/>
      <c r="AS310" s="35"/>
      <c r="AT310" s="35"/>
      <c r="AU310" s="35"/>
      <c r="AV310" s="35"/>
      <c r="AW310" s="35"/>
      <c r="AX310" s="35"/>
    </row>
    <row r="311" ht="15.75" customHeight="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  <c r="AJ311" s="35"/>
      <c r="AK311" s="35"/>
      <c r="AL311" s="35"/>
      <c r="AM311" s="35"/>
      <c r="AN311" s="35"/>
      <c r="AO311" s="35"/>
      <c r="AP311" s="35"/>
      <c r="AQ311" s="35"/>
      <c r="AR311" s="35"/>
      <c r="AS311" s="35"/>
      <c r="AT311" s="35"/>
      <c r="AU311" s="35"/>
      <c r="AV311" s="35"/>
      <c r="AW311" s="35"/>
      <c r="AX311" s="35"/>
    </row>
    <row r="312" ht="15.75" customHeight="1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  <c r="AJ312" s="35"/>
      <c r="AK312" s="35"/>
      <c r="AL312" s="35"/>
      <c r="AM312" s="35"/>
      <c r="AN312" s="35"/>
      <c r="AO312" s="35"/>
      <c r="AP312" s="35"/>
      <c r="AQ312" s="35"/>
      <c r="AR312" s="35"/>
      <c r="AS312" s="35"/>
      <c r="AT312" s="35"/>
      <c r="AU312" s="35"/>
      <c r="AV312" s="35"/>
      <c r="AW312" s="35"/>
      <c r="AX312" s="35"/>
    </row>
    <row r="313" ht="15.75" customHeight="1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35"/>
      <c r="AK313" s="35"/>
      <c r="AL313" s="35"/>
      <c r="AM313" s="35"/>
      <c r="AN313" s="35"/>
      <c r="AO313" s="35"/>
      <c r="AP313" s="35"/>
      <c r="AQ313" s="35"/>
      <c r="AR313" s="35"/>
      <c r="AS313" s="35"/>
      <c r="AT313" s="35"/>
      <c r="AU313" s="35"/>
      <c r="AV313" s="35"/>
      <c r="AW313" s="35"/>
      <c r="AX313" s="35"/>
    </row>
    <row r="314" ht="15.75" customHeight="1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/>
      <c r="AK314" s="35"/>
      <c r="AL314" s="35"/>
      <c r="AM314" s="35"/>
      <c r="AN314" s="35"/>
      <c r="AO314" s="35"/>
      <c r="AP314" s="35"/>
      <c r="AQ314" s="35"/>
      <c r="AR314" s="35"/>
      <c r="AS314" s="35"/>
      <c r="AT314" s="35"/>
      <c r="AU314" s="35"/>
      <c r="AV314" s="35"/>
      <c r="AW314" s="35"/>
      <c r="AX314" s="35"/>
    </row>
    <row r="315" ht="15.75" customHeight="1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/>
      <c r="AK315" s="35"/>
      <c r="AL315" s="35"/>
      <c r="AM315" s="35"/>
      <c r="AN315" s="35"/>
      <c r="AO315" s="35"/>
      <c r="AP315" s="35"/>
      <c r="AQ315" s="35"/>
      <c r="AR315" s="35"/>
      <c r="AS315" s="35"/>
      <c r="AT315" s="35"/>
      <c r="AU315" s="35"/>
      <c r="AV315" s="35"/>
      <c r="AW315" s="35"/>
      <c r="AX315" s="35"/>
    </row>
    <row r="316" ht="15.75" customHeight="1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/>
      <c r="AK316" s="35"/>
      <c r="AL316" s="35"/>
      <c r="AM316" s="35"/>
      <c r="AN316" s="35"/>
      <c r="AO316" s="35"/>
      <c r="AP316" s="35"/>
      <c r="AQ316" s="35"/>
      <c r="AR316" s="35"/>
      <c r="AS316" s="35"/>
      <c r="AT316" s="35"/>
      <c r="AU316" s="35"/>
      <c r="AV316" s="35"/>
      <c r="AW316" s="35"/>
      <c r="AX316" s="35"/>
    </row>
    <row r="317" ht="15.75" customHeight="1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35"/>
      <c r="AK317" s="35"/>
      <c r="AL317" s="35"/>
      <c r="AM317" s="35"/>
      <c r="AN317" s="35"/>
      <c r="AO317" s="35"/>
      <c r="AP317" s="35"/>
      <c r="AQ317" s="35"/>
      <c r="AR317" s="35"/>
      <c r="AS317" s="35"/>
      <c r="AT317" s="35"/>
      <c r="AU317" s="35"/>
      <c r="AV317" s="35"/>
      <c r="AW317" s="35"/>
      <c r="AX317" s="35"/>
    </row>
    <row r="318" ht="15.75" customHeight="1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  <c r="AI318" s="35"/>
      <c r="AJ318" s="35"/>
      <c r="AK318" s="35"/>
      <c r="AL318" s="35"/>
      <c r="AM318" s="35"/>
      <c r="AN318" s="35"/>
      <c r="AO318" s="35"/>
      <c r="AP318" s="35"/>
      <c r="AQ318" s="35"/>
      <c r="AR318" s="35"/>
      <c r="AS318" s="35"/>
      <c r="AT318" s="35"/>
      <c r="AU318" s="35"/>
      <c r="AV318" s="35"/>
      <c r="AW318" s="35"/>
      <c r="AX318" s="35"/>
    </row>
    <row r="319" ht="15.75" customHeight="1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/>
      <c r="AK319" s="35"/>
      <c r="AL319" s="35"/>
      <c r="AM319" s="35"/>
      <c r="AN319" s="35"/>
      <c r="AO319" s="35"/>
      <c r="AP319" s="35"/>
      <c r="AQ319" s="35"/>
      <c r="AR319" s="35"/>
      <c r="AS319" s="35"/>
      <c r="AT319" s="35"/>
      <c r="AU319" s="35"/>
      <c r="AV319" s="35"/>
      <c r="AW319" s="35"/>
      <c r="AX319" s="35"/>
    </row>
    <row r="320" ht="15.75" customHeight="1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/>
      <c r="AK320" s="35"/>
      <c r="AL320" s="35"/>
      <c r="AM320" s="35"/>
      <c r="AN320" s="35"/>
      <c r="AO320" s="35"/>
      <c r="AP320" s="35"/>
      <c r="AQ320" s="35"/>
      <c r="AR320" s="35"/>
      <c r="AS320" s="35"/>
      <c r="AT320" s="35"/>
      <c r="AU320" s="35"/>
      <c r="AV320" s="35"/>
      <c r="AW320" s="35"/>
      <c r="AX320" s="35"/>
    </row>
    <row r="321" ht="15.75" customHeight="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/>
      <c r="AK321" s="35"/>
      <c r="AL321" s="35"/>
      <c r="AM321" s="35"/>
      <c r="AN321" s="35"/>
      <c r="AO321" s="35"/>
      <c r="AP321" s="35"/>
      <c r="AQ321" s="35"/>
      <c r="AR321" s="35"/>
      <c r="AS321" s="35"/>
      <c r="AT321" s="35"/>
      <c r="AU321" s="35"/>
      <c r="AV321" s="35"/>
      <c r="AW321" s="35"/>
      <c r="AX321" s="35"/>
    </row>
    <row r="322" ht="15.75" customHeight="1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/>
      <c r="AK322" s="35"/>
      <c r="AL322" s="35"/>
      <c r="AM322" s="35"/>
      <c r="AN322" s="35"/>
      <c r="AO322" s="35"/>
      <c r="AP322" s="35"/>
      <c r="AQ322" s="35"/>
      <c r="AR322" s="35"/>
      <c r="AS322" s="35"/>
      <c r="AT322" s="35"/>
      <c r="AU322" s="35"/>
      <c r="AV322" s="35"/>
      <c r="AW322" s="35"/>
      <c r="AX322" s="35"/>
    </row>
    <row r="323" ht="15.75" customHeight="1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  <c r="AJ323" s="35"/>
      <c r="AK323" s="35"/>
      <c r="AL323" s="35"/>
      <c r="AM323" s="35"/>
      <c r="AN323" s="35"/>
      <c r="AO323" s="35"/>
      <c r="AP323" s="35"/>
      <c r="AQ323" s="35"/>
      <c r="AR323" s="35"/>
      <c r="AS323" s="35"/>
      <c r="AT323" s="35"/>
      <c r="AU323" s="35"/>
      <c r="AV323" s="35"/>
      <c r="AW323" s="35"/>
      <c r="AX323" s="35"/>
    </row>
    <row r="324" ht="15.75" customHeight="1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  <c r="AI324" s="35"/>
      <c r="AJ324" s="35"/>
      <c r="AK324" s="35"/>
      <c r="AL324" s="35"/>
      <c r="AM324" s="35"/>
      <c r="AN324" s="35"/>
      <c r="AO324" s="35"/>
      <c r="AP324" s="35"/>
      <c r="AQ324" s="35"/>
      <c r="AR324" s="35"/>
      <c r="AS324" s="35"/>
      <c r="AT324" s="35"/>
      <c r="AU324" s="35"/>
      <c r="AV324" s="35"/>
      <c r="AW324" s="35"/>
      <c r="AX324" s="35"/>
    </row>
    <row r="325" ht="15.75" customHeight="1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  <c r="AI325" s="35"/>
      <c r="AJ325" s="35"/>
      <c r="AK325" s="35"/>
      <c r="AL325" s="35"/>
      <c r="AM325" s="35"/>
      <c r="AN325" s="35"/>
      <c r="AO325" s="35"/>
      <c r="AP325" s="35"/>
      <c r="AQ325" s="35"/>
      <c r="AR325" s="35"/>
      <c r="AS325" s="35"/>
      <c r="AT325" s="35"/>
      <c r="AU325" s="35"/>
      <c r="AV325" s="35"/>
      <c r="AW325" s="35"/>
      <c r="AX325" s="35"/>
    </row>
    <row r="326" ht="15.75" customHeight="1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/>
      <c r="AK326" s="35"/>
      <c r="AL326" s="35"/>
      <c r="AM326" s="35"/>
      <c r="AN326" s="35"/>
      <c r="AO326" s="35"/>
      <c r="AP326" s="35"/>
      <c r="AQ326" s="35"/>
      <c r="AR326" s="35"/>
      <c r="AS326" s="35"/>
      <c r="AT326" s="35"/>
      <c r="AU326" s="35"/>
      <c r="AV326" s="35"/>
      <c r="AW326" s="35"/>
      <c r="AX326" s="35"/>
    </row>
    <row r="327" ht="15.75" customHeight="1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/>
      <c r="AK327" s="35"/>
      <c r="AL327" s="35"/>
      <c r="AM327" s="35"/>
      <c r="AN327" s="35"/>
      <c r="AO327" s="35"/>
      <c r="AP327" s="35"/>
      <c r="AQ327" s="35"/>
      <c r="AR327" s="35"/>
      <c r="AS327" s="35"/>
      <c r="AT327" s="35"/>
      <c r="AU327" s="35"/>
      <c r="AV327" s="35"/>
      <c r="AW327" s="35"/>
      <c r="AX327" s="35"/>
    </row>
    <row r="328" ht="15.75" customHeight="1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/>
      <c r="AK328" s="35"/>
      <c r="AL328" s="35"/>
      <c r="AM328" s="35"/>
      <c r="AN328" s="35"/>
      <c r="AO328" s="35"/>
      <c r="AP328" s="35"/>
      <c r="AQ328" s="35"/>
      <c r="AR328" s="35"/>
      <c r="AS328" s="35"/>
      <c r="AT328" s="35"/>
      <c r="AU328" s="35"/>
      <c r="AV328" s="35"/>
      <c r="AW328" s="35"/>
      <c r="AX328" s="35"/>
    </row>
    <row r="329" ht="15.75" customHeight="1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  <c r="AJ329" s="35"/>
      <c r="AK329" s="35"/>
      <c r="AL329" s="35"/>
      <c r="AM329" s="35"/>
      <c r="AN329" s="35"/>
      <c r="AO329" s="35"/>
      <c r="AP329" s="35"/>
      <c r="AQ329" s="35"/>
      <c r="AR329" s="35"/>
      <c r="AS329" s="35"/>
      <c r="AT329" s="35"/>
      <c r="AU329" s="35"/>
      <c r="AV329" s="35"/>
      <c r="AW329" s="35"/>
      <c r="AX329" s="35"/>
    </row>
    <row r="330" ht="15.75" customHeight="1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35"/>
      <c r="AK330" s="35"/>
      <c r="AL330" s="35"/>
      <c r="AM330" s="35"/>
      <c r="AN330" s="35"/>
      <c r="AO330" s="35"/>
      <c r="AP330" s="35"/>
      <c r="AQ330" s="35"/>
      <c r="AR330" s="35"/>
      <c r="AS330" s="35"/>
      <c r="AT330" s="35"/>
      <c r="AU330" s="35"/>
      <c r="AV330" s="35"/>
      <c r="AW330" s="35"/>
      <c r="AX330" s="35"/>
    </row>
    <row r="331" ht="15.75" customHeight="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5"/>
      <c r="AK331" s="35"/>
      <c r="AL331" s="35"/>
      <c r="AM331" s="35"/>
      <c r="AN331" s="35"/>
      <c r="AO331" s="35"/>
      <c r="AP331" s="35"/>
      <c r="AQ331" s="35"/>
      <c r="AR331" s="35"/>
      <c r="AS331" s="35"/>
      <c r="AT331" s="35"/>
      <c r="AU331" s="35"/>
      <c r="AV331" s="35"/>
      <c r="AW331" s="35"/>
      <c r="AX331" s="35"/>
    </row>
    <row r="332" ht="15.75" customHeight="1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/>
      <c r="AK332" s="35"/>
      <c r="AL332" s="35"/>
      <c r="AM332" s="35"/>
      <c r="AN332" s="35"/>
      <c r="AO332" s="35"/>
      <c r="AP332" s="35"/>
      <c r="AQ332" s="35"/>
      <c r="AR332" s="35"/>
      <c r="AS332" s="35"/>
      <c r="AT332" s="35"/>
      <c r="AU332" s="35"/>
      <c r="AV332" s="35"/>
      <c r="AW332" s="35"/>
      <c r="AX332" s="35"/>
    </row>
    <row r="333" ht="15.75" customHeight="1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/>
      <c r="AK333" s="35"/>
      <c r="AL333" s="35"/>
      <c r="AM333" s="35"/>
      <c r="AN333" s="35"/>
      <c r="AO333" s="35"/>
      <c r="AP333" s="35"/>
      <c r="AQ333" s="35"/>
      <c r="AR333" s="35"/>
      <c r="AS333" s="35"/>
      <c r="AT333" s="35"/>
      <c r="AU333" s="35"/>
      <c r="AV333" s="35"/>
      <c r="AW333" s="35"/>
      <c r="AX333" s="35"/>
    </row>
    <row r="334" ht="15.75" customHeight="1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/>
      <c r="AK334" s="35"/>
      <c r="AL334" s="35"/>
      <c r="AM334" s="35"/>
      <c r="AN334" s="35"/>
      <c r="AO334" s="35"/>
      <c r="AP334" s="35"/>
      <c r="AQ334" s="35"/>
      <c r="AR334" s="35"/>
      <c r="AS334" s="35"/>
      <c r="AT334" s="35"/>
      <c r="AU334" s="35"/>
      <c r="AV334" s="35"/>
      <c r="AW334" s="35"/>
      <c r="AX334" s="35"/>
    </row>
    <row r="335" ht="15.75" customHeight="1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/>
      <c r="AK335" s="35"/>
      <c r="AL335" s="35"/>
      <c r="AM335" s="35"/>
      <c r="AN335" s="35"/>
      <c r="AO335" s="35"/>
      <c r="AP335" s="35"/>
      <c r="AQ335" s="35"/>
      <c r="AR335" s="35"/>
      <c r="AS335" s="35"/>
      <c r="AT335" s="35"/>
      <c r="AU335" s="35"/>
      <c r="AV335" s="35"/>
      <c r="AW335" s="35"/>
      <c r="AX335" s="35"/>
    </row>
    <row r="336" ht="15.75" customHeight="1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  <c r="AJ336" s="35"/>
      <c r="AK336" s="35"/>
      <c r="AL336" s="35"/>
      <c r="AM336" s="35"/>
      <c r="AN336" s="35"/>
      <c r="AO336" s="35"/>
      <c r="AP336" s="35"/>
      <c r="AQ336" s="35"/>
      <c r="AR336" s="35"/>
      <c r="AS336" s="35"/>
      <c r="AT336" s="35"/>
      <c r="AU336" s="35"/>
      <c r="AV336" s="35"/>
      <c r="AW336" s="35"/>
      <c r="AX336" s="35"/>
    </row>
    <row r="337" ht="15.75" customHeight="1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  <c r="AJ337" s="35"/>
      <c r="AK337" s="35"/>
      <c r="AL337" s="35"/>
      <c r="AM337" s="35"/>
      <c r="AN337" s="35"/>
      <c r="AO337" s="35"/>
      <c r="AP337" s="35"/>
      <c r="AQ337" s="35"/>
      <c r="AR337" s="35"/>
      <c r="AS337" s="35"/>
      <c r="AT337" s="35"/>
      <c r="AU337" s="35"/>
      <c r="AV337" s="35"/>
      <c r="AW337" s="35"/>
      <c r="AX337" s="35"/>
    </row>
    <row r="338" ht="15.75" customHeight="1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  <c r="AJ338" s="35"/>
      <c r="AK338" s="35"/>
      <c r="AL338" s="35"/>
      <c r="AM338" s="35"/>
      <c r="AN338" s="35"/>
      <c r="AO338" s="35"/>
      <c r="AP338" s="35"/>
      <c r="AQ338" s="35"/>
      <c r="AR338" s="35"/>
      <c r="AS338" s="35"/>
      <c r="AT338" s="35"/>
      <c r="AU338" s="35"/>
      <c r="AV338" s="35"/>
      <c r="AW338" s="35"/>
      <c r="AX338" s="35"/>
    </row>
    <row r="339" ht="15.75" customHeight="1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/>
      <c r="AK339" s="35"/>
      <c r="AL339" s="35"/>
      <c r="AM339" s="35"/>
      <c r="AN339" s="35"/>
      <c r="AO339" s="35"/>
      <c r="AP339" s="35"/>
      <c r="AQ339" s="35"/>
      <c r="AR339" s="35"/>
      <c r="AS339" s="35"/>
      <c r="AT339" s="35"/>
      <c r="AU339" s="35"/>
      <c r="AV339" s="35"/>
      <c r="AW339" s="35"/>
      <c r="AX339" s="35"/>
    </row>
    <row r="340" ht="15.75" customHeight="1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/>
      <c r="AK340" s="35"/>
      <c r="AL340" s="35"/>
      <c r="AM340" s="35"/>
      <c r="AN340" s="35"/>
      <c r="AO340" s="35"/>
      <c r="AP340" s="35"/>
      <c r="AQ340" s="35"/>
      <c r="AR340" s="35"/>
      <c r="AS340" s="35"/>
      <c r="AT340" s="35"/>
      <c r="AU340" s="35"/>
      <c r="AV340" s="35"/>
      <c r="AW340" s="35"/>
      <c r="AX340" s="35"/>
    </row>
    <row r="341" ht="15.75" customHeight="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/>
      <c r="AK341" s="35"/>
      <c r="AL341" s="35"/>
      <c r="AM341" s="35"/>
      <c r="AN341" s="35"/>
      <c r="AO341" s="35"/>
      <c r="AP341" s="35"/>
      <c r="AQ341" s="35"/>
      <c r="AR341" s="35"/>
      <c r="AS341" s="35"/>
      <c r="AT341" s="35"/>
      <c r="AU341" s="35"/>
      <c r="AV341" s="35"/>
      <c r="AW341" s="35"/>
      <c r="AX341" s="35"/>
    </row>
    <row r="342" ht="15.75" customHeight="1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/>
      <c r="AK342" s="35"/>
      <c r="AL342" s="35"/>
      <c r="AM342" s="35"/>
      <c r="AN342" s="35"/>
      <c r="AO342" s="35"/>
      <c r="AP342" s="35"/>
      <c r="AQ342" s="35"/>
      <c r="AR342" s="35"/>
      <c r="AS342" s="35"/>
      <c r="AT342" s="35"/>
      <c r="AU342" s="35"/>
      <c r="AV342" s="35"/>
      <c r="AW342" s="35"/>
      <c r="AX342" s="35"/>
    </row>
    <row r="343" ht="15.75" customHeight="1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  <c r="AI343" s="35"/>
      <c r="AJ343" s="35"/>
      <c r="AK343" s="35"/>
      <c r="AL343" s="35"/>
      <c r="AM343" s="35"/>
      <c r="AN343" s="35"/>
      <c r="AO343" s="35"/>
      <c r="AP343" s="35"/>
      <c r="AQ343" s="35"/>
      <c r="AR343" s="35"/>
      <c r="AS343" s="35"/>
      <c r="AT343" s="35"/>
      <c r="AU343" s="35"/>
      <c r="AV343" s="35"/>
      <c r="AW343" s="35"/>
      <c r="AX343" s="35"/>
    </row>
    <row r="344" ht="15.75" customHeight="1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  <c r="AI344" s="35"/>
      <c r="AJ344" s="35"/>
      <c r="AK344" s="35"/>
      <c r="AL344" s="35"/>
      <c r="AM344" s="35"/>
      <c r="AN344" s="35"/>
      <c r="AO344" s="35"/>
      <c r="AP344" s="35"/>
      <c r="AQ344" s="35"/>
      <c r="AR344" s="35"/>
      <c r="AS344" s="35"/>
      <c r="AT344" s="35"/>
      <c r="AU344" s="35"/>
      <c r="AV344" s="35"/>
      <c r="AW344" s="35"/>
      <c r="AX344" s="35"/>
    </row>
    <row r="345" ht="15.75" customHeight="1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  <c r="AG345" s="35"/>
      <c r="AH345" s="35"/>
      <c r="AI345" s="35"/>
      <c r="AJ345" s="35"/>
      <c r="AK345" s="35"/>
      <c r="AL345" s="35"/>
      <c r="AM345" s="35"/>
      <c r="AN345" s="35"/>
      <c r="AO345" s="35"/>
      <c r="AP345" s="35"/>
      <c r="AQ345" s="35"/>
      <c r="AR345" s="35"/>
      <c r="AS345" s="35"/>
      <c r="AT345" s="35"/>
      <c r="AU345" s="35"/>
      <c r="AV345" s="35"/>
      <c r="AW345" s="35"/>
      <c r="AX345" s="35"/>
    </row>
    <row r="346" ht="15.75" customHeight="1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  <c r="AG346" s="35"/>
      <c r="AH346" s="35"/>
      <c r="AI346" s="35"/>
      <c r="AJ346" s="35"/>
      <c r="AK346" s="35"/>
      <c r="AL346" s="35"/>
      <c r="AM346" s="35"/>
      <c r="AN346" s="35"/>
      <c r="AO346" s="35"/>
      <c r="AP346" s="35"/>
      <c r="AQ346" s="35"/>
      <c r="AR346" s="35"/>
      <c r="AS346" s="35"/>
      <c r="AT346" s="35"/>
      <c r="AU346" s="35"/>
      <c r="AV346" s="35"/>
      <c r="AW346" s="35"/>
      <c r="AX346" s="35"/>
    </row>
    <row r="347" ht="15.75" customHeight="1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  <c r="AG347" s="35"/>
      <c r="AH347" s="35"/>
      <c r="AI347" s="35"/>
      <c r="AJ347" s="35"/>
      <c r="AK347" s="35"/>
      <c r="AL347" s="35"/>
      <c r="AM347" s="35"/>
      <c r="AN347" s="35"/>
      <c r="AO347" s="35"/>
      <c r="AP347" s="35"/>
      <c r="AQ347" s="35"/>
      <c r="AR347" s="35"/>
      <c r="AS347" s="35"/>
      <c r="AT347" s="35"/>
      <c r="AU347" s="35"/>
      <c r="AV347" s="35"/>
      <c r="AW347" s="35"/>
      <c r="AX347" s="35"/>
    </row>
    <row r="348" ht="15.75" customHeight="1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/>
      <c r="AH348" s="35"/>
      <c r="AI348" s="35"/>
      <c r="AJ348" s="35"/>
      <c r="AK348" s="35"/>
      <c r="AL348" s="35"/>
      <c r="AM348" s="35"/>
      <c r="AN348" s="35"/>
      <c r="AO348" s="35"/>
      <c r="AP348" s="35"/>
      <c r="AQ348" s="35"/>
      <c r="AR348" s="35"/>
      <c r="AS348" s="35"/>
      <c r="AT348" s="35"/>
      <c r="AU348" s="35"/>
      <c r="AV348" s="35"/>
      <c r="AW348" s="35"/>
      <c r="AX348" s="35"/>
    </row>
    <row r="349" ht="15.75" customHeight="1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/>
      <c r="AH349" s="35"/>
      <c r="AI349" s="35"/>
      <c r="AJ349" s="35"/>
      <c r="AK349" s="35"/>
      <c r="AL349" s="35"/>
      <c r="AM349" s="35"/>
      <c r="AN349" s="35"/>
      <c r="AO349" s="35"/>
      <c r="AP349" s="35"/>
      <c r="AQ349" s="35"/>
      <c r="AR349" s="35"/>
      <c r="AS349" s="35"/>
      <c r="AT349" s="35"/>
      <c r="AU349" s="35"/>
      <c r="AV349" s="35"/>
      <c r="AW349" s="35"/>
      <c r="AX349" s="35"/>
    </row>
    <row r="350" ht="15.75" customHeight="1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  <c r="AG350" s="35"/>
      <c r="AH350" s="35"/>
      <c r="AI350" s="35"/>
      <c r="AJ350" s="35"/>
      <c r="AK350" s="35"/>
      <c r="AL350" s="35"/>
      <c r="AM350" s="35"/>
      <c r="AN350" s="35"/>
      <c r="AO350" s="35"/>
      <c r="AP350" s="35"/>
      <c r="AQ350" s="35"/>
      <c r="AR350" s="35"/>
      <c r="AS350" s="35"/>
      <c r="AT350" s="35"/>
      <c r="AU350" s="35"/>
      <c r="AV350" s="35"/>
      <c r="AW350" s="35"/>
      <c r="AX350" s="35"/>
    </row>
    <row r="351" ht="15.75" customHeight="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  <c r="AG351" s="35"/>
      <c r="AH351" s="35"/>
      <c r="AI351" s="35"/>
      <c r="AJ351" s="35"/>
      <c r="AK351" s="35"/>
      <c r="AL351" s="35"/>
      <c r="AM351" s="35"/>
      <c r="AN351" s="35"/>
      <c r="AO351" s="35"/>
      <c r="AP351" s="35"/>
      <c r="AQ351" s="35"/>
      <c r="AR351" s="35"/>
      <c r="AS351" s="35"/>
      <c r="AT351" s="35"/>
      <c r="AU351" s="35"/>
      <c r="AV351" s="35"/>
      <c r="AW351" s="35"/>
      <c r="AX351" s="35"/>
    </row>
    <row r="352" ht="15.75" customHeight="1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  <c r="AG352" s="35"/>
      <c r="AH352" s="35"/>
      <c r="AI352" s="35"/>
      <c r="AJ352" s="35"/>
      <c r="AK352" s="35"/>
      <c r="AL352" s="35"/>
      <c r="AM352" s="35"/>
      <c r="AN352" s="35"/>
      <c r="AO352" s="35"/>
      <c r="AP352" s="35"/>
      <c r="AQ352" s="35"/>
      <c r="AR352" s="35"/>
      <c r="AS352" s="35"/>
      <c r="AT352" s="35"/>
      <c r="AU352" s="35"/>
      <c r="AV352" s="35"/>
      <c r="AW352" s="35"/>
      <c r="AX352" s="35"/>
    </row>
    <row r="353" ht="15.75" customHeight="1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  <c r="AG353" s="35"/>
      <c r="AH353" s="35"/>
      <c r="AI353" s="35"/>
      <c r="AJ353" s="35"/>
      <c r="AK353" s="35"/>
      <c r="AL353" s="35"/>
      <c r="AM353" s="35"/>
      <c r="AN353" s="35"/>
      <c r="AO353" s="35"/>
      <c r="AP353" s="35"/>
      <c r="AQ353" s="35"/>
      <c r="AR353" s="35"/>
      <c r="AS353" s="35"/>
      <c r="AT353" s="35"/>
      <c r="AU353" s="35"/>
      <c r="AV353" s="35"/>
      <c r="AW353" s="35"/>
      <c r="AX353" s="35"/>
    </row>
    <row r="354" ht="15.75" customHeight="1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  <c r="AG354" s="35"/>
      <c r="AH354" s="35"/>
      <c r="AI354" s="35"/>
      <c r="AJ354" s="35"/>
      <c r="AK354" s="35"/>
      <c r="AL354" s="35"/>
      <c r="AM354" s="35"/>
      <c r="AN354" s="35"/>
      <c r="AO354" s="35"/>
      <c r="AP354" s="35"/>
      <c r="AQ354" s="35"/>
      <c r="AR354" s="35"/>
      <c r="AS354" s="35"/>
      <c r="AT354" s="35"/>
      <c r="AU354" s="35"/>
      <c r="AV354" s="35"/>
      <c r="AW354" s="35"/>
      <c r="AX354" s="35"/>
    </row>
    <row r="355" ht="15.75" customHeight="1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  <c r="AG355" s="35"/>
      <c r="AH355" s="35"/>
      <c r="AI355" s="35"/>
      <c r="AJ355" s="35"/>
      <c r="AK355" s="35"/>
      <c r="AL355" s="35"/>
      <c r="AM355" s="35"/>
      <c r="AN355" s="35"/>
      <c r="AO355" s="35"/>
      <c r="AP355" s="35"/>
      <c r="AQ355" s="35"/>
      <c r="AR355" s="35"/>
      <c r="AS355" s="35"/>
      <c r="AT355" s="35"/>
      <c r="AU355" s="35"/>
      <c r="AV355" s="35"/>
      <c r="AW355" s="35"/>
      <c r="AX355" s="35"/>
    </row>
    <row r="356" ht="15.75" customHeight="1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  <c r="AI356" s="35"/>
      <c r="AJ356" s="35"/>
      <c r="AK356" s="35"/>
      <c r="AL356" s="35"/>
      <c r="AM356" s="35"/>
      <c r="AN356" s="35"/>
      <c r="AO356" s="35"/>
      <c r="AP356" s="35"/>
      <c r="AQ356" s="35"/>
      <c r="AR356" s="35"/>
      <c r="AS356" s="35"/>
      <c r="AT356" s="35"/>
      <c r="AU356" s="35"/>
      <c r="AV356" s="35"/>
      <c r="AW356" s="35"/>
      <c r="AX356" s="35"/>
    </row>
    <row r="357" ht="15.75" customHeight="1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  <c r="AH357" s="35"/>
      <c r="AI357" s="35"/>
      <c r="AJ357" s="35"/>
      <c r="AK357" s="35"/>
      <c r="AL357" s="35"/>
      <c r="AM357" s="35"/>
      <c r="AN357" s="35"/>
      <c r="AO357" s="35"/>
      <c r="AP357" s="35"/>
      <c r="AQ357" s="35"/>
      <c r="AR357" s="35"/>
      <c r="AS357" s="35"/>
      <c r="AT357" s="35"/>
      <c r="AU357" s="35"/>
      <c r="AV357" s="35"/>
      <c r="AW357" s="35"/>
      <c r="AX357" s="35"/>
    </row>
    <row r="358" ht="15.75" customHeight="1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  <c r="AI358" s="35"/>
      <c r="AJ358" s="35"/>
      <c r="AK358" s="35"/>
      <c r="AL358" s="35"/>
      <c r="AM358" s="35"/>
      <c r="AN358" s="35"/>
      <c r="AO358" s="35"/>
      <c r="AP358" s="35"/>
      <c r="AQ358" s="35"/>
      <c r="AR358" s="35"/>
      <c r="AS358" s="35"/>
      <c r="AT358" s="35"/>
      <c r="AU358" s="35"/>
      <c r="AV358" s="35"/>
      <c r="AW358" s="35"/>
      <c r="AX358" s="35"/>
    </row>
    <row r="359" ht="15.75" customHeight="1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  <c r="AG359" s="35"/>
      <c r="AH359" s="35"/>
      <c r="AI359" s="35"/>
      <c r="AJ359" s="35"/>
      <c r="AK359" s="35"/>
      <c r="AL359" s="35"/>
      <c r="AM359" s="35"/>
      <c r="AN359" s="35"/>
      <c r="AO359" s="35"/>
      <c r="AP359" s="35"/>
      <c r="AQ359" s="35"/>
      <c r="AR359" s="35"/>
      <c r="AS359" s="35"/>
      <c r="AT359" s="35"/>
      <c r="AU359" s="35"/>
      <c r="AV359" s="35"/>
      <c r="AW359" s="35"/>
      <c r="AX359" s="35"/>
    </row>
    <row r="360" ht="15.75" customHeight="1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  <c r="AG360" s="35"/>
      <c r="AH360" s="35"/>
      <c r="AI360" s="35"/>
      <c r="AJ360" s="35"/>
      <c r="AK360" s="35"/>
      <c r="AL360" s="35"/>
      <c r="AM360" s="35"/>
      <c r="AN360" s="35"/>
      <c r="AO360" s="35"/>
      <c r="AP360" s="35"/>
      <c r="AQ360" s="35"/>
      <c r="AR360" s="35"/>
      <c r="AS360" s="35"/>
      <c r="AT360" s="35"/>
      <c r="AU360" s="35"/>
      <c r="AV360" s="35"/>
      <c r="AW360" s="35"/>
      <c r="AX360" s="35"/>
    </row>
    <row r="361" ht="15.75" customHeight="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  <c r="AE361" s="35"/>
      <c r="AF361" s="35"/>
      <c r="AG361" s="35"/>
      <c r="AH361" s="35"/>
      <c r="AI361" s="35"/>
      <c r="AJ361" s="35"/>
      <c r="AK361" s="35"/>
      <c r="AL361" s="35"/>
      <c r="AM361" s="35"/>
      <c r="AN361" s="35"/>
      <c r="AO361" s="35"/>
      <c r="AP361" s="35"/>
      <c r="AQ361" s="35"/>
      <c r="AR361" s="35"/>
      <c r="AS361" s="35"/>
      <c r="AT361" s="35"/>
      <c r="AU361" s="35"/>
      <c r="AV361" s="35"/>
      <c r="AW361" s="35"/>
      <c r="AX361" s="35"/>
    </row>
    <row r="362" ht="15.75" customHeight="1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  <c r="AJ362" s="35"/>
      <c r="AK362" s="35"/>
      <c r="AL362" s="35"/>
      <c r="AM362" s="35"/>
      <c r="AN362" s="35"/>
      <c r="AO362" s="35"/>
      <c r="AP362" s="35"/>
      <c r="AQ362" s="35"/>
      <c r="AR362" s="35"/>
      <c r="AS362" s="35"/>
      <c r="AT362" s="35"/>
      <c r="AU362" s="35"/>
      <c r="AV362" s="35"/>
      <c r="AW362" s="35"/>
      <c r="AX362" s="35"/>
    </row>
    <row r="363" ht="15.75" customHeight="1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  <c r="AK363" s="35"/>
      <c r="AL363" s="35"/>
      <c r="AM363" s="35"/>
      <c r="AN363" s="35"/>
      <c r="AO363" s="35"/>
      <c r="AP363" s="35"/>
      <c r="AQ363" s="35"/>
      <c r="AR363" s="35"/>
      <c r="AS363" s="35"/>
      <c r="AT363" s="35"/>
      <c r="AU363" s="35"/>
      <c r="AV363" s="35"/>
      <c r="AW363" s="35"/>
      <c r="AX363" s="35"/>
    </row>
    <row r="364" ht="15.75" customHeight="1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  <c r="AK364" s="35"/>
      <c r="AL364" s="35"/>
      <c r="AM364" s="35"/>
      <c r="AN364" s="35"/>
      <c r="AO364" s="35"/>
      <c r="AP364" s="35"/>
      <c r="AQ364" s="35"/>
      <c r="AR364" s="35"/>
      <c r="AS364" s="35"/>
      <c r="AT364" s="35"/>
      <c r="AU364" s="35"/>
      <c r="AV364" s="35"/>
      <c r="AW364" s="35"/>
      <c r="AX364" s="35"/>
    </row>
    <row r="365" ht="15.75" customHeight="1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  <c r="AK365" s="35"/>
      <c r="AL365" s="35"/>
      <c r="AM365" s="35"/>
      <c r="AN365" s="35"/>
      <c r="AO365" s="35"/>
      <c r="AP365" s="35"/>
      <c r="AQ365" s="35"/>
      <c r="AR365" s="35"/>
      <c r="AS365" s="35"/>
      <c r="AT365" s="35"/>
      <c r="AU365" s="35"/>
      <c r="AV365" s="35"/>
      <c r="AW365" s="35"/>
      <c r="AX365" s="35"/>
    </row>
    <row r="366" ht="15.75" customHeight="1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  <c r="AG366" s="35"/>
      <c r="AH366" s="35"/>
      <c r="AI366" s="35"/>
      <c r="AJ366" s="35"/>
      <c r="AK366" s="35"/>
      <c r="AL366" s="35"/>
      <c r="AM366" s="35"/>
      <c r="AN366" s="35"/>
      <c r="AO366" s="35"/>
      <c r="AP366" s="35"/>
      <c r="AQ366" s="35"/>
      <c r="AR366" s="35"/>
      <c r="AS366" s="35"/>
      <c r="AT366" s="35"/>
      <c r="AU366" s="35"/>
      <c r="AV366" s="35"/>
      <c r="AW366" s="35"/>
      <c r="AX366" s="35"/>
    </row>
    <row r="367" ht="15.75" customHeight="1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  <c r="AG367" s="35"/>
      <c r="AH367" s="35"/>
      <c r="AI367" s="35"/>
      <c r="AJ367" s="35"/>
      <c r="AK367" s="35"/>
      <c r="AL367" s="35"/>
      <c r="AM367" s="35"/>
      <c r="AN367" s="35"/>
      <c r="AO367" s="35"/>
      <c r="AP367" s="35"/>
      <c r="AQ367" s="35"/>
      <c r="AR367" s="35"/>
      <c r="AS367" s="35"/>
      <c r="AT367" s="35"/>
      <c r="AU367" s="35"/>
      <c r="AV367" s="35"/>
      <c r="AW367" s="35"/>
      <c r="AX367" s="35"/>
    </row>
    <row r="368" ht="15.75" customHeight="1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  <c r="AG368" s="35"/>
      <c r="AH368" s="35"/>
      <c r="AI368" s="35"/>
      <c r="AJ368" s="35"/>
      <c r="AK368" s="35"/>
      <c r="AL368" s="35"/>
      <c r="AM368" s="35"/>
      <c r="AN368" s="35"/>
      <c r="AO368" s="35"/>
      <c r="AP368" s="35"/>
      <c r="AQ368" s="35"/>
      <c r="AR368" s="35"/>
      <c r="AS368" s="35"/>
      <c r="AT368" s="35"/>
      <c r="AU368" s="35"/>
      <c r="AV368" s="35"/>
      <c r="AW368" s="35"/>
      <c r="AX368" s="35"/>
    </row>
    <row r="369" ht="15.75" customHeight="1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/>
      <c r="AH369" s="35"/>
      <c r="AI369" s="35"/>
      <c r="AJ369" s="35"/>
      <c r="AK369" s="35"/>
      <c r="AL369" s="35"/>
      <c r="AM369" s="35"/>
      <c r="AN369" s="35"/>
      <c r="AO369" s="35"/>
      <c r="AP369" s="35"/>
      <c r="AQ369" s="35"/>
      <c r="AR369" s="35"/>
      <c r="AS369" s="35"/>
      <c r="AT369" s="35"/>
      <c r="AU369" s="35"/>
      <c r="AV369" s="35"/>
      <c r="AW369" s="35"/>
      <c r="AX369" s="35"/>
    </row>
    <row r="370" ht="15.75" customHeight="1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  <c r="AJ370" s="35"/>
      <c r="AK370" s="35"/>
      <c r="AL370" s="35"/>
      <c r="AM370" s="35"/>
      <c r="AN370" s="35"/>
      <c r="AO370" s="35"/>
      <c r="AP370" s="35"/>
      <c r="AQ370" s="35"/>
      <c r="AR370" s="35"/>
      <c r="AS370" s="35"/>
      <c r="AT370" s="35"/>
      <c r="AU370" s="35"/>
      <c r="AV370" s="35"/>
      <c r="AW370" s="35"/>
      <c r="AX370" s="35"/>
    </row>
    <row r="371" ht="15.75" customHeight="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  <c r="AJ371" s="35"/>
      <c r="AK371" s="35"/>
      <c r="AL371" s="35"/>
      <c r="AM371" s="35"/>
      <c r="AN371" s="35"/>
      <c r="AO371" s="35"/>
      <c r="AP371" s="35"/>
      <c r="AQ371" s="35"/>
      <c r="AR371" s="35"/>
      <c r="AS371" s="35"/>
      <c r="AT371" s="35"/>
      <c r="AU371" s="35"/>
      <c r="AV371" s="35"/>
      <c r="AW371" s="35"/>
      <c r="AX371" s="35"/>
    </row>
    <row r="372" ht="15.75" customHeight="1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  <c r="AK372" s="35"/>
      <c r="AL372" s="35"/>
      <c r="AM372" s="35"/>
      <c r="AN372" s="35"/>
      <c r="AO372" s="35"/>
      <c r="AP372" s="35"/>
      <c r="AQ372" s="35"/>
      <c r="AR372" s="35"/>
      <c r="AS372" s="35"/>
      <c r="AT372" s="35"/>
      <c r="AU372" s="35"/>
      <c r="AV372" s="35"/>
      <c r="AW372" s="35"/>
      <c r="AX372" s="35"/>
    </row>
    <row r="373" ht="15.75" customHeight="1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  <c r="AG373" s="35"/>
      <c r="AH373" s="35"/>
      <c r="AI373" s="35"/>
      <c r="AJ373" s="35"/>
      <c r="AK373" s="35"/>
      <c r="AL373" s="35"/>
      <c r="AM373" s="35"/>
      <c r="AN373" s="35"/>
      <c r="AO373" s="35"/>
      <c r="AP373" s="35"/>
      <c r="AQ373" s="35"/>
      <c r="AR373" s="35"/>
      <c r="AS373" s="35"/>
      <c r="AT373" s="35"/>
      <c r="AU373" s="35"/>
      <c r="AV373" s="35"/>
      <c r="AW373" s="35"/>
      <c r="AX373" s="35"/>
    </row>
    <row r="374" ht="15.75" customHeight="1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  <c r="AG374" s="35"/>
      <c r="AH374" s="35"/>
      <c r="AI374" s="35"/>
      <c r="AJ374" s="35"/>
      <c r="AK374" s="35"/>
      <c r="AL374" s="35"/>
      <c r="AM374" s="35"/>
      <c r="AN374" s="35"/>
      <c r="AO374" s="35"/>
      <c r="AP374" s="35"/>
      <c r="AQ374" s="35"/>
      <c r="AR374" s="35"/>
      <c r="AS374" s="35"/>
      <c r="AT374" s="35"/>
      <c r="AU374" s="35"/>
      <c r="AV374" s="35"/>
      <c r="AW374" s="35"/>
      <c r="AX374" s="35"/>
    </row>
    <row r="375" ht="15.75" customHeight="1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  <c r="AG375" s="35"/>
      <c r="AH375" s="35"/>
      <c r="AI375" s="35"/>
      <c r="AJ375" s="35"/>
      <c r="AK375" s="35"/>
      <c r="AL375" s="35"/>
      <c r="AM375" s="35"/>
      <c r="AN375" s="35"/>
      <c r="AO375" s="35"/>
      <c r="AP375" s="35"/>
      <c r="AQ375" s="35"/>
      <c r="AR375" s="35"/>
      <c r="AS375" s="35"/>
      <c r="AT375" s="35"/>
      <c r="AU375" s="35"/>
      <c r="AV375" s="35"/>
      <c r="AW375" s="35"/>
      <c r="AX375" s="35"/>
    </row>
    <row r="376" ht="15.75" customHeight="1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  <c r="AJ376" s="35"/>
      <c r="AK376" s="35"/>
      <c r="AL376" s="35"/>
      <c r="AM376" s="35"/>
      <c r="AN376" s="35"/>
      <c r="AO376" s="35"/>
      <c r="AP376" s="35"/>
      <c r="AQ376" s="35"/>
      <c r="AR376" s="35"/>
      <c r="AS376" s="35"/>
      <c r="AT376" s="35"/>
      <c r="AU376" s="35"/>
      <c r="AV376" s="35"/>
      <c r="AW376" s="35"/>
      <c r="AX376" s="35"/>
    </row>
    <row r="377" ht="15.75" customHeight="1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  <c r="AJ377" s="35"/>
      <c r="AK377" s="35"/>
      <c r="AL377" s="35"/>
      <c r="AM377" s="35"/>
      <c r="AN377" s="35"/>
      <c r="AO377" s="35"/>
      <c r="AP377" s="35"/>
      <c r="AQ377" s="35"/>
      <c r="AR377" s="35"/>
      <c r="AS377" s="35"/>
      <c r="AT377" s="35"/>
      <c r="AU377" s="35"/>
      <c r="AV377" s="35"/>
      <c r="AW377" s="35"/>
      <c r="AX377" s="35"/>
    </row>
    <row r="378" ht="15.75" customHeight="1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  <c r="AK378" s="35"/>
      <c r="AL378" s="35"/>
      <c r="AM378" s="35"/>
      <c r="AN378" s="35"/>
      <c r="AO378" s="35"/>
      <c r="AP378" s="35"/>
      <c r="AQ378" s="35"/>
      <c r="AR378" s="35"/>
      <c r="AS378" s="35"/>
      <c r="AT378" s="35"/>
      <c r="AU378" s="35"/>
      <c r="AV378" s="35"/>
      <c r="AW378" s="35"/>
      <c r="AX378" s="35"/>
    </row>
    <row r="379" ht="15.75" customHeight="1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  <c r="AK379" s="35"/>
      <c r="AL379" s="35"/>
      <c r="AM379" s="35"/>
      <c r="AN379" s="35"/>
      <c r="AO379" s="35"/>
      <c r="AP379" s="35"/>
      <c r="AQ379" s="35"/>
      <c r="AR379" s="35"/>
      <c r="AS379" s="35"/>
      <c r="AT379" s="35"/>
      <c r="AU379" s="35"/>
      <c r="AV379" s="35"/>
      <c r="AW379" s="35"/>
      <c r="AX379" s="35"/>
    </row>
    <row r="380" ht="15.75" customHeight="1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  <c r="AG380" s="35"/>
      <c r="AH380" s="35"/>
      <c r="AI380" s="35"/>
      <c r="AJ380" s="35"/>
      <c r="AK380" s="35"/>
      <c r="AL380" s="35"/>
      <c r="AM380" s="35"/>
      <c r="AN380" s="35"/>
      <c r="AO380" s="35"/>
      <c r="AP380" s="35"/>
      <c r="AQ380" s="35"/>
      <c r="AR380" s="35"/>
      <c r="AS380" s="35"/>
      <c r="AT380" s="35"/>
      <c r="AU380" s="35"/>
      <c r="AV380" s="35"/>
      <c r="AW380" s="35"/>
      <c r="AX380" s="35"/>
    </row>
    <row r="381" ht="15.75" customHeight="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  <c r="AG381" s="35"/>
      <c r="AH381" s="35"/>
      <c r="AI381" s="35"/>
      <c r="AJ381" s="35"/>
      <c r="AK381" s="35"/>
      <c r="AL381" s="35"/>
      <c r="AM381" s="35"/>
      <c r="AN381" s="35"/>
      <c r="AO381" s="35"/>
      <c r="AP381" s="35"/>
      <c r="AQ381" s="35"/>
      <c r="AR381" s="35"/>
      <c r="AS381" s="35"/>
      <c r="AT381" s="35"/>
      <c r="AU381" s="35"/>
      <c r="AV381" s="35"/>
      <c r="AW381" s="35"/>
      <c r="AX381" s="35"/>
    </row>
    <row r="382" ht="15.75" customHeight="1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  <c r="AG382" s="35"/>
      <c r="AH382" s="35"/>
      <c r="AI382" s="35"/>
      <c r="AJ382" s="35"/>
      <c r="AK382" s="35"/>
      <c r="AL382" s="35"/>
      <c r="AM382" s="35"/>
      <c r="AN382" s="35"/>
      <c r="AO382" s="35"/>
      <c r="AP382" s="35"/>
      <c r="AQ382" s="35"/>
      <c r="AR382" s="35"/>
      <c r="AS382" s="35"/>
      <c r="AT382" s="35"/>
      <c r="AU382" s="35"/>
      <c r="AV382" s="35"/>
      <c r="AW382" s="35"/>
      <c r="AX382" s="35"/>
    </row>
    <row r="383" ht="15.75" customHeight="1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  <c r="AH383" s="35"/>
      <c r="AI383" s="35"/>
      <c r="AJ383" s="35"/>
      <c r="AK383" s="35"/>
      <c r="AL383" s="35"/>
      <c r="AM383" s="35"/>
      <c r="AN383" s="35"/>
      <c r="AO383" s="35"/>
      <c r="AP383" s="35"/>
      <c r="AQ383" s="35"/>
      <c r="AR383" s="35"/>
      <c r="AS383" s="35"/>
      <c r="AT383" s="35"/>
      <c r="AU383" s="35"/>
      <c r="AV383" s="35"/>
      <c r="AW383" s="35"/>
      <c r="AX383" s="35"/>
    </row>
    <row r="384" ht="15.75" customHeight="1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  <c r="AK384" s="35"/>
      <c r="AL384" s="35"/>
      <c r="AM384" s="35"/>
      <c r="AN384" s="35"/>
      <c r="AO384" s="35"/>
      <c r="AP384" s="35"/>
      <c r="AQ384" s="35"/>
      <c r="AR384" s="35"/>
      <c r="AS384" s="35"/>
      <c r="AT384" s="35"/>
      <c r="AU384" s="35"/>
      <c r="AV384" s="35"/>
      <c r="AW384" s="35"/>
      <c r="AX384" s="35"/>
    </row>
    <row r="385" ht="15.75" customHeight="1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  <c r="AJ385" s="35"/>
      <c r="AK385" s="35"/>
      <c r="AL385" s="35"/>
      <c r="AM385" s="35"/>
      <c r="AN385" s="35"/>
      <c r="AO385" s="35"/>
      <c r="AP385" s="35"/>
      <c r="AQ385" s="35"/>
      <c r="AR385" s="35"/>
      <c r="AS385" s="35"/>
      <c r="AT385" s="35"/>
      <c r="AU385" s="35"/>
      <c r="AV385" s="35"/>
      <c r="AW385" s="35"/>
      <c r="AX385" s="35"/>
    </row>
    <row r="386" ht="15.75" customHeight="1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  <c r="AI386" s="35"/>
      <c r="AJ386" s="35"/>
      <c r="AK386" s="35"/>
      <c r="AL386" s="35"/>
      <c r="AM386" s="35"/>
      <c r="AN386" s="35"/>
      <c r="AO386" s="35"/>
      <c r="AP386" s="35"/>
      <c r="AQ386" s="35"/>
      <c r="AR386" s="35"/>
      <c r="AS386" s="35"/>
      <c r="AT386" s="35"/>
      <c r="AU386" s="35"/>
      <c r="AV386" s="35"/>
      <c r="AW386" s="35"/>
      <c r="AX386" s="35"/>
    </row>
    <row r="387" ht="15.75" customHeight="1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35"/>
      <c r="AH387" s="35"/>
      <c r="AI387" s="35"/>
      <c r="AJ387" s="35"/>
      <c r="AK387" s="35"/>
      <c r="AL387" s="35"/>
      <c r="AM387" s="35"/>
      <c r="AN387" s="35"/>
      <c r="AO387" s="35"/>
      <c r="AP387" s="35"/>
      <c r="AQ387" s="35"/>
      <c r="AR387" s="35"/>
      <c r="AS387" s="35"/>
      <c r="AT387" s="35"/>
      <c r="AU387" s="35"/>
      <c r="AV387" s="35"/>
      <c r="AW387" s="35"/>
      <c r="AX387" s="35"/>
    </row>
    <row r="388" ht="15.75" customHeight="1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35"/>
      <c r="AH388" s="35"/>
      <c r="AI388" s="35"/>
      <c r="AJ388" s="35"/>
      <c r="AK388" s="35"/>
      <c r="AL388" s="35"/>
      <c r="AM388" s="35"/>
      <c r="AN388" s="35"/>
      <c r="AO388" s="35"/>
      <c r="AP388" s="35"/>
      <c r="AQ388" s="35"/>
      <c r="AR388" s="35"/>
      <c r="AS388" s="35"/>
      <c r="AT388" s="35"/>
      <c r="AU388" s="35"/>
      <c r="AV388" s="35"/>
      <c r="AW388" s="35"/>
      <c r="AX388" s="35"/>
    </row>
    <row r="389" ht="15.75" customHeight="1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  <c r="AG389" s="35"/>
      <c r="AH389" s="35"/>
      <c r="AI389" s="35"/>
      <c r="AJ389" s="35"/>
      <c r="AK389" s="35"/>
      <c r="AL389" s="35"/>
      <c r="AM389" s="35"/>
      <c r="AN389" s="35"/>
      <c r="AO389" s="35"/>
      <c r="AP389" s="35"/>
      <c r="AQ389" s="35"/>
      <c r="AR389" s="35"/>
      <c r="AS389" s="35"/>
      <c r="AT389" s="35"/>
      <c r="AU389" s="35"/>
      <c r="AV389" s="35"/>
      <c r="AW389" s="35"/>
      <c r="AX389" s="35"/>
    </row>
    <row r="390" ht="15.75" customHeight="1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35"/>
      <c r="AH390" s="35"/>
      <c r="AI390" s="35"/>
      <c r="AJ390" s="35"/>
      <c r="AK390" s="35"/>
      <c r="AL390" s="35"/>
      <c r="AM390" s="35"/>
      <c r="AN390" s="35"/>
      <c r="AO390" s="35"/>
      <c r="AP390" s="35"/>
      <c r="AQ390" s="35"/>
      <c r="AR390" s="35"/>
      <c r="AS390" s="35"/>
      <c r="AT390" s="35"/>
      <c r="AU390" s="35"/>
      <c r="AV390" s="35"/>
      <c r="AW390" s="35"/>
      <c r="AX390" s="35"/>
    </row>
    <row r="391" ht="15.75" customHeight="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35"/>
      <c r="AH391" s="35"/>
      <c r="AI391" s="35"/>
      <c r="AJ391" s="35"/>
      <c r="AK391" s="35"/>
      <c r="AL391" s="35"/>
      <c r="AM391" s="35"/>
      <c r="AN391" s="35"/>
      <c r="AO391" s="35"/>
      <c r="AP391" s="35"/>
      <c r="AQ391" s="35"/>
      <c r="AR391" s="35"/>
      <c r="AS391" s="35"/>
      <c r="AT391" s="35"/>
      <c r="AU391" s="35"/>
      <c r="AV391" s="35"/>
      <c r="AW391" s="35"/>
      <c r="AX391" s="35"/>
    </row>
    <row r="392" ht="15.75" customHeight="1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  <c r="AG392" s="35"/>
      <c r="AH392" s="35"/>
      <c r="AI392" s="35"/>
      <c r="AJ392" s="35"/>
      <c r="AK392" s="35"/>
      <c r="AL392" s="35"/>
      <c r="AM392" s="35"/>
      <c r="AN392" s="35"/>
      <c r="AO392" s="35"/>
      <c r="AP392" s="35"/>
      <c r="AQ392" s="35"/>
      <c r="AR392" s="35"/>
      <c r="AS392" s="35"/>
      <c r="AT392" s="35"/>
      <c r="AU392" s="35"/>
      <c r="AV392" s="35"/>
      <c r="AW392" s="35"/>
      <c r="AX392" s="35"/>
    </row>
    <row r="393" ht="15.75" customHeight="1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  <c r="AG393" s="35"/>
      <c r="AH393" s="35"/>
      <c r="AI393" s="35"/>
      <c r="AJ393" s="35"/>
      <c r="AK393" s="35"/>
      <c r="AL393" s="35"/>
      <c r="AM393" s="35"/>
      <c r="AN393" s="35"/>
      <c r="AO393" s="35"/>
      <c r="AP393" s="35"/>
      <c r="AQ393" s="35"/>
      <c r="AR393" s="35"/>
      <c r="AS393" s="35"/>
      <c r="AT393" s="35"/>
      <c r="AU393" s="35"/>
      <c r="AV393" s="35"/>
      <c r="AW393" s="35"/>
      <c r="AX393" s="35"/>
    </row>
    <row r="394" ht="15.75" customHeight="1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  <c r="AG394" s="35"/>
      <c r="AH394" s="35"/>
      <c r="AI394" s="35"/>
      <c r="AJ394" s="35"/>
      <c r="AK394" s="35"/>
      <c r="AL394" s="35"/>
      <c r="AM394" s="35"/>
      <c r="AN394" s="35"/>
      <c r="AO394" s="35"/>
      <c r="AP394" s="35"/>
      <c r="AQ394" s="35"/>
      <c r="AR394" s="35"/>
      <c r="AS394" s="35"/>
      <c r="AT394" s="35"/>
      <c r="AU394" s="35"/>
      <c r="AV394" s="35"/>
      <c r="AW394" s="35"/>
      <c r="AX394" s="35"/>
    </row>
    <row r="395" ht="15.75" customHeight="1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  <c r="AG395" s="35"/>
      <c r="AH395" s="35"/>
      <c r="AI395" s="35"/>
      <c r="AJ395" s="35"/>
      <c r="AK395" s="35"/>
      <c r="AL395" s="35"/>
      <c r="AM395" s="35"/>
      <c r="AN395" s="35"/>
      <c r="AO395" s="35"/>
      <c r="AP395" s="35"/>
      <c r="AQ395" s="35"/>
      <c r="AR395" s="35"/>
      <c r="AS395" s="35"/>
      <c r="AT395" s="35"/>
      <c r="AU395" s="35"/>
      <c r="AV395" s="35"/>
      <c r="AW395" s="35"/>
      <c r="AX395" s="35"/>
    </row>
    <row r="396" ht="15.75" customHeight="1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  <c r="AG396" s="35"/>
      <c r="AH396" s="35"/>
      <c r="AI396" s="35"/>
      <c r="AJ396" s="35"/>
      <c r="AK396" s="35"/>
      <c r="AL396" s="35"/>
      <c r="AM396" s="35"/>
      <c r="AN396" s="35"/>
      <c r="AO396" s="35"/>
      <c r="AP396" s="35"/>
      <c r="AQ396" s="35"/>
      <c r="AR396" s="35"/>
      <c r="AS396" s="35"/>
      <c r="AT396" s="35"/>
      <c r="AU396" s="35"/>
      <c r="AV396" s="35"/>
      <c r="AW396" s="35"/>
      <c r="AX396" s="35"/>
    </row>
    <row r="397" ht="15.75" customHeight="1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  <c r="AG397" s="35"/>
      <c r="AH397" s="35"/>
      <c r="AI397" s="35"/>
      <c r="AJ397" s="35"/>
      <c r="AK397" s="35"/>
      <c r="AL397" s="35"/>
      <c r="AM397" s="35"/>
      <c r="AN397" s="35"/>
      <c r="AO397" s="35"/>
      <c r="AP397" s="35"/>
      <c r="AQ397" s="35"/>
      <c r="AR397" s="35"/>
      <c r="AS397" s="35"/>
      <c r="AT397" s="35"/>
      <c r="AU397" s="35"/>
      <c r="AV397" s="35"/>
      <c r="AW397" s="35"/>
      <c r="AX397" s="35"/>
    </row>
    <row r="398" ht="15.75" customHeight="1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  <c r="AG398" s="35"/>
      <c r="AH398" s="35"/>
      <c r="AI398" s="35"/>
      <c r="AJ398" s="35"/>
      <c r="AK398" s="35"/>
      <c r="AL398" s="35"/>
      <c r="AM398" s="35"/>
      <c r="AN398" s="35"/>
      <c r="AO398" s="35"/>
      <c r="AP398" s="35"/>
      <c r="AQ398" s="35"/>
      <c r="AR398" s="35"/>
      <c r="AS398" s="35"/>
      <c r="AT398" s="35"/>
      <c r="AU398" s="35"/>
      <c r="AV398" s="35"/>
      <c r="AW398" s="35"/>
      <c r="AX398" s="35"/>
    </row>
    <row r="399" ht="15.75" customHeight="1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  <c r="AG399" s="35"/>
      <c r="AH399" s="35"/>
      <c r="AI399" s="35"/>
      <c r="AJ399" s="35"/>
      <c r="AK399" s="35"/>
      <c r="AL399" s="35"/>
      <c r="AM399" s="35"/>
      <c r="AN399" s="35"/>
      <c r="AO399" s="35"/>
      <c r="AP399" s="35"/>
      <c r="AQ399" s="35"/>
      <c r="AR399" s="35"/>
      <c r="AS399" s="35"/>
      <c r="AT399" s="35"/>
      <c r="AU399" s="35"/>
      <c r="AV399" s="35"/>
      <c r="AW399" s="35"/>
      <c r="AX399" s="35"/>
    </row>
    <row r="400" ht="15.75" customHeight="1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  <c r="AG400" s="35"/>
      <c r="AH400" s="35"/>
      <c r="AI400" s="35"/>
      <c r="AJ400" s="35"/>
      <c r="AK400" s="35"/>
      <c r="AL400" s="35"/>
      <c r="AM400" s="35"/>
      <c r="AN400" s="35"/>
      <c r="AO400" s="35"/>
      <c r="AP400" s="35"/>
      <c r="AQ400" s="35"/>
      <c r="AR400" s="35"/>
      <c r="AS400" s="35"/>
      <c r="AT400" s="35"/>
      <c r="AU400" s="35"/>
      <c r="AV400" s="35"/>
      <c r="AW400" s="35"/>
      <c r="AX400" s="35"/>
    </row>
    <row r="401" ht="15.75" customHeight="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  <c r="AG401" s="35"/>
      <c r="AH401" s="35"/>
      <c r="AI401" s="35"/>
      <c r="AJ401" s="35"/>
      <c r="AK401" s="35"/>
      <c r="AL401" s="35"/>
      <c r="AM401" s="35"/>
      <c r="AN401" s="35"/>
      <c r="AO401" s="35"/>
      <c r="AP401" s="35"/>
      <c r="AQ401" s="35"/>
      <c r="AR401" s="35"/>
      <c r="AS401" s="35"/>
      <c r="AT401" s="35"/>
      <c r="AU401" s="35"/>
      <c r="AV401" s="35"/>
      <c r="AW401" s="35"/>
      <c r="AX401" s="35"/>
    </row>
    <row r="402" ht="15.75" customHeight="1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  <c r="AI402" s="35"/>
      <c r="AJ402" s="35"/>
      <c r="AK402" s="35"/>
      <c r="AL402" s="35"/>
      <c r="AM402" s="35"/>
      <c r="AN402" s="35"/>
      <c r="AO402" s="35"/>
      <c r="AP402" s="35"/>
      <c r="AQ402" s="35"/>
      <c r="AR402" s="35"/>
      <c r="AS402" s="35"/>
      <c r="AT402" s="35"/>
      <c r="AU402" s="35"/>
      <c r="AV402" s="35"/>
      <c r="AW402" s="35"/>
      <c r="AX402" s="35"/>
    </row>
    <row r="403" ht="15.75" customHeight="1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  <c r="AH403" s="35"/>
      <c r="AI403" s="35"/>
      <c r="AJ403" s="35"/>
      <c r="AK403" s="35"/>
      <c r="AL403" s="35"/>
      <c r="AM403" s="35"/>
      <c r="AN403" s="35"/>
      <c r="AO403" s="35"/>
      <c r="AP403" s="35"/>
      <c r="AQ403" s="35"/>
      <c r="AR403" s="35"/>
      <c r="AS403" s="35"/>
      <c r="AT403" s="35"/>
      <c r="AU403" s="35"/>
      <c r="AV403" s="35"/>
      <c r="AW403" s="35"/>
      <c r="AX403" s="35"/>
    </row>
    <row r="404" ht="15.75" customHeight="1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  <c r="AG404" s="35"/>
      <c r="AH404" s="35"/>
      <c r="AI404" s="35"/>
      <c r="AJ404" s="35"/>
      <c r="AK404" s="35"/>
      <c r="AL404" s="35"/>
      <c r="AM404" s="35"/>
      <c r="AN404" s="35"/>
      <c r="AO404" s="35"/>
      <c r="AP404" s="35"/>
      <c r="AQ404" s="35"/>
      <c r="AR404" s="35"/>
      <c r="AS404" s="35"/>
      <c r="AT404" s="35"/>
      <c r="AU404" s="35"/>
      <c r="AV404" s="35"/>
      <c r="AW404" s="35"/>
      <c r="AX404" s="35"/>
    </row>
    <row r="405" ht="15.75" customHeight="1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  <c r="AG405" s="35"/>
      <c r="AH405" s="35"/>
      <c r="AI405" s="35"/>
      <c r="AJ405" s="35"/>
      <c r="AK405" s="35"/>
      <c r="AL405" s="35"/>
      <c r="AM405" s="35"/>
      <c r="AN405" s="35"/>
      <c r="AO405" s="35"/>
      <c r="AP405" s="35"/>
      <c r="AQ405" s="35"/>
      <c r="AR405" s="35"/>
      <c r="AS405" s="35"/>
      <c r="AT405" s="35"/>
      <c r="AU405" s="35"/>
      <c r="AV405" s="35"/>
      <c r="AW405" s="35"/>
      <c r="AX405" s="35"/>
    </row>
    <row r="406" ht="15.75" customHeight="1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  <c r="AH406" s="35"/>
      <c r="AI406" s="35"/>
      <c r="AJ406" s="35"/>
      <c r="AK406" s="35"/>
      <c r="AL406" s="35"/>
      <c r="AM406" s="35"/>
      <c r="AN406" s="35"/>
      <c r="AO406" s="35"/>
      <c r="AP406" s="35"/>
      <c r="AQ406" s="35"/>
      <c r="AR406" s="35"/>
      <c r="AS406" s="35"/>
      <c r="AT406" s="35"/>
      <c r="AU406" s="35"/>
      <c r="AV406" s="35"/>
      <c r="AW406" s="35"/>
      <c r="AX406" s="35"/>
    </row>
    <row r="407" ht="15.75" customHeight="1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  <c r="AG407" s="35"/>
      <c r="AH407" s="35"/>
      <c r="AI407" s="35"/>
      <c r="AJ407" s="35"/>
      <c r="AK407" s="35"/>
      <c r="AL407" s="35"/>
      <c r="AM407" s="35"/>
      <c r="AN407" s="35"/>
      <c r="AO407" s="35"/>
      <c r="AP407" s="35"/>
      <c r="AQ407" s="35"/>
      <c r="AR407" s="35"/>
      <c r="AS407" s="35"/>
      <c r="AT407" s="35"/>
      <c r="AU407" s="35"/>
      <c r="AV407" s="35"/>
      <c r="AW407" s="35"/>
      <c r="AX407" s="35"/>
    </row>
    <row r="408" ht="15.75" customHeight="1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  <c r="AG408" s="35"/>
      <c r="AH408" s="35"/>
      <c r="AI408" s="35"/>
      <c r="AJ408" s="35"/>
      <c r="AK408" s="35"/>
      <c r="AL408" s="35"/>
      <c r="AM408" s="35"/>
      <c r="AN408" s="35"/>
      <c r="AO408" s="35"/>
      <c r="AP408" s="35"/>
      <c r="AQ408" s="35"/>
      <c r="AR408" s="35"/>
      <c r="AS408" s="35"/>
      <c r="AT408" s="35"/>
      <c r="AU408" s="35"/>
      <c r="AV408" s="35"/>
      <c r="AW408" s="35"/>
      <c r="AX408" s="35"/>
    </row>
    <row r="409" ht="15.75" customHeight="1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  <c r="AI409" s="35"/>
      <c r="AJ409" s="35"/>
      <c r="AK409" s="35"/>
      <c r="AL409" s="35"/>
      <c r="AM409" s="35"/>
      <c r="AN409" s="35"/>
      <c r="AO409" s="35"/>
      <c r="AP409" s="35"/>
      <c r="AQ409" s="35"/>
      <c r="AR409" s="35"/>
      <c r="AS409" s="35"/>
      <c r="AT409" s="35"/>
      <c r="AU409" s="35"/>
      <c r="AV409" s="35"/>
      <c r="AW409" s="35"/>
      <c r="AX409" s="35"/>
    </row>
    <row r="410" ht="15.75" customHeight="1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  <c r="AG410" s="35"/>
      <c r="AH410" s="35"/>
      <c r="AI410" s="35"/>
      <c r="AJ410" s="35"/>
      <c r="AK410" s="35"/>
      <c r="AL410" s="35"/>
      <c r="AM410" s="35"/>
      <c r="AN410" s="35"/>
      <c r="AO410" s="35"/>
      <c r="AP410" s="35"/>
      <c r="AQ410" s="35"/>
      <c r="AR410" s="35"/>
      <c r="AS410" s="35"/>
      <c r="AT410" s="35"/>
      <c r="AU410" s="35"/>
      <c r="AV410" s="35"/>
      <c r="AW410" s="35"/>
      <c r="AX410" s="35"/>
    </row>
    <row r="411" ht="15.75" customHeight="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  <c r="AG411" s="35"/>
      <c r="AH411" s="35"/>
      <c r="AI411" s="35"/>
      <c r="AJ411" s="35"/>
      <c r="AK411" s="35"/>
      <c r="AL411" s="35"/>
      <c r="AM411" s="35"/>
      <c r="AN411" s="35"/>
      <c r="AO411" s="35"/>
      <c r="AP411" s="35"/>
      <c r="AQ411" s="35"/>
      <c r="AR411" s="35"/>
      <c r="AS411" s="35"/>
      <c r="AT411" s="35"/>
      <c r="AU411" s="35"/>
      <c r="AV411" s="35"/>
      <c r="AW411" s="35"/>
      <c r="AX411" s="35"/>
    </row>
    <row r="412" ht="15.75" customHeight="1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  <c r="AG412" s="35"/>
      <c r="AH412" s="35"/>
      <c r="AI412" s="35"/>
      <c r="AJ412" s="35"/>
      <c r="AK412" s="35"/>
      <c r="AL412" s="35"/>
      <c r="AM412" s="35"/>
      <c r="AN412" s="35"/>
      <c r="AO412" s="35"/>
      <c r="AP412" s="35"/>
      <c r="AQ412" s="35"/>
      <c r="AR412" s="35"/>
      <c r="AS412" s="35"/>
      <c r="AT412" s="35"/>
      <c r="AU412" s="35"/>
      <c r="AV412" s="35"/>
      <c r="AW412" s="35"/>
      <c r="AX412" s="35"/>
    </row>
    <row r="413" ht="15.75" customHeight="1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  <c r="AG413" s="35"/>
      <c r="AH413" s="35"/>
      <c r="AI413" s="35"/>
      <c r="AJ413" s="35"/>
      <c r="AK413" s="35"/>
      <c r="AL413" s="35"/>
      <c r="AM413" s="35"/>
      <c r="AN413" s="35"/>
      <c r="AO413" s="35"/>
      <c r="AP413" s="35"/>
      <c r="AQ413" s="35"/>
      <c r="AR413" s="35"/>
      <c r="AS413" s="35"/>
      <c r="AT413" s="35"/>
      <c r="AU413" s="35"/>
      <c r="AV413" s="35"/>
      <c r="AW413" s="35"/>
      <c r="AX413" s="35"/>
    </row>
    <row r="414" ht="15.75" customHeight="1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  <c r="AH414" s="35"/>
      <c r="AI414" s="35"/>
      <c r="AJ414" s="35"/>
      <c r="AK414" s="35"/>
      <c r="AL414" s="35"/>
      <c r="AM414" s="35"/>
      <c r="AN414" s="35"/>
      <c r="AO414" s="35"/>
      <c r="AP414" s="35"/>
      <c r="AQ414" s="35"/>
      <c r="AR414" s="35"/>
      <c r="AS414" s="35"/>
      <c r="AT414" s="35"/>
      <c r="AU414" s="35"/>
      <c r="AV414" s="35"/>
      <c r="AW414" s="35"/>
      <c r="AX414" s="35"/>
    </row>
    <row r="415" ht="15.75" customHeight="1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  <c r="AG415" s="35"/>
      <c r="AH415" s="35"/>
      <c r="AI415" s="35"/>
      <c r="AJ415" s="35"/>
      <c r="AK415" s="35"/>
      <c r="AL415" s="35"/>
      <c r="AM415" s="35"/>
      <c r="AN415" s="35"/>
      <c r="AO415" s="35"/>
      <c r="AP415" s="35"/>
      <c r="AQ415" s="35"/>
      <c r="AR415" s="35"/>
      <c r="AS415" s="35"/>
      <c r="AT415" s="35"/>
      <c r="AU415" s="35"/>
      <c r="AV415" s="35"/>
      <c r="AW415" s="35"/>
      <c r="AX415" s="35"/>
    </row>
    <row r="416" ht="15.75" customHeight="1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  <c r="AG416" s="35"/>
      <c r="AH416" s="35"/>
      <c r="AI416" s="35"/>
      <c r="AJ416" s="35"/>
      <c r="AK416" s="35"/>
      <c r="AL416" s="35"/>
      <c r="AM416" s="35"/>
      <c r="AN416" s="35"/>
      <c r="AO416" s="35"/>
      <c r="AP416" s="35"/>
      <c r="AQ416" s="35"/>
      <c r="AR416" s="35"/>
      <c r="AS416" s="35"/>
      <c r="AT416" s="35"/>
      <c r="AU416" s="35"/>
      <c r="AV416" s="35"/>
      <c r="AW416" s="35"/>
      <c r="AX416" s="35"/>
    </row>
    <row r="417" ht="15.75" customHeight="1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  <c r="AG417" s="35"/>
      <c r="AH417" s="35"/>
      <c r="AI417" s="35"/>
      <c r="AJ417" s="35"/>
      <c r="AK417" s="35"/>
      <c r="AL417" s="35"/>
      <c r="AM417" s="35"/>
      <c r="AN417" s="35"/>
      <c r="AO417" s="35"/>
      <c r="AP417" s="35"/>
      <c r="AQ417" s="35"/>
      <c r="AR417" s="35"/>
      <c r="AS417" s="35"/>
      <c r="AT417" s="35"/>
      <c r="AU417" s="35"/>
      <c r="AV417" s="35"/>
      <c r="AW417" s="35"/>
      <c r="AX417" s="35"/>
    </row>
    <row r="418" ht="15.75" customHeight="1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  <c r="AI418" s="35"/>
      <c r="AJ418" s="35"/>
      <c r="AK418" s="35"/>
      <c r="AL418" s="35"/>
      <c r="AM418" s="35"/>
      <c r="AN418" s="35"/>
      <c r="AO418" s="35"/>
      <c r="AP418" s="35"/>
      <c r="AQ418" s="35"/>
      <c r="AR418" s="35"/>
      <c r="AS418" s="35"/>
      <c r="AT418" s="35"/>
      <c r="AU418" s="35"/>
      <c r="AV418" s="35"/>
      <c r="AW418" s="35"/>
      <c r="AX418" s="35"/>
    </row>
    <row r="419" ht="15.75" customHeight="1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  <c r="AG419" s="35"/>
      <c r="AH419" s="35"/>
      <c r="AI419" s="35"/>
      <c r="AJ419" s="35"/>
      <c r="AK419" s="35"/>
      <c r="AL419" s="35"/>
      <c r="AM419" s="35"/>
      <c r="AN419" s="35"/>
      <c r="AO419" s="35"/>
      <c r="AP419" s="35"/>
      <c r="AQ419" s="35"/>
      <c r="AR419" s="35"/>
      <c r="AS419" s="35"/>
      <c r="AT419" s="35"/>
      <c r="AU419" s="35"/>
      <c r="AV419" s="35"/>
      <c r="AW419" s="35"/>
      <c r="AX419" s="35"/>
    </row>
    <row r="420" ht="15.75" customHeight="1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  <c r="AF420" s="35"/>
      <c r="AG420" s="35"/>
      <c r="AH420" s="35"/>
      <c r="AI420" s="35"/>
      <c r="AJ420" s="35"/>
      <c r="AK420" s="35"/>
      <c r="AL420" s="35"/>
      <c r="AM420" s="35"/>
      <c r="AN420" s="35"/>
      <c r="AO420" s="35"/>
      <c r="AP420" s="35"/>
      <c r="AQ420" s="35"/>
      <c r="AR420" s="35"/>
      <c r="AS420" s="35"/>
      <c r="AT420" s="35"/>
      <c r="AU420" s="35"/>
      <c r="AV420" s="35"/>
      <c r="AW420" s="35"/>
      <c r="AX420" s="35"/>
    </row>
    <row r="421" ht="15.75" customHeight="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  <c r="AE421" s="35"/>
      <c r="AF421" s="35"/>
      <c r="AG421" s="35"/>
      <c r="AH421" s="35"/>
      <c r="AI421" s="35"/>
      <c r="AJ421" s="35"/>
      <c r="AK421" s="35"/>
      <c r="AL421" s="35"/>
      <c r="AM421" s="35"/>
      <c r="AN421" s="35"/>
      <c r="AO421" s="35"/>
      <c r="AP421" s="35"/>
      <c r="AQ421" s="35"/>
      <c r="AR421" s="35"/>
      <c r="AS421" s="35"/>
      <c r="AT421" s="35"/>
      <c r="AU421" s="35"/>
      <c r="AV421" s="35"/>
      <c r="AW421" s="35"/>
      <c r="AX421" s="35"/>
    </row>
    <row r="422" ht="15.75" customHeight="1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  <c r="AE422" s="35"/>
      <c r="AF422" s="35"/>
      <c r="AG422" s="35"/>
      <c r="AH422" s="35"/>
      <c r="AI422" s="35"/>
      <c r="AJ422" s="35"/>
      <c r="AK422" s="35"/>
      <c r="AL422" s="35"/>
      <c r="AM422" s="35"/>
      <c r="AN422" s="35"/>
      <c r="AO422" s="35"/>
      <c r="AP422" s="35"/>
      <c r="AQ422" s="35"/>
      <c r="AR422" s="35"/>
      <c r="AS422" s="35"/>
      <c r="AT422" s="35"/>
      <c r="AU422" s="35"/>
      <c r="AV422" s="35"/>
      <c r="AW422" s="35"/>
      <c r="AX422" s="35"/>
    </row>
    <row r="423" ht="15.75" customHeight="1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  <c r="AE423" s="35"/>
      <c r="AF423" s="35"/>
      <c r="AG423" s="35"/>
      <c r="AH423" s="35"/>
      <c r="AI423" s="35"/>
      <c r="AJ423" s="35"/>
      <c r="AK423" s="35"/>
      <c r="AL423" s="35"/>
      <c r="AM423" s="35"/>
      <c r="AN423" s="35"/>
      <c r="AO423" s="35"/>
      <c r="AP423" s="35"/>
      <c r="AQ423" s="35"/>
      <c r="AR423" s="35"/>
      <c r="AS423" s="35"/>
      <c r="AT423" s="35"/>
      <c r="AU423" s="35"/>
      <c r="AV423" s="35"/>
      <c r="AW423" s="35"/>
      <c r="AX423" s="35"/>
    </row>
    <row r="424" ht="15.75" customHeight="1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  <c r="AE424" s="35"/>
      <c r="AF424" s="35"/>
      <c r="AG424" s="35"/>
      <c r="AH424" s="35"/>
      <c r="AI424" s="35"/>
      <c r="AJ424" s="35"/>
      <c r="AK424" s="35"/>
      <c r="AL424" s="35"/>
      <c r="AM424" s="35"/>
      <c r="AN424" s="35"/>
      <c r="AO424" s="35"/>
      <c r="AP424" s="35"/>
      <c r="AQ424" s="35"/>
      <c r="AR424" s="35"/>
      <c r="AS424" s="35"/>
      <c r="AT424" s="35"/>
      <c r="AU424" s="35"/>
      <c r="AV424" s="35"/>
      <c r="AW424" s="35"/>
      <c r="AX424" s="35"/>
    </row>
    <row r="425" ht="15.75" customHeight="1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  <c r="AE425" s="35"/>
      <c r="AF425" s="35"/>
      <c r="AG425" s="35"/>
      <c r="AH425" s="35"/>
      <c r="AI425" s="35"/>
      <c r="AJ425" s="35"/>
      <c r="AK425" s="35"/>
      <c r="AL425" s="35"/>
      <c r="AM425" s="35"/>
      <c r="AN425" s="35"/>
      <c r="AO425" s="35"/>
      <c r="AP425" s="35"/>
      <c r="AQ425" s="35"/>
      <c r="AR425" s="35"/>
      <c r="AS425" s="35"/>
      <c r="AT425" s="35"/>
      <c r="AU425" s="35"/>
      <c r="AV425" s="35"/>
      <c r="AW425" s="35"/>
      <c r="AX425" s="35"/>
    </row>
    <row r="426" ht="15.75" customHeight="1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  <c r="AE426" s="35"/>
      <c r="AF426" s="35"/>
      <c r="AG426" s="35"/>
      <c r="AH426" s="35"/>
      <c r="AI426" s="35"/>
      <c r="AJ426" s="35"/>
      <c r="AK426" s="35"/>
      <c r="AL426" s="35"/>
      <c r="AM426" s="35"/>
      <c r="AN426" s="35"/>
      <c r="AO426" s="35"/>
      <c r="AP426" s="35"/>
      <c r="AQ426" s="35"/>
      <c r="AR426" s="35"/>
      <c r="AS426" s="35"/>
      <c r="AT426" s="35"/>
      <c r="AU426" s="35"/>
      <c r="AV426" s="35"/>
      <c r="AW426" s="35"/>
      <c r="AX426" s="35"/>
    </row>
    <row r="427" ht="15.75" customHeight="1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  <c r="AE427" s="35"/>
      <c r="AF427" s="35"/>
      <c r="AG427" s="35"/>
      <c r="AH427" s="35"/>
      <c r="AI427" s="35"/>
      <c r="AJ427" s="35"/>
      <c r="AK427" s="35"/>
      <c r="AL427" s="35"/>
      <c r="AM427" s="35"/>
      <c r="AN427" s="35"/>
      <c r="AO427" s="35"/>
      <c r="AP427" s="35"/>
      <c r="AQ427" s="35"/>
      <c r="AR427" s="35"/>
      <c r="AS427" s="35"/>
      <c r="AT427" s="35"/>
      <c r="AU427" s="35"/>
      <c r="AV427" s="35"/>
      <c r="AW427" s="35"/>
      <c r="AX427" s="35"/>
    </row>
    <row r="428" ht="15.75" customHeight="1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  <c r="AE428" s="35"/>
      <c r="AF428" s="35"/>
      <c r="AG428" s="35"/>
      <c r="AH428" s="35"/>
      <c r="AI428" s="35"/>
      <c r="AJ428" s="35"/>
      <c r="AK428" s="35"/>
      <c r="AL428" s="35"/>
      <c r="AM428" s="35"/>
      <c r="AN428" s="35"/>
      <c r="AO428" s="35"/>
      <c r="AP428" s="35"/>
      <c r="AQ428" s="35"/>
      <c r="AR428" s="35"/>
      <c r="AS428" s="35"/>
      <c r="AT428" s="35"/>
      <c r="AU428" s="35"/>
      <c r="AV428" s="35"/>
      <c r="AW428" s="35"/>
      <c r="AX428" s="35"/>
    </row>
    <row r="429" ht="15.75" customHeight="1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  <c r="AE429" s="35"/>
      <c r="AF429" s="35"/>
      <c r="AG429" s="35"/>
      <c r="AH429" s="35"/>
      <c r="AI429" s="35"/>
      <c r="AJ429" s="35"/>
      <c r="AK429" s="35"/>
      <c r="AL429" s="35"/>
      <c r="AM429" s="35"/>
      <c r="AN429" s="35"/>
      <c r="AO429" s="35"/>
      <c r="AP429" s="35"/>
      <c r="AQ429" s="35"/>
      <c r="AR429" s="35"/>
      <c r="AS429" s="35"/>
      <c r="AT429" s="35"/>
      <c r="AU429" s="35"/>
      <c r="AV429" s="35"/>
      <c r="AW429" s="35"/>
      <c r="AX429" s="35"/>
    </row>
    <row r="430" ht="15.75" customHeight="1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  <c r="AG430" s="35"/>
      <c r="AH430" s="35"/>
      <c r="AI430" s="35"/>
      <c r="AJ430" s="35"/>
      <c r="AK430" s="35"/>
      <c r="AL430" s="35"/>
      <c r="AM430" s="35"/>
      <c r="AN430" s="35"/>
      <c r="AO430" s="35"/>
      <c r="AP430" s="35"/>
      <c r="AQ430" s="35"/>
      <c r="AR430" s="35"/>
      <c r="AS430" s="35"/>
      <c r="AT430" s="35"/>
      <c r="AU430" s="35"/>
      <c r="AV430" s="35"/>
      <c r="AW430" s="35"/>
      <c r="AX430" s="35"/>
    </row>
    <row r="431" ht="15.75" customHeight="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  <c r="AF431" s="35"/>
      <c r="AG431" s="35"/>
      <c r="AH431" s="35"/>
      <c r="AI431" s="35"/>
      <c r="AJ431" s="35"/>
      <c r="AK431" s="35"/>
      <c r="AL431" s="35"/>
      <c r="AM431" s="35"/>
      <c r="AN431" s="35"/>
      <c r="AO431" s="35"/>
      <c r="AP431" s="35"/>
      <c r="AQ431" s="35"/>
      <c r="AR431" s="35"/>
      <c r="AS431" s="35"/>
      <c r="AT431" s="35"/>
      <c r="AU431" s="35"/>
      <c r="AV431" s="35"/>
      <c r="AW431" s="35"/>
      <c r="AX431" s="35"/>
    </row>
    <row r="432" ht="15.75" customHeight="1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  <c r="AG432" s="35"/>
      <c r="AH432" s="35"/>
      <c r="AI432" s="35"/>
      <c r="AJ432" s="35"/>
      <c r="AK432" s="35"/>
      <c r="AL432" s="35"/>
      <c r="AM432" s="35"/>
      <c r="AN432" s="35"/>
      <c r="AO432" s="35"/>
      <c r="AP432" s="35"/>
      <c r="AQ432" s="35"/>
      <c r="AR432" s="35"/>
      <c r="AS432" s="35"/>
      <c r="AT432" s="35"/>
      <c r="AU432" s="35"/>
      <c r="AV432" s="35"/>
      <c r="AW432" s="35"/>
      <c r="AX432" s="35"/>
    </row>
    <row r="433" ht="15.75" customHeight="1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  <c r="AE433" s="35"/>
      <c r="AF433" s="35"/>
      <c r="AG433" s="35"/>
      <c r="AH433" s="35"/>
      <c r="AI433" s="35"/>
      <c r="AJ433" s="35"/>
      <c r="AK433" s="35"/>
      <c r="AL433" s="35"/>
      <c r="AM433" s="35"/>
      <c r="AN433" s="35"/>
      <c r="AO433" s="35"/>
      <c r="AP433" s="35"/>
      <c r="AQ433" s="35"/>
      <c r="AR433" s="35"/>
      <c r="AS433" s="35"/>
      <c r="AT433" s="35"/>
      <c r="AU433" s="35"/>
      <c r="AV433" s="35"/>
      <c r="AW433" s="35"/>
      <c r="AX433" s="35"/>
    </row>
    <row r="434" ht="15.75" customHeight="1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5"/>
      <c r="AE434" s="35"/>
      <c r="AF434" s="35"/>
      <c r="AG434" s="35"/>
      <c r="AH434" s="35"/>
      <c r="AI434" s="35"/>
      <c r="AJ434" s="35"/>
      <c r="AK434" s="35"/>
      <c r="AL434" s="35"/>
      <c r="AM434" s="35"/>
      <c r="AN434" s="35"/>
      <c r="AO434" s="35"/>
      <c r="AP434" s="35"/>
      <c r="AQ434" s="35"/>
      <c r="AR434" s="35"/>
      <c r="AS434" s="35"/>
      <c r="AT434" s="35"/>
      <c r="AU434" s="35"/>
      <c r="AV434" s="35"/>
      <c r="AW434" s="35"/>
      <c r="AX434" s="35"/>
    </row>
    <row r="435" ht="15.75" customHeight="1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  <c r="AE435" s="35"/>
      <c r="AF435" s="35"/>
      <c r="AG435" s="35"/>
      <c r="AH435" s="35"/>
      <c r="AI435" s="35"/>
      <c r="AJ435" s="35"/>
      <c r="AK435" s="35"/>
      <c r="AL435" s="35"/>
      <c r="AM435" s="35"/>
      <c r="AN435" s="35"/>
      <c r="AO435" s="35"/>
      <c r="AP435" s="35"/>
      <c r="AQ435" s="35"/>
      <c r="AR435" s="35"/>
      <c r="AS435" s="35"/>
      <c r="AT435" s="35"/>
      <c r="AU435" s="35"/>
      <c r="AV435" s="35"/>
      <c r="AW435" s="35"/>
      <c r="AX435" s="35"/>
    </row>
    <row r="436" ht="15.75" customHeight="1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  <c r="AE436" s="35"/>
      <c r="AF436" s="35"/>
      <c r="AG436" s="35"/>
      <c r="AH436" s="35"/>
      <c r="AI436" s="35"/>
      <c r="AJ436" s="35"/>
      <c r="AK436" s="35"/>
      <c r="AL436" s="35"/>
      <c r="AM436" s="35"/>
      <c r="AN436" s="35"/>
      <c r="AO436" s="35"/>
      <c r="AP436" s="35"/>
      <c r="AQ436" s="35"/>
      <c r="AR436" s="35"/>
      <c r="AS436" s="35"/>
      <c r="AT436" s="35"/>
      <c r="AU436" s="35"/>
      <c r="AV436" s="35"/>
      <c r="AW436" s="35"/>
      <c r="AX436" s="35"/>
    </row>
    <row r="437" ht="15.75" customHeight="1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  <c r="AE437" s="35"/>
      <c r="AF437" s="35"/>
      <c r="AG437" s="35"/>
      <c r="AH437" s="35"/>
      <c r="AI437" s="35"/>
      <c r="AJ437" s="35"/>
      <c r="AK437" s="35"/>
      <c r="AL437" s="35"/>
      <c r="AM437" s="35"/>
      <c r="AN437" s="35"/>
      <c r="AO437" s="35"/>
      <c r="AP437" s="35"/>
      <c r="AQ437" s="35"/>
      <c r="AR437" s="35"/>
      <c r="AS437" s="35"/>
      <c r="AT437" s="35"/>
      <c r="AU437" s="35"/>
      <c r="AV437" s="35"/>
      <c r="AW437" s="35"/>
      <c r="AX437" s="35"/>
    </row>
    <row r="438" ht="15.75" customHeight="1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  <c r="AE438" s="35"/>
      <c r="AF438" s="35"/>
      <c r="AG438" s="35"/>
      <c r="AH438" s="35"/>
      <c r="AI438" s="35"/>
      <c r="AJ438" s="35"/>
      <c r="AK438" s="35"/>
      <c r="AL438" s="35"/>
      <c r="AM438" s="35"/>
      <c r="AN438" s="35"/>
      <c r="AO438" s="35"/>
      <c r="AP438" s="35"/>
      <c r="AQ438" s="35"/>
      <c r="AR438" s="35"/>
      <c r="AS438" s="35"/>
      <c r="AT438" s="35"/>
      <c r="AU438" s="35"/>
      <c r="AV438" s="35"/>
      <c r="AW438" s="35"/>
      <c r="AX438" s="35"/>
    </row>
    <row r="439" ht="15.75" customHeight="1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  <c r="AE439" s="35"/>
      <c r="AF439" s="35"/>
      <c r="AG439" s="35"/>
      <c r="AH439" s="35"/>
      <c r="AI439" s="35"/>
      <c r="AJ439" s="35"/>
      <c r="AK439" s="35"/>
      <c r="AL439" s="35"/>
      <c r="AM439" s="35"/>
      <c r="AN439" s="35"/>
      <c r="AO439" s="35"/>
      <c r="AP439" s="35"/>
      <c r="AQ439" s="35"/>
      <c r="AR439" s="35"/>
      <c r="AS439" s="35"/>
      <c r="AT439" s="35"/>
      <c r="AU439" s="35"/>
      <c r="AV439" s="35"/>
      <c r="AW439" s="35"/>
      <c r="AX439" s="35"/>
    </row>
    <row r="440" ht="15.75" customHeight="1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  <c r="AE440" s="35"/>
      <c r="AF440" s="35"/>
      <c r="AG440" s="35"/>
      <c r="AH440" s="35"/>
      <c r="AI440" s="35"/>
      <c r="AJ440" s="35"/>
      <c r="AK440" s="35"/>
      <c r="AL440" s="35"/>
      <c r="AM440" s="35"/>
      <c r="AN440" s="35"/>
      <c r="AO440" s="35"/>
      <c r="AP440" s="35"/>
      <c r="AQ440" s="35"/>
      <c r="AR440" s="35"/>
      <c r="AS440" s="35"/>
      <c r="AT440" s="35"/>
      <c r="AU440" s="35"/>
      <c r="AV440" s="35"/>
      <c r="AW440" s="35"/>
      <c r="AX440" s="35"/>
    </row>
    <row r="441" ht="15.75" customHeight="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  <c r="AF441" s="35"/>
      <c r="AG441" s="35"/>
      <c r="AH441" s="35"/>
      <c r="AI441" s="35"/>
      <c r="AJ441" s="35"/>
      <c r="AK441" s="35"/>
      <c r="AL441" s="35"/>
      <c r="AM441" s="35"/>
      <c r="AN441" s="35"/>
      <c r="AO441" s="35"/>
      <c r="AP441" s="35"/>
      <c r="AQ441" s="35"/>
      <c r="AR441" s="35"/>
      <c r="AS441" s="35"/>
      <c r="AT441" s="35"/>
      <c r="AU441" s="35"/>
      <c r="AV441" s="35"/>
      <c r="AW441" s="35"/>
      <c r="AX441" s="35"/>
    </row>
    <row r="442" ht="15.75" customHeight="1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  <c r="AE442" s="35"/>
      <c r="AF442" s="35"/>
      <c r="AG442" s="35"/>
      <c r="AH442" s="35"/>
      <c r="AI442" s="35"/>
      <c r="AJ442" s="35"/>
      <c r="AK442" s="35"/>
      <c r="AL442" s="35"/>
      <c r="AM442" s="35"/>
      <c r="AN442" s="35"/>
      <c r="AO442" s="35"/>
      <c r="AP442" s="35"/>
      <c r="AQ442" s="35"/>
      <c r="AR442" s="35"/>
      <c r="AS442" s="35"/>
      <c r="AT442" s="35"/>
      <c r="AU442" s="35"/>
      <c r="AV442" s="35"/>
      <c r="AW442" s="35"/>
      <c r="AX442" s="35"/>
    </row>
    <row r="443" ht="15.75" customHeight="1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  <c r="AE443" s="35"/>
      <c r="AF443" s="35"/>
      <c r="AG443" s="35"/>
      <c r="AH443" s="35"/>
      <c r="AI443" s="35"/>
      <c r="AJ443" s="35"/>
      <c r="AK443" s="35"/>
      <c r="AL443" s="35"/>
      <c r="AM443" s="35"/>
      <c r="AN443" s="35"/>
      <c r="AO443" s="35"/>
      <c r="AP443" s="35"/>
      <c r="AQ443" s="35"/>
      <c r="AR443" s="35"/>
      <c r="AS443" s="35"/>
      <c r="AT443" s="35"/>
      <c r="AU443" s="35"/>
      <c r="AV443" s="35"/>
      <c r="AW443" s="35"/>
      <c r="AX443" s="35"/>
    </row>
    <row r="444" ht="15.75" customHeight="1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  <c r="AE444" s="35"/>
      <c r="AF444" s="35"/>
      <c r="AG444" s="35"/>
      <c r="AH444" s="35"/>
      <c r="AI444" s="35"/>
      <c r="AJ444" s="35"/>
      <c r="AK444" s="35"/>
      <c r="AL444" s="35"/>
      <c r="AM444" s="35"/>
      <c r="AN444" s="35"/>
      <c r="AO444" s="35"/>
      <c r="AP444" s="35"/>
      <c r="AQ444" s="35"/>
      <c r="AR444" s="35"/>
      <c r="AS444" s="35"/>
      <c r="AT444" s="35"/>
      <c r="AU444" s="35"/>
      <c r="AV444" s="35"/>
      <c r="AW444" s="35"/>
      <c r="AX444" s="35"/>
    </row>
    <row r="445" ht="15.75" customHeight="1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  <c r="AF445" s="35"/>
      <c r="AG445" s="35"/>
      <c r="AH445" s="35"/>
      <c r="AI445" s="35"/>
      <c r="AJ445" s="35"/>
      <c r="AK445" s="35"/>
      <c r="AL445" s="35"/>
      <c r="AM445" s="35"/>
      <c r="AN445" s="35"/>
      <c r="AO445" s="35"/>
      <c r="AP445" s="35"/>
      <c r="AQ445" s="35"/>
      <c r="AR445" s="35"/>
      <c r="AS445" s="35"/>
      <c r="AT445" s="35"/>
      <c r="AU445" s="35"/>
      <c r="AV445" s="35"/>
      <c r="AW445" s="35"/>
      <c r="AX445" s="35"/>
    </row>
    <row r="446" ht="15.75" customHeight="1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  <c r="AE446" s="35"/>
      <c r="AF446" s="35"/>
      <c r="AG446" s="35"/>
      <c r="AH446" s="35"/>
      <c r="AI446" s="35"/>
      <c r="AJ446" s="35"/>
      <c r="AK446" s="35"/>
      <c r="AL446" s="35"/>
      <c r="AM446" s="35"/>
      <c r="AN446" s="35"/>
      <c r="AO446" s="35"/>
      <c r="AP446" s="35"/>
      <c r="AQ446" s="35"/>
      <c r="AR446" s="35"/>
      <c r="AS446" s="35"/>
      <c r="AT446" s="35"/>
      <c r="AU446" s="35"/>
      <c r="AV446" s="35"/>
      <c r="AW446" s="35"/>
      <c r="AX446" s="35"/>
    </row>
    <row r="447" ht="15.75" customHeight="1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  <c r="AF447" s="35"/>
      <c r="AG447" s="35"/>
      <c r="AH447" s="35"/>
      <c r="AI447" s="35"/>
      <c r="AJ447" s="35"/>
      <c r="AK447" s="35"/>
      <c r="AL447" s="35"/>
      <c r="AM447" s="35"/>
      <c r="AN447" s="35"/>
      <c r="AO447" s="35"/>
      <c r="AP447" s="35"/>
      <c r="AQ447" s="35"/>
      <c r="AR447" s="35"/>
      <c r="AS447" s="35"/>
      <c r="AT447" s="35"/>
      <c r="AU447" s="35"/>
      <c r="AV447" s="35"/>
      <c r="AW447" s="35"/>
      <c r="AX447" s="35"/>
    </row>
    <row r="448" ht="15.75" customHeight="1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  <c r="AG448" s="35"/>
      <c r="AH448" s="35"/>
      <c r="AI448" s="35"/>
      <c r="AJ448" s="35"/>
      <c r="AK448" s="35"/>
      <c r="AL448" s="35"/>
      <c r="AM448" s="35"/>
      <c r="AN448" s="35"/>
      <c r="AO448" s="35"/>
      <c r="AP448" s="35"/>
      <c r="AQ448" s="35"/>
      <c r="AR448" s="35"/>
      <c r="AS448" s="35"/>
      <c r="AT448" s="35"/>
      <c r="AU448" s="35"/>
      <c r="AV448" s="35"/>
      <c r="AW448" s="35"/>
      <c r="AX448" s="35"/>
    </row>
    <row r="449" ht="15.75" customHeight="1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  <c r="AF449" s="35"/>
      <c r="AG449" s="35"/>
      <c r="AH449" s="35"/>
      <c r="AI449" s="35"/>
      <c r="AJ449" s="35"/>
      <c r="AK449" s="35"/>
      <c r="AL449" s="35"/>
      <c r="AM449" s="35"/>
      <c r="AN449" s="35"/>
      <c r="AO449" s="35"/>
      <c r="AP449" s="35"/>
      <c r="AQ449" s="35"/>
      <c r="AR449" s="35"/>
      <c r="AS449" s="35"/>
      <c r="AT449" s="35"/>
      <c r="AU449" s="35"/>
      <c r="AV449" s="35"/>
      <c r="AW449" s="35"/>
      <c r="AX449" s="35"/>
    </row>
    <row r="450" ht="15.75" customHeight="1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  <c r="AF450" s="35"/>
      <c r="AG450" s="35"/>
      <c r="AH450" s="35"/>
      <c r="AI450" s="35"/>
      <c r="AJ450" s="35"/>
      <c r="AK450" s="35"/>
      <c r="AL450" s="35"/>
      <c r="AM450" s="35"/>
      <c r="AN450" s="35"/>
      <c r="AO450" s="35"/>
      <c r="AP450" s="35"/>
      <c r="AQ450" s="35"/>
      <c r="AR450" s="35"/>
      <c r="AS450" s="35"/>
      <c r="AT450" s="35"/>
      <c r="AU450" s="35"/>
      <c r="AV450" s="35"/>
      <c r="AW450" s="35"/>
      <c r="AX450" s="35"/>
    </row>
    <row r="451" ht="15.75" customHeight="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  <c r="AG451" s="35"/>
      <c r="AH451" s="35"/>
      <c r="AI451" s="35"/>
      <c r="AJ451" s="35"/>
      <c r="AK451" s="35"/>
      <c r="AL451" s="35"/>
      <c r="AM451" s="35"/>
      <c r="AN451" s="35"/>
      <c r="AO451" s="35"/>
      <c r="AP451" s="35"/>
      <c r="AQ451" s="35"/>
      <c r="AR451" s="35"/>
      <c r="AS451" s="35"/>
      <c r="AT451" s="35"/>
      <c r="AU451" s="35"/>
      <c r="AV451" s="35"/>
      <c r="AW451" s="35"/>
      <c r="AX451" s="35"/>
    </row>
    <row r="452" ht="15.75" customHeight="1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  <c r="AE452" s="35"/>
      <c r="AF452" s="35"/>
      <c r="AG452" s="35"/>
      <c r="AH452" s="35"/>
      <c r="AI452" s="35"/>
      <c r="AJ452" s="35"/>
      <c r="AK452" s="35"/>
      <c r="AL452" s="35"/>
      <c r="AM452" s="35"/>
      <c r="AN452" s="35"/>
      <c r="AO452" s="35"/>
      <c r="AP452" s="35"/>
      <c r="AQ452" s="35"/>
      <c r="AR452" s="35"/>
      <c r="AS452" s="35"/>
      <c r="AT452" s="35"/>
      <c r="AU452" s="35"/>
      <c r="AV452" s="35"/>
      <c r="AW452" s="35"/>
      <c r="AX452" s="35"/>
    </row>
    <row r="453" ht="15.75" customHeight="1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  <c r="AF453" s="35"/>
      <c r="AG453" s="35"/>
      <c r="AH453" s="35"/>
      <c r="AI453" s="35"/>
      <c r="AJ453" s="35"/>
      <c r="AK453" s="35"/>
      <c r="AL453" s="35"/>
      <c r="AM453" s="35"/>
      <c r="AN453" s="35"/>
      <c r="AO453" s="35"/>
      <c r="AP453" s="35"/>
      <c r="AQ453" s="35"/>
      <c r="AR453" s="35"/>
      <c r="AS453" s="35"/>
      <c r="AT453" s="35"/>
      <c r="AU453" s="35"/>
      <c r="AV453" s="35"/>
      <c r="AW453" s="35"/>
      <c r="AX453" s="35"/>
    </row>
    <row r="454" ht="15.75" customHeight="1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  <c r="AE454" s="35"/>
      <c r="AF454" s="35"/>
      <c r="AG454" s="35"/>
      <c r="AH454" s="35"/>
      <c r="AI454" s="35"/>
      <c r="AJ454" s="35"/>
      <c r="AK454" s="35"/>
      <c r="AL454" s="35"/>
      <c r="AM454" s="35"/>
      <c r="AN454" s="35"/>
      <c r="AO454" s="35"/>
      <c r="AP454" s="35"/>
      <c r="AQ454" s="35"/>
      <c r="AR454" s="35"/>
      <c r="AS454" s="35"/>
      <c r="AT454" s="35"/>
      <c r="AU454" s="35"/>
      <c r="AV454" s="35"/>
      <c r="AW454" s="35"/>
      <c r="AX454" s="35"/>
    </row>
    <row r="455" ht="15.75" customHeight="1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  <c r="AF455" s="35"/>
      <c r="AG455" s="35"/>
      <c r="AH455" s="35"/>
      <c r="AI455" s="35"/>
      <c r="AJ455" s="35"/>
      <c r="AK455" s="35"/>
      <c r="AL455" s="35"/>
      <c r="AM455" s="35"/>
      <c r="AN455" s="35"/>
      <c r="AO455" s="35"/>
      <c r="AP455" s="35"/>
      <c r="AQ455" s="35"/>
      <c r="AR455" s="35"/>
      <c r="AS455" s="35"/>
      <c r="AT455" s="35"/>
      <c r="AU455" s="35"/>
      <c r="AV455" s="35"/>
      <c r="AW455" s="35"/>
      <c r="AX455" s="35"/>
    </row>
    <row r="456" ht="15.75" customHeight="1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  <c r="AE456" s="35"/>
      <c r="AF456" s="35"/>
      <c r="AG456" s="35"/>
      <c r="AH456" s="35"/>
      <c r="AI456" s="35"/>
      <c r="AJ456" s="35"/>
      <c r="AK456" s="35"/>
      <c r="AL456" s="35"/>
      <c r="AM456" s="35"/>
      <c r="AN456" s="35"/>
      <c r="AO456" s="35"/>
      <c r="AP456" s="35"/>
      <c r="AQ456" s="35"/>
      <c r="AR456" s="35"/>
      <c r="AS456" s="35"/>
      <c r="AT456" s="35"/>
      <c r="AU456" s="35"/>
      <c r="AV456" s="35"/>
      <c r="AW456" s="35"/>
      <c r="AX456" s="35"/>
    </row>
    <row r="457" ht="15.75" customHeight="1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  <c r="AE457" s="35"/>
      <c r="AF457" s="35"/>
      <c r="AG457" s="35"/>
      <c r="AH457" s="35"/>
      <c r="AI457" s="35"/>
      <c r="AJ457" s="35"/>
      <c r="AK457" s="35"/>
      <c r="AL457" s="35"/>
      <c r="AM457" s="35"/>
      <c r="AN457" s="35"/>
      <c r="AO457" s="35"/>
      <c r="AP457" s="35"/>
      <c r="AQ457" s="35"/>
      <c r="AR457" s="35"/>
      <c r="AS457" s="35"/>
      <c r="AT457" s="35"/>
      <c r="AU457" s="35"/>
      <c r="AV457" s="35"/>
      <c r="AW457" s="35"/>
      <c r="AX457" s="35"/>
    </row>
    <row r="458" ht="15.75" customHeight="1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  <c r="AE458" s="35"/>
      <c r="AF458" s="35"/>
      <c r="AG458" s="35"/>
      <c r="AH458" s="35"/>
      <c r="AI458" s="35"/>
      <c r="AJ458" s="35"/>
      <c r="AK458" s="35"/>
      <c r="AL458" s="35"/>
      <c r="AM458" s="35"/>
      <c r="AN458" s="35"/>
      <c r="AO458" s="35"/>
      <c r="AP458" s="35"/>
      <c r="AQ458" s="35"/>
      <c r="AR458" s="35"/>
      <c r="AS458" s="35"/>
      <c r="AT458" s="35"/>
      <c r="AU458" s="35"/>
      <c r="AV458" s="35"/>
      <c r="AW458" s="35"/>
      <c r="AX458" s="35"/>
    </row>
    <row r="459" ht="15.75" customHeight="1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  <c r="AE459" s="35"/>
      <c r="AF459" s="35"/>
      <c r="AG459" s="35"/>
      <c r="AH459" s="35"/>
      <c r="AI459" s="35"/>
      <c r="AJ459" s="35"/>
      <c r="AK459" s="35"/>
      <c r="AL459" s="35"/>
      <c r="AM459" s="35"/>
      <c r="AN459" s="35"/>
      <c r="AO459" s="35"/>
      <c r="AP459" s="35"/>
      <c r="AQ459" s="35"/>
      <c r="AR459" s="35"/>
      <c r="AS459" s="35"/>
      <c r="AT459" s="35"/>
      <c r="AU459" s="35"/>
      <c r="AV459" s="35"/>
      <c r="AW459" s="35"/>
      <c r="AX459" s="35"/>
    </row>
    <row r="460" ht="15.75" customHeight="1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  <c r="AF460" s="35"/>
      <c r="AG460" s="35"/>
      <c r="AH460" s="35"/>
      <c r="AI460" s="35"/>
      <c r="AJ460" s="35"/>
      <c r="AK460" s="35"/>
      <c r="AL460" s="35"/>
      <c r="AM460" s="35"/>
      <c r="AN460" s="35"/>
      <c r="AO460" s="35"/>
      <c r="AP460" s="35"/>
      <c r="AQ460" s="35"/>
      <c r="AR460" s="35"/>
      <c r="AS460" s="35"/>
      <c r="AT460" s="35"/>
      <c r="AU460" s="35"/>
      <c r="AV460" s="35"/>
      <c r="AW460" s="35"/>
      <c r="AX460" s="35"/>
    </row>
    <row r="461" ht="15.75" customHeight="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  <c r="AE461" s="35"/>
      <c r="AF461" s="35"/>
      <c r="AG461" s="35"/>
      <c r="AH461" s="35"/>
      <c r="AI461" s="35"/>
      <c r="AJ461" s="35"/>
      <c r="AK461" s="35"/>
      <c r="AL461" s="35"/>
      <c r="AM461" s="35"/>
      <c r="AN461" s="35"/>
      <c r="AO461" s="35"/>
      <c r="AP461" s="35"/>
      <c r="AQ461" s="35"/>
      <c r="AR461" s="35"/>
      <c r="AS461" s="35"/>
      <c r="AT461" s="35"/>
      <c r="AU461" s="35"/>
      <c r="AV461" s="35"/>
      <c r="AW461" s="35"/>
      <c r="AX461" s="35"/>
    </row>
    <row r="462" ht="15.75" customHeight="1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  <c r="AE462" s="35"/>
      <c r="AF462" s="35"/>
      <c r="AG462" s="35"/>
      <c r="AH462" s="35"/>
      <c r="AI462" s="35"/>
      <c r="AJ462" s="35"/>
      <c r="AK462" s="35"/>
      <c r="AL462" s="35"/>
      <c r="AM462" s="35"/>
      <c r="AN462" s="35"/>
      <c r="AO462" s="35"/>
      <c r="AP462" s="35"/>
      <c r="AQ462" s="35"/>
      <c r="AR462" s="35"/>
      <c r="AS462" s="35"/>
      <c r="AT462" s="35"/>
      <c r="AU462" s="35"/>
      <c r="AV462" s="35"/>
      <c r="AW462" s="35"/>
      <c r="AX462" s="35"/>
    </row>
    <row r="463" ht="15.75" customHeight="1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  <c r="AE463" s="35"/>
      <c r="AF463" s="35"/>
      <c r="AG463" s="35"/>
      <c r="AH463" s="35"/>
      <c r="AI463" s="35"/>
      <c r="AJ463" s="35"/>
      <c r="AK463" s="35"/>
      <c r="AL463" s="35"/>
      <c r="AM463" s="35"/>
      <c r="AN463" s="35"/>
      <c r="AO463" s="35"/>
      <c r="AP463" s="35"/>
      <c r="AQ463" s="35"/>
      <c r="AR463" s="35"/>
      <c r="AS463" s="35"/>
      <c r="AT463" s="35"/>
      <c r="AU463" s="35"/>
      <c r="AV463" s="35"/>
      <c r="AW463" s="35"/>
      <c r="AX463" s="35"/>
    </row>
    <row r="464" ht="15.75" customHeight="1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  <c r="AE464" s="35"/>
      <c r="AF464" s="35"/>
      <c r="AG464" s="35"/>
      <c r="AH464" s="35"/>
      <c r="AI464" s="35"/>
      <c r="AJ464" s="35"/>
      <c r="AK464" s="35"/>
      <c r="AL464" s="35"/>
      <c r="AM464" s="35"/>
      <c r="AN464" s="35"/>
      <c r="AO464" s="35"/>
      <c r="AP464" s="35"/>
      <c r="AQ464" s="35"/>
      <c r="AR464" s="35"/>
      <c r="AS464" s="35"/>
      <c r="AT464" s="35"/>
      <c r="AU464" s="35"/>
      <c r="AV464" s="35"/>
      <c r="AW464" s="35"/>
      <c r="AX464" s="35"/>
    </row>
    <row r="465" ht="15.75" customHeight="1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  <c r="AF465" s="35"/>
      <c r="AG465" s="35"/>
      <c r="AH465" s="35"/>
      <c r="AI465" s="35"/>
      <c r="AJ465" s="35"/>
      <c r="AK465" s="35"/>
      <c r="AL465" s="35"/>
      <c r="AM465" s="35"/>
      <c r="AN465" s="35"/>
      <c r="AO465" s="35"/>
      <c r="AP465" s="35"/>
      <c r="AQ465" s="35"/>
      <c r="AR465" s="35"/>
      <c r="AS465" s="35"/>
      <c r="AT465" s="35"/>
      <c r="AU465" s="35"/>
      <c r="AV465" s="35"/>
      <c r="AW465" s="35"/>
      <c r="AX465" s="35"/>
    </row>
    <row r="466" ht="15.75" customHeight="1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  <c r="AF466" s="35"/>
      <c r="AG466" s="35"/>
      <c r="AH466" s="35"/>
      <c r="AI466" s="35"/>
      <c r="AJ466" s="35"/>
      <c r="AK466" s="35"/>
      <c r="AL466" s="35"/>
      <c r="AM466" s="35"/>
      <c r="AN466" s="35"/>
      <c r="AO466" s="35"/>
      <c r="AP466" s="35"/>
      <c r="AQ466" s="35"/>
      <c r="AR466" s="35"/>
      <c r="AS466" s="35"/>
      <c r="AT466" s="35"/>
      <c r="AU466" s="35"/>
      <c r="AV466" s="35"/>
      <c r="AW466" s="35"/>
      <c r="AX466" s="35"/>
    </row>
    <row r="467" ht="15.75" customHeight="1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  <c r="AF467" s="35"/>
      <c r="AG467" s="35"/>
      <c r="AH467" s="35"/>
      <c r="AI467" s="35"/>
      <c r="AJ467" s="35"/>
      <c r="AK467" s="35"/>
      <c r="AL467" s="35"/>
      <c r="AM467" s="35"/>
      <c r="AN467" s="35"/>
      <c r="AO467" s="35"/>
      <c r="AP467" s="35"/>
      <c r="AQ467" s="35"/>
      <c r="AR467" s="35"/>
      <c r="AS467" s="35"/>
      <c r="AT467" s="35"/>
      <c r="AU467" s="35"/>
      <c r="AV467" s="35"/>
      <c r="AW467" s="35"/>
      <c r="AX467" s="35"/>
    </row>
    <row r="468" ht="15.75" customHeight="1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  <c r="AE468" s="35"/>
      <c r="AF468" s="35"/>
      <c r="AG468" s="35"/>
      <c r="AH468" s="35"/>
      <c r="AI468" s="35"/>
      <c r="AJ468" s="35"/>
      <c r="AK468" s="35"/>
      <c r="AL468" s="35"/>
      <c r="AM468" s="35"/>
      <c r="AN468" s="35"/>
      <c r="AO468" s="35"/>
      <c r="AP468" s="35"/>
      <c r="AQ468" s="35"/>
      <c r="AR468" s="35"/>
      <c r="AS468" s="35"/>
      <c r="AT468" s="35"/>
      <c r="AU468" s="35"/>
      <c r="AV468" s="35"/>
      <c r="AW468" s="35"/>
      <c r="AX468" s="35"/>
    </row>
    <row r="469" ht="15.75" customHeight="1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  <c r="AF469" s="35"/>
      <c r="AG469" s="35"/>
      <c r="AH469" s="35"/>
      <c r="AI469" s="35"/>
      <c r="AJ469" s="35"/>
      <c r="AK469" s="35"/>
      <c r="AL469" s="35"/>
      <c r="AM469" s="35"/>
      <c r="AN469" s="35"/>
      <c r="AO469" s="35"/>
      <c r="AP469" s="35"/>
      <c r="AQ469" s="35"/>
      <c r="AR469" s="35"/>
      <c r="AS469" s="35"/>
      <c r="AT469" s="35"/>
      <c r="AU469" s="35"/>
      <c r="AV469" s="35"/>
      <c r="AW469" s="35"/>
      <c r="AX469" s="35"/>
    </row>
    <row r="470" ht="15.75" customHeight="1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  <c r="AF470" s="35"/>
      <c r="AG470" s="35"/>
      <c r="AH470" s="35"/>
      <c r="AI470" s="35"/>
      <c r="AJ470" s="35"/>
      <c r="AK470" s="35"/>
      <c r="AL470" s="35"/>
      <c r="AM470" s="35"/>
      <c r="AN470" s="35"/>
      <c r="AO470" s="35"/>
      <c r="AP470" s="35"/>
      <c r="AQ470" s="35"/>
      <c r="AR470" s="35"/>
      <c r="AS470" s="35"/>
      <c r="AT470" s="35"/>
      <c r="AU470" s="35"/>
      <c r="AV470" s="35"/>
      <c r="AW470" s="35"/>
      <c r="AX470" s="35"/>
    </row>
    <row r="471" ht="15.75" customHeight="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  <c r="AE471" s="35"/>
      <c r="AF471" s="35"/>
      <c r="AG471" s="35"/>
      <c r="AH471" s="35"/>
      <c r="AI471" s="35"/>
      <c r="AJ471" s="35"/>
      <c r="AK471" s="35"/>
      <c r="AL471" s="35"/>
      <c r="AM471" s="35"/>
      <c r="AN471" s="35"/>
      <c r="AO471" s="35"/>
      <c r="AP471" s="35"/>
      <c r="AQ471" s="35"/>
      <c r="AR471" s="35"/>
      <c r="AS471" s="35"/>
      <c r="AT471" s="35"/>
      <c r="AU471" s="35"/>
      <c r="AV471" s="35"/>
      <c r="AW471" s="35"/>
      <c r="AX471" s="35"/>
    </row>
    <row r="472" ht="15.75" customHeight="1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  <c r="AE472" s="35"/>
      <c r="AF472" s="35"/>
      <c r="AG472" s="35"/>
      <c r="AH472" s="35"/>
      <c r="AI472" s="35"/>
      <c r="AJ472" s="35"/>
      <c r="AK472" s="35"/>
      <c r="AL472" s="35"/>
      <c r="AM472" s="35"/>
      <c r="AN472" s="35"/>
      <c r="AO472" s="35"/>
      <c r="AP472" s="35"/>
      <c r="AQ472" s="35"/>
      <c r="AR472" s="35"/>
      <c r="AS472" s="35"/>
      <c r="AT472" s="35"/>
      <c r="AU472" s="35"/>
      <c r="AV472" s="35"/>
      <c r="AW472" s="35"/>
      <c r="AX472" s="35"/>
    </row>
    <row r="473" ht="15.75" customHeight="1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  <c r="AE473" s="35"/>
      <c r="AF473" s="35"/>
      <c r="AG473" s="35"/>
      <c r="AH473" s="35"/>
      <c r="AI473" s="35"/>
      <c r="AJ473" s="35"/>
      <c r="AK473" s="35"/>
      <c r="AL473" s="35"/>
      <c r="AM473" s="35"/>
      <c r="AN473" s="35"/>
      <c r="AO473" s="35"/>
      <c r="AP473" s="35"/>
      <c r="AQ473" s="35"/>
      <c r="AR473" s="35"/>
      <c r="AS473" s="35"/>
      <c r="AT473" s="35"/>
      <c r="AU473" s="35"/>
      <c r="AV473" s="35"/>
      <c r="AW473" s="35"/>
      <c r="AX473" s="35"/>
    </row>
    <row r="474" ht="15.75" customHeight="1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  <c r="AF474" s="35"/>
      <c r="AG474" s="35"/>
      <c r="AH474" s="35"/>
      <c r="AI474" s="35"/>
      <c r="AJ474" s="35"/>
      <c r="AK474" s="35"/>
      <c r="AL474" s="35"/>
      <c r="AM474" s="35"/>
      <c r="AN474" s="35"/>
      <c r="AO474" s="35"/>
      <c r="AP474" s="35"/>
      <c r="AQ474" s="35"/>
      <c r="AR474" s="35"/>
      <c r="AS474" s="35"/>
      <c r="AT474" s="35"/>
      <c r="AU474" s="35"/>
      <c r="AV474" s="35"/>
      <c r="AW474" s="35"/>
      <c r="AX474" s="35"/>
    </row>
    <row r="475" ht="15.75" customHeight="1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  <c r="AF475" s="35"/>
      <c r="AG475" s="35"/>
      <c r="AH475" s="35"/>
      <c r="AI475" s="35"/>
      <c r="AJ475" s="35"/>
      <c r="AK475" s="35"/>
      <c r="AL475" s="35"/>
      <c r="AM475" s="35"/>
      <c r="AN475" s="35"/>
      <c r="AO475" s="35"/>
      <c r="AP475" s="35"/>
      <c r="AQ475" s="35"/>
      <c r="AR475" s="35"/>
      <c r="AS475" s="35"/>
      <c r="AT475" s="35"/>
      <c r="AU475" s="35"/>
      <c r="AV475" s="35"/>
      <c r="AW475" s="35"/>
      <c r="AX475" s="35"/>
    </row>
    <row r="476" ht="15.75" customHeight="1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  <c r="AE476" s="35"/>
      <c r="AF476" s="35"/>
      <c r="AG476" s="35"/>
      <c r="AH476" s="35"/>
      <c r="AI476" s="35"/>
      <c r="AJ476" s="35"/>
      <c r="AK476" s="35"/>
      <c r="AL476" s="35"/>
      <c r="AM476" s="35"/>
      <c r="AN476" s="35"/>
      <c r="AO476" s="35"/>
      <c r="AP476" s="35"/>
      <c r="AQ476" s="35"/>
      <c r="AR476" s="35"/>
      <c r="AS476" s="35"/>
      <c r="AT476" s="35"/>
      <c r="AU476" s="35"/>
      <c r="AV476" s="35"/>
      <c r="AW476" s="35"/>
      <c r="AX476" s="35"/>
    </row>
    <row r="477" ht="15.75" customHeight="1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  <c r="AE477" s="35"/>
      <c r="AF477" s="35"/>
      <c r="AG477" s="35"/>
      <c r="AH477" s="35"/>
      <c r="AI477" s="35"/>
      <c r="AJ477" s="35"/>
      <c r="AK477" s="35"/>
      <c r="AL477" s="35"/>
      <c r="AM477" s="35"/>
      <c r="AN477" s="35"/>
      <c r="AO477" s="35"/>
      <c r="AP477" s="35"/>
      <c r="AQ477" s="35"/>
      <c r="AR477" s="35"/>
      <c r="AS477" s="35"/>
      <c r="AT477" s="35"/>
      <c r="AU477" s="35"/>
      <c r="AV477" s="35"/>
      <c r="AW477" s="35"/>
      <c r="AX477" s="35"/>
    </row>
    <row r="478" ht="15.75" customHeight="1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  <c r="AF478" s="35"/>
      <c r="AG478" s="35"/>
      <c r="AH478" s="35"/>
      <c r="AI478" s="35"/>
      <c r="AJ478" s="35"/>
      <c r="AK478" s="35"/>
      <c r="AL478" s="35"/>
      <c r="AM478" s="35"/>
      <c r="AN478" s="35"/>
      <c r="AO478" s="35"/>
      <c r="AP478" s="35"/>
      <c r="AQ478" s="35"/>
      <c r="AR478" s="35"/>
      <c r="AS478" s="35"/>
      <c r="AT478" s="35"/>
      <c r="AU478" s="35"/>
      <c r="AV478" s="35"/>
      <c r="AW478" s="35"/>
      <c r="AX478" s="35"/>
    </row>
    <row r="479" ht="15.75" customHeight="1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  <c r="AE479" s="35"/>
      <c r="AF479" s="35"/>
      <c r="AG479" s="35"/>
      <c r="AH479" s="35"/>
      <c r="AI479" s="35"/>
      <c r="AJ479" s="35"/>
      <c r="AK479" s="35"/>
      <c r="AL479" s="35"/>
      <c r="AM479" s="35"/>
      <c r="AN479" s="35"/>
      <c r="AO479" s="35"/>
      <c r="AP479" s="35"/>
      <c r="AQ479" s="35"/>
      <c r="AR479" s="35"/>
      <c r="AS479" s="35"/>
      <c r="AT479" s="35"/>
      <c r="AU479" s="35"/>
      <c r="AV479" s="35"/>
      <c r="AW479" s="35"/>
      <c r="AX479" s="35"/>
    </row>
    <row r="480" ht="15.75" customHeight="1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  <c r="AE480" s="35"/>
      <c r="AF480" s="35"/>
      <c r="AG480" s="35"/>
      <c r="AH480" s="35"/>
      <c r="AI480" s="35"/>
      <c r="AJ480" s="35"/>
      <c r="AK480" s="35"/>
      <c r="AL480" s="35"/>
      <c r="AM480" s="35"/>
      <c r="AN480" s="35"/>
      <c r="AO480" s="35"/>
      <c r="AP480" s="35"/>
      <c r="AQ480" s="35"/>
      <c r="AR480" s="35"/>
      <c r="AS480" s="35"/>
      <c r="AT480" s="35"/>
      <c r="AU480" s="35"/>
      <c r="AV480" s="35"/>
      <c r="AW480" s="35"/>
      <c r="AX480" s="35"/>
    </row>
    <row r="481" ht="15.75" customHeight="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  <c r="AE481" s="35"/>
      <c r="AF481" s="35"/>
      <c r="AG481" s="35"/>
      <c r="AH481" s="35"/>
      <c r="AI481" s="35"/>
      <c r="AJ481" s="35"/>
      <c r="AK481" s="35"/>
      <c r="AL481" s="35"/>
      <c r="AM481" s="35"/>
      <c r="AN481" s="35"/>
      <c r="AO481" s="35"/>
      <c r="AP481" s="35"/>
      <c r="AQ481" s="35"/>
      <c r="AR481" s="35"/>
      <c r="AS481" s="35"/>
      <c r="AT481" s="35"/>
      <c r="AU481" s="35"/>
      <c r="AV481" s="35"/>
      <c r="AW481" s="35"/>
      <c r="AX481" s="35"/>
    </row>
    <row r="482" ht="15.75" customHeight="1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  <c r="AF482" s="35"/>
      <c r="AG482" s="35"/>
      <c r="AH482" s="35"/>
      <c r="AI482" s="35"/>
      <c r="AJ482" s="35"/>
      <c r="AK482" s="35"/>
      <c r="AL482" s="35"/>
      <c r="AM482" s="35"/>
      <c r="AN482" s="35"/>
      <c r="AO482" s="35"/>
      <c r="AP482" s="35"/>
      <c r="AQ482" s="35"/>
      <c r="AR482" s="35"/>
      <c r="AS482" s="35"/>
      <c r="AT482" s="35"/>
      <c r="AU482" s="35"/>
      <c r="AV482" s="35"/>
      <c r="AW482" s="35"/>
      <c r="AX482" s="35"/>
    </row>
    <row r="483" ht="15.75" customHeight="1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  <c r="AE483" s="35"/>
      <c r="AF483" s="35"/>
      <c r="AG483" s="35"/>
      <c r="AH483" s="35"/>
      <c r="AI483" s="35"/>
      <c r="AJ483" s="35"/>
      <c r="AK483" s="35"/>
      <c r="AL483" s="35"/>
      <c r="AM483" s="35"/>
      <c r="AN483" s="35"/>
      <c r="AO483" s="35"/>
      <c r="AP483" s="35"/>
      <c r="AQ483" s="35"/>
      <c r="AR483" s="35"/>
      <c r="AS483" s="35"/>
      <c r="AT483" s="35"/>
      <c r="AU483" s="35"/>
      <c r="AV483" s="35"/>
      <c r="AW483" s="35"/>
      <c r="AX483" s="35"/>
    </row>
    <row r="484" ht="15.75" customHeight="1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  <c r="AE484" s="35"/>
      <c r="AF484" s="35"/>
      <c r="AG484" s="35"/>
      <c r="AH484" s="35"/>
      <c r="AI484" s="35"/>
      <c r="AJ484" s="35"/>
      <c r="AK484" s="35"/>
      <c r="AL484" s="35"/>
      <c r="AM484" s="35"/>
      <c r="AN484" s="35"/>
      <c r="AO484" s="35"/>
      <c r="AP484" s="35"/>
      <c r="AQ484" s="35"/>
      <c r="AR484" s="35"/>
      <c r="AS484" s="35"/>
      <c r="AT484" s="35"/>
      <c r="AU484" s="35"/>
      <c r="AV484" s="35"/>
      <c r="AW484" s="35"/>
      <c r="AX484" s="35"/>
    </row>
    <row r="485" ht="15.75" customHeight="1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  <c r="AE485" s="35"/>
      <c r="AF485" s="35"/>
      <c r="AG485" s="35"/>
      <c r="AH485" s="35"/>
      <c r="AI485" s="35"/>
      <c r="AJ485" s="35"/>
      <c r="AK485" s="35"/>
      <c r="AL485" s="35"/>
      <c r="AM485" s="35"/>
      <c r="AN485" s="35"/>
      <c r="AO485" s="35"/>
      <c r="AP485" s="35"/>
      <c r="AQ485" s="35"/>
      <c r="AR485" s="35"/>
      <c r="AS485" s="35"/>
      <c r="AT485" s="35"/>
      <c r="AU485" s="35"/>
      <c r="AV485" s="35"/>
      <c r="AW485" s="35"/>
      <c r="AX485" s="35"/>
    </row>
    <row r="486" ht="15.75" customHeight="1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  <c r="AE486" s="35"/>
      <c r="AF486" s="35"/>
      <c r="AG486" s="35"/>
      <c r="AH486" s="35"/>
      <c r="AI486" s="35"/>
      <c r="AJ486" s="35"/>
      <c r="AK486" s="35"/>
      <c r="AL486" s="35"/>
      <c r="AM486" s="35"/>
      <c r="AN486" s="35"/>
      <c r="AO486" s="35"/>
      <c r="AP486" s="35"/>
      <c r="AQ486" s="35"/>
      <c r="AR486" s="35"/>
      <c r="AS486" s="35"/>
      <c r="AT486" s="35"/>
      <c r="AU486" s="35"/>
      <c r="AV486" s="35"/>
      <c r="AW486" s="35"/>
      <c r="AX486" s="35"/>
    </row>
    <row r="487" ht="15.75" customHeight="1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  <c r="AE487" s="35"/>
      <c r="AF487" s="35"/>
      <c r="AG487" s="35"/>
      <c r="AH487" s="35"/>
      <c r="AI487" s="35"/>
      <c r="AJ487" s="35"/>
      <c r="AK487" s="35"/>
      <c r="AL487" s="35"/>
      <c r="AM487" s="35"/>
      <c r="AN487" s="35"/>
      <c r="AO487" s="35"/>
      <c r="AP487" s="35"/>
      <c r="AQ487" s="35"/>
      <c r="AR487" s="35"/>
      <c r="AS487" s="35"/>
      <c r="AT487" s="35"/>
      <c r="AU487" s="35"/>
      <c r="AV487" s="35"/>
      <c r="AW487" s="35"/>
      <c r="AX487" s="35"/>
    </row>
    <row r="488" ht="15.75" customHeight="1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  <c r="AE488" s="35"/>
      <c r="AF488" s="35"/>
      <c r="AG488" s="35"/>
      <c r="AH488" s="35"/>
      <c r="AI488" s="35"/>
      <c r="AJ488" s="35"/>
      <c r="AK488" s="35"/>
      <c r="AL488" s="35"/>
      <c r="AM488" s="35"/>
      <c r="AN488" s="35"/>
      <c r="AO488" s="35"/>
      <c r="AP488" s="35"/>
      <c r="AQ488" s="35"/>
      <c r="AR488" s="35"/>
      <c r="AS488" s="35"/>
      <c r="AT488" s="35"/>
      <c r="AU488" s="35"/>
      <c r="AV488" s="35"/>
      <c r="AW488" s="35"/>
      <c r="AX488" s="35"/>
    </row>
    <row r="489" ht="15.75" customHeight="1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  <c r="AE489" s="35"/>
      <c r="AF489" s="35"/>
      <c r="AG489" s="35"/>
      <c r="AH489" s="35"/>
      <c r="AI489" s="35"/>
      <c r="AJ489" s="35"/>
      <c r="AK489" s="35"/>
      <c r="AL489" s="35"/>
      <c r="AM489" s="35"/>
      <c r="AN489" s="35"/>
      <c r="AO489" s="35"/>
      <c r="AP489" s="35"/>
      <c r="AQ489" s="35"/>
      <c r="AR489" s="35"/>
      <c r="AS489" s="35"/>
      <c r="AT489" s="35"/>
      <c r="AU489" s="35"/>
      <c r="AV489" s="35"/>
      <c r="AW489" s="35"/>
      <c r="AX489" s="35"/>
    </row>
    <row r="490" ht="15.75" customHeight="1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  <c r="AG490" s="35"/>
      <c r="AH490" s="35"/>
      <c r="AI490" s="35"/>
      <c r="AJ490" s="35"/>
      <c r="AK490" s="35"/>
      <c r="AL490" s="35"/>
      <c r="AM490" s="35"/>
      <c r="AN490" s="35"/>
      <c r="AO490" s="35"/>
      <c r="AP490" s="35"/>
      <c r="AQ490" s="35"/>
      <c r="AR490" s="35"/>
      <c r="AS490" s="35"/>
      <c r="AT490" s="35"/>
      <c r="AU490" s="35"/>
      <c r="AV490" s="35"/>
      <c r="AW490" s="35"/>
      <c r="AX490" s="35"/>
    </row>
    <row r="491" ht="15.75" customHeight="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  <c r="AG491" s="35"/>
      <c r="AH491" s="35"/>
      <c r="AI491" s="35"/>
      <c r="AJ491" s="35"/>
      <c r="AK491" s="35"/>
      <c r="AL491" s="35"/>
      <c r="AM491" s="35"/>
      <c r="AN491" s="35"/>
      <c r="AO491" s="35"/>
      <c r="AP491" s="35"/>
      <c r="AQ491" s="35"/>
      <c r="AR491" s="35"/>
      <c r="AS491" s="35"/>
      <c r="AT491" s="35"/>
      <c r="AU491" s="35"/>
      <c r="AV491" s="35"/>
      <c r="AW491" s="35"/>
      <c r="AX491" s="35"/>
    </row>
    <row r="492" ht="15.75" customHeight="1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  <c r="AE492" s="35"/>
      <c r="AF492" s="35"/>
      <c r="AG492" s="35"/>
      <c r="AH492" s="35"/>
      <c r="AI492" s="35"/>
      <c r="AJ492" s="35"/>
      <c r="AK492" s="35"/>
      <c r="AL492" s="35"/>
      <c r="AM492" s="35"/>
      <c r="AN492" s="35"/>
      <c r="AO492" s="35"/>
      <c r="AP492" s="35"/>
      <c r="AQ492" s="35"/>
      <c r="AR492" s="35"/>
      <c r="AS492" s="35"/>
      <c r="AT492" s="35"/>
      <c r="AU492" s="35"/>
      <c r="AV492" s="35"/>
      <c r="AW492" s="35"/>
      <c r="AX492" s="35"/>
    </row>
    <row r="493" ht="15.75" customHeight="1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  <c r="AE493" s="35"/>
      <c r="AF493" s="35"/>
      <c r="AG493" s="35"/>
      <c r="AH493" s="35"/>
      <c r="AI493" s="35"/>
      <c r="AJ493" s="35"/>
      <c r="AK493" s="35"/>
      <c r="AL493" s="35"/>
      <c r="AM493" s="35"/>
      <c r="AN493" s="35"/>
      <c r="AO493" s="35"/>
      <c r="AP493" s="35"/>
      <c r="AQ493" s="35"/>
      <c r="AR493" s="35"/>
      <c r="AS493" s="35"/>
      <c r="AT493" s="35"/>
      <c r="AU493" s="35"/>
      <c r="AV493" s="35"/>
      <c r="AW493" s="35"/>
      <c r="AX493" s="35"/>
    </row>
    <row r="494" ht="15.75" customHeight="1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  <c r="AE494" s="35"/>
      <c r="AF494" s="35"/>
      <c r="AG494" s="35"/>
      <c r="AH494" s="35"/>
      <c r="AI494" s="35"/>
      <c r="AJ494" s="35"/>
      <c r="AK494" s="35"/>
      <c r="AL494" s="35"/>
      <c r="AM494" s="35"/>
      <c r="AN494" s="35"/>
      <c r="AO494" s="35"/>
      <c r="AP494" s="35"/>
      <c r="AQ494" s="35"/>
      <c r="AR494" s="35"/>
      <c r="AS494" s="35"/>
      <c r="AT494" s="35"/>
      <c r="AU494" s="35"/>
      <c r="AV494" s="35"/>
      <c r="AW494" s="35"/>
      <c r="AX494" s="35"/>
    </row>
    <row r="495" ht="15.75" customHeight="1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  <c r="AG495" s="35"/>
      <c r="AH495" s="35"/>
      <c r="AI495" s="35"/>
      <c r="AJ495" s="35"/>
      <c r="AK495" s="35"/>
      <c r="AL495" s="35"/>
      <c r="AM495" s="35"/>
      <c r="AN495" s="35"/>
      <c r="AO495" s="35"/>
      <c r="AP495" s="35"/>
      <c r="AQ495" s="35"/>
      <c r="AR495" s="35"/>
      <c r="AS495" s="35"/>
      <c r="AT495" s="35"/>
      <c r="AU495" s="35"/>
      <c r="AV495" s="35"/>
      <c r="AW495" s="35"/>
      <c r="AX495" s="35"/>
    </row>
    <row r="496" ht="15.75" customHeight="1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  <c r="AG496" s="35"/>
      <c r="AH496" s="35"/>
      <c r="AI496" s="35"/>
      <c r="AJ496" s="35"/>
      <c r="AK496" s="35"/>
      <c r="AL496" s="35"/>
      <c r="AM496" s="35"/>
      <c r="AN496" s="35"/>
      <c r="AO496" s="35"/>
      <c r="AP496" s="35"/>
      <c r="AQ496" s="35"/>
      <c r="AR496" s="35"/>
      <c r="AS496" s="35"/>
      <c r="AT496" s="35"/>
      <c r="AU496" s="35"/>
      <c r="AV496" s="35"/>
      <c r="AW496" s="35"/>
      <c r="AX496" s="35"/>
    </row>
    <row r="497" ht="15.75" customHeight="1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  <c r="AG497" s="35"/>
      <c r="AH497" s="35"/>
      <c r="AI497" s="35"/>
      <c r="AJ497" s="35"/>
      <c r="AK497" s="35"/>
      <c r="AL497" s="35"/>
      <c r="AM497" s="35"/>
      <c r="AN497" s="35"/>
      <c r="AO497" s="35"/>
      <c r="AP497" s="35"/>
      <c r="AQ497" s="35"/>
      <c r="AR497" s="35"/>
      <c r="AS497" s="35"/>
      <c r="AT497" s="35"/>
      <c r="AU497" s="35"/>
      <c r="AV497" s="35"/>
      <c r="AW497" s="35"/>
      <c r="AX497" s="35"/>
    </row>
    <row r="498" ht="15.75" customHeight="1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  <c r="AE498" s="35"/>
      <c r="AF498" s="35"/>
      <c r="AG498" s="35"/>
      <c r="AH498" s="35"/>
      <c r="AI498" s="35"/>
      <c r="AJ498" s="35"/>
      <c r="AK498" s="35"/>
      <c r="AL498" s="35"/>
      <c r="AM498" s="35"/>
      <c r="AN498" s="35"/>
      <c r="AO498" s="35"/>
      <c r="AP498" s="35"/>
      <c r="AQ498" s="35"/>
      <c r="AR498" s="35"/>
      <c r="AS498" s="35"/>
      <c r="AT498" s="35"/>
      <c r="AU498" s="35"/>
      <c r="AV498" s="35"/>
      <c r="AW498" s="35"/>
      <c r="AX498" s="35"/>
    </row>
    <row r="499" ht="15.75" customHeight="1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  <c r="AF499" s="35"/>
      <c r="AG499" s="35"/>
      <c r="AH499" s="35"/>
      <c r="AI499" s="35"/>
      <c r="AJ499" s="35"/>
      <c r="AK499" s="35"/>
      <c r="AL499" s="35"/>
      <c r="AM499" s="35"/>
      <c r="AN499" s="35"/>
      <c r="AO499" s="35"/>
      <c r="AP499" s="35"/>
      <c r="AQ499" s="35"/>
      <c r="AR499" s="35"/>
      <c r="AS499" s="35"/>
      <c r="AT499" s="35"/>
      <c r="AU499" s="35"/>
      <c r="AV499" s="35"/>
      <c r="AW499" s="35"/>
      <c r="AX499" s="35"/>
    </row>
    <row r="500" ht="15.75" customHeight="1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  <c r="AE500" s="35"/>
      <c r="AF500" s="35"/>
      <c r="AG500" s="35"/>
      <c r="AH500" s="35"/>
      <c r="AI500" s="35"/>
      <c r="AJ500" s="35"/>
      <c r="AK500" s="35"/>
      <c r="AL500" s="35"/>
      <c r="AM500" s="35"/>
      <c r="AN500" s="35"/>
      <c r="AO500" s="35"/>
      <c r="AP500" s="35"/>
      <c r="AQ500" s="35"/>
      <c r="AR500" s="35"/>
      <c r="AS500" s="35"/>
      <c r="AT500" s="35"/>
      <c r="AU500" s="35"/>
      <c r="AV500" s="35"/>
      <c r="AW500" s="35"/>
      <c r="AX500" s="35"/>
    </row>
    <row r="501" ht="15.75" customHeight="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  <c r="AF501" s="35"/>
      <c r="AG501" s="35"/>
      <c r="AH501" s="35"/>
      <c r="AI501" s="35"/>
      <c r="AJ501" s="35"/>
      <c r="AK501" s="35"/>
      <c r="AL501" s="35"/>
      <c r="AM501" s="35"/>
      <c r="AN501" s="35"/>
      <c r="AO501" s="35"/>
      <c r="AP501" s="35"/>
      <c r="AQ501" s="35"/>
      <c r="AR501" s="35"/>
      <c r="AS501" s="35"/>
      <c r="AT501" s="35"/>
      <c r="AU501" s="35"/>
      <c r="AV501" s="35"/>
      <c r="AW501" s="35"/>
      <c r="AX501" s="35"/>
    </row>
    <row r="502" ht="15.75" customHeight="1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  <c r="AG502" s="35"/>
      <c r="AH502" s="35"/>
      <c r="AI502" s="35"/>
      <c r="AJ502" s="35"/>
      <c r="AK502" s="35"/>
      <c r="AL502" s="35"/>
      <c r="AM502" s="35"/>
      <c r="AN502" s="35"/>
      <c r="AO502" s="35"/>
      <c r="AP502" s="35"/>
      <c r="AQ502" s="35"/>
      <c r="AR502" s="35"/>
      <c r="AS502" s="35"/>
      <c r="AT502" s="35"/>
      <c r="AU502" s="35"/>
      <c r="AV502" s="35"/>
      <c r="AW502" s="35"/>
      <c r="AX502" s="35"/>
    </row>
    <row r="503" ht="15.75" customHeight="1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35"/>
      <c r="AH503" s="35"/>
      <c r="AI503" s="35"/>
      <c r="AJ503" s="35"/>
      <c r="AK503" s="35"/>
      <c r="AL503" s="35"/>
      <c r="AM503" s="35"/>
      <c r="AN503" s="35"/>
      <c r="AO503" s="35"/>
      <c r="AP503" s="35"/>
      <c r="AQ503" s="35"/>
      <c r="AR503" s="35"/>
      <c r="AS503" s="35"/>
      <c r="AT503" s="35"/>
      <c r="AU503" s="35"/>
      <c r="AV503" s="35"/>
      <c r="AW503" s="35"/>
      <c r="AX503" s="35"/>
    </row>
    <row r="504" ht="15.75" customHeight="1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  <c r="AE504" s="35"/>
      <c r="AF504" s="35"/>
      <c r="AG504" s="35"/>
      <c r="AH504" s="35"/>
      <c r="AI504" s="35"/>
      <c r="AJ504" s="35"/>
      <c r="AK504" s="35"/>
      <c r="AL504" s="35"/>
      <c r="AM504" s="35"/>
      <c r="AN504" s="35"/>
      <c r="AO504" s="35"/>
      <c r="AP504" s="35"/>
      <c r="AQ504" s="35"/>
      <c r="AR504" s="35"/>
      <c r="AS504" s="35"/>
      <c r="AT504" s="35"/>
      <c r="AU504" s="35"/>
      <c r="AV504" s="35"/>
      <c r="AW504" s="35"/>
      <c r="AX504" s="35"/>
    </row>
    <row r="505" ht="15.75" customHeight="1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  <c r="AE505" s="35"/>
      <c r="AF505" s="35"/>
      <c r="AG505" s="35"/>
      <c r="AH505" s="35"/>
      <c r="AI505" s="35"/>
      <c r="AJ505" s="35"/>
      <c r="AK505" s="35"/>
      <c r="AL505" s="35"/>
      <c r="AM505" s="35"/>
      <c r="AN505" s="35"/>
      <c r="AO505" s="35"/>
      <c r="AP505" s="35"/>
      <c r="AQ505" s="35"/>
      <c r="AR505" s="35"/>
      <c r="AS505" s="35"/>
      <c r="AT505" s="35"/>
      <c r="AU505" s="35"/>
      <c r="AV505" s="35"/>
      <c r="AW505" s="35"/>
      <c r="AX505" s="35"/>
    </row>
    <row r="506" ht="15.75" customHeight="1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  <c r="AE506" s="35"/>
      <c r="AF506" s="35"/>
      <c r="AG506" s="35"/>
      <c r="AH506" s="35"/>
      <c r="AI506" s="35"/>
      <c r="AJ506" s="35"/>
      <c r="AK506" s="35"/>
      <c r="AL506" s="35"/>
      <c r="AM506" s="35"/>
      <c r="AN506" s="35"/>
      <c r="AO506" s="35"/>
      <c r="AP506" s="35"/>
      <c r="AQ506" s="35"/>
      <c r="AR506" s="35"/>
      <c r="AS506" s="35"/>
      <c r="AT506" s="35"/>
      <c r="AU506" s="35"/>
      <c r="AV506" s="35"/>
      <c r="AW506" s="35"/>
      <c r="AX506" s="35"/>
    </row>
    <row r="507" ht="15.75" customHeight="1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  <c r="AE507" s="35"/>
      <c r="AF507" s="35"/>
      <c r="AG507" s="35"/>
      <c r="AH507" s="35"/>
      <c r="AI507" s="35"/>
      <c r="AJ507" s="35"/>
      <c r="AK507" s="35"/>
      <c r="AL507" s="35"/>
      <c r="AM507" s="35"/>
      <c r="AN507" s="35"/>
      <c r="AO507" s="35"/>
      <c r="AP507" s="35"/>
      <c r="AQ507" s="35"/>
      <c r="AR507" s="35"/>
      <c r="AS507" s="35"/>
      <c r="AT507" s="35"/>
      <c r="AU507" s="35"/>
      <c r="AV507" s="35"/>
      <c r="AW507" s="35"/>
      <c r="AX507" s="35"/>
    </row>
    <row r="508" ht="15.75" customHeight="1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  <c r="AG508" s="35"/>
      <c r="AH508" s="35"/>
      <c r="AI508" s="35"/>
      <c r="AJ508" s="35"/>
      <c r="AK508" s="35"/>
      <c r="AL508" s="35"/>
      <c r="AM508" s="35"/>
      <c r="AN508" s="35"/>
      <c r="AO508" s="35"/>
      <c r="AP508" s="35"/>
      <c r="AQ508" s="35"/>
      <c r="AR508" s="35"/>
      <c r="AS508" s="35"/>
      <c r="AT508" s="35"/>
      <c r="AU508" s="35"/>
      <c r="AV508" s="35"/>
      <c r="AW508" s="35"/>
      <c r="AX508" s="35"/>
    </row>
    <row r="509" ht="15.75" customHeight="1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  <c r="AG509" s="35"/>
      <c r="AH509" s="35"/>
      <c r="AI509" s="35"/>
      <c r="AJ509" s="35"/>
      <c r="AK509" s="35"/>
      <c r="AL509" s="35"/>
      <c r="AM509" s="35"/>
      <c r="AN509" s="35"/>
      <c r="AO509" s="35"/>
      <c r="AP509" s="35"/>
      <c r="AQ509" s="35"/>
      <c r="AR509" s="35"/>
      <c r="AS509" s="35"/>
      <c r="AT509" s="35"/>
      <c r="AU509" s="35"/>
      <c r="AV509" s="35"/>
      <c r="AW509" s="35"/>
      <c r="AX509" s="35"/>
    </row>
    <row r="510" ht="15.75" customHeight="1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  <c r="AE510" s="35"/>
      <c r="AF510" s="35"/>
      <c r="AG510" s="35"/>
      <c r="AH510" s="35"/>
      <c r="AI510" s="35"/>
      <c r="AJ510" s="35"/>
      <c r="AK510" s="35"/>
      <c r="AL510" s="35"/>
      <c r="AM510" s="35"/>
      <c r="AN510" s="35"/>
      <c r="AO510" s="35"/>
      <c r="AP510" s="35"/>
      <c r="AQ510" s="35"/>
      <c r="AR510" s="35"/>
      <c r="AS510" s="35"/>
      <c r="AT510" s="35"/>
      <c r="AU510" s="35"/>
      <c r="AV510" s="35"/>
      <c r="AW510" s="35"/>
      <c r="AX510" s="35"/>
    </row>
    <row r="511" ht="15.75" customHeight="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  <c r="AE511" s="35"/>
      <c r="AF511" s="35"/>
      <c r="AG511" s="35"/>
      <c r="AH511" s="35"/>
      <c r="AI511" s="35"/>
      <c r="AJ511" s="35"/>
      <c r="AK511" s="35"/>
      <c r="AL511" s="35"/>
      <c r="AM511" s="35"/>
      <c r="AN511" s="35"/>
      <c r="AO511" s="35"/>
      <c r="AP511" s="35"/>
      <c r="AQ511" s="35"/>
      <c r="AR511" s="35"/>
      <c r="AS511" s="35"/>
      <c r="AT511" s="35"/>
      <c r="AU511" s="35"/>
      <c r="AV511" s="35"/>
      <c r="AW511" s="35"/>
      <c r="AX511" s="35"/>
    </row>
    <row r="512" ht="15.75" customHeight="1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5"/>
      <c r="AE512" s="35"/>
      <c r="AF512" s="35"/>
      <c r="AG512" s="35"/>
      <c r="AH512" s="35"/>
      <c r="AI512" s="35"/>
      <c r="AJ512" s="35"/>
      <c r="AK512" s="35"/>
      <c r="AL512" s="35"/>
      <c r="AM512" s="35"/>
      <c r="AN512" s="35"/>
      <c r="AO512" s="35"/>
      <c r="AP512" s="35"/>
      <c r="AQ512" s="35"/>
      <c r="AR512" s="35"/>
      <c r="AS512" s="35"/>
      <c r="AT512" s="35"/>
      <c r="AU512" s="35"/>
      <c r="AV512" s="35"/>
      <c r="AW512" s="35"/>
      <c r="AX512" s="35"/>
    </row>
    <row r="513" ht="15.75" customHeight="1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  <c r="AE513" s="35"/>
      <c r="AF513" s="35"/>
      <c r="AG513" s="35"/>
      <c r="AH513" s="35"/>
      <c r="AI513" s="35"/>
      <c r="AJ513" s="35"/>
      <c r="AK513" s="35"/>
      <c r="AL513" s="35"/>
      <c r="AM513" s="35"/>
      <c r="AN513" s="35"/>
      <c r="AO513" s="35"/>
      <c r="AP513" s="35"/>
      <c r="AQ513" s="35"/>
      <c r="AR513" s="35"/>
      <c r="AS513" s="35"/>
      <c r="AT513" s="35"/>
      <c r="AU513" s="35"/>
      <c r="AV513" s="35"/>
      <c r="AW513" s="35"/>
      <c r="AX513" s="35"/>
    </row>
    <row r="514" ht="15.75" customHeight="1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  <c r="AE514" s="35"/>
      <c r="AF514" s="35"/>
      <c r="AG514" s="35"/>
      <c r="AH514" s="35"/>
      <c r="AI514" s="35"/>
      <c r="AJ514" s="35"/>
      <c r="AK514" s="35"/>
      <c r="AL514" s="35"/>
      <c r="AM514" s="35"/>
      <c r="AN514" s="35"/>
      <c r="AO514" s="35"/>
      <c r="AP514" s="35"/>
      <c r="AQ514" s="35"/>
      <c r="AR514" s="35"/>
      <c r="AS514" s="35"/>
      <c r="AT514" s="35"/>
      <c r="AU514" s="35"/>
      <c r="AV514" s="35"/>
      <c r="AW514" s="35"/>
      <c r="AX514" s="35"/>
    </row>
    <row r="515" ht="15.75" customHeight="1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  <c r="AE515" s="35"/>
      <c r="AF515" s="35"/>
      <c r="AG515" s="35"/>
      <c r="AH515" s="35"/>
      <c r="AI515" s="35"/>
      <c r="AJ515" s="35"/>
      <c r="AK515" s="35"/>
      <c r="AL515" s="35"/>
      <c r="AM515" s="35"/>
      <c r="AN515" s="35"/>
      <c r="AO515" s="35"/>
      <c r="AP515" s="35"/>
      <c r="AQ515" s="35"/>
      <c r="AR515" s="35"/>
      <c r="AS515" s="35"/>
      <c r="AT515" s="35"/>
      <c r="AU515" s="35"/>
      <c r="AV515" s="35"/>
      <c r="AW515" s="35"/>
      <c r="AX515" s="35"/>
    </row>
    <row r="516" ht="15.75" customHeight="1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  <c r="AE516" s="35"/>
      <c r="AF516" s="35"/>
      <c r="AG516" s="35"/>
      <c r="AH516" s="35"/>
      <c r="AI516" s="35"/>
      <c r="AJ516" s="35"/>
      <c r="AK516" s="35"/>
      <c r="AL516" s="35"/>
      <c r="AM516" s="35"/>
      <c r="AN516" s="35"/>
      <c r="AO516" s="35"/>
      <c r="AP516" s="35"/>
      <c r="AQ516" s="35"/>
      <c r="AR516" s="35"/>
      <c r="AS516" s="35"/>
      <c r="AT516" s="35"/>
      <c r="AU516" s="35"/>
      <c r="AV516" s="35"/>
      <c r="AW516" s="35"/>
      <c r="AX516" s="35"/>
    </row>
    <row r="517" ht="15.75" customHeight="1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  <c r="AE517" s="35"/>
      <c r="AF517" s="35"/>
      <c r="AG517" s="35"/>
      <c r="AH517" s="35"/>
      <c r="AI517" s="35"/>
      <c r="AJ517" s="35"/>
      <c r="AK517" s="35"/>
      <c r="AL517" s="35"/>
      <c r="AM517" s="35"/>
      <c r="AN517" s="35"/>
      <c r="AO517" s="35"/>
      <c r="AP517" s="35"/>
      <c r="AQ517" s="35"/>
      <c r="AR517" s="35"/>
      <c r="AS517" s="35"/>
      <c r="AT517" s="35"/>
      <c r="AU517" s="35"/>
      <c r="AV517" s="35"/>
      <c r="AW517" s="35"/>
      <c r="AX517" s="35"/>
    </row>
    <row r="518" ht="15.75" customHeight="1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  <c r="AE518" s="35"/>
      <c r="AF518" s="35"/>
      <c r="AG518" s="35"/>
      <c r="AH518" s="35"/>
      <c r="AI518" s="35"/>
      <c r="AJ518" s="35"/>
      <c r="AK518" s="35"/>
      <c r="AL518" s="35"/>
      <c r="AM518" s="35"/>
      <c r="AN518" s="35"/>
      <c r="AO518" s="35"/>
      <c r="AP518" s="35"/>
      <c r="AQ518" s="35"/>
      <c r="AR518" s="35"/>
      <c r="AS518" s="35"/>
      <c r="AT518" s="35"/>
      <c r="AU518" s="35"/>
      <c r="AV518" s="35"/>
      <c r="AW518" s="35"/>
      <c r="AX518" s="35"/>
    </row>
    <row r="519" ht="15.75" customHeight="1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  <c r="AF519" s="35"/>
      <c r="AG519" s="35"/>
      <c r="AH519" s="35"/>
      <c r="AI519" s="35"/>
      <c r="AJ519" s="35"/>
      <c r="AK519" s="35"/>
      <c r="AL519" s="35"/>
      <c r="AM519" s="35"/>
      <c r="AN519" s="35"/>
      <c r="AO519" s="35"/>
      <c r="AP519" s="35"/>
      <c r="AQ519" s="35"/>
      <c r="AR519" s="35"/>
      <c r="AS519" s="35"/>
      <c r="AT519" s="35"/>
      <c r="AU519" s="35"/>
      <c r="AV519" s="35"/>
      <c r="AW519" s="35"/>
      <c r="AX519" s="35"/>
    </row>
    <row r="520" ht="15.75" customHeight="1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  <c r="AF520" s="35"/>
      <c r="AG520" s="35"/>
      <c r="AH520" s="35"/>
      <c r="AI520" s="35"/>
      <c r="AJ520" s="35"/>
      <c r="AK520" s="35"/>
      <c r="AL520" s="35"/>
      <c r="AM520" s="35"/>
      <c r="AN520" s="35"/>
      <c r="AO520" s="35"/>
      <c r="AP520" s="35"/>
      <c r="AQ520" s="35"/>
      <c r="AR520" s="35"/>
      <c r="AS520" s="35"/>
      <c r="AT520" s="35"/>
      <c r="AU520" s="35"/>
      <c r="AV520" s="35"/>
      <c r="AW520" s="35"/>
      <c r="AX520" s="35"/>
    </row>
    <row r="521" ht="15.75" customHeight="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  <c r="AG521" s="35"/>
      <c r="AH521" s="35"/>
      <c r="AI521" s="35"/>
      <c r="AJ521" s="35"/>
      <c r="AK521" s="35"/>
      <c r="AL521" s="35"/>
      <c r="AM521" s="35"/>
      <c r="AN521" s="35"/>
      <c r="AO521" s="35"/>
      <c r="AP521" s="35"/>
      <c r="AQ521" s="35"/>
      <c r="AR521" s="35"/>
      <c r="AS521" s="35"/>
      <c r="AT521" s="35"/>
      <c r="AU521" s="35"/>
      <c r="AV521" s="35"/>
      <c r="AW521" s="35"/>
      <c r="AX521" s="35"/>
    </row>
    <row r="522" ht="15.75" customHeight="1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  <c r="AE522" s="35"/>
      <c r="AF522" s="35"/>
      <c r="AG522" s="35"/>
      <c r="AH522" s="35"/>
      <c r="AI522" s="35"/>
      <c r="AJ522" s="35"/>
      <c r="AK522" s="35"/>
      <c r="AL522" s="35"/>
      <c r="AM522" s="35"/>
      <c r="AN522" s="35"/>
      <c r="AO522" s="35"/>
      <c r="AP522" s="35"/>
      <c r="AQ522" s="35"/>
      <c r="AR522" s="35"/>
      <c r="AS522" s="35"/>
      <c r="AT522" s="35"/>
      <c r="AU522" s="35"/>
      <c r="AV522" s="35"/>
      <c r="AW522" s="35"/>
      <c r="AX522" s="35"/>
    </row>
    <row r="523" ht="15.75" customHeight="1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  <c r="AE523" s="35"/>
      <c r="AF523" s="35"/>
      <c r="AG523" s="35"/>
      <c r="AH523" s="35"/>
      <c r="AI523" s="35"/>
      <c r="AJ523" s="35"/>
      <c r="AK523" s="35"/>
      <c r="AL523" s="35"/>
      <c r="AM523" s="35"/>
      <c r="AN523" s="35"/>
      <c r="AO523" s="35"/>
      <c r="AP523" s="35"/>
      <c r="AQ523" s="35"/>
      <c r="AR523" s="35"/>
      <c r="AS523" s="35"/>
      <c r="AT523" s="35"/>
      <c r="AU523" s="35"/>
      <c r="AV523" s="35"/>
      <c r="AW523" s="35"/>
      <c r="AX523" s="35"/>
    </row>
    <row r="524" ht="15.75" customHeight="1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  <c r="AE524" s="35"/>
      <c r="AF524" s="35"/>
      <c r="AG524" s="35"/>
      <c r="AH524" s="35"/>
      <c r="AI524" s="35"/>
      <c r="AJ524" s="35"/>
      <c r="AK524" s="35"/>
      <c r="AL524" s="35"/>
      <c r="AM524" s="35"/>
      <c r="AN524" s="35"/>
      <c r="AO524" s="35"/>
      <c r="AP524" s="35"/>
      <c r="AQ524" s="35"/>
      <c r="AR524" s="35"/>
      <c r="AS524" s="35"/>
      <c r="AT524" s="35"/>
      <c r="AU524" s="35"/>
      <c r="AV524" s="35"/>
      <c r="AW524" s="35"/>
      <c r="AX524" s="35"/>
    </row>
    <row r="525" ht="15.75" customHeight="1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  <c r="AE525" s="35"/>
      <c r="AF525" s="35"/>
      <c r="AG525" s="35"/>
      <c r="AH525" s="35"/>
      <c r="AI525" s="35"/>
      <c r="AJ525" s="35"/>
      <c r="AK525" s="35"/>
      <c r="AL525" s="35"/>
      <c r="AM525" s="35"/>
      <c r="AN525" s="35"/>
      <c r="AO525" s="35"/>
      <c r="AP525" s="35"/>
      <c r="AQ525" s="35"/>
      <c r="AR525" s="35"/>
      <c r="AS525" s="35"/>
      <c r="AT525" s="35"/>
      <c r="AU525" s="35"/>
      <c r="AV525" s="35"/>
      <c r="AW525" s="35"/>
      <c r="AX525" s="35"/>
    </row>
    <row r="526" ht="15.75" customHeight="1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  <c r="AE526" s="35"/>
      <c r="AF526" s="35"/>
      <c r="AG526" s="35"/>
      <c r="AH526" s="35"/>
      <c r="AI526" s="35"/>
      <c r="AJ526" s="35"/>
      <c r="AK526" s="35"/>
      <c r="AL526" s="35"/>
      <c r="AM526" s="35"/>
      <c r="AN526" s="35"/>
      <c r="AO526" s="35"/>
      <c r="AP526" s="35"/>
      <c r="AQ526" s="35"/>
      <c r="AR526" s="35"/>
      <c r="AS526" s="35"/>
      <c r="AT526" s="35"/>
      <c r="AU526" s="35"/>
      <c r="AV526" s="35"/>
      <c r="AW526" s="35"/>
      <c r="AX526" s="35"/>
    </row>
    <row r="527" ht="15.75" customHeight="1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  <c r="AE527" s="35"/>
      <c r="AF527" s="35"/>
      <c r="AG527" s="35"/>
      <c r="AH527" s="35"/>
      <c r="AI527" s="35"/>
      <c r="AJ527" s="35"/>
      <c r="AK527" s="35"/>
      <c r="AL527" s="35"/>
      <c r="AM527" s="35"/>
      <c r="AN527" s="35"/>
      <c r="AO527" s="35"/>
      <c r="AP527" s="35"/>
      <c r="AQ527" s="35"/>
      <c r="AR527" s="35"/>
      <c r="AS527" s="35"/>
      <c r="AT527" s="35"/>
      <c r="AU527" s="35"/>
      <c r="AV527" s="35"/>
      <c r="AW527" s="35"/>
      <c r="AX527" s="35"/>
    </row>
    <row r="528" ht="15.75" customHeight="1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  <c r="AE528" s="35"/>
      <c r="AF528" s="35"/>
      <c r="AG528" s="35"/>
      <c r="AH528" s="35"/>
      <c r="AI528" s="35"/>
      <c r="AJ528" s="35"/>
      <c r="AK528" s="35"/>
      <c r="AL528" s="35"/>
      <c r="AM528" s="35"/>
      <c r="AN528" s="35"/>
      <c r="AO528" s="35"/>
      <c r="AP528" s="35"/>
      <c r="AQ528" s="35"/>
      <c r="AR528" s="35"/>
      <c r="AS528" s="35"/>
      <c r="AT528" s="35"/>
      <c r="AU528" s="35"/>
      <c r="AV528" s="35"/>
      <c r="AW528" s="35"/>
      <c r="AX528" s="35"/>
    </row>
    <row r="529" ht="15.75" customHeight="1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  <c r="AE529" s="35"/>
      <c r="AF529" s="35"/>
      <c r="AG529" s="35"/>
      <c r="AH529" s="35"/>
      <c r="AI529" s="35"/>
      <c r="AJ529" s="35"/>
      <c r="AK529" s="35"/>
      <c r="AL529" s="35"/>
      <c r="AM529" s="35"/>
      <c r="AN529" s="35"/>
      <c r="AO529" s="35"/>
      <c r="AP529" s="35"/>
      <c r="AQ529" s="35"/>
      <c r="AR529" s="35"/>
      <c r="AS529" s="35"/>
      <c r="AT529" s="35"/>
      <c r="AU529" s="35"/>
      <c r="AV529" s="35"/>
      <c r="AW529" s="35"/>
      <c r="AX529" s="35"/>
    </row>
    <row r="530" ht="15.75" customHeight="1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  <c r="AE530" s="35"/>
      <c r="AF530" s="35"/>
      <c r="AG530" s="35"/>
      <c r="AH530" s="35"/>
      <c r="AI530" s="35"/>
      <c r="AJ530" s="35"/>
      <c r="AK530" s="35"/>
      <c r="AL530" s="35"/>
      <c r="AM530" s="35"/>
      <c r="AN530" s="35"/>
      <c r="AO530" s="35"/>
      <c r="AP530" s="35"/>
      <c r="AQ530" s="35"/>
      <c r="AR530" s="35"/>
      <c r="AS530" s="35"/>
      <c r="AT530" s="35"/>
      <c r="AU530" s="35"/>
      <c r="AV530" s="35"/>
      <c r="AW530" s="35"/>
      <c r="AX530" s="35"/>
    </row>
    <row r="531" ht="15.75" customHeight="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  <c r="AE531" s="35"/>
      <c r="AF531" s="35"/>
      <c r="AG531" s="35"/>
      <c r="AH531" s="35"/>
      <c r="AI531" s="35"/>
      <c r="AJ531" s="35"/>
      <c r="AK531" s="35"/>
      <c r="AL531" s="35"/>
      <c r="AM531" s="35"/>
      <c r="AN531" s="35"/>
      <c r="AO531" s="35"/>
      <c r="AP531" s="35"/>
      <c r="AQ531" s="35"/>
      <c r="AR531" s="35"/>
      <c r="AS531" s="35"/>
      <c r="AT531" s="35"/>
      <c r="AU531" s="35"/>
      <c r="AV531" s="35"/>
      <c r="AW531" s="35"/>
      <c r="AX531" s="35"/>
    </row>
    <row r="532" ht="15.75" customHeight="1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  <c r="AE532" s="35"/>
      <c r="AF532" s="35"/>
      <c r="AG532" s="35"/>
      <c r="AH532" s="35"/>
      <c r="AI532" s="35"/>
      <c r="AJ532" s="35"/>
      <c r="AK532" s="35"/>
      <c r="AL532" s="35"/>
      <c r="AM532" s="35"/>
      <c r="AN532" s="35"/>
      <c r="AO532" s="35"/>
      <c r="AP532" s="35"/>
      <c r="AQ532" s="35"/>
      <c r="AR532" s="35"/>
      <c r="AS532" s="35"/>
      <c r="AT532" s="35"/>
      <c r="AU532" s="35"/>
      <c r="AV532" s="35"/>
      <c r="AW532" s="35"/>
      <c r="AX532" s="35"/>
    </row>
    <row r="533" ht="15.75" customHeight="1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  <c r="AE533" s="35"/>
      <c r="AF533" s="35"/>
      <c r="AG533" s="35"/>
      <c r="AH533" s="35"/>
      <c r="AI533" s="35"/>
      <c r="AJ533" s="35"/>
      <c r="AK533" s="35"/>
      <c r="AL533" s="35"/>
      <c r="AM533" s="35"/>
      <c r="AN533" s="35"/>
      <c r="AO533" s="35"/>
      <c r="AP533" s="35"/>
      <c r="AQ533" s="35"/>
      <c r="AR533" s="35"/>
      <c r="AS533" s="35"/>
      <c r="AT533" s="35"/>
      <c r="AU533" s="35"/>
      <c r="AV533" s="35"/>
      <c r="AW533" s="35"/>
      <c r="AX533" s="35"/>
    </row>
    <row r="534" ht="15.75" customHeight="1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  <c r="AE534" s="35"/>
      <c r="AF534" s="35"/>
      <c r="AG534" s="35"/>
      <c r="AH534" s="35"/>
      <c r="AI534" s="35"/>
      <c r="AJ534" s="35"/>
      <c r="AK534" s="35"/>
      <c r="AL534" s="35"/>
      <c r="AM534" s="35"/>
      <c r="AN534" s="35"/>
      <c r="AO534" s="35"/>
      <c r="AP534" s="35"/>
      <c r="AQ534" s="35"/>
      <c r="AR534" s="35"/>
      <c r="AS534" s="35"/>
      <c r="AT534" s="35"/>
      <c r="AU534" s="35"/>
      <c r="AV534" s="35"/>
      <c r="AW534" s="35"/>
      <c r="AX534" s="35"/>
    </row>
    <row r="535" ht="15.75" customHeight="1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  <c r="AE535" s="35"/>
      <c r="AF535" s="35"/>
      <c r="AG535" s="35"/>
      <c r="AH535" s="35"/>
      <c r="AI535" s="35"/>
      <c r="AJ535" s="35"/>
      <c r="AK535" s="35"/>
      <c r="AL535" s="35"/>
      <c r="AM535" s="35"/>
      <c r="AN535" s="35"/>
      <c r="AO535" s="35"/>
      <c r="AP535" s="35"/>
      <c r="AQ535" s="35"/>
      <c r="AR535" s="35"/>
      <c r="AS535" s="35"/>
      <c r="AT535" s="35"/>
      <c r="AU535" s="35"/>
      <c r="AV535" s="35"/>
      <c r="AW535" s="35"/>
      <c r="AX535" s="35"/>
    </row>
    <row r="536" ht="15.75" customHeight="1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  <c r="AE536" s="35"/>
      <c r="AF536" s="35"/>
      <c r="AG536" s="35"/>
      <c r="AH536" s="35"/>
      <c r="AI536" s="35"/>
      <c r="AJ536" s="35"/>
      <c r="AK536" s="35"/>
      <c r="AL536" s="35"/>
      <c r="AM536" s="35"/>
      <c r="AN536" s="35"/>
      <c r="AO536" s="35"/>
      <c r="AP536" s="35"/>
      <c r="AQ536" s="35"/>
      <c r="AR536" s="35"/>
      <c r="AS536" s="35"/>
      <c r="AT536" s="35"/>
      <c r="AU536" s="35"/>
      <c r="AV536" s="35"/>
      <c r="AW536" s="35"/>
      <c r="AX536" s="35"/>
    </row>
    <row r="537" ht="15.75" customHeight="1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  <c r="AE537" s="35"/>
      <c r="AF537" s="35"/>
      <c r="AG537" s="35"/>
      <c r="AH537" s="35"/>
      <c r="AI537" s="35"/>
      <c r="AJ537" s="35"/>
      <c r="AK537" s="35"/>
      <c r="AL537" s="35"/>
      <c r="AM537" s="35"/>
      <c r="AN537" s="35"/>
      <c r="AO537" s="35"/>
      <c r="AP537" s="35"/>
      <c r="AQ537" s="35"/>
      <c r="AR537" s="35"/>
      <c r="AS537" s="35"/>
      <c r="AT537" s="35"/>
      <c r="AU537" s="35"/>
      <c r="AV537" s="35"/>
      <c r="AW537" s="35"/>
      <c r="AX537" s="35"/>
    </row>
    <row r="538" ht="15.75" customHeight="1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  <c r="AE538" s="35"/>
      <c r="AF538" s="35"/>
      <c r="AG538" s="35"/>
      <c r="AH538" s="35"/>
      <c r="AI538" s="35"/>
      <c r="AJ538" s="35"/>
      <c r="AK538" s="35"/>
      <c r="AL538" s="35"/>
      <c r="AM538" s="35"/>
      <c r="AN538" s="35"/>
      <c r="AO538" s="35"/>
      <c r="AP538" s="35"/>
      <c r="AQ538" s="35"/>
      <c r="AR538" s="35"/>
      <c r="AS538" s="35"/>
      <c r="AT538" s="35"/>
      <c r="AU538" s="35"/>
      <c r="AV538" s="35"/>
      <c r="AW538" s="35"/>
      <c r="AX538" s="35"/>
    </row>
    <row r="539" ht="15.75" customHeight="1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  <c r="AE539" s="35"/>
      <c r="AF539" s="35"/>
      <c r="AG539" s="35"/>
      <c r="AH539" s="35"/>
      <c r="AI539" s="35"/>
      <c r="AJ539" s="35"/>
      <c r="AK539" s="35"/>
      <c r="AL539" s="35"/>
      <c r="AM539" s="35"/>
      <c r="AN539" s="35"/>
      <c r="AO539" s="35"/>
      <c r="AP539" s="35"/>
      <c r="AQ539" s="35"/>
      <c r="AR539" s="35"/>
      <c r="AS539" s="35"/>
      <c r="AT539" s="35"/>
      <c r="AU539" s="35"/>
      <c r="AV539" s="35"/>
      <c r="AW539" s="35"/>
      <c r="AX539" s="35"/>
    </row>
    <row r="540" ht="15.75" customHeight="1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  <c r="AE540" s="35"/>
      <c r="AF540" s="35"/>
      <c r="AG540" s="35"/>
      <c r="AH540" s="35"/>
      <c r="AI540" s="35"/>
      <c r="AJ540" s="35"/>
      <c r="AK540" s="35"/>
      <c r="AL540" s="35"/>
      <c r="AM540" s="35"/>
      <c r="AN540" s="35"/>
      <c r="AO540" s="35"/>
      <c r="AP540" s="35"/>
      <c r="AQ540" s="35"/>
      <c r="AR540" s="35"/>
      <c r="AS540" s="35"/>
      <c r="AT540" s="35"/>
      <c r="AU540" s="35"/>
      <c r="AV540" s="35"/>
      <c r="AW540" s="35"/>
      <c r="AX540" s="35"/>
    </row>
    <row r="541" ht="15.75" customHeight="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  <c r="AE541" s="35"/>
      <c r="AF541" s="35"/>
      <c r="AG541" s="35"/>
      <c r="AH541" s="35"/>
      <c r="AI541" s="35"/>
      <c r="AJ541" s="35"/>
      <c r="AK541" s="35"/>
      <c r="AL541" s="35"/>
      <c r="AM541" s="35"/>
      <c r="AN541" s="35"/>
      <c r="AO541" s="35"/>
      <c r="AP541" s="35"/>
      <c r="AQ541" s="35"/>
      <c r="AR541" s="35"/>
      <c r="AS541" s="35"/>
      <c r="AT541" s="35"/>
      <c r="AU541" s="35"/>
      <c r="AV541" s="35"/>
      <c r="AW541" s="35"/>
      <c r="AX541" s="35"/>
    </row>
    <row r="542" ht="15.75" customHeight="1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  <c r="AE542" s="35"/>
      <c r="AF542" s="35"/>
      <c r="AG542" s="35"/>
      <c r="AH542" s="35"/>
      <c r="AI542" s="35"/>
      <c r="AJ542" s="35"/>
      <c r="AK542" s="35"/>
      <c r="AL542" s="35"/>
      <c r="AM542" s="35"/>
      <c r="AN542" s="35"/>
      <c r="AO542" s="35"/>
      <c r="AP542" s="35"/>
      <c r="AQ542" s="35"/>
      <c r="AR542" s="35"/>
      <c r="AS542" s="35"/>
      <c r="AT542" s="35"/>
      <c r="AU542" s="35"/>
      <c r="AV542" s="35"/>
      <c r="AW542" s="35"/>
      <c r="AX542" s="35"/>
    </row>
    <row r="543" ht="15.75" customHeight="1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  <c r="AE543" s="35"/>
      <c r="AF543" s="35"/>
      <c r="AG543" s="35"/>
      <c r="AH543" s="35"/>
      <c r="AI543" s="35"/>
      <c r="AJ543" s="35"/>
      <c r="AK543" s="35"/>
      <c r="AL543" s="35"/>
      <c r="AM543" s="35"/>
      <c r="AN543" s="35"/>
      <c r="AO543" s="35"/>
      <c r="AP543" s="35"/>
      <c r="AQ543" s="35"/>
      <c r="AR543" s="35"/>
      <c r="AS543" s="35"/>
      <c r="AT543" s="35"/>
      <c r="AU543" s="35"/>
      <c r="AV543" s="35"/>
      <c r="AW543" s="35"/>
      <c r="AX543" s="35"/>
    </row>
    <row r="544" ht="15.75" customHeight="1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  <c r="AE544" s="35"/>
      <c r="AF544" s="35"/>
      <c r="AG544" s="35"/>
      <c r="AH544" s="35"/>
      <c r="AI544" s="35"/>
      <c r="AJ544" s="35"/>
      <c r="AK544" s="35"/>
      <c r="AL544" s="35"/>
      <c r="AM544" s="35"/>
      <c r="AN544" s="35"/>
      <c r="AO544" s="35"/>
      <c r="AP544" s="35"/>
      <c r="AQ544" s="35"/>
      <c r="AR544" s="35"/>
      <c r="AS544" s="35"/>
      <c r="AT544" s="35"/>
      <c r="AU544" s="35"/>
      <c r="AV544" s="35"/>
      <c r="AW544" s="35"/>
      <c r="AX544" s="35"/>
    </row>
    <row r="545" ht="15.75" customHeight="1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  <c r="AE545" s="35"/>
      <c r="AF545" s="35"/>
      <c r="AG545" s="35"/>
      <c r="AH545" s="35"/>
      <c r="AI545" s="35"/>
      <c r="AJ545" s="35"/>
      <c r="AK545" s="35"/>
      <c r="AL545" s="35"/>
      <c r="AM545" s="35"/>
      <c r="AN545" s="35"/>
      <c r="AO545" s="35"/>
      <c r="AP545" s="35"/>
      <c r="AQ545" s="35"/>
      <c r="AR545" s="35"/>
      <c r="AS545" s="35"/>
      <c r="AT545" s="35"/>
      <c r="AU545" s="35"/>
      <c r="AV545" s="35"/>
      <c r="AW545" s="35"/>
      <c r="AX545" s="35"/>
    </row>
    <row r="546" ht="15.75" customHeight="1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  <c r="AF546" s="35"/>
      <c r="AG546" s="35"/>
      <c r="AH546" s="35"/>
      <c r="AI546" s="35"/>
      <c r="AJ546" s="35"/>
      <c r="AK546" s="35"/>
      <c r="AL546" s="35"/>
      <c r="AM546" s="35"/>
      <c r="AN546" s="35"/>
      <c r="AO546" s="35"/>
      <c r="AP546" s="35"/>
      <c r="AQ546" s="35"/>
      <c r="AR546" s="35"/>
      <c r="AS546" s="35"/>
      <c r="AT546" s="35"/>
      <c r="AU546" s="35"/>
      <c r="AV546" s="35"/>
      <c r="AW546" s="35"/>
      <c r="AX546" s="35"/>
    </row>
    <row r="547" ht="15.75" customHeight="1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  <c r="AE547" s="35"/>
      <c r="AF547" s="35"/>
      <c r="AG547" s="35"/>
      <c r="AH547" s="35"/>
      <c r="AI547" s="35"/>
      <c r="AJ547" s="35"/>
      <c r="AK547" s="35"/>
      <c r="AL547" s="35"/>
      <c r="AM547" s="35"/>
      <c r="AN547" s="35"/>
      <c r="AO547" s="35"/>
      <c r="AP547" s="35"/>
      <c r="AQ547" s="35"/>
      <c r="AR547" s="35"/>
      <c r="AS547" s="35"/>
      <c r="AT547" s="35"/>
      <c r="AU547" s="35"/>
      <c r="AV547" s="35"/>
      <c r="AW547" s="35"/>
      <c r="AX547" s="35"/>
    </row>
    <row r="548" ht="15.75" customHeight="1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  <c r="AE548" s="35"/>
      <c r="AF548" s="35"/>
      <c r="AG548" s="35"/>
      <c r="AH548" s="35"/>
      <c r="AI548" s="35"/>
      <c r="AJ548" s="35"/>
      <c r="AK548" s="35"/>
      <c r="AL548" s="35"/>
      <c r="AM548" s="35"/>
      <c r="AN548" s="35"/>
      <c r="AO548" s="35"/>
      <c r="AP548" s="35"/>
      <c r="AQ548" s="35"/>
      <c r="AR548" s="35"/>
      <c r="AS548" s="35"/>
      <c r="AT548" s="35"/>
      <c r="AU548" s="35"/>
      <c r="AV548" s="35"/>
      <c r="AW548" s="35"/>
      <c r="AX548" s="35"/>
    </row>
    <row r="549" ht="15.75" customHeight="1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  <c r="AE549" s="35"/>
      <c r="AF549" s="35"/>
      <c r="AG549" s="35"/>
      <c r="AH549" s="35"/>
      <c r="AI549" s="35"/>
      <c r="AJ549" s="35"/>
      <c r="AK549" s="35"/>
      <c r="AL549" s="35"/>
      <c r="AM549" s="35"/>
      <c r="AN549" s="35"/>
      <c r="AO549" s="35"/>
      <c r="AP549" s="35"/>
      <c r="AQ549" s="35"/>
      <c r="AR549" s="35"/>
      <c r="AS549" s="35"/>
      <c r="AT549" s="35"/>
      <c r="AU549" s="35"/>
      <c r="AV549" s="35"/>
      <c r="AW549" s="35"/>
      <c r="AX549" s="35"/>
    </row>
    <row r="550" ht="15.75" customHeight="1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  <c r="AE550" s="35"/>
      <c r="AF550" s="35"/>
      <c r="AG550" s="35"/>
      <c r="AH550" s="35"/>
      <c r="AI550" s="35"/>
      <c r="AJ550" s="35"/>
      <c r="AK550" s="35"/>
      <c r="AL550" s="35"/>
      <c r="AM550" s="35"/>
      <c r="AN550" s="35"/>
      <c r="AO550" s="35"/>
      <c r="AP550" s="35"/>
      <c r="AQ550" s="35"/>
      <c r="AR550" s="35"/>
      <c r="AS550" s="35"/>
      <c r="AT550" s="35"/>
      <c r="AU550" s="35"/>
      <c r="AV550" s="35"/>
      <c r="AW550" s="35"/>
      <c r="AX550" s="35"/>
    </row>
    <row r="551" ht="15.75" customHeight="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  <c r="AE551" s="35"/>
      <c r="AF551" s="35"/>
      <c r="AG551" s="35"/>
      <c r="AH551" s="35"/>
      <c r="AI551" s="35"/>
      <c r="AJ551" s="35"/>
      <c r="AK551" s="35"/>
      <c r="AL551" s="35"/>
      <c r="AM551" s="35"/>
      <c r="AN551" s="35"/>
      <c r="AO551" s="35"/>
      <c r="AP551" s="35"/>
      <c r="AQ551" s="35"/>
      <c r="AR551" s="35"/>
      <c r="AS551" s="35"/>
      <c r="AT551" s="35"/>
      <c r="AU551" s="35"/>
      <c r="AV551" s="35"/>
      <c r="AW551" s="35"/>
      <c r="AX551" s="35"/>
    </row>
    <row r="552" ht="15.75" customHeight="1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  <c r="AE552" s="35"/>
      <c r="AF552" s="35"/>
      <c r="AG552" s="35"/>
      <c r="AH552" s="35"/>
      <c r="AI552" s="35"/>
      <c r="AJ552" s="35"/>
      <c r="AK552" s="35"/>
      <c r="AL552" s="35"/>
      <c r="AM552" s="35"/>
      <c r="AN552" s="35"/>
      <c r="AO552" s="35"/>
      <c r="AP552" s="35"/>
      <c r="AQ552" s="35"/>
      <c r="AR552" s="35"/>
      <c r="AS552" s="35"/>
      <c r="AT552" s="35"/>
      <c r="AU552" s="35"/>
      <c r="AV552" s="35"/>
      <c r="AW552" s="35"/>
      <c r="AX552" s="35"/>
    </row>
    <row r="553" ht="15.75" customHeight="1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  <c r="AE553" s="35"/>
      <c r="AF553" s="35"/>
      <c r="AG553" s="35"/>
      <c r="AH553" s="35"/>
      <c r="AI553" s="35"/>
      <c r="AJ553" s="35"/>
      <c r="AK553" s="35"/>
      <c r="AL553" s="35"/>
      <c r="AM553" s="35"/>
      <c r="AN553" s="35"/>
      <c r="AO553" s="35"/>
      <c r="AP553" s="35"/>
      <c r="AQ553" s="35"/>
      <c r="AR553" s="35"/>
      <c r="AS553" s="35"/>
      <c r="AT553" s="35"/>
      <c r="AU553" s="35"/>
      <c r="AV553" s="35"/>
      <c r="AW553" s="35"/>
      <c r="AX553" s="35"/>
    </row>
    <row r="554" ht="15.75" customHeight="1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  <c r="AE554" s="35"/>
      <c r="AF554" s="35"/>
      <c r="AG554" s="35"/>
      <c r="AH554" s="35"/>
      <c r="AI554" s="35"/>
      <c r="AJ554" s="35"/>
      <c r="AK554" s="35"/>
      <c r="AL554" s="35"/>
      <c r="AM554" s="35"/>
      <c r="AN554" s="35"/>
      <c r="AO554" s="35"/>
      <c r="AP554" s="35"/>
      <c r="AQ554" s="35"/>
      <c r="AR554" s="35"/>
      <c r="AS554" s="35"/>
      <c r="AT554" s="35"/>
      <c r="AU554" s="35"/>
      <c r="AV554" s="35"/>
      <c r="AW554" s="35"/>
      <c r="AX554" s="35"/>
    </row>
    <row r="555" ht="15.75" customHeight="1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  <c r="AE555" s="35"/>
      <c r="AF555" s="35"/>
      <c r="AG555" s="35"/>
      <c r="AH555" s="35"/>
      <c r="AI555" s="35"/>
      <c r="AJ555" s="35"/>
      <c r="AK555" s="35"/>
      <c r="AL555" s="35"/>
      <c r="AM555" s="35"/>
      <c r="AN555" s="35"/>
      <c r="AO555" s="35"/>
      <c r="AP555" s="35"/>
      <c r="AQ555" s="35"/>
      <c r="AR555" s="35"/>
      <c r="AS555" s="35"/>
      <c r="AT555" s="35"/>
      <c r="AU555" s="35"/>
      <c r="AV555" s="35"/>
      <c r="AW555" s="35"/>
      <c r="AX555" s="35"/>
    </row>
    <row r="556" ht="15.75" customHeight="1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  <c r="AE556" s="35"/>
      <c r="AF556" s="35"/>
      <c r="AG556" s="35"/>
      <c r="AH556" s="35"/>
      <c r="AI556" s="35"/>
      <c r="AJ556" s="35"/>
      <c r="AK556" s="35"/>
      <c r="AL556" s="35"/>
      <c r="AM556" s="35"/>
      <c r="AN556" s="35"/>
      <c r="AO556" s="35"/>
      <c r="AP556" s="35"/>
      <c r="AQ556" s="35"/>
      <c r="AR556" s="35"/>
      <c r="AS556" s="35"/>
      <c r="AT556" s="35"/>
      <c r="AU556" s="35"/>
      <c r="AV556" s="35"/>
      <c r="AW556" s="35"/>
      <c r="AX556" s="35"/>
    </row>
    <row r="557" ht="15.75" customHeight="1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  <c r="AE557" s="35"/>
      <c r="AF557" s="35"/>
      <c r="AG557" s="35"/>
      <c r="AH557" s="35"/>
      <c r="AI557" s="35"/>
      <c r="AJ557" s="35"/>
      <c r="AK557" s="35"/>
      <c r="AL557" s="35"/>
      <c r="AM557" s="35"/>
      <c r="AN557" s="35"/>
      <c r="AO557" s="35"/>
      <c r="AP557" s="35"/>
      <c r="AQ557" s="35"/>
      <c r="AR557" s="35"/>
      <c r="AS557" s="35"/>
      <c r="AT557" s="35"/>
      <c r="AU557" s="35"/>
      <c r="AV557" s="35"/>
      <c r="AW557" s="35"/>
      <c r="AX557" s="35"/>
    </row>
    <row r="558" ht="15.75" customHeight="1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  <c r="AE558" s="35"/>
      <c r="AF558" s="35"/>
      <c r="AG558" s="35"/>
      <c r="AH558" s="35"/>
      <c r="AI558" s="35"/>
      <c r="AJ558" s="35"/>
      <c r="AK558" s="35"/>
      <c r="AL558" s="35"/>
      <c r="AM558" s="35"/>
      <c r="AN558" s="35"/>
      <c r="AO558" s="35"/>
      <c r="AP558" s="35"/>
      <c r="AQ558" s="35"/>
      <c r="AR558" s="35"/>
      <c r="AS558" s="35"/>
      <c r="AT558" s="35"/>
      <c r="AU558" s="35"/>
      <c r="AV558" s="35"/>
      <c r="AW558" s="35"/>
      <c r="AX558" s="35"/>
    </row>
    <row r="559" ht="15.75" customHeight="1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  <c r="AE559" s="35"/>
      <c r="AF559" s="35"/>
      <c r="AG559" s="35"/>
      <c r="AH559" s="35"/>
      <c r="AI559" s="35"/>
      <c r="AJ559" s="35"/>
      <c r="AK559" s="35"/>
      <c r="AL559" s="35"/>
      <c r="AM559" s="35"/>
      <c r="AN559" s="35"/>
      <c r="AO559" s="35"/>
      <c r="AP559" s="35"/>
      <c r="AQ559" s="35"/>
      <c r="AR559" s="35"/>
      <c r="AS559" s="35"/>
      <c r="AT559" s="35"/>
      <c r="AU559" s="35"/>
      <c r="AV559" s="35"/>
      <c r="AW559" s="35"/>
      <c r="AX559" s="35"/>
    </row>
    <row r="560" ht="15.75" customHeight="1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  <c r="AE560" s="35"/>
      <c r="AF560" s="35"/>
      <c r="AG560" s="35"/>
      <c r="AH560" s="35"/>
      <c r="AI560" s="35"/>
      <c r="AJ560" s="35"/>
      <c r="AK560" s="35"/>
      <c r="AL560" s="35"/>
      <c r="AM560" s="35"/>
      <c r="AN560" s="35"/>
      <c r="AO560" s="35"/>
      <c r="AP560" s="35"/>
      <c r="AQ560" s="35"/>
      <c r="AR560" s="35"/>
      <c r="AS560" s="35"/>
      <c r="AT560" s="35"/>
      <c r="AU560" s="35"/>
      <c r="AV560" s="35"/>
      <c r="AW560" s="35"/>
      <c r="AX560" s="35"/>
    </row>
    <row r="561" ht="15.75" customHeight="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  <c r="AE561" s="35"/>
      <c r="AF561" s="35"/>
      <c r="AG561" s="35"/>
      <c r="AH561" s="35"/>
      <c r="AI561" s="35"/>
      <c r="AJ561" s="35"/>
      <c r="AK561" s="35"/>
      <c r="AL561" s="35"/>
      <c r="AM561" s="35"/>
      <c r="AN561" s="35"/>
      <c r="AO561" s="35"/>
      <c r="AP561" s="35"/>
      <c r="AQ561" s="35"/>
      <c r="AR561" s="35"/>
      <c r="AS561" s="35"/>
      <c r="AT561" s="35"/>
      <c r="AU561" s="35"/>
      <c r="AV561" s="35"/>
      <c r="AW561" s="35"/>
      <c r="AX561" s="35"/>
    </row>
    <row r="562" ht="15.75" customHeight="1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  <c r="AE562" s="35"/>
      <c r="AF562" s="35"/>
      <c r="AG562" s="35"/>
      <c r="AH562" s="35"/>
      <c r="AI562" s="35"/>
      <c r="AJ562" s="35"/>
      <c r="AK562" s="35"/>
      <c r="AL562" s="35"/>
      <c r="AM562" s="35"/>
      <c r="AN562" s="35"/>
      <c r="AO562" s="35"/>
      <c r="AP562" s="35"/>
      <c r="AQ562" s="35"/>
      <c r="AR562" s="35"/>
      <c r="AS562" s="35"/>
      <c r="AT562" s="35"/>
      <c r="AU562" s="35"/>
      <c r="AV562" s="35"/>
      <c r="AW562" s="35"/>
      <c r="AX562" s="35"/>
    </row>
    <row r="563" ht="15.75" customHeight="1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  <c r="AE563" s="35"/>
      <c r="AF563" s="35"/>
      <c r="AG563" s="35"/>
      <c r="AH563" s="35"/>
      <c r="AI563" s="35"/>
      <c r="AJ563" s="35"/>
      <c r="AK563" s="35"/>
      <c r="AL563" s="35"/>
      <c r="AM563" s="35"/>
      <c r="AN563" s="35"/>
      <c r="AO563" s="35"/>
      <c r="AP563" s="35"/>
      <c r="AQ563" s="35"/>
      <c r="AR563" s="35"/>
      <c r="AS563" s="35"/>
      <c r="AT563" s="35"/>
      <c r="AU563" s="35"/>
      <c r="AV563" s="35"/>
      <c r="AW563" s="35"/>
      <c r="AX563" s="35"/>
    </row>
    <row r="564" ht="15.75" customHeight="1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5"/>
      <c r="AE564" s="35"/>
      <c r="AF564" s="35"/>
      <c r="AG564" s="35"/>
      <c r="AH564" s="35"/>
      <c r="AI564" s="35"/>
      <c r="AJ564" s="35"/>
      <c r="AK564" s="35"/>
      <c r="AL564" s="35"/>
      <c r="AM564" s="35"/>
      <c r="AN564" s="35"/>
      <c r="AO564" s="35"/>
      <c r="AP564" s="35"/>
      <c r="AQ564" s="35"/>
      <c r="AR564" s="35"/>
      <c r="AS564" s="35"/>
      <c r="AT564" s="35"/>
      <c r="AU564" s="35"/>
      <c r="AV564" s="35"/>
      <c r="AW564" s="35"/>
      <c r="AX564" s="35"/>
    </row>
    <row r="565" ht="15.75" customHeight="1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  <c r="AE565" s="35"/>
      <c r="AF565" s="35"/>
      <c r="AG565" s="35"/>
      <c r="AH565" s="35"/>
      <c r="AI565" s="35"/>
      <c r="AJ565" s="35"/>
      <c r="AK565" s="35"/>
      <c r="AL565" s="35"/>
      <c r="AM565" s="35"/>
      <c r="AN565" s="35"/>
      <c r="AO565" s="35"/>
      <c r="AP565" s="35"/>
      <c r="AQ565" s="35"/>
      <c r="AR565" s="35"/>
      <c r="AS565" s="35"/>
      <c r="AT565" s="35"/>
      <c r="AU565" s="35"/>
      <c r="AV565" s="35"/>
      <c r="AW565" s="35"/>
      <c r="AX565" s="35"/>
    </row>
    <row r="566" ht="15.75" customHeight="1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  <c r="AE566" s="35"/>
      <c r="AF566" s="35"/>
      <c r="AG566" s="35"/>
      <c r="AH566" s="35"/>
      <c r="AI566" s="35"/>
      <c r="AJ566" s="35"/>
      <c r="AK566" s="35"/>
      <c r="AL566" s="35"/>
      <c r="AM566" s="35"/>
      <c r="AN566" s="35"/>
      <c r="AO566" s="35"/>
      <c r="AP566" s="35"/>
      <c r="AQ566" s="35"/>
      <c r="AR566" s="35"/>
      <c r="AS566" s="35"/>
      <c r="AT566" s="35"/>
      <c r="AU566" s="35"/>
      <c r="AV566" s="35"/>
      <c r="AW566" s="35"/>
      <c r="AX566" s="35"/>
    </row>
    <row r="567" ht="15.75" customHeight="1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  <c r="AE567" s="35"/>
      <c r="AF567" s="35"/>
      <c r="AG567" s="35"/>
      <c r="AH567" s="35"/>
      <c r="AI567" s="35"/>
      <c r="AJ567" s="35"/>
      <c r="AK567" s="35"/>
      <c r="AL567" s="35"/>
      <c r="AM567" s="35"/>
      <c r="AN567" s="35"/>
      <c r="AO567" s="35"/>
      <c r="AP567" s="35"/>
      <c r="AQ567" s="35"/>
      <c r="AR567" s="35"/>
      <c r="AS567" s="35"/>
      <c r="AT567" s="35"/>
      <c r="AU567" s="35"/>
      <c r="AV567" s="35"/>
      <c r="AW567" s="35"/>
      <c r="AX567" s="35"/>
    </row>
    <row r="568" ht="15.75" customHeight="1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5"/>
      <c r="AE568" s="35"/>
      <c r="AF568" s="35"/>
      <c r="AG568" s="35"/>
      <c r="AH568" s="35"/>
      <c r="AI568" s="35"/>
      <c r="AJ568" s="35"/>
      <c r="AK568" s="35"/>
      <c r="AL568" s="35"/>
      <c r="AM568" s="35"/>
      <c r="AN568" s="35"/>
      <c r="AO568" s="35"/>
      <c r="AP568" s="35"/>
      <c r="AQ568" s="35"/>
      <c r="AR568" s="35"/>
      <c r="AS568" s="35"/>
      <c r="AT568" s="35"/>
      <c r="AU568" s="35"/>
      <c r="AV568" s="35"/>
      <c r="AW568" s="35"/>
      <c r="AX568" s="35"/>
    </row>
    <row r="569" ht="15.75" customHeight="1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5"/>
      <c r="AE569" s="35"/>
      <c r="AF569" s="35"/>
      <c r="AG569" s="35"/>
      <c r="AH569" s="35"/>
      <c r="AI569" s="35"/>
      <c r="AJ569" s="35"/>
      <c r="AK569" s="35"/>
      <c r="AL569" s="35"/>
      <c r="AM569" s="35"/>
      <c r="AN569" s="35"/>
      <c r="AO569" s="35"/>
      <c r="AP569" s="35"/>
      <c r="AQ569" s="35"/>
      <c r="AR569" s="35"/>
      <c r="AS569" s="35"/>
      <c r="AT569" s="35"/>
      <c r="AU569" s="35"/>
      <c r="AV569" s="35"/>
      <c r="AW569" s="35"/>
      <c r="AX569" s="35"/>
    </row>
    <row r="570" ht="15.75" customHeight="1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  <c r="AE570" s="35"/>
      <c r="AF570" s="35"/>
      <c r="AG570" s="35"/>
      <c r="AH570" s="35"/>
      <c r="AI570" s="35"/>
      <c r="AJ570" s="35"/>
      <c r="AK570" s="35"/>
      <c r="AL570" s="35"/>
      <c r="AM570" s="35"/>
      <c r="AN570" s="35"/>
      <c r="AO570" s="35"/>
      <c r="AP570" s="35"/>
      <c r="AQ570" s="35"/>
      <c r="AR570" s="35"/>
      <c r="AS570" s="35"/>
      <c r="AT570" s="35"/>
      <c r="AU570" s="35"/>
      <c r="AV570" s="35"/>
      <c r="AW570" s="35"/>
      <c r="AX570" s="35"/>
    </row>
    <row r="571" ht="15.75" customHeight="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  <c r="AE571" s="35"/>
      <c r="AF571" s="35"/>
      <c r="AG571" s="35"/>
      <c r="AH571" s="35"/>
      <c r="AI571" s="35"/>
      <c r="AJ571" s="35"/>
      <c r="AK571" s="35"/>
      <c r="AL571" s="35"/>
      <c r="AM571" s="35"/>
      <c r="AN571" s="35"/>
      <c r="AO571" s="35"/>
      <c r="AP571" s="35"/>
      <c r="AQ571" s="35"/>
      <c r="AR571" s="35"/>
      <c r="AS571" s="35"/>
      <c r="AT571" s="35"/>
      <c r="AU571" s="35"/>
      <c r="AV571" s="35"/>
      <c r="AW571" s="35"/>
      <c r="AX571" s="35"/>
    </row>
    <row r="572" ht="15.75" customHeight="1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  <c r="AE572" s="35"/>
      <c r="AF572" s="35"/>
      <c r="AG572" s="35"/>
      <c r="AH572" s="35"/>
      <c r="AI572" s="35"/>
      <c r="AJ572" s="35"/>
      <c r="AK572" s="35"/>
      <c r="AL572" s="35"/>
      <c r="AM572" s="35"/>
      <c r="AN572" s="35"/>
      <c r="AO572" s="35"/>
      <c r="AP572" s="35"/>
      <c r="AQ572" s="35"/>
      <c r="AR572" s="35"/>
      <c r="AS572" s="35"/>
      <c r="AT572" s="35"/>
      <c r="AU572" s="35"/>
      <c r="AV572" s="35"/>
      <c r="AW572" s="35"/>
      <c r="AX572" s="35"/>
    </row>
    <row r="573" ht="15.75" customHeight="1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  <c r="AE573" s="35"/>
      <c r="AF573" s="35"/>
      <c r="AG573" s="35"/>
      <c r="AH573" s="35"/>
      <c r="AI573" s="35"/>
      <c r="AJ573" s="35"/>
      <c r="AK573" s="35"/>
      <c r="AL573" s="35"/>
      <c r="AM573" s="35"/>
      <c r="AN573" s="35"/>
      <c r="AO573" s="35"/>
      <c r="AP573" s="35"/>
      <c r="AQ573" s="35"/>
      <c r="AR573" s="35"/>
      <c r="AS573" s="35"/>
      <c r="AT573" s="35"/>
      <c r="AU573" s="35"/>
      <c r="AV573" s="35"/>
      <c r="AW573" s="35"/>
      <c r="AX573" s="35"/>
    </row>
    <row r="574" ht="15.75" customHeight="1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  <c r="AE574" s="35"/>
      <c r="AF574" s="35"/>
      <c r="AG574" s="35"/>
      <c r="AH574" s="35"/>
      <c r="AI574" s="35"/>
      <c r="AJ574" s="35"/>
      <c r="AK574" s="35"/>
      <c r="AL574" s="35"/>
      <c r="AM574" s="35"/>
      <c r="AN574" s="35"/>
      <c r="AO574" s="35"/>
      <c r="AP574" s="35"/>
      <c r="AQ574" s="35"/>
      <c r="AR574" s="35"/>
      <c r="AS574" s="35"/>
      <c r="AT574" s="35"/>
      <c r="AU574" s="35"/>
      <c r="AV574" s="35"/>
      <c r="AW574" s="35"/>
      <c r="AX574" s="35"/>
    </row>
    <row r="575" ht="15.75" customHeight="1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  <c r="AE575" s="35"/>
      <c r="AF575" s="35"/>
      <c r="AG575" s="35"/>
      <c r="AH575" s="35"/>
      <c r="AI575" s="35"/>
      <c r="AJ575" s="35"/>
      <c r="AK575" s="35"/>
      <c r="AL575" s="35"/>
      <c r="AM575" s="35"/>
      <c r="AN575" s="35"/>
      <c r="AO575" s="35"/>
      <c r="AP575" s="35"/>
      <c r="AQ575" s="35"/>
      <c r="AR575" s="35"/>
      <c r="AS575" s="35"/>
      <c r="AT575" s="35"/>
      <c r="AU575" s="35"/>
      <c r="AV575" s="35"/>
      <c r="AW575" s="35"/>
      <c r="AX575" s="35"/>
    </row>
    <row r="576" ht="15.75" customHeight="1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  <c r="AE576" s="35"/>
      <c r="AF576" s="35"/>
      <c r="AG576" s="35"/>
      <c r="AH576" s="35"/>
      <c r="AI576" s="35"/>
      <c r="AJ576" s="35"/>
      <c r="AK576" s="35"/>
      <c r="AL576" s="35"/>
      <c r="AM576" s="35"/>
      <c r="AN576" s="35"/>
      <c r="AO576" s="35"/>
      <c r="AP576" s="35"/>
      <c r="AQ576" s="35"/>
      <c r="AR576" s="35"/>
      <c r="AS576" s="35"/>
      <c r="AT576" s="35"/>
      <c r="AU576" s="35"/>
      <c r="AV576" s="35"/>
      <c r="AW576" s="35"/>
      <c r="AX576" s="35"/>
    </row>
    <row r="577" ht="15.75" customHeight="1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  <c r="AE577" s="35"/>
      <c r="AF577" s="35"/>
      <c r="AG577" s="35"/>
      <c r="AH577" s="35"/>
      <c r="AI577" s="35"/>
      <c r="AJ577" s="35"/>
      <c r="AK577" s="35"/>
      <c r="AL577" s="35"/>
      <c r="AM577" s="35"/>
      <c r="AN577" s="35"/>
      <c r="AO577" s="35"/>
      <c r="AP577" s="35"/>
      <c r="AQ577" s="35"/>
      <c r="AR577" s="35"/>
      <c r="AS577" s="35"/>
      <c r="AT577" s="35"/>
      <c r="AU577" s="35"/>
      <c r="AV577" s="35"/>
      <c r="AW577" s="35"/>
      <c r="AX577" s="35"/>
    </row>
    <row r="578" ht="15.75" customHeight="1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  <c r="AE578" s="35"/>
      <c r="AF578" s="35"/>
      <c r="AG578" s="35"/>
      <c r="AH578" s="35"/>
      <c r="AI578" s="35"/>
      <c r="AJ578" s="35"/>
      <c r="AK578" s="35"/>
      <c r="AL578" s="35"/>
      <c r="AM578" s="35"/>
      <c r="AN578" s="35"/>
      <c r="AO578" s="35"/>
      <c r="AP578" s="35"/>
      <c r="AQ578" s="35"/>
      <c r="AR578" s="35"/>
      <c r="AS578" s="35"/>
      <c r="AT578" s="35"/>
      <c r="AU578" s="35"/>
      <c r="AV578" s="35"/>
      <c r="AW578" s="35"/>
      <c r="AX578" s="35"/>
    </row>
    <row r="579" ht="15.75" customHeight="1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  <c r="AE579" s="35"/>
      <c r="AF579" s="35"/>
      <c r="AG579" s="35"/>
      <c r="AH579" s="35"/>
      <c r="AI579" s="35"/>
      <c r="AJ579" s="35"/>
      <c r="AK579" s="35"/>
      <c r="AL579" s="35"/>
      <c r="AM579" s="35"/>
      <c r="AN579" s="35"/>
      <c r="AO579" s="35"/>
      <c r="AP579" s="35"/>
      <c r="AQ579" s="35"/>
      <c r="AR579" s="35"/>
      <c r="AS579" s="35"/>
      <c r="AT579" s="35"/>
      <c r="AU579" s="35"/>
      <c r="AV579" s="35"/>
      <c r="AW579" s="35"/>
      <c r="AX579" s="35"/>
    </row>
    <row r="580" ht="15.75" customHeight="1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  <c r="AE580" s="35"/>
      <c r="AF580" s="35"/>
      <c r="AG580" s="35"/>
      <c r="AH580" s="35"/>
      <c r="AI580" s="35"/>
      <c r="AJ580" s="35"/>
      <c r="AK580" s="35"/>
      <c r="AL580" s="35"/>
      <c r="AM580" s="35"/>
      <c r="AN580" s="35"/>
      <c r="AO580" s="35"/>
      <c r="AP580" s="35"/>
      <c r="AQ580" s="35"/>
      <c r="AR580" s="35"/>
      <c r="AS580" s="35"/>
      <c r="AT580" s="35"/>
      <c r="AU580" s="35"/>
      <c r="AV580" s="35"/>
      <c r="AW580" s="35"/>
      <c r="AX580" s="35"/>
    </row>
    <row r="581" ht="15.75" customHeight="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  <c r="AE581" s="35"/>
      <c r="AF581" s="35"/>
      <c r="AG581" s="35"/>
      <c r="AH581" s="35"/>
      <c r="AI581" s="35"/>
      <c r="AJ581" s="35"/>
      <c r="AK581" s="35"/>
      <c r="AL581" s="35"/>
      <c r="AM581" s="35"/>
      <c r="AN581" s="35"/>
      <c r="AO581" s="35"/>
      <c r="AP581" s="35"/>
      <c r="AQ581" s="35"/>
      <c r="AR581" s="35"/>
      <c r="AS581" s="35"/>
      <c r="AT581" s="35"/>
      <c r="AU581" s="35"/>
      <c r="AV581" s="35"/>
      <c r="AW581" s="35"/>
      <c r="AX581" s="35"/>
    </row>
    <row r="582" ht="15.75" customHeight="1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  <c r="AE582" s="35"/>
      <c r="AF582" s="35"/>
      <c r="AG582" s="35"/>
      <c r="AH582" s="35"/>
      <c r="AI582" s="35"/>
      <c r="AJ582" s="35"/>
      <c r="AK582" s="35"/>
      <c r="AL582" s="35"/>
      <c r="AM582" s="35"/>
      <c r="AN582" s="35"/>
      <c r="AO582" s="35"/>
      <c r="AP582" s="35"/>
      <c r="AQ582" s="35"/>
      <c r="AR582" s="35"/>
      <c r="AS582" s="35"/>
      <c r="AT582" s="35"/>
      <c r="AU582" s="35"/>
      <c r="AV582" s="35"/>
      <c r="AW582" s="35"/>
      <c r="AX582" s="35"/>
    </row>
    <row r="583" ht="15.75" customHeight="1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  <c r="AE583" s="35"/>
      <c r="AF583" s="35"/>
      <c r="AG583" s="35"/>
      <c r="AH583" s="35"/>
      <c r="AI583" s="35"/>
      <c r="AJ583" s="35"/>
      <c r="AK583" s="35"/>
      <c r="AL583" s="35"/>
      <c r="AM583" s="35"/>
      <c r="AN583" s="35"/>
      <c r="AO583" s="35"/>
      <c r="AP583" s="35"/>
      <c r="AQ583" s="35"/>
      <c r="AR583" s="35"/>
      <c r="AS583" s="35"/>
      <c r="AT583" s="35"/>
      <c r="AU583" s="35"/>
      <c r="AV583" s="35"/>
      <c r="AW583" s="35"/>
      <c r="AX583" s="35"/>
    </row>
    <row r="584" ht="15.75" customHeight="1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  <c r="AE584" s="35"/>
      <c r="AF584" s="35"/>
      <c r="AG584" s="35"/>
      <c r="AH584" s="35"/>
      <c r="AI584" s="35"/>
      <c r="AJ584" s="35"/>
      <c r="AK584" s="35"/>
      <c r="AL584" s="35"/>
      <c r="AM584" s="35"/>
      <c r="AN584" s="35"/>
      <c r="AO584" s="35"/>
      <c r="AP584" s="35"/>
      <c r="AQ584" s="35"/>
      <c r="AR584" s="35"/>
      <c r="AS584" s="35"/>
      <c r="AT584" s="35"/>
      <c r="AU584" s="35"/>
      <c r="AV584" s="35"/>
      <c r="AW584" s="35"/>
      <c r="AX584" s="35"/>
    </row>
    <row r="585" ht="15.75" customHeight="1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  <c r="AE585" s="35"/>
      <c r="AF585" s="35"/>
      <c r="AG585" s="35"/>
      <c r="AH585" s="35"/>
      <c r="AI585" s="35"/>
      <c r="AJ585" s="35"/>
      <c r="AK585" s="35"/>
      <c r="AL585" s="35"/>
      <c r="AM585" s="35"/>
      <c r="AN585" s="35"/>
      <c r="AO585" s="35"/>
      <c r="AP585" s="35"/>
      <c r="AQ585" s="35"/>
      <c r="AR585" s="35"/>
      <c r="AS585" s="35"/>
      <c r="AT585" s="35"/>
      <c r="AU585" s="35"/>
      <c r="AV585" s="35"/>
      <c r="AW585" s="35"/>
      <c r="AX585" s="35"/>
    </row>
    <row r="586" ht="15.75" customHeight="1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  <c r="AE586" s="35"/>
      <c r="AF586" s="35"/>
      <c r="AG586" s="35"/>
      <c r="AH586" s="35"/>
      <c r="AI586" s="35"/>
      <c r="AJ586" s="35"/>
      <c r="AK586" s="35"/>
      <c r="AL586" s="35"/>
      <c r="AM586" s="35"/>
      <c r="AN586" s="35"/>
      <c r="AO586" s="35"/>
      <c r="AP586" s="35"/>
      <c r="AQ586" s="35"/>
      <c r="AR586" s="35"/>
      <c r="AS586" s="35"/>
      <c r="AT586" s="35"/>
      <c r="AU586" s="35"/>
      <c r="AV586" s="35"/>
      <c r="AW586" s="35"/>
      <c r="AX586" s="35"/>
    </row>
    <row r="587" ht="15.75" customHeight="1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  <c r="AE587" s="35"/>
      <c r="AF587" s="35"/>
      <c r="AG587" s="35"/>
      <c r="AH587" s="35"/>
      <c r="AI587" s="35"/>
      <c r="AJ587" s="35"/>
      <c r="AK587" s="35"/>
      <c r="AL587" s="35"/>
      <c r="AM587" s="35"/>
      <c r="AN587" s="35"/>
      <c r="AO587" s="35"/>
      <c r="AP587" s="35"/>
      <c r="AQ587" s="35"/>
      <c r="AR587" s="35"/>
      <c r="AS587" s="35"/>
      <c r="AT587" s="35"/>
      <c r="AU587" s="35"/>
      <c r="AV587" s="35"/>
      <c r="AW587" s="35"/>
      <c r="AX587" s="35"/>
    </row>
    <row r="588" ht="15.75" customHeight="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  <c r="AE588" s="35"/>
      <c r="AF588" s="35"/>
      <c r="AG588" s="35"/>
      <c r="AH588" s="35"/>
      <c r="AI588" s="35"/>
      <c r="AJ588" s="35"/>
      <c r="AK588" s="35"/>
      <c r="AL588" s="35"/>
      <c r="AM588" s="35"/>
      <c r="AN588" s="35"/>
      <c r="AO588" s="35"/>
      <c r="AP588" s="35"/>
      <c r="AQ588" s="35"/>
      <c r="AR588" s="35"/>
      <c r="AS588" s="35"/>
      <c r="AT588" s="35"/>
      <c r="AU588" s="35"/>
      <c r="AV588" s="35"/>
      <c r="AW588" s="35"/>
      <c r="AX588" s="35"/>
    </row>
    <row r="589" ht="15.75" customHeight="1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  <c r="AE589" s="35"/>
      <c r="AF589" s="35"/>
      <c r="AG589" s="35"/>
      <c r="AH589" s="35"/>
      <c r="AI589" s="35"/>
      <c r="AJ589" s="35"/>
      <c r="AK589" s="35"/>
      <c r="AL589" s="35"/>
      <c r="AM589" s="35"/>
      <c r="AN589" s="35"/>
      <c r="AO589" s="35"/>
      <c r="AP589" s="35"/>
      <c r="AQ589" s="35"/>
      <c r="AR589" s="35"/>
      <c r="AS589" s="35"/>
      <c r="AT589" s="35"/>
      <c r="AU589" s="35"/>
      <c r="AV589" s="35"/>
      <c r="AW589" s="35"/>
      <c r="AX589" s="35"/>
    </row>
    <row r="590" ht="15.75" customHeight="1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5"/>
      <c r="AE590" s="35"/>
      <c r="AF590" s="35"/>
      <c r="AG590" s="35"/>
      <c r="AH590" s="35"/>
      <c r="AI590" s="35"/>
      <c r="AJ590" s="35"/>
      <c r="AK590" s="35"/>
      <c r="AL590" s="35"/>
      <c r="AM590" s="35"/>
      <c r="AN590" s="35"/>
      <c r="AO590" s="35"/>
      <c r="AP590" s="35"/>
      <c r="AQ590" s="35"/>
      <c r="AR590" s="35"/>
      <c r="AS590" s="35"/>
      <c r="AT590" s="35"/>
      <c r="AU590" s="35"/>
      <c r="AV590" s="35"/>
      <c r="AW590" s="35"/>
      <c r="AX590" s="35"/>
    </row>
    <row r="591" ht="15.75" customHeight="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5"/>
      <c r="AE591" s="35"/>
      <c r="AF591" s="35"/>
      <c r="AG591" s="35"/>
      <c r="AH591" s="35"/>
      <c r="AI591" s="35"/>
      <c r="AJ591" s="35"/>
      <c r="AK591" s="35"/>
      <c r="AL591" s="35"/>
      <c r="AM591" s="35"/>
      <c r="AN591" s="35"/>
      <c r="AO591" s="35"/>
      <c r="AP591" s="35"/>
      <c r="AQ591" s="35"/>
      <c r="AR591" s="35"/>
      <c r="AS591" s="35"/>
      <c r="AT591" s="35"/>
      <c r="AU591" s="35"/>
      <c r="AV591" s="35"/>
      <c r="AW591" s="35"/>
      <c r="AX591" s="35"/>
    </row>
    <row r="592" ht="15.75" customHeight="1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  <c r="AE592" s="35"/>
      <c r="AF592" s="35"/>
      <c r="AG592" s="35"/>
      <c r="AH592" s="35"/>
      <c r="AI592" s="35"/>
      <c r="AJ592" s="35"/>
      <c r="AK592" s="35"/>
      <c r="AL592" s="35"/>
      <c r="AM592" s="35"/>
      <c r="AN592" s="35"/>
      <c r="AO592" s="35"/>
      <c r="AP592" s="35"/>
      <c r="AQ592" s="35"/>
      <c r="AR592" s="35"/>
      <c r="AS592" s="35"/>
      <c r="AT592" s="35"/>
      <c r="AU592" s="35"/>
      <c r="AV592" s="35"/>
      <c r="AW592" s="35"/>
      <c r="AX592" s="35"/>
    </row>
    <row r="593" ht="15.75" customHeight="1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  <c r="AE593" s="35"/>
      <c r="AF593" s="35"/>
      <c r="AG593" s="35"/>
      <c r="AH593" s="35"/>
      <c r="AI593" s="35"/>
      <c r="AJ593" s="35"/>
      <c r="AK593" s="35"/>
      <c r="AL593" s="35"/>
      <c r="AM593" s="35"/>
      <c r="AN593" s="35"/>
      <c r="AO593" s="35"/>
      <c r="AP593" s="35"/>
      <c r="AQ593" s="35"/>
      <c r="AR593" s="35"/>
      <c r="AS593" s="35"/>
      <c r="AT593" s="35"/>
      <c r="AU593" s="35"/>
      <c r="AV593" s="35"/>
      <c r="AW593" s="35"/>
      <c r="AX593" s="35"/>
    </row>
    <row r="594" ht="15.75" customHeight="1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  <c r="AE594" s="35"/>
      <c r="AF594" s="35"/>
      <c r="AG594" s="35"/>
      <c r="AH594" s="35"/>
      <c r="AI594" s="35"/>
      <c r="AJ594" s="35"/>
      <c r="AK594" s="35"/>
      <c r="AL594" s="35"/>
      <c r="AM594" s="35"/>
      <c r="AN594" s="35"/>
      <c r="AO594" s="35"/>
      <c r="AP594" s="35"/>
      <c r="AQ594" s="35"/>
      <c r="AR594" s="35"/>
      <c r="AS594" s="35"/>
      <c r="AT594" s="35"/>
      <c r="AU594" s="35"/>
      <c r="AV594" s="35"/>
      <c r="AW594" s="35"/>
      <c r="AX594" s="35"/>
    </row>
    <row r="595" ht="15.75" customHeight="1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  <c r="AE595" s="35"/>
      <c r="AF595" s="35"/>
      <c r="AG595" s="35"/>
      <c r="AH595" s="35"/>
      <c r="AI595" s="35"/>
      <c r="AJ595" s="35"/>
      <c r="AK595" s="35"/>
      <c r="AL595" s="35"/>
      <c r="AM595" s="35"/>
      <c r="AN595" s="35"/>
      <c r="AO595" s="35"/>
      <c r="AP595" s="35"/>
      <c r="AQ595" s="35"/>
      <c r="AR595" s="35"/>
      <c r="AS595" s="35"/>
      <c r="AT595" s="35"/>
      <c r="AU595" s="35"/>
      <c r="AV595" s="35"/>
      <c r="AW595" s="35"/>
      <c r="AX595" s="35"/>
    </row>
    <row r="596" ht="15.75" customHeight="1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  <c r="AE596" s="35"/>
      <c r="AF596" s="35"/>
      <c r="AG596" s="35"/>
      <c r="AH596" s="35"/>
      <c r="AI596" s="35"/>
      <c r="AJ596" s="35"/>
      <c r="AK596" s="35"/>
      <c r="AL596" s="35"/>
      <c r="AM596" s="35"/>
      <c r="AN596" s="35"/>
      <c r="AO596" s="35"/>
      <c r="AP596" s="35"/>
      <c r="AQ596" s="35"/>
      <c r="AR596" s="35"/>
      <c r="AS596" s="35"/>
      <c r="AT596" s="35"/>
      <c r="AU596" s="35"/>
      <c r="AV596" s="35"/>
      <c r="AW596" s="35"/>
      <c r="AX596" s="35"/>
    </row>
    <row r="597" ht="15.75" customHeight="1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5"/>
      <c r="AE597" s="35"/>
      <c r="AF597" s="35"/>
      <c r="AG597" s="35"/>
      <c r="AH597" s="35"/>
      <c r="AI597" s="35"/>
      <c r="AJ597" s="35"/>
      <c r="AK597" s="35"/>
      <c r="AL597" s="35"/>
      <c r="AM597" s="35"/>
      <c r="AN597" s="35"/>
      <c r="AO597" s="35"/>
      <c r="AP597" s="35"/>
      <c r="AQ597" s="35"/>
      <c r="AR597" s="35"/>
      <c r="AS597" s="35"/>
      <c r="AT597" s="35"/>
      <c r="AU597" s="35"/>
      <c r="AV597" s="35"/>
      <c r="AW597" s="35"/>
      <c r="AX597" s="35"/>
    </row>
    <row r="598" ht="15.75" customHeight="1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5"/>
      <c r="AE598" s="35"/>
      <c r="AF598" s="35"/>
      <c r="AG598" s="35"/>
      <c r="AH598" s="35"/>
      <c r="AI598" s="35"/>
      <c r="AJ598" s="35"/>
      <c r="AK598" s="35"/>
      <c r="AL598" s="35"/>
      <c r="AM598" s="35"/>
      <c r="AN598" s="35"/>
      <c r="AO598" s="35"/>
      <c r="AP598" s="35"/>
      <c r="AQ598" s="35"/>
      <c r="AR598" s="35"/>
      <c r="AS598" s="35"/>
      <c r="AT598" s="35"/>
      <c r="AU598" s="35"/>
      <c r="AV598" s="35"/>
      <c r="AW598" s="35"/>
      <c r="AX598" s="35"/>
    </row>
    <row r="599" ht="15.75" customHeight="1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  <c r="AE599" s="35"/>
      <c r="AF599" s="35"/>
      <c r="AG599" s="35"/>
      <c r="AH599" s="35"/>
      <c r="AI599" s="35"/>
      <c r="AJ599" s="35"/>
      <c r="AK599" s="35"/>
      <c r="AL599" s="35"/>
      <c r="AM599" s="35"/>
      <c r="AN599" s="35"/>
      <c r="AO599" s="35"/>
      <c r="AP599" s="35"/>
      <c r="AQ599" s="35"/>
      <c r="AR599" s="35"/>
      <c r="AS599" s="35"/>
      <c r="AT599" s="35"/>
      <c r="AU599" s="35"/>
      <c r="AV599" s="35"/>
      <c r="AW599" s="35"/>
      <c r="AX599" s="35"/>
    </row>
    <row r="600" ht="15.75" customHeight="1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  <c r="AE600" s="35"/>
      <c r="AF600" s="35"/>
      <c r="AG600" s="35"/>
      <c r="AH600" s="35"/>
      <c r="AI600" s="35"/>
      <c r="AJ600" s="35"/>
      <c r="AK600" s="35"/>
      <c r="AL600" s="35"/>
      <c r="AM600" s="35"/>
      <c r="AN600" s="35"/>
      <c r="AO600" s="35"/>
      <c r="AP600" s="35"/>
      <c r="AQ600" s="35"/>
      <c r="AR600" s="35"/>
      <c r="AS600" s="35"/>
      <c r="AT600" s="35"/>
      <c r="AU600" s="35"/>
      <c r="AV600" s="35"/>
      <c r="AW600" s="35"/>
      <c r="AX600" s="35"/>
    </row>
    <row r="601" ht="15.75" customHeight="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  <c r="AE601" s="35"/>
      <c r="AF601" s="35"/>
      <c r="AG601" s="35"/>
      <c r="AH601" s="35"/>
      <c r="AI601" s="35"/>
      <c r="AJ601" s="35"/>
      <c r="AK601" s="35"/>
      <c r="AL601" s="35"/>
      <c r="AM601" s="35"/>
      <c r="AN601" s="35"/>
      <c r="AO601" s="35"/>
      <c r="AP601" s="35"/>
      <c r="AQ601" s="35"/>
      <c r="AR601" s="35"/>
      <c r="AS601" s="35"/>
      <c r="AT601" s="35"/>
      <c r="AU601" s="35"/>
      <c r="AV601" s="35"/>
      <c r="AW601" s="35"/>
      <c r="AX601" s="35"/>
    </row>
    <row r="602" ht="15.75" customHeight="1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  <c r="AE602" s="35"/>
      <c r="AF602" s="35"/>
      <c r="AG602" s="35"/>
      <c r="AH602" s="35"/>
      <c r="AI602" s="35"/>
      <c r="AJ602" s="35"/>
      <c r="AK602" s="35"/>
      <c r="AL602" s="35"/>
      <c r="AM602" s="35"/>
      <c r="AN602" s="35"/>
      <c r="AO602" s="35"/>
      <c r="AP602" s="35"/>
      <c r="AQ602" s="35"/>
      <c r="AR602" s="35"/>
      <c r="AS602" s="35"/>
      <c r="AT602" s="35"/>
      <c r="AU602" s="35"/>
      <c r="AV602" s="35"/>
      <c r="AW602" s="35"/>
      <c r="AX602" s="35"/>
    </row>
    <row r="603" ht="15.75" customHeight="1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5"/>
      <c r="AE603" s="35"/>
      <c r="AF603" s="35"/>
      <c r="AG603" s="35"/>
      <c r="AH603" s="35"/>
      <c r="AI603" s="35"/>
      <c r="AJ603" s="35"/>
      <c r="AK603" s="35"/>
      <c r="AL603" s="35"/>
      <c r="AM603" s="35"/>
      <c r="AN603" s="35"/>
      <c r="AO603" s="35"/>
      <c r="AP603" s="35"/>
      <c r="AQ603" s="35"/>
      <c r="AR603" s="35"/>
      <c r="AS603" s="35"/>
      <c r="AT603" s="35"/>
      <c r="AU603" s="35"/>
      <c r="AV603" s="35"/>
      <c r="AW603" s="35"/>
      <c r="AX603" s="35"/>
    </row>
    <row r="604" ht="15.75" customHeight="1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  <c r="AE604" s="35"/>
      <c r="AF604" s="35"/>
      <c r="AG604" s="35"/>
      <c r="AH604" s="35"/>
      <c r="AI604" s="35"/>
      <c r="AJ604" s="35"/>
      <c r="AK604" s="35"/>
      <c r="AL604" s="35"/>
      <c r="AM604" s="35"/>
      <c r="AN604" s="35"/>
      <c r="AO604" s="35"/>
      <c r="AP604" s="35"/>
      <c r="AQ604" s="35"/>
      <c r="AR604" s="35"/>
      <c r="AS604" s="35"/>
      <c r="AT604" s="35"/>
      <c r="AU604" s="35"/>
      <c r="AV604" s="35"/>
      <c r="AW604" s="35"/>
      <c r="AX604" s="35"/>
    </row>
    <row r="605" ht="15.75" customHeight="1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  <c r="AE605" s="35"/>
      <c r="AF605" s="35"/>
      <c r="AG605" s="35"/>
      <c r="AH605" s="35"/>
      <c r="AI605" s="35"/>
      <c r="AJ605" s="35"/>
      <c r="AK605" s="35"/>
      <c r="AL605" s="35"/>
      <c r="AM605" s="35"/>
      <c r="AN605" s="35"/>
      <c r="AO605" s="35"/>
      <c r="AP605" s="35"/>
      <c r="AQ605" s="35"/>
      <c r="AR605" s="35"/>
      <c r="AS605" s="35"/>
      <c r="AT605" s="35"/>
      <c r="AU605" s="35"/>
      <c r="AV605" s="35"/>
      <c r="AW605" s="35"/>
      <c r="AX605" s="35"/>
    </row>
    <row r="606" ht="15.75" customHeight="1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  <c r="AG606" s="35"/>
      <c r="AH606" s="35"/>
      <c r="AI606" s="35"/>
      <c r="AJ606" s="35"/>
      <c r="AK606" s="35"/>
      <c r="AL606" s="35"/>
      <c r="AM606" s="35"/>
      <c r="AN606" s="35"/>
      <c r="AO606" s="35"/>
      <c r="AP606" s="35"/>
      <c r="AQ606" s="35"/>
      <c r="AR606" s="35"/>
      <c r="AS606" s="35"/>
      <c r="AT606" s="35"/>
      <c r="AU606" s="35"/>
      <c r="AV606" s="35"/>
      <c r="AW606" s="35"/>
      <c r="AX606" s="35"/>
    </row>
    <row r="607" ht="15.75" customHeight="1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  <c r="AF607" s="35"/>
      <c r="AG607" s="35"/>
      <c r="AH607" s="35"/>
      <c r="AI607" s="35"/>
      <c r="AJ607" s="35"/>
      <c r="AK607" s="35"/>
      <c r="AL607" s="35"/>
      <c r="AM607" s="35"/>
      <c r="AN607" s="35"/>
      <c r="AO607" s="35"/>
      <c r="AP607" s="35"/>
      <c r="AQ607" s="35"/>
      <c r="AR607" s="35"/>
      <c r="AS607" s="35"/>
      <c r="AT607" s="35"/>
      <c r="AU607" s="35"/>
      <c r="AV607" s="35"/>
      <c r="AW607" s="35"/>
      <c r="AX607" s="35"/>
    </row>
    <row r="608" ht="15.75" customHeight="1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  <c r="AE608" s="35"/>
      <c r="AF608" s="35"/>
      <c r="AG608" s="35"/>
      <c r="AH608" s="35"/>
      <c r="AI608" s="35"/>
      <c r="AJ608" s="35"/>
      <c r="AK608" s="35"/>
      <c r="AL608" s="35"/>
      <c r="AM608" s="35"/>
      <c r="AN608" s="35"/>
      <c r="AO608" s="35"/>
      <c r="AP608" s="35"/>
      <c r="AQ608" s="35"/>
      <c r="AR608" s="35"/>
      <c r="AS608" s="35"/>
      <c r="AT608" s="35"/>
      <c r="AU608" s="35"/>
      <c r="AV608" s="35"/>
      <c r="AW608" s="35"/>
      <c r="AX608" s="35"/>
    </row>
    <row r="609" ht="15.75" customHeight="1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5"/>
      <c r="AE609" s="35"/>
      <c r="AF609" s="35"/>
      <c r="AG609" s="35"/>
      <c r="AH609" s="35"/>
      <c r="AI609" s="35"/>
      <c r="AJ609" s="35"/>
      <c r="AK609" s="35"/>
      <c r="AL609" s="35"/>
      <c r="AM609" s="35"/>
      <c r="AN609" s="35"/>
      <c r="AO609" s="35"/>
      <c r="AP609" s="35"/>
      <c r="AQ609" s="35"/>
      <c r="AR609" s="35"/>
      <c r="AS609" s="35"/>
      <c r="AT609" s="35"/>
      <c r="AU609" s="35"/>
      <c r="AV609" s="35"/>
      <c r="AW609" s="35"/>
      <c r="AX609" s="35"/>
    </row>
    <row r="610" ht="15.75" customHeight="1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5"/>
      <c r="AE610" s="35"/>
      <c r="AF610" s="35"/>
      <c r="AG610" s="35"/>
      <c r="AH610" s="35"/>
      <c r="AI610" s="35"/>
      <c r="AJ610" s="35"/>
      <c r="AK610" s="35"/>
      <c r="AL610" s="35"/>
      <c r="AM610" s="35"/>
      <c r="AN610" s="35"/>
      <c r="AO610" s="35"/>
      <c r="AP610" s="35"/>
      <c r="AQ610" s="35"/>
      <c r="AR610" s="35"/>
      <c r="AS610" s="35"/>
      <c r="AT610" s="35"/>
      <c r="AU610" s="35"/>
      <c r="AV610" s="35"/>
      <c r="AW610" s="35"/>
      <c r="AX610" s="35"/>
    </row>
    <row r="611" ht="15.75" customHeight="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5"/>
      <c r="AE611" s="35"/>
      <c r="AF611" s="35"/>
      <c r="AG611" s="35"/>
      <c r="AH611" s="35"/>
      <c r="AI611" s="35"/>
      <c r="AJ611" s="35"/>
      <c r="AK611" s="35"/>
      <c r="AL611" s="35"/>
      <c r="AM611" s="35"/>
      <c r="AN611" s="35"/>
      <c r="AO611" s="35"/>
      <c r="AP611" s="35"/>
      <c r="AQ611" s="35"/>
      <c r="AR611" s="35"/>
      <c r="AS611" s="35"/>
      <c r="AT611" s="35"/>
      <c r="AU611" s="35"/>
      <c r="AV611" s="35"/>
      <c r="AW611" s="35"/>
      <c r="AX611" s="35"/>
    </row>
    <row r="612" ht="15.75" customHeight="1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  <c r="AF612" s="35"/>
      <c r="AG612" s="35"/>
      <c r="AH612" s="35"/>
      <c r="AI612" s="35"/>
      <c r="AJ612" s="35"/>
      <c r="AK612" s="35"/>
      <c r="AL612" s="35"/>
      <c r="AM612" s="35"/>
      <c r="AN612" s="35"/>
      <c r="AO612" s="35"/>
      <c r="AP612" s="35"/>
      <c r="AQ612" s="35"/>
      <c r="AR612" s="35"/>
      <c r="AS612" s="35"/>
      <c r="AT612" s="35"/>
      <c r="AU612" s="35"/>
      <c r="AV612" s="35"/>
      <c r="AW612" s="35"/>
      <c r="AX612" s="35"/>
    </row>
    <row r="613" ht="15.75" customHeight="1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  <c r="AF613" s="35"/>
      <c r="AG613" s="35"/>
      <c r="AH613" s="35"/>
      <c r="AI613" s="35"/>
      <c r="AJ613" s="35"/>
      <c r="AK613" s="35"/>
      <c r="AL613" s="35"/>
      <c r="AM613" s="35"/>
      <c r="AN613" s="35"/>
      <c r="AO613" s="35"/>
      <c r="AP613" s="35"/>
      <c r="AQ613" s="35"/>
      <c r="AR613" s="35"/>
      <c r="AS613" s="35"/>
      <c r="AT613" s="35"/>
      <c r="AU613" s="35"/>
      <c r="AV613" s="35"/>
      <c r="AW613" s="35"/>
      <c r="AX613" s="35"/>
    </row>
    <row r="614" ht="15.75" customHeight="1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  <c r="AE614" s="35"/>
      <c r="AF614" s="35"/>
      <c r="AG614" s="35"/>
      <c r="AH614" s="35"/>
      <c r="AI614" s="35"/>
      <c r="AJ614" s="35"/>
      <c r="AK614" s="35"/>
      <c r="AL614" s="35"/>
      <c r="AM614" s="35"/>
      <c r="AN614" s="35"/>
      <c r="AO614" s="35"/>
      <c r="AP614" s="35"/>
      <c r="AQ614" s="35"/>
      <c r="AR614" s="35"/>
      <c r="AS614" s="35"/>
      <c r="AT614" s="35"/>
      <c r="AU614" s="35"/>
      <c r="AV614" s="35"/>
      <c r="AW614" s="35"/>
      <c r="AX614" s="35"/>
    </row>
    <row r="615" ht="15.75" customHeight="1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5"/>
      <c r="AE615" s="35"/>
      <c r="AF615" s="35"/>
      <c r="AG615" s="35"/>
      <c r="AH615" s="35"/>
      <c r="AI615" s="35"/>
      <c r="AJ615" s="35"/>
      <c r="AK615" s="35"/>
      <c r="AL615" s="35"/>
      <c r="AM615" s="35"/>
      <c r="AN615" s="35"/>
      <c r="AO615" s="35"/>
      <c r="AP615" s="35"/>
      <c r="AQ615" s="35"/>
      <c r="AR615" s="35"/>
      <c r="AS615" s="35"/>
      <c r="AT615" s="35"/>
      <c r="AU615" s="35"/>
      <c r="AV615" s="35"/>
      <c r="AW615" s="35"/>
      <c r="AX615" s="35"/>
    </row>
    <row r="616" ht="15.75" customHeight="1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  <c r="AE616" s="35"/>
      <c r="AF616" s="35"/>
      <c r="AG616" s="35"/>
      <c r="AH616" s="35"/>
      <c r="AI616" s="35"/>
      <c r="AJ616" s="35"/>
      <c r="AK616" s="35"/>
      <c r="AL616" s="35"/>
      <c r="AM616" s="35"/>
      <c r="AN616" s="35"/>
      <c r="AO616" s="35"/>
      <c r="AP616" s="35"/>
      <c r="AQ616" s="35"/>
      <c r="AR616" s="35"/>
      <c r="AS616" s="35"/>
      <c r="AT616" s="35"/>
      <c r="AU616" s="35"/>
      <c r="AV616" s="35"/>
      <c r="AW616" s="35"/>
      <c r="AX616" s="35"/>
    </row>
    <row r="617" ht="15.75" customHeight="1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  <c r="AE617" s="35"/>
      <c r="AF617" s="35"/>
      <c r="AG617" s="35"/>
      <c r="AH617" s="35"/>
      <c r="AI617" s="35"/>
      <c r="AJ617" s="35"/>
      <c r="AK617" s="35"/>
      <c r="AL617" s="35"/>
      <c r="AM617" s="35"/>
      <c r="AN617" s="35"/>
      <c r="AO617" s="35"/>
      <c r="AP617" s="35"/>
      <c r="AQ617" s="35"/>
      <c r="AR617" s="35"/>
      <c r="AS617" s="35"/>
      <c r="AT617" s="35"/>
      <c r="AU617" s="35"/>
      <c r="AV617" s="35"/>
      <c r="AW617" s="35"/>
      <c r="AX617" s="35"/>
    </row>
    <row r="618" ht="15.75" customHeight="1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  <c r="AE618" s="35"/>
      <c r="AF618" s="35"/>
      <c r="AG618" s="35"/>
      <c r="AH618" s="35"/>
      <c r="AI618" s="35"/>
      <c r="AJ618" s="35"/>
      <c r="AK618" s="35"/>
      <c r="AL618" s="35"/>
      <c r="AM618" s="35"/>
      <c r="AN618" s="35"/>
      <c r="AO618" s="35"/>
      <c r="AP618" s="35"/>
      <c r="AQ618" s="35"/>
      <c r="AR618" s="35"/>
      <c r="AS618" s="35"/>
      <c r="AT618" s="35"/>
      <c r="AU618" s="35"/>
      <c r="AV618" s="35"/>
      <c r="AW618" s="35"/>
      <c r="AX618" s="35"/>
    </row>
    <row r="619" ht="15.75" customHeight="1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  <c r="AD619" s="35"/>
      <c r="AE619" s="35"/>
      <c r="AF619" s="35"/>
      <c r="AG619" s="35"/>
      <c r="AH619" s="35"/>
      <c r="AI619" s="35"/>
      <c r="AJ619" s="35"/>
      <c r="AK619" s="35"/>
      <c r="AL619" s="35"/>
      <c r="AM619" s="35"/>
      <c r="AN619" s="35"/>
      <c r="AO619" s="35"/>
      <c r="AP619" s="35"/>
      <c r="AQ619" s="35"/>
      <c r="AR619" s="35"/>
      <c r="AS619" s="35"/>
      <c r="AT619" s="35"/>
      <c r="AU619" s="35"/>
      <c r="AV619" s="35"/>
      <c r="AW619" s="35"/>
      <c r="AX619" s="35"/>
    </row>
    <row r="620" ht="15.75" customHeight="1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  <c r="AE620" s="35"/>
      <c r="AF620" s="35"/>
      <c r="AG620" s="35"/>
      <c r="AH620" s="35"/>
      <c r="AI620" s="35"/>
      <c r="AJ620" s="35"/>
      <c r="AK620" s="35"/>
      <c r="AL620" s="35"/>
      <c r="AM620" s="35"/>
      <c r="AN620" s="35"/>
      <c r="AO620" s="35"/>
      <c r="AP620" s="35"/>
      <c r="AQ620" s="35"/>
      <c r="AR620" s="35"/>
      <c r="AS620" s="35"/>
      <c r="AT620" s="35"/>
      <c r="AU620" s="35"/>
      <c r="AV620" s="35"/>
      <c r="AW620" s="35"/>
      <c r="AX620" s="35"/>
    </row>
    <row r="621" ht="15.75" customHeight="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  <c r="AE621" s="35"/>
      <c r="AF621" s="35"/>
      <c r="AG621" s="35"/>
      <c r="AH621" s="35"/>
      <c r="AI621" s="35"/>
      <c r="AJ621" s="35"/>
      <c r="AK621" s="35"/>
      <c r="AL621" s="35"/>
      <c r="AM621" s="35"/>
      <c r="AN621" s="35"/>
      <c r="AO621" s="35"/>
      <c r="AP621" s="35"/>
      <c r="AQ621" s="35"/>
      <c r="AR621" s="35"/>
      <c r="AS621" s="35"/>
      <c r="AT621" s="35"/>
      <c r="AU621" s="35"/>
      <c r="AV621" s="35"/>
      <c r="AW621" s="35"/>
      <c r="AX621" s="35"/>
    </row>
    <row r="622" ht="15.75" customHeight="1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  <c r="AE622" s="35"/>
      <c r="AF622" s="35"/>
      <c r="AG622" s="35"/>
      <c r="AH622" s="35"/>
      <c r="AI622" s="35"/>
      <c r="AJ622" s="35"/>
      <c r="AK622" s="35"/>
      <c r="AL622" s="35"/>
      <c r="AM622" s="35"/>
      <c r="AN622" s="35"/>
      <c r="AO622" s="35"/>
      <c r="AP622" s="35"/>
      <c r="AQ622" s="35"/>
      <c r="AR622" s="35"/>
      <c r="AS622" s="35"/>
      <c r="AT622" s="35"/>
      <c r="AU622" s="35"/>
      <c r="AV622" s="35"/>
      <c r="AW622" s="35"/>
      <c r="AX622" s="35"/>
    </row>
    <row r="623" ht="15.75" customHeight="1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  <c r="AE623" s="35"/>
      <c r="AF623" s="35"/>
      <c r="AG623" s="35"/>
      <c r="AH623" s="35"/>
      <c r="AI623" s="35"/>
      <c r="AJ623" s="35"/>
      <c r="AK623" s="35"/>
      <c r="AL623" s="35"/>
      <c r="AM623" s="35"/>
      <c r="AN623" s="35"/>
      <c r="AO623" s="35"/>
      <c r="AP623" s="35"/>
      <c r="AQ623" s="35"/>
      <c r="AR623" s="35"/>
      <c r="AS623" s="35"/>
      <c r="AT623" s="35"/>
      <c r="AU623" s="35"/>
      <c r="AV623" s="35"/>
      <c r="AW623" s="35"/>
      <c r="AX623" s="35"/>
    </row>
    <row r="624" ht="15.75" customHeight="1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  <c r="AE624" s="35"/>
      <c r="AF624" s="35"/>
      <c r="AG624" s="35"/>
      <c r="AH624" s="35"/>
      <c r="AI624" s="35"/>
      <c r="AJ624" s="35"/>
      <c r="AK624" s="35"/>
      <c r="AL624" s="35"/>
      <c r="AM624" s="35"/>
      <c r="AN624" s="35"/>
      <c r="AO624" s="35"/>
      <c r="AP624" s="35"/>
      <c r="AQ624" s="35"/>
      <c r="AR624" s="35"/>
      <c r="AS624" s="35"/>
      <c r="AT624" s="35"/>
      <c r="AU624" s="35"/>
      <c r="AV624" s="35"/>
      <c r="AW624" s="35"/>
      <c r="AX624" s="35"/>
    </row>
    <row r="625" ht="15.75" customHeight="1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5"/>
      <c r="AE625" s="35"/>
      <c r="AF625" s="35"/>
      <c r="AG625" s="35"/>
      <c r="AH625" s="35"/>
      <c r="AI625" s="35"/>
      <c r="AJ625" s="35"/>
      <c r="AK625" s="35"/>
      <c r="AL625" s="35"/>
      <c r="AM625" s="35"/>
      <c r="AN625" s="35"/>
      <c r="AO625" s="35"/>
      <c r="AP625" s="35"/>
      <c r="AQ625" s="35"/>
      <c r="AR625" s="35"/>
      <c r="AS625" s="35"/>
      <c r="AT625" s="35"/>
      <c r="AU625" s="35"/>
      <c r="AV625" s="35"/>
      <c r="AW625" s="35"/>
      <c r="AX625" s="35"/>
    </row>
    <row r="626" ht="15.75" customHeight="1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5"/>
      <c r="AE626" s="35"/>
      <c r="AF626" s="35"/>
      <c r="AG626" s="35"/>
      <c r="AH626" s="35"/>
      <c r="AI626" s="35"/>
      <c r="AJ626" s="35"/>
      <c r="AK626" s="35"/>
      <c r="AL626" s="35"/>
      <c r="AM626" s="35"/>
      <c r="AN626" s="35"/>
      <c r="AO626" s="35"/>
      <c r="AP626" s="35"/>
      <c r="AQ626" s="35"/>
      <c r="AR626" s="35"/>
      <c r="AS626" s="35"/>
      <c r="AT626" s="35"/>
      <c r="AU626" s="35"/>
      <c r="AV626" s="35"/>
      <c r="AW626" s="35"/>
      <c r="AX626" s="35"/>
    </row>
    <row r="627" ht="15.75" customHeight="1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5"/>
      <c r="AE627" s="35"/>
      <c r="AF627" s="35"/>
      <c r="AG627" s="35"/>
      <c r="AH627" s="35"/>
      <c r="AI627" s="35"/>
      <c r="AJ627" s="35"/>
      <c r="AK627" s="35"/>
      <c r="AL627" s="35"/>
      <c r="AM627" s="35"/>
      <c r="AN627" s="35"/>
      <c r="AO627" s="35"/>
      <c r="AP627" s="35"/>
      <c r="AQ627" s="35"/>
      <c r="AR627" s="35"/>
      <c r="AS627" s="35"/>
      <c r="AT627" s="35"/>
      <c r="AU627" s="35"/>
      <c r="AV627" s="35"/>
      <c r="AW627" s="35"/>
      <c r="AX627" s="35"/>
    </row>
    <row r="628" ht="15.75" customHeight="1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5"/>
      <c r="AE628" s="35"/>
      <c r="AF628" s="35"/>
      <c r="AG628" s="35"/>
      <c r="AH628" s="35"/>
      <c r="AI628" s="35"/>
      <c r="AJ628" s="35"/>
      <c r="AK628" s="35"/>
      <c r="AL628" s="35"/>
      <c r="AM628" s="35"/>
      <c r="AN628" s="35"/>
      <c r="AO628" s="35"/>
      <c r="AP628" s="35"/>
      <c r="AQ628" s="35"/>
      <c r="AR628" s="35"/>
      <c r="AS628" s="35"/>
      <c r="AT628" s="35"/>
      <c r="AU628" s="35"/>
      <c r="AV628" s="35"/>
      <c r="AW628" s="35"/>
      <c r="AX628" s="35"/>
    </row>
    <row r="629" ht="15.75" customHeight="1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  <c r="AE629" s="35"/>
      <c r="AF629" s="35"/>
      <c r="AG629" s="35"/>
      <c r="AH629" s="35"/>
      <c r="AI629" s="35"/>
      <c r="AJ629" s="35"/>
      <c r="AK629" s="35"/>
      <c r="AL629" s="35"/>
      <c r="AM629" s="35"/>
      <c r="AN629" s="35"/>
      <c r="AO629" s="35"/>
      <c r="AP629" s="35"/>
      <c r="AQ629" s="35"/>
      <c r="AR629" s="35"/>
      <c r="AS629" s="35"/>
      <c r="AT629" s="35"/>
      <c r="AU629" s="35"/>
      <c r="AV629" s="35"/>
      <c r="AW629" s="35"/>
      <c r="AX629" s="35"/>
    </row>
    <row r="630" ht="15.75" customHeight="1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  <c r="AE630" s="35"/>
      <c r="AF630" s="35"/>
      <c r="AG630" s="35"/>
      <c r="AH630" s="35"/>
      <c r="AI630" s="35"/>
      <c r="AJ630" s="35"/>
      <c r="AK630" s="35"/>
      <c r="AL630" s="35"/>
      <c r="AM630" s="35"/>
      <c r="AN630" s="35"/>
      <c r="AO630" s="35"/>
      <c r="AP630" s="35"/>
      <c r="AQ630" s="35"/>
      <c r="AR630" s="35"/>
      <c r="AS630" s="35"/>
      <c r="AT630" s="35"/>
      <c r="AU630" s="35"/>
      <c r="AV630" s="35"/>
      <c r="AW630" s="35"/>
      <c r="AX630" s="35"/>
    </row>
    <row r="631" ht="15.75" customHeight="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  <c r="AE631" s="35"/>
      <c r="AF631" s="35"/>
      <c r="AG631" s="35"/>
      <c r="AH631" s="35"/>
      <c r="AI631" s="35"/>
      <c r="AJ631" s="35"/>
      <c r="AK631" s="35"/>
      <c r="AL631" s="35"/>
      <c r="AM631" s="35"/>
      <c r="AN631" s="35"/>
      <c r="AO631" s="35"/>
      <c r="AP631" s="35"/>
      <c r="AQ631" s="35"/>
      <c r="AR631" s="35"/>
      <c r="AS631" s="35"/>
      <c r="AT631" s="35"/>
      <c r="AU631" s="35"/>
      <c r="AV631" s="35"/>
      <c r="AW631" s="35"/>
      <c r="AX631" s="35"/>
    </row>
    <row r="632" ht="15.75" customHeight="1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  <c r="AE632" s="35"/>
      <c r="AF632" s="35"/>
      <c r="AG632" s="35"/>
      <c r="AH632" s="35"/>
      <c r="AI632" s="35"/>
      <c r="AJ632" s="35"/>
      <c r="AK632" s="35"/>
      <c r="AL632" s="35"/>
      <c r="AM632" s="35"/>
      <c r="AN632" s="35"/>
      <c r="AO632" s="35"/>
      <c r="AP632" s="35"/>
      <c r="AQ632" s="35"/>
      <c r="AR632" s="35"/>
      <c r="AS632" s="35"/>
      <c r="AT632" s="35"/>
      <c r="AU632" s="35"/>
      <c r="AV632" s="35"/>
      <c r="AW632" s="35"/>
      <c r="AX632" s="35"/>
    </row>
    <row r="633" ht="15.75" customHeight="1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  <c r="AE633" s="35"/>
      <c r="AF633" s="35"/>
      <c r="AG633" s="35"/>
      <c r="AH633" s="35"/>
      <c r="AI633" s="35"/>
      <c r="AJ633" s="35"/>
      <c r="AK633" s="35"/>
      <c r="AL633" s="35"/>
      <c r="AM633" s="35"/>
      <c r="AN633" s="35"/>
      <c r="AO633" s="35"/>
      <c r="AP633" s="35"/>
      <c r="AQ633" s="35"/>
      <c r="AR633" s="35"/>
      <c r="AS633" s="35"/>
      <c r="AT633" s="35"/>
      <c r="AU633" s="35"/>
      <c r="AV633" s="35"/>
      <c r="AW633" s="35"/>
      <c r="AX633" s="35"/>
    </row>
    <row r="634" ht="15.75" customHeight="1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  <c r="AE634" s="35"/>
      <c r="AF634" s="35"/>
      <c r="AG634" s="35"/>
      <c r="AH634" s="35"/>
      <c r="AI634" s="35"/>
      <c r="AJ634" s="35"/>
      <c r="AK634" s="35"/>
      <c r="AL634" s="35"/>
      <c r="AM634" s="35"/>
      <c r="AN634" s="35"/>
      <c r="AO634" s="35"/>
      <c r="AP634" s="35"/>
      <c r="AQ634" s="35"/>
      <c r="AR634" s="35"/>
      <c r="AS634" s="35"/>
      <c r="AT634" s="35"/>
      <c r="AU634" s="35"/>
      <c r="AV634" s="35"/>
      <c r="AW634" s="35"/>
      <c r="AX634" s="35"/>
    </row>
    <row r="635" ht="15.75" customHeight="1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  <c r="AE635" s="35"/>
      <c r="AF635" s="35"/>
      <c r="AG635" s="35"/>
      <c r="AH635" s="35"/>
      <c r="AI635" s="35"/>
      <c r="AJ635" s="35"/>
      <c r="AK635" s="35"/>
      <c r="AL635" s="35"/>
      <c r="AM635" s="35"/>
      <c r="AN635" s="35"/>
      <c r="AO635" s="35"/>
      <c r="AP635" s="35"/>
      <c r="AQ635" s="35"/>
      <c r="AR635" s="35"/>
      <c r="AS635" s="35"/>
      <c r="AT635" s="35"/>
      <c r="AU635" s="35"/>
      <c r="AV635" s="35"/>
      <c r="AW635" s="35"/>
      <c r="AX635" s="35"/>
    </row>
    <row r="636" ht="15.75" customHeight="1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  <c r="AE636" s="35"/>
      <c r="AF636" s="35"/>
      <c r="AG636" s="35"/>
      <c r="AH636" s="35"/>
      <c r="AI636" s="35"/>
      <c r="AJ636" s="35"/>
      <c r="AK636" s="35"/>
      <c r="AL636" s="35"/>
      <c r="AM636" s="35"/>
      <c r="AN636" s="35"/>
      <c r="AO636" s="35"/>
      <c r="AP636" s="35"/>
      <c r="AQ636" s="35"/>
      <c r="AR636" s="35"/>
      <c r="AS636" s="35"/>
      <c r="AT636" s="35"/>
      <c r="AU636" s="35"/>
      <c r="AV636" s="35"/>
      <c r="AW636" s="35"/>
      <c r="AX636" s="35"/>
    </row>
    <row r="637" ht="15.75" customHeight="1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  <c r="AE637" s="35"/>
      <c r="AF637" s="35"/>
      <c r="AG637" s="35"/>
      <c r="AH637" s="35"/>
      <c r="AI637" s="35"/>
      <c r="AJ637" s="35"/>
      <c r="AK637" s="35"/>
      <c r="AL637" s="35"/>
      <c r="AM637" s="35"/>
      <c r="AN637" s="35"/>
      <c r="AO637" s="35"/>
      <c r="AP637" s="35"/>
      <c r="AQ637" s="35"/>
      <c r="AR637" s="35"/>
      <c r="AS637" s="35"/>
      <c r="AT637" s="35"/>
      <c r="AU637" s="35"/>
      <c r="AV637" s="35"/>
      <c r="AW637" s="35"/>
      <c r="AX637" s="35"/>
    </row>
    <row r="638" ht="15.75" customHeight="1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  <c r="AF638" s="35"/>
      <c r="AG638" s="35"/>
      <c r="AH638" s="35"/>
      <c r="AI638" s="35"/>
      <c r="AJ638" s="35"/>
      <c r="AK638" s="35"/>
      <c r="AL638" s="35"/>
      <c r="AM638" s="35"/>
      <c r="AN638" s="35"/>
      <c r="AO638" s="35"/>
      <c r="AP638" s="35"/>
      <c r="AQ638" s="35"/>
      <c r="AR638" s="35"/>
      <c r="AS638" s="35"/>
      <c r="AT638" s="35"/>
      <c r="AU638" s="35"/>
      <c r="AV638" s="35"/>
      <c r="AW638" s="35"/>
      <c r="AX638" s="35"/>
    </row>
    <row r="639" ht="15.75" customHeight="1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  <c r="AE639" s="35"/>
      <c r="AF639" s="35"/>
      <c r="AG639" s="35"/>
      <c r="AH639" s="35"/>
      <c r="AI639" s="35"/>
      <c r="AJ639" s="35"/>
      <c r="AK639" s="35"/>
      <c r="AL639" s="35"/>
      <c r="AM639" s="35"/>
      <c r="AN639" s="35"/>
      <c r="AO639" s="35"/>
      <c r="AP639" s="35"/>
      <c r="AQ639" s="35"/>
      <c r="AR639" s="35"/>
      <c r="AS639" s="35"/>
      <c r="AT639" s="35"/>
      <c r="AU639" s="35"/>
      <c r="AV639" s="35"/>
      <c r="AW639" s="35"/>
      <c r="AX639" s="35"/>
    </row>
    <row r="640" ht="15.75" customHeight="1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  <c r="AF640" s="35"/>
      <c r="AG640" s="35"/>
      <c r="AH640" s="35"/>
      <c r="AI640" s="35"/>
      <c r="AJ640" s="35"/>
      <c r="AK640" s="35"/>
      <c r="AL640" s="35"/>
      <c r="AM640" s="35"/>
      <c r="AN640" s="35"/>
      <c r="AO640" s="35"/>
      <c r="AP640" s="35"/>
      <c r="AQ640" s="35"/>
      <c r="AR640" s="35"/>
      <c r="AS640" s="35"/>
      <c r="AT640" s="35"/>
      <c r="AU640" s="35"/>
      <c r="AV640" s="35"/>
      <c r="AW640" s="35"/>
      <c r="AX640" s="35"/>
    </row>
    <row r="641" ht="15.75" customHeight="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  <c r="AE641" s="35"/>
      <c r="AF641" s="35"/>
      <c r="AG641" s="35"/>
      <c r="AH641" s="35"/>
      <c r="AI641" s="35"/>
      <c r="AJ641" s="35"/>
      <c r="AK641" s="35"/>
      <c r="AL641" s="35"/>
      <c r="AM641" s="35"/>
      <c r="AN641" s="35"/>
      <c r="AO641" s="35"/>
      <c r="AP641" s="35"/>
      <c r="AQ641" s="35"/>
      <c r="AR641" s="35"/>
      <c r="AS641" s="35"/>
      <c r="AT641" s="35"/>
      <c r="AU641" s="35"/>
      <c r="AV641" s="35"/>
      <c r="AW641" s="35"/>
      <c r="AX641" s="35"/>
    </row>
    <row r="642" ht="15.75" customHeight="1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  <c r="AE642" s="35"/>
      <c r="AF642" s="35"/>
      <c r="AG642" s="35"/>
      <c r="AH642" s="35"/>
      <c r="AI642" s="35"/>
      <c r="AJ642" s="35"/>
      <c r="AK642" s="35"/>
      <c r="AL642" s="35"/>
      <c r="AM642" s="35"/>
      <c r="AN642" s="35"/>
      <c r="AO642" s="35"/>
      <c r="AP642" s="35"/>
      <c r="AQ642" s="35"/>
      <c r="AR642" s="35"/>
      <c r="AS642" s="35"/>
      <c r="AT642" s="35"/>
      <c r="AU642" s="35"/>
      <c r="AV642" s="35"/>
      <c r="AW642" s="35"/>
      <c r="AX642" s="35"/>
    </row>
    <row r="643" ht="15.75" customHeight="1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  <c r="AE643" s="35"/>
      <c r="AF643" s="35"/>
      <c r="AG643" s="35"/>
      <c r="AH643" s="35"/>
      <c r="AI643" s="35"/>
      <c r="AJ643" s="35"/>
      <c r="AK643" s="35"/>
      <c r="AL643" s="35"/>
      <c r="AM643" s="35"/>
      <c r="AN643" s="35"/>
      <c r="AO643" s="35"/>
      <c r="AP643" s="35"/>
      <c r="AQ643" s="35"/>
      <c r="AR643" s="35"/>
      <c r="AS643" s="35"/>
      <c r="AT643" s="35"/>
      <c r="AU643" s="35"/>
      <c r="AV643" s="35"/>
      <c r="AW643" s="35"/>
      <c r="AX643" s="35"/>
    </row>
    <row r="644" ht="15.75" customHeight="1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  <c r="AE644" s="35"/>
      <c r="AF644" s="35"/>
      <c r="AG644" s="35"/>
      <c r="AH644" s="35"/>
      <c r="AI644" s="35"/>
      <c r="AJ644" s="35"/>
      <c r="AK644" s="35"/>
      <c r="AL644" s="35"/>
      <c r="AM644" s="35"/>
      <c r="AN644" s="35"/>
      <c r="AO644" s="35"/>
      <c r="AP644" s="35"/>
      <c r="AQ644" s="35"/>
      <c r="AR644" s="35"/>
      <c r="AS644" s="35"/>
      <c r="AT644" s="35"/>
      <c r="AU644" s="35"/>
      <c r="AV644" s="35"/>
      <c r="AW644" s="35"/>
      <c r="AX644" s="35"/>
    </row>
    <row r="645" ht="15.75" customHeight="1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  <c r="AE645" s="35"/>
      <c r="AF645" s="35"/>
      <c r="AG645" s="35"/>
      <c r="AH645" s="35"/>
      <c r="AI645" s="35"/>
      <c r="AJ645" s="35"/>
      <c r="AK645" s="35"/>
      <c r="AL645" s="35"/>
      <c r="AM645" s="35"/>
      <c r="AN645" s="35"/>
      <c r="AO645" s="35"/>
      <c r="AP645" s="35"/>
      <c r="AQ645" s="35"/>
      <c r="AR645" s="35"/>
      <c r="AS645" s="35"/>
      <c r="AT645" s="35"/>
      <c r="AU645" s="35"/>
      <c r="AV645" s="35"/>
      <c r="AW645" s="35"/>
      <c r="AX645" s="35"/>
    </row>
    <row r="646" ht="15.75" customHeight="1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  <c r="AE646" s="35"/>
      <c r="AF646" s="35"/>
      <c r="AG646" s="35"/>
      <c r="AH646" s="35"/>
      <c r="AI646" s="35"/>
      <c r="AJ646" s="35"/>
      <c r="AK646" s="35"/>
      <c r="AL646" s="35"/>
      <c r="AM646" s="35"/>
      <c r="AN646" s="35"/>
      <c r="AO646" s="35"/>
      <c r="AP646" s="35"/>
      <c r="AQ646" s="35"/>
      <c r="AR646" s="35"/>
      <c r="AS646" s="35"/>
      <c r="AT646" s="35"/>
      <c r="AU646" s="35"/>
      <c r="AV646" s="35"/>
      <c r="AW646" s="35"/>
      <c r="AX646" s="35"/>
    </row>
    <row r="647" ht="15.75" customHeight="1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  <c r="AE647" s="35"/>
      <c r="AF647" s="35"/>
      <c r="AG647" s="35"/>
      <c r="AH647" s="35"/>
      <c r="AI647" s="35"/>
      <c r="AJ647" s="35"/>
      <c r="AK647" s="35"/>
      <c r="AL647" s="35"/>
      <c r="AM647" s="35"/>
      <c r="AN647" s="35"/>
      <c r="AO647" s="35"/>
      <c r="AP647" s="35"/>
      <c r="AQ647" s="35"/>
      <c r="AR647" s="35"/>
      <c r="AS647" s="35"/>
      <c r="AT647" s="35"/>
      <c r="AU647" s="35"/>
      <c r="AV647" s="35"/>
      <c r="AW647" s="35"/>
      <c r="AX647" s="35"/>
    </row>
    <row r="648" ht="15.75" customHeight="1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  <c r="AE648" s="35"/>
      <c r="AF648" s="35"/>
      <c r="AG648" s="35"/>
      <c r="AH648" s="35"/>
      <c r="AI648" s="35"/>
      <c r="AJ648" s="35"/>
      <c r="AK648" s="35"/>
      <c r="AL648" s="35"/>
      <c r="AM648" s="35"/>
      <c r="AN648" s="35"/>
      <c r="AO648" s="35"/>
      <c r="AP648" s="35"/>
      <c r="AQ648" s="35"/>
      <c r="AR648" s="35"/>
      <c r="AS648" s="35"/>
      <c r="AT648" s="35"/>
      <c r="AU648" s="35"/>
      <c r="AV648" s="35"/>
      <c r="AW648" s="35"/>
      <c r="AX648" s="35"/>
    </row>
    <row r="649" ht="15.75" customHeight="1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  <c r="AE649" s="35"/>
      <c r="AF649" s="35"/>
      <c r="AG649" s="35"/>
      <c r="AH649" s="35"/>
      <c r="AI649" s="35"/>
      <c r="AJ649" s="35"/>
      <c r="AK649" s="35"/>
      <c r="AL649" s="35"/>
      <c r="AM649" s="35"/>
      <c r="AN649" s="35"/>
      <c r="AO649" s="35"/>
      <c r="AP649" s="35"/>
      <c r="AQ649" s="35"/>
      <c r="AR649" s="35"/>
      <c r="AS649" s="35"/>
      <c r="AT649" s="35"/>
      <c r="AU649" s="35"/>
      <c r="AV649" s="35"/>
      <c r="AW649" s="35"/>
      <c r="AX649" s="35"/>
    </row>
    <row r="650" ht="15.75" customHeight="1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  <c r="AE650" s="35"/>
      <c r="AF650" s="35"/>
      <c r="AG650" s="35"/>
      <c r="AH650" s="35"/>
      <c r="AI650" s="35"/>
      <c r="AJ650" s="35"/>
      <c r="AK650" s="35"/>
      <c r="AL650" s="35"/>
      <c r="AM650" s="35"/>
      <c r="AN650" s="35"/>
      <c r="AO650" s="35"/>
      <c r="AP650" s="35"/>
      <c r="AQ650" s="35"/>
      <c r="AR650" s="35"/>
      <c r="AS650" s="35"/>
      <c r="AT650" s="35"/>
      <c r="AU650" s="35"/>
      <c r="AV650" s="35"/>
      <c r="AW650" s="35"/>
      <c r="AX650" s="35"/>
    </row>
    <row r="651" ht="15.75" customHeight="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  <c r="AE651" s="35"/>
      <c r="AF651" s="35"/>
      <c r="AG651" s="35"/>
      <c r="AH651" s="35"/>
      <c r="AI651" s="35"/>
      <c r="AJ651" s="35"/>
      <c r="AK651" s="35"/>
      <c r="AL651" s="35"/>
      <c r="AM651" s="35"/>
      <c r="AN651" s="35"/>
      <c r="AO651" s="35"/>
      <c r="AP651" s="35"/>
      <c r="AQ651" s="35"/>
      <c r="AR651" s="35"/>
      <c r="AS651" s="35"/>
      <c r="AT651" s="35"/>
      <c r="AU651" s="35"/>
      <c r="AV651" s="35"/>
      <c r="AW651" s="35"/>
      <c r="AX651" s="35"/>
    </row>
    <row r="652" ht="15.75" customHeight="1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  <c r="AE652" s="35"/>
      <c r="AF652" s="35"/>
      <c r="AG652" s="35"/>
      <c r="AH652" s="35"/>
      <c r="AI652" s="35"/>
      <c r="AJ652" s="35"/>
      <c r="AK652" s="35"/>
      <c r="AL652" s="35"/>
      <c r="AM652" s="35"/>
      <c r="AN652" s="35"/>
      <c r="AO652" s="35"/>
      <c r="AP652" s="35"/>
      <c r="AQ652" s="35"/>
      <c r="AR652" s="35"/>
      <c r="AS652" s="35"/>
      <c r="AT652" s="35"/>
      <c r="AU652" s="35"/>
      <c r="AV652" s="35"/>
      <c r="AW652" s="35"/>
      <c r="AX652" s="35"/>
    </row>
    <row r="653" ht="15.75" customHeight="1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  <c r="AE653" s="35"/>
      <c r="AF653" s="35"/>
      <c r="AG653" s="35"/>
      <c r="AH653" s="35"/>
      <c r="AI653" s="35"/>
      <c r="AJ653" s="35"/>
      <c r="AK653" s="35"/>
      <c r="AL653" s="35"/>
      <c r="AM653" s="35"/>
      <c r="AN653" s="35"/>
      <c r="AO653" s="35"/>
      <c r="AP653" s="35"/>
      <c r="AQ653" s="35"/>
      <c r="AR653" s="35"/>
      <c r="AS653" s="35"/>
      <c r="AT653" s="35"/>
      <c r="AU653" s="35"/>
      <c r="AV653" s="35"/>
      <c r="AW653" s="35"/>
      <c r="AX653" s="35"/>
    </row>
    <row r="654" ht="15.75" customHeight="1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  <c r="AE654" s="35"/>
      <c r="AF654" s="35"/>
      <c r="AG654" s="35"/>
      <c r="AH654" s="35"/>
      <c r="AI654" s="35"/>
      <c r="AJ654" s="35"/>
      <c r="AK654" s="35"/>
      <c r="AL654" s="35"/>
      <c r="AM654" s="35"/>
      <c r="AN654" s="35"/>
      <c r="AO654" s="35"/>
      <c r="AP654" s="35"/>
      <c r="AQ654" s="35"/>
      <c r="AR654" s="35"/>
      <c r="AS654" s="35"/>
      <c r="AT654" s="35"/>
      <c r="AU654" s="35"/>
      <c r="AV654" s="35"/>
      <c r="AW654" s="35"/>
      <c r="AX654" s="35"/>
    </row>
    <row r="655" ht="15.75" customHeight="1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  <c r="AE655" s="35"/>
      <c r="AF655" s="35"/>
      <c r="AG655" s="35"/>
      <c r="AH655" s="35"/>
      <c r="AI655" s="35"/>
      <c r="AJ655" s="35"/>
      <c r="AK655" s="35"/>
      <c r="AL655" s="35"/>
      <c r="AM655" s="35"/>
      <c r="AN655" s="35"/>
      <c r="AO655" s="35"/>
      <c r="AP655" s="35"/>
      <c r="AQ655" s="35"/>
      <c r="AR655" s="35"/>
      <c r="AS655" s="35"/>
      <c r="AT655" s="35"/>
      <c r="AU655" s="35"/>
      <c r="AV655" s="35"/>
      <c r="AW655" s="35"/>
      <c r="AX655" s="35"/>
    </row>
    <row r="656" ht="15.75" customHeight="1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  <c r="AF656" s="35"/>
      <c r="AG656" s="35"/>
      <c r="AH656" s="35"/>
      <c r="AI656" s="35"/>
      <c r="AJ656" s="35"/>
      <c r="AK656" s="35"/>
      <c r="AL656" s="35"/>
      <c r="AM656" s="35"/>
      <c r="AN656" s="35"/>
      <c r="AO656" s="35"/>
      <c r="AP656" s="35"/>
      <c r="AQ656" s="35"/>
      <c r="AR656" s="35"/>
      <c r="AS656" s="35"/>
      <c r="AT656" s="35"/>
      <c r="AU656" s="35"/>
      <c r="AV656" s="35"/>
      <c r="AW656" s="35"/>
      <c r="AX656" s="35"/>
    </row>
    <row r="657" ht="15.75" customHeight="1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  <c r="AE657" s="35"/>
      <c r="AF657" s="35"/>
      <c r="AG657" s="35"/>
      <c r="AH657" s="35"/>
      <c r="AI657" s="35"/>
      <c r="AJ657" s="35"/>
      <c r="AK657" s="35"/>
      <c r="AL657" s="35"/>
      <c r="AM657" s="35"/>
      <c r="AN657" s="35"/>
      <c r="AO657" s="35"/>
      <c r="AP657" s="35"/>
      <c r="AQ657" s="35"/>
      <c r="AR657" s="35"/>
      <c r="AS657" s="35"/>
      <c r="AT657" s="35"/>
      <c r="AU657" s="35"/>
      <c r="AV657" s="35"/>
      <c r="AW657" s="35"/>
      <c r="AX657" s="35"/>
    </row>
    <row r="658" ht="15.75" customHeight="1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  <c r="AE658" s="35"/>
      <c r="AF658" s="35"/>
      <c r="AG658" s="35"/>
      <c r="AH658" s="35"/>
      <c r="AI658" s="35"/>
      <c r="AJ658" s="35"/>
      <c r="AK658" s="35"/>
      <c r="AL658" s="35"/>
      <c r="AM658" s="35"/>
      <c r="AN658" s="35"/>
      <c r="AO658" s="35"/>
      <c r="AP658" s="35"/>
      <c r="AQ658" s="35"/>
      <c r="AR658" s="35"/>
      <c r="AS658" s="35"/>
      <c r="AT658" s="35"/>
      <c r="AU658" s="35"/>
      <c r="AV658" s="35"/>
      <c r="AW658" s="35"/>
      <c r="AX658" s="35"/>
    </row>
    <row r="659" ht="15.75" customHeight="1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  <c r="AE659" s="35"/>
      <c r="AF659" s="35"/>
      <c r="AG659" s="35"/>
      <c r="AH659" s="35"/>
      <c r="AI659" s="35"/>
      <c r="AJ659" s="35"/>
      <c r="AK659" s="35"/>
      <c r="AL659" s="35"/>
      <c r="AM659" s="35"/>
      <c r="AN659" s="35"/>
      <c r="AO659" s="35"/>
      <c r="AP659" s="35"/>
      <c r="AQ659" s="35"/>
      <c r="AR659" s="35"/>
      <c r="AS659" s="35"/>
      <c r="AT659" s="35"/>
      <c r="AU659" s="35"/>
      <c r="AV659" s="35"/>
      <c r="AW659" s="35"/>
      <c r="AX659" s="35"/>
    </row>
    <row r="660" ht="15.75" customHeight="1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  <c r="AE660" s="35"/>
      <c r="AF660" s="35"/>
      <c r="AG660" s="35"/>
      <c r="AH660" s="35"/>
      <c r="AI660" s="35"/>
      <c r="AJ660" s="35"/>
      <c r="AK660" s="35"/>
      <c r="AL660" s="35"/>
      <c r="AM660" s="35"/>
      <c r="AN660" s="35"/>
      <c r="AO660" s="35"/>
      <c r="AP660" s="35"/>
      <c r="AQ660" s="35"/>
      <c r="AR660" s="35"/>
      <c r="AS660" s="35"/>
      <c r="AT660" s="35"/>
      <c r="AU660" s="35"/>
      <c r="AV660" s="35"/>
      <c r="AW660" s="35"/>
      <c r="AX660" s="35"/>
    </row>
    <row r="661" ht="15.75" customHeight="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  <c r="AE661" s="35"/>
      <c r="AF661" s="35"/>
      <c r="AG661" s="35"/>
      <c r="AH661" s="35"/>
      <c r="AI661" s="35"/>
      <c r="AJ661" s="35"/>
      <c r="AK661" s="35"/>
      <c r="AL661" s="35"/>
      <c r="AM661" s="35"/>
      <c r="AN661" s="35"/>
      <c r="AO661" s="35"/>
      <c r="AP661" s="35"/>
      <c r="AQ661" s="35"/>
      <c r="AR661" s="35"/>
      <c r="AS661" s="35"/>
      <c r="AT661" s="35"/>
      <c r="AU661" s="35"/>
      <c r="AV661" s="35"/>
      <c r="AW661" s="35"/>
      <c r="AX661" s="35"/>
    </row>
    <row r="662" ht="15.75" customHeight="1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  <c r="AE662" s="35"/>
      <c r="AF662" s="35"/>
      <c r="AG662" s="35"/>
      <c r="AH662" s="35"/>
      <c r="AI662" s="35"/>
      <c r="AJ662" s="35"/>
      <c r="AK662" s="35"/>
      <c r="AL662" s="35"/>
      <c r="AM662" s="35"/>
      <c r="AN662" s="35"/>
      <c r="AO662" s="35"/>
      <c r="AP662" s="35"/>
      <c r="AQ662" s="35"/>
      <c r="AR662" s="35"/>
      <c r="AS662" s="35"/>
      <c r="AT662" s="35"/>
      <c r="AU662" s="35"/>
      <c r="AV662" s="35"/>
      <c r="AW662" s="35"/>
      <c r="AX662" s="35"/>
    </row>
    <row r="663" ht="15.75" customHeight="1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  <c r="AE663" s="35"/>
      <c r="AF663" s="35"/>
      <c r="AG663" s="35"/>
      <c r="AH663" s="35"/>
      <c r="AI663" s="35"/>
      <c r="AJ663" s="35"/>
      <c r="AK663" s="35"/>
      <c r="AL663" s="35"/>
      <c r="AM663" s="35"/>
      <c r="AN663" s="35"/>
      <c r="AO663" s="35"/>
      <c r="AP663" s="35"/>
      <c r="AQ663" s="35"/>
      <c r="AR663" s="35"/>
      <c r="AS663" s="35"/>
      <c r="AT663" s="35"/>
      <c r="AU663" s="35"/>
      <c r="AV663" s="35"/>
      <c r="AW663" s="35"/>
      <c r="AX663" s="35"/>
    </row>
    <row r="664" ht="15.75" customHeight="1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  <c r="AE664" s="35"/>
      <c r="AF664" s="35"/>
      <c r="AG664" s="35"/>
      <c r="AH664" s="35"/>
      <c r="AI664" s="35"/>
      <c r="AJ664" s="35"/>
      <c r="AK664" s="35"/>
      <c r="AL664" s="35"/>
      <c r="AM664" s="35"/>
      <c r="AN664" s="35"/>
      <c r="AO664" s="35"/>
      <c r="AP664" s="35"/>
      <c r="AQ664" s="35"/>
      <c r="AR664" s="35"/>
      <c r="AS664" s="35"/>
      <c r="AT664" s="35"/>
      <c r="AU664" s="35"/>
      <c r="AV664" s="35"/>
      <c r="AW664" s="35"/>
      <c r="AX664" s="35"/>
    </row>
    <row r="665" ht="15.75" customHeight="1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  <c r="AE665" s="35"/>
      <c r="AF665" s="35"/>
      <c r="AG665" s="35"/>
      <c r="AH665" s="35"/>
      <c r="AI665" s="35"/>
      <c r="AJ665" s="35"/>
      <c r="AK665" s="35"/>
      <c r="AL665" s="35"/>
      <c r="AM665" s="35"/>
      <c r="AN665" s="35"/>
      <c r="AO665" s="35"/>
      <c r="AP665" s="35"/>
      <c r="AQ665" s="35"/>
      <c r="AR665" s="35"/>
      <c r="AS665" s="35"/>
      <c r="AT665" s="35"/>
      <c r="AU665" s="35"/>
      <c r="AV665" s="35"/>
      <c r="AW665" s="35"/>
      <c r="AX665" s="35"/>
    </row>
    <row r="666" ht="15.75" customHeight="1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  <c r="AE666" s="35"/>
      <c r="AF666" s="35"/>
      <c r="AG666" s="35"/>
      <c r="AH666" s="35"/>
      <c r="AI666" s="35"/>
      <c r="AJ666" s="35"/>
      <c r="AK666" s="35"/>
      <c r="AL666" s="35"/>
      <c r="AM666" s="35"/>
      <c r="AN666" s="35"/>
      <c r="AO666" s="35"/>
      <c r="AP666" s="35"/>
      <c r="AQ666" s="35"/>
      <c r="AR666" s="35"/>
      <c r="AS666" s="35"/>
      <c r="AT666" s="35"/>
      <c r="AU666" s="35"/>
      <c r="AV666" s="35"/>
      <c r="AW666" s="35"/>
      <c r="AX666" s="35"/>
    </row>
    <row r="667" ht="15.75" customHeight="1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  <c r="AE667" s="35"/>
      <c r="AF667" s="35"/>
      <c r="AG667" s="35"/>
      <c r="AH667" s="35"/>
      <c r="AI667" s="35"/>
      <c r="AJ667" s="35"/>
      <c r="AK667" s="35"/>
      <c r="AL667" s="35"/>
      <c r="AM667" s="35"/>
      <c r="AN667" s="35"/>
      <c r="AO667" s="35"/>
      <c r="AP667" s="35"/>
      <c r="AQ667" s="35"/>
      <c r="AR667" s="35"/>
      <c r="AS667" s="35"/>
      <c r="AT667" s="35"/>
      <c r="AU667" s="35"/>
      <c r="AV667" s="35"/>
      <c r="AW667" s="35"/>
      <c r="AX667" s="35"/>
    </row>
    <row r="668" ht="15.75" customHeight="1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  <c r="AE668" s="35"/>
      <c r="AF668" s="35"/>
      <c r="AG668" s="35"/>
      <c r="AH668" s="35"/>
      <c r="AI668" s="35"/>
      <c r="AJ668" s="35"/>
      <c r="AK668" s="35"/>
      <c r="AL668" s="35"/>
      <c r="AM668" s="35"/>
      <c r="AN668" s="35"/>
      <c r="AO668" s="35"/>
      <c r="AP668" s="35"/>
      <c r="AQ668" s="35"/>
      <c r="AR668" s="35"/>
      <c r="AS668" s="35"/>
      <c r="AT668" s="35"/>
      <c r="AU668" s="35"/>
      <c r="AV668" s="35"/>
      <c r="AW668" s="35"/>
      <c r="AX668" s="35"/>
    </row>
    <row r="669" ht="15.75" customHeight="1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  <c r="AE669" s="35"/>
      <c r="AF669" s="35"/>
      <c r="AG669" s="35"/>
      <c r="AH669" s="35"/>
      <c r="AI669" s="35"/>
      <c r="AJ669" s="35"/>
      <c r="AK669" s="35"/>
      <c r="AL669" s="35"/>
      <c r="AM669" s="35"/>
      <c r="AN669" s="35"/>
      <c r="AO669" s="35"/>
      <c r="AP669" s="35"/>
      <c r="AQ669" s="35"/>
      <c r="AR669" s="35"/>
      <c r="AS669" s="35"/>
      <c r="AT669" s="35"/>
      <c r="AU669" s="35"/>
      <c r="AV669" s="35"/>
      <c r="AW669" s="35"/>
      <c r="AX669" s="35"/>
    </row>
    <row r="670" ht="15.75" customHeight="1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  <c r="AE670" s="35"/>
      <c r="AF670" s="35"/>
      <c r="AG670" s="35"/>
      <c r="AH670" s="35"/>
      <c r="AI670" s="35"/>
      <c r="AJ670" s="35"/>
      <c r="AK670" s="35"/>
      <c r="AL670" s="35"/>
      <c r="AM670" s="35"/>
      <c r="AN670" s="35"/>
      <c r="AO670" s="35"/>
      <c r="AP670" s="35"/>
      <c r="AQ670" s="35"/>
      <c r="AR670" s="35"/>
      <c r="AS670" s="35"/>
      <c r="AT670" s="35"/>
      <c r="AU670" s="35"/>
      <c r="AV670" s="35"/>
      <c r="AW670" s="35"/>
      <c r="AX670" s="35"/>
    </row>
    <row r="671" ht="15.75" customHeight="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  <c r="AE671" s="35"/>
      <c r="AF671" s="35"/>
      <c r="AG671" s="35"/>
      <c r="AH671" s="35"/>
      <c r="AI671" s="35"/>
      <c r="AJ671" s="35"/>
      <c r="AK671" s="35"/>
      <c r="AL671" s="35"/>
      <c r="AM671" s="35"/>
      <c r="AN671" s="35"/>
      <c r="AO671" s="35"/>
      <c r="AP671" s="35"/>
      <c r="AQ671" s="35"/>
      <c r="AR671" s="35"/>
      <c r="AS671" s="35"/>
      <c r="AT671" s="35"/>
      <c r="AU671" s="35"/>
      <c r="AV671" s="35"/>
      <c r="AW671" s="35"/>
      <c r="AX671" s="35"/>
    </row>
    <row r="672" ht="15.75" customHeight="1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  <c r="AE672" s="35"/>
      <c r="AF672" s="35"/>
      <c r="AG672" s="35"/>
      <c r="AH672" s="35"/>
      <c r="AI672" s="35"/>
      <c r="AJ672" s="35"/>
      <c r="AK672" s="35"/>
      <c r="AL672" s="35"/>
      <c r="AM672" s="35"/>
      <c r="AN672" s="35"/>
      <c r="AO672" s="35"/>
      <c r="AP672" s="35"/>
      <c r="AQ672" s="35"/>
      <c r="AR672" s="35"/>
      <c r="AS672" s="35"/>
      <c r="AT672" s="35"/>
      <c r="AU672" s="35"/>
      <c r="AV672" s="35"/>
      <c r="AW672" s="35"/>
      <c r="AX672" s="35"/>
    </row>
    <row r="673" ht="15.75" customHeight="1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  <c r="AE673" s="35"/>
      <c r="AF673" s="35"/>
      <c r="AG673" s="35"/>
      <c r="AH673" s="35"/>
      <c r="AI673" s="35"/>
      <c r="AJ673" s="35"/>
      <c r="AK673" s="35"/>
      <c r="AL673" s="35"/>
      <c r="AM673" s="35"/>
      <c r="AN673" s="35"/>
      <c r="AO673" s="35"/>
      <c r="AP673" s="35"/>
      <c r="AQ673" s="35"/>
      <c r="AR673" s="35"/>
      <c r="AS673" s="35"/>
      <c r="AT673" s="35"/>
      <c r="AU673" s="35"/>
      <c r="AV673" s="35"/>
      <c r="AW673" s="35"/>
      <c r="AX673" s="35"/>
    </row>
    <row r="674" ht="15.75" customHeight="1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  <c r="AE674" s="35"/>
      <c r="AF674" s="35"/>
      <c r="AG674" s="35"/>
      <c r="AH674" s="35"/>
      <c r="AI674" s="35"/>
      <c r="AJ674" s="35"/>
      <c r="AK674" s="35"/>
      <c r="AL674" s="35"/>
      <c r="AM674" s="35"/>
      <c r="AN674" s="35"/>
      <c r="AO674" s="35"/>
      <c r="AP674" s="35"/>
      <c r="AQ674" s="35"/>
      <c r="AR674" s="35"/>
      <c r="AS674" s="35"/>
      <c r="AT674" s="35"/>
      <c r="AU674" s="35"/>
      <c r="AV674" s="35"/>
      <c r="AW674" s="35"/>
      <c r="AX674" s="35"/>
    </row>
    <row r="675" ht="15.75" customHeight="1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  <c r="AE675" s="35"/>
      <c r="AF675" s="35"/>
      <c r="AG675" s="35"/>
      <c r="AH675" s="35"/>
      <c r="AI675" s="35"/>
      <c r="AJ675" s="35"/>
      <c r="AK675" s="35"/>
      <c r="AL675" s="35"/>
      <c r="AM675" s="35"/>
      <c r="AN675" s="35"/>
      <c r="AO675" s="35"/>
      <c r="AP675" s="35"/>
      <c r="AQ675" s="35"/>
      <c r="AR675" s="35"/>
      <c r="AS675" s="35"/>
      <c r="AT675" s="35"/>
      <c r="AU675" s="35"/>
      <c r="AV675" s="35"/>
      <c r="AW675" s="35"/>
      <c r="AX675" s="35"/>
    </row>
    <row r="676" ht="15.75" customHeight="1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  <c r="AE676" s="35"/>
      <c r="AF676" s="35"/>
      <c r="AG676" s="35"/>
      <c r="AH676" s="35"/>
      <c r="AI676" s="35"/>
      <c r="AJ676" s="35"/>
      <c r="AK676" s="35"/>
      <c r="AL676" s="35"/>
      <c r="AM676" s="35"/>
      <c r="AN676" s="35"/>
      <c r="AO676" s="35"/>
      <c r="AP676" s="35"/>
      <c r="AQ676" s="35"/>
      <c r="AR676" s="35"/>
      <c r="AS676" s="35"/>
      <c r="AT676" s="35"/>
      <c r="AU676" s="35"/>
      <c r="AV676" s="35"/>
      <c r="AW676" s="35"/>
      <c r="AX676" s="35"/>
    </row>
    <row r="677" ht="15.75" customHeight="1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  <c r="AE677" s="35"/>
      <c r="AF677" s="35"/>
      <c r="AG677" s="35"/>
      <c r="AH677" s="35"/>
      <c r="AI677" s="35"/>
      <c r="AJ677" s="35"/>
      <c r="AK677" s="35"/>
      <c r="AL677" s="35"/>
      <c r="AM677" s="35"/>
      <c r="AN677" s="35"/>
      <c r="AO677" s="35"/>
      <c r="AP677" s="35"/>
      <c r="AQ677" s="35"/>
      <c r="AR677" s="35"/>
      <c r="AS677" s="35"/>
      <c r="AT677" s="35"/>
      <c r="AU677" s="35"/>
      <c r="AV677" s="35"/>
      <c r="AW677" s="35"/>
      <c r="AX677" s="35"/>
    </row>
    <row r="678" ht="15.75" customHeight="1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  <c r="AE678" s="35"/>
      <c r="AF678" s="35"/>
      <c r="AG678" s="35"/>
      <c r="AH678" s="35"/>
      <c r="AI678" s="35"/>
      <c r="AJ678" s="35"/>
      <c r="AK678" s="35"/>
      <c r="AL678" s="35"/>
      <c r="AM678" s="35"/>
      <c r="AN678" s="35"/>
      <c r="AO678" s="35"/>
      <c r="AP678" s="35"/>
      <c r="AQ678" s="35"/>
      <c r="AR678" s="35"/>
      <c r="AS678" s="35"/>
      <c r="AT678" s="35"/>
      <c r="AU678" s="35"/>
      <c r="AV678" s="35"/>
      <c r="AW678" s="35"/>
      <c r="AX678" s="35"/>
    </row>
    <row r="679" ht="15.75" customHeight="1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  <c r="AE679" s="35"/>
      <c r="AF679" s="35"/>
      <c r="AG679" s="35"/>
      <c r="AH679" s="35"/>
      <c r="AI679" s="35"/>
      <c r="AJ679" s="35"/>
      <c r="AK679" s="35"/>
      <c r="AL679" s="35"/>
      <c r="AM679" s="35"/>
      <c r="AN679" s="35"/>
      <c r="AO679" s="35"/>
      <c r="AP679" s="35"/>
      <c r="AQ679" s="35"/>
      <c r="AR679" s="35"/>
      <c r="AS679" s="35"/>
      <c r="AT679" s="35"/>
      <c r="AU679" s="35"/>
      <c r="AV679" s="35"/>
      <c r="AW679" s="35"/>
      <c r="AX679" s="35"/>
    </row>
    <row r="680" ht="15.75" customHeight="1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  <c r="AF680" s="35"/>
      <c r="AG680" s="35"/>
      <c r="AH680" s="35"/>
      <c r="AI680" s="35"/>
      <c r="AJ680" s="35"/>
      <c r="AK680" s="35"/>
      <c r="AL680" s="35"/>
      <c r="AM680" s="35"/>
      <c r="AN680" s="35"/>
      <c r="AO680" s="35"/>
      <c r="AP680" s="35"/>
      <c r="AQ680" s="35"/>
      <c r="AR680" s="35"/>
      <c r="AS680" s="35"/>
      <c r="AT680" s="35"/>
      <c r="AU680" s="35"/>
      <c r="AV680" s="35"/>
      <c r="AW680" s="35"/>
      <c r="AX680" s="35"/>
    </row>
    <row r="681" ht="15.75" customHeight="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  <c r="AE681" s="35"/>
      <c r="AF681" s="35"/>
      <c r="AG681" s="35"/>
      <c r="AH681" s="35"/>
      <c r="AI681" s="35"/>
      <c r="AJ681" s="35"/>
      <c r="AK681" s="35"/>
      <c r="AL681" s="35"/>
      <c r="AM681" s="35"/>
      <c r="AN681" s="35"/>
      <c r="AO681" s="35"/>
      <c r="AP681" s="35"/>
      <c r="AQ681" s="35"/>
      <c r="AR681" s="35"/>
      <c r="AS681" s="35"/>
      <c r="AT681" s="35"/>
      <c r="AU681" s="35"/>
      <c r="AV681" s="35"/>
      <c r="AW681" s="35"/>
      <c r="AX681" s="35"/>
    </row>
    <row r="682" ht="15.75" customHeight="1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  <c r="AE682" s="35"/>
      <c r="AF682" s="35"/>
      <c r="AG682" s="35"/>
      <c r="AH682" s="35"/>
      <c r="AI682" s="35"/>
      <c r="AJ682" s="35"/>
      <c r="AK682" s="35"/>
      <c r="AL682" s="35"/>
      <c r="AM682" s="35"/>
      <c r="AN682" s="35"/>
      <c r="AO682" s="35"/>
      <c r="AP682" s="35"/>
      <c r="AQ682" s="35"/>
      <c r="AR682" s="35"/>
      <c r="AS682" s="35"/>
      <c r="AT682" s="35"/>
      <c r="AU682" s="35"/>
      <c r="AV682" s="35"/>
      <c r="AW682" s="35"/>
      <c r="AX682" s="35"/>
    </row>
    <row r="683" ht="15.75" customHeight="1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  <c r="AE683" s="35"/>
      <c r="AF683" s="35"/>
      <c r="AG683" s="35"/>
      <c r="AH683" s="35"/>
      <c r="AI683" s="35"/>
      <c r="AJ683" s="35"/>
      <c r="AK683" s="35"/>
      <c r="AL683" s="35"/>
      <c r="AM683" s="35"/>
      <c r="AN683" s="35"/>
      <c r="AO683" s="35"/>
      <c r="AP683" s="35"/>
      <c r="AQ683" s="35"/>
      <c r="AR683" s="35"/>
      <c r="AS683" s="35"/>
      <c r="AT683" s="35"/>
      <c r="AU683" s="35"/>
      <c r="AV683" s="35"/>
      <c r="AW683" s="35"/>
      <c r="AX683" s="35"/>
    </row>
    <row r="684" ht="15.75" customHeight="1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  <c r="AE684" s="35"/>
      <c r="AF684" s="35"/>
      <c r="AG684" s="35"/>
      <c r="AH684" s="35"/>
      <c r="AI684" s="35"/>
      <c r="AJ684" s="35"/>
      <c r="AK684" s="35"/>
      <c r="AL684" s="35"/>
      <c r="AM684" s="35"/>
      <c r="AN684" s="35"/>
      <c r="AO684" s="35"/>
      <c r="AP684" s="35"/>
      <c r="AQ684" s="35"/>
      <c r="AR684" s="35"/>
      <c r="AS684" s="35"/>
      <c r="AT684" s="35"/>
      <c r="AU684" s="35"/>
      <c r="AV684" s="35"/>
      <c r="AW684" s="35"/>
      <c r="AX684" s="35"/>
    </row>
    <row r="685" ht="15.75" customHeight="1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  <c r="AF685" s="35"/>
      <c r="AG685" s="35"/>
      <c r="AH685" s="35"/>
      <c r="AI685" s="35"/>
      <c r="AJ685" s="35"/>
      <c r="AK685" s="35"/>
      <c r="AL685" s="35"/>
      <c r="AM685" s="35"/>
      <c r="AN685" s="35"/>
      <c r="AO685" s="35"/>
      <c r="AP685" s="35"/>
      <c r="AQ685" s="35"/>
      <c r="AR685" s="35"/>
      <c r="AS685" s="35"/>
      <c r="AT685" s="35"/>
      <c r="AU685" s="35"/>
      <c r="AV685" s="35"/>
      <c r="AW685" s="35"/>
      <c r="AX685" s="35"/>
    </row>
    <row r="686" ht="15.75" customHeight="1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  <c r="AE686" s="35"/>
      <c r="AF686" s="35"/>
      <c r="AG686" s="35"/>
      <c r="AH686" s="35"/>
      <c r="AI686" s="35"/>
      <c r="AJ686" s="35"/>
      <c r="AK686" s="35"/>
      <c r="AL686" s="35"/>
      <c r="AM686" s="35"/>
      <c r="AN686" s="35"/>
      <c r="AO686" s="35"/>
      <c r="AP686" s="35"/>
      <c r="AQ686" s="35"/>
      <c r="AR686" s="35"/>
      <c r="AS686" s="35"/>
      <c r="AT686" s="35"/>
      <c r="AU686" s="35"/>
      <c r="AV686" s="35"/>
      <c r="AW686" s="35"/>
      <c r="AX686" s="35"/>
    </row>
    <row r="687" ht="15.75" customHeight="1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  <c r="AE687" s="35"/>
      <c r="AF687" s="35"/>
      <c r="AG687" s="35"/>
      <c r="AH687" s="35"/>
      <c r="AI687" s="35"/>
      <c r="AJ687" s="35"/>
      <c r="AK687" s="35"/>
      <c r="AL687" s="35"/>
      <c r="AM687" s="35"/>
      <c r="AN687" s="35"/>
      <c r="AO687" s="35"/>
      <c r="AP687" s="35"/>
      <c r="AQ687" s="35"/>
      <c r="AR687" s="35"/>
      <c r="AS687" s="35"/>
      <c r="AT687" s="35"/>
      <c r="AU687" s="35"/>
      <c r="AV687" s="35"/>
      <c r="AW687" s="35"/>
      <c r="AX687" s="35"/>
    </row>
    <row r="688" ht="15.75" customHeight="1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  <c r="AE688" s="35"/>
      <c r="AF688" s="35"/>
      <c r="AG688" s="35"/>
      <c r="AH688" s="35"/>
      <c r="AI688" s="35"/>
      <c r="AJ688" s="35"/>
      <c r="AK688" s="35"/>
      <c r="AL688" s="35"/>
      <c r="AM688" s="35"/>
      <c r="AN688" s="35"/>
      <c r="AO688" s="35"/>
      <c r="AP688" s="35"/>
      <c r="AQ688" s="35"/>
      <c r="AR688" s="35"/>
      <c r="AS688" s="35"/>
      <c r="AT688" s="35"/>
      <c r="AU688" s="35"/>
      <c r="AV688" s="35"/>
      <c r="AW688" s="35"/>
      <c r="AX688" s="35"/>
    </row>
    <row r="689" ht="15.75" customHeight="1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  <c r="AE689" s="35"/>
      <c r="AF689" s="35"/>
      <c r="AG689" s="35"/>
      <c r="AH689" s="35"/>
      <c r="AI689" s="35"/>
      <c r="AJ689" s="35"/>
      <c r="AK689" s="35"/>
      <c r="AL689" s="35"/>
      <c r="AM689" s="35"/>
      <c r="AN689" s="35"/>
      <c r="AO689" s="35"/>
      <c r="AP689" s="35"/>
      <c r="AQ689" s="35"/>
      <c r="AR689" s="35"/>
      <c r="AS689" s="35"/>
      <c r="AT689" s="35"/>
      <c r="AU689" s="35"/>
      <c r="AV689" s="35"/>
      <c r="AW689" s="35"/>
      <c r="AX689" s="35"/>
    </row>
    <row r="690" ht="15.75" customHeight="1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  <c r="AE690" s="35"/>
      <c r="AF690" s="35"/>
      <c r="AG690" s="35"/>
      <c r="AH690" s="35"/>
      <c r="AI690" s="35"/>
      <c r="AJ690" s="35"/>
      <c r="AK690" s="35"/>
      <c r="AL690" s="35"/>
      <c r="AM690" s="35"/>
      <c r="AN690" s="35"/>
      <c r="AO690" s="35"/>
      <c r="AP690" s="35"/>
      <c r="AQ690" s="35"/>
      <c r="AR690" s="35"/>
      <c r="AS690" s="35"/>
      <c r="AT690" s="35"/>
      <c r="AU690" s="35"/>
      <c r="AV690" s="35"/>
      <c r="AW690" s="35"/>
      <c r="AX690" s="35"/>
    </row>
    <row r="691" ht="15.75" customHeight="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  <c r="AE691" s="35"/>
      <c r="AF691" s="35"/>
      <c r="AG691" s="35"/>
      <c r="AH691" s="35"/>
      <c r="AI691" s="35"/>
      <c r="AJ691" s="35"/>
      <c r="AK691" s="35"/>
      <c r="AL691" s="35"/>
      <c r="AM691" s="35"/>
      <c r="AN691" s="35"/>
      <c r="AO691" s="35"/>
      <c r="AP691" s="35"/>
      <c r="AQ691" s="35"/>
      <c r="AR691" s="35"/>
      <c r="AS691" s="35"/>
      <c r="AT691" s="35"/>
      <c r="AU691" s="35"/>
      <c r="AV691" s="35"/>
      <c r="AW691" s="35"/>
      <c r="AX691" s="35"/>
    </row>
    <row r="692" ht="15.75" customHeight="1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  <c r="AF692" s="35"/>
      <c r="AG692" s="35"/>
      <c r="AH692" s="35"/>
      <c r="AI692" s="35"/>
      <c r="AJ692" s="35"/>
      <c r="AK692" s="35"/>
      <c r="AL692" s="35"/>
      <c r="AM692" s="35"/>
      <c r="AN692" s="35"/>
      <c r="AO692" s="35"/>
      <c r="AP692" s="35"/>
      <c r="AQ692" s="35"/>
      <c r="AR692" s="35"/>
      <c r="AS692" s="35"/>
      <c r="AT692" s="35"/>
      <c r="AU692" s="35"/>
      <c r="AV692" s="35"/>
      <c r="AW692" s="35"/>
      <c r="AX692" s="35"/>
    </row>
    <row r="693" ht="15.75" customHeight="1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  <c r="AE693" s="35"/>
      <c r="AF693" s="35"/>
      <c r="AG693" s="35"/>
      <c r="AH693" s="35"/>
      <c r="AI693" s="35"/>
      <c r="AJ693" s="35"/>
      <c r="AK693" s="35"/>
      <c r="AL693" s="35"/>
      <c r="AM693" s="35"/>
      <c r="AN693" s="35"/>
      <c r="AO693" s="35"/>
      <c r="AP693" s="35"/>
      <c r="AQ693" s="35"/>
      <c r="AR693" s="35"/>
      <c r="AS693" s="35"/>
      <c r="AT693" s="35"/>
      <c r="AU693" s="35"/>
      <c r="AV693" s="35"/>
      <c r="AW693" s="35"/>
      <c r="AX693" s="35"/>
    </row>
    <row r="694" ht="15.75" customHeight="1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  <c r="AE694" s="35"/>
      <c r="AF694" s="35"/>
      <c r="AG694" s="35"/>
      <c r="AH694" s="35"/>
      <c r="AI694" s="35"/>
      <c r="AJ694" s="35"/>
      <c r="AK694" s="35"/>
      <c r="AL694" s="35"/>
      <c r="AM694" s="35"/>
      <c r="AN694" s="35"/>
      <c r="AO694" s="35"/>
      <c r="AP694" s="35"/>
      <c r="AQ694" s="35"/>
      <c r="AR694" s="35"/>
      <c r="AS694" s="35"/>
      <c r="AT694" s="35"/>
      <c r="AU694" s="35"/>
      <c r="AV694" s="35"/>
      <c r="AW694" s="35"/>
      <c r="AX694" s="35"/>
    </row>
    <row r="695" ht="15.75" customHeight="1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  <c r="AE695" s="35"/>
      <c r="AF695" s="35"/>
      <c r="AG695" s="35"/>
      <c r="AH695" s="35"/>
      <c r="AI695" s="35"/>
      <c r="AJ695" s="35"/>
      <c r="AK695" s="35"/>
      <c r="AL695" s="35"/>
      <c r="AM695" s="35"/>
      <c r="AN695" s="35"/>
      <c r="AO695" s="35"/>
      <c r="AP695" s="35"/>
      <c r="AQ695" s="35"/>
      <c r="AR695" s="35"/>
      <c r="AS695" s="35"/>
      <c r="AT695" s="35"/>
      <c r="AU695" s="35"/>
      <c r="AV695" s="35"/>
      <c r="AW695" s="35"/>
      <c r="AX695" s="35"/>
    </row>
    <row r="696" ht="15.75" customHeight="1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  <c r="AE696" s="35"/>
      <c r="AF696" s="35"/>
      <c r="AG696" s="35"/>
      <c r="AH696" s="35"/>
      <c r="AI696" s="35"/>
      <c r="AJ696" s="35"/>
      <c r="AK696" s="35"/>
      <c r="AL696" s="35"/>
      <c r="AM696" s="35"/>
      <c r="AN696" s="35"/>
      <c r="AO696" s="35"/>
      <c r="AP696" s="35"/>
      <c r="AQ696" s="35"/>
      <c r="AR696" s="35"/>
      <c r="AS696" s="35"/>
      <c r="AT696" s="35"/>
      <c r="AU696" s="35"/>
      <c r="AV696" s="35"/>
      <c r="AW696" s="35"/>
      <c r="AX696" s="35"/>
    </row>
    <row r="697" ht="15.75" customHeight="1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  <c r="AE697" s="35"/>
      <c r="AF697" s="35"/>
      <c r="AG697" s="35"/>
      <c r="AH697" s="35"/>
      <c r="AI697" s="35"/>
      <c r="AJ697" s="35"/>
      <c r="AK697" s="35"/>
      <c r="AL697" s="35"/>
      <c r="AM697" s="35"/>
      <c r="AN697" s="35"/>
      <c r="AO697" s="35"/>
      <c r="AP697" s="35"/>
      <c r="AQ697" s="35"/>
      <c r="AR697" s="35"/>
      <c r="AS697" s="35"/>
      <c r="AT697" s="35"/>
      <c r="AU697" s="35"/>
      <c r="AV697" s="35"/>
      <c r="AW697" s="35"/>
      <c r="AX697" s="35"/>
    </row>
    <row r="698" ht="15.75" customHeight="1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  <c r="AE698" s="35"/>
      <c r="AF698" s="35"/>
      <c r="AG698" s="35"/>
      <c r="AH698" s="35"/>
      <c r="AI698" s="35"/>
      <c r="AJ698" s="35"/>
      <c r="AK698" s="35"/>
      <c r="AL698" s="35"/>
      <c r="AM698" s="35"/>
      <c r="AN698" s="35"/>
      <c r="AO698" s="35"/>
      <c r="AP698" s="35"/>
      <c r="AQ698" s="35"/>
      <c r="AR698" s="35"/>
      <c r="AS698" s="35"/>
      <c r="AT698" s="35"/>
      <c r="AU698" s="35"/>
      <c r="AV698" s="35"/>
      <c r="AW698" s="35"/>
      <c r="AX698" s="35"/>
    </row>
    <row r="699" ht="15.75" customHeight="1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  <c r="AE699" s="35"/>
      <c r="AF699" s="35"/>
      <c r="AG699" s="35"/>
      <c r="AH699" s="35"/>
      <c r="AI699" s="35"/>
      <c r="AJ699" s="35"/>
      <c r="AK699" s="35"/>
      <c r="AL699" s="35"/>
      <c r="AM699" s="35"/>
      <c r="AN699" s="35"/>
      <c r="AO699" s="35"/>
      <c r="AP699" s="35"/>
      <c r="AQ699" s="35"/>
      <c r="AR699" s="35"/>
      <c r="AS699" s="35"/>
      <c r="AT699" s="35"/>
      <c r="AU699" s="35"/>
      <c r="AV699" s="35"/>
      <c r="AW699" s="35"/>
      <c r="AX699" s="35"/>
    </row>
    <row r="700" ht="15.75" customHeight="1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  <c r="AE700" s="35"/>
      <c r="AF700" s="35"/>
      <c r="AG700" s="35"/>
      <c r="AH700" s="35"/>
      <c r="AI700" s="35"/>
      <c r="AJ700" s="35"/>
      <c r="AK700" s="35"/>
      <c r="AL700" s="35"/>
      <c r="AM700" s="35"/>
      <c r="AN700" s="35"/>
      <c r="AO700" s="35"/>
      <c r="AP700" s="35"/>
      <c r="AQ700" s="35"/>
      <c r="AR700" s="35"/>
      <c r="AS700" s="35"/>
      <c r="AT700" s="35"/>
      <c r="AU700" s="35"/>
      <c r="AV700" s="35"/>
      <c r="AW700" s="35"/>
      <c r="AX700" s="35"/>
    </row>
    <row r="701" ht="15.75" customHeight="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  <c r="AE701" s="35"/>
      <c r="AF701" s="35"/>
      <c r="AG701" s="35"/>
      <c r="AH701" s="35"/>
      <c r="AI701" s="35"/>
      <c r="AJ701" s="35"/>
      <c r="AK701" s="35"/>
      <c r="AL701" s="35"/>
      <c r="AM701" s="35"/>
      <c r="AN701" s="35"/>
      <c r="AO701" s="35"/>
      <c r="AP701" s="35"/>
      <c r="AQ701" s="35"/>
      <c r="AR701" s="35"/>
      <c r="AS701" s="35"/>
      <c r="AT701" s="35"/>
      <c r="AU701" s="35"/>
      <c r="AV701" s="35"/>
      <c r="AW701" s="35"/>
      <c r="AX701" s="35"/>
    </row>
    <row r="702" ht="15.75" customHeight="1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  <c r="AE702" s="35"/>
      <c r="AF702" s="35"/>
      <c r="AG702" s="35"/>
      <c r="AH702" s="35"/>
      <c r="AI702" s="35"/>
      <c r="AJ702" s="35"/>
      <c r="AK702" s="35"/>
      <c r="AL702" s="35"/>
      <c r="AM702" s="35"/>
      <c r="AN702" s="35"/>
      <c r="AO702" s="35"/>
      <c r="AP702" s="35"/>
      <c r="AQ702" s="35"/>
      <c r="AR702" s="35"/>
      <c r="AS702" s="35"/>
      <c r="AT702" s="35"/>
      <c r="AU702" s="35"/>
      <c r="AV702" s="35"/>
      <c r="AW702" s="35"/>
      <c r="AX702" s="35"/>
    </row>
    <row r="703" ht="15.75" customHeight="1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  <c r="AE703" s="35"/>
      <c r="AF703" s="35"/>
      <c r="AG703" s="35"/>
      <c r="AH703" s="35"/>
      <c r="AI703" s="35"/>
      <c r="AJ703" s="35"/>
      <c r="AK703" s="35"/>
      <c r="AL703" s="35"/>
      <c r="AM703" s="35"/>
      <c r="AN703" s="35"/>
      <c r="AO703" s="35"/>
      <c r="AP703" s="35"/>
      <c r="AQ703" s="35"/>
      <c r="AR703" s="35"/>
      <c r="AS703" s="35"/>
      <c r="AT703" s="35"/>
      <c r="AU703" s="35"/>
      <c r="AV703" s="35"/>
      <c r="AW703" s="35"/>
      <c r="AX703" s="35"/>
    </row>
    <row r="704" ht="15.75" customHeight="1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  <c r="AF704" s="35"/>
      <c r="AG704" s="35"/>
      <c r="AH704" s="35"/>
      <c r="AI704" s="35"/>
      <c r="AJ704" s="35"/>
      <c r="AK704" s="35"/>
      <c r="AL704" s="35"/>
      <c r="AM704" s="35"/>
      <c r="AN704" s="35"/>
      <c r="AO704" s="35"/>
      <c r="AP704" s="35"/>
      <c r="AQ704" s="35"/>
      <c r="AR704" s="35"/>
      <c r="AS704" s="35"/>
      <c r="AT704" s="35"/>
      <c r="AU704" s="35"/>
      <c r="AV704" s="35"/>
      <c r="AW704" s="35"/>
      <c r="AX704" s="35"/>
    </row>
    <row r="705" ht="15.75" customHeight="1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  <c r="AF705" s="35"/>
      <c r="AG705" s="35"/>
      <c r="AH705" s="35"/>
      <c r="AI705" s="35"/>
      <c r="AJ705" s="35"/>
      <c r="AK705" s="35"/>
      <c r="AL705" s="35"/>
      <c r="AM705" s="35"/>
      <c r="AN705" s="35"/>
      <c r="AO705" s="35"/>
      <c r="AP705" s="35"/>
      <c r="AQ705" s="35"/>
      <c r="AR705" s="35"/>
      <c r="AS705" s="35"/>
      <c r="AT705" s="35"/>
      <c r="AU705" s="35"/>
      <c r="AV705" s="35"/>
      <c r="AW705" s="35"/>
      <c r="AX705" s="35"/>
    </row>
    <row r="706" ht="15.75" customHeight="1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  <c r="AE706" s="35"/>
      <c r="AF706" s="35"/>
      <c r="AG706" s="35"/>
      <c r="AH706" s="35"/>
      <c r="AI706" s="35"/>
      <c r="AJ706" s="35"/>
      <c r="AK706" s="35"/>
      <c r="AL706" s="35"/>
      <c r="AM706" s="35"/>
      <c r="AN706" s="35"/>
      <c r="AO706" s="35"/>
      <c r="AP706" s="35"/>
      <c r="AQ706" s="35"/>
      <c r="AR706" s="35"/>
      <c r="AS706" s="35"/>
      <c r="AT706" s="35"/>
      <c r="AU706" s="35"/>
      <c r="AV706" s="35"/>
      <c r="AW706" s="35"/>
      <c r="AX706" s="35"/>
    </row>
    <row r="707" ht="15.75" customHeight="1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  <c r="AE707" s="35"/>
      <c r="AF707" s="35"/>
      <c r="AG707" s="35"/>
      <c r="AH707" s="35"/>
      <c r="AI707" s="35"/>
      <c r="AJ707" s="35"/>
      <c r="AK707" s="35"/>
      <c r="AL707" s="35"/>
      <c r="AM707" s="35"/>
      <c r="AN707" s="35"/>
      <c r="AO707" s="35"/>
      <c r="AP707" s="35"/>
      <c r="AQ707" s="35"/>
      <c r="AR707" s="35"/>
      <c r="AS707" s="35"/>
      <c r="AT707" s="35"/>
      <c r="AU707" s="35"/>
      <c r="AV707" s="35"/>
      <c r="AW707" s="35"/>
      <c r="AX707" s="35"/>
    </row>
    <row r="708" ht="15.75" customHeight="1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  <c r="AE708" s="35"/>
      <c r="AF708" s="35"/>
      <c r="AG708" s="35"/>
      <c r="AH708" s="35"/>
      <c r="AI708" s="35"/>
      <c r="AJ708" s="35"/>
      <c r="AK708" s="35"/>
      <c r="AL708" s="35"/>
      <c r="AM708" s="35"/>
      <c r="AN708" s="35"/>
      <c r="AO708" s="35"/>
      <c r="AP708" s="35"/>
      <c r="AQ708" s="35"/>
      <c r="AR708" s="35"/>
      <c r="AS708" s="35"/>
      <c r="AT708" s="35"/>
      <c r="AU708" s="35"/>
      <c r="AV708" s="35"/>
      <c r="AW708" s="35"/>
      <c r="AX708" s="35"/>
    </row>
    <row r="709" ht="15.75" customHeight="1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  <c r="AE709" s="35"/>
      <c r="AF709" s="35"/>
      <c r="AG709" s="35"/>
      <c r="AH709" s="35"/>
      <c r="AI709" s="35"/>
      <c r="AJ709" s="35"/>
      <c r="AK709" s="35"/>
      <c r="AL709" s="35"/>
      <c r="AM709" s="35"/>
      <c r="AN709" s="35"/>
      <c r="AO709" s="35"/>
      <c r="AP709" s="35"/>
      <c r="AQ709" s="35"/>
      <c r="AR709" s="35"/>
      <c r="AS709" s="35"/>
      <c r="AT709" s="35"/>
      <c r="AU709" s="35"/>
      <c r="AV709" s="35"/>
      <c r="AW709" s="35"/>
      <c r="AX709" s="35"/>
    </row>
    <row r="710" ht="15.75" customHeight="1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  <c r="AE710" s="35"/>
      <c r="AF710" s="35"/>
      <c r="AG710" s="35"/>
      <c r="AH710" s="35"/>
      <c r="AI710" s="35"/>
      <c r="AJ710" s="35"/>
      <c r="AK710" s="35"/>
      <c r="AL710" s="35"/>
      <c r="AM710" s="35"/>
      <c r="AN710" s="35"/>
      <c r="AO710" s="35"/>
      <c r="AP710" s="35"/>
      <c r="AQ710" s="35"/>
      <c r="AR710" s="35"/>
      <c r="AS710" s="35"/>
      <c r="AT710" s="35"/>
      <c r="AU710" s="35"/>
      <c r="AV710" s="35"/>
      <c r="AW710" s="35"/>
      <c r="AX710" s="35"/>
    </row>
    <row r="711" ht="15.75" customHeight="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  <c r="AE711" s="35"/>
      <c r="AF711" s="35"/>
      <c r="AG711" s="35"/>
      <c r="AH711" s="35"/>
      <c r="AI711" s="35"/>
      <c r="AJ711" s="35"/>
      <c r="AK711" s="35"/>
      <c r="AL711" s="35"/>
      <c r="AM711" s="35"/>
      <c r="AN711" s="35"/>
      <c r="AO711" s="35"/>
      <c r="AP711" s="35"/>
      <c r="AQ711" s="35"/>
      <c r="AR711" s="35"/>
      <c r="AS711" s="35"/>
      <c r="AT711" s="35"/>
      <c r="AU711" s="35"/>
      <c r="AV711" s="35"/>
      <c r="AW711" s="35"/>
      <c r="AX711" s="35"/>
    </row>
    <row r="712" ht="15.75" customHeight="1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  <c r="AE712" s="35"/>
      <c r="AF712" s="35"/>
      <c r="AG712" s="35"/>
      <c r="AH712" s="35"/>
      <c r="AI712" s="35"/>
      <c r="AJ712" s="35"/>
      <c r="AK712" s="35"/>
      <c r="AL712" s="35"/>
      <c r="AM712" s="35"/>
      <c r="AN712" s="35"/>
      <c r="AO712" s="35"/>
      <c r="AP712" s="35"/>
      <c r="AQ712" s="35"/>
      <c r="AR712" s="35"/>
      <c r="AS712" s="35"/>
      <c r="AT712" s="35"/>
      <c r="AU712" s="35"/>
      <c r="AV712" s="35"/>
      <c r="AW712" s="35"/>
      <c r="AX712" s="35"/>
    </row>
    <row r="713" ht="15.75" customHeight="1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  <c r="AE713" s="35"/>
      <c r="AF713" s="35"/>
      <c r="AG713" s="35"/>
      <c r="AH713" s="35"/>
      <c r="AI713" s="35"/>
      <c r="AJ713" s="35"/>
      <c r="AK713" s="35"/>
      <c r="AL713" s="35"/>
      <c r="AM713" s="35"/>
      <c r="AN713" s="35"/>
      <c r="AO713" s="35"/>
      <c r="AP713" s="35"/>
      <c r="AQ713" s="35"/>
      <c r="AR713" s="35"/>
      <c r="AS713" s="35"/>
      <c r="AT713" s="35"/>
      <c r="AU713" s="35"/>
      <c r="AV713" s="35"/>
      <c r="AW713" s="35"/>
      <c r="AX713" s="35"/>
    </row>
    <row r="714" ht="15.75" customHeight="1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  <c r="AE714" s="35"/>
      <c r="AF714" s="35"/>
      <c r="AG714" s="35"/>
      <c r="AH714" s="35"/>
      <c r="AI714" s="35"/>
      <c r="AJ714" s="35"/>
      <c r="AK714" s="35"/>
      <c r="AL714" s="35"/>
      <c r="AM714" s="35"/>
      <c r="AN714" s="35"/>
      <c r="AO714" s="35"/>
      <c r="AP714" s="35"/>
      <c r="AQ714" s="35"/>
      <c r="AR714" s="35"/>
      <c r="AS714" s="35"/>
      <c r="AT714" s="35"/>
      <c r="AU714" s="35"/>
      <c r="AV714" s="35"/>
      <c r="AW714" s="35"/>
      <c r="AX714" s="35"/>
    </row>
    <row r="715" ht="15.75" customHeight="1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  <c r="AE715" s="35"/>
      <c r="AF715" s="35"/>
      <c r="AG715" s="35"/>
      <c r="AH715" s="35"/>
      <c r="AI715" s="35"/>
      <c r="AJ715" s="35"/>
      <c r="AK715" s="35"/>
      <c r="AL715" s="35"/>
      <c r="AM715" s="35"/>
      <c r="AN715" s="35"/>
      <c r="AO715" s="35"/>
      <c r="AP715" s="35"/>
      <c r="AQ715" s="35"/>
      <c r="AR715" s="35"/>
      <c r="AS715" s="35"/>
      <c r="AT715" s="35"/>
      <c r="AU715" s="35"/>
      <c r="AV715" s="35"/>
      <c r="AW715" s="35"/>
      <c r="AX715" s="35"/>
    </row>
    <row r="716" ht="15.75" customHeight="1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  <c r="AE716" s="35"/>
      <c r="AF716" s="35"/>
      <c r="AG716" s="35"/>
      <c r="AH716" s="35"/>
      <c r="AI716" s="35"/>
      <c r="AJ716" s="35"/>
      <c r="AK716" s="35"/>
      <c r="AL716" s="35"/>
      <c r="AM716" s="35"/>
      <c r="AN716" s="35"/>
      <c r="AO716" s="35"/>
      <c r="AP716" s="35"/>
      <c r="AQ716" s="35"/>
      <c r="AR716" s="35"/>
      <c r="AS716" s="35"/>
      <c r="AT716" s="35"/>
      <c r="AU716" s="35"/>
      <c r="AV716" s="35"/>
      <c r="AW716" s="35"/>
      <c r="AX716" s="35"/>
    </row>
    <row r="717" ht="15.75" customHeight="1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  <c r="AE717" s="35"/>
      <c r="AF717" s="35"/>
      <c r="AG717" s="35"/>
      <c r="AH717" s="35"/>
      <c r="AI717" s="35"/>
      <c r="AJ717" s="35"/>
      <c r="AK717" s="35"/>
      <c r="AL717" s="35"/>
      <c r="AM717" s="35"/>
      <c r="AN717" s="35"/>
      <c r="AO717" s="35"/>
      <c r="AP717" s="35"/>
      <c r="AQ717" s="35"/>
      <c r="AR717" s="35"/>
      <c r="AS717" s="35"/>
      <c r="AT717" s="35"/>
      <c r="AU717" s="35"/>
      <c r="AV717" s="35"/>
      <c r="AW717" s="35"/>
      <c r="AX717" s="35"/>
    </row>
    <row r="718" ht="15.75" customHeight="1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  <c r="AE718" s="35"/>
      <c r="AF718" s="35"/>
      <c r="AG718" s="35"/>
      <c r="AH718" s="35"/>
      <c r="AI718" s="35"/>
      <c r="AJ718" s="35"/>
      <c r="AK718" s="35"/>
      <c r="AL718" s="35"/>
      <c r="AM718" s="35"/>
      <c r="AN718" s="35"/>
      <c r="AO718" s="35"/>
      <c r="AP718" s="35"/>
      <c r="AQ718" s="35"/>
      <c r="AR718" s="35"/>
      <c r="AS718" s="35"/>
      <c r="AT718" s="35"/>
      <c r="AU718" s="35"/>
      <c r="AV718" s="35"/>
      <c r="AW718" s="35"/>
      <c r="AX718" s="35"/>
    </row>
    <row r="719" ht="15.75" customHeight="1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  <c r="AE719" s="35"/>
      <c r="AF719" s="35"/>
      <c r="AG719" s="35"/>
      <c r="AH719" s="35"/>
      <c r="AI719" s="35"/>
      <c r="AJ719" s="35"/>
      <c r="AK719" s="35"/>
      <c r="AL719" s="35"/>
      <c r="AM719" s="35"/>
      <c r="AN719" s="35"/>
      <c r="AO719" s="35"/>
      <c r="AP719" s="35"/>
      <c r="AQ719" s="35"/>
      <c r="AR719" s="35"/>
      <c r="AS719" s="35"/>
      <c r="AT719" s="35"/>
      <c r="AU719" s="35"/>
      <c r="AV719" s="35"/>
      <c r="AW719" s="35"/>
      <c r="AX719" s="35"/>
    </row>
    <row r="720" ht="15.75" customHeight="1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  <c r="AE720" s="35"/>
      <c r="AF720" s="35"/>
      <c r="AG720" s="35"/>
      <c r="AH720" s="35"/>
      <c r="AI720" s="35"/>
      <c r="AJ720" s="35"/>
      <c r="AK720" s="35"/>
      <c r="AL720" s="35"/>
      <c r="AM720" s="35"/>
      <c r="AN720" s="35"/>
      <c r="AO720" s="35"/>
      <c r="AP720" s="35"/>
      <c r="AQ720" s="35"/>
      <c r="AR720" s="35"/>
      <c r="AS720" s="35"/>
      <c r="AT720" s="35"/>
      <c r="AU720" s="35"/>
      <c r="AV720" s="35"/>
      <c r="AW720" s="35"/>
      <c r="AX720" s="35"/>
    </row>
    <row r="721" ht="15.75" customHeight="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  <c r="AE721" s="35"/>
      <c r="AF721" s="35"/>
      <c r="AG721" s="35"/>
      <c r="AH721" s="35"/>
      <c r="AI721" s="35"/>
      <c r="AJ721" s="35"/>
      <c r="AK721" s="35"/>
      <c r="AL721" s="35"/>
      <c r="AM721" s="35"/>
      <c r="AN721" s="35"/>
      <c r="AO721" s="35"/>
      <c r="AP721" s="35"/>
      <c r="AQ721" s="35"/>
      <c r="AR721" s="35"/>
      <c r="AS721" s="35"/>
      <c r="AT721" s="35"/>
      <c r="AU721" s="35"/>
      <c r="AV721" s="35"/>
      <c r="AW721" s="35"/>
      <c r="AX721" s="35"/>
    </row>
    <row r="722" ht="15.75" customHeight="1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  <c r="AE722" s="35"/>
      <c r="AF722" s="35"/>
      <c r="AG722" s="35"/>
      <c r="AH722" s="35"/>
      <c r="AI722" s="35"/>
      <c r="AJ722" s="35"/>
      <c r="AK722" s="35"/>
      <c r="AL722" s="35"/>
      <c r="AM722" s="35"/>
      <c r="AN722" s="35"/>
      <c r="AO722" s="35"/>
      <c r="AP722" s="35"/>
      <c r="AQ722" s="35"/>
      <c r="AR722" s="35"/>
      <c r="AS722" s="35"/>
      <c r="AT722" s="35"/>
      <c r="AU722" s="35"/>
      <c r="AV722" s="35"/>
      <c r="AW722" s="35"/>
      <c r="AX722" s="35"/>
    </row>
    <row r="723" ht="15.75" customHeight="1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  <c r="AE723" s="35"/>
      <c r="AF723" s="35"/>
      <c r="AG723" s="35"/>
      <c r="AH723" s="35"/>
      <c r="AI723" s="35"/>
      <c r="AJ723" s="35"/>
      <c r="AK723" s="35"/>
      <c r="AL723" s="35"/>
      <c r="AM723" s="35"/>
      <c r="AN723" s="35"/>
      <c r="AO723" s="35"/>
      <c r="AP723" s="35"/>
      <c r="AQ723" s="35"/>
      <c r="AR723" s="35"/>
      <c r="AS723" s="35"/>
      <c r="AT723" s="35"/>
      <c r="AU723" s="35"/>
      <c r="AV723" s="35"/>
      <c r="AW723" s="35"/>
      <c r="AX723" s="35"/>
    </row>
    <row r="724" ht="15.75" customHeight="1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  <c r="AE724" s="35"/>
      <c r="AF724" s="35"/>
      <c r="AG724" s="35"/>
      <c r="AH724" s="35"/>
      <c r="AI724" s="35"/>
      <c r="AJ724" s="35"/>
      <c r="AK724" s="35"/>
      <c r="AL724" s="35"/>
      <c r="AM724" s="35"/>
      <c r="AN724" s="35"/>
      <c r="AO724" s="35"/>
      <c r="AP724" s="35"/>
      <c r="AQ724" s="35"/>
      <c r="AR724" s="35"/>
      <c r="AS724" s="35"/>
      <c r="AT724" s="35"/>
      <c r="AU724" s="35"/>
      <c r="AV724" s="35"/>
      <c r="AW724" s="35"/>
      <c r="AX724" s="35"/>
    </row>
    <row r="725" ht="15.75" customHeight="1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  <c r="AE725" s="35"/>
      <c r="AF725" s="35"/>
      <c r="AG725" s="35"/>
      <c r="AH725" s="35"/>
      <c r="AI725" s="35"/>
      <c r="AJ725" s="35"/>
      <c r="AK725" s="35"/>
      <c r="AL725" s="35"/>
      <c r="AM725" s="35"/>
      <c r="AN725" s="35"/>
      <c r="AO725" s="35"/>
      <c r="AP725" s="35"/>
      <c r="AQ725" s="35"/>
      <c r="AR725" s="35"/>
      <c r="AS725" s="35"/>
      <c r="AT725" s="35"/>
      <c r="AU725" s="35"/>
      <c r="AV725" s="35"/>
      <c r="AW725" s="35"/>
      <c r="AX725" s="35"/>
    </row>
    <row r="726" ht="15.75" customHeight="1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  <c r="AE726" s="35"/>
      <c r="AF726" s="35"/>
      <c r="AG726" s="35"/>
      <c r="AH726" s="35"/>
      <c r="AI726" s="35"/>
      <c r="AJ726" s="35"/>
      <c r="AK726" s="35"/>
      <c r="AL726" s="35"/>
      <c r="AM726" s="35"/>
      <c r="AN726" s="35"/>
      <c r="AO726" s="35"/>
      <c r="AP726" s="35"/>
      <c r="AQ726" s="35"/>
      <c r="AR726" s="35"/>
      <c r="AS726" s="35"/>
      <c r="AT726" s="35"/>
      <c r="AU726" s="35"/>
      <c r="AV726" s="35"/>
      <c r="AW726" s="35"/>
      <c r="AX726" s="35"/>
    </row>
    <row r="727" ht="15.75" customHeight="1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  <c r="AE727" s="35"/>
      <c r="AF727" s="35"/>
      <c r="AG727" s="35"/>
      <c r="AH727" s="35"/>
      <c r="AI727" s="35"/>
      <c r="AJ727" s="35"/>
      <c r="AK727" s="35"/>
      <c r="AL727" s="35"/>
      <c r="AM727" s="35"/>
      <c r="AN727" s="35"/>
      <c r="AO727" s="35"/>
      <c r="AP727" s="35"/>
      <c r="AQ727" s="35"/>
      <c r="AR727" s="35"/>
      <c r="AS727" s="35"/>
      <c r="AT727" s="35"/>
      <c r="AU727" s="35"/>
      <c r="AV727" s="35"/>
      <c r="AW727" s="35"/>
      <c r="AX727" s="35"/>
    </row>
    <row r="728" ht="15.75" customHeight="1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  <c r="AE728" s="35"/>
      <c r="AF728" s="35"/>
      <c r="AG728" s="35"/>
      <c r="AH728" s="35"/>
      <c r="AI728" s="35"/>
      <c r="AJ728" s="35"/>
      <c r="AK728" s="35"/>
      <c r="AL728" s="35"/>
      <c r="AM728" s="35"/>
      <c r="AN728" s="35"/>
      <c r="AO728" s="35"/>
      <c r="AP728" s="35"/>
      <c r="AQ728" s="35"/>
      <c r="AR728" s="35"/>
      <c r="AS728" s="35"/>
      <c r="AT728" s="35"/>
      <c r="AU728" s="35"/>
      <c r="AV728" s="35"/>
      <c r="AW728" s="35"/>
      <c r="AX728" s="35"/>
    </row>
    <row r="729" ht="15.75" customHeight="1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  <c r="AE729" s="35"/>
      <c r="AF729" s="35"/>
      <c r="AG729" s="35"/>
      <c r="AH729" s="35"/>
      <c r="AI729" s="35"/>
      <c r="AJ729" s="35"/>
      <c r="AK729" s="35"/>
      <c r="AL729" s="35"/>
      <c r="AM729" s="35"/>
      <c r="AN729" s="35"/>
      <c r="AO729" s="35"/>
      <c r="AP729" s="35"/>
      <c r="AQ729" s="35"/>
      <c r="AR729" s="35"/>
      <c r="AS729" s="35"/>
      <c r="AT729" s="35"/>
      <c r="AU729" s="35"/>
      <c r="AV729" s="35"/>
      <c r="AW729" s="35"/>
      <c r="AX729" s="35"/>
    </row>
    <row r="730" ht="15.75" customHeight="1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  <c r="AE730" s="35"/>
      <c r="AF730" s="35"/>
      <c r="AG730" s="35"/>
      <c r="AH730" s="35"/>
      <c r="AI730" s="35"/>
      <c r="AJ730" s="35"/>
      <c r="AK730" s="35"/>
      <c r="AL730" s="35"/>
      <c r="AM730" s="35"/>
      <c r="AN730" s="35"/>
      <c r="AO730" s="35"/>
      <c r="AP730" s="35"/>
      <c r="AQ730" s="35"/>
      <c r="AR730" s="35"/>
      <c r="AS730" s="35"/>
      <c r="AT730" s="35"/>
      <c r="AU730" s="35"/>
      <c r="AV730" s="35"/>
      <c r="AW730" s="35"/>
      <c r="AX730" s="35"/>
    </row>
    <row r="731" ht="15.75" customHeight="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  <c r="AE731" s="35"/>
      <c r="AF731" s="35"/>
      <c r="AG731" s="35"/>
      <c r="AH731" s="35"/>
      <c r="AI731" s="35"/>
      <c r="AJ731" s="35"/>
      <c r="AK731" s="35"/>
      <c r="AL731" s="35"/>
      <c r="AM731" s="35"/>
      <c r="AN731" s="35"/>
      <c r="AO731" s="35"/>
      <c r="AP731" s="35"/>
      <c r="AQ731" s="35"/>
      <c r="AR731" s="35"/>
      <c r="AS731" s="35"/>
      <c r="AT731" s="35"/>
      <c r="AU731" s="35"/>
      <c r="AV731" s="35"/>
      <c r="AW731" s="35"/>
      <c r="AX731" s="35"/>
    </row>
    <row r="732" ht="15.75" customHeight="1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  <c r="AE732" s="35"/>
      <c r="AF732" s="35"/>
      <c r="AG732" s="35"/>
      <c r="AH732" s="35"/>
      <c r="AI732" s="35"/>
      <c r="AJ732" s="35"/>
      <c r="AK732" s="35"/>
      <c r="AL732" s="35"/>
      <c r="AM732" s="35"/>
      <c r="AN732" s="35"/>
      <c r="AO732" s="35"/>
      <c r="AP732" s="35"/>
      <c r="AQ732" s="35"/>
      <c r="AR732" s="35"/>
      <c r="AS732" s="35"/>
      <c r="AT732" s="35"/>
      <c r="AU732" s="35"/>
      <c r="AV732" s="35"/>
      <c r="AW732" s="35"/>
      <c r="AX732" s="35"/>
    </row>
    <row r="733" ht="15.75" customHeight="1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  <c r="AE733" s="35"/>
      <c r="AF733" s="35"/>
      <c r="AG733" s="35"/>
      <c r="AH733" s="35"/>
      <c r="AI733" s="35"/>
      <c r="AJ733" s="35"/>
      <c r="AK733" s="35"/>
      <c r="AL733" s="35"/>
      <c r="AM733" s="35"/>
      <c r="AN733" s="35"/>
      <c r="AO733" s="35"/>
      <c r="AP733" s="35"/>
      <c r="AQ733" s="35"/>
      <c r="AR733" s="35"/>
      <c r="AS733" s="35"/>
      <c r="AT733" s="35"/>
      <c r="AU733" s="35"/>
      <c r="AV733" s="35"/>
      <c r="AW733" s="35"/>
      <c r="AX733" s="35"/>
    </row>
    <row r="734" ht="15.75" customHeight="1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  <c r="AE734" s="35"/>
      <c r="AF734" s="35"/>
      <c r="AG734" s="35"/>
      <c r="AH734" s="35"/>
      <c r="AI734" s="35"/>
      <c r="AJ734" s="35"/>
      <c r="AK734" s="35"/>
      <c r="AL734" s="35"/>
      <c r="AM734" s="35"/>
      <c r="AN734" s="35"/>
      <c r="AO734" s="35"/>
      <c r="AP734" s="35"/>
      <c r="AQ734" s="35"/>
      <c r="AR734" s="35"/>
      <c r="AS734" s="35"/>
      <c r="AT734" s="35"/>
      <c r="AU734" s="35"/>
      <c r="AV734" s="35"/>
      <c r="AW734" s="35"/>
      <c r="AX734" s="35"/>
    </row>
    <row r="735" ht="15.75" customHeight="1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  <c r="AE735" s="35"/>
      <c r="AF735" s="35"/>
      <c r="AG735" s="35"/>
      <c r="AH735" s="35"/>
      <c r="AI735" s="35"/>
      <c r="AJ735" s="35"/>
      <c r="AK735" s="35"/>
      <c r="AL735" s="35"/>
      <c r="AM735" s="35"/>
      <c r="AN735" s="35"/>
      <c r="AO735" s="35"/>
      <c r="AP735" s="35"/>
      <c r="AQ735" s="35"/>
      <c r="AR735" s="35"/>
      <c r="AS735" s="35"/>
      <c r="AT735" s="35"/>
      <c r="AU735" s="35"/>
      <c r="AV735" s="35"/>
      <c r="AW735" s="35"/>
      <c r="AX735" s="35"/>
    </row>
    <row r="736" ht="15.75" customHeight="1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  <c r="AE736" s="35"/>
      <c r="AF736" s="35"/>
      <c r="AG736" s="35"/>
      <c r="AH736" s="35"/>
      <c r="AI736" s="35"/>
      <c r="AJ736" s="35"/>
      <c r="AK736" s="35"/>
      <c r="AL736" s="35"/>
      <c r="AM736" s="35"/>
      <c r="AN736" s="35"/>
      <c r="AO736" s="35"/>
      <c r="AP736" s="35"/>
      <c r="AQ736" s="35"/>
      <c r="AR736" s="35"/>
      <c r="AS736" s="35"/>
      <c r="AT736" s="35"/>
      <c r="AU736" s="35"/>
      <c r="AV736" s="35"/>
      <c r="AW736" s="35"/>
      <c r="AX736" s="35"/>
    </row>
    <row r="737" ht="15.75" customHeight="1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  <c r="AE737" s="35"/>
      <c r="AF737" s="35"/>
      <c r="AG737" s="35"/>
      <c r="AH737" s="35"/>
      <c r="AI737" s="35"/>
      <c r="AJ737" s="35"/>
      <c r="AK737" s="35"/>
      <c r="AL737" s="35"/>
      <c r="AM737" s="35"/>
      <c r="AN737" s="35"/>
      <c r="AO737" s="35"/>
      <c r="AP737" s="35"/>
      <c r="AQ737" s="35"/>
      <c r="AR737" s="35"/>
      <c r="AS737" s="35"/>
      <c r="AT737" s="35"/>
      <c r="AU737" s="35"/>
      <c r="AV737" s="35"/>
      <c r="AW737" s="35"/>
      <c r="AX737" s="35"/>
    </row>
    <row r="738" ht="15.75" customHeight="1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  <c r="AE738" s="35"/>
      <c r="AF738" s="35"/>
      <c r="AG738" s="35"/>
      <c r="AH738" s="35"/>
      <c r="AI738" s="35"/>
      <c r="AJ738" s="35"/>
      <c r="AK738" s="35"/>
      <c r="AL738" s="35"/>
      <c r="AM738" s="35"/>
      <c r="AN738" s="35"/>
      <c r="AO738" s="35"/>
      <c r="AP738" s="35"/>
      <c r="AQ738" s="35"/>
      <c r="AR738" s="35"/>
      <c r="AS738" s="35"/>
      <c r="AT738" s="35"/>
      <c r="AU738" s="35"/>
      <c r="AV738" s="35"/>
      <c r="AW738" s="35"/>
      <c r="AX738" s="35"/>
    </row>
    <row r="739" ht="15.75" customHeight="1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  <c r="AE739" s="35"/>
      <c r="AF739" s="35"/>
      <c r="AG739" s="35"/>
      <c r="AH739" s="35"/>
      <c r="AI739" s="35"/>
      <c r="AJ739" s="35"/>
      <c r="AK739" s="35"/>
      <c r="AL739" s="35"/>
      <c r="AM739" s="35"/>
      <c r="AN739" s="35"/>
      <c r="AO739" s="35"/>
      <c r="AP739" s="35"/>
      <c r="AQ739" s="35"/>
      <c r="AR739" s="35"/>
      <c r="AS739" s="35"/>
      <c r="AT739" s="35"/>
      <c r="AU739" s="35"/>
      <c r="AV739" s="35"/>
      <c r="AW739" s="35"/>
      <c r="AX739" s="35"/>
    </row>
    <row r="740" ht="15.75" customHeight="1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  <c r="AE740" s="35"/>
      <c r="AF740" s="35"/>
      <c r="AG740" s="35"/>
      <c r="AH740" s="35"/>
      <c r="AI740" s="35"/>
      <c r="AJ740" s="35"/>
      <c r="AK740" s="35"/>
      <c r="AL740" s="35"/>
      <c r="AM740" s="35"/>
      <c r="AN740" s="35"/>
      <c r="AO740" s="35"/>
      <c r="AP740" s="35"/>
      <c r="AQ740" s="35"/>
      <c r="AR740" s="35"/>
      <c r="AS740" s="35"/>
      <c r="AT740" s="35"/>
      <c r="AU740" s="35"/>
      <c r="AV740" s="35"/>
      <c r="AW740" s="35"/>
      <c r="AX740" s="35"/>
    </row>
    <row r="741" ht="15.75" customHeight="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  <c r="AF741" s="35"/>
      <c r="AG741" s="35"/>
      <c r="AH741" s="35"/>
      <c r="AI741" s="35"/>
      <c r="AJ741" s="35"/>
      <c r="AK741" s="35"/>
      <c r="AL741" s="35"/>
      <c r="AM741" s="35"/>
      <c r="AN741" s="35"/>
      <c r="AO741" s="35"/>
      <c r="AP741" s="35"/>
      <c r="AQ741" s="35"/>
      <c r="AR741" s="35"/>
      <c r="AS741" s="35"/>
      <c r="AT741" s="35"/>
      <c r="AU741" s="35"/>
      <c r="AV741" s="35"/>
      <c r="AW741" s="35"/>
      <c r="AX741" s="35"/>
    </row>
    <row r="742" ht="15.75" customHeight="1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  <c r="AE742" s="35"/>
      <c r="AF742" s="35"/>
      <c r="AG742" s="35"/>
      <c r="AH742" s="35"/>
      <c r="AI742" s="35"/>
      <c r="AJ742" s="35"/>
      <c r="AK742" s="35"/>
      <c r="AL742" s="35"/>
      <c r="AM742" s="35"/>
      <c r="AN742" s="35"/>
      <c r="AO742" s="35"/>
      <c r="AP742" s="35"/>
      <c r="AQ742" s="35"/>
      <c r="AR742" s="35"/>
      <c r="AS742" s="35"/>
      <c r="AT742" s="35"/>
      <c r="AU742" s="35"/>
      <c r="AV742" s="35"/>
      <c r="AW742" s="35"/>
      <c r="AX742" s="35"/>
    </row>
    <row r="743" ht="15.75" customHeight="1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  <c r="AF743" s="35"/>
      <c r="AG743" s="35"/>
      <c r="AH743" s="35"/>
      <c r="AI743" s="35"/>
      <c r="AJ743" s="35"/>
      <c r="AK743" s="35"/>
      <c r="AL743" s="35"/>
      <c r="AM743" s="35"/>
      <c r="AN743" s="35"/>
      <c r="AO743" s="35"/>
      <c r="AP743" s="35"/>
      <c r="AQ743" s="35"/>
      <c r="AR743" s="35"/>
      <c r="AS743" s="35"/>
      <c r="AT743" s="35"/>
      <c r="AU743" s="35"/>
      <c r="AV743" s="35"/>
      <c r="AW743" s="35"/>
      <c r="AX743" s="35"/>
    </row>
    <row r="744" ht="15.75" customHeight="1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  <c r="AE744" s="35"/>
      <c r="AF744" s="35"/>
      <c r="AG744" s="35"/>
      <c r="AH744" s="35"/>
      <c r="AI744" s="35"/>
      <c r="AJ744" s="35"/>
      <c r="AK744" s="35"/>
      <c r="AL744" s="35"/>
      <c r="AM744" s="35"/>
      <c r="AN744" s="35"/>
      <c r="AO744" s="35"/>
      <c r="AP744" s="35"/>
      <c r="AQ744" s="35"/>
      <c r="AR744" s="35"/>
      <c r="AS744" s="35"/>
      <c r="AT744" s="35"/>
      <c r="AU744" s="35"/>
      <c r="AV744" s="35"/>
      <c r="AW744" s="35"/>
      <c r="AX744" s="35"/>
    </row>
    <row r="745" ht="15.75" customHeight="1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  <c r="AE745" s="35"/>
      <c r="AF745" s="35"/>
      <c r="AG745" s="35"/>
      <c r="AH745" s="35"/>
      <c r="AI745" s="35"/>
      <c r="AJ745" s="35"/>
      <c r="AK745" s="35"/>
      <c r="AL745" s="35"/>
      <c r="AM745" s="35"/>
      <c r="AN745" s="35"/>
      <c r="AO745" s="35"/>
      <c r="AP745" s="35"/>
      <c r="AQ745" s="35"/>
      <c r="AR745" s="35"/>
      <c r="AS745" s="35"/>
      <c r="AT745" s="35"/>
      <c r="AU745" s="35"/>
      <c r="AV745" s="35"/>
      <c r="AW745" s="35"/>
      <c r="AX745" s="35"/>
    </row>
    <row r="746" ht="15.75" customHeight="1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  <c r="AE746" s="35"/>
      <c r="AF746" s="35"/>
      <c r="AG746" s="35"/>
      <c r="AH746" s="35"/>
      <c r="AI746" s="35"/>
      <c r="AJ746" s="35"/>
      <c r="AK746" s="35"/>
      <c r="AL746" s="35"/>
      <c r="AM746" s="35"/>
      <c r="AN746" s="35"/>
      <c r="AO746" s="35"/>
      <c r="AP746" s="35"/>
      <c r="AQ746" s="35"/>
      <c r="AR746" s="35"/>
      <c r="AS746" s="35"/>
      <c r="AT746" s="35"/>
      <c r="AU746" s="35"/>
      <c r="AV746" s="35"/>
      <c r="AW746" s="35"/>
      <c r="AX746" s="35"/>
    </row>
    <row r="747" ht="15.75" customHeight="1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  <c r="AE747" s="35"/>
      <c r="AF747" s="35"/>
      <c r="AG747" s="35"/>
      <c r="AH747" s="35"/>
      <c r="AI747" s="35"/>
      <c r="AJ747" s="35"/>
      <c r="AK747" s="35"/>
      <c r="AL747" s="35"/>
      <c r="AM747" s="35"/>
      <c r="AN747" s="35"/>
      <c r="AO747" s="35"/>
      <c r="AP747" s="35"/>
      <c r="AQ747" s="35"/>
      <c r="AR747" s="35"/>
      <c r="AS747" s="35"/>
      <c r="AT747" s="35"/>
      <c r="AU747" s="35"/>
      <c r="AV747" s="35"/>
      <c r="AW747" s="35"/>
      <c r="AX747" s="35"/>
    </row>
    <row r="748" ht="15.75" customHeight="1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  <c r="AE748" s="35"/>
      <c r="AF748" s="35"/>
      <c r="AG748" s="35"/>
      <c r="AH748" s="35"/>
      <c r="AI748" s="35"/>
      <c r="AJ748" s="35"/>
      <c r="AK748" s="35"/>
      <c r="AL748" s="35"/>
      <c r="AM748" s="35"/>
      <c r="AN748" s="35"/>
      <c r="AO748" s="35"/>
      <c r="AP748" s="35"/>
      <c r="AQ748" s="35"/>
      <c r="AR748" s="35"/>
      <c r="AS748" s="35"/>
      <c r="AT748" s="35"/>
      <c r="AU748" s="35"/>
      <c r="AV748" s="35"/>
      <c r="AW748" s="35"/>
      <c r="AX748" s="35"/>
    </row>
    <row r="749" ht="15.75" customHeight="1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  <c r="AE749" s="35"/>
      <c r="AF749" s="35"/>
      <c r="AG749" s="35"/>
      <c r="AH749" s="35"/>
      <c r="AI749" s="35"/>
      <c r="AJ749" s="35"/>
      <c r="AK749" s="35"/>
      <c r="AL749" s="35"/>
      <c r="AM749" s="35"/>
      <c r="AN749" s="35"/>
      <c r="AO749" s="35"/>
      <c r="AP749" s="35"/>
      <c r="AQ749" s="35"/>
      <c r="AR749" s="35"/>
      <c r="AS749" s="35"/>
      <c r="AT749" s="35"/>
      <c r="AU749" s="35"/>
      <c r="AV749" s="35"/>
      <c r="AW749" s="35"/>
      <c r="AX749" s="35"/>
    </row>
    <row r="750" ht="15.75" customHeight="1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  <c r="AE750" s="35"/>
      <c r="AF750" s="35"/>
      <c r="AG750" s="35"/>
      <c r="AH750" s="35"/>
      <c r="AI750" s="35"/>
      <c r="AJ750" s="35"/>
      <c r="AK750" s="35"/>
      <c r="AL750" s="35"/>
      <c r="AM750" s="35"/>
      <c r="AN750" s="35"/>
      <c r="AO750" s="35"/>
      <c r="AP750" s="35"/>
      <c r="AQ750" s="35"/>
      <c r="AR750" s="35"/>
      <c r="AS750" s="35"/>
      <c r="AT750" s="35"/>
      <c r="AU750" s="35"/>
      <c r="AV750" s="35"/>
      <c r="AW750" s="35"/>
      <c r="AX750" s="35"/>
    </row>
    <row r="751" ht="15.75" customHeight="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  <c r="AE751" s="35"/>
      <c r="AF751" s="35"/>
      <c r="AG751" s="35"/>
      <c r="AH751" s="35"/>
      <c r="AI751" s="35"/>
      <c r="AJ751" s="35"/>
      <c r="AK751" s="35"/>
      <c r="AL751" s="35"/>
      <c r="AM751" s="35"/>
      <c r="AN751" s="35"/>
      <c r="AO751" s="35"/>
      <c r="AP751" s="35"/>
      <c r="AQ751" s="35"/>
      <c r="AR751" s="35"/>
      <c r="AS751" s="35"/>
      <c r="AT751" s="35"/>
      <c r="AU751" s="35"/>
      <c r="AV751" s="35"/>
      <c r="AW751" s="35"/>
      <c r="AX751" s="35"/>
    </row>
    <row r="752" ht="15.75" customHeight="1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5"/>
      <c r="AE752" s="35"/>
      <c r="AF752" s="35"/>
      <c r="AG752" s="35"/>
      <c r="AH752" s="35"/>
      <c r="AI752" s="35"/>
      <c r="AJ752" s="35"/>
      <c r="AK752" s="35"/>
      <c r="AL752" s="35"/>
      <c r="AM752" s="35"/>
      <c r="AN752" s="35"/>
      <c r="AO752" s="35"/>
      <c r="AP752" s="35"/>
      <c r="AQ752" s="35"/>
      <c r="AR752" s="35"/>
      <c r="AS752" s="35"/>
      <c r="AT752" s="35"/>
      <c r="AU752" s="35"/>
      <c r="AV752" s="35"/>
      <c r="AW752" s="35"/>
      <c r="AX752" s="35"/>
    </row>
    <row r="753" ht="15.75" customHeight="1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5"/>
      <c r="AE753" s="35"/>
      <c r="AF753" s="35"/>
      <c r="AG753" s="35"/>
      <c r="AH753" s="35"/>
      <c r="AI753" s="35"/>
      <c r="AJ753" s="35"/>
      <c r="AK753" s="35"/>
      <c r="AL753" s="35"/>
      <c r="AM753" s="35"/>
      <c r="AN753" s="35"/>
      <c r="AO753" s="35"/>
      <c r="AP753" s="35"/>
      <c r="AQ753" s="35"/>
      <c r="AR753" s="35"/>
      <c r="AS753" s="35"/>
      <c r="AT753" s="35"/>
      <c r="AU753" s="35"/>
      <c r="AV753" s="35"/>
      <c r="AW753" s="35"/>
      <c r="AX753" s="35"/>
    </row>
    <row r="754" ht="15.75" customHeight="1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  <c r="AE754" s="35"/>
      <c r="AF754" s="35"/>
      <c r="AG754" s="35"/>
      <c r="AH754" s="35"/>
      <c r="AI754" s="35"/>
      <c r="AJ754" s="35"/>
      <c r="AK754" s="35"/>
      <c r="AL754" s="35"/>
      <c r="AM754" s="35"/>
      <c r="AN754" s="35"/>
      <c r="AO754" s="35"/>
      <c r="AP754" s="35"/>
      <c r="AQ754" s="35"/>
      <c r="AR754" s="35"/>
      <c r="AS754" s="35"/>
      <c r="AT754" s="35"/>
      <c r="AU754" s="35"/>
      <c r="AV754" s="35"/>
      <c r="AW754" s="35"/>
      <c r="AX754" s="35"/>
    </row>
    <row r="755" ht="15.75" customHeight="1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  <c r="AE755" s="35"/>
      <c r="AF755" s="35"/>
      <c r="AG755" s="35"/>
      <c r="AH755" s="35"/>
      <c r="AI755" s="35"/>
      <c r="AJ755" s="35"/>
      <c r="AK755" s="35"/>
      <c r="AL755" s="35"/>
      <c r="AM755" s="35"/>
      <c r="AN755" s="35"/>
      <c r="AO755" s="35"/>
      <c r="AP755" s="35"/>
      <c r="AQ755" s="35"/>
      <c r="AR755" s="35"/>
      <c r="AS755" s="35"/>
      <c r="AT755" s="35"/>
      <c r="AU755" s="35"/>
      <c r="AV755" s="35"/>
      <c r="AW755" s="35"/>
      <c r="AX755" s="35"/>
    </row>
    <row r="756" ht="15.75" customHeight="1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  <c r="AE756" s="35"/>
      <c r="AF756" s="35"/>
      <c r="AG756" s="35"/>
      <c r="AH756" s="35"/>
      <c r="AI756" s="35"/>
      <c r="AJ756" s="35"/>
      <c r="AK756" s="35"/>
      <c r="AL756" s="35"/>
      <c r="AM756" s="35"/>
      <c r="AN756" s="35"/>
      <c r="AO756" s="35"/>
      <c r="AP756" s="35"/>
      <c r="AQ756" s="35"/>
      <c r="AR756" s="35"/>
      <c r="AS756" s="35"/>
      <c r="AT756" s="35"/>
      <c r="AU756" s="35"/>
      <c r="AV756" s="35"/>
      <c r="AW756" s="35"/>
      <c r="AX756" s="35"/>
    </row>
    <row r="757" ht="15.75" customHeight="1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35"/>
      <c r="AE757" s="35"/>
      <c r="AF757" s="35"/>
      <c r="AG757" s="35"/>
      <c r="AH757" s="35"/>
      <c r="AI757" s="35"/>
      <c r="AJ757" s="35"/>
      <c r="AK757" s="35"/>
      <c r="AL757" s="35"/>
      <c r="AM757" s="35"/>
      <c r="AN757" s="35"/>
      <c r="AO757" s="35"/>
      <c r="AP757" s="35"/>
      <c r="AQ757" s="35"/>
      <c r="AR757" s="35"/>
      <c r="AS757" s="35"/>
      <c r="AT757" s="35"/>
      <c r="AU757" s="35"/>
      <c r="AV757" s="35"/>
      <c r="AW757" s="35"/>
      <c r="AX757" s="35"/>
    </row>
    <row r="758" ht="15.75" customHeight="1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  <c r="AD758" s="35"/>
      <c r="AE758" s="35"/>
      <c r="AF758" s="35"/>
      <c r="AG758" s="35"/>
      <c r="AH758" s="35"/>
      <c r="AI758" s="35"/>
      <c r="AJ758" s="35"/>
      <c r="AK758" s="35"/>
      <c r="AL758" s="35"/>
      <c r="AM758" s="35"/>
      <c r="AN758" s="35"/>
      <c r="AO758" s="35"/>
      <c r="AP758" s="35"/>
      <c r="AQ758" s="35"/>
      <c r="AR758" s="35"/>
      <c r="AS758" s="35"/>
      <c r="AT758" s="35"/>
      <c r="AU758" s="35"/>
      <c r="AV758" s="35"/>
      <c r="AW758" s="35"/>
      <c r="AX758" s="35"/>
    </row>
    <row r="759" ht="15.75" customHeight="1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  <c r="AE759" s="35"/>
      <c r="AF759" s="35"/>
      <c r="AG759" s="35"/>
      <c r="AH759" s="35"/>
      <c r="AI759" s="35"/>
      <c r="AJ759" s="35"/>
      <c r="AK759" s="35"/>
      <c r="AL759" s="35"/>
      <c r="AM759" s="35"/>
      <c r="AN759" s="35"/>
      <c r="AO759" s="35"/>
      <c r="AP759" s="35"/>
      <c r="AQ759" s="35"/>
      <c r="AR759" s="35"/>
      <c r="AS759" s="35"/>
      <c r="AT759" s="35"/>
      <c r="AU759" s="35"/>
      <c r="AV759" s="35"/>
      <c r="AW759" s="35"/>
      <c r="AX759" s="35"/>
    </row>
    <row r="760" ht="15.75" customHeight="1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  <c r="AE760" s="35"/>
      <c r="AF760" s="35"/>
      <c r="AG760" s="35"/>
      <c r="AH760" s="35"/>
      <c r="AI760" s="35"/>
      <c r="AJ760" s="35"/>
      <c r="AK760" s="35"/>
      <c r="AL760" s="35"/>
      <c r="AM760" s="35"/>
      <c r="AN760" s="35"/>
      <c r="AO760" s="35"/>
      <c r="AP760" s="35"/>
      <c r="AQ760" s="35"/>
      <c r="AR760" s="35"/>
      <c r="AS760" s="35"/>
      <c r="AT760" s="35"/>
      <c r="AU760" s="35"/>
      <c r="AV760" s="35"/>
      <c r="AW760" s="35"/>
      <c r="AX760" s="35"/>
    </row>
    <row r="761" ht="15.75" customHeight="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  <c r="AE761" s="35"/>
      <c r="AF761" s="35"/>
      <c r="AG761" s="35"/>
      <c r="AH761" s="35"/>
      <c r="AI761" s="35"/>
      <c r="AJ761" s="35"/>
      <c r="AK761" s="35"/>
      <c r="AL761" s="35"/>
      <c r="AM761" s="35"/>
      <c r="AN761" s="35"/>
      <c r="AO761" s="35"/>
      <c r="AP761" s="35"/>
      <c r="AQ761" s="35"/>
      <c r="AR761" s="35"/>
      <c r="AS761" s="35"/>
      <c r="AT761" s="35"/>
      <c r="AU761" s="35"/>
      <c r="AV761" s="35"/>
      <c r="AW761" s="35"/>
      <c r="AX761" s="35"/>
    </row>
    <row r="762" ht="15.75" customHeight="1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  <c r="AE762" s="35"/>
      <c r="AF762" s="35"/>
      <c r="AG762" s="35"/>
      <c r="AH762" s="35"/>
      <c r="AI762" s="35"/>
      <c r="AJ762" s="35"/>
      <c r="AK762" s="35"/>
      <c r="AL762" s="35"/>
      <c r="AM762" s="35"/>
      <c r="AN762" s="35"/>
      <c r="AO762" s="35"/>
      <c r="AP762" s="35"/>
      <c r="AQ762" s="35"/>
      <c r="AR762" s="35"/>
      <c r="AS762" s="35"/>
      <c r="AT762" s="35"/>
      <c r="AU762" s="35"/>
      <c r="AV762" s="35"/>
      <c r="AW762" s="35"/>
      <c r="AX762" s="35"/>
    </row>
    <row r="763" ht="15.75" customHeight="1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  <c r="AE763" s="35"/>
      <c r="AF763" s="35"/>
      <c r="AG763" s="35"/>
      <c r="AH763" s="35"/>
      <c r="AI763" s="35"/>
      <c r="AJ763" s="35"/>
      <c r="AK763" s="35"/>
      <c r="AL763" s="35"/>
      <c r="AM763" s="35"/>
      <c r="AN763" s="35"/>
      <c r="AO763" s="35"/>
      <c r="AP763" s="35"/>
      <c r="AQ763" s="35"/>
      <c r="AR763" s="35"/>
      <c r="AS763" s="35"/>
      <c r="AT763" s="35"/>
      <c r="AU763" s="35"/>
      <c r="AV763" s="35"/>
      <c r="AW763" s="35"/>
      <c r="AX763" s="35"/>
    </row>
    <row r="764" ht="15.75" customHeight="1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  <c r="AE764" s="35"/>
      <c r="AF764" s="35"/>
      <c r="AG764" s="35"/>
      <c r="AH764" s="35"/>
      <c r="AI764" s="35"/>
      <c r="AJ764" s="35"/>
      <c r="AK764" s="35"/>
      <c r="AL764" s="35"/>
      <c r="AM764" s="35"/>
      <c r="AN764" s="35"/>
      <c r="AO764" s="35"/>
      <c r="AP764" s="35"/>
      <c r="AQ764" s="35"/>
      <c r="AR764" s="35"/>
      <c r="AS764" s="35"/>
      <c r="AT764" s="35"/>
      <c r="AU764" s="35"/>
      <c r="AV764" s="35"/>
      <c r="AW764" s="35"/>
      <c r="AX764" s="35"/>
    </row>
    <row r="765" ht="15.75" customHeight="1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  <c r="AE765" s="35"/>
      <c r="AF765" s="35"/>
      <c r="AG765" s="35"/>
      <c r="AH765" s="35"/>
      <c r="AI765" s="35"/>
      <c r="AJ765" s="35"/>
      <c r="AK765" s="35"/>
      <c r="AL765" s="35"/>
      <c r="AM765" s="35"/>
      <c r="AN765" s="35"/>
      <c r="AO765" s="35"/>
      <c r="AP765" s="35"/>
      <c r="AQ765" s="35"/>
      <c r="AR765" s="35"/>
      <c r="AS765" s="35"/>
      <c r="AT765" s="35"/>
      <c r="AU765" s="35"/>
      <c r="AV765" s="35"/>
      <c r="AW765" s="35"/>
      <c r="AX765" s="35"/>
    </row>
    <row r="766" ht="15.75" customHeight="1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  <c r="AE766" s="35"/>
      <c r="AF766" s="35"/>
      <c r="AG766" s="35"/>
      <c r="AH766" s="35"/>
      <c r="AI766" s="35"/>
      <c r="AJ766" s="35"/>
      <c r="AK766" s="35"/>
      <c r="AL766" s="35"/>
      <c r="AM766" s="35"/>
      <c r="AN766" s="35"/>
      <c r="AO766" s="35"/>
      <c r="AP766" s="35"/>
      <c r="AQ766" s="35"/>
      <c r="AR766" s="35"/>
      <c r="AS766" s="35"/>
      <c r="AT766" s="35"/>
      <c r="AU766" s="35"/>
      <c r="AV766" s="35"/>
      <c r="AW766" s="35"/>
      <c r="AX766" s="35"/>
    </row>
    <row r="767" ht="15.75" customHeight="1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  <c r="AE767" s="35"/>
      <c r="AF767" s="35"/>
      <c r="AG767" s="35"/>
      <c r="AH767" s="35"/>
      <c r="AI767" s="35"/>
      <c r="AJ767" s="35"/>
      <c r="AK767" s="35"/>
      <c r="AL767" s="35"/>
      <c r="AM767" s="35"/>
      <c r="AN767" s="35"/>
      <c r="AO767" s="35"/>
      <c r="AP767" s="35"/>
      <c r="AQ767" s="35"/>
      <c r="AR767" s="35"/>
      <c r="AS767" s="35"/>
      <c r="AT767" s="35"/>
      <c r="AU767" s="35"/>
      <c r="AV767" s="35"/>
      <c r="AW767" s="35"/>
      <c r="AX767" s="35"/>
    </row>
    <row r="768" ht="15.75" customHeight="1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  <c r="AE768" s="35"/>
      <c r="AF768" s="35"/>
      <c r="AG768" s="35"/>
      <c r="AH768" s="35"/>
      <c r="AI768" s="35"/>
      <c r="AJ768" s="35"/>
      <c r="AK768" s="35"/>
      <c r="AL768" s="35"/>
      <c r="AM768" s="35"/>
      <c r="AN768" s="35"/>
      <c r="AO768" s="35"/>
      <c r="AP768" s="35"/>
      <c r="AQ768" s="35"/>
      <c r="AR768" s="35"/>
      <c r="AS768" s="35"/>
      <c r="AT768" s="35"/>
      <c r="AU768" s="35"/>
      <c r="AV768" s="35"/>
      <c r="AW768" s="35"/>
      <c r="AX768" s="35"/>
    </row>
    <row r="769" ht="15.75" customHeight="1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  <c r="AE769" s="35"/>
      <c r="AF769" s="35"/>
      <c r="AG769" s="35"/>
      <c r="AH769" s="35"/>
      <c r="AI769" s="35"/>
      <c r="AJ769" s="35"/>
      <c r="AK769" s="35"/>
      <c r="AL769" s="35"/>
      <c r="AM769" s="35"/>
      <c r="AN769" s="35"/>
      <c r="AO769" s="35"/>
      <c r="AP769" s="35"/>
      <c r="AQ769" s="35"/>
      <c r="AR769" s="35"/>
      <c r="AS769" s="35"/>
      <c r="AT769" s="35"/>
      <c r="AU769" s="35"/>
      <c r="AV769" s="35"/>
      <c r="AW769" s="35"/>
      <c r="AX769" s="35"/>
    </row>
    <row r="770" ht="15.75" customHeight="1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  <c r="AE770" s="35"/>
      <c r="AF770" s="35"/>
      <c r="AG770" s="35"/>
      <c r="AH770" s="35"/>
      <c r="AI770" s="35"/>
      <c r="AJ770" s="35"/>
      <c r="AK770" s="35"/>
      <c r="AL770" s="35"/>
      <c r="AM770" s="35"/>
      <c r="AN770" s="35"/>
      <c r="AO770" s="35"/>
      <c r="AP770" s="35"/>
      <c r="AQ770" s="35"/>
      <c r="AR770" s="35"/>
      <c r="AS770" s="35"/>
      <c r="AT770" s="35"/>
      <c r="AU770" s="35"/>
      <c r="AV770" s="35"/>
      <c r="AW770" s="35"/>
      <c r="AX770" s="35"/>
    </row>
    <row r="771" ht="15.75" customHeight="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  <c r="AE771" s="35"/>
      <c r="AF771" s="35"/>
      <c r="AG771" s="35"/>
      <c r="AH771" s="35"/>
      <c r="AI771" s="35"/>
      <c r="AJ771" s="35"/>
      <c r="AK771" s="35"/>
      <c r="AL771" s="35"/>
      <c r="AM771" s="35"/>
      <c r="AN771" s="35"/>
      <c r="AO771" s="35"/>
      <c r="AP771" s="35"/>
      <c r="AQ771" s="35"/>
      <c r="AR771" s="35"/>
      <c r="AS771" s="35"/>
      <c r="AT771" s="35"/>
      <c r="AU771" s="35"/>
      <c r="AV771" s="35"/>
      <c r="AW771" s="35"/>
      <c r="AX771" s="35"/>
    </row>
    <row r="772" ht="15.75" customHeight="1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  <c r="AE772" s="35"/>
      <c r="AF772" s="35"/>
      <c r="AG772" s="35"/>
      <c r="AH772" s="35"/>
      <c r="AI772" s="35"/>
      <c r="AJ772" s="35"/>
      <c r="AK772" s="35"/>
      <c r="AL772" s="35"/>
      <c r="AM772" s="35"/>
      <c r="AN772" s="35"/>
      <c r="AO772" s="35"/>
      <c r="AP772" s="35"/>
      <c r="AQ772" s="35"/>
      <c r="AR772" s="35"/>
      <c r="AS772" s="35"/>
      <c r="AT772" s="35"/>
      <c r="AU772" s="35"/>
      <c r="AV772" s="35"/>
      <c r="AW772" s="35"/>
      <c r="AX772" s="35"/>
    </row>
    <row r="773" ht="15.75" customHeight="1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  <c r="AE773" s="35"/>
      <c r="AF773" s="35"/>
      <c r="AG773" s="35"/>
      <c r="AH773" s="35"/>
      <c r="AI773" s="35"/>
      <c r="AJ773" s="35"/>
      <c r="AK773" s="35"/>
      <c r="AL773" s="35"/>
      <c r="AM773" s="35"/>
      <c r="AN773" s="35"/>
      <c r="AO773" s="35"/>
      <c r="AP773" s="35"/>
      <c r="AQ773" s="35"/>
      <c r="AR773" s="35"/>
      <c r="AS773" s="35"/>
      <c r="AT773" s="35"/>
      <c r="AU773" s="35"/>
      <c r="AV773" s="35"/>
      <c r="AW773" s="35"/>
      <c r="AX773" s="35"/>
    </row>
    <row r="774" ht="15.75" customHeight="1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  <c r="AE774" s="35"/>
      <c r="AF774" s="35"/>
      <c r="AG774" s="35"/>
      <c r="AH774" s="35"/>
      <c r="AI774" s="35"/>
      <c r="AJ774" s="35"/>
      <c r="AK774" s="35"/>
      <c r="AL774" s="35"/>
      <c r="AM774" s="35"/>
      <c r="AN774" s="35"/>
      <c r="AO774" s="35"/>
      <c r="AP774" s="35"/>
      <c r="AQ774" s="35"/>
      <c r="AR774" s="35"/>
      <c r="AS774" s="35"/>
      <c r="AT774" s="35"/>
      <c r="AU774" s="35"/>
      <c r="AV774" s="35"/>
      <c r="AW774" s="35"/>
      <c r="AX774" s="35"/>
    </row>
    <row r="775" ht="15.75" customHeight="1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  <c r="AE775" s="35"/>
      <c r="AF775" s="35"/>
      <c r="AG775" s="35"/>
      <c r="AH775" s="35"/>
      <c r="AI775" s="35"/>
      <c r="AJ775" s="35"/>
      <c r="AK775" s="35"/>
      <c r="AL775" s="35"/>
      <c r="AM775" s="35"/>
      <c r="AN775" s="35"/>
      <c r="AO775" s="35"/>
      <c r="AP775" s="35"/>
      <c r="AQ775" s="35"/>
      <c r="AR775" s="35"/>
      <c r="AS775" s="35"/>
      <c r="AT775" s="35"/>
      <c r="AU775" s="35"/>
      <c r="AV775" s="35"/>
      <c r="AW775" s="35"/>
      <c r="AX775" s="35"/>
    </row>
    <row r="776" ht="15.75" customHeight="1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  <c r="AE776" s="35"/>
      <c r="AF776" s="35"/>
      <c r="AG776" s="35"/>
      <c r="AH776" s="35"/>
      <c r="AI776" s="35"/>
      <c r="AJ776" s="35"/>
      <c r="AK776" s="35"/>
      <c r="AL776" s="35"/>
      <c r="AM776" s="35"/>
      <c r="AN776" s="35"/>
      <c r="AO776" s="35"/>
      <c r="AP776" s="35"/>
      <c r="AQ776" s="35"/>
      <c r="AR776" s="35"/>
      <c r="AS776" s="35"/>
      <c r="AT776" s="35"/>
      <c r="AU776" s="35"/>
      <c r="AV776" s="35"/>
      <c r="AW776" s="35"/>
      <c r="AX776" s="35"/>
    </row>
    <row r="777" ht="15.75" customHeight="1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  <c r="AF777" s="35"/>
      <c r="AG777" s="35"/>
      <c r="AH777" s="35"/>
      <c r="AI777" s="35"/>
      <c r="AJ777" s="35"/>
      <c r="AK777" s="35"/>
      <c r="AL777" s="35"/>
      <c r="AM777" s="35"/>
      <c r="AN777" s="35"/>
      <c r="AO777" s="35"/>
      <c r="AP777" s="35"/>
      <c r="AQ777" s="35"/>
      <c r="AR777" s="35"/>
      <c r="AS777" s="35"/>
      <c r="AT777" s="35"/>
      <c r="AU777" s="35"/>
      <c r="AV777" s="35"/>
      <c r="AW777" s="35"/>
      <c r="AX777" s="35"/>
    </row>
    <row r="778" ht="15.75" customHeight="1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  <c r="AE778" s="35"/>
      <c r="AF778" s="35"/>
      <c r="AG778" s="35"/>
      <c r="AH778" s="35"/>
      <c r="AI778" s="35"/>
      <c r="AJ778" s="35"/>
      <c r="AK778" s="35"/>
      <c r="AL778" s="35"/>
      <c r="AM778" s="35"/>
      <c r="AN778" s="35"/>
      <c r="AO778" s="35"/>
      <c r="AP778" s="35"/>
      <c r="AQ778" s="35"/>
      <c r="AR778" s="35"/>
      <c r="AS778" s="35"/>
      <c r="AT778" s="35"/>
      <c r="AU778" s="35"/>
      <c r="AV778" s="35"/>
      <c r="AW778" s="35"/>
      <c r="AX778" s="35"/>
    </row>
    <row r="779" ht="15.75" customHeight="1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  <c r="AF779" s="35"/>
      <c r="AG779" s="35"/>
      <c r="AH779" s="35"/>
      <c r="AI779" s="35"/>
      <c r="AJ779" s="35"/>
      <c r="AK779" s="35"/>
      <c r="AL779" s="35"/>
      <c r="AM779" s="35"/>
      <c r="AN779" s="35"/>
      <c r="AO779" s="35"/>
      <c r="AP779" s="35"/>
      <c r="AQ779" s="35"/>
      <c r="AR779" s="35"/>
      <c r="AS779" s="35"/>
      <c r="AT779" s="35"/>
      <c r="AU779" s="35"/>
      <c r="AV779" s="35"/>
      <c r="AW779" s="35"/>
      <c r="AX779" s="35"/>
    </row>
    <row r="780" ht="15.75" customHeight="1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  <c r="AE780" s="35"/>
      <c r="AF780" s="35"/>
      <c r="AG780" s="35"/>
      <c r="AH780" s="35"/>
      <c r="AI780" s="35"/>
      <c r="AJ780" s="35"/>
      <c r="AK780" s="35"/>
      <c r="AL780" s="35"/>
      <c r="AM780" s="35"/>
      <c r="AN780" s="35"/>
      <c r="AO780" s="35"/>
      <c r="AP780" s="35"/>
      <c r="AQ780" s="35"/>
      <c r="AR780" s="35"/>
      <c r="AS780" s="35"/>
      <c r="AT780" s="35"/>
      <c r="AU780" s="35"/>
      <c r="AV780" s="35"/>
      <c r="AW780" s="35"/>
      <c r="AX780" s="35"/>
    </row>
    <row r="781" ht="15.75" customHeight="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  <c r="AF781" s="35"/>
      <c r="AG781" s="35"/>
      <c r="AH781" s="35"/>
      <c r="AI781" s="35"/>
      <c r="AJ781" s="35"/>
      <c r="AK781" s="35"/>
      <c r="AL781" s="35"/>
      <c r="AM781" s="35"/>
      <c r="AN781" s="35"/>
      <c r="AO781" s="35"/>
      <c r="AP781" s="35"/>
      <c r="AQ781" s="35"/>
      <c r="AR781" s="35"/>
      <c r="AS781" s="35"/>
      <c r="AT781" s="35"/>
      <c r="AU781" s="35"/>
      <c r="AV781" s="35"/>
      <c r="AW781" s="35"/>
      <c r="AX781" s="35"/>
    </row>
    <row r="782" ht="15.75" customHeight="1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  <c r="AE782" s="35"/>
      <c r="AF782" s="35"/>
      <c r="AG782" s="35"/>
      <c r="AH782" s="35"/>
      <c r="AI782" s="35"/>
      <c r="AJ782" s="35"/>
      <c r="AK782" s="35"/>
      <c r="AL782" s="35"/>
      <c r="AM782" s="35"/>
      <c r="AN782" s="35"/>
      <c r="AO782" s="35"/>
      <c r="AP782" s="35"/>
      <c r="AQ782" s="35"/>
      <c r="AR782" s="35"/>
      <c r="AS782" s="35"/>
      <c r="AT782" s="35"/>
      <c r="AU782" s="35"/>
      <c r="AV782" s="35"/>
      <c r="AW782" s="35"/>
      <c r="AX782" s="35"/>
    </row>
    <row r="783" ht="15.75" customHeight="1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  <c r="AF783" s="35"/>
      <c r="AG783" s="35"/>
      <c r="AH783" s="35"/>
      <c r="AI783" s="35"/>
      <c r="AJ783" s="35"/>
      <c r="AK783" s="35"/>
      <c r="AL783" s="35"/>
      <c r="AM783" s="35"/>
      <c r="AN783" s="35"/>
      <c r="AO783" s="35"/>
      <c r="AP783" s="35"/>
      <c r="AQ783" s="35"/>
      <c r="AR783" s="35"/>
      <c r="AS783" s="35"/>
      <c r="AT783" s="35"/>
      <c r="AU783" s="35"/>
      <c r="AV783" s="35"/>
      <c r="AW783" s="35"/>
      <c r="AX783" s="35"/>
    </row>
    <row r="784" ht="15.75" customHeight="1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  <c r="AE784" s="35"/>
      <c r="AF784" s="35"/>
      <c r="AG784" s="35"/>
      <c r="AH784" s="35"/>
      <c r="AI784" s="35"/>
      <c r="AJ784" s="35"/>
      <c r="AK784" s="35"/>
      <c r="AL784" s="35"/>
      <c r="AM784" s="35"/>
      <c r="AN784" s="35"/>
      <c r="AO784" s="35"/>
      <c r="AP784" s="35"/>
      <c r="AQ784" s="35"/>
      <c r="AR784" s="35"/>
      <c r="AS784" s="35"/>
      <c r="AT784" s="35"/>
      <c r="AU784" s="35"/>
      <c r="AV784" s="35"/>
      <c r="AW784" s="35"/>
      <c r="AX784" s="35"/>
    </row>
    <row r="785" ht="15.75" customHeight="1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  <c r="AE785" s="35"/>
      <c r="AF785" s="35"/>
      <c r="AG785" s="35"/>
      <c r="AH785" s="35"/>
      <c r="AI785" s="35"/>
      <c r="AJ785" s="35"/>
      <c r="AK785" s="35"/>
      <c r="AL785" s="35"/>
      <c r="AM785" s="35"/>
      <c r="AN785" s="35"/>
      <c r="AO785" s="35"/>
      <c r="AP785" s="35"/>
      <c r="AQ785" s="35"/>
      <c r="AR785" s="35"/>
      <c r="AS785" s="35"/>
      <c r="AT785" s="35"/>
      <c r="AU785" s="35"/>
      <c r="AV785" s="35"/>
      <c r="AW785" s="35"/>
      <c r="AX785" s="35"/>
    </row>
    <row r="786" ht="15.75" customHeight="1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  <c r="AE786" s="35"/>
      <c r="AF786" s="35"/>
      <c r="AG786" s="35"/>
      <c r="AH786" s="35"/>
      <c r="AI786" s="35"/>
      <c r="AJ786" s="35"/>
      <c r="AK786" s="35"/>
      <c r="AL786" s="35"/>
      <c r="AM786" s="35"/>
      <c r="AN786" s="35"/>
      <c r="AO786" s="35"/>
      <c r="AP786" s="35"/>
      <c r="AQ786" s="35"/>
      <c r="AR786" s="35"/>
      <c r="AS786" s="35"/>
      <c r="AT786" s="35"/>
      <c r="AU786" s="35"/>
      <c r="AV786" s="35"/>
      <c r="AW786" s="35"/>
      <c r="AX786" s="35"/>
    </row>
    <row r="787" ht="15.75" customHeight="1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  <c r="AE787" s="35"/>
      <c r="AF787" s="35"/>
      <c r="AG787" s="35"/>
      <c r="AH787" s="35"/>
      <c r="AI787" s="35"/>
      <c r="AJ787" s="35"/>
      <c r="AK787" s="35"/>
      <c r="AL787" s="35"/>
      <c r="AM787" s="35"/>
      <c r="AN787" s="35"/>
      <c r="AO787" s="35"/>
      <c r="AP787" s="35"/>
      <c r="AQ787" s="35"/>
      <c r="AR787" s="35"/>
      <c r="AS787" s="35"/>
      <c r="AT787" s="35"/>
      <c r="AU787" s="35"/>
      <c r="AV787" s="35"/>
      <c r="AW787" s="35"/>
      <c r="AX787" s="35"/>
    </row>
    <row r="788" ht="15.75" customHeight="1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  <c r="AF788" s="35"/>
      <c r="AG788" s="35"/>
      <c r="AH788" s="35"/>
      <c r="AI788" s="35"/>
      <c r="AJ788" s="35"/>
      <c r="AK788" s="35"/>
      <c r="AL788" s="35"/>
      <c r="AM788" s="35"/>
      <c r="AN788" s="35"/>
      <c r="AO788" s="35"/>
      <c r="AP788" s="35"/>
      <c r="AQ788" s="35"/>
      <c r="AR788" s="35"/>
      <c r="AS788" s="35"/>
      <c r="AT788" s="35"/>
      <c r="AU788" s="35"/>
      <c r="AV788" s="35"/>
      <c r="AW788" s="35"/>
      <c r="AX788" s="35"/>
    </row>
    <row r="789" ht="15.75" customHeight="1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  <c r="AF789" s="35"/>
      <c r="AG789" s="35"/>
      <c r="AH789" s="35"/>
      <c r="AI789" s="35"/>
      <c r="AJ789" s="35"/>
      <c r="AK789" s="35"/>
      <c r="AL789" s="35"/>
      <c r="AM789" s="35"/>
      <c r="AN789" s="35"/>
      <c r="AO789" s="35"/>
      <c r="AP789" s="35"/>
      <c r="AQ789" s="35"/>
      <c r="AR789" s="35"/>
      <c r="AS789" s="35"/>
      <c r="AT789" s="35"/>
      <c r="AU789" s="35"/>
      <c r="AV789" s="35"/>
      <c r="AW789" s="35"/>
      <c r="AX789" s="35"/>
    </row>
    <row r="790" ht="15.75" customHeight="1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  <c r="AF790" s="35"/>
      <c r="AG790" s="35"/>
      <c r="AH790" s="35"/>
      <c r="AI790" s="35"/>
      <c r="AJ790" s="35"/>
      <c r="AK790" s="35"/>
      <c r="AL790" s="35"/>
      <c r="AM790" s="35"/>
      <c r="AN790" s="35"/>
      <c r="AO790" s="35"/>
      <c r="AP790" s="35"/>
      <c r="AQ790" s="35"/>
      <c r="AR790" s="35"/>
      <c r="AS790" s="35"/>
      <c r="AT790" s="35"/>
      <c r="AU790" s="35"/>
      <c r="AV790" s="35"/>
      <c r="AW790" s="35"/>
      <c r="AX790" s="35"/>
    </row>
    <row r="791" ht="15.75" customHeight="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  <c r="AG791" s="35"/>
      <c r="AH791" s="35"/>
      <c r="AI791" s="35"/>
      <c r="AJ791" s="35"/>
      <c r="AK791" s="35"/>
      <c r="AL791" s="35"/>
      <c r="AM791" s="35"/>
      <c r="AN791" s="35"/>
      <c r="AO791" s="35"/>
      <c r="AP791" s="35"/>
      <c r="AQ791" s="35"/>
      <c r="AR791" s="35"/>
      <c r="AS791" s="35"/>
      <c r="AT791" s="35"/>
      <c r="AU791" s="35"/>
      <c r="AV791" s="35"/>
      <c r="AW791" s="35"/>
      <c r="AX791" s="35"/>
    </row>
    <row r="792" ht="15.75" customHeight="1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  <c r="AG792" s="35"/>
      <c r="AH792" s="35"/>
      <c r="AI792" s="35"/>
      <c r="AJ792" s="35"/>
      <c r="AK792" s="35"/>
      <c r="AL792" s="35"/>
      <c r="AM792" s="35"/>
      <c r="AN792" s="35"/>
      <c r="AO792" s="35"/>
      <c r="AP792" s="35"/>
      <c r="AQ792" s="35"/>
      <c r="AR792" s="35"/>
      <c r="AS792" s="35"/>
      <c r="AT792" s="35"/>
      <c r="AU792" s="35"/>
      <c r="AV792" s="35"/>
      <c r="AW792" s="35"/>
      <c r="AX792" s="35"/>
    </row>
    <row r="793" ht="15.75" customHeight="1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  <c r="AG793" s="35"/>
      <c r="AH793" s="35"/>
      <c r="AI793" s="35"/>
      <c r="AJ793" s="35"/>
      <c r="AK793" s="35"/>
      <c r="AL793" s="35"/>
      <c r="AM793" s="35"/>
      <c r="AN793" s="35"/>
      <c r="AO793" s="35"/>
      <c r="AP793" s="35"/>
      <c r="AQ793" s="35"/>
      <c r="AR793" s="35"/>
      <c r="AS793" s="35"/>
      <c r="AT793" s="35"/>
      <c r="AU793" s="35"/>
      <c r="AV793" s="35"/>
      <c r="AW793" s="35"/>
      <c r="AX793" s="35"/>
    </row>
    <row r="794" ht="15.75" customHeight="1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  <c r="AF794" s="35"/>
      <c r="AG794" s="35"/>
      <c r="AH794" s="35"/>
      <c r="AI794" s="35"/>
      <c r="AJ794" s="35"/>
      <c r="AK794" s="35"/>
      <c r="AL794" s="35"/>
      <c r="AM794" s="35"/>
      <c r="AN794" s="35"/>
      <c r="AO794" s="35"/>
      <c r="AP794" s="35"/>
      <c r="AQ794" s="35"/>
      <c r="AR794" s="35"/>
      <c r="AS794" s="35"/>
      <c r="AT794" s="35"/>
      <c r="AU794" s="35"/>
      <c r="AV794" s="35"/>
      <c r="AW794" s="35"/>
      <c r="AX794" s="35"/>
    </row>
    <row r="795" ht="15.75" customHeight="1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  <c r="AF795" s="35"/>
      <c r="AG795" s="35"/>
      <c r="AH795" s="35"/>
      <c r="AI795" s="35"/>
      <c r="AJ795" s="35"/>
      <c r="AK795" s="35"/>
      <c r="AL795" s="35"/>
      <c r="AM795" s="35"/>
      <c r="AN795" s="35"/>
      <c r="AO795" s="35"/>
      <c r="AP795" s="35"/>
      <c r="AQ795" s="35"/>
      <c r="AR795" s="35"/>
      <c r="AS795" s="35"/>
      <c r="AT795" s="35"/>
      <c r="AU795" s="35"/>
      <c r="AV795" s="35"/>
      <c r="AW795" s="35"/>
      <c r="AX795" s="35"/>
    </row>
    <row r="796" ht="15.75" customHeight="1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  <c r="AG796" s="35"/>
      <c r="AH796" s="35"/>
      <c r="AI796" s="35"/>
      <c r="AJ796" s="35"/>
      <c r="AK796" s="35"/>
      <c r="AL796" s="35"/>
      <c r="AM796" s="35"/>
      <c r="AN796" s="35"/>
      <c r="AO796" s="35"/>
      <c r="AP796" s="35"/>
      <c r="AQ796" s="35"/>
      <c r="AR796" s="35"/>
      <c r="AS796" s="35"/>
      <c r="AT796" s="35"/>
      <c r="AU796" s="35"/>
      <c r="AV796" s="35"/>
      <c r="AW796" s="35"/>
      <c r="AX796" s="35"/>
    </row>
    <row r="797" ht="15.75" customHeight="1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  <c r="AG797" s="35"/>
      <c r="AH797" s="35"/>
      <c r="AI797" s="35"/>
      <c r="AJ797" s="35"/>
      <c r="AK797" s="35"/>
      <c r="AL797" s="35"/>
      <c r="AM797" s="35"/>
      <c r="AN797" s="35"/>
      <c r="AO797" s="35"/>
      <c r="AP797" s="35"/>
      <c r="AQ797" s="35"/>
      <c r="AR797" s="35"/>
      <c r="AS797" s="35"/>
      <c r="AT797" s="35"/>
      <c r="AU797" s="35"/>
      <c r="AV797" s="35"/>
      <c r="AW797" s="35"/>
      <c r="AX797" s="35"/>
    </row>
    <row r="798" ht="15.75" customHeight="1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  <c r="AG798" s="35"/>
      <c r="AH798" s="35"/>
      <c r="AI798" s="35"/>
      <c r="AJ798" s="35"/>
      <c r="AK798" s="35"/>
      <c r="AL798" s="35"/>
      <c r="AM798" s="35"/>
      <c r="AN798" s="35"/>
      <c r="AO798" s="35"/>
      <c r="AP798" s="35"/>
      <c r="AQ798" s="35"/>
      <c r="AR798" s="35"/>
      <c r="AS798" s="35"/>
      <c r="AT798" s="35"/>
      <c r="AU798" s="35"/>
      <c r="AV798" s="35"/>
      <c r="AW798" s="35"/>
      <c r="AX798" s="35"/>
    </row>
    <row r="799" ht="15.75" customHeight="1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  <c r="AG799" s="35"/>
      <c r="AH799" s="35"/>
      <c r="AI799" s="35"/>
      <c r="AJ799" s="35"/>
      <c r="AK799" s="35"/>
      <c r="AL799" s="35"/>
      <c r="AM799" s="35"/>
      <c r="AN799" s="35"/>
      <c r="AO799" s="35"/>
      <c r="AP799" s="35"/>
      <c r="AQ799" s="35"/>
      <c r="AR799" s="35"/>
      <c r="AS799" s="35"/>
      <c r="AT799" s="35"/>
      <c r="AU799" s="35"/>
      <c r="AV799" s="35"/>
      <c r="AW799" s="35"/>
      <c r="AX799" s="35"/>
    </row>
    <row r="800" ht="15.75" customHeight="1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  <c r="AG800" s="35"/>
      <c r="AH800" s="35"/>
      <c r="AI800" s="35"/>
      <c r="AJ800" s="35"/>
      <c r="AK800" s="35"/>
      <c r="AL800" s="35"/>
      <c r="AM800" s="35"/>
      <c r="AN800" s="35"/>
      <c r="AO800" s="35"/>
      <c r="AP800" s="35"/>
      <c r="AQ800" s="35"/>
      <c r="AR800" s="35"/>
      <c r="AS800" s="35"/>
      <c r="AT800" s="35"/>
      <c r="AU800" s="35"/>
      <c r="AV800" s="35"/>
      <c r="AW800" s="35"/>
      <c r="AX800" s="35"/>
    </row>
    <row r="801" ht="15.75" customHeight="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  <c r="AF801" s="35"/>
      <c r="AG801" s="35"/>
      <c r="AH801" s="35"/>
      <c r="AI801" s="35"/>
      <c r="AJ801" s="35"/>
      <c r="AK801" s="35"/>
      <c r="AL801" s="35"/>
      <c r="AM801" s="35"/>
      <c r="AN801" s="35"/>
      <c r="AO801" s="35"/>
      <c r="AP801" s="35"/>
      <c r="AQ801" s="35"/>
      <c r="AR801" s="35"/>
      <c r="AS801" s="35"/>
      <c r="AT801" s="35"/>
      <c r="AU801" s="35"/>
      <c r="AV801" s="35"/>
      <c r="AW801" s="35"/>
      <c r="AX801" s="35"/>
    </row>
    <row r="802" ht="15.75" customHeight="1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  <c r="AF802" s="35"/>
      <c r="AG802" s="35"/>
      <c r="AH802" s="35"/>
      <c r="AI802" s="35"/>
      <c r="AJ802" s="35"/>
      <c r="AK802" s="35"/>
      <c r="AL802" s="35"/>
      <c r="AM802" s="35"/>
      <c r="AN802" s="35"/>
      <c r="AO802" s="35"/>
      <c r="AP802" s="35"/>
      <c r="AQ802" s="35"/>
      <c r="AR802" s="35"/>
      <c r="AS802" s="35"/>
      <c r="AT802" s="35"/>
      <c r="AU802" s="35"/>
      <c r="AV802" s="35"/>
      <c r="AW802" s="35"/>
      <c r="AX802" s="35"/>
    </row>
    <row r="803" ht="15.75" customHeight="1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  <c r="AG803" s="35"/>
      <c r="AH803" s="35"/>
      <c r="AI803" s="35"/>
      <c r="AJ803" s="35"/>
      <c r="AK803" s="35"/>
      <c r="AL803" s="35"/>
      <c r="AM803" s="35"/>
      <c r="AN803" s="35"/>
      <c r="AO803" s="35"/>
      <c r="AP803" s="35"/>
      <c r="AQ803" s="35"/>
      <c r="AR803" s="35"/>
      <c r="AS803" s="35"/>
      <c r="AT803" s="35"/>
      <c r="AU803" s="35"/>
      <c r="AV803" s="35"/>
      <c r="AW803" s="35"/>
      <c r="AX803" s="35"/>
    </row>
    <row r="804" ht="15.75" customHeight="1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  <c r="AG804" s="35"/>
      <c r="AH804" s="35"/>
      <c r="AI804" s="35"/>
      <c r="AJ804" s="35"/>
      <c r="AK804" s="35"/>
      <c r="AL804" s="35"/>
      <c r="AM804" s="35"/>
      <c r="AN804" s="35"/>
      <c r="AO804" s="35"/>
      <c r="AP804" s="35"/>
      <c r="AQ804" s="35"/>
      <c r="AR804" s="35"/>
      <c r="AS804" s="35"/>
      <c r="AT804" s="35"/>
      <c r="AU804" s="35"/>
      <c r="AV804" s="35"/>
      <c r="AW804" s="35"/>
      <c r="AX804" s="35"/>
    </row>
    <row r="805" ht="15.75" customHeight="1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  <c r="AG805" s="35"/>
      <c r="AH805" s="35"/>
      <c r="AI805" s="35"/>
      <c r="AJ805" s="35"/>
      <c r="AK805" s="35"/>
      <c r="AL805" s="35"/>
      <c r="AM805" s="35"/>
      <c r="AN805" s="35"/>
      <c r="AO805" s="35"/>
      <c r="AP805" s="35"/>
      <c r="AQ805" s="35"/>
      <c r="AR805" s="35"/>
      <c r="AS805" s="35"/>
      <c r="AT805" s="35"/>
      <c r="AU805" s="35"/>
      <c r="AV805" s="35"/>
      <c r="AW805" s="35"/>
      <c r="AX805" s="35"/>
    </row>
    <row r="806" ht="15.75" customHeight="1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/>
      <c r="AH806" s="35"/>
      <c r="AI806" s="35"/>
      <c r="AJ806" s="35"/>
      <c r="AK806" s="35"/>
      <c r="AL806" s="35"/>
      <c r="AM806" s="35"/>
      <c r="AN806" s="35"/>
      <c r="AO806" s="35"/>
      <c r="AP806" s="35"/>
      <c r="AQ806" s="35"/>
      <c r="AR806" s="35"/>
      <c r="AS806" s="35"/>
      <c r="AT806" s="35"/>
      <c r="AU806" s="35"/>
      <c r="AV806" s="35"/>
      <c r="AW806" s="35"/>
      <c r="AX806" s="35"/>
    </row>
    <row r="807" ht="15.75" customHeight="1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  <c r="AG807" s="35"/>
      <c r="AH807" s="35"/>
      <c r="AI807" s="35"/>
      <c r="AJ807" s="35"/>
      <c r="AK807" s="35"/>
      <c r="AL807" s="35"/>
      <c r="AM807" s="35"/>
      <c r="AN807" s="35"/>
      <c r="AO807" s="35"/>
      <c r="AP807" s="35"/>
      <c r="AQ807" s="35"/>
      <c r="AR807" s="35"/>
      <c r="AS807" s="35"/>
      <c r="AT807" s="35"/>
      <c r="AU807" s="35"/>
      <c r="AV807" s="35"/>
      <c r="AW807" s="35"/>
      <c r="AX807" s="35"/>
    </row>
    <row r="808" ht="15.75" customHeight="1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  <c r="AG808" s="35"/>
      <c r="AH808" s="35"/>
      <c r="AI808" s="35"/>
      <c r="AJ808" s="35"/>
      <c r="AK808" s="35"/>
      <c r="AL808" s="35"/>
      <c r="AM808" s="35"/>
      <c r="AN808" s="35"/>
      <c r="AO808" s="35"/>
      <c r="AP808" s="35"/>
      <c r="AQ808" s="35"/>
      <c r="AR808" s="35"/>
      <c r="AS808" s="35"/>
      <c r="AT808" s="35"/>
      <c r="AU808" s="35"/>
      <c r="AV808" s="35"/>
      <c r="AW808" s="35"/>
      <c r="AX808" s="35"/>
    </row>
    <row r="809" ht="15.75" customHeight="1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  <c r="AG809" s="35"/>
      <c r="AH809" s="35"/>
      <c r="AI809" s="35"/>
      <c r="AJ809" s="35"/>
      <c r="AK809" s="35"/>
      <c r="AL809" s="35"/>
      <c r="AM809" s="35"/>
      <c r="AN809" s="35"/>
      <c r="AO809" s="35"/>
      <c r="AP809" s="35"/>
      <c r="AQ809" s="35"/>
      <c r="AR809" s="35"/>
      <c r="AS809" s="35"/>
      <c r="AT809" s="35"/>
      <c r="AU809" s="35"/>
      <c r="AV809" s="35"/>
      <c r="AW809" s="35"/>
      <c r="AX809" s="35"/>
    </row>
    <row r="810" ht="15.75" customHeight="1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  <c r="AG810" s="35"/>
      <c r="AH810" s="35"/>
      <c r="AI810" s="35"/>
      <c r="AJ810" s="35"/>
      <c r="AK810" s="35"/>
      <c r="AL810" s="35"/>
      <c r="AM810" s="35"/>
      <c r="AN810" s="35"/>
      <c r="AO810" s="35"/>
      <c r="AP810" s="35"/>
      <c r="AQ810" s="35"/>
      <c r="AR810" s="35"/>
      <c r="AS810" s="35"/>
      <c r="AT810" s="35"/>
      <c r="AU810" s="35"/>
      <c r="AV810" s="35"/>
      <c r="AW810" s="35"/>
      <c r="AX810" s="35"/>
    </row>
    <row r="811" ht="15.75" customHeight="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  <c r="AH811" s="35"/>
      <c r="AI811" s="35"/>
      <c r="AJ811" s="35"/>
      <c r="AK811" s="35"/>
      <c r="AL811" s="35"/>
      <c r="AM811" s="35"/>
      <c r="AN811" s="35"/>
      <c r="AO811" s="35"/>
      <c r="AP811" s="35"/>
      <c r="AQ811" s="35"/>
      <c r="AR811" s="35"/>
      <c r="AS811" s="35"/>
      <c r="AT811" s="35"/>
      <c r="AU811" s="35"/>
      <c r="AV811" s="35"/>
      <c r="AW811" s="35"/>
      <c r="AX811" s="35"/>
    </row>
    <row r="812" ht="15.75" customHeight="1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  <c r="AI812" s="35"/>
      <c r="AJ812" s="35"/>
      <c r="AK812" s="35"/>
      <c r="AL812" s="35"/>
      <c r="AM812" s="35"/>
      <c r="AN812" s="35"/>
      <c r="AO812" s="35"/>
      <c r="AP812" s="35"/>
      <c r="AQ812" s="35"/>
      <c r="AR812" s="35"/>
      <c r="AS812" s="35"/>
      <c r="AT812" s="35"/>
      <c r="AU812" s="35"/>
      <c r="AV812" s="35"/>
      <c r="AW812" s="35"/>
      <c r="AX812" s="35"/>
    </row>
    <row r="813" ht="15.75" customHeight="1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  <c r="AH813" s="35"/>
      <c r="AI813" s="35"/>
      <c r="AJ813" s="35"/>
      <c r="AK813" s="35"/>
      <c r="AL813" s="35"/>
      <c r="AM813" s="35"/>
      <c r="AN813" s="35"/>
      <c r="AO813" s="35"/>
      <c r="AP813" s="35"/>
      <c r="AQ813" s="35"/>
      <c r="AR813" s="35"/>
      <c r="AS813" s="35"/>
      <c r="AT813" s="35"/>
      <c r="AU813" s="35"/>
      <c r="AV813" s="35"/>
      <c r="AW813" s="35"/>
      <c r="AX813" s="35"/>
    </row>
    <row r="814" ht="15.75" customHeight="1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  <c r="AI814" s="35"/>
      <c r="AJ814" s="35"/>
      <c r="AK814" s="35"/>
      <c r="AL814" s="35"/>
      <c r="AM814" s="35"/>
      <c r="AN814" s="35"/>
      <c r="AO814" s="35"/>
      <c r="AP814" s="35"/>
      <c r="AQ814" s="35"/>
      <c r="AR814" s="35"/>
      <c r="AS814" s="35"/>
      <c r="AT814" s="35"/>
      <c r="AU814" s="35"/>
      <c r="AV814" s="35"/>
      <c r="AW814" s="35"/>
      <c r="AX814" s="35"/>
    </row>
    <row r="815" ht="15.75" customHeight="1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  <c r="AG815" s="35"/>
      <c r="AH815" s="35"/>
      <c r="AI815" s="35"/>
      <c r="AJ815" s="35"/>
      <c r="AK815" s="35"/>
      <c r="AL815" s="35"/>
      <c r="AM815" s="35"/>
      <c r="AN815" s="35"/>
      <c r="AO815" s="35"/>
      <c r="AP815" s="35"/>
      <c r="AQ815" s="35"/>
      <c r="AR815" s="35"/>
      <c r="AS815" s="35"/>
      <c r="AT815" s="35"/>
      <c r="AU815" s="35"/>
      <c r="AV815" s="35"/>
      <c r="AW815" s="35"/>
      <c r="AX815" s="35"/>
    </row>
    <row r="816" ht="15.75" customHeight="1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  <c r="AH816" s="35"/>
      <c r="AI816" s="35"/>
      <c r="AJ816" s="35"/>
      <c r="AK816" s="35"/>
      <c r="AL816" s="35"/>
      <c r="AM816" s="35"/>
      <c r="AN816" s="35"/>
      <c r="AO816" s="35"/>
      <c r="AP816" s="35"/>
      <c r="AQ816" s="35"/>
      <c r="AR816" s="35"/>
      <c r="AS816" s="35"/>
      <c r="AT816" s="35"/>
      <c r="AU816" s="35"/>
      <c r="AV816" s="35"/>
      <c r="AW816" s="35"/>
      <c r="AX816" s="35"/>
    </row>
    <row r="817" ht="15.75" customHeight="1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  <c r="AG817" s="35"/>
      <c r="AH817" s="35"/>
      <c r="AI817" s="35"/>
      <c r="AJ817" s="35"/>
      <c r="AK817" s="35"/>
      <c r="AL817" s="35"/>
      <c r="AM817" s="35"/>
      <c r="AN817" s="35"/>
      <c r="AO817" s="35"/>
      <c r="AP817" s="35"/>
      <c r="AQ817" s="35"/>
      <c r="AR817" s="35"/>
      <c r="AS817" s="35"/>
      <c r="AT817" s="35"/>
      <c r="AU817" s="35"/>
      <c r="AV817" s="35"/>
      <c r="AW817" s="35"/>
      <c r="AX817" s="35"/>
    </row>
    <row r="818" ht="15.75" customHeight="1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  <c r="AI818" s="35"/>
      <c r="AJ818" s="35"/>
      <c r="AK818" s="35"/>
      <c r="AL818" s="35"/>
      <c r="AM818" s="35"/>
      <c r="AN818" s="35"/>
      <c r="AO818" s="35"/>
      <c r="AP818" s="35"/>
      <c r="AQ818" s="35"/>
      <c r="AR818" s="35"/>
      <c r="AS818" s="35"/>
      <c r="AT818" s="35"/>
      <c r="AU818" s="35"/>
      <c r="AV818" s="35"/>
      <c r="AW818" s="35"/>
      <c r="AX818" s="35"/>
    </row>
    <row r="819" ht="15.75" customHeight="1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  <c r="AG819" s="35"/>
      <c r="AH819" s="35"/>
      <c r="AI819" s="35"/>
      <c r="AJ819" s="35"/>
      <c r="AK819" s="35"/>
      <c r="AL819" s="35"/>
      <c r="AM819" s="35"/>
      <c r="AN819" s="35"/>
      <c r="AO819" s="35"/>
      <c r="AP819" s="35"/>
      <c r="AQ819" s="35"/>
      <c r="AR819" s="35"/>
      <c r="AS819" s="35"/>
      <c r="AT819" s="35"/>
      <c r="AU819" s="35"/>
      <c r="AV819" s="35"/>
      <c r="AW819" s="35"/>
      <c r="AX819" s="35"/>
    </row>
    <row r="820" ht="15.75" customHeight="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  <c r="AJ820" s="35"/>
      <c r="AK820" s="35"/>
      <c r="AL820" s="35"/>
      <c r="AM820" s="35"/>
      <c r="AN820" s="35"/>
      <c r="AO820" s="35"/>
      <c r="AP820" s="35"/>
      <c r="AQ820" s="35"/>
      <c r="AR820" s="35"/>
      <c r="AS820" s="35"/>
      <c r="AT820" s="35"/>
      <c r="AU820" s="35"/>
      <c r="AV820" s="35"/>
      <c r="AW820" s="35"/>
      <c r="AX820" s="35"/>
    </row>
    <row r="821" ht="15.75" customHeight="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  <c r="AH821" s="35"/>
      <c r="AI821" s="35"/>
      <c r="AJ821" s="35"/>
      <c r="AK821" s="35"/>
      <c r="AL821" s="35"/>
      <c r="AM821" s="35"/>
      <c r="AN821" s="35"/>
      <c r="AO821" s="35"/>
      <c r="AP821" s="35"/>
      <c r="AQ821" s="35"/>
      <c r="AR821" s="35"/>
      <c r="AS821" s="35"/>
      <c r="AT821" s="35"/>
      <c r="AU821" s="35"/>
      <c r="AV821" s="35"/>
      <c r="AW821" s="35"/>
      <c r="AX821" s="35"/>
    </row>
    <row r="822" ht="15.75" customHeight="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  <c r="AI822" s="35"/>
      <c r="AJ822" s="35"/>
      <c r="AK822" s="35"/>
      <c r="AL822" s="35"/>
      <c r="AM822" s="35"/>
      <c r="AN822" s="35"/>
      <c r="AO822" s="35"/>
      <c r="AP822" s="35"/>
      <c r="AQ822" s="35"/>
      <c r="AR822" s="35"/>
      <c r="AS822" s="35"/>
      <c r="AT822" s="35"/>
      <c r="AU822" s="35"/>
      <c r="AV822" s="35"/>
      <c r="AW822" s="35"/>
      <c r="AX822" s="35"/>
    </row>
    <row r="823" ht="15.75" customHeight="1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  <c r="AH823" s="35"/>
      <c r="AI823" s="35"/>
      <c r="AJ823" s="35"/>
      <c r="AK823" s="35"/>
      <c r="AL823" s="35"/>
      <c r="AM823" s="35"/>
      <c r="AN823" s="35"/>
      <c r="AO823" s="35"/>
      <c r="AP823" s="35"/>
      <c r="AQ823" s="35"/>
      <c r="AR823" s="35"/>
      <c r="AS823" s="35"/>
      <c r="AT823" s="35"/>
      <c r="AU823" s="35"/>
      <c r="AV823" s="35"/>
      <c r="AW823" s="35"/>
      <c r="AX823" s="35"/>
    </row>
    <row r="824" ht="15.75" customHeight="1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  <c r="AG824" s="35"/>
      <c r="AH824" s="35"/>
      <c r="AI824" s="35"/>
      <c r="AJ824" s="35"/>
      <c r="AK824" s="35"/>
      <c r="AL824" s="35"/>
      <c r="AM824" s="35"/>
      <c r="AN824" s="35"/>
      <c r="AO824" s="35"/>
      <c r="AP824" s="35"/>
      <c r="AQ824" s="35"/>
      <c r="AR824" s="35"/>
      <c r="AS824" s="35"/>
      <c r="AT824" s="35"/>
      <c r="AU824" s="35"/>
      <c r="AV824" s="35"/>
      <c r="AW824" s="35"/>
      <c r="AX824" s="35"/>
    </row>
    <row r="825" ht="15.75" customHeight="1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  <c r="AI825" s="35"/>
      <c r="AJ825" s="35"/>
      <c r="AK825" s="35"/>
      <c r="AL825" s="35"/>
      <c r="AM825" s="35"/>
      <c r="AN825" s="35"/>
      <c r="AO825" s="35"/>
      <c r="AP825" s="35"/>
      <c r="AQ825" s="35"/>
      <c r="AR825" s="35"/>
      <c r="AS825" s="35"/>
      <c r="AT825" s="35"/>
      <c r="AU825" s="35"/>
      <c r="AV825" s="35"/>
      <c r="AW825" s="35"/>
      <c r="AX825" s="35"/>
    </row>
    <row r="826" ht="15.75" customHeight="1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  <c r="AH826" s="35"/>
      <c r="AI826" s="35"/>
      <c r="AJ826" s="35"/>
      <c r="AK826" s="35"/>
      <c r="AL826" s="35"/>
      <c r="AM826" s="35"/>
      <c r="AN826" s="35"/>
      <c r="AO826" s="35"/>
      <c r="AP826" s="35"/>
      <c r="AQ826" s="35"/>
      <c r="AR826" s="35"/>
      <c r="AS826" s="35"/>
      <c r="AT826" s="35"/>
      <c r="AU826" s="35"/>
      <c r="AV826" s="35"/>
      <c r="AW826" s="35"/>
      <c r="AX826" s="35"/>
    </row>
    <row r="827" ht="15.75" customHeight="1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  <c r="AI827" s="35"/>
      <c r="AJ827" s="35"/>
      <c r="AK827" s="35"/>
      <c r="AL827" s="35"/>
      <c r="AM827" s="35"/>
      <c r="AN827" s="35"/>
      <c r="AO827" s="35"/>
      <c r="AP827" s="35"/>
      <c r="AQ827" s="35"/>
      <c r="AR827" s="35"/>
      <c r="AS827" s="35"/>
      <c r="AT827" s="35"/>
      <c r="AU827" s="35"/>
      <c r="AV827" s="35"/>
      <c r="AW827" s="35"/>
      <c r="AX827" s="35"/>
    </row>
    <row r="828" ht="15.75" customHeight="1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  <c r="AI828" s="35"/>
      <c r="AJ828" s="35"/>
      <c r="AK828" s="35"/>
      <c r="AL828" s="35"/>
      <c r="AM828" s="35"/>
      <c r="AN828" s="35"/>
      <c r="AO828" s="35"/>
      <c r="AP828" s="35"/>
      <c r="AQ828" s="35"/>
      <c r="AR828" s="35"/>
      <c r="AS828" s="35"/>
      <c r="AT828" s="35"/>
      <c r="AU828" s="35"/>
      <c r="AV828" s="35"/>
      <c r="AW828" s="35"/>
      <c r="AX828" s="35"/>
    </row>
    <row r="829" ht="15.75" customHeight="1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  <c r="AI829" s="35"/>
      <c r="AJ829" s="35"/>
      <c r="AK829" s="35"/>
      <c r="AL829" s="35"/>
      <c r="AM829" s="35"/>
      <c r="AN829" s="35"/>
      <c r="AO829" s="35"/>
      <c r="AP829" s="35"/>
      <c r="AQ829" s="35"/>
      <c r="AR829" s="35"/>
      <c r="AS829" s="35"/>
      <c r="AT829" s="35"/>
      <c r="AU829" s="35"/>
      <c r="AV829" s="35"/>
      <c r="AW829" s="35"/>
      <c r="AX829" s="35"/>
    </row>
    <row r="830" ht="15.75" customHeight="1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  <c r="AJ830" s="35"/>
      <c r="AK830" s="35"/>
      <c r="AL830" s="35"/>
      <c r="AM830" s="35"/>
      <c r="AN830" s="35"/>
      <c r="AO830" s="35"/>
      <c r="AP830" s="35"/>
      <c r="AQ830" s="35"/>
      <c r="AR830" s="35"/>
      <c r="AS830" s="35"/>
      <c r="AT830" s="35"/>
      <c r="AU830" s="35"/>
      <c r="AV830" s="35"/>
      <c r="AW830" s="35"/>
      <c r="AX830" s="35"/>
    </row>
    <row r="831" ht="15.75" customHeight="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  <c r="AG831" s="35"/>
      <c r="AH831" s="35"/>
      <c r="AI831" s="35"/>
      <c r="AJ831" s="35"/>
      <c r="AK831" s="35"/>
      <c r="AL831" s="35"/>
      <c r="AM831" s="35"/>
      <c r="AN831" s="35"/>
      <c r="AO831" s="35"/>
      <c r="AP831" s="35"/>
      <c r="AQ831" s="35"/>
      <c r="AR831" s="35"/>
      <c r="AS831" s="35"/>
      <c r="AT831" s="35"/>
      <c r="AU831" s="35"/>
      <c r="AV831" s="35"/>
      <c r="AW831" s="35"/>
      <c r="AX831" s="35"/>
    </row>
    <row r="832" ht="15.75" customHeight="1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  <c r="AG832" s="35"/>
      <c r="AH832" s="35"/>
      <c r="AI832" s="35"/>
      <c r="AJ832" s="35"/>
      <c r="AK832" s="35"/>
      <c r="AL832" s="35"/>
      <c r="AM832" s="35"/>
      <c r="AN832" s="35"/>
      <c r="AO832" s="35"/>
      <c r="AP832" s="35"/>
      <c r="AQ832" s="35"/>
      <c r="AR832" s="35"/>
      <c r="AS832" s="35"/>
      <c r="AT832" s="35"/>
      <c r="AU832" s="35"/>
      <c r="AV832" s="35"/>
      <c r="AW832" s="35"/>
      <c r="AX832" s="35"/>
    </row>
    <row r="833" ht="15.75" customHeight="1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  <c r="AG833" s="35"/>
      <c r="AH833" s="35"/>
      <c r="AI833" s="35"/>
      <c r="AJ833" s="35"/>
      <c r="AK833" s="35"/>
      <c r="AL833" s="35"/>
      <c r="AM833" s="35"/>
      <c r="AN833" s="35"/>
      <c r="AO833" s="35"/>
      <c r="AP833" s="35"/>
      <c r="AQ833" s="35"/>
      <c r="AR833" s="35"/>
      <c r="AS833" s="35"/>
      <c r="AT833" s="35"/>
      <c r="AU833" s="35"/>
      <c r="AV833" s="35"/>
      <c r="AW833" s="35"/>
      <c r="AX833" s="35"/>
    </row>
    <row r="834" ht="15.75" customHeight="1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  <c r="AG834" s="35"/>
      <c r="AH834" s="35"/>
      <c r="AI834" s="35"/>
      <c r="AJ834" s="35"/>
      <c r="AK834" s="35"/>
      <c r="AL834" s="35"/>
      <c r="AM834" s="35"/>
      <c r="AN834" s="35"/>
      <c r="AO834" s="35"/>
      <c r="AP834" s="35"/>
      <c r="AQ834" s="35"/>
      <c r="AR834" s="35"/>
      <c r="AS834" s="35"/>
      <c r="AT834" s="35"/>
      <c r="AU834" s="35"/>
      <c r="AV834" s="35"/>
      <c r="AW834" s="35"/>
      <c r="AX834" s="35"/>
    </row>
    <row r="835" ht="15.75" customHeight="1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  <c r="AG835" s="35"/>
      <c r="AH835" s="35"/>
      <c r="AI835" s="35"/>
      <c r="AJ835" s="35"/>
      <c r="AK835" s="35"/>
      <c r="AL835" s="35"/>
      <c r="AM835" s="35"/>
      <c r="AN835" s="35"/>
      <c r="AO835" s="35"/>
      <c r="AP835" s="35"/>
      <c r="AQ835" s="35"/>
      <c r="AR835" s="35"/>
      <c r="AS835" s="35"/>
      <c r="AT835" s="35"/>
      <c r="AU835" s="35"/>
      <c r="AV835" s="35"/>
      <c r="AW835" s="35"/>
      <c r="AX835" s="35"/>
    </row>
    <row r="836" ht="15.75" customHeight="1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  <c r="AG836" s="35"/>
      <c r="AH836" s="35"/>
      <c r="AI836" s="35"/>
      <c r="AJ836" s="35"/>
      <c r="AK836" s="35"/>
      <c r="AL836" s="35"/>
      <c r="AM836" s="35"/>
      <c r="AN836" s="35"/>
      <c r="AO836" s="35"/>
      <c r="AP836" s="35"/>
      <c r="AQ836" s="35"/>
      <c r="AR836" s="35"/>
      <c r="AS836" s="35"/>
      <c r="AT836" s="35"/>
      <c r="AU836" s="35"/>
      <c r="AV836" s="35"/>
      <c r="AW836" s="35"/>
      <c r="AX836" s="35"/>
    </row>
    <row r="837" ht="15.75" customHeight="1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  <c r="AG837" s="35"/>
      <c r="AH837" s="35"/>
      <c r="AI837" s="35"/>
      <c r="AJ837" s="35"/>
      <c r="AK837" s="35"/>
      <c r="AL837" s="35"/>
      <c r="AM837" s="35"/>
      <c r="AN837" s="35"/>
      <c r="AO837" s="35"/>
      <c r="AP837" s="35"/>
      <c r="AQ837" s="35"/>
      <c r="AR837" s="35"/>
      <c r="AS837" s="35"/>
      <c r="AT837" s="35"/>
      <c r="AU837" s="35"/>
      <c r="AV837" s="35"/>
      <c r="AW837" s="35"/>
      <c r="AX837" s="35"/>
    </row>
    <row r="838" ht="15.75" customHeight="1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  <c r="AH838" s="35"/>
      <c r="AI838" s="35"/>
      <c r="AJ838" s="35"/>
      <c r="AK838" s="35"/>
      <c r="AL838" s="35"/>
      <c r="AM838" s="35"/>
      <c r="AN838" s="35"/>
      <c r="AO838" s="35"/>
      <c r="AP838" s="35"/>
      <c r="AQ838" s="35"/>
      <c r="AR838" s="35"/>
      <c r="AS838" s="35"/>
      <c r="AT838" s="35"/>
      <c r="AU838" s="35"/>
      <c r="AV838" s="35"/>
      <c r="AW838" s="35"/>
      <c r="AX838" s="35"/>
    </row>
    <row r="839" ht="15.75" customHeight="1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  <c r="AG839" s="35"/>
      <c r="AH839" s="35"/>
      <c r="AI839" s="35"/>
      <c r="AJ839" s="35"/>
      <c r="AK839" s="35"/>
      <c r="AL839" s="35"/>
      <c r="AM839" s="35"/>
      <c r="AN839" s="35"/>
      <c r="AO839" s="35"/>
      <c r="AP839" s="35"/>
      <c r="AQ839" s="35"/>
      <c r="AR839" s="35"/>
      <c r="AS839" s="35"/>
      <c r="AT839" s="35"/>
      <c r="AU839" s="35"/>
      <c r="AV839" s="35"/>
      <c r="AW839" s="35"/>
      <c r="AX839" s="35"/>
    </row>
    <row r="840" ht="15.75" customHeight="1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  <c r="AG840" s="35"/>
      <c r="AH840" s="35"/>
      <c r="AI840" s="35"/>
      <c r="AJ840" s="35"/>
      <c r="AK840" s="35"/>
      <c r="AL840" s="35"/>
      <c r="AM840" s="35"/>
      <c r="AN840" s="35"/>
      <c r="AO840" s="35"/>
      <c r="AP840" s="35"/>
      <c r="AQ840" s="35"/>
      <c r="AR840" s="35"/>
      <c r="AS840" s="35"/>
      <c r="AT840" s="35"/>
      <c r="AU840" s="35"/>
      <c r="AV840" s="35"/>
      <c r="AW840" s="35"/>
      <c r="AX840" s="35"/>
    </row>
    <row r="841" ht="15.75" customHeight="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  <c r="AJ841" s="35"/>
      <c r="AK841" s="35"/>
      <c r="AL841" s="35"/>
      <c r="AM841" s="35"/>
      <c r="AN841" s="35"/>
      <c r="AO841" s="35"/>
      <c r="AP841" s="35"/>
      <c r="AQ841" s="35"/>
      <c r="AR841" s="35"/>
      <c r="AS841" s="35"/>
      <c r="AT841" s="35"/>
      <c r="AU841" s="35"/>
      <c r="AV841" s="35"/>
      <c r="AW841" s="35"/>
      <c r="AX841" s="35"/>
    </row>
    <row r="842" ht="15.75" customHeight="1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  <c r="AH842" s="35"/>
      <c r="AI842" s="35"/>
      <c r="AJ842" s="35"/>
      <c r="AK842" s="35"/>
      <c r="AL842" s="35"/>
      <c r="AM842" s="35"/>
      <c r="AN842" s="35"/>
      <c r="AO842" s="35"/>
      <c r="AP842" s="35"/>
      <c r="AQ842" s="35"/>
      <c r="AR842" s="35"/>
      <c r="AS842" s="35"/>
      <c r="AT842" s="35"/>
      <c r="AU842" s="35"/>
      <c r="AV842" s="35"/>
      <c r="AW842" s="35"/>
      <c r="AX842" s="35"/>
    </row>
    <row r="843" ht="15.75" customHeight="1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  <c r="AH843" s="35"/>
      <c r="AI843" s="35"/>
      <c r="AJ843" s="35"/>
      <c r="AK843" s="35"/>
      <c r="AL843" s="35"/>
      <c r="AM843" s="35"/>
      <c r="AN843" s="35"/>
      <c r="AO843" s="35"/>
      <c r="AP843" s="35"/>
      <c r="AQ843" s="35"/>
      <c r="AR843" s="35"/>
      <c r="AS843" s="35"/>
      <c r="AT843" s="35"/>
      <c r="AU843" s="35"/>
      <c r="AV843" s="35"/>
      <c r="AW843" s="35"/>
      <c r="AX843" s="35"/>
    </row>
    <row r="844" ht="15.75" customHeight="1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  <c r="AJ844" s="35"/>
      <c r="AK844" s="35"/>
      <c r="AL844" s="35"/>
      <c r="AM844" s="35"/>
      <c r="AN844" s="35"/>
      <c r="AO844" s="35"/>
      <c r="AP844" s="35"/>
      <c r="AQ844" s="35"/>
      <c r="AR844" s="35"/>
      <c r="AS844" s="35"/>
      <c r="AT844" s="35"/>
      <c r="AU844" s="35"/>
      <c r="AV844" s="35"/>
      <c r="AW844" s="35"/>
      <c r="AX844" s="35"/>
    </row>
    <row r="845" ht="15.75" customHeight="1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  <c r="AI845" s="35"/>
      <c r="AJ845" s="35"/>
      <c r="AK845" s="35"/>
      <c r="AL845" s="35"/>
      <c r="AM845" s="35"/>
      <c r="AN845" s="35"/>
      <c r="AO845" s="35"/>
      <c r="AP845" s="35"/>
      <c r="AQ845" s="35"/>
      <c r="AR845" s="35"/>
      <c r="AS845" s="35"/>
      <c r="AT845" s="35"/>
      <c r="AU845" s="35"/>
      <c r="AV845" s="35"/>
      <c r="AW845" s="35"/>
      <c r="AX845" s="35"/>
    </row>
    <row r="846" ht="15.75" customHeight="1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  <c r="AI846" s="35"/>
      <c r="AJ846" s="35"/>
      <c r="AK846" s="35"/>
      <c r="AL846" s="35"/>
      <c r="AM846" s="35"/>
      <c r="AN846" s="35"/>
      <c r="AO846" s="35"/>
      <c r="AP846" s="35"/>
      <c r="AQ846" s="35"/>
      <c r="AR846" s="35"/>
      <c r="AS846" s="35"/>
      <c r="AT846" s="35"/>
      <c r="AU846" s="35"/>
      <c r="AV846" s="35"/>
      <c r="AW846" s="35"/>
      <c r="AX846" s="35"/>
    </row>
    <row r="847" ht="15.75" customHeight="1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  <c r="AJ847" s="35"/>
      <c r="AK847" s="35"/>
      <c r="AL847" s="35"/>
      <c r="AM847" s="35"/>
      <c r="AN847" s="35"/>
      <c r="AO847" s="35"/>
      <c r="AP847" s="35"/>
      <c r="AQ847" s="35"/>
      <c r="AR847" s="35"/>
      <c r="AS847" s="35"/>
      <c r="AT847" s="35"/>
      <c r="AU847" s="35"/>
      <c r="AV847" s="35"/>
      <c r="AW847" s="35"/>
      <c r="AX847" s="35"/>
    </row>
    <row r="848" ht="15.75" customHeight="1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  <c r="AJ848" s="35"/>
      <c r="AK848" s="35"/>
      <c r="AL848" s="35"/>
      <c r="AM848" s="35"/>
      <c r="AN848" s="35"/>
      <c r="AO848" s="35"/>
      <c r="AP848" s="35"/>
      <c r="AQ848" s="35"/>
      <c r="AR848" s="35"/>
      <c r="AS848" s="35"/>
      <c r="AT848" s="35"/>
      <c r="AU848" s="35"/>
      <c r="AV848" s="35"/>
      <c r="AW848" s="35"/>
      <c r="AX848" s="35"/>
    </row>
    <row r="849" ht="15.75" customHeight="1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  <c r="AJ849" s="35"/>
      <c r="AK849" s="35"/>
      <c r="AL849" s="35"/>
      <c r="AM849" s="35"/>
      <c r="AN849" s="35"/>
      <c r="AO849" s="35"/>
      <c r="AP849" s="35"/>
      <c r="AQ849" s="35"/>
      <c r="AR849" s="35"/>
      <c r="AS849" s="35"/>
      <c r="AT849" s="35"/>
      <c r="AU849" s="35"/>
      <c r="AV849" s="35"/>
      <c r="AW849" s="35"/>
      <c r="AX849" s="35"/>
    </row>
    <row r="850" ht="15.75" customHeight="1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  <c r="AJ850" s="35"/>
      <c r="AK850" s="35"/>
      <c r="AL850" s="35"/>
      <c r="AM850" s="35"/>
      <c r="AN850" s="35"/>
      <c r="AO850" s="35"/>
      <c r="AP850" s="35"/>
      <c r="AQ850" s="35"/>
      <c r="AR850" s="35"/>
      <c r="AS850" s="35"/>
      <c r="AT850" s="35"/>
      <c r="AU850" s="35"/>
      <c r="AV850" s="35"/>
      <c r="AW850" s="35"/>
      <c r="AX850" s="35"/>
    </row>
    <row r="851" ht="15.75" customHeight="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  <c r="AI851" s="35"/>
      <c r="AJ851" s="35"/>
      <c r="AK851" s="35"/>
      <c r="AL851" s="35"/>
      <c r="AM851" s="35"/>
      <c r="AN851" s="35"/>
      <c r="AO851" s="35"/>
      <c r="AP851" s="35"/>
      <c r="AQ851" s="35"/>
      <c r="AR851" s="35"/>
      <c r="AS851" s="35"/>
      <c r="AT851" s="35"/>
      <c r="AU851" s="35"/>
      <c r="AV851" s="35"/>
      <c r="AW851" s="35"/>
      <c r="AX851" s="35"/>
    </row>
    <row r="852" ht="15.75" customHeight="1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  <c r="AI852" s="35"/>
      <c r="AJ852" s="35"/>
      <c r="AK852" s="35"/>
      <c r="AL852" s="35"/>
      <c r="AM852" s="35"/>
      <c r="AN852" s="35"/>
      <c r="AO852" s="35"/>
      <c r="AP852" s="35"/>
      <c r="AQ852" s="35"/>
      <c r="AR852" s="35"/>
      <c r="AS852" s="35"/>
      <c r="AT852" s="35"/>
      <c r="AU852" s="35"/>
      <c r="AV852" s="35"/>
      <c r="AW852" s="35"/>
      <c r="AX852" s="35"/>
    </row>
    <row r="853" ht="15.75" customHeight="1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  <c r="AJ853" s="35"/>
      <c r="AK853" s="35"/>
      <c r="AL853" s="35"/>
      <c r="AM853" s="35"/>
      <c r="AN853" s="35"/>
      <c r="AO853" s="35"/>
      <c r="AP853" s="35"/>
      <c r="AQ853" s="35"/>
      <c r="AR853" s="35"/>
      <c r="AS853" s="35"/>
      <c r="AT853" s="35"/>
      <c r="AU853" s="35"/>
      <c r="AV853" s="35"/>
      <c r="AW853" s="35"/>
      <c r="AX853" s="35"/>
    </row>
    <row r="854" ht="15.75" customHeight="1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  <c r="AI854" s="35"/>
      <c r="AJ854" s="35"/>
      <c r="AK854" s="35"/>
      <c r="AL854" s="35"/>
      <c r="AM854" s="35"/>
      <c r="AN854" s="35"/>
      <c r="AO854" s="35"/>
      <c r="AP854" s="35"/>
      <c r="AQ854" s="35"/>
      <c r="AR854" s="35"/>
      <c r="AS854" s="35"/>
      <c r="AT854" s="35"/>
      <c r="AU854" s="35"/>
      <c r="AV854" s="35"/>
      <c r="AW854" s="35"/>
      <c r="AX854" s="35"/>
    </row>
    <row r="855" ht="15.75" customHeight="1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  <c r="AJ855" s="35"/>
      <c r="AK855" s="35"/>
      <c r="AL855" s="35"/>
      <c r="AM855" s="35"/>
      <c r="AN855" s="35"/>
      <c r="AO855" s="35"/>
      <c r="AP855" s="35"/>
      <c r="AQ855" s="35"/>
      <c r="AR855" s="35"/>
      <c r="AS855" s="35"/>
      <c r="AT855" s="35"/>
      <c r="AU855" s="35"/>
      <c r="AV855" s="35"/>
      <c r="AW855" s="35"/>
      <c r="AX855" s="35"/>
    </row>
    <row r="856" ht="15.75" customHeight="1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  <c r="AJ856" s="35"/>
      <c r="AK856" s="35"/>
      <c r="AL856" s="35"/>
      <c r="AM856" s="35"/>
      <c r="AN856" s="35"/>
      <c r="AO856" s="35"/>
      <c r="AP856" s="35"/>
      <c r="AQ856" s="35"/>
      <c r="AR856" s="35"/>
      <c r="AS856" s="35"/>
      <c r="AT856" s="35"/>
      <c r="AU856" s="35"/>
      <c r="AV856" s="35"/>
      <c r="AW856" s="35"/>
      <c r="AX856" s="35"/>
    </row>
    <row r="857" ht="15.75" customHeight="1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  <c r="AJ857" s="35"/>
      <c r="AK857" s="35"/>
      <c r="AL857" s="35"/>
      <c r="AM857" s="35"/>
      <c r="AN857" s="35"/>
      <c r="AO857" s="35"/>
      <c r="AP857" s="35"/>
      <c r="AQ857" s="35"/>
      <c r="AR857" s="35"/>
      <c r="AS857" s="35"/>
      <c r="AT857" s="35"/>
      <c r="AU857" s="35"/>
      <c r="AV857" s="35"/>
      <c r="AW857" s="35"/>
      <c r="AX857" s="35"/>
    </row>
    <row r="858" ht="15.75" customHeight="1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  <c r="AK858" s="35"/>
      <c r="AL858" s="35"/>
      <c r="AM858" s="35"/>
      <c r="AN858" s="35"/>
      <c r="AO858" s="35"/>
      <c r="AP858" s="35"/>
      <c r="AQ858" s="35"/>
      <c r="AR858" s="35"/>
      <c r="AS858" s="35"/>
      <c r="AT858" s="35"/>
      <c r="AU858" s="35"/>
      <c r="AV858" s="35"/>
      <c r="AW858" s="35"/>
      <c r="AX858" s="35"/>
    </row>
    <row r="859" ht="15.75" customHeight="1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  <c r="AJ859" s="35"/>
      <c r="AK859" s="35"/>
      <c r="AL859" s="35"/>
      <c r="AM859" s="35"/>
      <c r="AN859" s="35"/>
      <c r="AO859" s="35"/>
      <c r="AP859" s="35"/>
      <c r="AQ859" s="35"/>
      <c r="AR859" s="35"/>
      <c r="AS859" s="35"/>
      <c r="AT859" s="35"/>
      <c r="AU859" s="35"/>
      <c r="AV859" s="35"/>
      <c r="AW859" s="35"/>
      <c r="AX859" s="35"/>
    </row>
    <row r="860" ht="15.75" customHeight="1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  <c r="AJ860" s="35"/>
      <c r="AK860" s="35"/>
      <c r="AL860" s="35"/>
      <c r="AM860" s="35"/>
      <c r="AN860" s="35"/>
      <c r="AO860" s="35"/>
      <c r="AP860" s="35"/>
      <c r="AQ860" s="35"/>
      <c r="AR860" s="35"/>
      <c r="AS860" s="35"/>
      <c r="AT860" s="35"/>
      <c r="AU860" s="35"/>
      <c r="AV860" s="35"/>
      <c r="AW860" s="35"/>
      <c r="AX860" s="35"/>
    </row>
    <row r="861" ht="15.75" customHeight="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  <c r="AJ861" s="35"/>
      <c r="AK861" s="35"/>
      <c r="AL861" s="35"/>
      <c r="AM861" s="35"/>
      <c r="AN861" s="35"/>
      <c r="AO861" s="35"/>
      <c r="AP861" s="35"/>
      <c r="AQ861" s="35"/>
      <c r="AR861" s="35"/>
      <c r="AS861" s="35"/>
      <c r="AT861" s="35"/>
      <c r="AU861" s="35"/>
      <c r="AV861" s="35"/>
      <c r="AW861" s="35"/>
      <c r="AX861" s="35"/>
    </row>
    <row r="862" ht="15.75" customHeight="1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  <c r="AK862" s="35"/>
      <c r="AL862" s="35"/>
      <c r="AM862" s="35"/>
      <c r="AN862" s="35"/>
      <c r="AO862" s="35"/>
      <c r="AP862" s="35"/>
      <c r="AQ862" s="35"/>
      <c r="AR862" s="35"/>
      <c r="AS862" s="35"/>
      <c r="AT862" s="35"/>
      <c r="AU862" s="35"/>
      <c r="AV862" s="35"/>
      <c r="AW862" s="35"/>
      <c r="AX862" s="35"/>
    </row>
    <row r="863" ht="15.75" customHeight="1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  <c r="AJ863" s="35"/>
      <c r="AK863" s="35"/>
      <c r="AL863" s="35"/>
      <c r="AM863" s="35"/>
      <c r="AN863" s="35"/>
      <c r="AO863" s="35"/>
      <c r="AP863" s="35"/>
      <c r="AQ863" s="35"/>
      <c r="AR863" s="35"/>
      <c r="AS863" s="35"/>
      <c r="AT863" s="35"/>
      <c r="AU863" s="35"/>
      <c r="AV863" s="35"/>
      <c r="AW863" s="35"/>
      <c r="AX863" s="35"/>
    </row>
    <row r="864" ht="15.75" customHeight="1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  <c r="AJ864" s="35"/>
      <c r="AK864" s="35"/>
      <c r="AL864" s="35"/>
      <c r="AM864" s="35"/>
      <c r="AN864" s="35"/>
      <c r="AO864" s="35"/>
      <c r="AP864" s="35"/>
      <c r="AQ864" s="35"/>
      <c r="AR864" s="35"/>
      <c r="AS864" s="35"/>
      <c r="AT864" s="35"/>
      <c r="AU864" s="35"/>
      <c r="AV864" s="35"/>
      <c r="AW864" s="35"/>
      <c r="AX864" s="35"/>
    </row>
    <row r="865" ht="15.75" customHeight="1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  <c r="AK865" s="35"/>
      <c r="AL865" s="35"/>
      <c r="AM865" s="35"/>
      <c r="AN865" s="35"/>
      <c r="AO865" s="35"/>
      <c r="AP865" s="35"/>
      <c r="AQ865" s="35"/>
      <c r="AR865" s="35"/>
      <c r="AS865" s="35"/>
      <c r="AT865" s="35"/>
      <c r="AU865" s="35"/>
      <c r="AV865" s="35"/>
      <c r="AW865" s="35"/>
      <c r="AX865" s="35"/>
    </row>
    <row r="866" ht="15.75" customHeight="1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  <c r="AJ866" s="35"/>
      <c r="AK866" s="35"/>
      <c r="AL866" s="35"/>
      <c r="AM866" s="35"/>
      <c r="AN866" s="35"/>
      <c r="AO866" s="35"/>
      <c r="AP866" s="35"/>
      <c r="AQ866" s="35"/>
      <c r="AR866" s="35"/>
      <c r="AS866" s="35"/>
      <c r="AT866" s="35"/>
      <c r="AU866" s="35"/>
      <c r="AV866" s="35"/>
      <c r="AW866" s="35"/>
      <c r="AX866" s="35"/>
    </row>
    <row r="867" ht="15.75" customHeight="1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  <c r="AJ867" s="35"/>
      <c r="AK867" s="35"/>
      <c r="AL867" s="35"/>
      <c r="AM867" s="35"/>
      <c r="AN867" s="35"/>
      <c r="AO867" s="35"/>
      <c r="AP867" s="35"/>
      <c r="AQ867" s="35"/>
      <c r="AR867" s="35"/>
      <c r="AS867" s="35"/>
      <c r="AT867" s="35"/>
      <c r="AU867" s="35"/>
      <c r="AV867" s="35"/>
      <c r="AW867" s="35"/>
      <c r="AX867" s="35"/>
    </row>
    <row r="868" ht="15.75" customHeight="1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  <c r="AJ868" s="35"/>
      <c r="AK868" s="35"/>
      <c r="AL868" s="35"/>
      <c r="AM868" s="35"/>
      <c r="AN868" s="35"/>
      <c r="AO868" s="35"/>
      <c r="AP868" s="35"/>
      <c r="AQ868" s="35"/>
      <c r="AR868" s="35"/>
      <c r="AS868" s="35"/>
      <c r="AT868" s="35"/>
      <c r="AU868" s="35"/>
      <c r="AV868" s="35"/>
      <c r="AW868" s="35"/>
      <c r="AX868" s="35"/>
    </row>
    <row r="869" ht="15.75" customHeight="1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  <c r="AK869" s="35"/>
      <c r="AL869" s="35"/>
      <c r="AM869" s="35"/>
      <c r="AN869" s="35"/>
      <c r="AO869" s="35"/>
      <c r="AP869" s="35"/>
      <c r="AQ869" s="35"/>
      <c r="AR869" s="35"/>
      <c r="AS869" s="35"/>
      <c r="AT869" s="35"/>
      <c r="AU869" s="35"/>
      <c r="AV869" s="35"/>
      <c r="AW869" s="35"/>
      <c r="AX869" s="35"/>
    </row>
    <row r="870" ht="15.75" customHeight="1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  <c r="AJ870" s="35"/>
      <c r="AK870" s="35"/>
      <c r="AL870" s="35"/>
      <c r="AM870" s="35"/>
      <c r="AN870" s="35"/>
      <c r="AO870" s="35"/>
      <c r="AP870" s="35"/>
      <c r="AQ870" s="35"/>
      <c r="AR870" s="35"/>
      <c r="AS870" s="35"/>
      <c r="AT870" s="35"/>
      <c r="AU870" s="35"/>
      <c r="AV870" s="35"/>
      <c r="AW870" s="35"/>
      <c r="AX870" s="35"/>
    </row>
    <row r="871" ht="15.75" customHeight="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  <c r="AJ871" s="35"/>
      <c r="AK871" s="35"/>
      <c r="AL871" s="35"/>
      <c r="AM871" s="35"/>
      <c r="AN871" s="35"/>
      <c r="AO871" s="35"/>
      <c r="AP871" s="35"/>
      <c r="AQ871" s="35"/>
      <c r="AR871" s="35"/>
      <c r="AS871" s="35"/>
      <c r="AT871" s="35"/>
      <c r="AU871" s="35"/>
      <c r="AV871" s="35"/>
      <c r="AW871" s="35"/>
      <c r="AX871" s="35"/>
    </row>
    <row r="872" ht="15.75" customHeight="1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  <c r="AJ872" s="35"/>
      <c r="AK872" s="35"/>
      <c r="AL872" s="35"/>
      <c r="AM872" s="35"/>
      <c r="AN872" s="35"/>
      <c r="AO872" s="35"/>
      <c r="AP872" s="35"/>
      <c r="AQ872" s="35"/>
      <c r="AR872" s="35"/>
      <c r="AS872" s="35"/>
      <c r="AT872" s="35"/>
      <c r="AU872" s="35"/>
      <c r="AV872" s="35"/>
      <c r="AW872" s="35"/>
      <c r="AX872" s="35"/>
    </row>
    <row r="873" ht="15.75" customHeight="1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  <c r="AK873" s="35"/>
      <c r="AL873" s="35"/>
      <c r="AM873" s="35"/>
      <c r="AN873" s="35"/>
      <c r="AO873" s="35"/>
      <c r="AP873" s="35"/>
      <c r="AQ873" s="35"/>
      <c r="AR873" s="35"/>
      <c r="AS873" s="35"/>
      <c r="AT873" s="35"/>
      <c r="AU873" s="35"/>
      <c r="AV873" s="35"/>
      <c r="AW873" s="35"/>
      <c r="AX873" s="35"/>
    </row>
    <row r="874" ht="15.75" customHeight="1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  <c r="AJ874" s="35"/>
      <c r="AK874" s="35"/>
      <c r="AL874" s="35"/>
      <c r="AM874" s="35"/>
      <c r="AN874" s="35"/>
      <c r="AO874" s="35"/>
      <c r="AP874" s="35"/>
      <c r="AQ874" s="35"/>
      <c r="AR874" s="35"/>
      <c r="AS874" s="35"/>
      <c r="AT874" s="35"/>
      <c r="AU874" s="35"/>
      <c r="AV874" s="35"/>
      <c r="AW874" s="35"/>
      <c r="AX874" s="35"/>
    </row>
    <row r="875" ht="15.75" customHeight="1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  <c r="AJ875" s="35"/>
      <c r="AK875" s="35"/>
      <c r="AL875" s="35"/>
      <c r="AM875" s="35"/>
      <c r="AN875" s="35"/>
      <c r="AO875" s="35"/>
      <c r="AP875" s="35"/>
      <c r="AQ875" s="35"/>
      <c r="AR875" s="35"/>
      <c r="AS875" s="35"/>
      <c r="AT875" s="35"/>
      <c r="AU875" s="35"/>
      <c r="AV875" s="35"/>
      <c r="AW875" s="35"/>
      <c r="AX875" s="35"/>
    </row>
    <row r="876" ht="15.75" customHeight="1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  <c r="AJ876" s="35"/>
      <c r="AK876" s="35"/>
      <c r="AL876" s="35"/>
      <c r="AM876" s="35"/>
      <c r="AN876" s="35"/>
      <c r="AO876" s="35"/>
      <c r="AP876" s="35"/>
      <c r="AQ876" s="35"/>
      <c r="AR876" s="35"/>
      <c r="AS876" s="35"/>
      <c r="AT876" s="35"/>
      <c r="AU876" s="35"/>
      <c r="AV876" s="35"/>
      <c r="AW876" s="35"/>
      <c r="AX876" s="35"/>
    </row>
    <row r="877" ht="15.75" customHeight="1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  <c r="AJ877" s="35"/>
      <c r="AK877" s="35"/>
      <c r="AL877" s="35"/>
      <c r="AM877" s="35"/>
      <c r="AN877" s="35"/>
      <c r="AO877" s="35"/>
      <c r="AP877" s="35"/>
      <c r="AQ877" s="35"/>
      <c r="AR877" s="35"/>
      <c r="AS877" s="35"/>
      <c r="AT877" s="35"/>
      <c r="AU877" s="35"/>
      <c r="AV877" s="35"/>
      <c r="AW877" s="35"/>
      <c r="AX877" s="35"/>
    </row>
    <row r="878" ht="15.75" customHeight="1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  <c r="AJ878" s="35"/>
      <c r="AK878" s="35"/>
      <c r="AL878" s="35"/>
      <c r="AM878" s="35"/>
      <c r="AN878" s="35"/>
      <c r="AO878" s="35"/>
      <c r="AP878" s="35"/>
      <c r="AQ878" s="35"/>
      <c r="AR878" s="35"/>
      <c r="AS878" s="35"/>
      <c r="AT878" s="35"/>
      <c r="AU878" s="35"/>
      <c r="AV878" s="35"/>
      <c r="AW878" s="35"/>
      <c r="AX878" s="35"/>
    </row>
    <row r="879" ht="15.75" customHeight="1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  <c r="AK879" s="35"/>
      <c r="AL879" s="35"/>
      <c r="AM879" s="35"/>
      <c r="AN879" s="35"/>
      <c r="AO879" s="35"/>
      <c r="AP879" s="35"/>
      <c r="AQ879" s="35"/>
      <c r="AR879" s="35"/>
      <c r="AS879" s="35"/>
      <c r="AT879" s="35"/>
      <c r="AU879" s="35"/>
      <c r="AV879" s="35"/>
      <c r="AW879" s="35"/>
      <c r="AX879" s="35"/>
    </row>
    <row r="880" ht="15.75" customHeight="1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  <c r="AK880" s="35"/>
      <c r="AL880" s="35"/>
      <c r="AM880" s="35"/>
      <c r="AN880" s="35"/>
      <c r="AO880" s="35"/>
      <c r="AP880" s="35"/>
      <c r="AQ880" s="35"/>
      <c r="AR880" s="35"/>
      <c r="AS880" s="35"/>
      <c r="AT880" s="35"/>
      <c r="AU880" s="35"/>
      <c r="AV880" s="35"/>
      <c r="AW880" s="35"/>
      <c r="AX880" s="35"/>
    </row>
    <row r="881" ht="15.75" customHeight="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  <c r="AJ881" s="35"/>
      <c r="AK881" s="35"/>
      <c r="AL881" s="35"/>
      <c r="AM881" s="35"/>
      <c r="AN881" s="35"/>
      <c r="AO881" s="35"/>
      <c r="AP881" s="35"/>
      <c r="AQ881" s="35"/>
      <c r="AR881" s="35"/>
      <c r="AS881" s="35"/>
      <c r="AT881" s="35"/>
      <c r="AU881" s="35"/>
      <c r="AV881" s="35"/>
      <c r="AW881" s="35"/>
      <c r="AX881" s="35"/>
    </row>
    <row r="882" ht="15.75" customHeight="1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  <c r="AK882" s="35"/>
      <c r="AL882" s="35"/>
      <c r="AM882" s="35"/>
      <c r="AN882" s="35"/>
      <c r="AO882" s="35"/>
      <c r="AP882" s="35"/>
      <c r="AQ882" s="35"/>
      <c r="AR882" s="35"/>
      <c r="AS882" s="35"/>
      <c r="AT882" s="35"/>
      <c r="AU882" s="35"/>
      <c r="AV882" s="35"/>
      <c r="AW882" s="35"/>
      <c r="AX882" s="35"/>
    </row>
    <row r="883" ht="15.75" customHeight="1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  <c r="AJ883" s="35"/>
      <c r="AK883" s="35"/>
      <c r="AL883" s="35"/>
      <c r="AM883" s="35"/>
      <c r="AN883" s="35"/>
      <c r="AO883" s="35"/>
      <c r="AP883" s="35"/>
      <c r="AQ883" s="35"/>
      <c r="AR883" s="35"/>
      <c r="AS883" s="35"/>
      <c r="AT883" s="35"/>
      <c r="AU883" s="35"/>
      <c r="AV883" s="35"/>
      <c r="AW883" s="35"/>
      <c r="AX883" s="35"/>
    </row>
    <row r="884" ht="15.75" customHeight="1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  <c r="AK884" s="35"/>
      <c r="AL884" s="35"/>
      <c r="AM884" s="35"/>
      <c r="AN884" s="35"/>
      <c r="AO884" s="35"/>
      <c r="AP884" s="35"/>
      <c r="AQ884" s="35"/>
      <c r="AR884" s="35"/>
      <c r="AS884" s="35"/>
      <c r="AT884" s="35"/>
      <c r="AU884" s="35"/>
      <c r="AV884" s="35"/>
      <c r="AW884" s="35"/>
      <c r="AX884" s="35"/>
    </row>
    <row r="885" ht="15.75" customHeight="1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  <c r="AJ885" s="35"/>
      <c r="AK885" s="35"/>
      <c r="AL885" s="35"/>
      <c r="AM885" s="35"/>
      <c r="AN885" s="35"/>
      <c r="AO885" s="35"/>
      <c r="AP885" s="35"/>
      <c r="AQ885" s="35"/>
      <c r="AR885" s="35"/>
      <c r="AS885" s="35"/>
      <c r="AT885" s="35"/>
      <c r="AU885" s="35"/>
      <c r="AV885" s="35"/>
      <c r="AW885" s="35"/>
      <c r="AX885" s="35"/>
    </row>
    <row r="886" ht="15.75" customHeight="1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  <c r="AK886" s="35"/>
      <c r="AL886" s="35"/>
      <c r="AM886" s="35"/>
      <c r="AN886" s="35"/>
      <c r="AO886" s="35"/>
      <c r="AP886" s="35"/>
      <c r="AQ886" s="35"/>
      <c r="AR886" s="35"/>
      <c r="AS886" s="35"/>
      <c r="AT886" s="35"/>
      <c r="AU886" s="35"/>
      <c r="AV886" s="35"/>
      <c r="AW886" s="35"/>
      <c r="AX886" s="35"/>
    </row>
    <row r="887" ht="15.75" customHeight="1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  <c r="AJ887" s="35"/>
      <c r="AK887" s="35"/>
      <c r="AL887" s="35"/>
      <c r="AM887" s="35"/>
      <c r="AN887" s="35"/>
      <c r="AO887" s="35"/>
      <c r="AP887" s="35"/>
      <c r="AQ887" s="35"/>
      <c r="AR887" s="35"/>
      <c r="AS887" s="35"/>
      <c r="AT887" s="35"/>
      <c r="AU887" s="35"/>
      <c r="AV887" s="35"/>
      <c r="AW887" s="35"/>
      <c r="AX887" s="35"/>
    </row>
    <row r="888" ht="15.75" customHeight="1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  <c r="AK888" s="35"/>
      <c r="AL888" s="35"/>
      <c r="AM888" s="35"/>
      <c r="AN888" s="35"/>
      <c r="AO888" s="35"/>
      <c r="AP888" s="35"/>
      <c r="AQ888" s="35"/>
      <c r="AR888" s="35"/>
      <c r="AS888" s="35"/>
      <c r="AT888" s="35"/>
      <c r="AU888" s="35"/>
      <c r="AV888" s="35"/>
      <c r="AW888" s="35"/>
      <c r="AX888" s="35"/>
    </row>
    <row r="889" ht="15.75" customHeight="1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  <c r="AJ889" s="35"/>
      <c r="AK889" s="35"/>
      <c r="AL889" s="35"/>
      <c r="AM889" s="35"/>
      <c r="AN889" s="35"/>
      <c r="AO889" s="35"/>
      <c r="AP889" s="35"/>
      <c r="AQ889" s="35"/>
      <c r="AR889" s="35"/>
      <c r="AS889" s="35"/>
      <c r="AT889" s="35"/>
      <c r="AU889" s="35"/>
      <c r="AV889" s="35"/>
      <c r="AW889" s="35"/>
      <c r="AX889" s="35"/>
    </row>
    <row r="890" ht="15.75" customHeight="1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  <c r="AK890" s="35"/>
      <c r="AL890" s="35"/>
      <c r="AM890" s="35"/>
      <c r="AN890" s="35"/>
      <c r="AO890" s="35"/>
      <c r="AP890" s="35"/>
      <c r="AQ890" s="35"/>
      <c r="AR890" s="35"/>
      <c r="AS890" s="35"/>
      <c r="AT890" s="35"/>
      <c r="AU890" s="35"/>
      <c r="AV890" s="35"/>
      <c r="AW890" s="35"/>
      <c r="AX890" s="35"/>
    </row>
    <row r="891" ht="15.75" customHeight="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  <c r="AJ891" s="35"/>
      <c r="AK891" s="35"/>
      <c r="AL891" s="35"/>
      <c r="AM891" s="35"/>
      <c r="AN891" s="35"/>
      <c r="AO891" s="35"/>
      <c r="AP891" s="35"/>
      <c r="AQ891" s="35"/>
      <c r="AR891" s="35"/>
      <c r="AS891" s="35"/>
      <c r="AT891" s="35"/>
      <c r="AU891" s="35"/>
      <c r="AV891" s="35"/>
      <c r="AW891" s="35"/>
      <c r="AX891" s="35"/>
    </row>
    <row r="892" ht="15.75" customHeight="1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  <c r="AJ892" s="35"/>
      <c r="AK892" s="35"/>
      <c r="AL892" s="35"/>
      <c r="AM892" s="35"/>
      <c r="AN892" s="35"/>
      <c r="AO892" s="35"/>
      <c r="AP892" s="35"/>
      <c r="AQ892" s="35"/>
      <c r="AR892" s="35"/>
      <c r="AS892" s="35"/>
      <c r="AT892" s="35"/>
      <c r="AU892" s="35"/>
      <c r="AV892" s="35"/>
      <c r="AW892" s="35"/>
      <c r="AX892" s="35"/>
    </row>
    <row r="893" ht="15.75" customHeight="1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  <c r="AJ893" s="35"/>
      <c r="AK893" s="35"/>
      <c r="AL893" s="35"/>
      <c r="AM893" s="35"/>
      <c r="AN893" s="35"/>
      <c r="AO893" s="35"/>
      <c r="AP893" s="35"/>
      <c r="AQ893" s="35"/>
      <c r="AR893" s="35"/>
      <c r="AS893" s="35"/>
      <c r="AT893" s="35"/>
      <c r="AU893" s="35"/>
      <c r="AV893" s="35"/>
      <c r="AW893" s="35"/>
      <c r="AX893" s="35"/>
    </row>
    <row r="894" ht="15.75" customHeight="1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  <c r="AJ894" s="35"/>
      <c r="AK894" s="35"/>
      <c r="AL894" s="35"/>
      <c r="AM894" s="35"/>
      <c r="AN894" s="35"/>
      <c r="AO894" s="35"/>
      <c r="AP894" s="35"/>
      <c r="AQ894" s="35"/>
      <c r="AR894" s="35"/>
      <c r="AS894" s="35"/>
      <c r="AT894" s="35"/>
      <c r="AU894" s="35"/>
      <c r="AV894" s="35"/>
      <c r="AW894" s="35"/>
      <c r="AX894" s="35"/>
    </row>
    <row r="895" ht="15.75" customHeight="1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  <c r="AK895" s="35"/>
      <c r="AL895" s="35"/>
      <c r="AM895" s="35"/>
      <c r="AN895" s="35"/>
      <c r="AO895" s="35"/>
      <c r="AP895" s="35"/>
      <c r="AQ895" s="35"/>
      <c r="AR895" s="35"/>
      <c r="AS895" s="35"/>
      <c r="AT895" s="35"/>
      <c r="AU895" s="35"/>
      <c r="AV895" s="35"/>
      <c r="AW895" s="35"/>
      <c r="AX895" s="35"/>
    </row>
    <row r="896" ht="15.75" customHeight="1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  <c r="AJ896" s="35"/>
      <c r="AK896" s="35"/>
      <c r="AL896" s="35"/>
      <c r="AM896" s="35"/>
      <c r="AN896" s="35"/>
      <c r="AO896" s="35"/>
      <c r="AP896" s="35"/>
      <c r="AQ896" s="35"/>
      <c r="AR896" s="35"/>
      <c r="AS896" s="35"/>
      <c r="AT896" s="35"/>
      <c r="AU896" s="35"/>
      <c r="AV896" s="35"/>
      <c r="AW896" s="35"/>
      <c r="AX896" s="35"/>
    </row>
    <row r="897" ht="15.75" customHeight="1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  <c r="AJ897" s="35"/>
      <c r="AK897" s="35"/>
      <c r="AL897" s="35"/>
      <c r="AM897" s="35"/>
      <c r="AN897" s="35"/>
      <c r="AO897" s="35"/>
      <c r="AP897" s="35"/>
      <c r="AQ897" s="35"/>
      <c r="AR897" s="35"/>
      <c r="AS897" s="35"/>
      <c r="AT897" s="35"/>
      <c r="AU897" s="35"/>
      <c r="AV897" s="35"/>
      <c r="AW897" s="35"/>
      <c r="AX897" s="35"/>
    </row>
    <row r="898" ht="15.75" customHeight="1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  <c r="AJ898" s="35"/>
      <c r="AK898" s="35"/>
      <c r="AL898" s="35"/>
      <c r="AM898" s="35"/>
      <c r="AN898" s="35"/>
      <c r="AO898" s="35"/>
      <c r="AP898" s="35"/>
      <c r="AQ898" s="35"/>
      <c r="AR898" s="35"/>
      <c r="AS898" s="35"/>
      <c r="AT898" s="35"/>
      <c r="AU898" s="35"/>
      <c r="AV898" s="35"/>
      <c r="AW898" s="35"/>
      <c r="AX898" s="35"/>
    </row>
    <row r="899" ht="15.75" customHeight="1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  <c r="AJ899" s="35"/>
      <c r="AK899" s="35"/>
      <c r="AL899" s="35"/>
      <c r="AM899" s="35"/>
      <c r="AN899" s="35"/>
      <c r="AO899" s="35"/>
      <c r="AP899" s="35"/>
      <c r="AQ899" s="35"/>
      <c r="AR899" s="35"/>
      <c r="AS899" s="35"/>
      <c r="AT899" s="35"/>
      <c r="AU899" s="35"/>
      <c r="AV899" s="35"/>
      <c r="AW899" s="35"/>
      <c r="AX899" s="35"/>
    </row>
    <row r="900" ht="15.75" customHeight="1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  <c r="AJ900" s="35"/>
      <c r="AK900" s="35"/>
      <c r="AL900" s="35"/>
      <c r="AM900" s="35"/>
      <c r="AN900" s="35"/>
      <c r="AO900" s="35"/>
      <c r="AP900" s="35"/>
      <c r="AQ900" s="35"/>
      <c r="AR900" s="35"/>
      <c r="AS900" s="35"/>
      <c r="AT900" s="35"/>
      <c r="AU900" s="35"/>
      <c r="AV900" s="35"/>
      <c r="AW900" s="35"/>
      <c r="AX900" s="35"/>
    </row>
    <row r="901" ht="15.75" customHeight="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  <c r="AJ901" s="35"/>
      <c r="AK901" s="35"/>
      <c r="AL901" s="35"/>
      <c r="AM901" s="35"/>
      <c r="AN901" s="35"/>
      <c r="AO901" s="35"/>
      <c r="AP901" s="35"/>
      <c r="AQ901" s="35"/>
      <c r="AR901" s="35"/>
      <c r="AS901" s="35"/>
      <c r="AT901" s="35"/>
      <c r="AU901" s="35"/>
      <c r="AV901" s="35"/>
      <c r="AW901" s="35"/>
      <c r="AX901" s="35"/>
    </row>
    <row r="902" ht="15.75" customHeight="1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  <c r="AH902" s="35"/>
      <c r="AI902" s="35"/>
      <c r="AJ902" s="35"/>
      <c r="AK902" s="35"/>
      <c r="AL902" s="35"/>
      <c r="AM902" s="35"/>
      <c r="AN902" s="35"/>
      <c r="AO902" s="35"/>
      <c r="AP902" s="35"/>
      <c r="AQ902" s="35"/>
      <c r="AR902" s="35"/>
      <c r="AS902" s="35"/>
      <c r="AT902" s="35"/>
      <c r="AU902" s="35"/>
      <c r="AV902" s="35"/>
      <c r="AW902" s="35"/>
      <c r="AX902" s="35"/>
    </row>
    <row r="903" ht="15.75" customHeight="1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  <c r="AJ903" s="35"/>
      <c r="AK903" s="35"/>
      <c r="AL903" s="35"/>
      <c r="AM903" s="35"/>
      <c r="AN903" s="35"/>
      <c r="AO903" s="35"/>
      <c r="AP903" s="35"/>
      <c r="AQ903" s="35"/>
      <c r="AR903" s="35"/>
      <c r="AS903" s="35"/>
      <c r="AT903" s="35"/>
      <c r="AU903" s="35"/>
      <c r="AV903" s="35"/>
      <c r="AW903" s="35"/>
      <c r="AX903" s="35"/>
    </row>
    <row r="904" ht="15.75" customHeight="1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  <c r="AI904" s="35"/>
      <c r="AJ904" s="35"/>
      <c r="AK904" s="35"/>
      <c r="AL904" s="35"/>
      <c r="AM904" s="35"/>
      <c r="AN904" s="35"/>
      <c r="AO904" s="35"/>
      <c r="AP904" s="35"/>
      <c r="AQ904" s="35"/>
      <c r="AR904" s="35"/>
      <c r="AS904" s="35"/>
      <c r="AT904" s="35"/>
      <c r="AU904" s="35"/>
      <c r="AV904" s="35"/>
      <c r="AW904" s="35"/>
      <c r="AX904" s="35"/>
    </row>
    <row r="905" ht="15.75" customHeight="1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  <c r="AJ905" s="35"/>
      <c r="AK905" s="35"/>
      <c r="AL905" s="35"/>
      <c r="AM905" s="35"/>
      <c r="AN905" s="35"/>
      <c r="AO905" s="35"/>
      <c r="AP905" s="35"/>
      <c r="AQ905" s="35"/>
      <c r="AR905" s="35"/>
      <c r="AS905" s="35"/>
      <c r="AT905" s="35"/>
      <c r="AU905" s="35"/>
      <c r="AV905" s="35"/>
      <c r="AW905" s="35"/>
      <c r="AX905" s="35"/>
    </row>
    <row r="906" ht="15.75" customHeight="1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  <c r="AH906" s="35"/>
      <c r="AI906" s="35"/>
      <c r="AJ906" s="35"/>
      <c r="AK906" s="35"/>
      <c r="AL906" s="35"/>
      <c r="AM906" s="35"/>
      <c r="AN906" s="35"/>
      <c r="AO906" s="35"/>
      <c r="AP906" s="35"/>
      <c r="AQ906" s="35"/>
      <c r="AR906" s="35"/>
      <c r="AS906" s="35"/>
      <c r="AT906" s="35"/>
      <c r="AU906" s="35"/>
      <c r="AV906" s="35"/>
      <c r="AW906" s="35"/>
      <c r="AX906" s="35"/>
    </row>
    <row r="907" ht="15.75" customHeight="1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  <c r="AJ907" s="35"/>
      <c r="AK907" s="35"/>
      <c r="AL907" s="35"/>
      <c r="AM907" s="35"/>
      <c r="AN907" s="35"/>
      <c r="AO907" s="35"/>
      <c r="AP907" s="35"/>
      <c r="AQ907" s="35"/>
      <c r="AR907" s="35"/>
      <c r="AS907" s="35"/>
      <c r="AT907" s="35"/>
      <c r="AU907" s="35"/>
      <c r="AV907" s="35"/>
      <c r="AW907" s="35"/>
      <c r="AX907" s="35"/>
    </row>
    <row r="908" ht="15.75" customHeight="1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  <c r="AH908" s="35"/>
      <c r="AI908" s="35"/>
      <c r="AJ908" s="35"/>
      <c r="AK908" s="35"/>
      <c r="AL908" s="35"/>
      <c r="AM908" s="35"/>
      <c r="AN908" s="35"/>
      <c r="AO908" s="35"/>
      <c r="AP908" s="35"/>
      <c r="AQ908" s="35"/>
      <c r="AR908" s="35"/>
      <c r="AS908" s="35"/>
      <c r="AT908" s="35"/>
      <c r="AU908" s="35"/>
      <c r="AV908" s="35"/>
      <c r="AW908" s="35"/>
      <c r="AX908" s="35"/>
    </row>
    <row r="909" ht="15.75" customHeight="1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  <c r="AH909" s="35"/>
      <c r="AI909" s="35"/>
      <c r="AJ909" s="35"/>
      <c r="AK909" s="35"/>
      <c r="AL909" s="35"/>
      <c r="AM909" s="35"/>
      <c r="AN909" s="35"/>
      <c r="AO909" s="35"/>
      <c r="AP909" s="35"/>
      <c r="AQ909" s="35"/>
      <c r="AR909" s="35"/>
      <c r="AS909" s="35"/>
      <c r="AT909" s="35"/>
      <c r="AU909" s="35"/>
      <c r="AV909" s="35"/>
      <c r="AW909" s="35"/>
      <c r="AX909" s="35"/>
    </row>
    <row r="910" ht="15.75" customHeight="1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  <c r="AH910" s="35"/>
      <c r="AI910" s="35"/>
      <c r="AJ910" s="35"/>
      <c r="AK910" s="35"/>
      <c r="AL910" s="35"/>
      <c r="AM910" s="35"/>
      <c r="AN910" s="35"/>
      <c r="AO910" s="35"/>
      <c r="AP910" s="35"/>
      <c r="AQ910" s="35"/>
      <c r="AR910" s="35"/>
      <c r="AS910" s="35"/>
      <c r="AT910" s="35"/>
      <c r="AU910" s="35"/>
      <c r="AV910" s="35"/>
      <c r="AW910" s="35"/>
      <c r="AX910" s="35"/>
    </row>
    <row r="911" ht="15.75" customHeight="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  <c r="AI911" s="35"/>
      <c r="AJ911" s="35"/>
      <c r="AK911" s="35"/>
      <c r="AL911" s="35"/>
      <c r="AM911" s="35"/>
      <c r="AN911" s="35"/>
      <c r="AO911" s="35"/>
      <c r="AP911" s="35"/>
      <c r="AQ911" s="35"/>
      <c r="AR911" s="35"/>
      <c r="AS911" s="35"/>
      <c r="AT911" s="35"/>
      <c r="AU911" s="35"/>
      <c r="AV911" s="35"/>
      <c r="AW911" s="35"/>
      <c r="AX911" s="35"/>
    </row>
    <row r="912" ht="15.75" customHeight="1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  <c r="AH912" s="35"/>
      <c r="AI912" s="35"/>
      <c r="AJ912" s="35"/>
      <c r="AK912" s="35"/>
      <c r="AL912" s="35"/>
      <c r="AM912" s="35"/>
      <c r="AN912" s="35"/>
      <c r="AO912" s="35"/>
      <c r="AP912" s="35"/>
      <c r="AQ912" s="35"/>
      <c r="AR912" s="35"/>
      <c r="AS912" s="35"/>
      <c r="AT912" s="35"/>
      <c r="AU912" s="35"/>
      <c r="AV912" s="35"/>
      <c r="AW912" s="35"/>
      <c r="AX912" s="35"/>
    </row>
    <row r="913" ht="15.75" customHeight="1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  <c r="AH913" s="35"/>
      <c r="AI913" s="35"/>
      <c r="AJ913" s="35"/>
      <c r="AK913" s="35"/>
      <c r="AL913" s="35"/>
      <c r="AM913" s="35"/>
      <c r="AN913" s="35"/>
      <c r="AO913" s="35"/>
      <c r="AP913" s="35"/>
      <c r="AQ913" s="35"/>
      <c r="AR913" s="35"/>
      <c r="AS913" s="35"/>
      <c r="AT913" s="35"/>
      <c r="AU913" s="35"/>
      <c r="AV913" s="35"/>
      <c r="AW913" s="35"/>
      <c r="AX913" s="35"/>
    </row>
    <row r="914" ht="15.75" customHeight="1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  <c r="AH914" s="35"/>
      <c r="AI914" s="35"/>
      <c r="AJ914" s="35"/>
      <c r="AK914" s="35"/>
      <c r="AL914" s="35"/>
      <c r="AM914" s="35"/>
      <c r="AN914" s="35"/>
      <c r="AO914" s="35"/>
      <c r="AP914" s="35"/>
      <c r="AQ914" s="35"/>
      <c r="AR914" s="35"/>
      <c r="AS914" s="35"/>
      <c r="AT914" s="35"/>
      <c r="AU914" s="35"/>
      <c r="AV914" s="35"/>
      <c r="AW914" s="35"/>
      <c r="AX914" s="35"/>
    </row>
    <row r="915" ht="15.75" customHeight="1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  <c r="AI915" s="35"/>
      <c r="AJ915" s="35"/>
      <c r="AK915" s="35"/>
      <c r="AL915" s="35"/>
      <c r="AM915" s="35"/>
      <c r="AN915" s="35"/>
      <c r="AO915" s="35"/>
      <c r="AP915" s="35"/>
      <c r="AQ915" s="35"/>
      <c r="AR915" s="35"/>
      <c r="AS915" s="35"/>
      <c r="AT915" s="35"/>
      <c r="AU915" s="35"/>
      <c r="AV915" s="35"/>
      <c r="AW915" s="35"/>
      <c r="AX915" s="35"/>
    </row>
    <row r="916" ht="15.75" customHeight="1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  <c r="AH916" s="35"/>
      <c r="AI916" s="35"/>
      <c r="AJ916" s="35"/>
      <c r="AK916" s="35"/>
      <c r="AL916" s="35"/>
      <c r="AM916" s="35"/>
      <c r="AN916" s="35"/>
      <c r="AO916" s="35"/>
      <c r="AP916" s="35"/>
      <c r="AQ916" s="35"/>
      <c r="AR916" s="35"/>
      <c r="AS916" s="35"/>
      <c r="AT916" s="35"/>
      <c r="AU916" s="35"/>
      <c r="AV916" s="35"/>
      <c r="AW916" s="35"/>
      <c r="AX916" s="35"/>
    </row>
    <row r="917" ht="15.75" customHeight="1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  <c r="AG917" s="35"/>
      <c r="AH917" s="35"/>
      <c r="AI917" s="35"/>
      <c r="AJ917" s="35"/>
      <c r="AK917" s="35"/>
      <c r="AL917" s="35"/>
      <c r="AM917" s="35"/>
      <c r="AN917" s="35"/>
      <c r="AO917" s="35"/>
      <c r="AP917" s="35"/>
      <c r="AQ917" s="35"/>
      <c r="AR917" s="35"/>
      <c r="AS917" s="35"/>
      <c r="AT917" s="35"/>
      <c r="AU917" s="35"/>
      <c r="AV917" s="35"/>
      <c r="AW917" s="35"/>
      <c r="AX917" s="35"/>
    </row>
    <row r="918" ht="15.75" customHeight="1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  <c r="AG918" s="35"/>
      <c r="AH918" s="35"/>
      <c r="AI918" s="35"/>
      <c r="AJ918" s="35"/>
      <c r="AK918" s="35"/>
      <c r="AL918" s="35"/>
      <c r="AM918" s="35"/>
      <c r="AN918" s="35"/>
      <c r="AO918" s="35"/>
      <c r="AP918" s="35"/>
      <c r="AQ918" s="35"/>
      <c r="AR918" s="35"/>
      <c r="AS918" s="35"/>
      <c r="AT918" s="35"/>
      <c r="AU918" s="35"/>
      <c r="AV918" s="35"/>
      <c r="AW918" s="35"/>
      <c r="AX918" s="35"/>
    </row>
    <row r="919" ht="15.75" customHeight="1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  <c r="AG919" s="35"/>
      <c r="AH919" s="35"/>
      <c r="AI919" s="35"/>
      <c r="AJ919" s="35"/>
      <c r="AK919" s="35"/>
      <c r="AL919" s="35"/>
      <c r="AM919" s="35"/>
      <c r="AN919" s="35"/>
      <c r="AO919" s="35"/>
      <c r="AP919" s="35"/>
      <c r="AQ919" s="35"/>
      <c r="AR919" s="35"/>
      <c r="AS919" s="35"/>
      <c r="AT919" s="35"/>
      <c r="AU919" s="35"/>
      <c r="AV919" s="35"/>
      <c r="AW919" s="35"/>
      <c r="AX919" s="35"/>
    </row>
    <row r="920" ht="15.75" customHeight="1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  <c r="AG920" s="35"/>
      <c r="AH920" s="35"/>
      <c r="AI920" s="35"/>
      <c r="AJ920" s="35"/>
      <c r="AK920" s="35"/>
      <c r="AL920" s="35"/>
      <c r="AM920" s="35"/>
      <c r="AN920" s="35"/>
      <c r="AO920" s="35"/>
      <c r="AP920" s="35"/>
      <c r="AQ920" s="35"/>
      <c r="AR920" s="35"/>
      <c r="AS920" s="35"/>
      <c r="AT920" s="35"/>
      <c r="AU920" s="35"/>
      <c r="AV920" s="35"/>
      <c r="AW920" s="35"/>
      <c r="AX920" s="35"/>
    </row>
    <row r="921" ht="15.75" customHeight="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  <c r="AG921" s="35"/>
      <c r="AH921" s="35"/>
      <c r="AI921" s="35"/>
      <c r="AJ921" s="35"/>
      <c r="AK921" s="35"/>
      <c r="AL921" s="35"/>
      <c r="AM921" s="35"/>
      <c r="AN921" s="35"/>
      <c r="AO921" s="35"/>
      <c r="AP921" s="35"/>
      <c r="AQ921" s="35"/>
      <c r="AR921" s="35"/>
      <c r="AS921" s="35"/>
      <c r="AT921" s="35"/>
      <c r="AU921" s="35"/>
      <c r="AV921" s="35"/>
      <c r="AW921" s="35"/>
      <c r="AX921" s="35"/>
    </row>
    <row r="922" ht="15.75" customHeight="1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  <c r="AG922" s="35"/>
      <c r="AH922" s="35"/>
      <c r="AI922" s="35"/>
      <c r="AJ922" s="35"/>
      <c r="AK922" s="35"/>
      <c r="AL922" s="35"/>
      <c r="AM922" s="35"/>
      <c r="AN922" s="35"/>
      <c r="AO922" s="35"/>
      <c r="AP922" s="35"/>
      <c r="AQ922" s="35"/>
      <c r="AR922" s="35"/>
      <c r="AS922" s="35"/>
      <c r="AT922" s="35"/>
      <c r="AU922" s="35"/>
      <c r="AV922" s="35"/>
      <c r="AW922" s="35"/>
      <c r="AX922" s="35"/>
    </row>
    <row r="923" ht="15.75" customHeight="1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  <c r="AG923" s="35"/>
      <c r="AH923" s="35"/>
      <c r="AI923" s="35"/>
      <c r="AJ923" s="35"/>
      <c r="AK923" s="35"/>
      <c r="AL923" s="35"/>
      <c r="AM923" s="35"/>
      <c r="AN923" s="35"/>
      <c r="AO923" s="35"/>
      <c r="AP923" s="35"/>
      <c r="AQ923" s="35"/>
      <c r="AR923" s="35"/>
      <c r="AS923" s="35"/>
      <c r="AT923" s="35"/>
      <c r="AU923" s="35"/>
      <c r="AV923" s="35"/>
      <c r="AW923" s="35"/>
      <c r="AX923" s="35"/>
    </row>
    <row r="924" ht="15.75" customHeight="1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  <c r="AG924" s="35"/>
      <c r="AH924" s="35"/>
      <c r="AI924" s="35"/>
      <c r="AJ924" s="35"/>
      <c r="AK924" s="35"/>
      <c r="AL924" s="35"/>
      <c r="AM924" s="35"/>
      <c r="AN924" s="35"/>
      <c r="AO924" s="35"/>
      <c r="AP924" s="35"/>
      <c r="AQ924" s="35"/>
      <c r="AR924" s="35"/>
      <c r="AS924" s="35"/>
      <c r="AT924" s="35"/>
      <c r="AU924" s="35"/>
      <c r="AV924" s="35"/>
      <c r="AW924" s="35"/>
      <c r="AX924" s="35"/>
    </row>
    <row r="925" ht="15.75" customHeight="1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  <c r="AF925" s="35"/>
      <c r="AG925" s="35"/>
      <c r="AH925" s="35"/>
      <c r="AI925" s="35"/>
      <c r="AJ925" s="35"/>
      <c r="AK925" s="35"/>
      <c r="AL925" s="35"/>
      <c r="AM925" s="35"/>
      <c r="AN925" s="35"/>
      <c r="AO925" s="35"/>
      <c r="AP925" s="35"/>
      <c r="AQ925" s="35"/>
      <c r="AR925" s="35"/>
      <c r="AS925" s="35"/>
      <c r="AT925" s="35"/>
      <c r="AU925" s="35"/>
      <c r="AV925" s="35"/>
      <c r="AW925" s="35"/>
      <c r="AX925" s="35"/>
    </row>
    <row r="926" ht="15.75" customHeight="1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  <c r="AF926" s="35"/>
      <c r="AG926" s="35"/>
      <c r="AH926" s="35"/>
      <c r="AI926" s="35"/>
      <c r="AJ926" s="35"/>
      <c r="AK926" s="35"/>
      <c r="AL926" s="35"/>
      <c r="AM926" s="35"/>
      <c r="AN926" s="35"/>
      <c r="AO926" s="35"/>
      <c r="AP926" s="35"/>
      <c r="AQ926" s="35"/>
      <c r="AR926" s="35"/>
      <c r="AS926" s="35"/>
      <c r="AT926" s="35"/>
      <c r="AU926" s="35"/>
      <c r="AV926" s="35"/>
      <c r="AW926" s="35"/>
      <c r="AX926" s="35"/>
    </row>
    <row r="927" ht="15.75" customHeight="1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  <c r="AF927" s="35"/>
      <c r="AG927" s="35"/>
      <c r="AH927" s="35"/>
      <c r="AI927" s="35"/>
      <c r="AJ927" s="35"/>
      <c r="AK927" s="35"/>
      <c r="AL927" s="35"/>
      <c r="AM927" s="35"/>
      <c r="AN927" s="35"/>
      <c r="AO927" s="35"/>
      <c r="AP927" s="35"/>
      <c r="AQ927" s="35"/>
      <c r="AR927" s="35"/>
      <c r="AS927" s="35"/>
      <c r="AT927" s="35"/>
      <c r="AU927" s="35"/>
      <c r="AV927" s="35"/>
      <c r="AW927" s="35"/>
      <c r="AX927" s="35"/>
    </row>
    <row r="928" ht="15.75" customHeight="1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  <c r="AE928" s="35"/>
      <c r="AF928" s="35"/>
      <c r="AG928" s="35"/>
      <c r="AH928" s="35"/>
      <c r="AI928" s="35"/>
      <c r="AJ928" s="35"/>
      <c r="AK928" s="35"/>
      <c r="AL928" s="35"/>
      <c r="AM928" s="35"/>
      <c r="AN928" s="35"/>
      <c r="AO928" s="35"/>
      <c r="AP928" s="35"/>
      <c r="AQ928" s="35"/>
      <c r="AR928" s="35"/>
      <c r="AS928" s="35"/>
      <c r="AT928" s="35"/>
      <c r="AU928" s="35"/>
      <c r="AV928" s="35"/>
      <c r="AW928" s="35"/>
      <c r="AX928" s="35"/>
    </row>
    <row r="929" ht="15.75" customHeight="1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  <c r="AE929" s="35"/>
      <c r="AF929" s="35"/>
      <c r="AG929" s="35"/>
      <c r="AH929" s="35"/>
      <c r="AI929" s="35"/>
      <c r="AJ929" s="35"/>
      <c r="AK929" s="35"/>
      <c r="AL929" s="35"/>
      <c r="AM929" s="35"/>
      <c r="AN929" s="35"/>
      <c r="AO929" s="35"/>
      <c r="AP929" s="35"/>
      <c r="AQ929" s="35"/>
      <c r="AR929" s="35"/>
      <c r="AS929" s="35"/>
      <c r="AT929" s="35"/>
      <c r="AU929" s="35"/>
      <c r="AV929" s="35"/>
      <c r="AW929" s="35"/>
      <c r="AX929" s="35"/>
    </row>
    <row r="930" ht="15.75" customHeight="1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  <c r="AE930" s="35"/>
      <c r="AF930" s="35"/>
      <c r="AG930" s="35"/>
      <c r="AH930" s="35"/>
      <c r="AI930" s="35"/>
      <c r="AJ930" s="35"/>
      <c r="AK930" s="35"/>
      <c r="AL930" s="35"/>
      <c r="AM930" s="35"/>
      <c r="AN930" s="35"/>
      <c r="AO930" s="35"/>
      <c r="AP930" s="35"/>
      <c r="AQ930" s="35"/>
      <c r="AR930" s="35"/>
      <c r="AS930" s="35"/>
      <c r="AT930" s="35"/>
      <c r="AU930" s="35"/>
      <c r="AV930" s="35"/>
      <c r="AW930" s="35"/>
      <c r="AX930" s="35"/>
    </row>
    <row r="931" ht="15.75" customHeight="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  <c r="AE931" s="35"/>
      <c r="AF931" s="35"/>
      <c r="AG931" s="35"/>
      <c r="AH931" s="35"/>
      <c r="AI931" s="35"/>
      <c r="AJ931" s="35"/>
      <c r="AK931" s="35"/>
      <c r="AL931" s="35"/>
      <c r="AM931" s="35"/>
      <c r="AN931" s="35"/>
      <c r="AO931" s="35"/>
      <c r="AP931" s="35"/>
      <c r="AQ931" s="35"/>
      <c r="AR931" s="35"/>
      <c r="AS931" s="35"/>
      <c r="AT931" s="35"/>
      <c r="AU931" s="35"/>
      <c r="AV931" s="35"/>
      <c r="AW931" s="35"/>
      <c r="AX931" s="35"/>
    </row>
    <row r="932" ht="15.75" customHeight="1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  <c r="AE932" s="35"/>
      <c r="AF932" s="35"/>
      <c r="AG932" s="35"/>
      <c r="AH932" s="35"/>
      <c r="AI932" s="35"/>
      <c r="AJ932" s="35"/>
      <c r="AK932" s="35"/>
      <c r="AL932" s="35"/>
      <c r="AM932" s="35"/>
      <c r="AN932" s="35"/>
      <c r="AO932" s="35"/>
      <c r="AP932" s="35"/>
      <c r="AQ932" s="35"/>
      <c r="AR932" s="35"/>
      <c r="AS932" s="35"/>
      <c r="AT932" s="35"/>
      <c r="AU932" s="35"/>
      <c r="AV932" s="35"/>
      <c r="AW932" s="35"/>
      <c r="AX932" s="35"/>
    </row>
    <row r="933" ht="15.75" customHeight="1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  <c r="AE933" s="35"/>
      <c r="AF933" s="35"/>
      <c r="AG933" s="35"/>
      <c r="AH933" s="35"/>
      <c r="AI933" s="35"/>
      <c r="AJ933" s="35"/>
      <c r="AK933" s="35"/>
      <c r="AL933" s="35"/>
      <c r="AM933" s="35"/>
      <c r="AN933" s="35"/>
      <c r="AO933" s="35"/>
      <c r="AP933" s="35"/>
      <c r="AQ933" s="35"/>
      <c r="AR933" s="35"/>
      <c r="AS933" s="35"/>
      <c r="AT933" s="35"/>
      <c r="AU933" s="35"/>
      <c r="AV933" s="35"/>
      <c r="AW933" s="35"/>
      <c r="AX933" s="35"/>
    </row>
    <row r="934" ht="15.75" customHeight="1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  <c r="AE934" s="35"/>
      <c r="AF934" s="35"/>
      <c r="AG934" s="35"/>
      <c r="AH934" s="35"/>
      <c r="AI934" s="35"/>
      <c r="AJ934" s="35"/>
      <c r="AK934" s="35"/>
      <c r="AL934" s="35"/>
      <c r="AM934" s="35"/>
      <c r="AN934" s="35"/>
      <c r="AO934" s="35"/>
      <c r="AP934" s="35"/>
      <c r="AQ934" s="35"/>
      <c r="AR934" s="35"/>
      <c r="AS934" s="35"/>
      <c r="AT934" s="35"/>
      <c r="AU934" s="35"/>
      <c r="AV934" s="35"/>
      <c r="AW934" s="35"/>
      <c r="AX934" s="35"/>
    </row>
    <row r="935" ht="15.75" customHeight="1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  <c r="AF935" s="35"/>
      <c r="AG935" s="35"/>
      <c r="AH935" s="35"/>
      <c r="AI935" s="35"/>
      <c r="AJ935" s="35"/>
      <c r="AK935" s="35"/>
      <c r="AL935" s="35"/>
      <c r="AM935" s="35"/>
      <c r="AN935" s="35"/>
      <c r="AO935" s="35"/>
      <c r="AP935" s="35"/>
      <c r="AQ935" s="35"/>
      <c r="AR935" s="35"/>
      <c r="AS935" s="35"/>
      <c r="AT935" s="35"/>
      <c r="AU935" s="35"/>
      <c r="AV935" s="35"/>
      <c r="AW935" s="35"/>
      <c r="AX935" s="35"/>
    </row>
    <row r="936" ht="15.75" customHeight="1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  <c r="AF936" s="35"/>
      <c r="AG936" s="35"/>
      <c r="AH936" s="35"/>
      <c r="AI936" s="35"/>
      <c r="AJ936" s="35"/>
      <c r="AK936" s="35"/>
      <c r="AL936" s="35"/>
      <c r="AM936" s="35"/>
      <c r="AN936" s="35"/>
      <c r="AO936" s="35"/>
      <c r="AP936" s="35"/>
      <c r="AQ936" s="35"/>
      <c r="AR936" s="35"/>
      <c r="AS936" s="35"/>
      <c r="AT936" s="35"/>
      <c r="AU936" s="35"/>
      <c r="AV936" s="35"/>
      <c r="AW936" s="35"/>
      <c r="AX936" s="35"/>
    </row>
    <row r="937" ht="15.75" customHeight="1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  <c r="AF937" s="35"/>
      <c r="AG937" s="35"/>
      <c r="AH937" s="35"/>
      <c r="AI937" s="35"/>
      <c r="AJ937" s="35"/>
      <c r="AK937" s="35"/>
      <c r="AL937" s="35"/>
      <c r="AM937" s="35"/>
      <c r="AN937" s="35"/>
      <c r="AO937" s="35"/>
      <c r="AP937" s="35"/>
      <c r="AQ937" s="35"/>
      <c r="AR937" s="35"/>
      <c r="AS937" s="35"/>
      <c r="AT937" s="35"/>
      <c r="AU937" s="35"/>
      <c r="AV937" s="35"/>
      <c r="AW937" s="35"/>
      <c r="AX937" s="35"/>
    </row>
    <row r="938" ht="15.75" customHeight="1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  <c r="AF938" s="35"/>
      <c r="AG938" s="35"/>
      <c r="AH938" s="35"/>
      <c r="AI938" s="35"/>
      <c r="AJ938" s="35"/>
      <c r="AK938" s="35"/>
      <c r="AL938" s="35"/>
      <c r="AM938" s="35"/>
      <c r="AN938" s="35"/>
      <c r="AO938" s="35"/>
      <c r="AP938" s="35"/>
      <c r="AQ938" s="35"/>
      <c r="AR938" s="35"/>
      <c r="AS938" s="35"/>
      <c r="AT938" s="35"/>
      <c r="AU938" s="35"/>
      <c r="AV938" s="35"/>
      <c r="AW938" s="35"/>
      <c r="AX938" s="35"/>
    </row>
    <row r="939" ht="15.75" customHeight="1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  <c r="AE939" s="35"/>
      <c r="AF939" s="35"/>
      <c r="AG939" s="35"/>
      <c r="AH939" s="35"/>
      <c r="AI939" s="35"/>
      <c r="AJ939" s="35"/>
      <c r="AK939" s="35"/>
      <c r="AL939" s="35"/>
      <c r="AM939" s="35"/>
      <c r="AN939" s="35"/>
      <c r="AO939" s="35"/>
      <c r="AP939" s="35"/>
      <c r="AQ939" s="35"/>
      <c r="AR939" s="35"/>
      <c r="AS939" s="35"/>
      <c r="AT939" s="35"/>
      <c r="AU939" s="35"/>
      <c r="AV939" s="35"/>
      <c r="AW939" s="35"/>
      <c r="AX939" s="35"/>
    </row>
    <row r="940" ht="15.75" customHeight="1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  <c r="AF940" s="35"/>
      <c r="AG940" s="35"/>
      <c r="AH940" s="35"/>
      <c r="AI940" s="35"/>
      <c r="AJ940" s="35"/>
      <c r="AK940" s="35"/>
      <c r="AL940" s="35"/>
      <c r="AM940" s="35"/>
      <c r="AN940" s="35"/>
      <c r="AO940" s="35"/>
      <c r="AP940" s="35"/>
      <c r="AQ940" s="35"/>
      <c r="AR940" s="35"/>
      <c r="AS940" s="35"/>
      <c r="AT940" s="35"/>
      <c r="AU940" s="35"/>
      <c r="AV940" s="35"/>
      <c r="AW940" s="35"/>
      <c r="AX940" s="35"/>
    </row>
    <row r="941" ht="15.75" customHeight="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  <c r="AE941" s="35"/>
      <c r="AF941" s="35"/>
      <c r="AG941" s="35"/>
      <c r="AH941" s="35"/>
      <c r="AI941" s="35"/>
      <c r="AJ941" s="35"/>
      <c r="AK941" s="35"/>
      <c r="AL941" s="35"/>
      <c r="AM941" s="35"/>
      <c r="AN941" s="35"/>
      <c r="AO941" s="35"/>
      <c r="AP941" s="35"/>
      <c r="AQ941" s="35"/>
      <c r="AR941" s="35"/>
      <c r="AS941" s="35"/>
      <c r="AT941" s="35"/>
      <c r="AU941" s="35"/>
      <c r="AV941" s="35"/>
      <c r="AW941" s="35"/>
      <c r="AX941" s="35"/>
    </row>
    <row r="942" ht="15.75" customHeight="1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  <c r="AF942" s="35"/>
      <c r="AG942" s="35"/>
      <c r="AH942" s="35"/>
      <c r="AI942" s="35"/>
      <c r="AJ942" s="35"/>
      <c r="AK942" s="35"/>
      <c r="AL942" s="35"/>
      <c r="AM942" s="35"/>
      <c r="AN942" s="35"/>
      <c r="AO942" s="35"/>
      <c r="AP942" s="35"/>
      <c r="AQ942" s="35"/>
      <c r="AR942" s="35"/>
      <c r="AS942" s="35"/>
      <c r="AT942" s="35"/>
      <c r="AU942" s="35"/>
      <c r="AV942" s="35"/>
      <c r="AW942" s="35"/>
      <c r="AX942" s="35"/>
    </row>
    <row r="943" ht="15.75" customHeight="1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  <c r="AE943" s="35"/>
      <c r="AF943" s="35"/>
      <c r="AG943" s="35"/>
      <c r="AH943" s="35"/>
      <c r="AI943" s="35"/>
      <c r="AJ943" s="35"/>
      <c r="AK943" s="35"/>
      <c r="AL943" s="35"/>
      <c r="AM943" s="35"/>
      <c r="AN943" s="35"/>
      <c r="AO943" s="35"/>
      <c r="AP943" s="35"/>
      <c r="AQ943" s="35"/>
      <c r="AR943" s="35"/>
      <c r="AS943" s="35"/>
      <c r="AT943" s="35"/>
      <c r="AU943" s="35"/>
      <c r="AV943" s="35"/>
      <c r="AW943" s="35"/>
      <c r="AX943" s="35"/>
    </row>
    <row r="944" ht="15.75" customHeight="1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  <c r="AE944" s="35"/>
      <c r="AF944" s="35"/>
      <c r="AG944" s="35"/>
      <c r="AH944" s="35"/>
      <c r="AI944" s="35"/>
      <c r="AJ944" s="35"/>
      <c r="AK944" s="35"/>
      <c r="AL944" s="35"/>
      <c r="AM944" s="35"/>
      <c r="AN944" s="35"/>
      <c r="AO944" s="35"/>
      <c r="AP944" s="35"/>
      <c r="AQ944" s="35"/>
      <c r="AR944" s="35"/>
      <c r="AS944" s="35"/>
      <c r="AT944" s="35"/>
      <c r="AU944" s="35"/>
      <c r="AV944" s="35"/>
      <c r="AW944" s="35"/>
      <c r="AX944" s="35"/>
    </row>
    <row r="945" ht="15.75" customHeight="1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  <c r="AE945" s="35"/>
      <c r="AF945" s="35"/>
      <c r="AG945" s="35"/>
      <c r="AH945" s="35"/>
      <c r="AI945" s="35"/>
      <c r="AJ945" s="35"/>
      <c r="AK945" s="35"/>
      <c r="AL945" s="35"/>
      <c r="AM945" s="35"/>
      <c r="AN945" s="35"/>
      <c r="AO945" s="35"/>
      <c r="AP945" s="35"/>
      <c r="AQ945" s="35"/>
      <c r="AR945" s="35"/>
      <c r="AS945" s="35"/>
      <c r="AT945" s="35"/>
      <c r="AU945" s="35"/>
      <c r="AV945" s="35"/>
      <c r="AW945" s="35"/>
      <c r="AX945" s="35"/>
    </row>
    <row r="946" ht="15.75" customHeight="1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  <c r="AE946" s="35"/>
      <c r="AF946" s="35"/>
      <c r="AG946" s="35"/>
      <c r="AH946" s="35"/>
      <c r="AI946" s="35"/>
      <c r="AJ946" s="35"/>
      <c r="AK946" s="35"/>
      <c r="AL946" s="35"/>
      <c r="AM946" s="35"/>
      <c r="AN946" s="35"/>
      <c r="AO946" s="35"/>
      <c r="AP946" s="35"/>
      <c r="AQ946" s="35"/>
      <c r="AR946" s="35"/>
      <c r="AS946" s="35"/>
      <c r="AT946" s="35"/>
      <c r="AU946" s="35"/>
      <c r="AV946" s="35"/>
      <c r="AW946" s="35"/>
      <c r="AX946" s="35"/>
    </row>
    <row r="947" ht="15.75" customHeight="1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  <c r="AE947" s="35"/>
      <c r="AF947" s="35"/>
      <c r="AG947" s="35"/>
      <c r="AH947" s="35"/>
      <c r="AI947" s="35"/>
      <c r="AJ947" s="35"/>
      <c r="AK947" s="35"/>
      <c r="AL947" s="35"/>
      <c r="AM947" s="35"/>
      <c r="AN947" s="35"/>
      <c r="AO947" s="35"/>
      <c r="AP947" s="35"/>
      <c r="AQ947" s="35"/>
      <c r="AR947" s="35"/>
      <c r="AS947" s="35"/>
      <c r="AT947" s="35"/>
      <c r="AU947" s="35"/>
      <c r="AV947" s="35"/>
      <c r="AW947" s="35"/>
      <c r="AX947" s="35"/>
    </row>
    <row r="948" ht="15.75" customHeight="1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  <c r="AD948" s="35"/>
      <c r="AE948" s="35"/>
      <c r="AF948" s="35"/>
      <c r="AG948" s="35"/>
      <c r="AH948" s="35"/>
      <c r="AI948" s="35"/>
      <c r="AJ948" s="35"/>
      <c r="AK948" s="35"/>
      <c r="AL948" s="35"/>
      <c r="AM948" s="35"/>
      <c r="AN948" s="35"/>
      <c r="AO948" s="35"/>
      <c r="AP948" s="35"/>
      <c r="AQ948" s="35"/>
      <c r="AR948" s="35"/>
      <c r="AS948" s="35"/>
      <c r="AT948" s="35"/>
      <c r="AU948" s="35"/>
      <c r="AV948" s="35"/>
      <c r="AW948" s="35"/>
      <c r="AX948" s="35"/>
    </row>
    <row r="949" ht="15.75" customHeight="1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  <c r="AD949" s="35"/>
      <c r="AE949" s="35"/>
      <c r="AF949" s="35"/>
      <c r="AG949" s="35"/>
      <c r="AH949" s="35"/>
      <c r="AI949" s="35"/>
      <c r="AJ949" s="35"/>
      <c r="AK949" s="35"/>
      <c r="AL949" s="35"/>
      <c r="AM949" s="35"/>
      <c r="AN949" s="35"/>
      <c r="AO949" s="35"/>
      <c r="AP949" s="35"/>
      <c r="AQ949" s="35"/>
      <c r="AR949" s="35"/>
      <c r="AS949" s="35"/>
      <c r="AT949" s="35"/>
      <c r="AU949" s="35"/>
      <c r="AV949" s="35"/>
      <c r="AW949" s="35"/>
      <c r="AX949" s="35"/>
    </row>
    <row r="950" ht="15.75" customHeight="1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  <c r="AE950" s="35"/>
      <c r="AF950" s="35"/>
      <c r="AG950" s="35"/>
      <c r="AH950" s="35"/>
      <c r="AI950" s="35"/>
      <c r="AJ950" s="35"/>
      <c r="AK950" s="35"/>
      <c r="AL950" s="35"/>
      <c r="AM950" s="35"/>
      <c r="AN950" s="35"/>
      <c r="AO950" s="35"/>
      <c r="AP950" s="35"/>
      <c r="AQ950" s="35"/>
      <c r="AR950" s="35"/>
      <c r="AS950" s="35"/>
      <c r="AT950" s="35"/>
      <c r="AU950" s="35"/>
      <c r="AV950" s="35"/>
      <c r="AW950" s="35"/>
      <c r="AX950" s="35"/>
    </row>
    <row r="951" ht="15.75" customHeight="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  <c r="AE951" s="35"/>
      <c r="AF951" s="35"/>
      <c r="AG951" s="35"/>
      <c r="AH951" s="35"/>
      <c r="AI951" s="35"/>
      <c r="AJ951" s="35"/>
      <c r="AK951" s="35"/>
      <c r="AL951" s="35"/>
      <c r="AM951" s="35"/>
      <c r="AN951" s="35"/>
      <c r="AO951" s="35"/>
      <c r="AP951" s="35"/>
      <c r="AQ951" s="35"/>
      <c r="AR951" s="35"/>
      <c r="AS951" s="35"/>
      <c r="AT951" s="35"/>
      <c r="AU951" s="35"/>
      <c r="AV951" s="35"/>
      <c r="AW951" s="35"/>
      <c r="AX951" s="35"/>
    </row>
    <row r="952" ht="15.75" customHeight="1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  <c r="AE952" s="35"/>
      <c r="AF952" s="35"/>
      <c r="AG952" s="35"/>
      <c r="AH952" s="35"/>
      <c r="AI952" s="35"/>
      <c r="AJ952" s="35"/>
      <c r="AK952" s="35"/>
      <c r="AL952" s="35"/>
      <c r="AM952" s="35"/>
      <c r="AN952" s="35"/>
      <c r="AO952" s="35"/>
      <c r="AP952" s="35"/>
      <c r="AQ952" s="35"/>
      <c r="AR952" s="35"/>
      <c r="AS952" s="35"/>
      <c r="AT952" s="35"/>
      <c r="AU952" s="35"/>
      <c r="AV952" s="35"/>
      <c r="AW952" s="35"/>
      <c r="AX952" s="35"/>
    </row>
    <row r="953" ht="15.75" customHeight="1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  <c r="AD953" s="35"/>
      <c r="AE953" s="35"/>
      <c r="AF953" s="35"/>
      <c r="AG953" s="35"/>
      <c r="AH953" s="35"/>
      <c r="AI953" s="35"/>
      <c r="AJ953" s="35"/>
      <c r="AK953" s="35"/>
      <c r="AL953" s="35"/>
      <c r="AM953" s="35"/>
      <c r="AN953" s="35"/>
      <c r="AO953" s="35"/>
      <c r="AP953" s="35"/>
      <c r="AQ953" s="35"/>
      <c r="AR953" s="35"/>
      <c r="AS953" s="35"/>
      <c r="AT953" s="35"/>
      <c r="AU953" s="35"/>
      <c r="AV953" s="35"/>
      <c r="AW953" s="35"/>
      <c r="AX953" s="35"/>
    </row>
    <row r="954" ht="15.75" customHeight="1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  <c r="AD954" s="35"/>
      <c r="AE954" s="35"/>
      <c r="AF954" s="35"/>
      <c r="AG954" s="35"/>
      <c r="AH954" s="35"/>
      <c r="AI954" s="35"/>
      <c r="AJ954" s="35"/>
      <c r="AK954" s="35"/>
      <c r="AL954" s="35"/>
      <c r="AM954" s="35"/>
      <c r="AN954" s="35"/>
      <c r="AO954" s="35"/>
      <c r="AP954" s="35"/>
      <c r="AQ954" s="35"/>
      <c r="AR954" s="35"/>
      <c r="AS954" s="35"/>
      <c r="AT954" s="35"/>
      <c r="AU954" s="35"/>
      <c r="AV954" s="35"/>
      <c r="AW954" s="35"/>
      <c r="AX954" s="35"/>
    </row>
    <row r="955" ht="15.75" customHeight="1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  <c r="AD955" s="35"/>
      <c r="AE955" s="35"/>
      <c r="AF955" s="35"/>
      <c r="AG955" s="35"/>
      <c r="AH955" s="35"/>
      <c r="AI955" s="35"/>
      <c r="AJ955" s="35"/>
      <c r="AK955" s="35"/>
      <c r="AL955" s="35"/>
      <c r="AM955" s="35"/>
      <c r="AN955" s="35"/>
      <c r="AO955" s="35"/>
      <c r="AP955" s="35"/>
      <c r="AQ955" s="35"/>
      <c r="AR955" s="35"/>
      <c r="AS955" s="35"/>
      <c r="AT955" s="35"/>
      <c r="AU955" s="35"/>
      <c r="AV955" s="35"/>
      <c r="AW955" s="35"/>
      <c r="AX955" s="35"/>
    </row>
    <row r="956" ht="15.75" customHeight="1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  <c r="AD956" s="35"/>
      <c r="AE956" s="35"/>
      <c r="AF956" s="35"/>
      <c r="AG956" s="35"/>
      <c r="AH956" s="35"/>
      <c r="AI956" s="35"/>
      <c r="AJ956" s="35"/>
      <c r="AK956" s="35"/>
      <c r="AL956" s="35"/>
      <c r="AM956" s="35"/>
      <c r="AN956" s="35"/>
      <c r="AO956" s="35"/>
      <c r="AP956" s="35"/>
      <c r="AQ956" s="35"/>
      <c r="AR956" s="35"/>
      <c r="AS956" s="35"/>
      <c r="AT956" s="35"/>
      <c r="AU956" s="35"/>
      <c r="AV956" s="35"/>
      <c r="AW956" s="35"/>
      <c r="AX956" s="35"/>
    </row>
    <row r="957" ht="15.75" customHeight="1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  <c r="AD957" s="35"/>
      <c r="AE957" s="35"/>
      <c r="AF957" s="35"/>
      <c r="AG957" s="35"/>
      <c r="AH957" s="35"/>
      <c r="AI957" s="35"/>
      <c r="AJ957" s="35"/>
      <c r="AK957" s="35"/>
      <c r="AL957" s="35"/>
      <c r="AM957" s="35"/>
      <c r="AN957" s="35"/>
      <c r="AO957" s="35"/>
      <c r="AP957" s="35"/>
      <c r="AQ957" s="35"/>
      <c r="AR957" s="35"/>
      <c r="AS957" s="35"/>
      <c r="AT957" s="35"/>
      <c r="AU957" s="35"/>
      <c r="AV957" s="35"/>
      <c r="AW957" s="35"/>
      <c r="AX957" s="35"/>
    </row>
    <row r="958" ht="15.75" customHeight="1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  <c r="AD958" s="35"/>
      <c r="AE958" s="35"/>
      <c r="AF958" s="35"/>
      <c r="AG958" s="35"/>
      <c r="AH958" s="35"/>
      <c r="AI958" s="35"/>
      <c r="AJ958" s="35"/>
      <c r="AK958" s="35"/>
      <c r="AL958" s="35"/>
      <c r="AM958" s="35"/>
      <c r="AN958" s="35"/>
      <c r="AO958" s="35"/>
      <c r="AP958" s="35"/>
      <c r="AQ958" s="35"/>
      <c r="AR958" s="35"/>
      <c r="AS958" s="35"/>
      <c r="AT958" s="35"/>
      <c r="AU958" s="35"/>
      <c r="AV958" s="35"/>
      <c r="AW958" s="35"/>
      <c r="AX958" s="35"/>
    </row>
    <row r="959" ht="15.75" customHeight="1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  <c r="AD959" s="35"/>
      <c r="AE959" s="35"/>
      <c r="AF959" s="35"/>
      <c r="AG959" s="35"/>
      <c r="AH959" s="35"/>
      <c r="AI959" s="35"/>
      <c r="AJ959" s="35"/>
      <c r="AK959" s="35"/>
      <c r="AL959" s="35"/>
      <c r="AM959" s="35"/>
      <c r="AN959" s="35"/>
      <c r="AO959" s="35"/>
      <c r="AP959" s="35"/>
      <c r="AQ959" s="35"/>
      <c r="AR959" s="35"/>
      <c r="AS959" s="35"/>
      <c r="AT959" s="35"/>
      <c r="AU959" s="35"/>
      <c r="AV959" s="35"/>
      <c r="AW959" s="35"/>
      <c r="AX959" s="35"/>
    </row>
    <row r="960" ht="15.75" customHeight="1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  <c r="AE960" s="35"/>
      <c r="AF960" s="35"/>
      <c r="AG960" s="35"/>
      <c r="AH960" s="35"/>
      <c r="AI960" s="35"/>
      <c r="AJ960" s="35"/>
      <c r="AK960" s="35"/>
      <c r="AL960" s="35"/>
      <c r="AM960" s="35"/>
      <c r="AN960" s="35"/>
      <c r="AO960" s="35"/>
      <c r="AP960" s="35"/>
      <c r="AQ960" s="35"/>
      <c r="AR960" s="35"/>
      <c r="AS960" s="35"/>
      <c r="AT960" s="35"/>
      <c r="AU960" s="35"/>
      <c r="AV960" s="35"/>
      <c r="AW960" s="35"/>
      <c r="AX960" s="35"/>
    </row>
    <row r="961" ht="15.75" customHeight="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  <c r="AD961" s="35"/>
      <c r="AE961" s="35"/>
      <c r="AF961" s="35"/>
      <c r="AG961" s="35"/>
      <c r="AH961" s="35"/>
      <c r="AI961" s="35"/>
      <c r="AJ961" s="35"/>
      <c r="AK961" s="35"/>
      <c r="AL961" s="35"/>
      <c r="AM961" s="35"/>
      <c r="AN961" s="35"/>
      <c r="AO961" s="35"/>
      <c r="AP961" s="35"/>
      <c r="AQ961" s="35"/>
      <c r="AR961" s="35"/>
      <c r="AS961" s="35"/>
      <c r="AT961" s="35"/>
      <c r="AU961" s="35"/>
      <c r="AV961" s="35"/>
      <c r="AW961" s="35"/>
      <c r="AX961" s="35"/>
    </row>
    <row r="962" ht="15.75" customHeight="1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  <c r="AD962" s="35"/>
      <c r="AE962" s="35"/>
      <c r="AF962" s="35"/>
      <c r="AG962" s="35"/>
      <c r="AH962" s="35"/>
      <c r="AI962" s="35"/>
      <c r="AJ962" s="35"/>
      <c r="AK962" s="35"/>
      <c r="AL962" s="35"/>
      <c r="AM962" s="35"/>
      <c r="AN962" s="35"/>
      <c r="AO962" s="35"/>
      <c r="AP962" s="35"/>
      <c r="AQ962" s="35"/>
      <c r="AR962" s="35"/>
      <c r="AS962" s="35"/>
      <c r="AT962" s="35"/>
      <c r="AU962" s="35"/>
      <c r="AV962" s="35"/>
      <c r="AW962" s="35"/>
      <c r="AX962" s="35"/>
    </row>
    <row r="963" ht="15.75" customHeight="1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  <c r="AD963" s="35"/>
      <c r="AE963" s="35"/>
      <c r="AF963" s="35"/>
      <c r="AG963" s="35"/>
      <c r="AH963" s="35"/>
      <c r="AI963" s="35"/>
      <c r="AJ963" s="35"/>
      <c r="AK963" s="35"/>
      <c r="AL963" s="35"/>
      <c r="AM963" s="35"/>
      <c r="AN963" s="35"/>
      <c r="AO963" s="35"/>
      <c r="AP963" s="35"/>
      <c r="AQ963" s="35"/>
      <c r="AR963" s="35"/>
      <c r="AS963" s="35"/>
      <c r="AT963" s="35"/>
      <c r="AU963" s="35"/>
      <c r="AV963" s="35"/>
      <c r="AW963" s="35"/>
      <c r="AX963" s="35"/>
    </row>
    <row r="964" ht="15.75" customHeight="1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  <c r="AD964" s="35"/>
      <c r="AE964" s="35"/>
      <c r="AF964" s="35"/>
      <c r="AG964" s="35"/>
      <c r="AH964" s="35"/>
      <c r="AI964" s="35"/>
      <c r="AJ964" s="35"/>
      <c r="AK964" s="35"/>
      <c r="AL964" s="35"/>
      <c r="AM964" s="35"/>
      <c r="AN964" s="35"/>
      <c r="AO964" s="35"/>
      <c r="AP964" s="35"/>
      <c r="AQ964" s="35"/>
      <c r="AR964" s="35"/>
      <c r="AS964" s="35"/>
      <c r="AT964" s="35"/>
      <c r="AU964" s="35"/>
      <c r="AV964" s="35"/>
      <c r="AW964" s="35"/>
      <c r="AX964" s="35"/>
    </row>
    <row r="965" ht="15.75" customHeight="1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  <c r="AD965" s="35"/>
      <c r="AE965" s="35"/>
      <c r="AF965" s="35"/>
      <c r="AG965" s="35"/>
      <c r="AH965" s="35"/>
      <c r="AI965" s="35"/>
      <c r="AJ965" s="35"/>
      <c r="AK965" s="35"/>
      <c r="AL965" s="35"/>
      <c r="AM965" s="35"/>
      <c r="AN965" s="35"/>
      <c r="AO965" s="35"/>
      <c r="AP965" s="35"/>
      <c r="AQ965" s="35"/>
      <c r="AR965" s="35"/>
      <c r="AS965" s="35"/>
      <c r="AT965" s="35"/>
      <c r="AU965" s="35"/>
      <c r="AV965" s="35"/>
      <c r="AW965" s="35"/>
      <c r="AX965" s="35"/>
    </row>
    <row r="966" ht="15.75" customHeight="1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  <c r="AD966" s="35"/>
      <c r="AE966" s="35"/>
      <c r="AF966" s="35"/>
      <c r="AG966" s="35"/>
      <c r="AH966" s="35"/>
      <c r="AI966" s="35"/>
      <c r="AJ966" s="35"/>
      <c r="AK966" s="35"/>
      <c r="AL966" s="35"/>
      <c r="AM966" s="35"/>
      <c r="AN966" s="35"/>
      <c r="AO966" s="35"/>
      <c r="AP966" s="35"/>
      <c r="AQ966" s="35"/>
      <c r="AR966" s="35"/>
      <c r="AS966" s="35"/>
      <c r="AT966" s="35"/>
      <c r="AU966" s="35"/>
      <c r="AV966" s="35"/>
      <c r="AW966" s="35"/>
      <c r="AX966" s="35"/>
    </row>
    <row r="967" ht="15.75" customHeight="1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  <c r="AD967" s="35"/>
      <c r="AE967" s="35"/>
      <c r="AF967" s="35"/>
      <c r="AG967" s="35"/>
      <c r="AH967" s="35"/>
      <c r="AI967" s="35"/>
      <c r="AJ967" s="35"/>
      <c r="AK967" s="35"/>
      <c r="AL967" s="35"/>
      <c r="AM967" s="35"/>
      <c r="AN967" s="35"/>
      <c r="AO967" s="35"/>
      <c r="AP967" s="35"/>
      <c r="AQ967" s="35"/>
      <c r="AR967" s="35"/>
      <c r="AS967" s="35"/>
      <c r="AT967" s="35"/>
      <c r="AU967" s="35"/>
      <c r="AV967" s="35"/>
      <c r="AW967" s="35"/>
      <c r="AX967" s="35"/>
    </row>
    <row r="968" ht="15.75" customHeight="1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  <c r="AD968" s="35"/>
      <c r="AE968" s="35"/>
      <c r="AF968" s="35"/>
      <c r="AG968" s="35"/>
      <c r="AH968" s="35"/>
      <c r="AI968" s="35"/>
      <c r="AJ968" s="35"/>
      <c r="AK968" s="35"/>
      <c r="AL968" s="35"/>
      <c r="AM968" s="35"/>
      <c r="AN968" s="35"/>
      <c r="AO968" s="35"/>
      <c r="AP968" s="35"/>
      <c r="AQ968" s="35"/>
      <c r="AR968" s="35"/>
      <c r="AS968" s="35"/>
      <c r="AT968" s="35"/>
      <c r="AU968" s="35"/>
      <c r="AV968" s="35"/>
      <c r="AW968" s="35"/>
      <c r="AX968" s="35"/>
    </row>
    <row r="969" ht="15.75" customHeight="1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  <c r="AD969" s="35"/>
      <c r="AE969" s="35"/>
      <c r="AF969" s="35"/>
      <c r="AG969" s="35"/>
      <c r="AH969" s="35"/>
      <c r="AI969" s="35"/>
      <c r="AJ969" s="35"/>
      <c r="AK969" s="35"/>
      <c r="AL969" s="35"/>
      <c r="AM969" s="35"/>
      <c r="AN969" s="35"/>
      <c r="AO969" s="35"/>
      <c r="AP969" s="35"/>
      <c r="AQ969" s="35"/>
      <c r="AR969" s="35"/>
      <c r="AS969" s="35"/>
      <c r="AT969" s="35"/>
      <c r="AU969" s="35"/>
      <c r="AV969" s="35"/>
      <c r="AW969" s="35"/>
      <c r="AX969" s="35"/>
    </row>
    <row r="970" ht="15.75" customHeight="1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  <c r="AC970" s="35"/>
      <c r="AD970" s="35"/>
      <c r="AE970" s="35"/>
      <c r="AF970" s="35"/>
      <c r="AG970" s="35"/>
      <c r="AH970" s="35"/>
      <c r="AI970" s="35"/>
      <c r="AJ970" s="35"/>
      <c r="AK970" s="35"/>
      <c r="AL970" s="35"/>
      <c r="AM970" s="35"/>
      <c r="AN970" s="35"/>
      <c r="AO970" s="35"/>
      <c r="AP970" s="35"/>
      <c r="AQ970" s="35"/>
      <c r="AR970" s="35"/>
      <c r="AS970" s="35"/>
      <c r="AT970" s="35"/>
      <c r="AU970" s="35"/>
      <c r="AV970" s="35"/>
      <c r="AW970" s="35"/>
      <c r="AX970" s="35"/>
    </row>
    <row r="971" ht="15.75" customHeight="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  <c r="AD971" s="35"/>
      <c r="AE971" s="35"/>
      <c r="AF971" s="35"/>
      <c r="AG971" s="35"/>
      <c r="AH971" s="35"/>
      <c r="AI971" s="35"/>
      <c r="AJ971" s="35"/>
      <c r="AK971" s="35"/>
      <c r="AL971" s="35"/>
      <c r="AM971" s="35"/>
      <c r="AN971" s="35"/>
      <c r="AO971" s="35"/>
      <c r="AP971" s="35"/>
      <c r="AQ971" s="35"/>
      <c r="AR971" s="35"/>
      <c r="AS971" s="35"/>
      <c r="AT971" s="35"/>
      <c r="AU971" s="35"/>
      <c r="AV971" s="35"/>
      <c r="AW971" s="35"/>
      <c r="AX971" s="35"/>
    </row>
    <row r="972" ht="15.75" customHeight="1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  <c r="AC972" s="35"/>
      <c r="AD972" s="35"/>
      <c r="AE972" s="35"/>
      <c r="AF972" s="35"/>
      <c r="AG972" s="35"/>
      <c r="AH972" s="35"/>
      <c r="AI972" s="35"/>
      <c r="AJ972" s="35"/>
      <c r="AK972" s="35"/>
      <c r="AL972" s="35"/>
      <c r="AM972" s="35"/>
      <c r="AN972" s="35"/>
      <c r="AO972" s="35"/>
      <c r="AP972" s="35"/>
      <c r="AQ972" s="35"/>
      <c r="AR972" s="35"/>
      <c r="AS972" s="35"/>
      <c r="AT972" s="35"/>
      <c r="AU972" s="35"/>
      <c r="AV972" s="35"/>
      <c r="AW972" s="35"/>
      <c r="AX972" s="35"/>
    </row>
    <row r="973" ht="15.75" customHeight="1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  <c r="AD973" s="35"/>
      <c r="AE973" s="35"/>
      <c r="AF973" s="35"/>
      <c r="AG973" s="35"/>
      <c r="AH973" s="35"/>
      <c r="AI973" s="35"/>
      <c r="AJ973" s="35"/>
      <c r="AK973" s="35"/>
      <c r="AL973" s="35"/>
      <c r="AM973" s="35"/>
      <c r="AN973" s="35"/>
      <c r="AO973" s="35"/>
      <c r="AP973" s="35"/>
      <c r="AQ973" s="35"/>
      <c r="AR973" s="35"/>
      <c r="AS973" s="35"/>
      <c r="AT973" s="35"/>
      <c r="AU973" s="35"/>
      <c r="AV973" s="35"/>
      <c r="AW973" s="35"/>
      <c r="AX973" s="35"/>
    </row>
    <row r="974" ht="15.75" customHeight="1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  <c r="AC974" s="35"/>
      <c r="AD974" s="35"/>
      <c r="AE974" s="35"/>
      <c r="AF974" s="35"/>
      <c r="AG974" s="35"/>
      <c r="AH974" s="35"/>
      <c r="AI974" s="35"/>
      <c r="AJ974" s="35"/>
      <c r="AK974" s="35"/>
      <c r="AL974" s="35"/>
      <c r="AM974" s="35"/>
      <c r="AN974" s="35"/>
      <c r="AO974" s="35"/>
      <c r="AP974" s="35"/>
      <c r="AQ974" s="35"/>
      <c r="AR974" s="35"/>
      <c r="AS974" s="35"/>
      <c r="AT974" s="35"/>
      <c r="AU974" s="35"/>
      <c r="AV974" s="35"/>
      <c r="AW974" s="35"/>
      <c r="AX974" s="35"/>
    </row>
    <row r="975" ht="15.75" customHeight="1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  <c r="AD975" s="35"/>
      <c r="AE975" s="35"/>
      <c r="AF975" s="35"/>
      <c r="AG975" s="35"/>
      <c r="AH975" s="35"/>
      <c r="AI975" s="35"/>
      <c r="AJ975" s="35"/>
      <c r="AK975" s="35"/>
      <c r="AL975" s="35"/>
      <c r="AM975" s="35"/>
      <c r="AN975" s="35"/>
      <c r="AO975" s="35"/>
      <c r="AP975" s="35"/>
      <c r="AQ975" s="35"/>
      <c r="AR975" s="35"/>
      <c r="AS975" s="35"/>
      <c r="AT975" s="35"/>
      <c r="AU975" s="35"/>
      <c r="AV975" s="35"/>
      <c r="AW975" s="35"/>
      <c r="AX975" s="35"/>
    </row>
    <row r="976" ht="15.75" customHeight="1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  <c r="AC976" s="35"/>
      <c r="AD976" s="35"/>
      <c r="AE976" s="35"/>
      <c r="AF976" s="35"/>
      <c r="AG976" s="35"/>
      <c r="AH976" s="35"/>
      <c r="AI976" s="35"/>
      <c r="AJ976" s="35"/>
      <c r="AK976" s="35"/>
      <c r="AL976" s="35"/>
      <c r="AM976" s="35"/>
      <c r="AN976" s="35"/>
      <c r="AO976" s="35"/>
      <c r="AP976" s="35"/>
      <c r="AQ976" s="35"/>
      <c r="AR976" s="35"/>
      <c r="AS976" s="35"/>
      <c r="AT976" s="35"/>
      <c r="AU976" s="35"/>
      <c r="AV976" s="35"/>
      <c r="AW976" s="35"/>
      <c r="AX976" s="35"/>
    </row>
    <row r="977" ht="15.75" customHeight="1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  <c r="AC977" s="35"/>
      <c r="AD977" s="35"/>
      <c r="AE977" s="35"/>
      <c r="AF977" s="35"/>
      <c r="AG977" s="35"/>
      <c r="AH977" s="35"/>
      <c r="AI977" s="35"/>
      <c r="AJ977" s="35"/>
      <c r="AK977" s="35"/>
      <c r="AL977" s="35"/>
      <c r="AM977" s="35"/>
      <c r="AN977" s="35"/>
      <c r="AO977" s="35"/>
      <c r="AP977" s="35"/>
      <c r="AQ977" s="35"/>
      <c r="AR977" s="35"/>
      <c r="AS977" s="35"/>
      <c r="AT977" s="35"/>
      <c r="AU977" s="35"/>
      <c r="AV977" s="35"/>
      <c r="AW977" s="35"/>
      <c r="AX977" s="35"/>
    </row>
    <row r="978" ht="15.75" customHeight="1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  <c r="AC978" s="35"/>
      <c r="AD978" s="35"/>
      <c r="AE978" s="35"/>
      <c r="AF978" s="35"/>
      <c r="AG978" s="35"/>
      <c r="AH978" s="35"/>
      <c r="AI978" s="35"/>
      <c r="AJ978" s="35"/>
      <c r="AK978" s="35"/>
      <c r="AL978" s="35"/>
      <c r="AM978" s="35"/>
      <c r="AN978" s="35"/>
      <c r="AO978" s="35"/>
      <c r="AP978" s="35"/>
      <c r="AQ978" s="35"/>
      <c r="AR978" s="35"/>
      <c r="AS978" s="35"/>
      <c r="AT978" s="35"/>
      <c r="AU978" s="35"/>
      <c r="AV978" s="35"/>
      <c r="AW978" s="35"/>
      <c r="AX978" s="35"/>
    </row>
    <row r="979" ht="15.75" customHeight="1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  <c r="AC979" s="35"/>
      <c r="AD979" s="35"/>
      <c r="AE979" s="35"/>
      <c r="AF979" s="35"/>
      <c r="AG979" s="35"/>
      <c r="AH979" s="35"/>
      <c r="AI979" s="35"/>
      <c r="AJ979" s="35"/>
      <c r="AK979" s="35"/>
      <c r="AL979" s="35"/>
      <c r="AM979" s="35"/>
      <c r="AN979" s="35"/>
      <c r="AO979" s="35"/>
      <c r="AP979" s="35"/>
      <c r="AQ979" s="35"/>
      <c r="AR979" s="35"/>
      <c r="AS979" s="35"/>
      <c r="AT979" s="35"/>
      <c r="AU979" s="35"/>
      <c r="AV979" s="35"/>
      <c r="AW979" s="35"/>
      <c r="AX979" s="35"/>
    </row>
    <row r="980" ht="15.75" customHeight="1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  <c r="AC980" s="35"/>
      <c r="AD980" s="35"/>
      <c r="AE980" s="35"/>
      <c r="AF980" s="35"/>
      <c r="AG980" s="35"/>
      <c r="AH980" s="35"/>
      <c r="AI980" s="35"/>
      <c r="AJ980" s="35"/>
      <c r="AK980" s="35"/>
      <c r="AL980" s="35"/>
      <c r="AM980" s="35"/>
      <c r="AN980" s="35"/>
      <c r="AO980" s="35"/>
      <c r="AP980" s="35"/>
      <c r="AQ980" s="35"/>
      <c r="AR980" s="35"/>
      <c r="AS980" s="35"/>
      <c r="AT980" s="35"/>
      <c r="AU980" s="35"/>
      <c r="AV980" s="35"/>
      <c r="AW980" s="35"/>
      <c r="AX980" s="35"/>
    </row>
    <row r="981" ht="15.75" customHeight="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  <c r="AC981" s="35"/>
      <c r="AD981" s="35"/>
      <c r="AE981" s="35"/>
      <c r="AF981" s="35"/>
      <c r="AG981" s="35"/>
      <c r="AH981" s="35"/>
      <c r="AI981" s="35"/>
      <c r="AJ981" s="35"/>
      <c r="AK981" s="35"/>
      <c r="AL981" s="35"/>
      <c r="AM981" s="35"/>
      <c r="AN981" s="35"/>
      <c r="AO981" s="35"/>
      <c r="AP981" s="35"/>
      <c r="AQ981" s="35"/>
      <c r="AR981" s="35"/>
      <c r="AS981" s="35"/>
      <c r="AT981" s="35"/>
      <c r="AU981" s="35"/>
      <c r="AV981" s="35"/>
      <c r="AW981" s="35"/>
      <c r="AX981" s="35"/>
    </row>
    <row r="982" ht="15.75" customHeight="1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  <c r="AC982" s="35"/>
      <c r="AD982" s="35"/>
      <c r="AE982" s="35"/>
      <c r="AF982" s="35"/>
      <c r="AG982" s="35"/>
      <c r="AH982" s="35"/>
      <c r="AI982" s="35"/>
      <c r="AJ982" s="35"/>
      <c r="AK982" s="35"/>
      <c r="AL982" s="35"/>
      <c r="AM982" s="35"/>
      <c r="AN982" s="35"/>
      <c r="AO982" s="35"/>
      <c r="AP982" s="35"/>
      <c r="AQ982" s="35"/>
      <c r="AR982" s="35"/>
      <c r="AS982" s="35"/>
      <c r="AT982" s="35"/>
      <c r="AU982" s="35"/>
      <c r="AV982" s="35"/>
      <c r="AW982" s="35"/>
      <c r="AX982" s="35"/>
    </row>
    <row r="983" ht="15.75" customHeight="1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  <c r="AC983" s="35"/>
      <c r="AD983" s="35"/>
      <c r="AE983" s="35"/>
      <c r="AF983" s="35"/>
      <c r="AG983" s="35"/>
      <c r="AH983" s="35"/>
      <c r="AI983" s="35"/>
      <c r="AJ983" s="35"/>
      <c r="AK983" s="35"/>
      <c r="AL983" s="35"/>
      <c r="AM983" s="35"/>
      <c r="AN983" s="35"/>
      <c r="AO983" s="35"/>
      <c r="AP983" s="35"/>
      <c r="AQ983" s="35"/>
      <c r="AR983" s="35"/>
      <c r="AS983" s="35"/>
      <c r="AT983" s="35"/>
      <c r="AU983" s="35"/>
      <c r="AV983" s="35"/>
      <c r="AW983" s="35"/>
      <c r="AX983" s="35"/>
    </row>
    <row r="984" ht="15.75" customHeight="1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  <c r="AC984" s="35"/>
      <c r="AD984" s="35"/>
      <c r="AE984" s="35"/>
      <c r="AF984" s="35"/>
      <c r="AG984" s="35"/>
      <c r="AH984" s="35"/>
      <c r="AI984" s="35"/>
      <c r="AJ984" s="35"/>
      <c r="AK984" s="35"/>
      <c r="AL984" s="35"/>
      <c r="AM984" s="35"/>
      <c r="AN984" s="35"/>
      <c r="AO984" s="35"/>
      <c r="AP984" s="35"/>
      <c r="AQ984" s="35"/>
      <c r="AR984" s="35"/>
      <c r="AS984" s="35"/>
      <c r="AT984" s="35"/>
      <c r="AU984" s="35"/>
      <c r="AV984" s="35"/>
      <c r="AW984" s="35"/>
      <c r="AX984" s="35"/>
    </row>
    <row r="985" ht="15.75" customHeight="1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  <c r="AC985" s="35"/>
      <c r="AD985" s="35"/>
      <c r="AE985" s="35"/>
      <c r="AF985" s="35"/>
      <c r="AG985" s="35"/>
      <c r="AH985" s="35"/>
      <c r="AI985" s="35"/>
      <c r="AJ985" s="35"/>
      <c r="AK985" s="35"/>
      <c r="AL985" s="35"/>
      <c r="AM985" s="35"/>
      <c r="AN985" s="35"/>
      <c r="AO985" s="35"/>
      <c r="AP985" s="35"/>
      <c r="AQ985" s="35"/>
      <c r="AR985" s="35"/>
      <c r="AS985" s="35"/>
      <c r="AT985" s="35"/>
      <c r="AU985" s="35"/>
      <c r="AV985" s="35"/>
      <c r="AW985" s="35"/>
      <c r="AX985" s="35"/>
    </row>
    <row r="986" ht="15.75" customHeight="1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  <c r="AC986" s="35"/>
      <c r="AD986" s="35"/>
      <c r="AE986" s="35"/>
      <c r="AF986" s="35"/>
      <c r="AG986" s="35"/>
      <c r="AH986" s="35"/>
      <c r="AI986" s="35"/>
      <c r="AJ986" s="35"/>
      <c r="AK986" s="35"/>
      <c r="AL986" s="35"/>
      <c r="AM986" s="35"/>
      <c r="AN986" s="35"/>
      <c r="AO986" s="35"/>
      <c r="AP986" s="35"/>
      <c r="AQ986" s="35"/>
      <c r="AR986" s="35"/>
      <c r="AS986" s="35"/>
      <c r="AT986" s="35"/>
      <c r="AU986" s="35"/>
      <c r="AV986" s="35"/>
      <c r="AW986" s="35"/>
      <c r="AX986" s="35"/>
    </row>
    <row r="987" ht="15.75" customHeight="1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  <c r="AC987" s="35"/>
      <c r="AD987" s="35"/>
      <c r="AE987" s="35"/>
      <c r="AF987" s="35"/>
      <c r="AG987" s="35"/>
      <c r="AH987" s="35"/>
      <c r="AI987" s="35"/>
      <c r="AJ987" s="35"/>
      <c r="AK987" s="35"/>
      <c r="AL987" s="35"/>
      <c r="AM987" s="35"/>
      <c r="AN987" s="35"/>
      <c r="AO987" s="35"/>
      <c r="AP987" s="35"/>
      <c r="AQ987" s="35"/>
      <c r="AR987" s="35"/>
      <c r="AS987" s="35"/>
      <c r="AT987" s="35"/>
      <c r="AU987" s="35"/>
      <c r="AV987" s="35"/>
      <c r="AW987" s="35"/>
      <c r="AX987" s="35"/>
    </row>
    <row r="988" ht="15.75" customHeight="1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  <c r="AC988" s="35"/>
      <c r="AD988" s="35"/>
      <c r="AE988" s="35"/>
      <c r="AF988" s="35"/>
      <c r="AG988" s="35"/>
      <c r="AH988" s="35"/>
      <c r="AI988" s="35"/>
      <c r="AJ988" s="35"/>
      <c r="AK988" s="35"/>
      <c r="AL988" s="35"/>
      <c r="AM988" s="35"/>
      <c r="AN988" s="35"/>
      <c r="AO988" s="35"/>
      <c r="AP988" s="35"/>
      <c r="AQ988" s="35"/>
      <c r="AR988" s="35"/>
      <c r="AS988" s="35"/>
      <c r="AT988" s="35"/>
      <c r="AU988" s="35"/>
      <c r="AV988" s="35"/>
      <c r="AW988" s="35"/>
      <c r="AX988" s="35"/>
    </row>
    <row r="989" ht="15.75" customHeight="1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  <c r="AC989" s="35"/>
      <c r="AD989" s="35"/>
      <c r="AE989" s="35"/>
      <c r="AF989" s="35"/>
      <c r="AG989" s="35"/>
      <c r="AH989" s="35"/>
      <c r="AI989" s="35"/>
      <c r="AJ989" s="35"/>
      <c r="AK989" s="35"/>
      <c r="AL989" s="35"/>
      <c r="AM989" s="35"/>
      <c r="AN989" s="35"/>
      <c r="AO989" s="35"/>
      <c r="AP989" s="35"/>
      <c r="AQ989" s="35"/>
      <c r="AR989" s="35"/>
      <c r="AS989" s="35"/>
      <c r="AT989" s="35"/>
      <c r="AU989" s="35"/>
      <c r="AV989" s="35"/>
      <c r="AW989" s="35"/>
      <c r="AX989" s="35"/>
    </row>
    <row r="990" ht="15.75" customHeight="1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  <c r="AB990" s="35"/>
      <c r="AC990" s="35"/>
      <c r="AD990" s="35"/>
      <c r="AE990" s="35"/>
      <c r="AF990" s="35"/>
      <c r="AG990" s="35"/>
      <c r="AH990" s="35"/>
      <c r="AI990" s="35"/>
      <c r="AJ990" s="35"/>
      <c r="AK990" s="35"/>
      <c r="AL990" s="35"/>
      <c r="AM990" s="35"/>
      <c r="AN990" s="35"/>
      <c r="AO990" s="35"/>
      <c r="AP990" s="35"/>
      <c r="AQ990" s="35"/>
      <c r="AR990" s="35"/>
      <c r="AS990" s="35"/>
      <c r="AT990" s="35"/>
      <c r="AU990" s="35"/>
      <c r="AV990" s="35"/>
      <c r="AW990" s="35"/>
      <c r="AX990" s="35"/>
    </row>
    <row r="991" ht="15.75" customHeight="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  <c r="AB991" s="35"/>
      <c r="AC991" s="35"/>
      <c r="AD991" s="35"/>
      <c r="AE991" s="35"/>
      <c r="AF991" s="35"/>
      <c r="AG991" s="35"/>
      <c r="AH991" s="35"/>
      <c r="AI991" s="35"/>
      <c r="AJ991" s="35"/>
      <c r="AK991" s="35"/>
      <c r="AL991" s="35"/>
      <c r="AM991" s="35"/>
      <c r="AN991" s="35"/>
      <c r="AO991" s="35"/>
      <c r="AP991" s="35"/>
      <c r="AQ991" s="35"/>
      <c r="AR991" s="35"/>
      <c r="AS991" s="35"/>
      <c r="AT991" s="35"/>
      <c r="AU991" s="35"/>
      <c r="AV991" s="35"/>
      <c r="AW991" s="35"/>
      <c r="AX991" s="35"/>
    </row>
    <row r="992" ht="15.75" customHeight="1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  <c r="AB992" s="35"/>
      <c r="AC992" s="35"/>
      <c r="AD992" s="35"/>
      <c r="AE992" s="35"/>
      <c r="AF992" s="35"/>
      <c r="AG992" s="35"/>
      <c r="AH992" s="35"/>
      <c r="AI992" s="35"/>
      <c r="AJ992" s="35"/>
      <c r="AK992" s="35"/>
      <c r="AL992" s="35"/>
      <c r="AM992" s="35"/>
      <c r="AN992" s="35"/>
      <c r="AO992" s="35"/>
      <c r="AP992" s="35"/>
      <c r="AQ992" s="35"/>
      <c r="AR992" s="35"/>
      <c r="AS992" s="35"/>
      <c r="AT992" s="35"/>
      <c r="AU992" s="35"/>
      <c r="AV992" s="35"/>
      <c r="AW992" s="35"/>
      <c r="AX992" s="35"/>
    </row>
    <row r="993" ht="15.75" customHeight="1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  <c r="AB993" s="35"/>
      <c r="AC993" s="35"/>
      <c r="AD993" s="35"/>
      <c r="AE993" s="35"/>
      <c r="AF993" s="35"/>
      <c r="AG993" s="35"/>
      <c r="AH993" s="35"/>
      <c r="AI993" s="35"/>
      <c r="AJ993" s="35"/>
      <c r="AK993" s="35"/>
      <c r="AL993" s="35"/>
      <c r="AM993" s="35"/>
      <c r="AN993" s="35"/>
      <c r="AO993" s="35"/>
      <c r="AP993" s="35"/>
      <c r="AQ993" s="35"/>
      <c r="AR993" s="35"/>
      <c r="AS993" s="35"/>
      <c r="AT993" s="35"/>
      <c r="AU993" s="35"/>
      <c r="AV993" s="35"/>
      <c r="AW993" s="35"/>
      <c r="AX993" s="35"/>
    </row>
    <row r="994" ht="15.75" customHeight="1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  <c r="AB994" s="35"/>
      <c r="AC994" s="35"/>
      <c r="AD994" s="35"/>
      <c r="AE994" s="35"/>
      <c r="AF994" s="35"/>
      <c r="AG994" s="35"/>
      <c r="AH994" s="35"/>
      <c r="AI994" s="35"/>
      <c r="AJ994" s="35"/>
      <c r="AK994" s="35"/>
      <c r="AL994" s="35"/>
      <c r="AM994" s="35"/>
      <c r="AN994" s="35"/>
      <c r="AO994" s="35"/>
      <c r="AP994" s="35"/>
      <c r="AQ994" s="35"/>
      <c r="AR994" s="35"/>
      <c r="AS994" s="35"/>
      <c r="AT994" s="35"/>
      <c r="AU994" s="35"/>
      <c r="AV994" s="35"/>
      <c r="AW994" s="35"/>
      <c r="AX994" s="35"/>
    </row>
    <row r="995" ht="15.75" customHeight="1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  <c r="AB995" s="35"/>
      <c r="AC995" s="35"/>
      <c r="AD995" s="35"/>
      <c r="AE995" s="35"/>
      <c r="AF995" s="35"/>
      <c r="AG995" s="35"/>
      <c r="AH995" s="35"/>
      <c r="AI995" s="35"/>
      <c r="AJ995" s="35"/>
      <c r="AK995" s="35"/>
      <c r="AL995" s="35"/>
      <c r="AM995" s="35"/>
      <c r="AN995" s="35"/>
      <c r="AO995" s="35"/>
      <c r="AP995" s="35"/>
      <c r="AQ995" s="35"/>
      <c r="AR995" s="35"/>
      <c r="AS995" s="35"/>
      <c r="AT995" s="35"/>
      <c r="AU995" s="35"/>
      <c r="AV995" s="35"/>
      <c r="AW995" s="35"/>
      <c r="AX995" s="35"/>
    </row>
    <row r="996" ht="15.75" customHeight="1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  <c r="AC996" s="35"/>
      <c r="AD996" s="35"/>
      <c r="AE996" s="35"/>
      <c r="AF996" s="35"/>
      <c r="AG996" s="35"/>
      <c r="AH996" s="35"/>
      <c r="AI996" s="35"/>
      <c r="AJ996" s="35"/>
      <c r="AK996" s="35"/>
      <c r="AL996" s="35"/>
      <c r="AM996" s="35"/>
      <c r="AN996" s="35"/>
      <c r="AO996" s="35"/>
      <c r="AP996" s="35"/>
      <c r="AQ996" s="35"/>
      <c r="AR996" s="35"/>
      <c r="AS996" s="35"/>
      <c r="AT996" s="35"/>
      <c r="AU996" s="35"/>
      <c r="AV996" s="35"/>
      <c r="AW996" s="35"/>
      <c r="AX996" s="35"/>
    </row>
    <row r="997" ht="15.75" customHeight="1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  <c r="AB997" s="35"/>
      <c r="AC997" s="35"/>
      <c r="AD997" s="35"/>
      <c r="AE997" s="35"/>
      <c r="AF997" s="35"/>
      <c r="AG997" s="35"/>
      <c r="AH997" s="35"/>
      <c r="AI997" s="35"/>
      <c r="AJ997" s="35"/>
      <c r="AK997" s="35"/>
      <c r="AL997" s="35"/>
      <c r="AM997" s="35"/>
      <c r="AN997" s="35"/>
      <c r="AO997" s="35"/>
      <c r="AP997" s="35"/>
      <c r="AQ997" s="35"/>
      <c r="AR997" s="35"/>
      <c r="AS997" s="35"/>
      <c r="AT997" s="35"/>
      <c r="AU997" s="35"/>
      <c r="AV997" s="35"/>
      <c r="AW997" s="35"/>
      <c r="AX997" s="35"/>
    </row>
    <row r="998" ht="15.75" customHeight="1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  <c r="AB998" s="35"/>
      <c r="AC998" s="35"/>
      <c r="AD998" s="35"/>
      <c r="AE998" s="35"/>
      <c r="AF998" s="35"/>
      <c r="AG998" s="35"/>
      <c r="AH998" s="35"/>
      <c r="AI998" s="35"/>
      <c r="AJ998" s="35"/>
      <c r="AK998" s="35"/>
      <c r="AL998" s="35"/>
      <c r="AM998" s="35"/>
      <c r="AN998" s="35"/>
      <c r="AO998" s="35"/>
      <c r="AP998" s="35"/>
      <c r="AQ998" s="35"/>
      <c r="AR998" s="35"/>
      <c r="AS998" s="35"/>
      <c r="AT998" s="35"/>
      <c r="AU998" s="35"/>
      <c r="AV998" s="35"/>
      <c r="AW998" s="35"/>
      <c r="AX998" s="35"/>
    </row>
    <row r="999" ht="15.75" customHeight="1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  <c r="AA999" s="35"/>
      <c r="AB999" s="35"/>
      <c r="AC999" s="35"/>
      <c r="AD999" s="35"/>
      <c r="AE999" s="35"/>
      <c r="AF999" s="35"/>
      <c r="AG999" s="35"/>
      <c r="AH999" s="35"/>
      <c r="AI999" s="35"/>
      <c r="AJ999" s="35"/>
      <c r="AK999" s="35"/>
      <c r="AL999" s="35"/>
      <c r="AM999" s="35"/>
      <c r="AN999" s="35"/>
      <c r="AO999" s="35"/>
      <c r="AP999" s="35"/>
      <c r="AQ999" s="35"/>
      <c r="AR999" s="35"/>
      <c r="AS999" s="35"/>
      <c r="AT999" s="35"/>
      <c r="AU999" s="35"/>
      <c r="AV999" s="35"/>
      <c r="AW999" s="35"/>
      <c r="AX999" s="35"/>
    </row>
    <row r="1000" ht="15.75" customHeight="1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  <c r="AA1000" s="35"/>
      <c r="AB1000" s="35"/>
      <c r="AC1000" s="35"/>
      <c r="AD1000" s="35"/>
      <c r="AE1000" s="35"/>
      <c r="AF1000" s="35"/>
      <c r="AG1000" s="35"/>
      <c r="AH1000" s="35"/>
      <c r="AI1000" s="35"/>
      <c r="AJ1000" s="35"/>
      <c r="AK1000" s="35"/>
      <c r="AL1000" s="35"/>
      <c r="AM1000" s="35"/>
      <c r="AN1000" s="35"/>
      <c r="AO1000" s="35"/>
      <c r="AP1000" s="35"/>
      <c r="AQ1000" s="35"/>
      <c r="AR1000" s="35"/>
      <c r="AS1000" s="35"/>
      <c r="AT1000" s="35"/>
      <c r="AU1000" s="35"/>
      <c r="AV1000" s="35"/>
      <c r="AW1000" s="35"/>
      <c r="AX1000" s="3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2.25"/>
    <col customWidth="1" min="4" max="4" width="11.88"/>
    <col customWidth="1" min="5" max="6" width="12.63"/>
    <col customWidth="1" min="7" max="7" width="12.25"/>
    <col customWidth="1" min="8" max="8" width="20.0"/>
  </cols>
  <sheetData>
    <row r="1" ht="15.75" customHeight="1">
      <c r="A1" s="36" t="s">
        <v>0</v>
      </c>
      <c r="B1" s="36" t="s">
        <v>1</v>
      </c>
      <c r="C1" s="36" t="s">
        <v>2</v>
      </c>
      <c r="D1" s="36" t="s">
        <v>314</v>
      </c>
      <c r="E1" s="36" t="s">
        <v>315</v>
      </c>
      <c r="F1" s="36" t="s">
        <v>316</v>
      </c>
      <c r="G1" s="1" t="s">
        <v>317</v>
      </c>
      <c r="H1" s="37" t="s">
        <v>318</v>
      </c>
      <c r="I1" s="38" t="s">
        <v>319</v>
      </c>
      <c r="J1" s="37" t="s">
        <v>320</v>
      </c>
      <c r="K1" s="38" t="s">
        <v>321</v>
      </c>
      <c r="L1" s="37" t="s">
        <v>322</v>
      </c>
      <c r="M1" s="38" t="s">
        <v>323</v>
      </c>
      <c r="N1" s="39" t="s">
        <v>324</v>
      </c>
      <c r="O1" s="40" t="s">
        <v>14</v>
      </c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 ht="15.75" hidden="1" customHeight="1">
      <c r="A2" s="5">
        <v>1155.0</v>
      </c>
      <c r="B2" s="8" t="s">
        <v>48</v>
      </c>
      <c r="C2" s="5" t="str">
        <f t="shared" ref="C2:C41" si="1">CONCATENATE(D2,"_",E2)</f>
        <v>ADTV-PMP-01_POWERMS</v>
      </c>
      <c r="D2" s="7" t="s">
        <v>325</v>
      </c>
      <c r="E2" s="7" t="s">
        <v>326</v>
      </c>
      <c r="F2" s="7" t="s">
        <v>327</v>
      </c>
      <c r="G2" s="6"/>
      <c r="H2" s="41" t="s">
        <v>328</v>
      </c>
      <c r="I2" s="41">
        <v>1.0</v>
      </c>
      <c r="J2" s="41" t="s">
        <v>329</v>
      </c>
      <c r="K2" s="41">
        <v>0.0</v>
      </c>
      <c r="L2" s="41" t="s">
        <v>330</v>
      </c>
      <c r="M2" s="41">
        <v>0.0</v>
      </c>
      <c r="N2" s="41" t="s">
        <v>331</v>
      </c>
      <c r="O2" s="41">
        <v>0.0</v>
      </c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15.75" hidden="1" customHeight="1">
      <c r="A3" s="5">
        <v>1155.0</v>
      </c>
      <c r="B3" s="8" t="s">
        <v>48</v>
      </c>
      <c r="C3" s="5" t="str">
        <f t="shared" si="1"/>
        <v>ADTV-PMP-02_POWERMS</v>
      </c>
      <c r="D3" s="7" t="s">
        <v>332</v>
      </c>
      <c r="E3" s="7" t="s">
        <v>326</v>
      </c>
      <c r="F3" s="7" t="s">
        <v>327</v>
      </c>
      <c r="G3" s="17"/>
      <c r="H3" s="42" t="s">
        <v>333</v>
      </c>
      <c r="I3" s="42">
        <v>1.0</v>
      </c>
      <c r="J3" s="42" t="s">
        <v>334</v>
      </c>
      <c r="K3" s="42">
        <v>0.0</v>
      </c>
      <c r="L3" s="42" t="s">
        <v>335</v>
      </c>
      <c r="M3" s="42">
        <v>0.0</v>
      </c>
      <c r="N3" s="42" t="s">
        <v>336</v>
      </c>
      <c r="O3" s="42">
        <v>0.0</v>
      </c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15.75" hidden="1" customHeight="1">
      <c r="A4" s="5">
        <v>1155.0</v>
      </c>
      <c r="B4" s="8" t="s">
        <v>48</v>
      </c>
      <c r="C4" s="5" t="str">
        <f t="shared" si="1"/>
        <v>ADTV-PMP-03_TURBOHSD</v>
      </c>
      <c r="D4" s="7" t="s">
        <v>337</v>
      </c>
      <c r="E4" s="7" t="s">
        <v>338</v>
      </c>
      <c r="F4" s="7" t="s">
        <v>327</v>
      </c>
      <c r="G4" s="17"/>
      <c r="H4" s="42" t="s">
        <v>339</v>
      </c>
      <c r="I4" s="42">
        <v>1.0</v>
      </c>
      <c r="J4" s="42" t="s">
        <v>340</v>
      </c>
      <c r="K4" s="42">
        <v>0.0</v>
      </c>
      <c r="L4" s="42" t="s">
        <v>341</v>
      </c>
      <c r="M4" s="42">
        <v>0.0</v>
      </c>
      <c r="N4" s="42" t="s">
        <v>342</v>
      </c>
      <c r="O4" s="42">
        <v>0.0</v>
      </c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15.75" hidden="1" customHeight="1">
      <c r="A5" s="5">
        <v>1155.0</v>
      </c>
      <c r="B5" s="8" t="s">
        <v>48</v>
      </c>
      <c r="C5" s="5" t="str">
        <f t="shared" si="1"/>
        <v>ADTV-PMP-04_TURBOHSD</v>
      </c>
      <c r="D5" s="7" t="s">
        <v>343</v>
      </c>
      <c r="E5" s="7" t="s">
        <v>338</v>
      </c>
      <c r="F5" s="7" t="s">
        <v>327</v>
      </c>
      <c r="G5" s="17"/>
      <c r="H5" s="42" t="s">
        <v>344</v>
      </c>
      <c r="I5" s="42">
        <v>1.0</v>
      </c>
      <c r="J5" s="42" t="s">
        <v>345</v>
      </c>
      <c r="K5" s="42">
        <v>0.0</v>
      </c>
      <c r="L5" s="42" t="s">
        <v>346</v>
      </c>
      <c r="M5" s="42">
        <v>0.0</v>
      </c>
      <c r="N5" s="42" t="s">
        <v>347</v>
      </c>
      <c r="O5" s="42">
        <v>0.0</v>
      </c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15.75" hidden="1" customHeight="1">
      <c r="A6" s="5">
        <v>1155.0</v>
      </c>
      <c r="B6" s="8" t="s">
        <v>48</v>
      </c>
      <c r="C6" s="5" t="str">
        <f t="shared" si="1"/>
        <v>ADTV-PMP-05_BLUE DYE</v>
      </c>
      <c r="D6" s="7" t="s">
        <v>348</v>
      </c>
      <c r="E6" s="7" t="s">
        <v>349</v>
      </c>
      <c r="F6" s="7" t="s">
        <v>327</v>
      </c>
      <c r="G6" s="17"/>
      <c r="H6" s="42" t="s">
        <v>350</v>
      </c>
      <c r="I6" s="42">
        <v>1.0</v>
      </c>
      <c r="J6" s="42" t="s">
        <v>351</v>
      </c>
      <c r="K6" s="42">
        <v>0.0</v>
      </c>
      <c r="L6" s="42" t="s">
        <v>352</v>
      </c>
      <c r="M6" s="42">
        <v>0.0</v>
      </c>
      <c r="N6" s="42" t="s">
        <v>353</v>
      </c>
      <c r="O6" s="42">
        <v>0.0</v>
      </c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15.75" hidden="1" customHeight="1">
      <c r="A7" s="5">
        <v>1155.0</v>
      </c>
      <c r="B7" s="8" t="s">
        <v>48</v>
      </c>
      <c r="C7" s="5" t="str">
        <f t="shared" si="1"/>
        <v>ADTV-PMP-06_BLUE DYE</v>
      </c>
      <c r="D7" s="7" t="s">
        <v>354</v>
      </c>
      <c r="E7" s="7" t="s">
        <v>349</v>
      </c>
      <c r="F7" s="7" t="s">
        <v>327</v>
      </c>
      <c r="G7" s="17"/>
      <c r="H7" s="42" t="s">
        <v>355</v>
      </c>
      <c r="I7" s="42">
        <v>1.0</v>
      </c>
      <c r="J7" s="42" t="s">
        <v>356</v>
      </c>
      <c r="K7" s="42">
        <v>0.0</v>
      </c>
      <c r="L7" s="42" t="s">
        <v>357</v>
      </c>
      <c r="M7" s="42">
        <v>0.0</v>
      </c>
      <c r="N7" s="42" t="s">
        <v>358</v>
      </c>
      <c r="O7" s="42">
        <v>0.0</v>
      </c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15.75" hidden="1" customHeight="1">
      <c r="A8" s="5">
        <v>1155.0</v>
      </c>
      <c r="B8" s="8" t="s">
        <v>48</v>
      </c>
      <c r="C8" s="5" t="str">
        <f t="shared" si="1"/>
        <v>PMP-01_BS VI HSD</v>
      </c>
      <c r="D8" s="7" t="s">
        <v>359</v>
      </c>
      <c r="E8" s="7" t="s">
        <v>116</v>
      </c>
      <c r="F8" s="7" t="s">
        <v>327</v>
      </c>
      <c r="G8" s="17"/>
      <c r="H8" s="42" t="s">
        <v>360</v>
      </c>
      <c r="I8" s="42">
        <v>1.0</v>
      </c>
      <c r="J8" s="42" t="s">
        <v>361</v>
      </c>
      <c r="K8" s="42">
        <v>0.0</v>
      </c>
      <c r="L8" s="42" t="s">
        <v>362</v>
      </c>
      <c r="M8" s="42">
        <v>0.0</v>
      </c>
      <c r="N8" s="42" t="s">
        <v>363</v>
      </c>
      <c r="O8" s="42">
        <v>0.0</v>
      </c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15.75" hidden="1" customHeight="1">
      <c r="A9" s="5">
        <v>1155.0</v>
      </c>
      <c r="B9" s="8" t="s">
        <v>48</v>
      </c>
      <c r="C9" s="5" t="str">
        <f t="shared" si="1"/>
        <v>PMP-02_BS VI HSD</v>
      </c>
      <c r="D9" s="7" t="s">
        <v>364</v>
      </c>
      <c r="E9" s="7" t="s">
        <v>116</v>
      </c>
      <c r="F9" s="7" t="s">
        <v>327</v>
      </c>
      <c r="G9" s="17"/>
      <c r="H9" s="42" t="s">
        <v>365</v>
      </c>
      <c r="I9" s="42">
        <v>1.0</v>
      </c>
      <c r="J9" s="42" t="s">
        <v>366</v>
      </c>
      <c r="K9" s="42">
        <v>0.0</v>
      </c>
      <c r="L9" s="42" t="s">
        <v>367</v>
      </c>
      <c r="M9" s="42">
        <v>0.0</v>
      </c>
      <c r="N9" s="42" t="s">
        <v>368</v>
      </c>
      <c r="O9" s="42">
        <v>0.0</v>
      </c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15.75" hidden="1" customHeight="1">
      <c r="A10" s="5">
        <v>1155.0</v>
      </c>
      <c r="B10" s="8" t="s">
        <v>48</v>
      </c>
      <c r="C10" s="5" t="str">
        <f t="shared" si="1"/>
        <v>PMP-03_BS VI HSD</v>
      </c>
      <c r="D10" s="7" t="s">
        <v>369</v>
      </c>
      <c r="E10" s="7" t="s">
        <v>116</v>
      </c>
      <c r="F10" s="7" t="s">
        <v>327</v>
      </c>
      <c r="G10" s="17"/>
      <c r="H10" s="42" t="s">
        <v>370</v>
      </c>
      <c r="I10" s="42">
        <v>1.0</v>
      </c>
      <c r="J10" s="42" t="s">
        <v>371</v>
      </c>
      <c r="K10" s="42">
        <v>0.0</v>
      </c>
      <c r="L10" s="42" t="s">
        <v>372</v>
      </c>
      <c r="M10" s="42">
        <v>0.0</v>
      </c>
      <c r="N10" s="42" t="s">
        <v>373</v>
      </c>
      <c r="O10" s="42">
        <v>0.0</v>
      </c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15.75" hidden="1" customHeight="1">
      <c r="A11" s="5">
        <v>1155.0</v>
      </c>
      <c r="B11" s="8" t="s">
        <v>48</v>
      </c>
      <c r="C11" s="5" t="str">
        <f t="shared" si="1"/>
        <v>PMP-04_BS VI MS</v>
      </c>
      <c r="D11" s="7" t="s">
        <v>374</v>
      </c>
      <c r="E11" s="7" t="s">
        <v>50</v>
      </c>
      <c r="F11" s="7" t="s">
        <v>327</v>
      </c>
      <c r="G11" s="17"/>
      <c r="H11" s="42" t="s">
        <v>375</v>
      </c>
      <c r="I11" s="42">
        <v>1.0</v>
      </c>
      <c r="J11" s="42" t="s">
        <v>376</v>
      </c>
      <c r="K11" s="42">
        <v>0.0</v>
      </c>
      <c r="L11" s="42" t="s">
        <v>377</v>
      </c>
      <c r="M11" s="42">
        <v>0.0</v>
      </c>
      <c r="N11" s="42" t="s">
        <v>378</v>
      </c>
      <c r="O11" s="42">
        <v>0.0</v>
      </c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15.75" hidden="1" customHeight="1">
      <c r="A12" s="5">
        <v>1155.0</v>
      </c>
      <c r="B12" s="8" t="s">
        <v>48</v>
      </c>
      <c r="C12" s="5" t="str">
        <f t="shared" si="1"/>
        <v>PMP-05_BS VI MS</v>
      </c>
      <c r="D12" s="7" t="s">
        <v>379</v>
      </c>
      <c r="E12" s="7" t="s">
        <v>50</v>
      </c>
      <c r="F12" s="7" t="s">
        <v>327</v>
      </c>
      <c r="G12" s="17"/>
      <c r="H12" s="42" t="s">
        <v>380</v>
      </c>
      <c r="I12" s="42">
        <v>1.0</v>
      </c>
      <c r="J12" s="42" t="s">
        <v>381</v>
      </c>
      <c r="K12" s="42">
        <v>0.0</v>
      </c>
      <c r="L12" s="42" t="s">
        <v>382</v>
      </c>
      <c r="M12" s="42">
        <v>0.0</v>
      </c>
      <c r="N12" s="42" t="s">
        <v>383</v>
      </c>
      <c r="O12" s="42">
        <v>0.0</v>
      </c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15.75" hidden="1" customHeight="1">
      <c r="A13" s="5">
        <v>1155.0</v>
      </c>
      <c r="B13" s="8" t="s">
        <v>48</v>
      </c>
      <c r="C13" s="5" t="str">
        <f t="shared" si="1"/>
        <v>PMP-06_BS VI MS</v>
      </c>
      <c r="D13" s="7" t="s">
        <v>384</v>
      </c>
      <c r="E13" s="7" t="s">
        <v>50</v>
      </c>
      <c r="F13" s="7" t="s">
        <v>327</v>
      </c>
      <c r="G13" s="17"/>
      <c r="H13" s="42" t="s">
        <v>385</v>
      </c>
      <c r="I13" s="42">
        <v>1.0</v>
      </c>
      <c r="J13" s="42" t="s">
        <v>386</v>
      </c>
      <c r="K13" s="42">
        <v>0.0</v>
      </c>
      <c r="L13" s="42" t="s">
        <v>387</v>
      </c>
      <c r="M13" s="42">
        <v>0.0</v>
      </c>
      <c r="N13" s="42" t="s">
        <v>388</v>
      </c>
      <c r="O13" s="42">
        <v>0.0</v>
      </c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15.75" hidden="1" customHeight="1">
      <c r="A14" s="5">
        <v>1155.0</v>
      </c>
      <c r="B14" s="8" t="s">
        <v>48</v>
      </c>
      <c r="C14" s="5" t="str">
        <f t="shared" si="1"/>
        <v>PMP-07_BS VI HSD</v>
      </c>
      <c r="D14" s="7" t="s">
        <v>389</v>
      </c>
      <c r="E14" s="7" t="s">
        <v>116</v>
      </c>
      <c r="F14" s="7" t="s">
        <v>327</v>
      </c>
      <c r="G14" s="17"/>
      <c r="H14" s="42" t="s">
        <v>390</v>
      </c>
      <c r="I14" s="42">
        <v>1.0</v>
      </c>
      <c r="J14" s="42" t="s">
        <v>391</v>
      </c>
      <c r="K14" s="42">
        <v>0.0</v>
      </c>
      <c r="L14" s="42" t="s">
        <v>392</v>
      </c>
      <c r="M14" s="42">
        <v>0.0</v>
      </c>
      <c r="N14" s="42" t="s">
        <v>393</v>
      </c>
      <c r="O14" s="42">
        <v>0.0</v>
      </c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15.75" hidden="1" customHeight="1">
      <c r="A15" s="5">
        <v>1155.0</v>
      </c>
      <c r="B15" s="8" t="s">
        <v>48</v>
      </c>
      <c r="C15" s="5" t="str">
        <f t="shared" si="1"/>
        <v>PMP-08_BS VI HSD</v>
      </c>
      <c r="D15" s="7" t="s">
        <v>394</v>
      </c>
      <c r="E15" s="7" t="s">
        <v>116</v>
      </c>
      <c r="F15" s="7" t="s">
        <v>327</v>
      </c>
      <c r="G15" s="17"/>
      <c r="H15" s="42" t="s">
        <v>395</v>
      </c>
      <c r="I15" s="42">
        <v>1.0</v>
      </c>
      <c r="J15" s="42" t="s">
        <v>396</v>
      </c>
      <c r="K15" s="42">
        <v>0.0</v>
      </c>
      <c r="L15" s="42" t="s">
        <v>397</v>
      </c>
      <c r="M15" s="42">
        <v>0.0</v>
      </c>
      <c r="N15" s="42" t="s">
        <v>398</v>
      </c>
      <c r="O15" s="42">
        <v>0.0</v>
      </c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15.75" hidden="1" customHeight="1">
      <c r="A16" s="5">
        <v>1155.0</v>
      </c>
      <c r="B16" s="8" t="s">
        <v>48</v>
      </c>
      <c r="C16" s="5" t="str">
        <f t="shared" si="1"/>
        <v>PMP-09_BS VI HSD</v>
      </c>
      <c r="D16" s="7" t="s">
        <v>399</v>
      </c>
      <c r="E16" s="7" t="s">
        <v>116</v>
      </c>
      <c r="F16" s="7" t="s">
        <v>327</v>
      </c>
      <c r="G16" s="17"/>
      <c r="H16" s="42" t="s">
        <v>400</v>
      </c>
      <c r="I16" s="42">
        <v>1.0</v>
      </c>
      <c r="J16" s="42" t="s">
        <v>401</v>
      </c>
      <c r="K16" s="42">
        <v>0.0</v>
      </c>
      <c r="L16" s="42" t="s">
        <v>402</v>
      </c>
      <c r="M16" s="42">
        <v>0.0</v>
      </c>
      <c r="N16" s="42" t="s">
        <v>403</v>
      </c>
      <c r="O16" s="42">
        <v>0.0</v>
      </c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15.75" hidden="1" customHeight="1">
      <c r="A17" s="5">
        <v>1155.0</v>
      </c>
      <c r="B17" s="8" t="s">
        <v>48</v>
      </c>
      <c r="C17" s="5" t="str">
        <f t="shared" si="1"/>
        <v>PMP-10_BS VI HSD</v>
      </c>
      <c r="D17" s="7" t="s">
        <v>404</v>
      </c>
      <c r="E17" s="7" t="s">
        <v>116</v>
      </c>
      <c r="F17" s="7" t="s">
        <v>327</v>
      </c>
      <c r="G17" s="17"/>
      <c r="H17" s="42" t="s">
        <v>405</v>
      </c>
      <c r="I17" s="42">
        <v>1.0</v>
      </c>
      <c r="J17" s="42" t="s">
        <v>406</v>
      </c>
      <c r="K17" s="42">
        <v>0.0</v>
      </c>
      <c r="L17" s="42" t="s">
        <v>407</v>
      </c>
      <c r="M17" s="42">
        <v>0.0</v>
      </c>
      <c r="N17" s="42" t="s">
        <v>408</v>
      </c>
      <c r="O17" s="42">
        <v>0.0</v>
      </c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15.75" hidden="1" customHeight="1">
      <c r="A18" s="5">
        <v>1155.0</v>
      </c>
      <c r="B18" s="8" t="s">
        <v>48</v>
      </c>
      <c r="C18" s="5" t="str">
        <f t="shared" si="1"/>
        <v>PMP-11_BS VI MS</v>
      </c>
      <c r="D18" s="7" t="s">
        <v>409</v>
      </c>
      <c r="E18" s="7" t="s">
        <v>50</v>
      </c>
      <c r="F18" s="7" t="s">
        <v>327</v>
      </c>
      <c r="G18" s="17"/>
      <c r="H18" s="42" t="s">
        <v>410</v>
      </c>
      <c r="I18" s="42">
        <v>1.0</v>
      </c>
      <c r="J18" s="42" t="s">
        <v>411</v>
      </c>
      <c r="K18" s="42">
        <v>0.0</v>
      </c>
      <c r="L18" s="42" t="s">
        <v>412</v>
      </c>
      <c r="M18" s="42">
        <v>0.0</v>
      </c>
      <c r="N18" s="42" t="s">
        <v>413</v>
      </c>
      <c r="O18" s="42">
        <v>0.0</v>
      </c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15.75" hidden="1" customHeight="1">
      <c r="A19" s="5">
        <v>1155.0</v>
      </c>
      <c r="B19" s="8" t="s">
        <v>48</v>
      </c>
      <c r="C19" s="5" t="str">
        <f t="shared" si="1"/>
        <v>PMP-12_BS VI MS</v>
      </c>
      <c r="D19" s="7" t="s">
        <v>414</v>
      </c>
      <c r="E19" s="7" t="s">
        <v>50</v>
      </c>
      <c r="F19" s="7" t="s">
        <v>327</v>
      </c>
      <c r="G19" s="17"/>
      <c r="H19" s="42" t="s">
        <v>415</v>
      </c>
      <c r="I19" s="42">
        <v>1.0</v>
      </c>
      <c r="J19" s="42" t="s">
        <v>416</v>
      </c>
      <c r="K19" s="42">
        <v>0.0</v>
      </c>
      <c r="L19" s="42" t="s">
        <v>417</v>
      </c>
      <c r="M19" s="42">
        <v>0.0</v>
      </c>
      <c r="N19" s="42" t="s">
        <v>418</v>
      </c>
      <c r="O19" s="42">
        <v>0.0</v>
      </c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15.75" hidden="1" customHeight="1">
      <c r="A20" s="5">
        <v>1155.0</v>
      </c>
      <c r="B20" s="8" t="s">
        <v>48</v>
      </c>
      <c r="C20" s="5" t="str">
        <f t="shared" si="1"/>
        <v>PMP-13_BS VI MS</v>
      </c>
      <c r="D20" s="7" t="s">
        <v>419</v>
      </c>
      <c r="E20" s="7" t="s">
        <v>50</v>
      </c>
      <c r="F20" s="7" t="s">
        <v>327</v>
      </c>
      <c r="G20" s="17"/>
      <c r="H20" s="42" t="s">
        <v>420</v>
      </c>
      <c r="I20" s="42">
        <v>1.0</v>
      </c>
      <c r="J20" s="42" t="s">
        <v>421</v>
      </c>
      <c r="K20" s="42">
        <v>0.0</v>
      </c>
      <c r="L20" s="42" t="s">
        <v>422</v>
      </c>
      <c r="M20" s="42">
        <v>0.0</v>
      </c>
      <c r="N20" s="42" t="s">
        <v>423</v>
      </c>
      <c r="O20" s="42">
        <v>0.0</v>
      </c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15.75" hidden="1" customHeight="1">
      <c r="A21" s="5">
        <v>1155.0</v>
      </c>
      <c r="B21" s="8" t="s">
        <v>48</v>
      </c>
      <c r="C21" s="5" t="str">
        <f t="shared" si="1"/>
        <v>PMP-14_BS VI MS</v>
      </c>
      <c r="D21" s="7" t="s">
        <v>424</v>
      </c>
      <c r="E21" s="7" t="s">
        <v>50</v>
      </c>
      <c r="F21" s="7" t="s">
        <v>327</v>
      </c>
      <c r="G21" s="17"/>
      <c r="H21" s="42" t="s">
        <v>425</v>
      </c>
      <c r="I21" s="42">
        <v>1.0</v>
      </c>
      <c r="J21" s="42" t="s">
        <v>426</v>
      </c>
      <c r="K21" s="42">
        <v>0.0</v>
      </c>
      <c r="L21" s="42" t="s">
        <v>427</v>
      </c>
      <c r="M21" s="42">
        <v>0.0</v>
      </c>
      <c r="N21" s="42" t="s">
        <v>428</v>
      </c>
      <c r="O21" s="42">
        <v>0.0</v>
      </c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15.75" hidden="1" customHeight="1">
      <c r="A22" s="5">
        <v>1155.0</v>
      </c>
      <c r="B22" s="8" t="s">
        <v>48</v>
      </c>
      <c r="C22" s="5" t="str">
        <f t="shared" si="1"/>
        <v>PMP-15_BS VI HSD</v>
      </c>
      <c r="D22" s="7" t="s">
        <v>429</v>
      </c>
      <c r="E22" s="7" t="s">
        <v>116</v>
      </c>
      <c r="F22" s="7" t="s">
        <v>327</v>
      </c>
      <c r="G22" s="17"/>
      <c r="H22" s="42" t="s">
        <v>430</v>
      </c>
      <c r="I22" s="42">
        <v>1.0</v>
      </c>
      <c r="J22" s="42" t="s">
        <v>431</v>
      </c>
      <c r="K22" s="42">
        <v>0.0</v>
      </c>
      <c r="L22" s="42" t="s">
        <v>432</v>
      </c>
      <c r="M22" s="42">
        <v>0.0</v>
      </c>
      <c r="N22" s="42" t="s">
        <v>433</v>
      </c>
      <c r="O22" s="42">
        <v>0.0</v>
      </c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15.75" hidden="1" customHeight="1">
      <c r="A23" s="5">
        <v>1155.0</v>
      </c>
      <c r="B23" s="8" t="s">
        <v>48</v>
      </c>
      <c r="C23" s="5" t="str">
        <f t="shared" si="1"/>
        <v>PMP-16_BS VI HSD</v>
      </c>
      <c r="D23" s="7" t="s">
        <v>434</v>
      </c>
      <c r="E23" s="7" t="s">
        <v>116</v>
      </c>
      <c r="F23" s="7" t="s">
        <v>327</v>
      </c>
      <c r="G23" s="17"/>
      <c r="H23" s="42" t="s">
        <v>435</v>
      </c>
      <c r="I23" s="42">
        <v>1.0</v>
      </c>
      <c r="J23" s="42" t="s">
        <v>436</v>
      </c>
      <c r="K23" s="42">
        <v>0.0</v>
      </c>
      <c r="L23" s="42" t="s">
        <v>437</v>
      </c>
      <c r="M23" s="42">
        <v>0.0</v>
      </c>
      <c r="N23" s="42" t="s">
        <v>438</v>
      </c>
      <c r="O23" s="42">
        <v>0.0</v>
      </c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15.75" hidden="1" customHeight="1">
      <c r="A24" s="5">
        <v>1155.0</v>
      </c>
      <c r="B24" s="8" t="s">
        <v>48</v>
      </c>
      <c r="C24" s="5" t="str">
        <f t="shared" si="1"/>
        <v>PMP-17_ETHANOL</v>
      </c>
      <c r="D24" s="7" t="s">
        <v>439</v>
      </c>
      <c r="E24" s="7" t="s">
        <v>63</v>
      </c>
      <c r="F24" s="7" t="s">
        <v>327</v>
      </c>
      <c r="G24" s="17"/>
      <c r="H24" s="42" t="s">
        <v>440</v>
      </c>
      <c r="I24" s="42">
        <v>1.0</v>
      </c>
      <c r="J24" s="42" t="s">
        <v>441</v>
      </c>
      <c r="K24" s="42">
        <v>0.0</v>
      </c>
      <c r="L24" s="42" t="s">
        <v>442</v>
      </c>
      <c r="M24" s="42">
        <v>0.0</v>
      </c>
      <c r="N24" s="42" t="s">
        <v>443</v>
      </c>
      <c r="O24" s="42">
        <v>0.0</v>
      </c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15.75" hidden="1" customHeight="1">
      <c r="A25" s="5">
        <v>1155.0</v>
      </c>
      <c r="B25" s="8" t="s">
        <v>48</v>
      </c>
      <c r="C25" s="5" t="str">
        <f t="shared" si="1"/>
        <v>PMP-18_ETHANOL</v>
      </c>
      <c r="D25" s="7" t="s">
        <v>444</v>
      </c>
      <c r="E25" s="7" t="s">
        <v>63</v>
      </c>
      <c r="F25" s="7" t="s">
        <v>327</v>
      </c>
      <c r="G25" s="17"/>
      <c r="H25" s="42" t="s">
        <v>445</v>
      </c>
      <c r="I25" s="42">
        <v>1.0</v>
      </c>
      <c r="J25" s="42" t="s">
        <v>446</v>
      </c>
      <c r="K25" s="42">
        <v>0.0</v>
      </c>
      <c r="L25" s="42" t="s">
        <v>447</v>
      </c>
      <c r="M25" s="42">
        <v>0.0</v>
      </c>
      <c r="N25" s="42" t="s">
        <v>448</v>
      </c>
      <c r="O25" s="42">
        <v>0.0</v>
      </c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15.75" customHeight="1">
      <c r="A26" s="5">
        <v>1155.0</v>
      </c>
      <c r="B26" s="8" t="s">
        <v>48</v>
      </c>
      <c r="C26" s="5" t="str">
        <f t="shared" si="1"/>
        <v>PMP-19_BS VI HSD</v>
      </c>
      <c r="D26" s="7" t="s">
        <v>449</v>
      </c>
      <c r="E26" s="7" t="s">
        <v>116</v>
      </c>
      <c r="F26" s="7" t="s">
        <v>450</v>
      </c>
      <c r="G26" s="17"/>
      <c r="H26" s="42" t="s">
        <v>451</v>
      </c>
      <c r="I26" s="42">
        <v>1.0</v>
      </c>
      <c r="J26" s="42" t="s">
        <v>452</v>
      </c>
      <c r="K26" s="42">
        <v>0.0</v>
      </c>
      <c r="L26" s="42" t="s">
        <v>453</v>
      </c>
      <c r="M26" s="42">
        <v>0.0</v>
      </c>
      <c r="N26" s="42" t="s">
        <v>454</v>
      </c>
      <c r="O26" s="42">
        <v>0.0</v>
      </c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15.75" customHeight="1">
      <c r="A27" s="5">
        <v>1155.0</v>
      </c>
      <c r="B27" s="8" t="s">
        <v>48</v>
      </c>
      <c r="C27" s="5" t="str">
        <f t="shared" si="1"/>
        <v>PMP-20_BS VI HSD</v>
      </c>
      <c r="D27" s="7" t="s">
        <v>455</v>
      </c>
      <c r="E27" s="7" t="s">
        <v>116</v>
      </c>
      <c r="F27" s="7" t="s">
        <v>450</v>
      </c>
      <c r="G27" s="17"/>
      <c r="H27" s="42" t="s">
        <v>456</v>
      </c>
      <c r="I27" s="42">
        <v>1.0</v>
      </c>
      <c r="J27" s="42" t="s">
        <v>457</v>
      </c>
      <c r="K27" s="42">
        <v>0.0</v>
      </c>
      <c r="L27" s="42" t="s">
        <v>458</v>
      </c>
      <c r="M27" s="42">
        <v>0.0</v>
      </c>
      <c r="N27" s="42" t="s">
        <v>459</v>
      </c>
      <c r="O27" s="42">
        <v>0.0</v>
      </c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15.75" customHeight="1">
      <c r="A28" s="5">
        <v>1155.0</v>
      </c>
      <c r="B28" s="8" t="s">
        <v>48</v>
      </c>
      <c r="C28" s="5" t="str">
        <f t="shared" si="1"/>
        <v>PMP-21_BS IV HSD</v>
      </c>
      <c r="D28" s="7" t="s">
        <v>460</v>
      </c>
      <c r="E28" s="7" t="s">
        <v>461</v>
      </c>
      <c r="F28" s="7" t="s">
        <v>450</v>
      </c>
      <c r="G28" s="17"/>
      <c r="H28" s="42" t="s">
        <v>462</v>
      </c>
      <c r="I28" s="42">
        <v>1.0</v>
      </c>
      <c r="J28" s="42" t="s">
        <v>463</v>
      </c>
      <c r="K28" s="42">
        <v>0.0</v>
      </c>
      <c r="L28" s="42" t="s">
        <v>464</v>
      </c>
      <c r="M28" s="42">
        <v>0.0</v>
      </c>
      <c r="N28" s="42" t="s">
        <v>465</v>
      </c>
      <c r="O28" s="42">
        <v>0.0</v>
      </c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15.75" customHeight="1">
      <c r="A29" s="5">
        <v>1155.0</v>
      </c>
      <c r="B29" s="8" t="s">
        <v>48</v>
      </c>
      <c r="C29" s="5" t="str">
        <f t="shared" si="1"/>
        <v>PMP-22_BS VI MS</v>
      </c>
      <c r="D29" s="7" t="s">
        <v>466</v>
      </c>
      <c r="E29" s="7" t="s">
        <v>50</v>
      </c>
      <c r="F29" s="7" t="s">
        <v>450</v>
      </c>
      <c r="G29" s="17"/>
      <c r="H29" s="42" t="s">
        <v>467</v>
      </c>
      <c r="I29" s="42">
        <v>1.0</v>
      </c>
      <c r="J29" s="42" t="s">
        <v>468</v>
      </c>
      <c r="K29" s="42">
        <v>0.0</v>
      </c>
      <c r="L29" s="42" t="s">
        <v>469</v>
      </c>
      <c r="M29" s="42">
        <v>0.0</v>
      </c>
      <c r="N29" s="42" t="s">
        <v>470</v>
      </c>
      <c r="O29" s="42">
        <v>0.0</v>
      </c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15.75" customHeight="1">
      <c r="A30" s="5">
        <v>1155.0</v>
      </c>
      <c r="B30" s="8" t="s">
        <v>48</v>
      </c>
      <c r="C30" s="5" t="str">
        <f t="shared" si="1"/>
        <v>PMP-23_BS VI MS</v>
      </c>
      <c r="D30" s="7" t="s">
        <v>471</v>
      </c>
      <c r="E30" s="7" t="s">
        <v>50</v>
      </c>
      <c r="F30" s="7" t="s">
        <v>450</v>
      </c>
      <c r="G30" s="17"/>
      <c r="H30" s="42" t="s">
        <v>472</v>
      </c>
      <c r="I30" s="42">
        <v>1.0</v>
      </c>
      <c r="J30" s="42" t="s">
        <v>473</v>
      </c>
      <c r="K30" s="42">
        <v>0.0</v>
      </c>
      <c r="L30" s="42" t="s">
        <v>474</v>
      </c>
      <c r="M30" s="42">
        <v>0.0</v>
      </c>
      <c r="N30" s="42" t="s">
        <v>475</v>
      </c>
      <c r="O30" s="42">
        <v>0.0</v>
      </c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15.75" customHeight="1">
      <c r="A31" s="5">
        <v>1155.0</v>
      </c>
      <c r="B31" s="8" t="s">
        <v>48</v>
      </c>
      <c r="C31" s="5" t="str">
        <f t="shared" si="1"/>
        <v>PMP-24_SKO</v>
      </c>
      <c r="D31" s="7" t="s">
        <v>476</v>
      </c>
      <c r="E31" s="7" t="s">
        <v>85</v>
      </c>
      <c r="F31" s="7" t="s">
        <v>450</v>
      </c>
      <c r="G31" s="17"/>
      <c r="H31" s="42" t="s">
        <v>477</v>
      </c>
      <c r="I31" s="42">
        <v>1.0</v>
      </c>
      <c r="J31" s="42" t="s">
        <v>478</v>
      </c>
      <c r="K31" s="42">
        <v>0.0</v>
      </c>
      <c r="L31" s="42" t="s">
        <v>479</v>
      </c>
      <c r="M31" s="42">
        <v>0.0</v>
      </c>
      <c r="N31" s="42" t="s">
        <v>480</v>
      </c>
      <c r="O31" s="42">
        <v>0.0</v>
      </c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15.75" customHeight="1">
      <c r="A32" s="5">
        <v>1155.0</v>
      </c>
      <c r="B32" s="8" t="s">
        <v>48</v>
      </c>
      <c r="C32" s="5" t="str">
        <f t="shared" si="1"/>
        <v>PMP-25_SKO</v>
      </c>
      <c r="D32" s="7" t="s">
        <v>481</v>
      </c>
      <c r="E32" s="7" t="s">
        <v>85</v>
      </c>
      <c r="F32" s="7" t="s">
        <v>450</v>
      </c>
      <c r="G32" s="17"/>
      <c r="H32" s="42" t="s">
        <v>482</v>
      </c>
      <c r="I32" s="42">
        <v>1.0</v>
      </c>
      <c r="J32" s="42" t="s">
        <v>483</v>
      </c>
      <c r="K32" s="42">
        <v>0.0</v>
      </c>
      <c r="L32" s="42" t="s">
        <v>484</v>
      </c>
      <c r="M32" s="42">
        <v>0.0</v>
      </c>
      <c r="N32" s="42" t="s">
        <v>485</v>
      </c>
      <c r="O32" s="42">
        <v>0.0</v>
      </c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15.75" hidden="1" customHeight="1">
      <c r="A33" s="5">
        <v>1155.0</v>
      </c>
      <c r="B33" s="8" t="s">
        <v>48</v>
      </c>
      <c r="C33" s="5" t="str">
        <f t="shared" si="1"/>
        <v>PMP-26_ETHANOL</v>
      </c>
      <c r="D33" s="7" t="s">
        <v>486</v>
      </c>
      <c r="E33" s="7" t="s">
        <v>63</v>
      </c>
      <c r="F33" s="7" t="s">
        <v>327</v>
      </c>
      <c r="G33" s="17"/>
      <c r="H33" s="42" t="s">
        <v>487</v>
      </c>
      <c r="I33" s="42">
        <v>1.0</v>
      </c>
      <c r="J33" s="42" t="s">
        <v>488</v>
      </c>
      <c r="K33" s="42">
        <v>0.0</v>
      </c>
      <c r="L33" s="42" t="s">
        <v>489</v>
      </c>
      <c r="M33" s="42">
        <v>0.0</v>
      </c>
      <c r="N33" s="42" t="s">
        <v>490</v>
      </c>
      <c r="O33" s="42">
        <v>0.0</v>
      </c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15.75" hidden="1" customHeight="1">
      <c r="A34" s="5">
        <v>1155.0</v>
      </c>
      <c r="B34" s="8" t="s">
        <v>48</v>
      </c>
      <c r="C34" s="5" t="str">
        <f t="shared" si="1"/>
        <v>PMP-27_ETHANOL</v>
      </c>
      <c r="D34" s="7" t="s">
        <v>491</v>
      </c>
      <c r="E34" s="7" t="s">
        <v>63</v>
      </c>
      <c r="F34" s="7" t="s">
        <v>327</v>
      </c>
      <c r="G34" s="17"/>
      <c r="H34" s="42" t="s">
        <v>492</v>
      </c>
      <c r="I34" s="42">
        <v>1.0</v>
      </c>
      <c r="J34" s="42" t="s">
        <v>493</v>
      </c>
      <c r="K34" s="42">
        <v>0.0</v>
      </c>
      <c r="L34" s="42" t="s">
        <v>494</v>
      </c>
      <c r="M34" s="42">
        <v>0.0</v>
      </c>
      <c r="N34" s="42" t="s">
        <v>495</v>
      </c>
      <c r="O34" s="42">
        <v>0.0</v>
      </c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15.75" hidden="1" customHeight="1">
      <c r="A35" s="5">
        <v>1155.0</v>
      </c>
      <c r="B35" s="8" t="s">
        <v>48</v>
      </c>
      <c r="C35" s="5" t="str">
        <f t="shared" si="1"/>
        <v>PMP-28_ETHANOL</v>
      </c>
      <c r="D35" s="7" t="s">
        <v>496</v>
      </c>
      <c r="E35" s="7" t="s">
        <v>63</v>
      </c>
      <c r="F35" s="7" t="s">
        <v>327</v>
      </c>
      <c r="G35" s="17"/>
      <c r="H35" s="42" t="s">
        <v>497</v>
      </c>
      <c r="I35" s="42">
        <v>1.0</v>
      </c>
      <c r="J35" s="42" t="s">
        <v>498</v>
      </c>
      <c r="K35" s="42">
        <v>0.0</v>
      </c>
      <c r="L35" s="42" t="s">
        <v>499</v>
      </c>
      <c r="M35" s="42">
        <v>0.0</v>
      </c>
      <c r="N35" s="42" t="s">
        <v>500</v>
      </c>
      <c r="O35" s="42">
        <v>0.0</v>
      </c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15.75" hidden="1" customHeight="1">
      <c r="A36" s="5">
        <v>1155.0</v>
      </c>
      <c r="B36" s="8" t="s">
        <v>48</v>
      </c>
      <c r="C36" s="5" t="str">
        <f t="shared" si="1"/>
        <v>PMP-29_ETHANOL</v>
      </c>
      <c r="D36" s="7" t="s">
        <v>501</v>
      </c>
      <c r="E36" s="7" t="s">
        <v>63</v>
      </c>
      <c r="F36" s="7" t="s">
        <v>327</v>
      </c>
      <c r="G36" s="17"/>
      <c r="H36" s="42" t="s">
        <v>502</v>
      </c>
      <c r="I36" s="42">
        <v>1.0</v>
      </c>
      <c r="J36" s="42" t="s">
        <v>503</v>
      </c>
      <c r="K36" s="42">
        <v>0.0</v>
      </c>
      <c r="L36" s="42" t="s">
        <v>504</v>
      </c>
      <c r="M36" s="42">
        <v>0.0</v>
      </c>
      <c r="N36" s="42" t="s">
        <v>505</v>
      </c>
      <c r="O36" s="42">
        <v>0.0</v>
      </c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15.75" hidden="1" customHeight="1">
      <c r="A37" s="5">
        <v>1155.0</v>
      </c>
      <c r="B37" s="8" t="s">
        <v>48</v>
      </c>
      <c r="C37" s="5" t="str">
        <f t="shared" si="1"/>
        <v>PMP-30_ETHANOL</v>
      </c>
      <c r="D37" s="7" t="s">
        <v>506</v>
      </c>
      <c r="E37" s="7" t="s">
        <v>63</v>
      </c>
      <c r="F37" s="7" t="s">
        <v>327</v>
      </c>
      <c r="G37" s="17"/>
      <c r="H37" s="42" t="s">
        <v>507</v>
      </c>
      <c r="I37" s="42">
        <v>1.0</v>
      </c>
      <c r="J37" s="42" t="s">
        <v>508</v>
      </c>
      <c r="K37" s="42">
        <v>0.0</v>
      </c>
      <c r="L37" s="42" t="s">
        <v>509</v>
      </c>
      <c r="M37" s="42">
        <v>0.0</v>
      </c>
      <c r="N37" s="42" t="s">
        <v>510</v>
      </c>
      <c r="O37" s="42">
        <v>0.0</v>
      </c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15.75" hidden="1" customHeight="1">
      <c r="A38" s="5">
        <v>1155.0</v>
      </c>
      <c r="B38" s="8" t="s">
        <v>48</v>
      </c>
      <c r="C38" s="5" t="str">
        <f t="shared" si="1"/>
        <v>PMP-IOCL-01_BS VI MS</v>
      </c>
      <c r="D38" s="7" t="s">
        <v>511</v>
      </c>
      <c r="E38" s="7" t="s">
        <v>50</v>
      </c>
      <c r="F38" s="7" t="s">
        <v>327</v>
      </c>
      <c r="G38" s="17"/>
      <c r="H38" s="42" t="s">
        <v>512</v>
      </c>
      <c r="I38" s="42">
        <v>1.0</v>
      </c>
      <c r="J38" s="42" t="s">
        <v>513</v>
      </c>
      <c r="K38" s="42">
        <v>0.0</v>
      </c>
      <c r="L38" s="43"/>
      <c r="M38" s="43"/>
      <c r="N38" s="43"/>
      <c r="O38" s="43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15.75" hidden="1" customHeight="1">
      <c r="A39" s="5">
        <v>1155.0</v>
      </c>
      <c r="B39" s="8" t="s">
        <v>48</v>
      </c>
      <c r="C39" s="5" t="str">
        <f t="shared" si="1"/>
        <v>PMP-IOCL-02_BS VI MS</v>
      </c>
      <c r="D39" s="7" t="s">
        <v>514</v>
      </c>
      <c r="E39" s="7" t="s">
        <v>50</v>
      </c>
      <c r="F39" s="7" t="s">
        <v>327</v>
      </c>
      <c r="G39" s="17"/>
      <c r="H39" s="42" t="s">
        <v>515</v>
      </c>
      <c r="I39" s="42">
        <v>1.0</v>
      </c>
      <c r="J39" s="42" t="s">
        <v>516</v>
      </c>
      <c r="K39" s="42">
        <v>0.0</v>
      </c>
      <c r="L39" s="43"/>
      <c r="M39" s="43"/>
      <c r="N39" s="43"/>
      <c r="O39" s="43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15.75" hidden="1" customHeight="1">
      <c r="A40" s="5">
        <v>1155.0</v>
      </c>
      <c r="B40" s="8" t="s">
        <v>48</v>
      </c>
      <c r="C40" s="5" t="str">
        <f t="shared" si="1"/>
        <v>PMP-IOCL-03_BS VI HSD</v>
      </c>
      <c r="D40" s="7" t="s">
        <v>517</v>
      </c>
      <c r="E40" s="7" t="s">
        <v>116</v>
      </c>
      <c r="F40" s="7" t="s">
        <v>327</v>
      </c>
      <c r="G40" s="17"/>
      <c r="H40" s="42" t="s">
        <v>518</v>
      </c>
      <c r="I40" s="42">
        <v>1.0</v>
      </c>
      <c r="J40" s="42" t="s">
        <v>519</v>
      </c>
      <c r="K40" s="42">
        <v>0.0</v>
      </c>
      <c r="L40" s="43"/>
      <c r="M40" s="43"/>
      <c r="N40" s="43"/>
      <c r="O40" s="43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15.75" hidden="1" customHeight="1">
      <c r="A41" s="5">
        <v>1155.0</v>
      </c>
      <c r="B41" s="8" t="s">
        <v>48</v>
      </c>
      <c r="C41" s="5" t="str">
        <f t="shared" si="1"/>
        <v>PMP-IOCL-04_BS VI HSD</v>
      </c>
      <c r="D41" s="7" t="s">
        <v>520</v>
      </c>
      <c r="E41" s="7" t="s">
        <v>116</v>
      </c>
      <c r="F41" s="7" t="s">
        <v>327</v>
      </c>
      <c r="G41" s="17"/>
      <c r="H41" s="42" t="s">
        <v>521</v>
      </c>
      <c r="I41" s="42">
        <v>1.0</v>
      </c>
      <c r="J41" s="42" t="s">
        <v>522</v>
      </c>
      <c r="K41" s="42">
        <v>0.0</v>
      </c>
      <c r="L41" s="43"/>
      <c r="M41" s="43"/>
      <c r="N41" s="43"/>
      <c r="O41" s="43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A$41">
    <filterColumn colId="4">
      <filters>
        <filter val="SKO"/>
        <filter val="BS VI HSD"/>
        <filter val="ETHANOL"/>
        <filter val="BS VI MS"/>
        <filter val="BS IV HSD"/>
      </filters>
    </filterColumn>
    <filterColumn colId="5">
      <filters>
        <filter val="Wagon Loading"/>
      </filters>
    </filterColumn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12.63"/>
    <col customWidth="1" min="6" max="6" width="12.25"/>
    <col customWidth="1" min="7" max="7" width="14.38"/>
    <col customWidth="1" min="14" max="14" width="40.75"/>
  </cols>
  <sheetData>
    <row r="1" ht="15.75" customHeight="1">
      <c r="A1" s="44" t="s">
        <v>0</v>
      </c>
      <c r="B1" s="44" t="s">
        <v>1</v>
      </c>
      <c r="C1" s="44" t="s">
        <v>2</v>
      </c>
      <c r="D1" s="44" t="s">
        <v>314</v>
      </c>
      <c r="E1" s="44" t="s">
        <v>315</v>
      </c>
      <c r="F1" s="44" t="s">
        <v>316</v>
      </c>
      <c r="G1" s="44" t="s">
        <v>317</v>
      </c>
      <c r="H1" s="45" t="s">
        <v>318</v>
      </c>
      <c r="I1" s="45" t="s">
        <v>319</v>
      </c>
      <c r="J1" s="45" t="s">
        <v>320</v>
      </c>
      <c r="K1" s="45" t="s">
        <v>321</v>
      </c>
      <c r="L1" s="45" t="s">
        <v>322</v>
      </c>
      <c r="M1" s="45" t="s">
        <v>323</v>
      </c>
      <c r="N1" s="45" t="s">
        <v>523</v>
      </c>
      <c r="O1" s="45" t="s">
        <v>524</v>
      </c>
      <c r="P1" s="45" t="s">
        <v>525</v>
      </c>
      <c r="Q1" s="45" t="s">
        <v>526</v>
      </c>
      <c r="R1" s="45" t="s">
        <v>527</v>
      </c>
      <c r="S1" s="45" t="s">
        <v>528</v>
      </c>
      <c r="T1" s="45" t="s">
        <v>529</v>
      </c>
      <c r="U1" s="45" t="s">
        <v>530</v>
      </c>
      <c r="V1" s="45" t="s">
        <v>531</v>
      </c>
      <c r="W1" s="45" t="s">
        <v>7</v>
      </c>
      <c r="X1" s="45" t="s">
        <v>532</v>
      </c>
      <c r="Y1" s="45" t="s">
        <v>533</v>
      </c>
      <c r="Z1" s="45" t="s">
        <v>534</v>
      </c>
      <c r="AA1" s="45" t="s">
        <v>535</v>
      </c>
      <c r="AB1" s="45" t="s">
        <v>536</v>
      </c>
      <c r="AC1" s="45" t="s">
        <v>537</v>
      </c>
    </row>
    <row r="2" ht="15.75" customHeight="1">
      <c r="A2" s="5">
        <v>1155.0</v>
      </c>
      <c r="B2" s="8" t="s">
        <v>48</v>
      </c>
      <c r="C2" s="5" t="str">
        <f t="shared" ref="C2:C5" si="1">CONCATENATE(D2,"_",E2)</f>
        <v>FWP-01_Water</v>
      </c>
      <c r="D2" s="7" t="s">
        <v>538</v>
      </c>
      <c r="E2" s="7" t="s">
        <v>539</v>
      </c>
      <c r="F2" s="7" t="s">
        <v>540</v>
      </c>
      <c r="G2" s="6"/>
      <c r="H2" s="42" t="s">
        <v>541</v>
      </c>
      <c r="I2" s="42">
        <v>1.0</v>
      </c>
      <c r="J2" s="42" t="s">
        <v>542</v>
      </c>
      <c r="K2" s="42">
        <v>0.0</v>
      </c>
      <c r="L2" s="42" t="s">
        <v>543</v>
      </c>
      <c r="M2" s="42">
        <v>0.0</v>
      </c>
      <c r="N2" s="42" t="s">
        <v>544</v>
      </c>
      <c r="O2" s="46">
        <v>0.0</v>
      </c>
      <c r="P2" s="42" t="s">
        <v>545</v>
      </c>
      <c r="Q2" s="42">
        <v>0.0</v>
      </c>
      <c r="R2" s="42" t="s">
        <v>546</v>
      </c>
      <c r="S2" s="42">
        <v>0.0</v>
      </c>
      <c r="T2" s="17"/>
      <c r="U2" s="17"/>
      <c r="V2" s="17"/>
      <c r="W2" s="17"/>
      <c r="X2" s="42" t="s">
        <v>547</v>
      </c>
      <c r="Y2" s="42">
        <v>0.0</v>
      </c>
      <c r="Z2" s="42" t="s">
        <v>548</v>
      </c>
      <c r="AA2" s="42">
        <v>0.0</v>
      </c>
      <c r="AB2" s="42" t="s">
        <v>549</v>
      </c>
      <c r="AC2" s="42">
        <v>0.0</v>
      </c>
    </row>
    <row r="3" ht="15.75" customHeight="1">
      <c r="A3" s="5">
        <v>1155.0</v>
      </c>
      <c r="B3" s="8" t="s">
        <v>48</v>
      </c>
      <c r="C3" s="5" t="str">
        <f t="shared" si="1"/>
        <v>FWP-02_Water</v>
      </c>
      <c r="D3" s="7" t="s">
        <v>550</v>
      </c>
      <c r="E3" s="7" t="s">
        <v>539</v>
      </c>
      <c r="F3" s="7" t="s">
        <v>540</v>
      </c>
      <c r="G3" s="17"/>
      <c r="H3" s="42" t="s">
        <v>551</v>
      </c>
      <c r="I3" s="42">
        <v>1.0</v>
      </c>
      <c r="J3" s="42" t="s">
        <v>552</v>
      </c>
      <c r="K3" s="42">
        <v>0.0</v>
      </c>
      <c r="L3" s="42" t="s">
        <v>553</v>
      </c>
      <c r="M3" s="42">
        <v>0.0</v>
      </c>
      <c r="N3" s="42" t="s">
        <v>554</v>
      </c>
      <c r="O3" s="46">
        <v>0.0</v>
      </c>
      <c r="P3" s="42" t="s">
        <v>555</v>
      </c>
      <c r="Q3" s="42">
        <v>0.0</v>
      </c>
      <c r="R3" s="42" t="s">
        <v>556</v>
      </c>
      <c r="S3" s="42">
        <v>0.0</v>
      </c>
      <c r="T3" s="17"/>
      <c r="U3" s="17"/>
      <c r="V3" s="17"/>
      <c r="W3" s="17"/>
      <c r="X3" s="42" t="s">
        <v>557</v>
      </c>
      <c r="Y3" s="42">
        <v>0.0</v>
      </c>
      <c r="Z3" s="42" t="s">
        <v>558</v>
      </c>
      <c r="AA3" s="42">
        <v>0.0</v>
      </c>
      <c r="AB3" s="42" t="s">
        <v>559</v>
      </c>
      <c r="AC3" s="42">
        <v>0.0</v>
      </c>
    </row>
    <row r="4" ht="15.75" customHeight="1">
      <c r="A4" s="5">
        <v>1155.0</v>
      </c>
      <c r="B4" s="8" t="s">
        <v>48</v>
      </c>
      <c r="C4" s="5" t="str">
        <f t="shared" si="1"/>
        <v>JCY-01_Jockey</v>
      </c>
      <c r="D4" s="7" t="s">
        <v>560</v>
      </c>
      <c r="E4" s="7" t="s">
        <v>561</v>
      </c>
      <c r="F4" s="7" t="s">
        <v>540</v>
      </c>
      <c r="G4" s="17"/>
      <c r="H4" s="42" t="s">
        <v>562</v>
      </c>
      <c r="I4" s="42">
        <v>1.0</v>
      </c>
      <c r="J4" s="42" t="s">
        <v>563</v>
      </c>
      <c r="K4" s="42">
        <v>0.0</v>
      </c>
      <c r="L4" s="42" t="s">
        <v>564</v>
      </c>
      <c r="M4" s="42">
        <v>0.0</v>
      </c>
      <c r="N4" s="42" t="s">
        <v>565</v>
      </c>
      <c r="O4" s="46">
        <v>0.0</v>
      </c>
      <c r="P4" s="42" t="s">
        <v>566</v>
      </c>
      <c r="Q4" s="42">
        <v>0.0</v>
      </c>
      <c r="R4" s="17"/>
      <c r="S4" s="17"/>
      <c r="T4" s="17"/>
      <c r="U4" s="17"/>
      <c r="V4" s="42" t="s">
        <v>567</v>
      </c>
      <c r="W4" s="42">
        <v>0.0</v>
      </c>
      <c r="X4" s="42" t="s">
        <v>568</v>
      </c>
      <c r="Y4" s="42">
        <v>0.0</v>
      </c>
      <c r="Z4" s="43"/>
      <c r="AA4" s="43"/>
      <c r="AB4" s="43"/>
      <c r="AC4" s="43"/>
    </row>
    <row r="5" ht="15.75" customHeight="1">
      <c r="A5" s="5">
        <v>1155.0</v>
      </c>
      <c r="B5" s="8" t="s">
        <v>48</v>
      </c>
      <c r="C5" s="5" t="str">
        <f t="shared" si="1"/>
        <v>JCY-02_Jockey</v>
      </c>
      <c r="D5" s="7" t="s">
        <v>569</v>
      </c>
      <c r="E5" s="7" t="s">
        <v>561</v>
      </c>
      <c r="F5" s="7" t="s">
        <v>540</v>
      </c>
      <c r="G5" s="17"/>
      <c r="H5" s="42" t="s">
        <v>570</v>
      </c>
      <c r="I5" s="42">
        <v>1.0</v>
      </c>
      <c r="J5" s="42" t="s">
        <v>571</v>
      </c>
      <c r="K5" s="42">
        <v>0.0</v>
      </c>
      <c r="L5" s="42" t="s">
        <v>572</v>
      </c>
      <c r="M5" s="42">
        <v>0.0</v>
      </c>
      <c r="N5" s="42" t="s">
        <v>573</v>
      </c>
      <c r="O5" s="46">
        <v>0.0</v>
      </c>
      <c r="P5" s="42" t="s">
        <v>574</v>
      </c>
      <c r="Q5" s="42">
        <v>0.0</v>
      </c>
      <c r="R5" s="17"/>
      <c r="S5" s="17"/>
      <c r="T5" s="17"/>
      <c r="U5" s="17"/>
      <c r="V5" s="42" t="s">
        <v>575</v>
      </c>
      <c r="W5" s="42">
        <v>0.0</v>
      </c>
      <c r="X5" s="42" t="s">
        <v>576</v>
      </c>
      <c r="Y5" s="42">
        <v>0.0</v>
      </c>
      <c r="Z5" s="43"/>
      <c r="AA5" s="43"/>
      <c r="AB5" s="43"/>
      <c r="AC5" s="43"/>
    </row>
    <row r="6" ht="15.75" customHeight="1">
      <c r="A6" s="5">
        <v>1155.0</v>
      </c>
      <c r="B6" s="8" t="s">
        <v>48</v>
      </c>
      <c r="C6" s="47" t="str">
        <f t="shared" ref="C6:C7" si="2">CONCATENATE(D6,"_",E6,"_",G6)</f>
        <v>Farthest Point PT_WATER Pressure_Near Tank no. 01</v>
      </c>
      <c r="D6" s="47" t="s">
        <v>577</v>
      </c>
      <c r="E6" s="47" t="s">
        <v>578</v>
      </c>
      <c r="F6" s="47" t="s">
        <v>579</v>
      </c>
      <c r="G6" s="47" t="s">
        <v>580</v>
      </c>
      <c r="N6" s="48" t="s">
        <v>581</v>
      </c>
      <c r="O6" s="46">
        <v>0.0</v>
      </c>
    </row>
    <row r="7" ht="15.75" customHeight="1">
      <c r="A7" s="5">
        <v>1155.0</v>
      </c>
      <c r="B7" s="8" t="s">
        <v>48</v>
      </c>
      <c r="C7" s="47" t="str">
        <f t="shared" si="2"/>
        <v>Nearest Point PT_WATER Pressure_FWP pump house</v>
      </c>
      <c r="D7" s="47" t="s">
        <v>582</v>
      </c>
      <c r="E7" s="47" t="s">
        <v>578</v>
      </c>
      <c r="F7" s="47" t="s">
        <v>579</v>
      </c>
      <c r="G7" s="47" t="s">
        <v>583</v>
      </c>
      <c r="N7" s="49" t="s">
        <v>584</v>
      </c>
      <c r="O7" s="46">
        <v>0.0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50" t="s">
        <v>0</v>
      </c>
      <c r="B1" s="50" t="s">
        <v>1</v>
      </c>
      <c r="C1" s="36" t="s">
        <v>2</v>
      </c>
      <c r="D1" s="36" t="s">
        <v>585</v>
      </c>
      <c r="E1" s="36" t="s">
        <v>1</v>
      </c>
      <c r="F1" s="37" t="s">
        <v>586</v>
      </c>
      <c r="G1" s="38" t="s">
        <v>587</v>
      </c>
      <c r="H1" s="37" t="s">
        <v>588</v>
      </c>
      <c r="I1" s="38" t="s">
        <v>589</v>
      </c>
      <c r="J1" s="37" t="s">
        <v>590</v>
      </c>
      <c r="K1" s="38" t="s">
        <v>591</v>
      </c>
      <c r="L1" s="37" t="s">
        <v>592</v>
      </c>
      <c r="M1" s="38" t="s">
        <v>593</v>
      </c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 ht="15.75" customHeight="1">
      <c r="A2" s="5">
        <v>1155.0</v>
      </c>
      <c r="B2" s="8" t="s">
        <v>48</v>
      </c>
      <c r="C2" s="5" t="str">
        <f t="shared" ref="C2:C3" si="1">CONCATENATE(D2,"_",E2)</f>
        <v>UPS-01_CR - Process</v>
      </c>
      <c r="D2" s="5" t="s">
        <v>594</v>
      </c>
      <c r="E2" s="51" t="s">
        <v>595</v>
      </c>
      <c r="F2" s="41" t="s">
        <v>596</v>
      </c>
      <c r="G2" s="41">
        <v>0.0</v>
      </c>
      <c r="H2" s="41" t="s">
        <v>597</v>
      </c>
      <c r="I2" s="41">
        <v>0.0</v>
      </c>
      <c r="J2" s="41" t="s">
        <v>598</v>
      </c>
      <c r="K2" s="41">
        <v>0.0</v>
      </c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15.75" customHeight="1">
      <c r="A3" s="5">
        <v>1155.0</v>
      </c>
      <c r="B3" s="8" t="s">
        <v>48</v>
      </c>
      <c r="C3" s="5" t="str">
        <f t="shared" si="1"/>
        <v>UPS-02_CR - Process</v>
      </c>
      <c r="D3" s="5" t="s">
        <v>599</v>
      </c>
      <c r="E3" s="51" t="s">
        <v>595</v>
      </c>
      <c r="F3" s="42" t="s">
        <v>600</v>
      </c>
      <c r="G3" s="42">
        <v>0.0</v>
      </c>
      <c r="H3" s="42" t="s">
        <v>601</v>
      </c>
      <c r="I3" s="42">
        <v>0.0</v>
      </c>
      <c r="J3" s="42" t="s">
        <v>602</v>
      </c>
      <c r="K3" s="42">
        <v>0.0</v>
      </c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50" t="s">
        <v>0</v>
      </c>
      <c r="B1" s="50" t="s">
        <v>1</v>
      </c>
      <c r="C1" s="36" t="s">
        <v>2</v>
      </c>
      <c r="D1" s="36" t="s">
        <v>603</v>
      </c>
      <c r="E1" s="36" t="s">
        <v>1</v>
      </c>
      <c r="F1" s="37" t="s">
        <v>604</v>
      </c>
      <c r="G1" s="38" t="s">
        <v>605</v>
      </c>
      <c r="H1" s="37" t="s">
        <v>8</v>
      </c>
      <c r="I1" s="37" t="s">
        <v>9</v>
      </c>
      <c r="J1" s="37" t="s">
        <v>606</v>
      </c>
      <c r="K1" s="38" t="s">
        <v>607</v>
      </c>
      <c r="L1" s="37" t="s">
        <v>8</v>
      </c>
      <c r="M1" s="37" t="s">
        <v>12</v>
      </c>
      <c r="N1" s="37" t="s">
        <v>608</v>
      </c>
      <c r="O1" s="38" t="s">
        <v>609</v>
      </c>
      <c r="P1" s="37" t="s">
        <v>240</v>
      </c>
      <c r="Q1" s="37" t="s">
        <v>12</v>
      </c>
      <c r="R1" s="37" t="s">
        <v>610</v>
      </c>
      <c r="S1" s="38" t="s">
        <v>611</v>
      </c>
      <c r="T1" s="37" t="s">
        <v>8</v>
      </c>
      <c r="U1" s="37" t="s">
        <v>612</v>
      </c>
      <c r="V1" s="37" t="s">
        <v>613</v>
      </c>
      <c r="W1" s="38" t="s">
        <v>614</v>
      </c>
      <c r="X1" s="37" t="s">
        <v>240</v>
      </c>
      <c r="Y1" s="37" t="s">
        <v>12</v>
      </c>
      <c r="Z1" s="37" t="s">
        <v>615</v>
      </c>
      <c r="AA1" s="38" t="s">
        <v>616</v>
      </c>
      <c r="AB1" s="37" t="s">
        <v>8</v>
      </c>
      <c r="AC1" s="37" t="s">
        <v>12</v>
      </c>
    </row>
    <row r="2" ht="15.75" customHeight="1">
      <c r="A2" s="5">
        <v>1155.0</v>
      </c>
      <c r="B2" s="8" t="s">
        <v>48</v>
      </c>
      <c r="C2" s="5" t="str">
        <f t="shared" ref="C2:C3" si="1">CONCATENATE(D2,"_",E2)</f>
        <v>GEPLC_Process PLC</v>
      </c>
      <c r="D2" s="5" t="s">
        <v>617</v>
      </c>
      <c r="E2" s="51" t="s">
        <v>618</v>
      </c>
      <c r="F2" s="46" t="s">
        <v>619</v>
      </c>
      <c r="G2" s="46">
        <v>1.0</v>
      </c>
      <c r="H2" s="46" t="s">
        <v>620</v>
      </c>
      <c r="I2" s="46" t="s">
        <v>621</v>
      </c>
      <c r="J2" s="46" t="s">
        <v>622</v>
      </c>
      <c r="K2" s="46">
        <v>1.0</v>
      </c>
      <c r="L2" s="46" t="s">
        <v>620</v>
      </c>
      <c r="M2" s="46" t="s">
        <v>623</v>
      </c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</row>
    <row r="3" ht="15.75" customHeight="1">
      <c r="A3" s="5">
        <v>1155.0</v>
      </c>
      <c r="B3" s="8" t="s">
        <v>48</v>
      </c>
      <c r="C3" s="5" t="str">
        <f t="shared" si="1"/>
        <v>SFT PLC_Safety PLC</v>
      </c>
      <c r="D3" s="5" t="s">
        <v>624</v>
      </c>
      <c r="E3" s="51" t="s">
        <v>625</v>
      </c>
      <c r="F3" s="46" t="s">
        <v>626</v>
      </c>
      <c r="G3" s="46">
        <v>1.0</v>
      </c>
      <c r="H3" s="46" t="s">
        <v>627</v>
      </c>
      <c r="I3" s="46" t="s">
        <v>621</v>
      </c>
      <c r="J3" s="46" t="s">
        <v>628</v>
      </c>
      <c r="K3" s="46">
        <v>1.0</v>
      </c>
      <c r="L3" s="46" t="s">
        <v>627</v>
      </c>
      <c r="M3" s="46" t="s">
        <v>623</v>
      </c>
      <c r="N3" s="52" t="s">
        <v>629</v>
      </c>
      <c r="O3" s="46">
        <v>0.0</v>
      </c>
      <c r="P3" s="46" t="s">
        <v>627</v>
      </c>
      <c r="Q3" s="46" t="s">
        <v>621</v>
      </c>
      <c r="R3" s="46" t="s">
        <v>630</v>
      </c>
      <c r="S3" s="46">
        <v>0.0</v>
      </c>
      <c r="T3" s="46" t="s">
        <v>627</v>
      </c>
      <c r="U3" s="46" t="s">
        <v>623</v>
      </c>
      <c r="V3" s="52" t="s">
        <v>631</v>
      </c>
      <c r="W3" s="46">
        <v>0.0</v>
      </c>
      <c r="X3" s="46" t="s">
        <v>627</v>
      </c>
      <c r="Y3" s="46" t="s">
        <v>621</v>
      </c>
      <c r="Z3" s="52" t="s">
        <v>632</v>
      </c>
      <c r="AA3" s="46">
        <v>0.0</v>
      </c>
      <c r="AB3" s="46" t="s">
        <v>627</v>
      </c>
      <c r="AC3" s="46" t="s">
        <v>623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43.25"/>
    <col customWidth="1" min="4" max="6" width="12.63"/>
    <col customWidth="1" min="17" max="17" width="29.75"/>
  </cols>
  <sheetData>
    <row r="1" ht="15.75" customHeight="1">
      <c r="A1" s="53" t="s">
        <v>0</v>
      </c>
      <c r="B1" s="53" t="s">
        <v>1</v>
      </c>
      <c r="C1" s="36" t="s">
        <v>2</v>
      </c>
      <c r="D1" s="36" t="s">
        <v>633</v>
      </c>
      <c r="E1" s="36" t="s">
        <v>634</v>
      </c>
      <c r="F1" s="36" t="s">
        <v>1</v>
      </c>
      <c r="G1" s="37" t="s">
        <v>635</v>
      </c>
      <c r="H1" s="38" t="s">
        <v>636</v>
      </c>
      <c r="I1" s="37" t="s">
        <v>637</v>
      </c>
      <c r="J1" s="38" t="s">
        <v>638</v>
      </c>
      <c r="K1" s="37" t="s">
        <v>639</v>
      </c>
      <c r="L1" s="38" t="s">
        <v>640</v>
      </c>
      <c r="M1" s="37" t="s">
        <v>641</v>
      </c>
      <c r="N1" s="38" t="s">
        <v>642</v>
      </c>
      <c r="O1" s="37" t="s">
        <v>643</v>
      </c>
      <c r="P1" s="38" t="s">
        <v>644</v>
      </c>
      <c r="Q1" s="54" t="s">
        <v>645</v>
      </c>
      <c r="R1" s="37" t="s">
        <v>7</v>
      </c>
      <c r="S1" s="17"/>
      <c r="T1" s="17"/>
      <c r="U1" s="17"/>
      <c r="V1" s="17"/>
      <c r="W1" s="17"/>
      <c r="X1" s="17"/>
      <c r="Y1" s="17"/>
      <c r="Z1" s="17"/>
      <c r="AA1" s="17"/>
    </row>
    <row r="2" ht="15.75" customHeight="1">
      <c r="A2" s="5">
        <v>1155.0</v>
      </c>
      <c r="B2" s="17" t="s">
        <v>48</v>
      </c>
      <c r="C2" s="5" t="str">
        <f t="shared" ref="C2:C8" si="1">CONCATENATE(D2,"_",E2,"_",F2)</f>
        <v>HDS-01_HCD-OPENED-TYP1_TANKFARM TK11 12 MS</v>
      </c>
      <c r="D2" s="55" t="s">
        <v>646</v>
      </c>
      <c r="E2" s="56" t="s">
        <v>647</v>
      </c>
      <c r="F2" s="56" t="s">
        <v>648</v>
      </c>
      <c r="G2" s="41" t="s">
        <v>649</v>
      </c>
      <c r="H2" s="41">
        <v>0.0</v>
      </c>
      <c r="I2" s="41" t="s">
        <v>650</v>
      </c>
      <c r="J2" s="41">
        <v>0.0</v>
      </c>
      <c r="K2" s="41" t="s">
        <v>651</v>
      </c>
      <c r="L2" s="41">
        <v>0.0</v>
      </c>
      <c r="M2" s="41" t="s">
        <v>652</v>
      </c>
      <c r="N2" s="41">
        <v>0.0</v>
      </c>
      <c r="O2" s="41" t="s">
        <v>653</v>
      </c>
      <c r="P2" s="41">
        <v>0.0</v>
      </c>
      <c r="Q2" s="31" t="s">
        <v>654</v>
      </c>
      <c r="R2" s="57">
        <v>0.0</v>
      </c>
      <c r="S2" s="17"/>
      <c r="T2" s="17"/>
      <c r="U2" s="17"/>
      <c r="V2" s="17"/>
      <c r="W2" s="17"/>
      <c r="X2" s="17"/>
      <c r="Y2" s="17"/>
      <c r="Z2" s="17"/>
      <c r="AA2" s="17"/>
    </row>
    <row r="3" ht="15.75" customHeight="1">
      <c r="A3" s="5">
        <v>1155.0</v>
      </c>
      <c r="B3" s="17" t="s">
        <v>48</v>
      </c>
      <c r="C3" s="5" t="str">
        <f t="shared" si="1"/>
        <v>HDS-02_HCD-OPENED-TYP2_TTL PUM HOUSE</v>
      </c>
      <c r="D3" s="55" t="s">
        <v>655</v>
      </c>
      <c r="E3" s="56" t="s">
        <v>656</v>
      </c>
      <c r="F3" s="56" t="s">
        <v>657</v>
      </c>
      <c r="G3" s="42" t="s">
        <v>658</v>
      </c>
      <c r="H3" s="42">
        <v>0.0</v>
      </c>
      <c r="I3" s="42" t="s">
        <v>659</v>
      </c>
      <c r="J3" s="42">
        <v>0.0</v>
      </c>
      <c r="K3" s="42" t="s">
        <v>660</v>
      </c>
      <c r="L3" s="42">
        <v>0.0</v>
      </c>
      <c r="M3" s="42" t="s">
        <v>661</v>
      </c>
      <c r="N3" s="42">
        <v>0.0</v>
      </c>
      <c r="O3" s="42" t="s">
        <v>662</v>
      </c>
      <c r="P3" s="42">
        <v>0.0</v>
      </c>
      <c r="Q3" s="31" t="s">
        <v>654</v>
      </c>
      <c r="R3" s="57">
        <v>0.0</v>
      </c>
      <c r="S3" s="17"/>
      <c r="T3" s="17"/>
      <c r="U3" s="17"/>
      <c r="V3" s="17"/>
      <c r="W3" s="17"/>
      <c r="X3" s="17"/>
      <c r="Y3" s="17"/>
      <c r="Z3" s="17"/>
      <c r="AA3" s="17"/>
    </row>
    <row r="4" ht="15.75" customHeight="1">
      <c r="A4" s="5">
        <v>1155.0</v>
      </c>
      <c r="B4" s="17" t="s">
        <v>48</v>
      </c>
      <c r="C4" s="5" t="str">
        <f t="shared" si="1"/>
        <v>HDS-03_HCD-OPENED-TYP3_PLT PUMP HOUSE</v>
      </c>
      <c r="D4" s="55" t="s">
        <v>663</v>
      </c>
      <c r="E4" s="56" t="s">
        <v>664</v>
      </c>
      <c r="F4" s="56" t="s">
        <v>665</v>
      </c>
      <c r="G4" s="42" t="s">
        <v>666</v>
      </c>
      <c r="H4" s="42">
        <v>0.0</v>
      </c>
      <c r="I4" s="42" t="s">
        <v>667</v>
      </c>
      <c r="J4" s="42">
        <v>0.0</v>
      </c>
      <c r="K4" s="42" t="s">
        <v>668</v>
      </c>
      <c r="L4" s="42">
        <v>0.0</v>
      </c>
      <c r="M4" s="42" t="s">
        <v>669</v>
      </c>
      <c r="N4" s="42">
        <v>0.0</v>
      </c>
      <c r="O4" s="42" t="s">
        <v>670</v>
      </c>
      <c r="P4" s="42">
        <v>0.0</v>
      </c>
      <c r="Q4" s="31" t="s">
        <v>654</v>
      </c>
      <c r="R4" s="57">
        <v>0.0</v>
      </c>
      <c r="S4" s="17"/>
      <c r="T4" s="17"/>
      <c r="U4" s="17"/>
      <c r="V4" s="17"/>
      <c r="W4" s="17"/>
      <c r="X4" s="17"/>
      <c r="Y4" s="17"/>
      <c r="Z4" s="17"/>
      <c r="AA4" s="17"/>
    </row>
    <row r="5" ht="15.75" customHeight="1">
      <c r="A5" s="5">
        <v>1155.0</v>
      </c>
      <c r="B5" s="17" t="s">
        <v>48</v>
      </c>
      <c r="C5" s="5" t="str">
        <f t="shared" si="1"/>
        <v>HDS-04_HCD-FIXED-TYP1_TANKFARM TK-11 MS</v>
      </c>
      <c r="D5" s="55" t="s">
        <v>671</v>
      </c>
      <c r="E5" s="56" t="s">
        <v>672</v>
      </c>
      <c r="F5" s="56" t="s">
        <v>673</v>
      </c>
      <c r="G5" s="42" t="s">
        <v>674</v>
      </c>
      <c r="H5" s="42">
        <v>0.0</v>
      </c>
      <c r="I5" s="42" t="s">
        <v>675</v>
      </c>
      <c r="J5" s="42">
        <v>0.0</v>
      </c>
      <c r="K5" s="42" t="s">
        <v>676</v>
      </c>
      <c r="L5" s="42">
        <v>0.0</v>
      </c>
      <c r="M5" s="42" t="s">
        <v>677</v>
      </c>
      <c r="N5" s="42">
        <v>0.0</v>
      </c>
      <c r="O5" s="42" t="s">
        <v>678</v>
      </c>
      <c r="P5" s="42">
        <v>0.0</v>
      </c>
      <c r="Q5" s="31" t="s">
        <v>654</v>
      </c>
      <c r="R5" s="57">
        <v>0.0</v>
      </c>
      <c r="S5" s="17"/>
      <c r="T5" s="17"/>
      <c r="U5" s="17"/>
      <c r="V5" s="17"/>
      <c r="W5" s="17"/>
      <c r="X5" s="17"/>
      <c r="Y5" s="17"/>
      <c r="Z5" s="17"/>
      <c r="AA5" s="17"/>
    </row>
    <row r="6" ht="15.75" customHeight="1">
      <c r="A6" s="5">
        <v>1155.0</v>
      </c>
      <c r="B6" s="17" t="s">
        <v>48</v>
      </c>
      <c r="C6" s="5" t="str">
        <f t="shared" si="1"/>
        <v>HDS-07_HCD-FIXED-TYP4_TLF PUMP HOUSE</v>
      </c>
      <c r="D6" s="55" t="s">
        <v>679</v>
      </c>
      <c r="E6" s="56" t="s">
        <v>680</v>
      </c>
      <c r="F6" s="56" t="s">
        <v>681</v>
      </c>
      <c r="G6" s="42" t="s">
        <v>682</v>
      </c>
      <c r="H6" s="42">
        <v>0.0</v>
      </c>
      <c r="I6" s="42" t="s">
        <v>683</v>
      </c>
      <c r="J6" s="42">
        <v>0.0</v>
      </c>
      <c r="K6" s="42" t="s">
        <v>684</v>
      </c>
      <c r="L6" s="42">
        <v>0.0</v>
      </c>
      <c r="M6" s="42" t="s">
        <v>685</v>
      </c>
      <c r="N6" s="42">
        <v>0.0</v>
      </c>
      <c r="O6" s="42" t="s">
        <v>686</v>
      </c>
      <c r="P6" s="42">
        <v>0.0</v>
      </c>
      <c r="Q6" s="31" t="s">
        <v>654</v>
      </c>
      <c r="R6" s="57">
        <v>0.0</v>
      </c>
      <c r="S6" s="17"/>
      <c r="T6" s="17"/>
      <c r="U6" s="17"/>
      <c r="V6" s="17"/>
      <c r="W6" s="17"/>
      <c r="X6" s="17"/>
      <c r="Y6" s="17"/>
      <c r="Z6" s="17"/>
      <c r="AA6" s="17"/>
    </row>
    <row r="7" ht="15.75" customHeight="1">
      <c r="A7" s="5">
        <v>1155.0</v>
      </c>
      <c r="B7" s="17" t="s">
        <v>48</v>
      </c>
      <c r="C7" s="5" t="str">
        <f t="shared" si="1"/>
        <v>HDS-08_HCD-OPEN-TYPE_NEAR TANK-8</v>
      </c>
      <c r="D7" s="55" t="s">
        <v>687</v>
      </c>
      <c r="E7" s="56" t="s">
        <v>688</v>
      </c>
      <c r="F7" s="56" t="s">
        <v>689</v>
      </c>
      <c r="G7" s="42" t="s">
        <v>690</v>
      </c>
      <c r="H7" s="42">
        <v>0.0</v>
      </c>
      <c r="I7" s="42" t="s">
        <v>691</v>
      </c>
      <c r="J7" s="42">
        <v>0.0</v>
      </c>
      <c r="K7" s="42" t="s">
        <v>692</v>
      </c>
      <c r="L7" s="42">
        <v>0.0</v>
      </c>
      <c r="M7" s="42" t="s">
        <v>693</v>
      </c>
      <c r="N7" s="42">
        <v>0.0</v>
      </c>
      <c r="O7" s="42" t="s">
        <v>694</v>
      </c>
      <c r="P7" s="42">
        <v>0.0</v>
      </c>
      <c r="Q7" s="31" t="s">
        <v>654</v>
      </c>
      <c r="R7" s="57">
        <v>0.0</v>
      </c>
      <c r="S7" s="17"/>
      <c r="T7" s="17"/>
      <c r="U7" s="17"/>
      <c r="V7" s="17"/>
      <c r="W7" s="17"/>
      <c r="X7" s="17"/>
      <c r="Y7" s="17"/>
      <c r="Z7" s="17"/>
      <c r="AA7" s="17"/>
    </row>
    <row r="8" ht="15.75" customHeight="1">
      <c r="A8" s="5">
        <v>1155.0</v>
      </c>
      <c r="B8" s="17" t="s">
        <v>48</v>
      </c>
      <c r="C8" s="5" t="str">
        <f t="shared" si="1"/>
        <v>HDS-09_HCD-FIXED-TYPE_NEAR TANK-8</v>
      </c>
      <c r="D8" s="55" t="s">
        <v>695</v>
      </c>
      <c r="E8" s="56" t="s">
        <v>696</v>
      </c>
      <c r="F8" s="56" t="s">
        <v>689</v>
      </c>
      <c r="G8" s="42" t="s">
        <v>697</v>
      </c>
      <c r="H8" s="42">
        <v>0.0</v>
      </c>
      <c r="I8" s="42" t="s">
        <v>698</v>
      </c>
      <c r="J8" s="42">
        <v>0.0</v>
      </c>
      <c r="K8" s="42" t="s">
        <v>699</v>
      </c>
      <c r="L8" s="42">
        <v>0.0</v>
      </c>
      <c r="M8" s="42" t="s">
        <v>700</v>
      </c>
      <c r="N8" s="42">
        <v>0.0</v>
      </c>
      <c r="O8" s="42" t="s">
        <v>701</v>
      </c>
      <c r="P8" s="42">
        <v>0.0</v>
      </c>
      <c r="Q8" s="31" t="s">
        <v>654</v>
      </c>
      <c r="R8" s="57">
        <v>0.0</v>
      </c>
      <c r="S8" s="17"/>
      <c r="T8" s="17"/>
      <c r="U8" s="17"/>
      <c r="V8" s="17"/>
      <c r="W8" s="17"/>
      <c r="X8" s="17"/>
      <c r="Y8" s="17"/>
      <c r="Z8" s="17"/>
      <c r="AA8" s="17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12.63"/>
    <col customWidth="1" min="6" max="6" width="44.0"/>
  </cols>
  <sheetData>
    <row r="1" ht="15.75" customHeight="1">
      <c r="A1" s="36" t="s">
        <v>0</v>
      </c>
      <c r="B1" s="36" t="s">
        <v>1</v>
      </c>
      <c r="C1" s="36" t="s">
        <v>702</v>
      </c>
      <c r="D1" s="37" t="s">
        <v>703</v>
      </c>
      <c r="E1" s="38" t="s">
        <v>704</v>
      </c>
      <c r="F1" s="58" t="s">
        <v>705</v>
      </c>
      <c r="G1" s="17" t="s">
        <v>7</v>
      </c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15.75" customHeight="1">
      <c r="A2" s="5">
        <v>1155.0</v>
      </c>
      <c r="B2" s="8" t="s">
        <v>48</v>
      </c>
      <c r="C2" s="10" t="s">
        <v>706</v>
      </c>
      <c r="D2" s="41" t="s">
        <v>707</v>
      </c>
      <c r="E2" s="41">
        <v>0.0</v>
      </c>
      <c r="F2" s="31" t="s">
        <v>708</v>
      </c>
      <c r="G2" s="57">
        <v>0.0</v>
      </c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5.75" customHeight="1">
      <c r="A3" s="5">
        <v>1155.0</v>
      </c>
      <c r="B3" s="8" t="s">
        <v>48</v>
      </c>
      <c r="C3" s="10" t="s">
        <v>709</v>
      </c>
      <c r="D3" s="42" t="s">
        <v>710</v>
      </c>
      <c r="E3" s="42">
        <v>0.0</v>
      </c>
      <c r="F3" s="31" t="s">
        <v>708</v>
      </c>
      <c r="G3" s="57">
        <v>0.0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6" t="s">
        <v>0</v>
      </c>
      <c r="B1" s="36" t="s">
        <v>1</v>
      </c>
      <c r="C1" s="36" t="s">
        <v>711</v>
      </c>
      <c r="D1" s="37" t="s">
        <v>712</v>
      </c>
      <c r="E1" s="38" t="s">
        <v>713</v>
      </c>
      <c r="F1" s="37" t="s">
        <v>714</v>
      </c>
      <c r="G1" s="38" t="s">
        <v>715</v>
      </c>
      <c r="H1" s="37" t="s">
        <v>716</v>
      </c>
      <c r="I1" s="38" t="s">
        <v>7</v>
      </c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15.75" customHeight="1">
      <c r="A2" s="5">
        <v>1155.0</v>
      </c>
      <c r="B2" s="8" t="s">
        <v>48</v>
      </c>
      <c r="C2" s="5" t="s">
        <v>717</v>
      </c>
      <c r="D2" s="41" t="s">
        <v>718</v>
      </c>
      <c r="E2" s="41">
        <v>0.0</v>
      </c>
      <c r="F2" s="41" t="s">
        <v>719</v>
      </c>
      <c r="G2" s="41">
        <v>0.0</v>
      </c>
      <c r="H2" s="41" t="s">
        <v>720</v>
      </c>
      <c r="I2" s="41">
        <v>1.0</v>
      </c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5.75" customHeight="1">
      <c r="A3" s="5">
        <v>1155.0</v>
      </c>
      <c r="B3" s="8" t="s">
        <v>48</v>
      </c>
      <c r="C3" s="5" t="s">
        <v>721</v>
      </c>
      <c r="D3" s="42" t="s">
        <v>722</v>
      </c>
      <c r="E3" s="42">
        <v>0.0</v>
      </c>
      <c r="F3" s="42" t="s">
        <v>723</v>
      </c>
      <c r="G3" s="42">
        <v>0.0</v>
      </c>
      <c r="H3" s="42" t="s">
        <v>724</v>
      </c>
      <c r="I3" s="42">
        <v>1.0</v>
      </c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36.13"/>
    <col customWidth="1" min="4" max="4" width="12.63"/>
    <col customWidth="1" min="5" max="5" width="27.13"/>
    <col customWidth="1" min="6" max="6" width="37.63"/>
  </cols>
  <sheetData>
    <row r="1" ht="15.75" customHeight="1">
      <c r="A1" s="36" t="s">
        <v>0</v>
      </c>
      <c r="B1" s="36" t="s">
        <v>1</v>
      </c>
      <c r="C1" s="36" t="s">
        <v>2</v>
      </c>
      <c r="D1" s="36" t="s">
        <v>725</v>
      </c>
      <c r="E1" s="36" t="s">
        <v>726</v>
      </c>
      <c r="F1" s="37" t="s">
        <v>727</v>
      </c>
      <c r="G1" s="38" t="s">
        <v>728</v>
      </c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</row>
    <row r="2" ht="15.75" customHeight="1">
      <c r="A2" s="5">
        <v>1155.0</v>
      </c>
      <c r="B2" s="8" t="s">
        <v>48</v>
      </c>
      <c r="C2" s="5" t="str">
        <f t="shared" ref="C2:C10" si="1">CONCATENATE(D2,"_",E2)</f>
        <v>HOOTER1_ANY_HOOTER_FOR_HCD_FIELD</v>
      </c>
      <c r="D2" s="5" t="s">
        <v>729</v>
      </c>
      <c r="E2" s="59" t="s">
        <v>730</v>
      </c>
      <c r="F2" s="60" t="s">
        <v>731</v>
      </c>
      <c r="G2" s="41">
        <v>0.0</v>
      </c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</row>
    <row r="3" ht="15.75" customHeight="1">
      <c r="A3" s="5">
        <v>1155.0</v>
      </c>
      <c r="B3" s="8" t="s">
        <v>48</v>
      </c>
      <c r="C3" s="5" t="str">
        <f t="shared" si="1"/>
        <v>HOOTER2_ACK_STATUS</v>
      </c>
      <c r="D3" s="5" t="s">
        <v>732</v>
      </c>
      <c r="E3" s="56" t="s">
        <v>733</v>
      </c>
      <c r="F3" s="43" t="s">
        <v>734</v>
      </c>
      <c r="G3" s="42">
        <v>0.0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</row>
    <row r="4" ht="15.75" customHeight="1">
      <c r="A4" s="5">
        <v>1155.0</v>
      </c>
      <c r="B4" s="8" t="s">
        <v>48</v>
      </c>
      <c r="C4" s="5" t="str">
        <f t="shared" si="1"/>
        <v>HOOTER3_FIELD_1</v>
      </c>
      <c r="D4" s="5" t="s">
        <v>735</v>
      </c>
      <c r="E4" s="56" t="s">
        <v>736</v>
      </c>
      <c r="F4" s="43" t="s">
        <v>737</v>
      </c>
      <c r="G4" s="42">
        <v>0.0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</row>
    <row r="5" ht="15.75" customHeight="1">
      <c r="A5" s="5">
        <v>1155.0</v>
      </c>
      <c r="B5" s="8" t="s">
        <v>48</v>
      </c>
      <c r="C5" s="5" t="str">
        <f t="shared" si="1"/>
        <v>HOOTER4_FIELD_2</v>
      </c>
      <c r="D5" s="5" t="s">
        <v>738</v>
      </c>
      <c r="E5" s="56" t="s">
        <v>739</v>
      </c>
      <c r="F5" s="43" t="s">
        <v>740</v>
      </c>
      <c r="G5" s="42">
        <v>0.0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6" ht="15.75" customHeight="1">
      <c r="A6" s="5">
        <v>1155.0</v>
      </c>
      <c r="B6" s="8" t="s">
        <v>48</v>
      </c>
      <c r="C6" s="5" t="str">
        <f t="shared" si="1"/>
        <v>HOOTER5_FIELD_3</v>
      </c>
      <c r="D6" s="5" t="s">
        <v>741</v>
      </c>
      <c r="E6" s="56" t="s">
        <v>742</v>
      </c>
      <c r="F6" s="43" t="s">
        <v>743</v>
      </c>
      <c r="G6" s="42">
        <v>0.0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</row>
    <row r="7" ht="15.75" customHeight="1">
      <c r="A7" s="5">
        <v>1155.0</v>
      </c>
      <c r="B7" s="8" t="s">
        <v>48</v>
      </c>
      <c r="C7" s="5" t="str">
        <f t="shared" si="1"/>
        <v>HOOTER6_FOR_ESD_CR</v>
      </c>
      <c r="D7" s="5" t="s">
        <v>744</v>
      </c>
      <c r="E7" s="56" t="s">
        <v>745</v>
      </c>
      <c r="F7" s="43" t="s">
        <v>746</v>
      </c>
      <c r="G7" s="42">
        <v>0.0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</row>
    <row r="8" ht="15.75" customHeight="1">
      <c r="A8" s="5">
        <v>1155.0</v>
      </c>
      <c r="B8" s="8" t="s">
        <v>48</v>
      </c>
      <c r="C8" s="5" t="str">
        <f t="shared" si="1"/>
        <v>HOOTER7_FOR_HC_CR</v>
      </c>
      <c r="D8" s="5" t="s">
        <v>747</v>
      </c>
      <c r="E8" s="56" t="s">
        <v>748</v>
      </c>
      <c r="F8" s="43" t="s">
        <v>654</v>
      </c>
      <c r="G8" s="42">
        <v>0.0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</row>
    <row r="9" ht="15.75" customHeight="1">
      <c r="A9" s="5">
        <v>1155.0</v>
      </c>
      <c r="B9" s="8" t="s">
        <v>48</v>
      </c>
      <c r="C9" s="5" t="str">
        <f t="shared" si="1"/>
        <v>HOOTER8_FOR_RIMSEAL_CR</v>
      </c>
      <c r="D9" s="5" t="s">
        <v>749</v>
      </c>
      <c r="E9" s="56" t="s">
        <v>750</v>
      </c>
      <c r="F9" s="43" t="s">
        <v>751</v>
      </c>
      <c r="G9" s="42">
        <v>0.0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</row>
    <row r="10" ht="15.75" customHeight="1">
      <c r="A10" s="5">
        <v>1155.0</v>
      </c>
      <c r="B10" s="8" t="s">
        <v>48</v>
      </c>
      <c r="C10" s="5" t="str">
        <f t="shared" si="1"/>
        <v>HOOTER9_RESET_STATUS</v>
      </c>
      <c r="D10" s="5" t="s">
        <v>752</v>
      </c>
      <c r="E10" s="56" t="s">
        <v>753</v>
      </c>
      <c r="F10" s="43" t="s">
        <v>754</v>
      </c>
      <c r="G10" s="42">
        <v>0.0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6" t="s">
        <v>0</v>
      </c>
      <c r="B1" s="36" t="s">
        <v>1</v>
      </c>
      <c r="C1" s="36" t="s">
        <v>2</v>
      </c>
      <c r="D1" s="36" t="s">
        <v>755</v>
      </c>
      <c r="E1" s="36" t="s">
        <v>756</v>
      </c>
      <c r="F1" s="36" t="s">
        <v>1</v>
      </c>
      <c r="G1" s="39" t="s">
        <v>757</v>
      </c>
      <c r="H1" s="40" t="s">
        <v>758</v>
      </c>
      <c r="I1" s="39" t="s">
        <v>759</v>
      </c>
      <c r="J1" s="40" t="s">
        <v>760</v>
      </c>
      <c r="K1" s="61" t="s">
        <v>761</v>
      </c>
      <c r="L1" s="61" t="s">
        <v>762</v>
      </c>
      <c r="M1" s="61" t="s">
        <v>763</v>
      </c>
      <c r="N1" s="61" t="s">
        <v>764</v>
      </c>
      <c r="O1" s="61" t="s">
        <v>765</v>
      </c>
      <c r="P1" s="61" t="s">
        <v>766</v>
      </c>
      <c r="Q1" s="61" t="s">
        <v>767</v>
      </c>
      <c r="R1" s="61" t="s">
        <v>768</v>
      </c>
      <c r="S1" s="61" t="s">
        <v>769</v>
      </c>
      <c r="T1" s="61" t="s">
        <v>770</v>
      </c>
      <c r="U1" s="61" t="s">
        <v>771</v>
      </c>
      <c r="V1" s="61" t="s">
        <v>772</v>
      </c>
      <c r="W1" s="61" t="s">
        <v>773</v>
      </c>
      <c r="X1" s="61" t="s">
        <v>774</v>
      </c>
      <c r="Y1" s="61" t="s">
        <v>775</v>
      </c>
      <c r="Z1" s="61" t="s">
        <v>776</v>
      </c>
      <c r="AA1" s="61" t="s">
        <v>777</v>
      </c>
      <c r="AB1" s="61" t="s">
        <v>778</v>
      </c>
      <c r="AC1" s="61" t="s">
        <v>779</v>
      </c>
      <c r="AD1" s="61" t="s">
        <v>780</v>
      </c>
      <c r="AE1" s="61" t="s">
        <v>781</v>
      </c>
      <c r="AF1" s="61" t="s">
        <v>782</v>
      </c>
    </row>
    <row r="2" ht="15.75" customHeight="1">
      <c r="A2" s="5">
        <v>1155.0</v>
      </c>
      <c r="B2" s="8" t="s">
        <v>48</v>
      </c>
      <c r="C2" s="5" t="str">
        <f t="shared" ref="C2:C21" si="1">CONCATENATE(D2,"_",F2)</f>
        <v>ESD-01_INSIDE CONTROLROOM</v>
      </c>
      <c r="D2" s="55" t="s">
        <v>783</v>
      </c>
      <c r="E2" s="56" t="s">
        <v>784</v>
      </c>
      <c r="F2" s="56" t="s">
        <v>785</v>
      </c>
      <c r="G2" s="41" t="s">
        <v>786</v>
      </c>
      <c r="H2" s="41">
        <v>0.0</v>
      </c>
      <c r="I2" s="41" t="s">
        <v>787</v>
      </c>
      <c r="J2" s="41">
        <v>0.0</v>
      </c>
      <c r="K2" s="31" t="s">
        <v>788</v>
      </c>
      <c r="L2" s="5">
        <v>0.0</v>
      </c>
      <c r="M2" s="31" t="s">
        <v>789</v>
      </c>
      <c r="N2" s="5">
        <v>0.0</v>
      </c>
      <c r="O2" s="31" t="s">
        <v>790</v>
      </c>
      <c r="P2" s="5">
        <v>0.0</v>
      </c>
      <c r="Q2" s="31" t="s">
        <v>791</v>
      </c>
      <c r="R2" s="5">
        <v>0.0</v>
      </c>
      <c r="S2" s="31" t="s">
        <v>792</v>
      </c>
      <c r="T2" s="5">
        <v>0.0</v>
      </c>
      <c r="U2" s="31" t="s">
        <v>793</v>
      </c>
      <c r="V2" s="5">
        <v>0.0</v>
      </c>
      <c r="W2" s="31" t="s">
        <v>794</v>
      </c>
      <c r="X2" s="5">
        <v>0.0</v>
      </c>
      <c r="Y2" s="31" t="s">
        <v>795</v>
      </c>
      <c r="Z2" s="5">
        <v>0.0</v>
      </c>
      <c r="AA2" s="31" t="s">
        <v>746</v>
      </c>
      <c r="AB2" s="5">
        <v>0.0</v>
      </c>
      <c r="AC2" s="31" t="s">
        <v>796</v>
      </c>
      <c r="AD2" s="5">
        <v>0.0</v>
      </c>
      <c r="AE2" s="31" t="s">
        <v>797</v>
      </c>
      <c r="AF2" s="57">
        <v>0.0</v>
      </c>
    </row>
    <row r="3" ht="15.75" customHeight="1">
      <c r="A3" s="5">
        <v>1155.0</v>
      </c>
      <c r="B3" s="8" t="s">
        <v>48</v>
      </c>
      <c r="C3" s="5" t="str">
        <f t="shared" si="1"/>
        <v>ESD-02_MCC ROOM</v>
      </c>
      <c r="D3" s="55" t="s">
        <v>798</v>
      </c>
      <c r="E3" s="56" t="s">
        <v>799</v>
      </c>
      <c r="F3" s="56" t="s">
        <v>800</v>
      </c>
      <c r="G3" s="42" t="s">
        <v>801</v>
      </c>
      <c r="H3" s="42">
        <v>0.0</v>
      </c>
      <c r="I3" s="42" t="s">
        <v>802</v>
      </c>
      <c r="J3" s="42">
        <v>0.0</v>
      </c>
      <c r="K3" s="31" t="s">
        <v>788</v>
      </c>
      <c r="L3" s="5">
        <v>0.0</v>
      </c>
      <c r="M3" s="31" t="s">
        <v>789</v>
      </c>
      <c r="N3" s="5">
        <v>0.0</v>
      </c>
      <c r="O3" s="31" t="s">
        <v>790</v>
      </c>
      <c r="P3" s="5">
        <v>0.0</v>
      </c>
      <c r="Q3" s="31" t="s">
        <v>791</v>
      </c>
      <c r="R3" s="5">
        <v>0.0</v>
      </c>
      <c r="S3" s="31" t="s">
        <v>792</v>
      </c>
      <c r="T3" s="5">
        <v>0.0</v>
      </c>
      <c r="U3" s="31" t="s">
        <v>793</v>
      </c>
      <c r="V3" s="5">
        <v>0.0</v>
      </c>
      <c r="W3" s="31" t="s">
        <v>794</v>
      </c>
      <c r="X3" s="5">
        <v>0.0</v>
      </c>
      <c r="Y3" s="31" t="s">
        <v>795</v>
      </c>
      <c r="Z3" s="5">
        <v>0.0</v>
      </c>
      <c r="AA3" s="31" t="s">
        <v>746</v>
      </c>
      <c r="AB3" s="5">
        <v>0.0</v>
      </c>
      <c r="AC3" s="31" t="s">
        <v>796</v>
      </c>
      <c r="AD3" s="5">
        <v>0.0</v>
      </c>
      <c r="AE3" s="31" t="s">
        <v>797</v>
      </c>
      <c r="AF3" s="57">
        <v>0.0</v>
      </c>
    </row>
    <row r="4" ht="15.75" customHeight="1">
      <c r="A4" s="5">
        <v>1155.0</v>
      </c>
      <c r="B4" s="8" t="s">
        <v>48</v>
      </c>
      <c r="C4" s="5" t="str">
        <f t="shared" si="1"/>
        <v>ESD-03_SECURITY ROOM</v>
      </c>
      <c r="D4" s="55" t="s">
        <v>803</v>
      </c>
      <c r="E4" s="56" t="s">
        <v>804</v>
      </c>
      <c r="F4" s="56" t="s">
        <v>805</v>
      </c>
      <c r="G4" s="42" t="s">
        <v>806</v>
      </c>
      <c r="H4" s="42">
        <v>0.0</v>
      </c>
      <c r="I4" s="42" t="s">
        <v>807</v>
      </c>
      <c r="J4" s="42">
        <v>0.0</v>
      </c>
      <c r="K4" s="31" t="s">
        <v>788</v>
      </c>
      <c r="L4" s="5">
        <v>0.0</v>
      </c>
      <c r="M4" s="31" t="s">
        <v>789</v>
      </c>
      <c r="N4" s="5">
        <v>0.0</v>
      </c>
      <c r="O4" s="31" t="s">
        <v>790</v>
      </c>
      <c r="P4" s="5">
        <v>0.0</v>
      </c>
      <c r="Q4" s="31" t="s">
        <v>791</v>
      </c>
      <c r="R4" s="5">
        <v>0.0</v>
      </c>
      <c r="S4" s="31" t="s">
        <v>792</v>
      </c>
      <c r="T4" s="5">
        <v>0.0</v>
      </c>
      <c r="U4" s="31" t="s">
        <v>793</v>
      </c>
      <c r="V4" s="5">
        <v>0.0</v>
      </c>
      <c r="W4" s="31" t="s">
        <v>794</v>
      </c>
      <c r="X4" s="5">
        <v>0.0</v>
      </c>
      <c r="Y4" s="31" t="s">
        <v>795</v>
      </c>
      <c r="Z4" s="5">
        <v>0.0</v>
      </c>
      <c r="AA4" s="31" t="s">
        <v>746</v>
      </c>
      <c r="AB4" s="5">
        <v>0.0</v>
      </c>
      <c r="AC4" s="31" t="s">
        <v>796</v>
      </c>
      <c r="AD4" s="5">
        <v>0.0</v>
      </c>
      <c r="AE4" s="31" t="s">
        <v>797</v>
      </c>
      <c r="AF4" s="57">
        <v>0.0</v>
      </c>
    </row>
    <row r="5" ht="15.75" customHeight="1">
      <c r="A5" s="5">
        <v>1155.0</v>
      </c>
      <c r="B5" s="8" t="s">
        <v>48</v>
      </c>
      <c r="C5" s="5" t="str">
        <f t="shared" si="1"/>
        <v>ESD-04_PLT PUMP HOUSE</v>
      </c>
      <c r="D5" s="55" t="s">
        <v>808</v>
      </c>
      <c r="E5" s="56" t="s">
        <v>809</v>
      </c>
      <c r="F5" s="56" t="s">
        <v>665</v>
      </c>
      <c r="G5" s="42" t="s">
        <v>810</v>
      </c>
      <c r="H5" s="42">
        <v>0.0</v>
      </c>
      <c r="I5" s="42" t="s">
        <v>811</v>
      </c>
      <c r="J5" s="42">
        <v>0.0</v>
      </c>
      <c r="K5" s="31" t="s">
        <v>788</v>
      </c>
      <c r="L5" s="5">
        <v>0.0</v>
      </c>
      <c r="M5" s="31" t="s">
        <v>789</v>
      </c>
      <c r="N5" s="5">
        <v>0.0</v>
      </c>
      <c r="O5" s="31" t="s">
        <v>790</v>
      </c>
      <c r="P5" s="5">
        <v>0.0</v>
      </c>
      <c r="Q5" s="31" t="s">
        <v>791</v>
      </c>
      <c r="R5" s="5">
        <v>0.0</v>
      </c>
      <c r="S5" s="31" t="s">
        <v>792</v>
      </c>
      <c r="T5" s="5">
        <v>0.0</v>
      </c>
      <c r="U5" s="31" t="s">
        <v>793</v>
      </c>
      <c r="V5" s="5">
        <v>0.0</v>
      </c>
      <c r="W5" s="31" t="s">
        <v>794</v>
      </c>
      <c r="X5" s="5">
        <v>0.0</v>
      </c>
      <c r="Y5" s="31" t="s">
        <v>795</v>
      </c>
      <c r="Z5" s="5">
        <v>0.0</v>
      </c>
      <c r="AA5" s="31" t="s">
        <v>746</v>
      </c>
      <c r="AB5" s="5">
        <v>0.0</v>
      </c>
      <c r="AC5" s="31" t="s">
        <v>796</v>
      </c>
      <c r="AD5" s="5">
        <v>0.0</v>
      </c>
      <c r="AE5" s="31" t="s">
        <v>797</v>
      </c>
      <c r="AF5" s="57">
        <v>0.0</v>
      </c>
    </row>
    <row r="6" ht="15.75" customHeight="1">
      <c r="A6" s="5">
        <v>1155.0</v>
      </c>
      <c r="B6" s="8" t="s">
        <v>48</v>
      </c>
      <c r="C6" s="5" t="str">
        <f t="shared" si="1"/>
        <v>ESD-05_LOCATION IN CHARGE ROOM</v>
      </c>
      <c r="D6" s="55" t="s">
        <v>812</v>
      </c>
      <c r="E6" s="56" t="s">
        <v>813</v>
      </c>
      <c r="F6" s="56" t="s">
        <v>814</v>
      </c>
      <c r="G6" s="42" t="s">
        <v>815</v>
      </c>
      <c r="H6" s="42">
        <v>0.0</v>
      </c>
      <c r="I6" s="42" t="s">
        <v>816</v>
      </c>
      <c r="J6" s="42">
        <v>0.0</v>
      </c>
      <c r="K6" s="31" t="s">
        <v>788</v>
      </c>
      <c r="L6" s="5">
        <v>0.0</v>
      </c>
      <c r="M6" s="31" t="s">
        <v>789</v>
      </c>
      <c r="N6" s="5">
        <v>0.0</v>
      </c>
      <c r="O6" s="31" t="s">
        <v>790</v>
      </c>
      <c r="P6" s="5">
        <v>0.0</v>
      </c>
      <c r="Q6" s="31" t="s">
        <v>791</v>
      </c>
      <c r="R6" s="5">
        <v>0.0</v>
      </c>
      <c r="S6" s="31" t="s">
        <v>792</v>
      </c>
      <c r="T6" s="5">
        <v>0.0</v>
      </c>
      <c r="U6" s="31" t="s">
        <v>793</v>
      </c>
      <c r="V6" s="5">
        <v>0.0</v>
      </c>
      <c r="W6" s="31" t="s">
        <v>794</v>
      </c>
      <c r="X6" s="5">
        <v>0.0</v>
      </c>
      <c r="Y6" s="31" t="s">
        <v>795</v>
      </c>
      <c r="Z6" s="5">
        <v>0.0</v>
      </c>
      <c r="AA6" s="31" t="s">
        <v>746</v>
      </c>
      <c r="AB6" s="5">
        <v>0.0</v>
      </c>
      <c r="AC6" s="31" t="s">
        <v>796</v>
      </c>
      <c r="AD6" s="5">
        <v>0.0</v>
      </c>
      <c r="AE6" s="31" t="s">
        <v>797</v>
      </c>
      <c r="AF6" s="57">
        <v>0.0</v>
      </c>
    </row>
    <row r="7" ht="15.75" customHeight="1">
      <c r="A7" s="5">
        <v>1155.0</v>
      </c>
      <c r="B7" s="8" t="s">
        <v>48</v>
      </c>
      <c r="C7" s="5" t="str">
        <f t="shared" si="1"/>
        <v>ESD-06_NEAR LUBE GODOWN - 1</v>
      </c>
      <c r="D7" s="55" t="s">
        <v>817</v>
      </c>
      <c r="E7" s="56" t="s">
        <v>818</v>
      </c>
      <c r="F7" s="56" t="s">
        <v>819</v>
      </c>
      <c r="G7" s="42" t="s">
        <v>820</v>
      </c>
      <c r="H7" s="42">
        <v>0.0</v>
      </c>
      <c r="I7" s="42" t="s">
        <v>821</v>
      </c>
      <c r="J7" s="42">
        <v>0.0</v>
      </c>
      <c r="K7" s="31" t="s">
        <v>788</v>
      </c>
      <c r="L7" s="5">
        <v>0.0</v>
      </c>
      <c r="M7" s="31" t="s">
        <v>789</v>
      </c>
      <c r="N7" s="5">
        <v>0.0</v>
      </c>
      <c r="O7" s="31" t="s">
        <v>790</v>
      </c>
      <c r="P7" s="5">
        <v>0.0</v>
      </c>
      <c r="Q7" s="31" t="s">
        <v>791</v>
      </c>
      <c r="R7" s="5">
        <v>0.0</v>
      </c>
      <c r="S7" s="31" t="s">
        <v>792</v>
      </c>
      <c r="T7" s="5">
        <v>0.0</v>
      </c>
      <c r="U7" s="31" t="s">
        <v>793</v>
      </c>
      <c r="V7" s="5">
        <v>0.0</v>
      </c>
      <c r="W7" s="31" t="s">
        <v>794</v>
      </c>
      <c r="X7" s="5">
        <v>0.0</v>
      </c>
      <c r="Y7" s="31" t="s">
        <v>795</v>
      </c>
      <c r="Z7" s="5">
        <v>0.0</v>
      </c>
      <c r="AA7" s="31" t="s">
        <v>746</v>
      </c>
      <c r="AB7" s="5">
        <v>0.0</v>
      </c>
      <c r="AC7" s="31" t="s">
        <v>796</v>
      </c>
      <c r="AD7" s="5">
        <v>0.0</v>
      </c>
      <c r="AE7" s="31" t="s">
        <v>797</v>
      </c>
      <c r="AF7" s="57">
        <v>0.0</v>
      </c>
    </row>
    <row r="8" ht="15.75" customHeight="1">
      <c r="A8" s="5">
        <v>1155.0</v>
      </c>
      <c r="B8" s="8" t="s">
        <v>48</v>
      </c>
      <c r="C8" s="5" t="str">
        <f t="shared" si="1"/>
        <v>ESD-07_NEAR FIRE WATER PUMP HOUSE</v>
      </c>
      <c r="D8" s="55" t="s">
        <v>822</v>
      </c>
      <c r="E8" s="56" t="s">
        <v>823</v>
      </c>
      <c r="F8" s="56" t="s">
        <v>824</v>
      </c>
      <c r="G8" s="42" t="s">
        <v>825</v>
      </c>
      <c r="H8" s="42">
        <v>0.0</v>
      </c>
      <c r="I8" s="42" t="s">
        <v>826</v>
      </c>
      <c r="J8" s="42">
        <v>0.0</v>
      </c>
      <c r="K8" s="31" t="s">
        <v>788</v>
      </c>
      <c r="L8" s="5">
        <v>0.0</v>
      </c>
      <c r="M8" s="31" t="s">
        <v>789</v>
      </c>
      <c r="N8" s="5">
        <v>0.0</v>
      </c>
      <c r="O8" s="31" t="s">
        <v>790</v>
      </c>
      <c r="P8" s="5">
        <v>0.0</v>
      </c>
      <c r="Q8" s="31" t="s">
        <v>791</v>
      </c>
      <c r="R8" s="5">
        <v>0.0</v>
      </c>
      <c r="S8" s="31" t="s">
        <v>792</v>
      </c>
      <c r="T8" s="5">
        <v>0.0</v>
      </c>
      <c r="U8" s="31" t="s">
        <v>793</v>
      </c>
      <c r="V8" s="5">
        <v>0.0</v>
      </c>
      <c r="W8" s="31" t="s">
        <v>794</v>
      </c>
      <c r="X8" s="5">
        <v>0.0</v>
      </c>
      <c r="Y8" s="31" t="s">
        <v>795</v>
      </c>
      <c r="Z8" s="5">
        <v>0.0</v>
      </c>
      <c r="AA8" s="31" t="s">
        <v>746</v>
      </c>
      <c r="AB8" s="5">
        <v>0.0</v>
      </c>
      <c r="AC8" s="31" t="s">
        <v>796</v>
      </c>
      <c r="AD8" s="5">
        <v>0.0</v>
      </c>
      <c r="AE8" s="31" t="s">
        <v>797</v>
      </c>
      <c r="AF8" s="57">
        <v>0.0</v>
      </c>
    </row>
    <row r="9" ht="15.75" customHeight="1">
      <c r="A9" s="5">
        <v>1155.0</v>
      </c>
      <c r="B9" s="8" t="s">
        <v>48</v>
      </c>
      <c r="C9" s="5" t="str">
        <f t="shared" si="1"/>
        <v>ESD-08_IN BETWEEN TK-08 AND TK-09 CATWALK SIDE</v>
      </c>
      <c r="D9" s="55" t="s">
        <v>827</v>
      </c>
      <c r="E9" s="56" t="s">
        <v>828</v>
      </c>
      <c r="F9" s="56" t="s">
        <v>829</v>
      </c>
      <c r="G9" s="42" t="s">
        <v>830</v>
      </c>
      <c r="H9" s="42">
        <v>0.0</v>
      </c>
      <c r="I9" s="42" t="s">
        <v>831</v>
      </c>
      <c r="J9" s="42">
        <v>0.0</v>
      </c>
      <c r="K9" s="31" t="s">
        <v>788</v>
      </c>
      <c r="L9" s="5">
        <v>0.0</v>
      </c>
      <c r="M9" s="31" t="s">
        <v>789</v>
      </c>
      <c r="N9" s="5">
        <v>0.0</v>
      </c>
      <c r="O9" s="31" t="s">
        <v>790</v>
      </c>
      <c r="P9" s="5">
        <v>0.0</v>
      </c>
      <c r="Q9" s="31" t="s">
        <v>791</v>
      </c>
      <c r="R9" s="5">
        <v>0.0</v>
      </c>
      <c r="S9" s="31" t="s">
        <v>792</v>
      </c>
      <c r="T9" s="5">
        <v>0.0</v>
      </c>
      <c r="U9" s="31" t="s">
        <v>793</v>
      </c>
      <c r="V9" s="5">
        <v>0.0</v>
      </c>
      <c r="W9" s="31" t="s">
        <v>794</v>
      </c>
      <c r="X9" s="5">
        <v>0.0</v>
      </c>
      <c r="Y9" s="31" t="s">
        <v>795</v>
      </c>
      <c r="Z9" s="5">
        <v>0.0</v>
      </c>
      <c r="AA9" s="31" t="s">
        <v>746</v>
      </c>
      <c r="AB9" s="5">
        <v>0.0</v>
      </c>
      <c r="AC9" s="31" t="s">
        <v>796</v>
      </c>
      <c r="AD9" s="5">
        <v>0.0</v>
      </c>
      <c r="AE9" s="31" t="s">
        <v>797</v>
      </c>
      <c r="AF9" s="57">
        <v>0.0</v>
      </c>
    </row>
    <row r="10" ht="15.75" customHeight="1">
      <c r="A10" s="5">
        <v>1155.0</v>
      </c>
      <c r="B10" s="8" t="s">
        <v>48</v>
      </c>
      <c r="C10" s="5" t="str">
        <f t="shared" si="1"/>
        <v>ESD-09_NEAR TANK-10 CATWALK SIDE</v>
      </c>
      <c r="D10" s="55" t="s">
        <v>832</v>
      </c>
      <c r="E10" s="56" t="s">
        <v>833</v>
      </c>
      <c r="F10" s="56" t="s">
        <v>834</v>
      </c>
      <c r="G10" s="42" t="s">
        <v>835</v>
      </c>
      <c r="H10" s="42">
        <v>0.0</v>
      </c>
      <c r="I10" s="42" t="s">
        <v>836</v>
      </c>
      <c r="J10" s="42">
        <v>0.0</v>
      </c>
      <c r="K10" s="31" t="s">
        <v>788</v>
      </c>
      <c r="L10" s="5">
        <v>0.0</v>
      </c>
      <c r="M10" s="31" t="s">
        <v>789</v>
      </c>
      <c r="N10" s="5">
        <v>0.0</v>
      </c>
      <c r="O10" s="31" t="s">
        <v>790</v>
      </c>
      <c r="P10" s="5">
        <v>0.0</v>
      </c>
      <c r="Q10" s="31" t="s">
        <v>791</v>
      </c>
      <c r="R10" s="5">
        <v>0.0</v>
      </c>
      <c r="S10" s="31" t="s">
        <v>792</v>
      </c>
      <c r="T10" s="5">
        <v>0.0</v>
      </c>
      <c r="U10" s="31" t="s">
        <v>793</v>
      </c>
      <c r="V10" s="5">
        <v>0.0</v>
      </c>
      <c r="W10" s="31" t="s">
        <v>794</v>
      </c>
      <c r="X10" s="5">
        <v>0.0</v>
      </c>
      <c r="Y10" s="31" t="s">
        <v>795</v>
      </c>
      <c r="Z10" s="5">
        <v>0.0</v>
      </c>
      <c r="AA10" s="31" t="s">
        <v>746</v>
      </c>
      <c r="AB10" s="5">
        <v>0.0</v>
      </c>
      <c r="AC10" s="31" t="s">
        <v>796</v>
      </c>
      <c r="AD10" s="5">
        <v>0.0</v>
      </c>
      <c r="AE10" s="31" t="s">
        <v>797</v>
      </c>
      <c r="AF10" s="57">
        <v>0.0</v>
      </c>
    </row>
    <row r="11" ht="15.75" customHeight="1">
      <c r="A11" s="5">
        <v>1155.0</v>
      </c>
      <c r="B11" s="8" t="s">
        <v>48</v>
      </c>
      <c r="C11" s="5" t="str">
        <f t="shared" si="1"/>
        <v>ESD-10_NEAR BULK AIR ELUMINATER</v>
      </c>
      <c r="D11" s="55" t="s">
        <v>837</v>
      </c>
      <c r="E11" s="56" t="s">
        <v>838</v>
      </c>
      <c r="F11" s="56" t="s">
        <v>839</v>
      </c>
      <c r="G11" s="42" t="s">
        <v>840</v>
      </c>
      <c r="H11" s="42">
        <v>0.0</v>
      </c>
      <c r="I11" s="42" t="s">
        <v>841</v>
      </c>
      <c r="J11" s="42">
        <v>0.0</v>
      </c>
      <c r="K11" s="31" t="s">
        <v>788</v>
      </c>
      <c r="L11" s="5">
        <v>0.0</v>
      </c>
      <c r="M11" s="31" t="s">
        <v>789</v>
      </c>
      <c r="N11" s="5">
        <v>0.0</v>
      </c>
      <c r="O11" s="31" t="s">
        <v>790</v>
      </c>
      <c r="P11" s="5">
        <v>0.0</v>
      </c>
      <c r="Q11" s="31" t="s">
        <v>791</v>
      </c>
      <c r="R11" s="5">
        <v>0.0</v>
      </c>
      <c r="S11" s="31" t="s">
        <v>792</v>
      </c>
      <c r="T11" s="5">
        <v>0.0</v>
      </c>
      <c r="U11" s="31" t="s">
        <v>793</v>
      </c>
      <c r="V11" s="5">
        <v>0.0</v>
      </c>
      <c r="W11" s="31" t="s">
        <v>794</v>
      </c>
      <c r="X11" s="5">
        <v>0.0</v>
      </c>
      <c r="Y11" s="31" t="s">
        <v>795</v>
      </c>
      <c r="Z11" s="5">
        <v>0.0</v>
      </c>
      <c r="AA11" s="31" t="s">
        <v>746</v>
      </c>
      <c r="AB11" s="5">
        <v>0.0</v>
      </c>
      <c r="AC11" s="31" t="s">
        <v>796</v>
      </c>
      <c r="AD11" s="5">
        <v>0.0</v>
      </c>
      <c r="AE11" s="31" t="s">
        <v>797</v>
      </c>
      <c r="AF11" s="57">
        <v>0.0</v>
      </c>
    </row>
    <row r="12" ht="15.75" customHeight="1">
      <c r="A12" s="5">
        <v>1155.0</v>
      </c>
      <c r="B12" s="8" t="s">
        <v>48</v>
      </c>
      <c r="C12" s="5" t="str">
        <f t="shared" si="1"/>
        <v>ESD-11_TLF PUMP HOUSE</v>
      </c>
      <c r="D12" s="55" t="s">
        <v>842</v>
      </c>
      <c r="E12" s="56" t="s">
        <v>843</v>
      </c>
      <c r="F12" s="56" t="s">
        <v>681</v>
      </c>
      <c r="G12" s="42" t="s">
        <v>844</v>
      </c>
      <c r="H12" s="42">
        <v>0.0</v>
      </c>
      <c r="I12" s="42" t="s">
        <v>845</v>
      </c>
      <c r="J12" s="42">
        <v>0.0</v>
      </c>
      <c r="K12" s="31" t="s">
        <v>788</v>
      </c>
      <c r="L12" s="5">
        <v>0.0</v>
      </c>
      <c r="M12" s="31" t="s">
        <v>789</v>
      </c>
      <c r="N12" s="5">
        <v>0.0</v>
      </c>
      <c r="O12" s="31" t="s">
        <v>790</v>
      </c>
      <c r="P12" s="5">
        <v>0.0</v>
      </c>
      <c r="Q12" s="31" t="s">
        <v>791</v>
      </c>
      <c r="R12" s="5">
        <v>0.0</v>
      </c>
      <c r="S12" s="31" t="s">
        <v>792</v>
      </c>
      <c r="T12" s="5">
        <v>0.0</v>
      </c>
      <c r="U12" s="31" t="s">
        <v>793</v>
      </c>
      <c r="V12" s="5">
        <v>0.0</v>
      </c>
      <c r="W12" s="31" t="s">
        <v>794</v>
      </c>
      <c r="X12" s="5">
        <v>0.0</v>
      </c>
      <c r="Y12" s="31" t="s">
        <v>795</v>
      </c>
      <c r="Z12" s="5">
        <v>0.0</v>
      </c>
      <c r="AA12" s="31" t="s">
        <v>746</v>
      </c>
      <c r="AB12" s="5">
        <v>0.0</v>
      </c>
      <c r="AC12" s="31" t="s">
        <v>796</v>
      </c>
      <c r="AD12" s="5">
        <v>0.0</v>
      </c>
      <c r="AE12" s="31" t="s">
        <v>797</v>
      </c>
      <c r="AF12" s="57">
        <v>0.0</v>
      </c>
    </row>
    <row r="13" ht="15.75" customHeight="1">
      <c r="A13" s="5">
        <v>1155.0</v>
      </c>
      <c r="B13" s="8" t="s">
        <v>48</v>
      </c>
      <c r="C13" s="5" t="str">
        <f t="shared" si="1"/>
        <v>ESD-12_NEAR U/G TANK - 15/16 (BEHIND GANTRY)</v>
      </c>
      <c r="D13" s="55" t="s">
        <v>846</v>
      </c>
      <c r="E13" s="56" t="s">
        <v>847</v>
      </c>
      <c r="F13" s="56" t="s">
        <v>848</v>
      </c>
      <c r="G13" s="42" t="s">
        <v>849</v>
      </c>
      <c r="H13" s="42">
        <v>0.0</v>
      </c>
      <c r="I13" s="42" t="s">
        <v>850</v>
      </c>
      <c r="J13" s="43"/>
      <c r="K13" s="31" t="s">
        <v>788</v>
      </c>
      <c r="L13" s="5">
        <v>0.0</v>
      </c>
      <c r="M13" s="31" t="s">
        <v>789</v>
      </c>
      <c r="N13" s="5">
        <v>0.0</v>
      </c>
      <c r="O13" s="31" t="s">
        <v>790</v>
      </c>
      <c r="P13" s="5">
        <v>0.0</v>
      </c>
      <c r="Q13" s="31" t="s">
        <v>791</v>
      </c>
      <c r="R13" s="5">
        <v>0.0</v>
      </c>
      <c r="S13" s="31" t="s">
        <v>792</v>
      </c>
      <c r="T13" s="5">
        <v>0.0</v>
      </c>
      <c r="U13" s="31" t="s">
        <v>793</v>
      </c>
      <c r="V13" s="5">
        <v>0.0</v>
      </c>
      <c r="W13" s="31" t="s">
        <v>794</v>
      </c>
      <c r="X13" s="5">
        <v>0.0</v>
      </c>
      <c r="Y13" s="31" t="s">
        <v>795</v>
      </c>
      <c r="Z13" s="5">
        <v>0.0</v>
      </c>
      <c r="AA13" s="31" t="s">
        <v>746</v>
      </c>
      <c r="AB13" s="5">
        <v>0.0</v>
      </c>
      <c r="AC13" s="31" t="s">
        <v>796</v>
      </c>
      <c r="AD13" s="5">
        <v>0.0</v>
      </c>
      <c r="AE13" s="31" t="s">
        <v>797</v>
      </c>
      <c r="AF13" s="57">
        <v>0.0</v>
      </c>
    </row>
    <row r="14" ht="15.75" customHeight="1">
      <c r="A14" s="5">
        <v>1155.0</v>
      </c>
      <c r="B14" s="8" t="s">
        <v>48</v>
      </c>
      <c r="C14" s="5" t="str">
        <f t="shared" si="1"/>
        <v>ESD-13_IN BETWEEN TK-11 and TK-12 CATWALK SIDE</v>
      </c>
      <c r="D14" s="55" t="s">
        <v>851</v>
      </c>
      <c r="E14" s="56" t="s">
        <v>852</v>
      </c>
      <c r="F14" s="56" t="s">
        <v>853</v>
      </c>
      <c r="G14" s="42" t="s">
        <v>854</v>
      </c>
      <c r="H14" s="42">
        <v>0.0</v>
      </c>
      <c r="I14" s="42" t="s">
        <v>855</v>
      </c>
      <c r="J14" s="43"/>
      <c r="K14" s="31" t="s">
        <v>788</v>
      </c>
      <c r="L14" s="5">
        <v>0.0</v>
      </c>
      <c r="M14" s="31" t="s">
        <v>789</v>
      </c>
      <c r="N14" s="5">
        <v>0.0</v>
      </c>
      <c r="O14" s="31" t="s">
        <v>790</v>
      </c>
      <c r="P14" s="5">
        <v>0.0</v>
      </c>
      <c r="Q14" s="31" t="s">
        <v>791</v>
      </c>
      <c r="R14" s="5">
        <v>0.0</v>
      </c>
      <c r="S14" s="31" t="s">
        <v>792</v>
      </c>
      <c r="T14" s="5">
        <v>0.0</v>
      </c>
      <c r="U14" s="31" t="s">
        <v>793</v>
      </c>
      <c r="V14" s="5">
        <v>0.0</v>
      </c>
      <c r="W14" s="31" t="s">
        <v>794</v>
      </c>
      <c r="X14" s="5">
        <v>0.0</v>
      </c>
      <c r="Y14" s="31" t="s">
        <v>795</v>
      </c>
      <c r="Z14" s="5">
        <v>0.0</v>
      </c>
      <c r="AA14" s="31" t="s">
        <v>746</v>
      </c>
      <c r="AB14" s="5">
        <v>0.0</v>
      </c>
      <c r="AC14" s="31" t="s">
        <v>796</v>
      </c>
      <c r="AD14" s="5">
        <v>0.0</v>
      </c>
      <c r="AE14" s="31" t="s">
        <v>797</v>
      </c>
      <c r="AF14" s="57">
        <v>0.0</v>
      </c>
    </row>
    <row r="15" ht="15.75" customHeight="1">
      <c r="A15" s="5">
        <v>1155.0</v>
      </c>
      <c r="B15" s="8" t="s">
        <v>48</v>
      </c>
      <c r="C15" s="5" t="str">
        <f t="shared" si="1"/>
        <v>ESD-14_GANTRY CABIN</v>
      </c>
      <c r="D15" s="55" t="s">
        <v>856</v>
      </c>
      <c r="E15" s="56" t="s">
        <v>857</v>
      </c>
      <c r="F15" s="56" t="s">
        <v>858</v>
      </c>
      <c r="G15" s="42" t="s">
        <v>859</v>
      </c>
      <c r="H15" s="42">
        <v>0.0</v>
      </c>
      <c r="I15" s="42" t="s">
        <v>860</v>
      </c>
      <c r="J15" s="43"/>
      <c r="K15" s="31" t="s">
        <v>788</v>
      </c>
      <c r="L15" s="5">
        <v>0.0</v>
      </c>
      <c r="M15" s="31" t="s">
        <v>789</v>
      </c>
      <c r="N15" s="5">
        <v>0.0</v>
      </c>
      <c r="O15" s="31" t="s">
        <v>790</v>
      </c>
      <c r="P15" s="5">
        <v>0.0</v>
      </c>
      <c r="Q15" s="31" t="s">
        <v>791</v>
      </c>
      <c r="R15" s="5">
        <v>0.0</v>
      </c>
      <c r="S15" s="31" t="s">
        <v>792</v>
      </c>
      <c r="T15" s="5">
        <v>0.0</v>
      </c>
      <c r="U15" s="31" t="s">
        <v>793</v>
      </c>
      <c r="V15" s="5">
        <v>0.0</v>
      </c>
      <c r="W15" s="31" t="s">
        <v>794</v>
      </c>
      <c r="X15" s="5">
        <v>0.0</v>
      </c>
      <c r="Y15" s="31" t="s">
        <v>795</v>
      </c>
      <c r="Z15" s="5">
        <v>0.0</v>
      </c>
      <c r="AA15" s="31" t="s">
        <v>746</v>
      </c>
      <c r="AB15" s="5">
        <v>0.0</v>
      </c>
      <c r="AC15" s="31" t="s">
        <v>796</v>
      </c>
      <c r="AD15" s="5">
        <v>0.0</v>
      </c>
      <c r="AE15" s="31" t="s">
        <v>797</v>
      </c>
      <c r="AF15" s="57">
        <v>0.0</v>
      </c>
    </row>
    <row r="16" ht="15.75" customHeight="1">
      <c r="A16" s="5">
        <v>1155.0</v>
      </c>
      <c r="B16" s="8" t="s">
        <v>48</v>
      </c>
      <c r="C16" s="5" t="str">
        <f t="shared" si="1"/>
        <v>ESD-15_GANTRY BAY 2 STAIRCASE</v>
      </c>
      <c r="D16" s="55" t="s">
        <v>861</v>
      </c>
      <c r="E16" s="56" t="s">
        <v>862</v>
      </c>
      <c r="F16" s="56" t="s">
        <v>863</v>
      </c>
      <c r="G16" s="42" t="s">
        <v>864</v>
      </c>
      <c r="H16" s="42">
        <v>0.0</v>
      </c>
      <c r="I16" s="42" t="s">
        <v>865</v>
      </c>
      <c r="J16" s="42">
        <v>0.0</v>
      </c>
      <c r="K16" s="31" t="s">
        <v>788</v>
      </c>
      <c r="L16" s="5">
        <v>0.0</v>
      </c>
      <c r="M16" s="31" t="s">
        <v>789</v>
      </c>
      <c r="N16" s="5">
        <v>0.0</v>
      </c>
      <c r="O16" s="31" t="s">
        <v>790</v>
      </c>
      <c r="P16" s="5">
        <v>0.0</v>
      </c>
      <c r="Q16" s="31" t="s">
        <v>791</v>
      </c>
      <c r="R16" s="5">
        <v>0.0</v>
      </c>
      <c r="S16" s="31" t="s">
        <v>792</v>
      </c>
      <c r="T16" s="5">
        <v>0.0</v>
      </c>
      <c r="U16" s="31" t="s">
        <v>793</v>
      </c>
      <c r="V16" s="5">
        <v>0.0</v>
      </c>
      <c r="W16" s="31" t="s">
        <v>794</v>
      </c>
      <c r="X16" s="5">
        <v>0.0</v>
      </c>
      <c r="Y16" s="31" t="s">
        <v>795</v>
      </c>
      <c r="Z16" s="5">
        <v>0.0</v>
      </c>
      <c r="AA16" s="31" t="s">
        <v>746</v>
      </c>
      <c r="AB16" s="5">
        <v>0.0</v>
      </c>
      <c r="AC16" s="31" t="s">
        <v>796</v>
      </c>
      <c r="AD16" s="5">
        <v>0.0</v>
      </c>
      <c r="AE16" s="31" t="s">
        <v>797</v>
      </c>
      <c r="AF16" s="57">
        <v>0.0</v>
      </c>
    </row>
    <row r="17" ht="15.75" customHeight="1">
      <c r="A17" s="5">
        <v>1155.0</v>
      </c>
      <c r="B17" s="8" t="s">
        <v>48</v>
      </c>
      <c r="C17" s="5" t="str">
        <f t="shared" si="1"/>
        <v>ESD-16_CENTRAL ESD</v>
      </c>
      <c r="D17" s="55" t="s">
        <v>866</v>
      </c>
      <c r="E17" s="56" t="s">
        <v>867</v>
      </c>
      <c r="F17" s="56" t="s">
        <v>868</v>
      </c>
      <c r="G17" s="42" t="s">
        <v>869</v>
      </c>
      <c r="H17" s="42">
        <v>0.0</v>
      </c>
      <c r="I17" s="43"/>
      <c r="J17" s="42">
        <v>0.0</v>
      </c>
      <c r="K17" s="31" t="s">
        <v>788</v>
      </c>
      <c r="L17" s="5">
        <v>0.0</v>
      </c>
      <c r="M17" s="31" t="s">
        <v>789</v>
      </c>
      <c r="N17" s="5">
        <v>0.0</v>
      </c>
      <c r="O17" s="31" t="s">
        <v>790</v>
      </c>
      <c r="P17" s="5">
        <v>0.0</v>
      </c>
      <c r="Q17" s="31" t="s">
        <v>791</v>
      </c>
      <c r="R17" s="5">
        <v>0.0</v>
      </c>
      <c r="S17" s="31" t="s">
        <v>792</v>
      </c>
      <c r="T17" s="5">
        <v>0.0</v>
      </c>
      <c r="U17" s="31" t="s">
        <v>793</v>
      </c>
      <c r="V17" s="5">
        <v>0.0</v>
      </c>
      <c r="W17" s="31" t="s">
        <v>794</v>
      </c>
      <c r="X17" s="5">
        <v>0.0</v>
      </c>
      <c r="Y17" s="31" t="s">
        <v>795</v>
      </c>
      <c r="Z17" s="5">
        <v>0.0</v>
      </c>
      <c r="AA17" s="31" t="s">
        <v>746</v>
      </c>
      <c r="AB17" s="5">
        <v>0.0</v>
      </c>
      <c r="AC17" s="31" t="s">
        <v>796</v>
      </c>
      <c r="AD17" s="5">
        <v>0.0</v>
      </c>
      <c r="AE17" s="31" t="s">
        <v>797</v>
      </c>
      <c r="AF17" s="57">
        <v>0.0</v>
      </c>
    </row>
    <row r="18" ht="15.75" customHeight="1">
      <c r="A18" s="5">
        <v>1155.0</v>
      </c>
      <c r="B18" s="8" t="s">
        <v>48</v>
      </c>
      <c r="C18" s="5" t="str">
        <f t="shared" si="1"/>
        <v>ESD-17_ESD DUE TO VIBRATING FORK</v>
      </c>
      <c r="D18" s="55" t="s">
        <v>870</v>
      </c>
      <c r="E18" s="56" t="s">
        <v>871</v>
      </c>
      <c r="F18" s="56" t="s">
        <v>872</v>
      </c>
      <c r="G18" s="42" t="s">
        <v>873</v>
      </c>
      <c r="H18" s="42">
        <v>0.0</v>
      </c>
      <c r="I18" s="43"/>
      <c r="J18" s="42">
        <v>0.0</v>
      </c>
      <c r="K18" s="31" t="s">
        <v>788</v>
      </c>
      <c r="L18" s="5">
        <v>0.0</v>
      </c>
      <c r="M18" s="31" t="s">
        <v>789</v>
      </c>
      <c r="N18" s="5">
        <v>0.0</v>
      </c>
      <c r="O18" s="31" t="s">
        <v>790</v>
      </c>
      <c r="P18" s="5">
        <v>0.0</v>
      </c>
      <c r="Q18" s="31" t="s">
        <v>791</v>
      </c>
      <c r="R18" s="5">
        <v>0.0</v>
      </c>
      <c r="S18" s="31" t="s">
        <v>792</v>
      </c>
      <c r="T18" s="5">
        <v>0.0</v>
      </c>
      <c r="U18" s="31" t="s">
        <v>793</v>
      </c>
      <c r="V18" s="5">
        <v>0.0</v>
      </c>
      <c r="W18" s="31" t="s">
        <v>794</v>
      </c>
      <c r="X18" s="5">
        <v>0.0</v>
      </c>
      <c r="Y18" s="31" t="s">
        <v>795</v>
      </c>
      <c r="Z18" s="5">
        <v>0.0</v>
      </c>
      <c r="AA18" s="31" t="s">
        <v>746</v>
      </c>
      <c r="AB18" s="5">
        <v>0.0</v>
      </c>
      <c r="AC18" s="31" t="s">
        <v>796</v>
      </c>
      <c r="AD18" s="5">
        <v>0.0</v>
      </c>
      <c r="AE18" s="31" t="s">
        <v>797</v>
      </c>
      <c r="AF18" s="57">
        <v>0.0</v>
      </c>
    </row>
    <row r="19" ht="15.75" customHeight="1">
      <c r="A19" s="5">
        <v>1155.0</v>
      </c>
      <c r="B19" s="8" t="s">
        <v>48</v>
      </c>
      <c r="C19" s="5" t="str">
        <f t="shared" si="1"/>
        <v>ESD-18_ESD DUE TO RADAR RELAY</v>
      </c>
      <c r="D19" s="55" t="s">
        <v>874</v>
      </c>
      <c r="E19" s="56" t="s">
        <v>875</v>
      </c>
      <c r="F19" s="56" t="s">
        <v>876</v>
      </c>
      <c r="G19" s="42" t="s">
        <v>877</v>
      </c>
      <c r="H19" s="42">
        <v>0.0</v>
      </c>
      <c r="I19" s="43"/>
      <c r="J19" s="42">
        <v>0.0</v>
      </c>
      <c r="K19" s="31" t="s">
        <v>788</v>
      </c>
      <c r="L19" s="5">
        <v>0.0</v>
      </c>
      <c r="M19" s="31" t="s">
        <v>789</v>
      </c>
      <c r="N19" s="5">
        <v>0.0</v>
      </c>
      <c r="O19" s="31" t="s">
        <v>790</v>
      </c>
      <c r="P19" s="5">
        <v>0.0</v>
      </c>
      <c r="Q19" s="31" t="s">
        <v>791</v>
      </c>
      <c r="R19" s="5">
        <v>0.0</v>
      </c>
      <c r="S19" s="31" t="s">
        <v>792</v>
      </c>
      <c r="T19" s="5">
        <v>0.0</v>
      </c>
      <c r="U19" s="31" t="s">
        <v>793</v>
      </c>
      <c r="V19" s="5">
        <v>0.0</v>
      </c>
      <c r="W19" s="31" t="s">
        <v>794</v>
      </c>
      <c r="X19" s="5">
        <v>0.0</v>
      </c>
      <c r="Y19" s="31" t="s">
        <v>795</v>
      </c>
      <c r="Z19" s="5">
        <v>0.0</v>
      </c>
      <c r="AA19" s="31" t="s">
        <v>746</v>
      </c>
      <c r="AB19" s="5">
        <v>0.0</v>
      </c>
      <c r="AC19" s="31" t="s">
        <v>796</v>
      </c>
      <c r="AD19" s="5">
        <v>0.0</v>
      </c>
      <c r="AE19" s="31" t="s">
        <v>797</v>
      </c>
      <c r="AF19" s="57">
        <v>0.0</v>
      </c>
    </row>
    <row r="20" ht="15.75" customHeight="1">
      <c r="A20" s="5">
        <v>1155.0</v>
      </c>
      <c r="B20" s="8" t="s">
        <v>48</v>
      </c>
      <c r="C20" s="5" t="str">
        <f t="shared" si="1"/>
        <v>ESD-IOCL_ESD-IOCL</v>
      </c>
      <c r="D20" s="55" t="s">
        <v>878</v>
      </c>
      <c r="E20" s="56" t="s">
        <v>878</v>
      </c>
      <c r="F20" s="56" t="s">
        <v>878</v>
      </c>
      <c r="G20" s="42" t="s">
        <v>879</v>
      </c>
      <c r="H20" s="42">
        <v>0.0</v>
      </c>
      <c r="I20" s="43"/>
      <c r="J20" s="42">
        <v>0.0</v>
      </c>
      <c r="K20" s="31" t="s">
        <v>788</v>
      </c>
      <c r="L20" s="5">
        <v>0.0</v>
      </c>
      <c r="M20" s="31" t="s">
        <v>789</v>
      </c>
      <c r="N20" s="5">
        <v>0.0</v>
      </c>
      <c r="O20" s="31" t="s">
        <v>790</v>
      </c>
      <c r="P20" s="5">
        <v>0.0</v>
      </c>
      <c r="Q20" s="31" t="s">
        <v>791</v>
      </c>
      <c r="R20" s="5">
        <v>0.0</v>
      </c>
      <c r="S20" s="31" t="s">
        <v>792</v>
      </c>
      <c r="T20" s="5">
        <v>0.0</v>
      </c>
      <c r="U20" s="31" t="s">
        <v>793</v>
      </c>
      <c r="V20" s="5">
        <v>0.0</v>
      </c>
      <c r="W20" s="31" t="s">
        <v>794</v>
      </c>
      <c r="X20" s="5">
        <v>0.0</v>
      </c>
      <c r="Y20" s="31" t="s">
        <v>795</v>
      </c>
      <c r="Z20" s="5">
        <v>0.0</v>
      </c>
      <c r="AA20" s="31" t="s">
        <v>746</v>
      </c>
      <c r="AB20" s="5">
        <v>0.0</v>
      </c>
      <c r="AC20" s="31" t="s">
        <v>796</v>
      </c>
      <c r="AD20" s="5">
        <v>0.0</v>
      </c>
      <c r="AE20" s="31" t="s">
        <v>797</v>
      </c>
      <c r="AF20" s="57">
        <v>0.0</v>
      </c>
    </row>
    <row r="21" ht="15.75" customHeight="1">
      <c r="A21" s="5">
        <v>1155.0</v>
      </c>
      <c r="B21" s="8" t="s">
        <v>48</v>
      </c>
      <c r="C21" s="5" t="str">
        <f t="shared" si="1"/>
        <v>ESD-SOFT_SOFT FROM OIC</v>
      </c>
      <c r="D21" s="55" t="s">
        <v>880</v>
      </c>
      <c r="E21" s="56" t="s">
        <v>880</v>
      </c>
      <c r="F21" s="56" t="s">
        <v>881</v>
      </c>
      <c r="G21" s="42" t="s">
        <v>882</v>
      </c>
      <c r="H21" s="42">
        <v>0.0</v>
      </c>
      <c r="I21" s="43"/>
      <c r="J21" s="43"/>
      <c r="K21" s="31" t="s">
        <v>788</v>
      </c>
      <c r="L21" s="5">
        <v>0.0</v>
      </c>
      <c r="M21" s="31" t="s">
        <v>789</v>
      </c>
      <c r="N21" s="5">
        <v>0.0</v>
      </c>
      <c r="O21" s="31" t="s">
        <v>790</v>
      </c>
      <c r="P21" s="5">
        <v>0.0</v>
      </c>
      <c r="Q21" s="31" t="s">
        <v>791</v>
      </c>
      <c r="R21" s="5">
        <v>0.0</v>
      </c>
      <c r="S21" s="31" t="s">
        <v>792</v>
      </c>
      <c r="T21" s="5">
        <v>0.0</v>
      </c>
      <c r="U21" s="31" t="s">
        <v>793</v>
      </c>
      <c r="V21" s="5">
        <v>0.0</v>
      </c>
      <c r="W21" s="31" t="s">
        <v>794</v>
      </c>
      <c r="X21" s="5">
        <v>0.0</v>
      </c>
      <c r="Y21" s="31" t="s">
        <v>795</v>
      </c>
      <c r="Z21" s="5">
        <v>0.0</v>
      </c>
      <c r="AA21" s="31" t="s">
        <v>746</v>
      </c>
      <c r="AB21" s="5">
        <v>0.0</v>
      </c>
      <c r="AC21" s="31" t="s">
        <v>796</v>
      </c>
      <c r="AD21" s="5">
        <v>0.0</v>
      </c>
      <c r="AE21" s="31" t="s">
        <v>797</v>
      </c>
      <c r="AF21" s="57">
        <v>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4.13"/>
    <col customWidth="1" min="4" max="6" width="12.63"/>
    <col customWidth="1" min="12" max="12" width="46.25"/>
    <col customWidth="1" min="16" max="16" width="46.25"/>
    <col customWidth="1" min="24" max="24" width="47.5"/>
    <col customWidth="1" min="28" max="28" width="47.88"/>
    <col customWidth="1" min="32" max="32" width="47.88"/>
    <col customWidth="1" min="36" max="36" width="55.75"/>
    <col customWidth="1" min="40" max="40" width="53.13"/>
    <col customWidth="1" min="44" max="44" width="50.63"/>
    <col customWidth="1" min="48" max="48" width="51.88"/>
    <col customWidth="1" min="52" max="52" width="52.75"/>
    <col customWidth="1" min="56" max="56" width="54.0"/>
    <col customWidth="1" min="60" max="60" width="33.63"/>
    <col customWidth="1" min="64" max="64" width="58.88"/>
    <col customWidth="1" min="68" max="68" width="58.88"/>
    <col customWidth="1" min="72" max="72" width="64.88"/>
    <col customWidth="1" min="76" max="76" width="53.75"/>
    <col customWidth="1" min="80" max="80" width="53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883</v>
      </c>
      <c r="E1" s="1" t="s">
        <v>884</v>
      </c>
      <c r="F1" s="1" t="s">
        <v>885</v>
      </c>
      <c r="G1" s="1" t="s">
        <v>5</v>
      </c>
      <c r="H1" s="39" t="s">
        <v>886</v>
      </c>
      <c r="I1" s="39" t="s">
        <v>7</v>
      </c>
      <c r="J1" s="39" t="s">
        <v>8</v>
      </c>
      <c r="K1" s="39" t="s">
        <v>12</v>
      </c>
      <c r="L1" s="39" t="s">
        <v>887</v>
      </c>
      <c r="M1" s="39" t="s">
        <v>7</v>
      </c>
      <c r="N1" s="39" t="s">
        <v>8</v>
      </c>
      <c r="O1" s="39" t="s">
        <v>12</v>
      </c>
      <c r="P1" s="39" t="s">
        <v>888</v>
      </c>
      <c r="Q1" s="39" t="s">
        <v>7</v>
      </c>
      <c r="R1" s="39" t="s">
        <v>8</v>
      </c>
      <c r="S1" s="39" t="s">
        <v>12</v>
      </c>
      <c r="T1" s="39" t="s">
        <v>889</v>
      </c>
      <c r="U1" s="39" t="s">
        <v>7</v>
      </c>
      <c r="V1" s="39" t="s">
        <v>8</v>
      </c>
      <c r="W1" s="39" t="s">
        <v>12</v>
      </c>
      <c r="X1" s="39" t="s">
        <v>890</v>
      </c>
      <c r="Y1" s="39" t="s">
        <v>7</v>
      </c>
      <c r="Z1" s="39" t="s">
        <v>8</v>
      </c>
      <c r="AA1" s="39" t="s">
        <v>12</v>
      </c>
      <c r="AB1" s="39" t="s">
        <v>891</v>
      </c>
      <c r="AC1" s="39" t="s">
        <v>7</v>
      </c>
      <c r="AD1" s="39" t="s">
        <v>8</v>
      </c>
      <c r="AE1" s="39" t="s">
        <v>12</v>
      </c>
      <c r="AF1" s="39" t="s">
        <v>892</v>
      </c>
      <c r="AG1" s="39" t="s">
        <v>7</v>
      </c>
      <c r="AH1" s="39" t="s">
        <v>8</v>
      </c>
      <c r="AI1" s="39" t="s">
        <v>12</v>
      </c>
      <c r="AJ1" s="39" t="s">
        <v>893</v>
      </c>
      <c r="AK1" s="39" t="s">
        <v>7</v>
      </c>
      <c r="AL1" s="39" t="s">
        <v>8</v>
      </c>
      <c r="AM1" s="39" t="s">
        <v>12</v>
      </c>
      <c r="AN1" s="39" t="s">
        <v>894</v>
      </c>
      <c r="AO1" s="39" t="s">
        <v>7</v>
      </c>
      <c r="AP1" s="39" t="s">
        <v>8</v>
      </c>
      <c r="AQ1" s="39" t="s">
        <v>12</v>
      </c>
      <c r="AR1" s="39" t="s">
        <v>895</v>
      </c>
      <c r="AS1" s="39" t="s">
        <v>7</v>
      </c>
      <c r="AT1" s="39" t="s">
        <v>8</v>
      </c>
      <c r="AU1" s="39" t="s">
        <v>12</v>
      </c>
      <c r="AV1" s="39" t="s">
        <v>896</v>
      </c>
      <c r="AW1" s="39" t="s">
        <v>7</v>
      </c>
      <c r="AX1" s="39" t="s">
        <v>8</v>
      </c>
      <c r="AY1" s="39" t="s">
        <v>12</v>
      </c>
      <c r="AZ1" s="39" t="s">
        <v>897</v>
      </c>
      <c r="BA1" s="39" t="s">
        <v>7</v>
      </c>
      <c r="BB1" s="39" t="s">
        <v>8</v>
      </c>
      <c r="BC1" s="39" t="s">
        <v>12</v>
      </c>
      <c r="BD1" s="39" t="s">
        <v>898</v>
      </c>
      <c r="BE1" s="39" t="s">
        <v>7</v>
      </c>
      <c r="BF1" s="39" t="s">
        <v>8</v>
      </c>
      <c r="BG1" s="39" t="s">
        <v>12</v>
      </c>
      <c r="BH1" s="62" t="s">
        <v>899</v>
      </c>
      <c r="BI1" s="63" t="s">
        <v>7</v>
      </c>
      <c r="BJ1" s="39" t="s">
        <v>8</v>
      </c>
      <c r="BK1" s="39" t="s">
        <v>12</v>
      </c>
      <c r="BL1" s="40" t="s">
        <v>900</v>
      </c>
      <c r="BM1" s="40" t="s">
        <v>7</v>
      </c>
      <c r="BN1" s="39" t="s">
        <v>8</v>
      </c>
      <c r="BO1" s="39" t="s">
        <v>12</v>
      </c>
      <c r="BP1" s="40" t="s">
        <v>901</v>
      </c>
      <c r="BQ1" s="40" t="s">
        <v>7</v>
      </c>
      <c r="BR1" s="39" t="s">
        <v>8</v>
      </c>
      <c r="BS1" s="39" t="s">
        <v>12</v>
      </c>
      <c r="BT1" s="39" t="s">
        <v>902</v>
      </c>
      <c r="BU1" s="39" t="s">
        <v>14</v>
      </c>
      <c r="BV1" s="39" t="s">
        <v>8</v>
      </c>
      <c r="BW1" s="39" t="s">
        <v>12</v>
      </c>
      <c r="BX1" s="39" t="s">
        <v>903</v>
      </c>
      <c r="BY1" s="39" t="s">
        <v>7</v>
      </c>
      <c r="BZ1" s="39" t="s">
        <v>8</v>
      </c>
      <c r="CA1" s="39" t="s">
        <v>12</v>
      </c>
      <c r="CB1" s="39" t="s">
        <v>904</v>
      </c>
      <c r="CC1" s="39" t="s">
        <v>7</v>
      </c>
      <c r="CD1" s="39" t="s">
        <v>8</v>
      </c>
      <c r="CE1" s="39" t="s">
        <v>12</v>
      </c>
    </row>
    <row r="2" ht="15.75" customHeight="1">
      <c r="A2" s="5">
        <v>1155.0</v>
      </c>
      <c r="B2" s="8" t="s">
        <v>48</v>
      </c>
      <c r="C2" s="5" t="str">
        <f t="shared" ref="C2:C10" si="1">CONCATENATE(D2,"_",F2,"_",G2)</f>
        <v>LP 01_BC-501A_BS VI MS</v>
      </c>
      <c r="D2" s="5" t="s">
        <v>905</v>
      </c>
      <c r="E2" s="5" t="s">
        <v>906</v>
      </c>
      <c r="F2" s="7" t="s">
        <v>907</v>
      </c>
      <c r="G2" s="7" t="s">
        <v>50</v>
      </c>
      <c r="H2" s="60" t="s">
        <v>908</v>
      </c>
      <c r="I2" s="64">
        <v>0.0</v>
      </c>
      <c r="J2" s="60"/>
      <c r="K2" s="60"/>
      <c r="L2" s="60" t="s">
        <v>909</v>
      </c>
      <c r="M2" s="64">
        <v>0.0</v>
      </c>
      <c r="N2" s="60"/>
      <c r="O2" s="60"/>
      <c r="P2" s="60" t="s">
        <v>910</v>
      </c>
      <c r="Q2" s="64">
        <v>0.0</v>
      </c>
      <c r="R2" s="60"/>
      <c r="S2" s="60"/>
      <c r="T2" s="60" t="s">
        <v>911</v>
      </c>
      <c r="U2" s="64">
        <v>0.0</v>
      </c>
      <c r="V2" s="60"/>
      <c r="W2" s="60"/>
      <c r="X2" s="60" t="s">
        <v>912</v>
      </c>
      <c r="Y2" s="64">
        <v>0.0</v>
      </c>
      <c r="Z2" s="60"/>
      <c r="AA2" s="60"/>
      <c r="AB2" s="60" t="s">
        <v>913</v>
      </c>
      <c r="AC2" s="64">
        <v>0.0</v>
      </c>
      <c r="AD2" s="60"/>
      <c r="AE2" s="60"/>
      <c r="AF2" s="60" t="s">
        <v>914</v>
      </c>
      <c r="AG2" s="64">
        <v>0.0</v>
      </c>
      <c r="AH2" s="60"/>
      <c r="AI2" s="60"/>
      <c r="AJ2" s="60" t="s">
        <v>915</v>
      </c>
      <c r="AK2" s="64">
        <v>0.0</v>
      </c>
      <c r="AL2" s="60"/>
      <c r="AM2" s="60"/>
      <c r="AN2" s="60" t="s">
        <v>916</v>
      </c>
      <c r="AO2" s="64">
        <v>0.0</v>
      </c>
      <c r="AP2" s="60"/>
      <c r="AQ2" s="60"/>
      <c r="AR2" s="60" t="s">
        <v>917</v>
      </c>
      <c r="AS2" s="64">
        <v>0.0</v>
      </c>
      <c r="AT2" s="60"/>
      <c r="AU2" s="60"/>
      <c r="AV2" s="60" t="s">
        <v>918</v>
      </c>
      <c r="AW2" s="64">
        <v>0.0</v>
      </c>
      <c r="AX2" s="60"/>
      <c r="AY2" s="60"/>
      <c r="AZ2" s="60" t="s">
        <v>919</v>
      </c>
      <c r="BA2" s="64">
        <v>0.0</v>
      </c>
      <c r="BB2" s="60"/>
      <c r="BC2" s="60"/>
      <c r="BD2" s="60" t="s">
        <v>920</v>
      </c>
      <c r="BE2" s="64">
        <v>0.0</v>
      </c>
      <c r="BF2" s="60"/>
      <c r="BG2" s="60"/>
      <c r="BH2" s="60" t="s">
        <v>921</v>
      </c>
      <c r="BI2" s="65"/>
      <c r="BJ2" s="66"/>
      <c r="BK2" s="66"/>
      <c r="BL2" s="60" t="s">
        <v>922</v>
      </c>
      <c r="BM2" s="64">
        <v>0.0</v>
      </c>
      <c r="BN2" s="60"/>
      <c r="BO2" s="60"/>
      <c r="BP2" s="60" t="s">
        <v>923</v>
      </c>
      <c r="BQ2" s="64">
        <v>0.0</v>
      </c>
      <c r="BR2" s="60"/>
      <c r="BS2" s="60"/>
      <c r="BT2" s="60" t="s">
        <v>924</v>
      </c>
      <c r="BU2" s="64">
        <v>0.0</v>
      </c>
      <c r="BV2" s="60"/>
      <c r="BW2" s="60"/>
      <c r="BX2" s="60" t="s">
        <v>925</v>
      </c>
      <c r="BY2" s="64">
        <v>0.0</v>
      </c>
      <c r="BZ2" s="60"/>
      <c r="CA2" s="60"/>
      <c r="CB2" s="27" t="s">
        <v>926</v>
      </c>
      <c r="CC2" s="64">
        <v>0.0</v>
      </c>
      <c r="CD2" s="17"/>
      <c r="CE2" s="17"/>
    </row>
    <row r="3" ht="15.75" customHeight="1">
      <c r="A3" s="5">
        <v>1155.0</v>
      </c>
      <c r="B3" s="8" t="s">
        <v>48</v>
      </c>
      <c r="C3" s="5" t="str">
        <f t="shared" si="1"/>
        <v>LP 02_BC-501B_BS VI HSD</v>
      </c>
      <c r="D3" s="5" t="s">
        <v>927</v>
      </c>
      <c r="E3" s="5" t="s">
        <v>906</v>
      </c>
      <c r="F3" s="7" t="s">
        <v>928</v>
      </c>
      <c r="G3" s="7" t="s">
        <v>116</v>
      </c>
      <c r="H3" s="43" t="s">
        <v>929</v>
      </c>
      <c r="I3" s="67">
        <v>0.0</v>
      </c>
      <c r="J3" s="17"/>
      <c r="K3" s="17"/>
      <c r="L3" s="43" t="s">
        <v>930</v>
      </c>
      <c r="M3" s="67">
        <v>0.0</v>
      </c>
      <c r="N3" s="17"/>
      <c r="O3" s="17"/>
      <c r="P3" s="43"/>
      <c r="Q3" s="43"/>
      <c r="R3" s="17"/>
      <c r="S3" s="17"/>
      <c r="T3" s="43" t="s">
        <v>931</v>
      </c>
      <c r="U3" s="67">
        <v>0.0</v>
      </c>
      <c r="V3" s="17"/>
      <c r="W3" s="17"/>
      <c r="X3" s="43"/>
      <c r="Y3" s="43"/>
      <c r="Z3" s="17"/>
      <c r="AA3" s="17"/>
      <c r="AB3" s="43" t="s">
        <v>932</v>
      </c>
      <c r="AC3" s="67">
        <v>0.0</v>
      </c>
      <c r="AD3" s="17"/>
      <c r="AE3" s="17"/>
      <c r="AF3" s="43"/>
      <c r="AG3" s="43"/>
      <c r="AH3" s="17"/>
      <c r="AI3" s="17"/>
      <c r="AJ3" s="43" t="s">
        <v>933</v>
      </c>
      <c r="AK3" s="67">
        <v>0.0</v>
      </c>
      <c r="AL3" s="17"/>
      <c r="AM3" s="17"/>
      <c r="AN3" s="43" t="s">
        <v>934</v>
      </c>
      <c r="AO3" s="67">
        <v>0.0</v>
      </c>
      <c r="AP3" s="17"/>
      <c r="AQ3" s="17"/>
      <c r="AR3" s="43" t="s">
        <v>935</v>
      </c>
      <c r="AS3" s="67">
        <v>0.0</v>
      </c>
      <c r="AT3" s="17"/>
      <c r="AU3" s="17"/>
      <c r="AV3" s="43" t="s">
        <v>936</v>
      </c>
      <c r="AW3" s="67">
        <v>0.0</v>
      </c>
      <c r="AX3" s="17"/>
      <c r="AY3" s="17"/>
      <c r="AZ3" s="43" t="s">
        <v>937</v>
      </c>
      <c r="BA3" s="67">
        <v>0.0</v>
      </c>
      <c r="BB3" s="17"/>
      <c r="BC3" s="17"/>
      <c r="BD3" s="43" t="s">
        <v>938</v>
      </c>
      <c r="BE3" s="67">
        <v>0.0</v>
      </c>
      <c r="BF3" s="17"/>
      <c r="BG3" s="17"/>
      <c r="BH3" s="43" t="s">
        <v>939</v>
      </c>
      <c r="BI3" s="17"/>
      <c r="BJ3" s="17"/>
      <c r="BK3" s="17"/>
      <c r="BL3" s="43" t="s">
        <v>940</v>
      </c>
      <c r="BM3" s="67">
        <v>0.0</v>
      </c>
      <c r="BN3" s="17"/>
      <c r="BO3" s="17"/>
      <c r="BP3" s="43"/>
      <c r="BQ3" s="43"/>
      <c r="BR3" s="17"/>
      <c r="BS3" s="17"/>
      <c r="BT3" s="43" t="s">
        <v>941</v>
      </c>
      <c r="BU3" s="67">
        <v>0.0</v>
      </c>
      <c r="BV3" s="17"/>
      <c r="BW3" s="17"/>
      <c r="BX3" s="43" t="s">
        <v>942</v>
      </c>
      <c r="BY3" s="67">
        <v>0.0</v>
      </c>
      <c r="BZ3" s="17"/>
      <c r="CA3" s="17"/>
      <c r="CB3" s="31"/>
      <c r="CC3" s="43"/>
      <c r="CD3" s="17"/>
      <c r="CE3" s="17"/>
    </row>
    <row r="4" ht="15.75" customHeight="1">
      <c r="A4" s="5">
        <v>1155.0</v>
      </c>
      <c r="B4" s="8" t="s">
        <v>48</v>
      </c>
      <c r="C4" s="5" t="str">
        <f t="shared" si="1"/>
        <v>LP 03_BC-502A_BS VI MS</v>
      </c>
      <c r="D4" s="5" t="s">
        <v>943</v>
      </c>
      <c r="E4" s="5" t="s">
        <v>906</v>
      </c>
      <c r="F4" s="7" t="s">
        <v>944</v>
      </c>
      <c r="G4" s="7" t="s">
        <v>50</v>
      </c>
      <c r="H4" s="43" t="s">
        <v>945</v>
      </c>
      <c r="I4" s="67">
        <v>0.0</v>
      </c>
      <c r="J4" s="17"/>
      <c r="K4" s="17"/>
      <c r="L4" s="43" t="s">
        <v>946</v>
      </c>
      <c r="M4" s="67">
        <v>0.0</v>
      </c>
      <c r="N4" s="17"/>
      <c r="O4" s="17"/>
      <c r="P4" s="43" t="s">
        <v>947</v>
      </c>
      <c r="Q4" s="67">
        <v>0.0</v>
      </c>
      <c r="R4" s="17"/>
      <c r="S4" s="17"/>
      <c r="T4" s="43" t="s">
        <v>948</v>
      </c>
      <c r="U4" s="67">
        <v>0.0</v>
      </c>
      <c r="V4" s="17"/>
      <c r="W4" s="17"/>
      <c r="X4" s="43" t="s">
        <v>949</v>
      </c>
      <c r="Y4" s="67">
        <v>0.0</v>
      </c>
      <c r="Z4" s="17"/>
      <c r="AA4" s="17"/>
      <c r="AB4" s="43" t="s">
        <v>950</v>
      </c>
      <c r="AC4" s="67">
        <v>0.0</v>
      </c>
      <c r="AD4" s="17"/>
      <c r="AE4" s="17"/>
      <c r="AF4" s="43" t="s">
        <v>951</v>
      </c>
      <c r="AG4" s="67">
        <v>0.0</v>
      </c>
      <c r="AH4" s="17"/>
      <c r="AI4" s="17"/>
      <c r="AJ4" s="43" t="s">
        <v>952</v>
      </c>
      <c r="AK4" s="67">
        <v>0.0</v>
      </c>
      <c r="AL4" s="17"/>
      <c r="AM4" s="17"/>
      <c r="AN4" s="43" t="s">
        <v>953</v>
      </c>
      <c r="AO4" s="67">
        <v>0.0</v>
      </c>
      <c r="AP4" s="17"/>
      <c r="AQ4" s="17"/>
      <c r="AR4" s="43" t="s">
        <v>954</v>
      </c>
      <c r="AS4" s="67">
        <v>0.0</v>
      </c>
      <c r="AT4" s="17"/>
      <c r="AU4" s="17"/>
      <c r="AV4" s="43" t="s">
        <v>955</v>
      </c>
      <c r="AW4" s="67">
        <v>0.0</v>
      </c>
      <c r="AX4" s="17"/>
      <c r="AY4" s="17"/>
      <c r="AZ4" s="43" t="s">
        <v>956</v>
      </c>
      <c r="BA4" s="67">
        <v>0.0</v>
      </c>
      <c r="BB4" s="17"/>
      <c r="BC4" s="17"/>
      <c r="BD4" s="43" t="s">
        <v>957</v>
      </c>
      <c r="BE4" s="67">
        <v>0.0</v>
      </c>
      <c r="BF4" s="17"/>
      <c r="BG4" s="17"/>
      <c r="BH4" s="43" t="s">
        <v>958</v>
      </c>
      <c r="BI4" s="17"/>
      <c r="BJ4" s="17"/>
      <c r="BK4" s="17"/>
      <c r="BL4" s="43" t="s">
        <v>959</v>
      </c>
      <c r="BM4" s="67">
        <v>0.0</v>
      </c>
      <c r="BN4" s="17"/>
      <c r="BO4" s="17"/>
      <c r="BP4" s="43" t="s">
        <v>960</v>
      </c>
      <c r="BQ4" s="67">
        <v>0.0</v>
      </c>
      <c r="BR4" s="17"/>
      <c r="BS4" s="17"/>
      <c r="BT4" s="43" t="s">
        <v>961</v>
      </c>
      <c r="BU4" s="67">
        <v>0.0</v>
      </c>
      <c r="BV4" s="17"/>
      <c r="BW4" s="17"/>
      <c r="BX4" s="43" t="s">
        <v>962</v>
      </c>
      <c r="BY4" s="67">
        <v>0.0</v>
      </c>
      <c r="BZ4" s="17"/>
      <c r="CA4" s="17"/>
      <c r="CB4" s="31" t="s">
        <v>963</v>
      </c>
      <c r="CC4" s="67">
        <v>0.0</v>
      </c>
      <c r="CD4" s="17"/>
      <c r="CE4" s="17"/>
    </row>
    <row r="5" ht="15.75" customHeight="1">
      <c r="A5" s="5">
        <v>1155.0</v>
      </c>
      <c r="B5" s="8" t="s">
        <v>48</v>
      </c>
      <c r="C5" s="5" t="str">
        <f t="shared" si="1"/>
        <v>LP 04_BC-502B_BS VI HSD</v>
      </c>
      <c r="D5" s="5" t="s">
        <v>964</v>
      </c>
      <c r="E5" s="5" t="s">
        <v>906</v>
      </c>
      <c r="F5" s="7" t="s">
        <v>965</v>
      </c>
      <c r="G5" s="7" t="s">
        <v>116</v>
      </c>
      <c r="H5" s="43" t="s">
        <v>966</v>
      </c>
      <c r="I5" s="67">
        <v>0.0</v>
      </c>
      <c r="J5" s="17"/>
      <c r="K5" s="17"/>
      <c r="L5" s="43" t="s">
        <v>967</v>
      </c>
      <c r="M5" s="67">
        <v>0.0</v>
      </c>
      <c r="N5" s="17"/>
      <c r="O5" s="17"/>
      <c r="P5" s="43"/>
      <c r="Q5" s="43"/>
      <c r="R5" s="17"/>
      <c r="S5" s="17"/>
      <c r="T5" s="43" t="s">
        <v>968</v>
      </c>
      <c r="U5" s="67">
        <v>0.0</v>
      </c>
      <c r="V5" s="17"/>
      <c r="W5" s="17"/>
      <c r="X5" s="43"/>
      <c r="Y5" s="43"/>
      <c r="Z5" s="17"/>
      <c r="AA5" s="17"/>
      <c r="AB5" s="43" t="s">
        <v>969</v>
      </c>
      <c r="AC5" s="67">
        <v>0.0</v>
      </c>
      <c r="AD5" s="17"/>
      <c r="AE5" s="17"/>
      <c r="AF5" s="43"/>
      <c r="AG5" s="43"/>
      <c r="AH5" s="17"/>
      <c r="AI5" s="17"/>
      <c r="AJ5" s="43" t="s">
        <v>970</v>
      </c>
      <c r="AK5" s="67">
        <v>0.0</v>
      </c>
      <c r="AL5" s="17"/>
      <c r="AM5" s="17"/>
      <c r="AN5" s="43" t="s">
        <v>971</v>
      </c>
      <c r="AO5" s="67">
        <v>0.0</v>
      </c>
      <c r="AP5" s="17"/>
      <c r="AQ5" s="17"/>
      <c r="AR5" s="43" t="s">
        <v>972</v>
      </c>
      <c r="AS5" s="67">
        <v>0.0</v>
      </c>
      <c r="AT5" s="17"/>
      <c r="AU5" s="17"/>
      <c r="AV5" s="43" t="s">
        <v>973</v>
      </c>
      <c r="AW5" s="67">
        <v>0.0</v>
      </c>
      <c r="AX5" s="17"/>
      <c r="AY5" s="17"/>
      <c r="AZ5" s="43" t="s">
        <v>974</v>
      </c>
      <c r="BA5" s="67">
        <v>0.0</v>
      </c>
      <c r="BB5" s="17"/>
      <c r="BC5" s="17"/>
      <c r="BD5" s="43" t="s">
        <v>975</v>
      </c>
      <c r="BE5" s="67">
        <v>0.0</v>
      </c>
      <c r="BF5" s="17"/>
      <c r="BG5" s="17"/>
      <c r="BH5" s="43" t="s">
        <v>976</v>
      </c>
      <c r="BI5" s="17"/>
      <c r="BJ5" s="17"/>
      <c r="BK5" s="17"/>
      <c r="BL5" s="43" t="s">
        <v>977</v>
      </c>
      <c r="BM5" s="67">
        <v>0.0</v>
      </c>
      <c r="BN5" s="17"/>
      <c r="BO5" s="17"/>
      <c r="BP5" s="43"/>
      <c r="BQ5" s="43"/>
      <c r="BR5" s="17"/>
      <c r="BS5" s="17"/>
      <c r="BT5" s="43" t="s">
        <v>978</v>
      </c>
      <c r="BU5" s="67">
        <v>0.0</v>
      </c>
      <c r="BV5" s="17"/>
      <c r="BW5" s="17"/>
      <c r="BX5" s="43" t="s">
        <v>979</v>
      </c>
      <c r="BY5" s="67">
        <v>0.0</v>
      </c>
      <c r="BZ5" s="17"/>
      <c r="CA5" s="17"/>
      <c r="CB5" s="31"/>
      <c r="CC5" s="43"/>
      <c r="CD5" s="17"/>
      <c r="CE5" s="17"/>
    </row>
    <row r="6" ht="15.75" customHeight="1">
      <c r="A6" s="5">
        <v>1155.0</v>
      </c>
      <c r="B6" s="8" t="s">
        <v>48</v>
      </c>
      <c r="C6" s="5" t="str">
        <f t="shared" si="1"/>
        <v>LP 05_BC-503A_BS VI MS</v>
      </c>
      <c r="D6" s="5" t="s">
        <v>980</v>
      </c>
      <c r="E6" s="5" t="s">
        <v>906</v>
      </c>
      <c r="F6" s="7" t="s">
        <v>981</v>
      </c>
      <c r="G6" s="7" t="s">
        <v>50</v>
      </c>
      <c r="H6" s="43" t="s">
        <v>982</v>
      </c>
      <c r="I6" s="67">
        <v>0.0</v>
      </c>
      <c r="J6" s="17"/>
      <c r="K6" s="17"/>
      <c r="L6" s="43" t="s">
        <v>983</v>
      </c>
      <c r="M6" s="67">
        <v>0.0</v>
      </c>
      <c r="N6" s="17"/>
      <c r="O6" s="17"/>
      <c r="P6" s="43" t="s">
        <v>984</v>
      </c>
      <c r="Q6" s="67">
        <v>0.0</v>
      </c>
      <c r="R6" s="17"/>
      <c r="S6" s="17"/>
      <c r="T6" s="43" t="s">
        <v>985</v>
      </c>
      <c r="U6" s="67">
        <v>0.0</v>
      </c>
      <c r="V6" s="17"/>
      <c r="W6" s="17"/>
      <c r="X6" s="43" t="s">
        <v>986</v>
      </c>
      <c r="Y6" s="67">
        <v>0.0</v>
      </c>
      <c r="Z6" s="17"/>
      <c r="AA6" s="17"/>
      <c r="AB6" s="43" t="s">
        <v>987</v>
      </c>
      <c r="AC6" s="67">
        <v>0.0</v>
      </c>
      <c r="AD6" s="17"/>
      <c r="AE6" s="17"/>
      <c r="AF6" s="43" t="s">
        <v>988</v>
      </c>
      <c r="AG6" s="67">
        <v>0.0</v>
      </c>
      <c r="AH6" s="17"/>
      <c r="AI6" s="17"/>
      <c r="AJ6" s="43" t="s">
        <v>989</v>
      </c>
      <c r="AK6" s="67">
        <v>0.0</v>
      </c>
      <c r="AL6" s="17"/>
      <c r="AM6" s="17"/>
      <c r="AN6" s="43" t="s">
        <v>990</v>
      </c>
      <c r="AO6" s="67">
        <v>0.0</v>
      </c>
      <c r="AP6" s="17"/>
      <c r="AQ6" s="17"/>
      <c r="AR6" s="43" t="s">
        <v>991</v>
      </c>
      <c r="AS6" s="67">
        <v>0.0</v>
      </c>
      <c r="AT6" s="17"/>
      <c r="AU6" s="17"/>
      <c r="AV6" s="43" t="s">
        <v>992</v>
      </c>
      <c r="AW6" s="67">
        <v>0.0</v>
      </c>
      <c r="AX6" s="17"/>
      <c r="AY6" s="17"/>
      <c r="AZ6" s="43" t="s">
        <v>993</v>
      </c>
      <c r="BA6" s="67">
        <v>0.0</v>
      </c>
      <c r="BB6" s="17"/>
      <c r="BC6" s="17"/>
      <c r="BD6" s="43" t="s">
        <v>994</v>
      </c>
      <c r="BE6" s="67">
        <v>0.0</v>
      </c>
      <c r="BF6" s="17"/>
      <c r="BG6" s="17"/>
      <c r="BH6" s="43" t="s">
        <v>995</v>
      </c>
      <c r="BI6" s="17"/>
      <c r="BJ6" s="17"/>
      <c r="BK6" s="17"/>
      <c r="BL6" s="43" t="s">
        <v>996</v>
      </c>
      <c r="BM6" s="67">
        <v>0.0</v>
      </c>
      <c r="BN6" s="17"/>
      <c r="BO6" s="17"/>
      <c r="BP6" s="43" t="s">
        <v>997</v>
      </c>
      <c r="BQ6" s="67">
        <v>0.0</v>
      </c>
      <c r="BR6" s="17"/>
      <c r="BS6" s="17"/>
      <c r="BT6" s="43" t="s">
        <v>998</v>
      </c>
      <c r="BU6" s="67">
        <v>0.0</v>
      </c>
      <c r="BV6" s="17"/>
      <c r="BW6" s="17"/>
      <c r="BX6" s="43" t="s">
        <v>999</v>
      </c>
      <c r="BY6" s="67">
        <v>0.0</v>
      </c>
      <c r="BZ6" s="17"/>
      <c r="CA6" s="17"/>
      <c r="CB6" s="68" t="s">
        <v>1000</v>
      </c>
      <c r="CC6" s="67">
        <v>0.0</v>
      </c>
      <c r="CD6" s="17"/>
      <c r="CE6" s="17"/>
    </row>
    <row r="7" ht="15.75" customHeight="1">
      <c r="A7" s="5">
        <v>1155.0</v>
      </c>
      <c r="B7" s="8" t="s">
        <v>48</v>
      </c>
      <c r="C7" s="5" t="str">
        <f t="shared" si="1"/>
        <v>LP 06_BC-503B_BS VI HSD</v>
      </c>
      <c r="D7" s="5" t="s">
        <v>1001</v>
      </c>
      <c r="E7" s="5" t="s">
        <v>906</v>
      </c>
      <c r="F7" s="7" t="s">
        <v>1002</v>
      </c>
      <c r="G7" s="7" t="s">
        <v>116</v>
      </c>
      <c r="H7" s="43" t="s">
        <v>1003</v>
      </c>
      <c r="I7" s="67">
        <v>0.0</v>
      </c>
      <c r="J7" s="17"/>
      <c r="K7" s="17"/>
      <c r="L7" s="43" t="s">
        <v>1004</v>
      </c>
      <c r="M7" s="67">
        <v>0.0</v>
      </c>
      <c r="N7" s="17"/>
      <c r="O7" s="17"/>
      <c r="P7" s="43"/>
      <c r="Q7" s="43"/>
      <c r="R7" s="17"/>
      <c r="S7" s="17"/>
      <c r="T7" s="43" t="s">
        <v>1005</v>
      </c>
      <c r="U7" s="67">
        <v>0.0</v>
      </c>
      <c r="V7" s="17"/>
      <c r="W7" s="17"/>
      <c r="X7" s="43"/>
      <c r="Y7" s="43"/>
      <c r="Z7" s="17"/>
      <c r="AA7" s="17"/>
      <c r="AB7" s="43" t="s">
        <v>1006</v>
      </c>
      <c r="AC7" s="67">
        <v>0.0</v>
      </c>
      <c r="AD7" s="17"/>
      <c r="AE7" s="17"/>
      <c r="AF7" s="43"/>
      <c r="AG7" s="43"/>
      <c r="AH7" s="17"/>
      <c r="AI7" s="17"/>
      <c r="AJ7" s="43" t="s">
        <v>1007</v>
      </c>
      <c r="AK7" s="67">
        <v>0.0</v>
      </c>
      <c r="AL7" s="17"/>
      <c r="AM7" s="17"/>
      <c r="AN7" s="43" t="s">
        <v>1008</v>
      </c>
      <c r="AO7" s="67">
        <v>0.0</v>
      </c>
      <c r="AP7" s="17"/>
      <c r="AQ7" s="17"/>
      <c r="AR7" s="43" t="s">
        <v>1009</v>
      </c>
      <c r="AS7" s="67">
        <v>0.0</v>
      </c>
      <c r="AT7" s="17"/>
      <c r="AU7" s="17"/>
      <c r="AV7" s="43" t="s">
        <v>1010</v>
      </c>
      <c r="AW7" s="67">
        <v>0.0</v>
      </c>
      <c r="AX7" s="17"/>
      <c r="AY7" s="17"/>
      <c r="AZ7" s="43" t="s">
        <v>1011</v>
      </c>
      <c r="BA7" s="67">
        <v>0.0</v>
      </c>
      <c r="BB7" s="17"/>
      <c r="BC7" s="17"/>
      <c r="BD7" s="43" t="s">
        <v>1012</v>
      </c>
      <c r="BE7" s="67">
        <v>0.0</v>
      </c>
      <c r="BF7" s="17"/>
      <c r="BG7" s="17"/>
      <c r="BH7" s="43" t="s">
        <v>1013</v>
      </c>
      <c r="BI7" s="17"/>
      <c r="BJ7" s="17"/>
      <c r="BK7" s="17"/>
      <c r="BL7" s="43" t="s">
        <v>1014</v>
      </c>
      <c r="BM7" s="67">
        <v>0.0</v>
      </c>
      <c r="BN7" s="17"/>
      <c r="BO7" s="17"/>
      <c r="BP7" s="43"/>
      <c r="BQ7" s="43"/>
      <c r="BR7" s="17"/>
      <c r="BS7" s="17"/>
      <c r="BT7" s="43" t="s">
        <v>1015</v>
      </c>
      <c r="BU7" s="67">
        <v>0.0</v>
      </c>
      <c r="BV7" s="17"/>
      <c r="BW7" s="17"/>
      <c r="BX7" s="43" t="s">
        <v>1016</v>
      </c>
      <c r="BY7" s="67">
        <v>0.0</v>
      </c>
      <c r="BZ7" s="17"/>
      <c r="CA7" s="17"/>
      <c r="CB7" s="69"/>
      <c r="CC7" s="43"/>
      <c r="CD7" s="17"/>
      <c r="CE7" s="17"/>
    </row>
    <row r="8" ht="15.75" customHeight="1">
      <c r="A8" s="5">
        <v>1155.0</v>
      </c>
      <c r="B8" s="8" t="s">
        <v>48</v>
      </c>
      <c r="C8" s="5" t="str">
        <f t="shared" si="1"/>
        <v>LP 07_BC-504A_BS VI MS</v>
      </c>
      <c r="D8" s="5" t="s">
        <v>1017</v>
      </c>
      <c r="E8" s="5" t="s">
        <v>906</v>
      </c>
      <c r="F8" s="7" t="s">
        <v>1018</v>
      </c>
      <c r="G8" s="7" t="s">
        <v>50</v>
      </c>
      <c r="H8" s="43" t="s">
        <v>1019</v>
      </c>
      <c r="I8" s="67">
        <v>0.0</v>
      </c>
      <c r="J8" s="17"/>
      <c r="K8" s="17"/>
      <c r="L8" s="43" t="s">
        <v>1020</v>
      </c>
      <c r="M8" s="67">
        <v>0.0</v>
      </c>
      <c r="N8" s="17"/>
      <c r="O8" s="17"/>
      <c r="P8" s="43" t="s">
        <v>1021</v>
      </c>
      <c r="Q8" s="67">
        <v>0.0</v>
      </c>
      <c r="R8" s="17"/>
      <c r="S8" s="17"/>
      <c r="T8" s="43" t="s">
        <v>1022</v>
      </c>
      <c r="U8" s="67">
        <v>0.0</v>
      </c>
      <c r="V8" s="17"/>
      <c r="W8" s="17"/>
      <c r="X8" s="43" t="s">
        <v>1023</v>
      </c>
      <c r="Y8" s="67">
        <v>0.0</v>
      </c>
      <c r="Z8" s="17"/>
      <c r="AA8" s="17"/>
      <c r="AB8" s="43" t="s">
        <v>1024</v>
      </c>
      <c r="AC8" s="67">
        <v>0.0</v>
      </c>
      <c r="AD8" s="17"/>
      <c r="AE8" s="17"/>
      <c r="AF8" s="43" t="s">
        <v>1025</v>
      </c>
      <c r="AG8" s="67">
        <v>0.0</v>
      </c>
      <c r="AH8" s="17"/>
      <c r="AI8" s="17"/>
      <c r="AJ8" s="43" t="s">
        <v>1026</v>
      </c>
      <c r="AK8" s="67">
        <v>0.0</v>
      </c>
      <c r="AL8" s="17"/>
      <c r="AM8" s="17"/>
      <c r="AN8" s="43" t="s">
        <v>1027</v>
      </c>
      <c r="AO8" s="67">
        <v>0.0</v>
      </c>
      <c r="AP8" s="17"/>
      <c r="AQ8" s="17"/>
      <c r="AR8" s="43" t="s">
        <v>1028</v>
      </c>
      <c r="AS8" s="67">
        <v>0.0</v>
      </c>
      <c r="AT8" s="17"/>
      <c r="AU8" s="17"/>
      <c r="AV8" s="43" t="s">
        <v>1029</v>
      </c>
      <c r="AW8" s="67">
        <v>0.0</v>
      </c>
      <c r="AX8" s="17"/>
      <c r="AY8" s="17"/>
      <c r="AZ8" s="43" t="s">
        <v>1030</v>
      </c>
      <c r="BA8" s="67">
        <v>0.0</v>
      </c>
      <c r="BB8" s="17"/>
      <c r="BC8" s="17"/>
      <c r="BD8" s="43" t="s">
        <v>1031</v>
      </c>
      <c r="BE8" s="67">
        <v>0.0</v>
      </c>
      <c r="BF8" s="17"/>
      <c r="BG8" s="17"/>
      <c r="BH8" s="43" t="s">
        <v>1032</v>
      </c>
      <c r="BI8" s="17"/>
      <c r="BJ8" s="17"/>
      <c r="BK8" s="17"/>
      <c r="BL8" s="43" t="s">
        <v>1033</v>
      </c>
      <c r="BM8" s="67">
        <v>0.0</v>
      </c>
      <c r="BN8" s="17"/>
      <c r="BO8" s="17"/>
      <c r="BP8" s="43" t="s">
        <v>1034</v>
      </c>
      <c r="BQ8" s="67">
        <v>0.0</v>
      </c>
      <c r="BR8" s="17"/>
      <c r="BS8" s="17"/>
      <c r="BT8" s="43" t="s">
        <v>1035</v>
      </c>
      <c r="BU8" s="67">
        <v>0.0</v>
      </c>
      <c r="BV8" s="17"/>
      <c r="BW8" s="17"/>
      <c r="BX8" s="43" t="s">
        <v>1036</v>
      </c>
      <c r="BY8" s="67">
        <v>0.0</v>
      </c>
      <c r="BZ8" s="17"/>
      <c r="CA8" s="17"/>
      <c r="CB8" s="68" t="s">
        <v>1037</v>
      </c>
      <c r="CC8" s="67">
        <v>0.0</v>
      </c>
      <c r="CD8" s="17"/>
      <c r="CE8" s="17"/>
    </row>
    <row r="9" ht="15.75" customHeight="1">
      <c r="A9" s="5">
        <v>1155.0</v>
      </c>
      <c r="B9" s="8" t="s">
        <v>48</v>
      </c>
      <c r="C9" s="5" t="str">
        <f t="shared" si="1"/>
        <v>LP 08_BC-504B_BS VI HSD</v>
      </c>
      <c r="D9" s="5" t="s">
        <v>1038</v>
      </c>
      <c r="E9" s="5" t="s">
        <v>906</v>
      </c>
      <c r="F9" s="7" t="s">
        <v>1039</v>
      </c>
      <c r="G9" s="7" t="s">
        <v>116</v>
      </c>
      <c r="H9" s="43" t="s">
        <v>1040</v>
      </c>
      <c r="I9" s="67">
        <v>0.0</v>
      </c>
      <c r="J9" s="17"/>
      <c r="K9" s="17"/>
      <c r="L9" s="43" t="s">
        <v>1041</v>
      </c>
      <c r="M9" s="67">
        <v>0.0</v>
      </c>
      <c r="N9" s="17"/>
      <c r="O9" s="17"/>
      <c r="P9" s="43"/>
      <c r="Q9" s="43"/>
      <c r="R9" s="17"/>
      <c r="S9" s="17"/>
      <c r="T9" s="43" t="s">
        <v>1042</v>
      </c>
      <c r="U9" s="67">
        <v>0.0</v>
      </c>
      <c r="V9" s="17"/>
      <c r="W9" s="17"/>
      <c r="X9" s="43"/>
      <c r="Y9" s="43"/>
      <c r="Z9" s="17"/>
      <c r="AA9" s="17"/>
      <c r="AB9" s="43" t="s">
        <v>1043</v>
      </c>
      <c r="AC9" s="67">
        <v>0.0</v>
      </c>
      <c r="AD9" s="17"/>
      <c r="AE9" s="17"/>
      <c r="AF9" s="43"/>
      <c r="AG9" s="43"/>
      <c r="AH9" s="17"/>
      <c r="AI9" s="17"/>
      <c r="AJ9" s="43" t="s">
        <v>1044</v>
      </c>
      <c r="AK9" s="67">
        <v>0.0</v>
      </c>
      <c r="AL9" s="17"/>
      <c r="AM9" s="17"/>
      <c r="AN9" s="43" t="s">
        <v>1045</v>
      </c>
      <c r="AO9" s="67">
        <v>0.0</v>
      </c>
      <c r="AP9" s="17"/>
      <c r="AQ9" s="17"/>
      <c r="AR9" s="43" t="s">
        <v>1046</v>
      </c>
      <c r="AS9" s="67">
        <v>0.0</v>
      </c>
      <c r="AT9" s="17"/>
      <c r="AU9" s="17"/>
      <c r="AV9" s="43" t="s">
        <v>1047</v>
      </c>
      <c r="AW9" s="67">
        <v>0.0</v>
      </c>
      <c r="AX9" s="17"/>
      <c r="AY9" s="17"/>
      <c r="AZ9" s="43" t="s">
        <v>1048</v>
      </c>
      <c r="BA9" s="67">
        <v>0.0</v>
      </c>
      <c r="BB9" s="17"/>
      <c r="BC9" s="17"/>
      <c r="BD9" s="43" t="s">
        <v>1049</v>
      </c>
      <c r="BE9" s="67">
        <v>0.0</v>
      </c>
      <c r="BF9" s="17"/>
      <c r="BG9" s="17"/>
      <c r="BH9" s="43" t="s">
        <v>1050</v>
      </c>
      <c r="BI9" s="17"/>
      <c r="BJ9" s="17"/>
      <c r="BK9" s="17"/>
      <c r="BL9" s="43" t="s">
        <v>1051</v>
      </c>
      <c r="BM9" s="67">
        <v>0.0</v>
      </c>
      <c r="BN9" s="17"/>
      <c r="BO9" s="17"/>
      <c r="BP9" s="43"/>
      <c r="BQ9" s="43"/>
      <c r="BR9" s="17"/>
      <c r="BS9" s="17"/>
      <c r="BT9" s="43" t="s">
        <v>1052</v>
      </c>
      <c r="BU9" s="67">
        <v>0.0</v>
      </c>
      <c r="BV9" s="17"/>
      <c r="BW9" s="17"/>
      <c r="BX9" s="43" t="s">
        <v>1053</v>
      </c>
      <c r="BY9" s="67">
        <v>0.0</v>
      </c>
      <c r="BZ9" s="17"/>
      <c r="CA9" s="17"/>
      <c r="CB9" s="69"/>
      <c r="CC9" s="43"/>
      <c r="CD9" s="17"/>
      <c r="CE9" s="17"/>
    </row>
    <row r="10" ht="15.75" customHeight="1">
      <c r="A10" s="5">
        <v>1155.0</v>
      </c>
      <c r="B10" s="8" t="s">
        <v>48</v>
      </c>
      <c r="C10" s="5" t="str">
        <f t="shared" si="1"/>
        <v>LP 09_BC-505A_BS IV MS</v>
      </c>
      <c r="D10" s="5" t="s">
        <v>1054</v>
      </c>
      <c r="E10" s="5" t="s">
        <v>906</v>
      </c>
      <c r="F10" s="7" t="s">
        <v>1055</v>
      </c>
      <c r="G10" s="7" t="s">
        <v>1056</v>
      </c>
      <c r="H10" s="43" t="s">
        <v>1057</v>
      </c>
      <c r="I10" s="67">
        <v>0.0</v>
      </c>
      <c r="J10" s="17"/>
      <c r="K10" s="17"/>
      <c r="L10" s="43" t="s">
        <v>1058</v>
      </c>
      <c r="M10" s="67">
        <v>0.0</v>
      </c>
      <c r="N10" s="17"/>
      <c r="O10" s="17"/>
      <c r="P10" s="43" t="s">
        <v>1059</v>
      </c>
      <c r="Q10" s="67">
        <v>0.0</v>
      </c>
      <c r="R10" s="17"/>
      <c r="S10" s="17"/>
      <c r="T10" s="43" t="s">
        <v>1060</v>
      </c>
      <c r="U10" s="67">
        <v>0.0</v>
      </c>
      <c r="V10" s="17"/>
      <c r="W10" s="17"/>
      <c r="X10" s="43" t="s">
        <v>1061</v>
      </c>
      <c r="Y10" s="67">
        <v>0.0</v>
      </c>
      <c r="Z10" s="17"/>
      <c r="AA10" s="17"/>
      <c r="AB10" s="43" t="s">
        <v>1062</v>
      </c>
      <c r="AC10" s="67">
        <v>0.0</v>
      </c>
      <c r="AD10" s="17"/>
      <c r="AE10" s="17"/>
      <c r="AF10" s="43" t="s">
        <v>1063</v>
      </c>
      <c r="AG10" s="67">
        <v>0.0</v>
      </c>
      <c r="AH10" s="17"/>
      <c r="AI10" s="17"/>
      <c r="AJ10" s="43" t="s">
        <v>1064</v>
      </c>
      <c r="AK10" s="67">
        <v>0.0</v>
      </c>
      <c r="AL10" s="17"/>
      <c r="AM10" s="17"/>
      <c r="AN10" s="43" t="s">
        <v>1065</v>
      </c>
      <c r="AO10" s="67">
        <v>0.0</v>
      </c>
      <c r="AP10" s="17"/>
      <c r="AQ10" s="17"/>
      <c r="AR10" s="43" t="s">
        <v>1066</v>
      </c>
      <c r="AS10" s="67">
        <v>0.0</v>
      </c>
      <c r="AT10" s="17"/>
      <c r="AU10" s="17"/>
      <c r="AV10" s="43" t="s">
        <v>1067</v>
      </c>
      <c r="AW10" s="67">
        <v>0.0</v>
      </c>
      <c r="AX10" s="17"/>
      <c r="AY10" s="17"/>
      <c r="AZ10" s="43" t="s">
        <v>1068</v>
      </c>
      <c r="BA10" s="67">
        <v>0.0</v>
      </c>
      <c r="BB10" s="17"/>
      <c r="BC10" s="17"/>
      <c r="BD10" s="43" t="s">
        <v>1069</v>
      </c>
      <c r="BE10" s="67">
        <v>0.0</v>
      </c>
      <c r="BF10" s="17"/>
      <c r="BG10" s="17"/>
      <c r="BH10" s="43" t="s">
        <v>1070</v>
      </c>
      <c r="BI10" s="17"/>
      <c r="BJ10" s="17"/>
      <c r="BK10" s="17"/>
      <c r="BL10" s="43" t="s">
        <v>1071</v>
      </c>
      <c r="BM10" s="67">
        <v>0.0</v>
      </c>
      <c r="BN10" s="17"/>
      <c r="BO10" s="17"/>
      <c r="BP10" s="43" t="s">
        <v>1072</v>
      </c>
      <c r="BQ10" s="67">
        <v>0.0</v>
      </c>
      <c r="BR10" s="17"/>
      <c r="BS10" s="17"/>
      <c r="BT10" s="43" t="s">
        <v>1073</v>
      </c>
      <c r="BU10" s="67">
        <v>0.0</v>
      </c>
      <c r="BV10" s="17"/>
      <c r="BW10" s="17"/>
      <c r="BX10" s="43" t="s">
        <v>1074</v>
      </c>
      <c r="BY10" s="67">
        <v>0.0</v>
      </c>
      <c r="BZ10" s="17"/>
      <c r="CA10" s="17"/>
      <c r="CB10" s="68" t="s">
        <v>1075</v>
      </c>
      <c r="CC10" s="67">
        <v>0.0</v>
      </c>
      <c r="CD10" s="17"/>
      <c r="CE10" s="17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42.13"/>
    <col customWidth="1" min="4" max="4" width="48.63"/>
    <col customWidth="1" min="5" max="5" width="12.63"/>
  </cols>
  <sheetData>
    <row r="1" ht="15.75" customHeight="1">
      <c r="A1" s="1" t="s">
        <v>0</v>
      </c>
      <c r="B1" s="1" t="s">
        <v>1</v>
      </c>
      <c r="C1" s="1" t="s">
        <v>1076</v>
      </c>
      <c r="D1" s="1" t="s">
        <v>1077</v>
      </c>
      <c r="E1" s="1" t="s">
        <v>7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ht="15.75" customHeight="1">
      <c r="A2" s="5">
        <v>1155.0</v>
      </c>
      <c r="B2" s="8" t="s">
        <v>48</v>
      </c>
      <c r="C2" s="70" t="s">
        <v>1078</v>
      </c>
      <c r="D2" s="71" t="s">
        <v>1079</v>
      </c>
      <c r="E2" s="72">
        <v>0.0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</row>
    <row r="3" ht="15.75" customHeight="1">
      <c r="A3" s="5">
        <v>1155.0</v>
      </c>
      <c r="B3" s="8" t="s">
        <v>48</v>
      </c>
      <c r="C3" s="73" t="s">
        <v>1080</v>
      </c>
      <c r="D3" s="74" t="s">
        <v>1081</v>
      </c>
      <c r="E3" s="72">
        <v>0.0</v>
      </c>
    </row>
    <row r="4" ht="15.75" customHeight="1">
      <c r="A4" s="5">
        <v>1155.0</v>
      </c>
      <c r="B4" s="8" t="s">
        <v>48</v>
      </c>
      <c r="C4" s="73" t="s">
        <v>1082</v>
      </c>
      <c r="D4" s="75" t="s">
        <v>1083</v>
      </c>
      <c r="E4" s="72">
        <v>0.0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61" t="s">
        <v>1084</v>
      </c>
      <c r="D1" s="61" t="s">
        <v>1085</v>
      </c>
      <c r="E1" s="61" t="s">
        <v>1086</v>
      </c>
      <c r="F1" s="61" t="s">
        <v>765</v>
      </c>
      <c r="G1" s="61" t="s">
        <v>766</v>
      </c>
      <c r="H1" s="61" t="s">
        <v>767</v>
      </c>
      <c r="I1" s="61" t="s">
        <v>768</v>
      </c>
      <c r="J1" s="17" t="s">
        <v>1087</v>
      </c>
      <c r="K1" s="17" t="s">
        <v>1088</v>
      </c>
      <c r="L1" s="17" t="s">
        <v>1089</v>
      </c>
      <c r="M1" s="17" t="s">
        <v>7</v>
      </c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15.75" customHeight="1">
      <c r="A2" s="5">
        <v>1155.0</v>
      </c>
      <c r="B2" s="8" t="s">
        <v>48</v>
      </c>
      <c r="C2" s="76" t="s">
        <v>1090</v>
      </c>
      <c r="D2" s="31" t="s">
        <v>1091</v>
      </c>
      <c r="E2" s="77">
        <v>0.0</v>
      </c>
      <c r="F2" s="31" t="s">
        <v>790</v>
      </c>
      <c r="G2" s="5">
        <v>0.0</v>
      </c>
      <c r="H2" s="31" t="s">
        <v>791</v>
      </c>
      <c r="I2" s="5">
        <v>0.0</v>
      </c>
      <c r="J2" s="31" t="s">
        <v>1092</v>
      </c>
      <c r="K2" s="57">
        <v>0.0</v>
      </c>
      <c r="L2" s="31" t="s">
        <v>708</v>
      </c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5.75" customHeight="1">
      <c r="A3" s="5">
        <v>1155.0</v>
      </c>
      <c r="B3" s="8" t="s">
        <v>48</v>
      </c>
      <c r="C3" s="78" t="s">
        <v>1093</v>
      </c>
      <c r="D3" s="31" t="s">
        <v>1094</v>
      </c>
      <c r="E3" s="77">
        <v>0.0</v>
      </c>
      <c r="F3" s="31" t="s">
        <v>790</v>
      </c>
      <c r="G3" s="5">
        <v>0.0</v>
      </c>
      <c r="H3" s="31" t="s">
        <v>791</v>
      </c>
      <c r="I3" s="5">
        <v>0.0</v>
      </c>
      <c r="J3" s="31" t="s">
        <v>1092</v>
      </c>
      <c r="K3" s="57">
        <v>0.0</v>
      </c>
      <c r="L3" s="31" t="s">
        <v>708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15.75" customHeight="1">
      <c r="A4" s="5">
        <v>1155.0</v>
      </c>
      <c r="B4" s="8" t="s">
        <v>48</v>
      </c>
      <c r="C4" s="78" t="s">
        <v>1095</v>
      </c>
      <c r="D4" s="31" t="s">
        <v>1096</v>
      </c>
      <c r="E4" s="77">
        <v>0.0</v>
      </c>
      <c r="F4" s="31" t="s">
        <v>790</v>
      </c>
      <c r="G4" s="5">
        <v>0.0</v>
      </c>
      <c r="H4" s="31" t="s">
        <v>791</v>
      </c>
      <c r="I4" s="5">
        <v>0.0</v>
      </c>
      <c r="J4" s="31" t="s">
        <v>1092</v>
      </c>
      <c r="K4" s="57">
        <v>0.0</v>
      </c>
      <c r="L4" s="31" t="s">
        <v>708</v>
      </c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5.75" customHeight="1">
      <c r="A5" s="5">
        <v>1155.0</v>
      </c>
      <c r="B5" s="8" t="s">
        <v>48</v>
      </c>
      <c r="C5" s="6" t="s">
        <v>1097</v>
      </c>
      <c r="D5" s="17"/>
      <c r="E5" s="17"/>
      <c r="F5" s="31" t="s">
        <v>1098</v>
      </c>
      <c r="G5" s="5">
        <v>0.0</v>
      </c>
      <c r="H5" s="31" t="s">
        <v>791</v>
      </c>
      <c r="I5" s="5">
        <v>0.0</v>
      </c>
      <c r="J5" s="31" t="s">
        <v>1092</v>
      </c>
      <c r="K5" s="57">
        <v>0.0</v>
      </c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1099</v>
      </c>
      <c r="D1" s="54" t="s">
        <v>1100</v>
      </c>
      <c r="E1" s="54" t="s">
        <v>1101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1102</v>
      </c>
      <c r="D1" s="6" t="s">
        <v>1103</v>
      </c>
      <c r="E1" s="6" t="s">
        <v>7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15.75" customHeight="1">
      <c r="A2" s="5">
        <v>1155.0</v>
      </c>
      <c r="B2" s="8" t="s">
        <v>48</v>
      </c>
      <c r="C2" s="6" t="s">
        <v>1104</v>
      </c>
      <c r="D2" s="31" t="s">
        <v>1105</v>
      </c>
      <c r="E2" s="79">
        <v>0.0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22" max="22" width="23.75"/>
    <col customWidth="1" min="23" max="23" width="10.88"/>
    <col customWidth="1" min="24" max="24" width="26.25"/>
    <col customWidth="1" min="26" max="26" width="23.75"/>
  </cols>
  <sheetData>
    <row r="1" ht="15.75" customHeight="1">
      <c r="A1" s="1" t="s">
        <v>0</v>
      </c>
      <c r="B1" s="1" t="s">
        <v>1</v>
      </c>
      <c r="C1" s="6" t="s">
        <v>1106</v>
      </c>
      <c r="D1" s="6" t="s">
        <v>1107</v>
      </c>
      <c r="E1" s="6" t="s">
        <v>14</v>
      </c>
      <c r="F1" s="6" t="s">
        <v>1108</v>
      </c>
      <c r="G1" s="6" t="s">
        <v>14</v>
      </c>
      <c r="H1" s="6" t="s">
        <v>1109</v>
      </c>
      <c r="I1" s="6" t="s">
        <v>14</v>
      </c>
      <c r="J1" s="6" t="s">
        <v>1110</v>
      </c>
      <c r="K1" s="6" t="s">
        <v>14</v>
      </c>
      <c r="L1" s="5" t="s">
        <v>1111</v>
      </c>
      <c r="M1" s="5" t="s">
        <v>7</v>
      </c>
      <c r="N1" s="5" t="s">
        <v>582</v>
      </c>
      <c r="O1" s="5" t="s">
        <v>7</v>
      </c>
      <c r="P1" s="6" t="s">
        <v>1112</v>
      </c>
      <c r="Q1" s="5" t="s">
        <v>7</v>
      </c>
      <c r="R1" s="42" t="s">
        <v>1113</v>
      </c>
      <c r="S1" s="42" t="s">
        <v>7</v>
      </c>
      <c r="T1" s="17" t="s">
        <v>1114</v>
      </c>
      <c r="U1" s="17" t="s">
        <v>7</v>
      </c>
      <c r="V1" s="17" t="s">
        <v>1115</v>
      </c>
      <c r="W1" s="17" t="s">
        <v>7</v>
      </c>
      <c r="X1" s="17" t="s">
        <v>1116</v>
      </c>
      <c r="Y1" s="17" t="s">
        <v>7</v>
      </c>
      <c r="Z1" s="17" t="s">
        <v>1117</v>
      </c>
      <c r="AA1" s="17" t="s">
        <v>7</v>
      </c>
    </row>
    <row r="2" ht="15.75" customHeight="1">
      <c r="A2" s="5">
        <v>1155.0</v>
      </c>
      <c r="B2" s="8" t="s">
        <v>48</v>
      </c>
      <c r="C2" s="6" t="s">
        <v>1118</v>
      </c>
      <c r="D2" s="42" t="s">
        <v>543</v>
      </c>
      <c r="E2" s="5">
        <v>0.0</v>
      </c>
      <c r="F2" s="42" t="s">
        <v>553</v>
      </c>
      <c r="G2" s="5">
        <v>0.0</v>
      </c>
      <c r="H2" s="42" t="s">
        <v>562</v>
      </c>
      <c r="I2" s="5">
        <v>1.0</v>
      </c>
      <c r="J2" s="42" t="s">
        <v>570</v>
      </c>
      <c r="K2" s="5">
        <v>1.0</v>
      </c>
      <c r="L2" s="31" t="s">
        <v>1119</v>
      </c>
      <c r="M2" s="6"/>
      <c r="N2" s="31" t="s">
        <v>1120</v>
      </c>
      <c r="O2" s="6"/>
      <c r="P2" s="31" t="s">
        <v>1121</v>
      </c>
      <c r="Q2" s="6"/>
      <c r="R2" s="31" t="s">
        <v>1096</v>
      </c>
      <c r="S2" s="57">
        <v>0.0</v>
      </c>
      <c r="T2" s="42" t="s">
        <v>564</v>
      </c>
      <c r="U2" s="57">
        <v>1.0</v>
      </c>
      <c r="V2" s="80" t="s">
        <v>1122</v>
      </c>
      <c r="W2" s="72">
        <v>1.0</v>
      </c>
      <c r="X2" s="42" t="s">
        <v>572</v>
      </c>
      <c r="Y2" s="57">
        <v>1.0</v>
      </c>
      <c r="Z2" s="80" t="s">
        <v>1123</v>
      </c>
      <c r="AA2" s="72">
        <v>1.0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