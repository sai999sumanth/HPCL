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HDR Line MOV" sheetId="2" r:id="rId5"/>
    <sheet state="visible" name="Tank Maintenance" sheetId="3" r:id="rId6"/>
    <sheet state="visible" name="Pump Master" sheetId="4" r:id="rId7"/>
    <sheet state="visible" name="Fire Pump Master" sheetId="5" r:id="rId8"/>
    <sheet state="visible" name="UPS Master" sheetId="6" r:id="rId9"/>
    <sheet state="visible" name="PLC Master" sheetId="7" r:id="rId10"/>
    <sheet state="visible" name="HCD Master" sheetId="8" r:id="rId11"/>
    <sheet state="visible" name="Dyke Master" sheetId="9" r:id="rId12"/>
    <sheet state="visible" name="Barrier Gate" sheetId="10" r:id="rId13"/>
    <sheet state="visible" name="Hooter Master" sheetId="11" r:id="rId14"/>
    <sheet state="visible" name="ESD Master" sheetId="12" r:id="rId15"/>
    <sheet state="visible" name="Loading Point Master" sheetId="13" r:id="rId16"/>
    <sheet state="visible" name="Gantry override" sheetId="14" r:id="rId17"/>
    <sheet state="visible" name="Fire Effect" sheetId="15" r:id="rId18"/>
    <sheet state="visible" name="Air Compressor" sheetId="16" r:id="rId19"/>
    <sheet state="visible" name="LRC Switchover" sheetId="17" r:id="rId20"/>
    <sheet state="visible" name="OI" sheetId="18" r:id="rId21"/>
  </sheets>
  <definedNames>
    <definedName hidden="1" localSheetId="0" name="_xlnm._FilterDatabase">'Tank Master'!$A$1:$DX$1000</definedName>
  </definedNames>
  <calcPr/>
  <extLst>
    <ext uri="GoogleSheetsCustomDataVersion2">
      <go:sheetsCustomData xmlns:go="http://customooxmlschemas.google.com/" r:id="rId22" roundtripDataChecksum="sRm6eiByuTK6Ss3cSCew5q3iXmr+aNssX6XQJPHsC1U="/>
    </ext>
  </extLst>
</workbook>
</file>

<file path=xl/sharedStrings.xml><?xml version="1.0" encoding="utf-8"?>
<sst xmlns="http://schemas.openxmlformats.org/spreadsheetml/2006/main" count="3770" uniqueCount="2105">
  <si>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</si>
  <si>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</si>
  <si>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</si>
  <si>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</si>
  <si>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</si>
  <si>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</si>
  <si>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</si>
  <si>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</si>
  <si>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</si>
  <si>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</si>
  <si>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</si>
  <si>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</si>
  <si>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 xml:space="preserve">TANK LEAKAGE STATUS </t>
  </si>
  <si>
    <t>Primary Gauge HIGH</t>
  </si>
  <si>
    <t>Normal Value</t>
  </si>
  <si>
    <t>Primary Gauge HIGH HIGH</t>
  </si>
  <si>
    <t>LEVEL SWITCH</t>
  </si>
  <si>
    <t xml:space="preserve">LEVEL SWITCH PROOF OK </t>
  </si>
  <si>
    <t>LEVEL SWITCH PROOF FAILED</t>
  </si>
  <si>
    <t>RADAR HHH</t>
  </si>
  <si>
    <t>RADAR PROOF OK</t>
  </si>
  <si>
    <t>RADAR PROOF FAILED</t>
  </si>
  <si>
    <t>ROSOV OPEN STATUS IL1</t>
  </si>
  <si>
    <t>ROSOV FAIL TO CLOSE STATUS IL1</t>
  </si>
  <si>
    <t>ROSOV OPEN STATUS IL2</t>
  </si>
  <si>
    <t>ROSOV FAIL TO CLOSE STATUS IL2</t>
  </si>
  <si>
    <t>ROSOV OPEN STATUS OL</t>
  </si>
  <si>
    <t>ROSOV FAIL TO CLOSE STATUS OL</t>
  </si>
  <si>
    <t>ROSOV OPEN STATUS RCL</t>
  </si>
  <si>
    <t>ROSOV FAIL TO CLOSE STATUS RCL</t>
  </si>
  <si>
    <t>MOV STATUS IL1</t>
  </si>
  <si>
    <t>MOV REMOTE STATUS IL1</t>
  </si>
  <si>
    <t>MOV STATUS IL2</t>
  </si>
  <si>
    <t>MOV REMOTE STATUS IL2</t>
  </si>
  <si>
    <t>MOV STATUS OL</t>
  </si>
  <si>
    <t>MOV REMOTE STATUS OL</t>
  </si>
  <si>
    <t>MOV STATUS OL1</t>
  </si>
  <si>
    <t>MOV REMOTE STATUS OL1</t>
  </si>
  <si>
    <t>MOV STATUS RCL</t>
  </si>
  <si>
    <t>MOV REMOTE STATUS  RCL</t>
  </si>
  <si>
    <t>RIMSEAL FIRE ALARM</t>
  </si>
  <si>
    <t>RIMSEAL FAULT ALARM</t>
  </si>
  <si>
    <t>Vashi</t>
  </si>
  <si>
    <t>TK-101</t>
  </si>
  <si>
    <t>AG</t>
  </si>
  <si>
    <t>ETHANOL</t>
  </si>
  <si>
    <t>PLC.SFTPLC.CAUSE_ANY_ESD_PB_ACTI</t>
  </si>
  <si>
    <t>TANK.TK-101.LEVEL</t>
  </si>
  <si>
    <t>Primary Radar</t>
  </si>
  <si>
    <t>TANK.TK-101.TANK_ALERT_ALARM</t>
  </si>
  <si>
    <t>TANK.TK-101.HIGH_LEVEL</t>
  </si>
  <si>
    <t>TANK.TK-101.HIGH_HIGH_LEVEL</t>
  </si>
  <si>
    <t>LEVELSWITCH.VIB TK101.SWITCH_STATUS</t>
  </si>
  <si>
    <t>VFT</t>
  </si>
  <si>
    <t>LEVELSWITCH.VIB TK101.PROOF_TEST_OK</t>
  </si>
  <si>
    <t>LEVELSWITCH.VIB TK101.PROOF_TEST_FAILED</t>
  </si>
  <si>
    <t>LEVELSWITCH.RDR TK101.SWITCH_STATUS</t>
  </si>
  <si>
    <t>RADAR</t>
  </si>
  <si>
    <t>LEVELSWITCH.RDR TK101.PROOF_TEST_OK</t>
  </si>
  <si>
    <t>LEVELSWITCH.RDR TK101.PROOF_TEST_FAILED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</si>
  <si>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</si>
  <si>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</si>
  <si>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</si>
  <si>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</si>
  <si>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</si>
  <si>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 OL</t>
  </si>
  <si>
    <t>MOV.ROSOV-02.FAILED_TO_OPEN</t>
  </si>
  <si>
    <t>ROSOV FAILED OL</t>
  </si>
  <si>
    <t>MOV.DBBV-01.OPEN_STATUS</t>
  </si>
  <si>
    <t>MOV IL1</t>
  </si>
  <si>
    <t>MOV.DBBV-01.REMOTE_STATUS</t>
  </si>
  <si>
    <t>MOV.DBBV-03.OPEN_STATUS</t>
  </si>
  <si>
    <t>MOV IL2</t>
  </si>
  <si>
    <t>MOV.DBBV-03.REMOTE_STATUS</t>
  </si>
  <si>
    <t>MOV.DBBV-02.OPEN_STATUS</t>
  </si>
  <si>
    <t>MOV OL</t>
  </si>
  <si>
    <t>MOV.DBBV-02.REMOTE_STATUS</t>
  </si>
  <si>
    <t>MOV.DBBV-04.CLOSE_STATUS</t>
  </si>
  <si>
    <t>MOV OL1</t>
  </si>
  <si>
    <t>MOV.DBBV-04.REMOTE_STATUS</t>
  </si>
  <si>
    <t>TK-102</t>
  </si>
  <si>
    <t>SLOP</t>
  </si>
  <si>
    <t>TANK.TK-102.LEVEL</t>
  </si>
  <si>
    <t>TANK.TK-102.TANK_ALERT_ALARM</t>
  </si>
  <si>
    <t>TANK.TK-102.HIGH_LEVEL</t>
  </si>
  <si>
    <t>TANK.TK-102.HIGH_HIGH_LEVEL</t>
  </si>
  <si>
    <t>LEVELSWITCH.VIB TK102.SWITCH_STATUS</t>
  </si>
  <si>
    <t>LEVELSWITCH.VIB TK102.PROOF_TEST_OK</t>
  </si>
  <si>
    <t>LEVELSWITCH.VIB TK102.PROOF_TEST_FAILED</t>
  </si>
  <si>
    <t>LEVELSWITCH.RDR TK102.SWITCH_STATUS</t>
  </si>
  <si>
    <t>LEVELSWITCH.RDR TK102.PROOF_TEST_OK</t>
  </si>
  <si>
    <t>LEVELSWITCH.RDR TK102.PROOF_TEST_FAILED</t>
  </si>
  <si>
    <t>MOV.ROSOV-04.OPEN_STATUS</t>
  </si>
  <si>
    <t>ROSOV IL2</t>
  </si>
  <si>
    <t>MOV.ROSOV-04.FAILED_TO_CLOSE</t>
  </si>
  <si>
    <t>ROSOV FAILED IL2</t>
  </si>
  <si>
    <t>MOV.ROSOV-03.OPEN_STATUS</t>
  </si>
  <si>
    <t>ROSOV RCL</t>
  </si>
  <si>
    <t>MOV.ROSOV-03.FAILED_TO_CLOSE</t>
  </si>
  <si>
    <t>ROSOV FAILED RCL</t>
  </si>
  <si>
    <t>MOV.DBBV-05.OPEN_STATUS</t>
  </si>
  <si>
    <t>MOV.DBBV-05.REMOTE_STATUS</t>
  </si>
  <si>
    <t>MOV.DBBV-07.OPEN_STATUS</t>
  </si>
  <si>
    <t>MOV.DBBV-07.REMOTE_STATUS</t>
  </si>
  <si>
    <t>MOV.DBBV-06.OPEN_STATUS</t>
  </si>
  <si>
    <t>MOV.DBBV-06.REMOTE_STATUS</t>
  </si>
  <si>
    <t>MOV.DBBV-08.CLOSE_STATUS</t>
  </si>
  <si>
    <t>MOV.DBBV-08.REMOTE_STATUS</t>
  </si>
  <si>
    <t>TK-103</t>
  </si>
  <si>
    <t>BS VI HSD</t>
  </si>
  <si>
    <t>TANK.TK-103.LEVEL</t>
  </si>
  <si>
    <t>TANK.TK-103.TANK_ALERT_ALARM</t>
  </si>
  <si>
    <t>TANK.TK-103.HIGH_LEVEL</t>
  </si>
  <si>
    <t>TANK.TK-103.HIGH_HIGH_LEVEL</t>
  </si>
  <si>
    <t>LEVELSWITCH.VIB TK103.SWITCH_STATUS</t>
  </si>
  <si>
    <t>LEVELSWITCH.VIB TK103.PROOF_TEST_OK</t>
  </si>
  <si>
    <t>LEVELSWITCH.VIB TK103.PROOF_TEST_FAILED</t>
  </si>
  <si>
    <t>LEVELSWITCH.RDR TK103.SWITCH_STATUS</t>
  </si>
  <si>
    <t>LEVELSWITCH.RDR TK103.PROOF_TEST_OK</t>
  </si>
  <si>
    <t>LEVELSWITCH.RDR TK103.PROOF_TEST_FAILED</t>
  </si>
  <si>
    <t>MOV.ROSOV-06.OPEN_STATUS</t>
  </si>
  <si>
    <t>MOV.ROSOV-06.FAILED_TO_CLOSE</t>
  </si>
  <si>
    <t>MOV.ROSOV-05.OPEN_STATUS</t>
  </si>
  <si>
    <t>MOV.ROSOV-05.FAILED_TO_CLOSE</t>
  </si>
  <si>
    <t>MOV.DBBV-09.OPEN_STATUS</t>
  </si>
  <si>
    <t>MOV.DBBV-09.REMOTE_STATUS</t>
  </si>
  <si>
    <t>MOV.DBBV-11.OPEN_STATUS</t>
  </si>
  <si>
    <t>MOV.DBBV-11.REMOTE_STATUS</t>
  </si>
  <si>
    <t>MOV.DBBV-10.OPEN_STATUS</t>
  </si>
  <si>
    <t>MOV.DBBV-10.REMOTE_STATUS</t>
  </si>
  <si>
    <t>MOV.DBBV-12.CLOSE_STATUS</t>
  </si>
  <si>
    <t>MOV.DBBV-12.REMOTE_STATUS</t>
  </si>
  <si>
    <t>TK-104</t>
  </si>
  <si>
    <t>TANK.TK-104.LEVEL</t>
  </si>
  <si>
    <t>TANK.TK-104.TANK_ALERT_ALARM</t>
  </si>
  <si>
    <t>TANK.TK-104.HIGH_LEVEL</t>
  </si>
  <si>
    <t>TANK.TK-104.HIGH_HIGH_LEVEL</t>
  </si>
  <si>
    <t>LEVELSWITCH.VIB TK104.SWITCH_STATUS</t>
  </si>
  <si>
    <t>LEVELSWITCH.VIB TK104.PROOF_TEST_OK</t>
  </si>
  <si>
    <t>LEVELSWITCH.VIB TK104.PROOF_TEST_FAILED</t>
  </si>
  <si>
    <t>LEVELSWITCH.RDR TK104.SWITCH_STATUS</t>
  </si>
  <si>
    <t>LEVELSWITCH.RDR TK104.PROOF_TEST_OK</t>
  </si>
  <si>
    <t>LEVELSWITCH.RDR TK104.PROOF_TEST_FAILED</t>
  </si>
  <si>
    <t>MOV.ROSOV-07.OPEN_STATUS</t>
  </si>
  <si>
    <t>MOV.ROSOV-07.FAILED_TO_CLOSE</t>
  </si>
  <si>
    <t>MOV.ROSOV-08.OPEN_STATUS</t>
  </si>
  <si>
    <t>MOV.ROSOV-08.FAILED_TO_OPEN</t>
  </si>
  <si>
    <t>MOV.DBBV-13.OPEN_STATUS</t>
  </si>
  <si>
    <t>MOV.DBBV-13.REMOTE_STATUS</t>
  </si>
  <si>
    <t>MOV.DBBV-15.OPEN_STATUS</t>
  </si>
  <si>
    <t>MOV.DBBV-15.REMOTE_STATUS</t>
  </si>
  <si>
    <t>MOV.DBBV-14.OPEN_STATUS</t>
  </si>
  <si>
    <t>MOV.DBBV-14.REMOTE_STATUS</t>
  </si>
  <si>
    <t>MOV.DBBV-16.CLOSE_STATUS</t>
  </si>
  <si>
    <t>MOV.DBBV-16.REMOTE_STATUS</t>
  </si>
  <si>
    <t>TK-105</t>
  </si>
  <si>
    <t>LOW RON MS</t>
  </si>
  <si>
    <t>TANK.TK-105.LEVEL</t>
  </si>
  <si>
    <t>TANK.TK-105.TANK_ALERT_ALARM</t>
  </si>
  <si>
    <t>TANK.TK-105.HIGH_LEVEL</t>
  </si>
  <si>
    <t>TANK.TK-105.HIGH_HIGH_LEVEL</t>
  </si>
  <si>
    <t>LEVELSWITCH.VIB TK105.SWITCH_STATUS</t>
  </si>
  <si>
    <t>LEVELSWITCH.VIB TK105.PROOF_TEST_OK</t>
  </si>
  <si>
    <t>LEVELSWITCH.VIB TK105.PROOF_TEST_FAILED</t>
  </si>
  <si>
    <t>LEVELSWITCH.RDR TK105.SWITCH_STATUS</t>
  </si>
  <si>
    <t>LEVELSWITCH.RDR TK105.PROOF_TEST_OK</t>
  </si>
  <si>
    <t>LEVELSWITCH.RDR TK105.PROOF_TEST_FAILED</t>
  </si>
  <si>
    <t>MOV.ROSOV-10.OPEN_STATUS</t>
  </si>
  <si>
    <t>MOV.ROSOV-10.FAILED_TO_CLOSE</t>
  </si>
  <si>
    <t>MOV.ROSOV-09.OPEN_STATUS</t>
  </si>
  <si>
    <t>MOV.ROSOV-09.FAILED_TO_CLOSE</t>
  </si>
  <si>
    <t>MOV.DBBV-17.OPEN_STATUS</t>
  </si>
  <si>
    <t>MOV.DBBV-17.REMOTE_STATUS</t>
  </si>
  <si>
    <t>MOV.DBBV-19.OPEN_STATUS</t>
  </si>
  <si>
    <t>MOV.DBBV-19.REMOTE_STATUS</t>
  </si>
  <si>
    <t>MOV.DBBV-18.OPEN_STATUS</t>
  </si>
  <si>
    <t>MOV.DBBV-18.REMOTE_STATUS</t>
  </si>
  <si>
    <t>MOV.DBBV-20.CLOSE_STATUS</t>
  </si>
  <si>
    <t>MOV.DBBV-20.REMOTE_STATUS</t>
  </si>
  <si>
    <t>TK-106</t>
  </si>
  <si>
    <t>TANK.TK-106.LEVEL</t>
  </si>
  <si>
    <t>TANK.TK-106.TANK_ALERT_ALARM</t>
  </si>
  <si>
    <t>TANK.TK-106.HIGH_LEVEL</t>
  </si>
  <si>
    <t>TANK.TK-106.HIGH_HIGH_LEVEL</t>
  </si>
  <si>
    <t>LEVELSWITCH.VIB TK106.SWITCH_STATUS</t>
  </si>
  <si>
    <t>LEVELSWITCH.VIB TK106.PROOF_TEST_OK</t>
  </si>
  <si>
    <t>LEVELSWITCH.VIB TK106.PROOF_TEST_FAILED</t>
  </si>
  <si>
    <t>LEVELSWITCH.RDR TK106.SWITCH_STATUS</t>
  </si>
  <si>
    <t>LEVELSWITCH.RDR TK106.PROOF_TEST_OK</t>
  </si>
  <si>
    <t>LEVELSWITCH.RDR TK106.PROOF_TEST_FAILED</t>
  </si>
  <si>
    <t>MOV.ROSOV-12.OPEN_STATUS</t>
  </si>
  <si>
    <t>MOV.ROSOV-12.FAILED_TO_CLOSE</t>
  </si>
  <si>
    <t>MOV.ROSOV-11.OPEN_STATUS</t>
  </si>
  <si>
    <t>MOV.ROSOV-11.FAILED_TO_CLOSE</t>
  </si>
  <si>
    <t>MOV.DBBV-21.OPEN_STATUS</t>
  </si>
  <si>
    <t>MOV.DBBV-21.REMOTE_STATUS</t>
  </si>
  <si>
    <t>MOV.DBBV-23.OPEN_STATUS</t>
  </si>
  <si>
    <t>MOV.DBBV-23.REMOTE_STATUS</t>
  </si>
  <si>
    <t>MOV.DBBV-22.OPEN_STATUS</t>
  </si>
  <si>
    <t>MOV.DBBV-22.REMOTE_STATUS</t>
  </si>
  <si>
    <t>MOV.DBBV-24.CLOSE_STATUS</t>
  </si>
  <si>
    <t>MOV.DBBV-24.REMOTE_STATUS</t>
  </si>
  <si>
    <t>TK-107</t>
  </si>
  <si>
    <t>TANK.TK-107.LEVEL</t>
  </si>
  <si>
    <t>TANK.TK-107.TANK_ALERT_ALARM</t>
  </si>
  <si>
    <t>TANK.TK-107.HIGH_LEVEL</t>
  </si>
  <si>
    <t>TANK.TK-107.HIGH_HIGH_LEVEL</t>
  </si>
  <si>
    <t>LEVELSWITCH.VIB TK107.SWITCH_STATUS</t>
  </si>
  <si>
    <t>LEVELSWITCH.VIB TK107.PROOF_TEST_OK</t>
  </si>
  <si>
    <t>LEVELSWITCH.VIB TK107.PROOF_TEST_FAILED</t>
  </si>
  <si>
    <t>LEVELSWITCH.RDR TK107.SWITCH_STATUS</t>
  </si>
  <si>
    <t>LEVELSWITCH.RDR TK107.PROOF_TEST_OK</t>
  </si>
  <si>
    <t>LEVELSWITCH.RDR TK107.PROOF_TEST_FAILED</t>
  </si>
  <si>
    <t>MOV.ROSOV-14.OPEN_STATUS</t>
  </si>
  <si>
    <t>MOV.ROSOV-14.FAILED_TO_CLOSE</t>
  </si>
  <si>
    <t>MOV.ROSOV-13.OPEN_STATUS</t>
  </si>
  <si>
    <t>MOV.ROSOV-13.FAILED_TO_CLOSE</t>
  </si>
  <si>
    <t>MOV.DBBV-25.OPEN_STATUS</t>
  </si>
  <si>
    <t>MOV.DBBV-25.REMOTE_STATUS</t>
  </si>
  <si>
    <t>MOV.DBBV-26.OPEN_STATUS</t>
  </si>
  <si>
    <t>MOV.DBBV-26.REMOTE_STATUS</t>
  </si>
  <si>
    <t>MOV.DBBV-28.CLOSE_STATUS</t>
  </si>
  <si>
    <t>MOV.DBBV-28.REMOTE_STATUS</t>
  </si>
  <si>
    <t>MOV.DBBV-27.CLOSE_STATUS</t>
  </si>
  <si>
    <t>MOV RCL</t>
  </si>
  <si>
    <t>MOV.DBBV-27.REMOTE_STATUS</t>
  </si>
  <si>
    <t>TK-108</t>
  </si>
  <si>
    <t>TANK.TK-108.LEVEL</t>
  </si>
  <si>
    <t>TANK.TK-108.TANK_ALERT_ALARM</t>
  </si>
  <si>
    <t>TANK.TK-108.HIGH_LEVEL</t>
  </si>
  <si>
    <t>TANK.TK-108.HIGH_HIGH_LEVEL</t>
  </si>
  <si>
    <t>LEVELSWITCH.VIB TK108.SWITCH_STATUS</t>
  </si>
  <si>
    <t>LEVELSWITCH.VIB TK108.PROOF_TEST_OK</t>
  </si>
  <si>
    <t>LEVELSWITCH.VIB TK108.PROOF_TEST_FAILED</t>
  </si>
  <si>
    <t>LEVELSWITCH.RDR TK108.SWITCH_STATUS</t>
  </si>
  <si>
    <t>LEVELSWITCH.RDR TK108.PROOF_TEST_OK</t>
  </si>
  <si>
    <t>LEVELSWITCH.RDR TK108.PROOF_TEST_FAILED</t>
  </si>
  <si>
    <t>MOV.ROSOV-16.OPEN_STATUS</t>
  </si>
  <si>
    <t>MOV.ROSOV-16.FAILED_TO_CLOSE</t>
  </si>
  <si>
    <t>MOV.ROSOV-15.OPEN_STATUS</t>
  </si>
  <si>
    <t>MOV.ROSOV-15.FAILED_TO_CLOSE</t>
  </si>
  <si>
    <t>MOV.DBBV-32.OPEN_STATUS</t>
  </si>
  <si>
    <t>MOV.DBBV-32.REMOTE_STATUS</t>
  </si>
  <si>
    <t>MOV.DBBV-31.CLOSE_STATUS</t>
  </si>
  <si>
    <t>MOV.DBBV-31.REMOTE_STATUS</t>
  </si>
  <si>
    <t>TK-109</t>
  </si>
  <si>
    <t>TANK.TK-109.LEVEL</t>
  </si>
  <si>
    <t>TANK.TK-109.TANK_ALERT_ALARM</t>
  </si>
  <si>
    <t>TANK.TK-109.HIGH_LEVEL</t>
  </si>
  <si>
    <t>TANK.TK-109.HIGH_HIGH_LEVEL</t>
  </si>
  <si>
    <t>LEVELSWITCH.VIB TK109.SWITCH_STATUS</t>
  </si>
  <si>
    <t>LEVELSWITCH.VIB TK109.PROOF_TEST_OK</t>
  </si>
  <si>
    <t>LEVELSWITCH.VIB TK109.PROOF_TEST_FAILED</t>
  </si>
  <si>
    <t>LEVELSWITCH.RDR TK109.SWITCH_STATUS</t>
  </si>
  <si>
    <t>LEVELSWITCH.RDR TK109.PROOF_TEST_OK</t>
  </si>
  <si>
    <t>LEVELSWITCH.RDR TK109.PROOF_TEST_FAILED</t>
  </si>
  <si>
    <t>MOV.ROSOV-19.OPEN_STATUS</t>
  </si>
  <si>
    <t>MOV.ROSOV-19.FAILED_TO_CLOSE</t>
  </si>
  <si>
    <t>MOV.ROSOV-18.OPEN_STATUS</t>
  </si>
  <si>
    <t>MOV.ROSOV-18.FAILED_TO_CLOSE</t>
  </si>
  <si>
    <t>MOV.DBBV-33.OPEN_STATUS</t>
  </si>
  <si>
    <t>MOV.DBBV-33.REMOTE_STATUS</t>
  </si>
  <si>
    <t>MOV.DBBV-36.OPEN_STATUS</t>
  </si>
  <si>
    <t>MOV.DBBV-36.REMOTE_STATUS</t>
  </si>
  <si>
    <t>MOV.DBBV-34.OPEN_STATUS</t>
  </si>
  <si>
    <t>MOV.DBBV-34.REMOTE_STATUS</t>
  </si>
  <si>
    <t>MOV.DBBV-35.CLOSE_STATUS</t>
  </si>
  <si>
    <t>MOV.DBBV-35.REMOTE_STATUS</t>
  </si>
  <si>
    <t>TK-110</t>
  </si>
  <si>
    <t>SKO</t>
  </si>
  <si>
    <t>TANK.TK-110.LEVEL</t>
  </si>
  <si>
    <t>TANK.TK-110.TANK_ALERT_ALARM</t>
  </si>
  <si>
    <t>TANK.TK-110.HIGH_LEVEL</t>
  </si>
  <si>
    <t>TANK.TK-110.HIGH_HIGH_LEVEL</t>
  </si>
  <si>
    <t>LEVELSWITCH.VIB TK110.SWITCH_STATUS</t>
  </si>
  <si>
    <t>LEVELSWITCH.VIB TK110.PROOF_TEST_OK</t>
  </si>
  <si>
    <t>LEVELSWITCH.VIB TK110.PROOF_TEST_FAILED</t>
  </si>
  <si>
    <t>LEVELSWITCH.RDR TK110.SWITCH_STATUS</t>
  </si>
  <si>
    <t>LEVELSWITCH.RDR TK110.PROOF_TEST_OK</t>
  </si>
  <si>
    <t>LEVELSWITCH.RDR TK110.PROOF_TEST_FAILED</t>
  </si>
  <si>
    <t>MOV.ROSOV-22.OPEN_STATUS</t>
  </si>
  <si>
    <t>MOV.ROSOV-22.FAILED_TO_OPEN</t>
  </si>
  <si>
    <t>MOV.ROSOV-21.OPEN_STATUS</t>
  </si>
  <si>
    <t>MOV.ROSOV-21.FAILED_TO_CLOSE</t>
  </si>
  <si>
    <t>MOV.DBBV-37.OPEN_STATUS</t>
  </si>
  <si>
    <t>MOV.DBBV-37.REMOTE_STATUS</t>
  </si>
  <si>
    <t>MOV.DBBV-40.OPEN_STATUS</t>
  </si>
  <si>
    <t>MOV.DBBV-40.REMOTE_STATUS</t>
  </si>
  <si>
    <t>MOV.DBBV-38.OPEN_STATUS</t>
  </si>
  <si>
    <t>MOV.DBBV-38.REMOTE_STATUS</t>
  </si>
  <si>
    <t>MOV.DBBV-39.CLOSE_STATUS</t>
  </si>
  <si>
    <t>MOV.DBBV-39.REMOTE_STATUS</t>
  </si>
  <si>
    <t>TK-111</t>
  </si>
  <si>
    <t>ATF</t>
  </si>
  <si>
    <t>TANK.TK-111.LEVEL</t>
  </si>
  <si>
    <t>TANK.TK-111.TANK_ALERT_ALARM</t>
  </si>
  <si>
    <t>TANK.TK-111.HIGH_LEVEL</t>
  </si>
  <si>
    <t>TANK.TK-111.HIGH_HIGH_LEVEL</t>
  </si>
  <si>
    <t>LEVELSWITCH.VIB TK111.SWITCH_STATUS</t>
  </si>
  <si>
    <t>LEVELSWITCH.VIB TK111.PROOF_TEST_OK</t>
  </si>
  <si>
    <t>LEVELSWITCH.VIB TK111.PROOF_TEST_FAILED</t>
  </si>
  <si>
    <t>LEVELSWITCH.RDR TK111.SWITCH_STATUS</t>
  </si>
  <si>
    <t>LEVELSWITCH.RDR TK111.PROOF_TEST_OK</t>
  </si>
  <si>
    <t>LEVELSWITCH.RDR TK111.PROOF_TEST_FAILED</t>
  </si>
  <si>
    <t>MOV.ROSOV-23.OPEN_STATUS</t>
  </si>
  <si>
    <t>MOV.ROSOV-23.FAILED_TO_OPEN</t>
  </si>
  <si>
    <t>MOV.ROSOV-34.OPEN_STATUS</t>
  </si>
  <si>
    <t>MOV.ROSOV-34.FAILED_TO_CLOSE</t>
  </si>
  <si>
    <t>MOV.DBBV-41.OPEN_STATUS</t>
  </si>
  <si>
    <t>MOV.DBBV-41.REMOTE_STATUS</t>
  </si>
  <si>
    <t>MOV.DBBV-44.OPEN_STATUS</t>
  </si>
  <si>
    <t>MOV.DBBV-44.REMOTE_STATUS</t>
  </si>
  <si>
    <t>MOV.DBBV-42.OPEN_STATUS</t>
  </si>
  <si>
    <t>MOV.DBBV-42.REMOTE_STATUS</t>
  </si>
  <si>
    <t>MOV.DBBV-43.CLOSE_STATUS</t>
  </si>
  <si>
    <t>MOV.DBBV-43.REMOTE_STATUS</t>
  </si>
  <si>
    <t>TK-112</t>
  </si>
  <si>
    <t>TANK.TK-112.LEVEL</t>
  </si>
  <si>
    <t>TANK.TK-112.TANK_ALERT_ALARM</t>
  </si>
  <si>
    <t>TANK.TK-112.HIGH_LEVEL</t>
  </si>
  <si>
    <t>TANK.TK-112.HIGH_HIGH_LEVEL</t>
  </si>
  <si>
    <t>LEVELSWITCH.VIB TK112.SWITCH_STATUS</t>
  </si>
  <si>
    <t>LEVELSWITCH.VIB TK112.PROOF_TEST_OK</t>
  </si>
  <si>
    <t>LEVELSWITCH.VIB TK112.PROOF_TEST_FAILED</t>
  </si>
  <si>
    <t>LEVELSWITCH.RDR TK112.SWITCH_STATUS</t>
  </si>
  <si>
    <t>LEVELSWITCH.RDR TK112.PROOF_TEST_OK</t>
  </si>
  <si>
    <t>LEVELSWITCH.RDR TK112.PROOF_TEST_FAILED</t>
  </si>
  <si>
    <t>MOV.ROSOV-25.OPEN_STATUS</t>
  </si>
  <si>
    <t>MOV.ROSOV-25.FAILED_TO_CLOSE</t>
  </si>
  <si>
    <t>MOV.ROSOV-24.OPEN_STATUS</t>
  </si>
  <si>
    <t>MOV.ROSOV-24.FAILED_TO_OPEN</t>
  </si>
  <si>
    <t>MOV.DBBV-45.OPEN_STATUS</t>
  </si>
  <si>
    <t>MOV.DBBV-45.REMOTE_STATUS</t>
  </si>
  <si>
    <t>MOV.DBBV-48.OPEN_STATUS</t>
  </si>
  <si>
    <t>MOV.DBBV-48.REMOTE_STATUS</t>
  </si>
  <si>
    <t>MOV.DBBV-46.OPEN_STATUS</t>
  </si>
  <si>
    <t>MOV.DBBV-46.REMOTE_STATUS</t>
  </si>
  <si>
    <t>MOV.DBBV-47.CLOSE_STATUS</t>
  </si>
  <si>
    <t>MOV.DBBV-47.REMOTE_STATUS</t>
  </si>
  <si>
    <t>TK-113</t>
  </si>
  <si>
    <t>TANK.TK-113.LEVEL</t>
  </si>
  <si>
    <t>TANK.TK-113.TANK_ALERT_ALARM</t>
  </si>
  <si>
    <t>TANK.TK-113.HIGH_LEVEL</t>
  </si>
  <si>
    <t>TANK.TK-113.HIGH_HIGH_LEVEL</t>
  </si>
  <si>
    <t>LEVELSWITCH.VIB TK113.SWITCH_STATUS</t>
  </si>
  <si>
    <t>LEVELSWITCH.VIB TK113.PROOF_TEST_OK</t>
  </si>
  <si>
    <t>LEVELSWITCH.VIB TK113.PROOF_TEST_FAILED</t>
  </si>
  <si>
    <t>LEVELSWITCH.RDR TK113.SWITCH_STATUS</t>
  </si>
  <si>
    <t>LEVELSWITCH.RDR TK113.PROOF_TEST_OK</t>
  </si>
  <si>
    <t>LEVELSWITCH.RDR TK113.PROOF_TEST_FAILED</t>
  </si>
  <si>
    <t>MOV.ROSOV-27.OPEN_STATUS</t>
  </si>
  <si>
    <t>MOV.ROSOV-27.FAILED_TO_CLOSE</t>
  </si>
  <si>
    <t>MOV.ROSOV-28.OPEN_STATUS</t>
  </si>
  <si>
    <t>MOV.ROSOV-28.FAILED_TO_OPEN</t>
  </si>
  <si>
    <t>MOV.DBBV-49.OPEN_STATUS</t>
  </si>
  <si>
    <t>MOV.DBBV-49.REMOTE_STATUS</t>
  </si>
  <si>
    <t>MOV.DBBV-52.OPEN_STATUS</t>
  </si>
  <si>
    <t>MOV.DBBV-52.REMOTE_STATUS</t>
  </si>
  <si>
    <t>MOV.DBBV-50.OPEN_STATUS</t>
  </si>
  <si>
    <t>MOV.DBBV-50.REMOTE_STATUS</t>
  </si>
  <si>
    <t>MOV.DBBV-51.CLOSE_STATUS</t>
  </si>
  <si>
    <t>MOV.DBBV-51.REMOTE_STATUS</t>
  </si>
  <si>
    <t>TK-114</t>
  </si>
  <si>
    <t>TANK.TK-114.LEVEL</t>
  </si>
  <si>
    <t>TANK.TK-114.TANK_ALERT_ALARM</t>
  </si>
  <si>
    <t>TANK.TK-114.HIGH_LEVEL</t>
  </si>
  <si>
    <t>TANK.TK-114.HIGH_HIGH_LEVEL</t>
  </si>
  <si>
    <t>LEVELSWITCH.VIB TK114.SWITCH_STATUS</t>
  </si>
  <si>
    <t>LEVELSWITCH.VIB TK114.PROOF_TEST_OK</t>
  </si>
  <si>
    <t>LEVELSWITCH.VIB TK114.PROOF_TEST_FAILED</t>
  </si>
  <si>
    <t>LEVELSWITCH.RDR TK114.SWITCH_STATUS</t>
  </si>
  <si>
    <t>LEVELSWITCH.RDR TK114.PROOF_TEST_OK</t>
  </si>
  <si>
    <t>LEVELSWITCH.RDR TK114.PROOF_TEST_FAILED</t>
  </si>
  <si>
    <t>MOV.ROSOV-31.OPEN_STATUS</t>
  </si>
  <si>
    <t>MOV.ROSOV-31.FAILED_TO_CLOSE</t>
  </si>
  <si>
    <t>MOV.ROSOV-30.OPEN_STATUS</t>
  </si>
  <si>
    <t>MOV.ROSOV-30.FAILED_TO_CLOSE</t>
  </si>
  <si>
    <t>MOV.DBBV-53.OPEN_STATUS</t>
  </si>
  <si>
    <t>MOV.DBBV-53.REMOTE_STATUS</t>
  </si>
  <si>
    <t>MOV.DBBV-56.OPEN_STATUS</t>
  </si>
  <si>
    <t>MOV.DBBV-56.REMOTE_STATUS</t>
  </si>
  <si>
    <t>MOV.DBBV-54.OPEN_STATUS</t>
  </si>
  <si>
    <t>MOV.DBBV-54.REMOTE_STATUS</t>
  </si>
  <si>
    <t>MOV.DBBV-55.CLOSE_STATUS</t>
  </si>
  <si>
    <t>MOV.DBBV-55.REMOTE_STATUS</t>
  </si>
  <si>
    <t>TK-115</t>
  </si>
  <si>
    <t>TANK.TK-115.LEVEL</t>
  </si>
  <si>
    <t>TANK.TK-115.TANK_ALERT_ALARM</t>
  </si>
  <si>
    <t>TANK.TK-115.HIGH_LEVEL</t>
  </si>
  <si>
    <t>TANK.TK-115.HIGH_HIGH_LEVEL</t>
  </si>
  <si>
    <t>LEVELSWITCH.VIB TK115.SWITCH_STATUS</t>
  </si>
  <si>
    <t>LEVELSWITCH.VIB TK115.PROOF_TEST_OK</t>
  </si>
  <si>
    <t>LEVELSWITCH.VIB TK115.PROOF_TEST_FAILED</t>
  </si>
  <si>
    <t>LEVELSWITCH.RDR TK115.SWITCH_STATUS</t>
  </si>
  <si>
    <t>LEVELSWITCH.RDR TK115.PROOF_TEST_OK</t>
  </si>
  <si>
    <t>LEVELSWITCH.RDR TK115.PROOF_TEST_FAILED</t>
  </si>
  <si>
    <t>MOV.ROSOV-33.OPEN_STATUS</t>
  </si>
  <si>
    <t>MOV.ROSOV-33.FAILED_TO_CLOSE</t>
  </si>
  <si>
    <t>MOV.ROSOV-32.OPEN_STATUS</t>
  </si>
  <si>
    <t>MOV.ROSOV-32.FAILED_TO_CLOSE</t>
  </si>
  <si>
    <t>MOV.DBBV-57.OPEN_STATUS</t>
  </si>
  <si>
    <t>MOV.DBBV-57.REMOTE_STATUS</t>
  </si>
  <si>
    <t>MOV.DBBV-60.OPEN_STATUS</t>
  </si>
  <si>
    <t>MOV.DBBV-60.REMOTE_STATUS</t>
  </si>
  <si>
    <t>MOV.DBBV-58.OPEN_STATUS</t>
  </si>
  <si>
    <t>MOV.DBBV-58.REMOTE_STATUS</t>
  </si>
  <si>
    <t>MOV.DBBV-59.CLOSE_STATUS</t>
  </si>
  <si>
    <t>MOV.DBBV-59.REMOTE_STATUS</t>
  </si>
  <si>
    <t>TK-124</t>
  </si>
  <si>
    <t>WATER</t>
  </si>
  <si>
    <t>TANK.TK-124.LEVEL</t>
  </si>
  <si>
    <t>TK-125</t>
  </si>
  <si>
    <t>TANK.TK-125.LEVEL</t>
  </si>
  <si>
    <t>TK-130</t>
  </si>
  <si>
    <t>UG</t>
  </si>
  <si>
    <t>TANK.TK-130.LEVEL</t>
  </si>
  <si>
    <t>TK-131</t>
  </si>
  <si>
    <t>TANK.TK-131.LEVEL</t>
  </si>
  <si>
    <t>TK-132</t>
  </si>
  <si>
    <t>TANK.TK-132.LEVEL</t>
  </si>
  <si>
    <t>TK-133</t>
  </si>
  <si>
    <t>TANK.TK-133.LEVEL</t>
  </si>
  <si>
    <t>TK-134</t>
  </si>
  <si>
    <t>TANK.TK-134.LEVEL</t>
  </si>
  <si>
    <t>TK-135</t>
  </si>
  <si>
    <t>BIOHSD</t>
  </si>
  <si>
    <t>TANK.TK-135.LEVEL</t>
  </si>
  <si>
    <t>TK-136</t>
  </si>
  <si>
    <t>TANK.TK-136.LEVEL</t>
  </si>
  <si>
    <t>MOV ID</t>
  </si>
  <si>
    <t>HDR MOV STATUS</t>
  </si>
  <si>
    <t>HDR MOV REMOTE STATUS</t>
  </si>
  <si>
    <t>HDR MOV MAINTENANCE STATUS</t>
  </si>
  <si>
    <t>TOBV-01_BS VI HSD</t>
  </si>
  <si>
    <t>TOBV-01</t>
  </si>
  <si>
    <t>MOV.TOBV-01.OPEN_STATUS</t>
  </si>
  <si>
    <t>MOV.TOBV-01.REMOTE_STATUS</t>
  </si>
  <si>
    <t>MOV.TOBV-01.MAINTENANCE_STATUS</t>
  </si>
  <si>
    <t>TOBV-02_BS VI MS</t>
  </si>
  <si>
    <t>BS VI MS</t>
  </si>
  <si>
    <t>TOBV-02</t>
  </si>
  <si>
    <t>MOV.TOBV-02.OPEN_STATUS</t>
  </si>
  <si>
    <t>MOV.TOBV-02.REMOTE_STATUS</t>
  </si>
  <si>
    <t>MOV.TOBV-02.MAINTENANCE_STATUS</t>
  </si>
  <si>
    <t>TOBV-03_ETHANOL</t>
  </si>
  <si>
    <t>TOBV-03</t>
  </si>
  <si>
    <t>MOV.TOBV-03.OPEN_STATUS</t>
  </si>
  <si>
    <t>MOV.TOBV-03.REMOTE_STATUS</t>
  </si>
  <si>
    <t>MOV.TOBV-03.MAINTENANCE_STATUS</t>
  </si>
  <si>
    <t>TOBV-04_SKO</t>
  </si>
  <si>
    <t>TOBV-04</t>
  </si>
  <si>
    <t>MOV.TOBV-04.OPEN_STATUS</t>
  </si>
  <si>
    <t>MOV.TOBV-04.REMOTE_STATUS</t>
  </si>
  <si>
    <t>MOV.TOBV-04.MAINTENANCE_STATUS</t>
  </si>
  <si>
    <t>TOBV-05_BIOHSD</t>
  </si>
  <si>
    <t>TOBV-05</t>
  </si>
  <si>
    <t>MOV.TOBV-05.OPEN_STATUS</t>
  </si>
  <si>
    <t>MOV.TOBV-05.REMOTE_STATUS</t>
  </si>
  <si>
    <t>MOV.TOBV-05.MAINTENANCE_STATUS</t>
  </si>
  <si>
    <t>TOBV-06_ATF</t>
  </si>
  <si>
    <t>TOBV-06</t>
  </si>
  <si>
    <t>MOV.TOBV-06.OPEN_STATUS</t>
  </si>
  <si>
    <t>MOV.TOBV-06.REMOTE_STATUS</t>
  </si>
  <si>
    <t>MOV.TOBV-06.MAINTENANCE_STATUS</t>
  </si>
  <si>
    <t>TOBV-07_ETHANOL</t>
  </si>
  <si>
    <t>TOBV-07</t>
  </si>
  <si>
    <t>MOV.TOBV-07.OPEN_STATUS</t>
  </si>
  <si>
    <t>MOV.TOBV-07.REMOTE_STATUS</t>
  </si>
  <si>
    <t>MOV.TOBV-07.MAINTENANCE_STATUS</t>
  </si>
  <si>
    <t>TOBV-08_ETHANOL</t>
  </si>
  <si>
    <t>TOBV-08</t>
  </si>
  <si>
    <t>MOV.TOBV-08.OPEN_STATUS</t>
  </si>
  <si>
    <t>MOV.TOBV-08.REMOTE_STATUS</t>
  </si>
  <si>
    <t>MOV.TOBV-08.MAINTENANCE_STATUS</t>
  </si>
  <si>
    <t>TOBV-09_BS VI MS</t>
  </si>
  <si>
    <t>TOBV-09</t>
  </si>
  <si>
    <t>MOV.TOBV-09.OPEN_STATUS</t>
  </si>
  <si>
    <t>MOV.TOBV-09.REMOTE_STATUS</t>
  </si>
  <si>
    <t>MOV.TOBV-09.MAINTENANCE_STATUS</t>
  </si>
  <si>
    <t>TOBV-10_BS VI HSD</t>
  </si>
  <si>
    <t>TOBV-10</t>
  </si>
  <si>
    <t>MOV.TOBV-10.OPEN_STATUS</t>
  </si>
  <si>
    <t>MOV.TOBV-10.REMOTE_STATUS</t>
  </si>
  <si>
    <t>MOV.TOBV-10.MAINTENANCE_STATUS</t>
  </si>
  <si>
    <t>TOBV-11_SKO</t>
  </si>
  <si>
    <t>TOBV-11</t>
  </si>
  <si>
    <t>MOV.TOBV-11.OPEN_STATUS</t>
  </si>
  <si>
    <t>MOV.TOBV-11.REMOTE_STATUS</t>
  </si>
  <si>
    <t>MOV.TOBV-11.MAINTENANCE_STATUS</t>
  </si>
  <si>
    <t>TOBV-12_BIOHSD</t>
  </si>
  <si>
    <t>TOBV-12</t>
  </si>
  <si>
    <t>MOV.TOBV-12.OPEN_STATUS</t>
  </si>
  <si>
    <t>MOV.TOBV-12.REMOTE_STATUS</t>
  </si>
  <si>
    <t>MOV.TOBV-12.MAINTENANCE_STATUS</t>
  </si>
  <si>
    <t>TOBV-13_ATF</t>
  </si>
  <si>
    <t>TOBV-13</t>
  </si>
  <si>
    <t>MOV.TOBV-13.OPEN_STATUS</t>
  </si>
  <si>
    <t>MOV.TOBV-13.REMOTE_STATUS</t>
  </si>
  <si>
    <t>MOV.TOBV-13.MAINTENANCE_STATUS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</si>
  <si>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</si>
  <si>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</si>
  <si>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</si>
  <si>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</si>
  <si>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</si>
  <si>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</si>
  <si>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</si>
  <si>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</si>
  <si>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</si>
  <si>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</si>
  <si>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</si>
  <si>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</si>
  <si>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</si>
  <si>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MOV MAINTENANCE OL1</t>
  </si>
  <si>
    <t>RIM SEAL MAINTENANCE STATUS</t>
  </si>
  <si>
    <t>Vashi_M</t>
  </si>
  <si>
    <t>TANK.TK-101.MAINTENANCE_STATUS</t>
  </si>
  <si>
    <t>LEVELSWITCH.VIB TK101.MAINTENANCE_STATUS</t>
  </si>
  <si>
    <t>LEVELSWITCH.RDR TK101.MAINTENANCE_STATUS</t>
  </si>
  <si>
    <t>MOV.ROSOV-01.MAINTENANCE_STATUS</t>
  </si>
  <si>
    <t>MOV.ROSOV-02.MAINTENANCE_STATUS</t>
  </si>
  <si>
    <t>MOV.DBBV-01.MAINTENANCE_STATUS</t>
  </si>
  <si>
    <t>MOV.DBBV-03.MAINTENANCE_STATUS</t>
  </si>
  <si>
    <t>MOV.DBBV-02.MAINTENANCE_STATUS</t>
  </si>
  <si>
    <t>MOV.DBBV-04.MAINTENANCE_STATUS</t>
  </si>
  <si>
    <t>TANK.TK-102.MAINTENANCE_STATUS</t>
  </si>
  <si>
    <t>LEVELSWITCH.VIB TK102.MAINTENANCE_STATUS</t>
  </si>
  <si>
    <t>LEVELSWITCH.RDR TK102.MAINTENANCE_STATUS</t>
  </si>
  <si>
    <t>MOV.ROSOV-04.MAINTENANCE_STATUS</t>
  </si>
  <si>
    <t>MOV.ROSOV-03.MAINTENANCE_STATUS</t>
  </si>
  <si>
    <t>MOV.DBBV-05.MAINTENANCE_STATUS</t>
  </si>
  <si>
    <t>MOV.DBBV-07.MAINTENANCE_STATUS</t>
  </si>
  <si>
    <t>MOV.DBBV-06.MAINTENANCE_STATUS</t>
  </si>
  <si>
    <t>MOV.DBBV-08.MAINTENANCE_STATUS</t>
  </si>
  <si>
    <t>TANK.TK-103.MAINTENANCE_STATUS</t>
  </si>
  <si>
    <t>LEVELSWITCH.VIB TK103.MAINTENANCE_STATUS</t>
  </si>
  <si>
    <t>LEVELSWITCH.RDR TK103.MAINTENANCE_STATUS</t>
  </si>
  <si>
    <t>MOV.ROSOV-06.MAINTENANCE_STATUS</t>
  </si>
  <si>
    <t>MOV.ROSOV-05.MAINTENANCE_STATUS</t>
  </si>
  <si>
    <t>MOV.DBBV-09.MAINTENANCE_STATUS</t>
  </si>
  <si>
    <t>MOV.DBBV-11.MAINTENANCE_STATUS</t>
  </si>
  <si>
    <t>MOV.DBBV-10.MAINTENANCE_STATUS</t>
  </si>
  <si>
    <t>MOV.DBBV-12.MAINTENANCE_STATUS</t>
  </si>
  <si>
    <t>TANK.TK-104.MAINTENANCE_STATUS</t>
  </si>
  <si>
    <t>LEVELSWITCH.VIB TK104.MAINTENANCE_STATUS</t>
  </si>
  <si>
    <t>LEVELSWITCH.RDR TK104.MAINTENANCE_STATUS</t>
  </si>
  <si>
    <t>MOV.ROSOV-07.MAINTENANCE_STATUS</t>
  </si>
  <si>
    <t>MOV.ROSOV-08.MAINTENANCE_STATUS</t>
  </si>
  <si>
    <t>MOV.DBBV-13.MAINTENANCE_STATUS</t>
  </si>
  <si>
    <t>MOV.DBBV-15.MAINTENANCE_STATUS</t>
  </si>
  <si>
    <t>MOV.DBBV-14.MAINTENANCE_STATUS</t>
  </si>
  <si>
    <t>MOV.DBBV-16.MAINTENANCE_STATUS</t>
  </si>
  <si>
    <t>TANK.TK-105.MAINTENANCE_STATUS</t>
  </si>
  <si>
    <t>LEVELSWITCH.VIB TK105.MAINTENANCE_STATUS</t>
  </si>
  <si>
    <t>LEVELSWITCH.RDR TK105.MAINTENANCE_STATUS</t>
  </si>
  <si>
    <t>MOV.ROSOV-10.MAINTENANCE_STATUS</t>
  </si>
  <si>
    <t>MOV.ROSOV-09.MAINTENANCE_STATUS</t>
  </si>
  <si>
    <t>MOV.DBBV-17.MAINTENANCE_STATUS</t>
  </si>
  <si>
    <t>MOV.DBBV-19.MAINTENANCE_STATUS</t>
  </si>
  <si>
    <t>MOV.DBBV-18.MAINTENANCE_STATUS</t>
  </si>
  <si>
    <t>MOV.DBBV-20.MAINTENANCE_STATUS</t>
  </si>
  <si>
    <t>TANK.TK-106.MAINTENANCE_STATUS</t>
  </si>
  <si>
    <t>LEVELSWITCH.VIB TK106.MAINTENANCE_STATUS</t>
  </si>
  <si>
    <t>LEVELSWITCH.RDR TK106.MAINTENANCE_STATUS</t>
  </si>
  <si>
    <t>MOV.ROSOV-12.MAINTENANCE_STATUS</t>
  </si>
  <si>
    <t>MOV.ROSOV-11.MAINTENANCE_STATUS</t>
  </si>
  <si>
    <t>MOV.DBBV-21.MAINTENANCE_STATUS</t>
  </si>
  <si>
    <t>MOV.DBBV-23.MAINTENANCE_STATUS</t>
  </si>
  <si>
    <t>MOV.DBBV-22.MAINTENANCE_STATUS</t>
  </si>
  <si>
    <t>MOV.DBBV-24.MAINTENANCE_STATUS</t>
  </si>
  <si>
    <t>TANK.TK-107.MAINTENANCE_STATUS</t>
  </si>
  <si>
    <t>LEVELSWITCH.VIB TK107.MAINTENANCE_STATUS</t>
  </si>
  <si>
    <t>LEVELSWITCH.RDR TK107.MAINTENANCE_STATUS</t>
  </si>
  <si>
    <t>MOV.ROSOV-14.MAINTENANCE_STATUS</t>
  </si>
  <si>
    <t>MOV.ROSOV-13.MAINTENANCE_STATUS</t>
  </si>
  <si>
    <t>MOV.DBBV-25.MAINTENANCE_STATUS</t>
  </si>
  <si>
    <t>MOV.DBBV-27.MAINTENANCE_STATUS</t>
  </si>
  <si>
    <t>MOV.DBBV-26.MAINTENANCE_STATUS</t>
  </si>
  <si>
    <t>MOV.DBBV-28.MAINTENANCE_STATUS</t>
  </si>
  <si>
    <t>TANK.TK-108.MAINTENANCE_STATUS</t>
  </si>
  <si>
    <t>LEVELSWITCH.VIB TK108.MAINTENANCE_STATUS</t>
  </si>
  <si>
    <t>LEVELSWITCH.RDR TK108.MAINTENANCE_STATUS</t>
  </si>
  <si>
    <t>MOV.ROSOV-16.MAINTENANCE_STATUS</t>
  </si>
  <si>
    <t>MOV.ROSOV-15.MAINTENANCE_STATUS</t>
  </si>
  <si>
    <t>MOV.DBBV-32.MAINTENANCE_STATUS</t>
  </si>
  <si>
    <t>MOV.DBBV-31.MAINTENANCE_STATUS</t>
  </si>
  <si>
    <t>TANK.TK-109.MAINTENANCE_STATUS</t>
  </si>
  <si>
    <t>LEVELSWITCH.VIB TK109.MAINTENANCE_STATUS</t>
  </si>
  <si>
    <t>LEVELSWITCH.RDR TK109.MAINTENANCE_STATUS</t>
  </si>
  <si>
    <t>MOV.ROSOV-19.MAINTENANCE_STATUS</t>
  </si>
  <si>
    <t>MOV.ROSOV-18.MAINTENANCE_STATUS</t>
  </si>
  <si>
    <t>MOV.DBBV-33.MAINTENANCE_STATUS</t>
  </si>
  <si>
    <t>MOV.DBBV-36.MAINTENANCE_STATUS</t>
  </si>
  <si>
    <t>MOV.DBBV-35.MAINTENANCE_STATUS</t>
  </si>
  <si>
    <t>MOV.DBBV-34.MAINTENANCE_STATUS</t>
  </si>
  <si>
    <t>TANK.TK-110.MAINTENANCE_STATUS</t>
  </si>
  <si>
    <t>LEVELSWITCH.VIB TK110.MAINTENANCE_STATUS</t>
  </si>
  <si>
    <t>LEVELSWITCH.RDR TK110.MAINTENANCE_STATUS</t>
  </si>
  <si>
    <t>MOV.ROSOV-22.MAINTENANCE_STATUS</t>
  </si>
  <si>
    <t>MOV.ROSOV-21.MAINTENANCE_STATUS</t>
  </si>
  <si>
    <t>MOV.DBBV-37.MAINTENANCE_STATUS</t>
  </si>
  <si>
    <t>MOV.DBBV-40.MAINTENANCE_STATUS</t>
  </si>
  <si>
    <t>MOV.DBBV-39.MAINTENANCE_STATUS</t>
  </si>
  <si>
    <t>MOV.DBBV-38.MAINTENANCE_STATUS</t>
  </si>
  <si>
    <t>TANK.TK-111.MAINTENANCE_STATUS</t>
  </si>
  <si>
    <t>LEVELSWITCH.VIB TK111.MAINTENANCE_STATUS</t>
  </si>
  <si>
    <t>LEVELSWITCH.RDR TK111.MAINTENANCE_STATUS</t>
  </si>
  <si>
    <t>MOV.ROSOV-23.MAINTENANCE_STATUS</t>
  </si>
  <si>
    <t>MOV.ROSOV-34.MAINTENANCE_STATUS</t>
  </si>
  <si>
    <t>MOV.DBBV-41.MAINTENANCE_STATUS</t>
  </si>
  <si>
    <t>MOV.DBBV-44.MAINTENANCE_STATUS</t>
  </si>
  <si>
    <t>MOV.DBBV-43.MAINTENANCE_STATUS</t>
  </si>
  <si>
    <t>MOV.DBBV-42.MAINTENANCE_STATUS</t>
  </si>
  <si>
    <t>TANK.TK-112.MAINTENANCE_STATUS</t>
  </si>
  <si>
    <t>LEVELSWITCH.VIB TK112.MAINTENANCE_STATUS</t>
  </si>
  <si>
    <t>LEVELSWITCH.RDR TK112.MAINTENANCE_STATUS</t>
  </si>
  <si>
    <t>MOV.ROSOV-25.MAINTENANCE_STATUS</t>
  </si>
  <si>
    <t>MOV.ROSOV-24.MAINTENANCE_STATUS</t>
  </si>
  <si>
    <t>MOV.DBBV-45.MAINTENANCE_STATUS</t>
  </si>
  <si>
    <t>MOV.DBBV-48.MAINTENANCE_STATUS</t>
  </si>
  <si>
    <t>MOV.DBBV-47.MAINTENANCE_STATUS</t>
  </si>
  <si>
    <t>MOV.DBBV-46.MAINTENANCE_STATUS</t>
  </si>
  <si>
    <t>TANK.TK-113.MAINTENANCE_STATUS</t>
  </si>
  <si>
    <t>LEVELSWITCH.VIB TK113.MAINTENANCE_STATUS</t>
  </si>
  <si>
    <t>LEVELSWITCH.RDR TK113.MAINTENANCE_STATUS</t>
  </si>
  <si>
    <t>MOV.ROSOV-27.MAINTENANCE_STATUS</t>
  </si>
  <si>
    <t>MOV.ROSOV-28.MAINTENANCE_STATUS</t>
  </si>
  <si>
    <t>MOV.DBBV-49.MAINTENANCE_STATUS</t>
  </si>
  <si>
    <t>MOV.DBBV-52.MAINTENANCE_STATUS</t>
  </si>
  <si>
    <t>MOV.DBBV-51.MAINTENANCE_STATUS</t>
  </si>
  <si>
    <t>MOV.DBBV-50.MAINTENANCE_STATUS</t>
  </si>
  <si>
    <t>TANK.TK-114.MAINTENANCE_STATUS</t>
  </si>
  <si>
    <t>LEVELSWITCH.VIB TK114.MAINTENANCE_STATUS</t>
  </si>
  <si>
    <t>LEVELSWITCH.RDR TK114.MAINTENANCE_STATUS</t>
  </si>
  <si>
    <t>MOV.ROSOV-31.MAINTENANCE_STATUS</t>
  </si>
  <si>
    <t>MOV.ROSOV-30.MAINTENANCE_STATUS</t>
  </si>
  <si>
    <t>MOV.DBBV-53.MAINTENANCE_STATUS</t>
  </si>
  <si>
    <t>MOV.DBBV-56.MAINTENANCE_STATUS</t>
  </si>
  <si>
    <t>MOV.DBBV-55.MAINTENANCE_STATUS</t>
  </si>
  <si>
    <t>MOV.DBBV-54.MAINTENANCE_STATUS</t>
  </si>
  <si>
    <t>TANK.TK-115.MAINTENANCE_STATUS</t>
  </si>
  <si>
    <t>LEVELSWITCH.VIB TK115.MAINTENANCE_STATUS</t>
  </si>
  <si>
    <t>LEVELSWITCH.RDR TK115.MAINTENANCE_STATUS</t>
  </si>
  <si>
    <t>MOV.ROSOV-33.MAINTENANCE_STATUS</t>
  </si>
  <si>
    <t>MOV.ROSOV-32.MAINTENANCE_STATUS</t>
  </si>
  <si>
    <t>MOV.DBBV-57.MAINTENANCE_STATUS</t>
  </si>
  <si>
    <t>MOV.DBBV-60.MAINTENANCE_STATUS</t>
  </si>
  <si>
    <t>MOV.DBBV-59.MAINTENANCE_STATUS</t>
  </si>
  <si>
    <t>MOV.DBBV-58.MAINTENANCE_STATUS</t>
  </si>
  <si>
    <t>TANK.TK-130.MAINTENANCE_STATUS</t>
  </si>
  <si>
    <t>TANK.TK-131.MAINTENANCE_STATUS</t>
  </si>
  <si>
    <t>TANK.TK-132.MAINTENANCE_STATUS</t>
  </si>
  <si>
    <t>TANK.TK-133.MAINTENANCE_STATUS</t>
  </si>
  <si>
    <t>TANK.TK-134.MAINTENANCE_STATUS</t>
  </si>
  <si>
    <t>TANK.TK-135.MAINTENANCE_STATUS</t>
  </si>
  <si>
    <t>TANK.TK-136.MAINTENANCE_STATUS</t>
  </si>
  <si>
    <t xml:space="preserve"> 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</si>
  <si>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</si>
  <si>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</si>
  <si>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</si>
  <si>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</si>
  <si>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</si>
  <si>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</si>
  <si>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</si>
  <si>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</si>
  <si>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</si>
  <si>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ADTV-PMP-01</t>
  </si>
  <si>
    <t>POWER</t>
  </si>
  <si>
    <t>Truck Loading</t>
  </si>
  <si>
    <t>DISPATCH</t>
  </si>
  <si>
    <t>PUMP.ADTV-PMP-01.ON</t>
  </si>
  <si>
    <t>PUMP.ADTV-PMP-01.REMOTE_STATUS</t>
  </si>
  <si>
    <t>PUMP.ADTV-PMP-01.MAINTENANCE_STATUS</t>
  </si>
  <si>
    <t>ADTV-PMP-02</t>
  </si>
  <si>
    <t>PUMP.ADTV-PMP-02.ON</t>
  </si>
  <si>
    <t>PUMP.ADTV-PMP-02.REMOTE_STATUS</t>
  </si>
  <si>
    <t>PUMP.ADTV-PMP-02.MAINTENANCE_STATUS</t>
  </si>
  <si>
    <t>ADTV-PMP-03</t>
  </si>
  <si>
    <t>TURBO</t>
  </si>
  <si>
    <t>PUMP.ADTV-PMP-03.ON</t>
  </si>
  <si>
    <t>PUMP.ADTV-PMP-03.REMOTE_STATUS</t>
  </si>
  <si>
    <t>PUMP.ADTV-PMP-03.MAINTENANCE_STATUS</t>
  </si>
  <si>
    <t>ADTV-PMP-04</t>
  </si>
  <si>
    <t>PUMP.ADTV-PMP-04.ON</t>
  </si>
  <si>
    <t>PUMP.ADTV-PMP-04.REMOTE_STATUS</t>
  </si>
  <si>
    <t>PUMP.ADTV-PMP-04.MAINTENANCE_STATUS</t>
  </si>
  <si>
    <t>PMP-01</t>
  </si>
  <si>
    <t>PUMP.PMP-01.ON</t>
  </si>
  <si>
    <t>PUMP.PMP-01.REMOTE_STATUS</t>
  </si>
  <si>
    <t>PUMP.PMP-01.MAINTENANCE_STATUS</t>
  </si>
  <si>
    <t>PMP-02</t>
  </si>
  <si>
    <t>PUMP.PMP-02.ON</t>
  </si>
  <si>
    <t>PUMP.PMP-02.REMOTE_STATUS</t>
  </si>
  <si>
    <t>PUMP.PMP-02.MAINTENANCE_STATUS</t>
  </si>
  <si>
    <t>PMP-03</t>
  </si>
  <si>
    <t>PUMP.PMP-03.ON</t>
  </si>
  <si>
    <t>PUMP.PMP-03.REMOTE_STATUS</t>
  </si>
  <si>
    <t>PUMP.PMP-03.MAINTENANCE_STATUS</t>
  </si>
  <si>
    <t>PMP-04</t>
  </si>
  <si>
    <t>PUMP.PMP-04.ON</t>
  </si>
  <si>
    <t>PUMP.PMP-04.REMOTE_STATUS</t>
  </si>
  <si>
    <t>PUMP.PMP-04.MAINTENANCE_STATUS</t>
  </si>
  <si>
    <t>PMP-05</t>
  </si>
  <si>
    <t>PUMP.PMP-05.ON</t>
  </si>
  <si>
    <t>PUMP.PMP-05.REMOTE_STATUS</t>
  </si>
  <si>
    <t>PUMP.PMP-05.MAINTENANCE_STATUS</t>
  </si>
  <si>
    <t>PMP-06</t>
  </si>
  <si>
    <t>PUMP.PMP-06.ON</t>
  </si>
  <si>
    <t>PUMP.PMP-06.REMOTE_STATUS</t>
  </si>
  <si>
    <t>PUMP.PMP-06.MAINTENANCE_STATUS</t>
  </si>
  <si>
    <t>PMP-07</t>
  </si>
  <si>
    <t>PUMP.PMP-07.ON</t>
  </si>
  <si>
    <t>PUMP.PMP-07.REMOTE_STATUS</t>
  </si>
  <si>
    <t>PUMP.PMP-07.MAINTENANCE_STATUS</t>
  </si>
  <si>
    <t>PMP-08</t>
  </si>
  <si>
    <t>PUMP.PMP-08.ON</t>
  </si>
  <si>
    <t>PUMP.PMP-08.REMOTE_STATUS</t>
  </si>
  <si>
    <t>PUMP.PMP-08.MAINTENANCE_STATUS</t>
  </si>
  <si>
    <t>PMP-09</t>
  </si>
  <si>
    <t>PUMP.PMP-09.ON</t>
  </si>
  <si>
    <t>PUMP.PMP-09.REMOTE_STATUS</t>
  </si>
  <si>
    <t>PUMP.PMP-09.MAINTENANCE_STATUS</t>
  </si>
  <si>
    <t>PMP-10</t>
  </si>
  <si>
    <t>PUMP.PMP-10.ON</t>
  </si>
  <si>
    <t>PUMP.PMP-10.REMOTE_STATUS</t>
  </si>
  <si>
    <t>PUMP.PMP-10.MAINTENANCE_STATUS</t>
  </si>
  <si>
    <t>PMP-11</t>
  </si>
  <si>
    <t>PUMP.PMP-11.ON</t>
  </si>
  <si>
    <t>PUMP.PMP-11.REMOTE_STATUS</t>
  </si>
  <si>
    <t>PUMP.PMP-11.MAINTENANCE_STATUS</t>
  </si>
  <si>
    <t>PMP-12</t>
  </si>
  <si>
    <t>PUMP.PMP-12.ON</t>
  </si>
  <si>
    <t>PUMP.PMP-12.REMOTE_STATUS</t>
  </si>
  <si>
    <t>PUMP.PMP-12.MAINTENANCE_STATUS</t>
  </si>
  <si>
    <t>PMP-13</t>
  </si>
  <si>
    <t>PUMP.PMP-13.ON</t>
  </si>
  <si>
    <t>PUMP.PMP-13.REMOTE_STATUS</t>
  </si>
  <si>
    <t>PUMP.PMP-13.MAINTENANCE_STATUS</t>
  </si>
  <si>
    <t>PMP-14</t>
  </si>
  <si>
    <t>PUMP.PMP-14.ON</t>
  </si>
  <si>
    <t>PUMP.PMP-14.REMOTE_STATUS</t>
  </si>
  <si>
    <t>PUMP.PMP-14.MAINTENANCE_STATUS</t>
  </si>
  <si>
    <t>PMP-15</t>
  </si>
  <si>
    <t>PUMP.PMP-15.ON</t>
  </si>
  <si>
    <t>PUMP.PMP-15.REMOTE_STATUS</t>
  </si>
  <si>
    <t>PUMP.PMP-15.MAINTENANCE_STATUS</t>
  </si>
  <si>
    <t>PMP-16</t>
  </si>
  <si>
    <t>PUMP.PMP-16.ON</t>
  </si>
  <si>
    <t>PUMP.PMP-16.REMOTE_STATUS</t>
  </si>
  <si>
    <t>PUMP.PMP-16.MAINTENANCE_STATUS</t>
  </si>
  <si>
    <t>PMP-17</t>
  </si>
  <si>
    <t>PUMP.PMP-17.ON</t>
  </si>
  <si>
    <t>PUMP.PMP-17.REMOTE_STATUS</t>
  </si>
  <si>
    <t>PUMP.PMP-17.MAINTENANCE_STATUS</t>
  </si>
  <si>
    <t>PMP-18</t>
  </si>
  <si>
    <t>PUMP.PMP-18.ON</t>
  </si>
  <si>
    <t>PUMP.PMP-18.REMOTE_STATUS</t>
  </si>
  <si>
    <t>PUMP.PMP-18.MAINTENANCE_STATUS</t>
  </si>
  <si>
    <t>PMP-19</t>
  </si>
  <si>
    <t>PUMP.PMP-19.ON</t>
  </si>
  <si>
    <t>PUMP.PMP-19.REMOTE_STATUS</t>
  </si>
  <si>
    <t>PUMP.PMP-19.MAINTENANCE_STATUS</t>
  </si>
  <si>
    <t>PMP-20</t>
  </si>
  <si>
    <t>PUMP.PMP-20.ON</t>
  </si>
  <si>
    <t>PUMP.PMP-20.REMOTE_STATUS</t>
  </si>
  <si>
    <t>PUMP.PMP-20.MAINTENANCE_STATUS</t>
  </si>
  <si>
    <t>PMP-21</t>
  </si>
  <si>
    <t>RECEIPT</t>
  </si>
  <si>
    <t>PUMP.PMP-21.ON</t>
  </si>
  <si>
    <t>PUMP.PMP-21.REMOTE_STATUS</t>
  </si>
  <si>
    <t>PUMP.PMP-21.MAINTENANCE_STATUS</t>
  </si>
  <si>
    <t>PMP-22</t>
  </si>
  <si>
    <t>PUMP.PMP-22.ON</t>
  </si>
  <si>
    <t>PUMP.PMP-22.REMOTE_STATUS</t>
  </si>
  <si>
    <t>PUMP.PMP-22.MAINTENANCE_STATUS</t>
  </si>
  <si>
    <t>PMP-23</t>
  </si>
  <si>
    <t>PUMP.PMP-23.ON</t>
  </si>
  <si>
    <t>PUMP.PMP-23.REMOTE_STATUS</t>
  </si>
  <si>
    <t>PUMP.PMP-23.MAINTENANCE_STATUS</t>
  </si>
  <si>
    <t>PMP-24</t>
  </si>
  <si>
    <t>PUMP.PMP-24.ON</t>
  </si>
  <si>
    <t>PUMP.PMP-24.REMOTE_STATUS</t>
  </si>
  <si>
    <t>PUMP.PMP-24.MAINTENANCE_STATUS</t>
  </si>
  <si>
    <t>PMP-25</t>
  </si>
  <si>
    <t>PUMP.PMP-25.ON</t>
  </si>
  <si>
    <t>PUMP.PMP-25.REMOTE_STATUS</t>
  </si>
  <si>
    <t>PUMP.PMP-25.MAINTENANCE_STATUS</t>
  </si>
  <si>
    <t>PMP-26</t>
  </si>
  <si>
    <t>PUMP.PMP-26.ON</t>
  </si>
  <si>
    <t>PUMP.PMP-26.REMOTE_STATUS</t>
  </si>
  <si>
    <t>PUMP.PMP-26.MAINTENANCE_STATUS</t>
  </si>
  <si>
    <t>PMP-27</t>
  </si>
  <si>
    <t>PUMP.PMP-27.ON</t>
  </si>
  <si>
    <t>PUMP.PMP-27.REMOTE_STATUS</t>
  </si>
  <si>
    <t>PUMP.PMP-27.MAINTENANCE_STATUS</t>
  </si>
  <si>
    <t>PMP-28</t>
  </si>
  <si>
    <t>PUMP.PMP-28.ON</t>
  </si>
  <si>
    <t>PUMP.PMP-28.REMOTE_STATUS</t>
  </si>
  <si>
    <t>PUMP.PMP-28.MAINTENANCE_STATUS</t>
  </si>
  <si>
    <t>PMP-29</t>
  </si>
  <si>
    <t>PUMP.PMP-29.ON</t>
  </si>
  <si>
    <t>PUMP.PMP-29.REMOTE_STATUS</t>
  </si>
  <si>
    <t>PUMP.PMP-29.MAINTENANCE_STATUS</t>
  </si>
  <si>
    <t>PMP-30</t>
  </si>
  <si>
    <t>PUMP.PMP-30.ON</t>
  </si>
  <si>
    <t>PUMP.PMP-30.REMOTE_STATUS</t>
  </si>
  <si>
    <t>PUMP.PMP-30.MAINTENANCE_STATUS</t>
  </si>
  <si>
    <t>PMP-31</t>
  </si>
  <si>
    <t>PUMP.PMP-31.ON</t>
  </si>
  <si>
    <t>PUMP.PMP-31.REMOTE_STATUS</t>
  </si>
  <si>
    <t>PUMP.PMP-31.MAINTENANCE_STATUS</t>
  </si>
  <si>
    <t>PMP-32</t>
  </si>
  <si>
    <t>PUMP.PMP-32.ON</t>
  </si>
  <si>
    <t>PUMP.PMP-32.REMOTE_STATUS</t>
  </si>
  <si>
    <t>PUMP.PMP-32.MAINTENANCE_STATUS</t>
  </si>
  <si>
    <t>Pump Direction</t>
  </si>
  <si>
    <t>FIRE PUMP MAINTENANCE</t>
  </si>
  <si>
    <t>FIRE PUMP FAIL TO START 1</t>
  </si>
  <si>
    <t>FIRE PUMP FAIL TO START 2</t>
  </si>
  <si>
    <t>FIRE PUMP FAIL TO START 3</t>
  </si>
  <si>
    <t>FIRE PUMP FAIL TO START 4</t>
  </si>
  <si>
    <t>FIRE PUMP FAIL TO START 5</t>
  </si>
  <si>
    <t>FIRE PUMP FAIL TO START STANDBY</t>
  </si>
  <si>
    <t>FIRE PUMP FAIL TO START STANDBY1</t>
  </si>
  <si>
    <t>FIRE PUMP FAIL TO START STANDBY2</t>
  </si>
  <si>
    <t>FIRE PUMP TRIPPED FAULT</t>
  </si>
  <si>
    <t>FIRE PUMP LLOP ALARM</t>
  </si>
  <si>
    <t>FIRE PUMP HWT ALARM</t>
  </si>
  <si>
    <t>FWP-01</t>
  </si>
  <si>
    <t>Water</t>
  </si>
  <si>
    <t>PH</t>
  </si>
  <si>
    <t>PUMP.FWP-01.ON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</si>
  <si>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</si>
  <si>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</si>
  <si>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</si>
  <si>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</si>
  <si>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PUMP.FWP-01.FAILED_TO_START_MAIN3</t>
  </si>
  <si>
    <t>PUMP.FWP-01.FAILED_TO_START_MAIN4</t>
  </si>
  <si>
    <t>PUMP.FWP-01.FAILED_TO_START_MAIN5</t>
  </si>
  <si>
    <t>PUMP.FWP-01.FAILED_TO_START_STANDBY1</t>
  </si>
  <si>
    <t>PUMP.FWP-01.FAILED_TO_START_STANDBY2</t>
  </si>
  <si>
    <t>PUMP.FWP-01.PUMP_TRIPPED</t>
  </si>
  <si>
    <t>PUMP.FWP-01.HIGH_TEMPERATURE_ALARM</t>
  </si>
  <si>
    <t>FWP-02</t>
  </si>
  <si>
    <t>PUMP.FWP-02.ON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</si>
  <si>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</si>
  <si>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</si>
  <si>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</si>
  <si>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</si>
  <si>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PUMP.FWP-02.FAILED_TO_START_MAIN3</t>
  </si>
  <si>
    <t>PUMP.FWP-02.FAILED_TO_START_MAIN4</t>
  </si>
  <si>
    <t>PUMP.FWP-02.FAILED_TO_START_MAIN5</t>
  </si>
  <si>
    <t>PUMP.FWP-02.FAILED_TO_START_STANDBY1</t>
  </si>
  <si>
    <t>PUMP.FWP-02.FAILED_TO_START_STANDBY2</t>
  </si>
  <si>
    <t>PUMP.FWP-02.PUMP_TRIPPED</t>
  </si>
  <si>
    <t>PUMP.FWP-02.HIGH_TEMPERATURE_ALARM</t>
  </si>
  <si>
    <t>FWP-03</t>
  </si>
  <si>
    <t>PUMP.FWP-03.ON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</si>
  <si>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</si>
  <si>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</si>
  <si>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</si>
  <si>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</si>
  <si>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PUMP.FWP-03.FAILED_TO_START_MAIN3</t>
  </si>
  <si>
    <t>PUMP.FWP-03.FAILED_TO_START_MAIN4</t>
  </si>
  <si>
    <t>PUMP.FWP-03.FAILED_TO_START_MAIN5</t>
  </si>
  <si>
    <t>PUMP.FWP-03.FAILED_TO_START_STANDBY1</t>
  </si>
  <si>
    <t>PUMP.FWP-03.FAILED_TO_START_STANDBY2</t>
  </si>
  <si>
    <t>PUMP.FWP-03.PUMP_TRIPPED</t>
  </si>
  <si>
    <t>PUMP.FWP-03.HIGH_TEMPERATURE_ALARM</t>
  </si>
  <si>
    <t>FWP-04</t>
  </si>
  <si>
    <t>PUMP.FWP-04.ON</t>
  </si>
  <si>
    <t>PUMP.FWP-04.REMOTE_STATUS</t>
  </si>
  <si>
    <t>PUMP.FWP-04.MAINTENANCE_STATUS</t>
  </si>
  <si>
    <t>PUMP.FWP-04.FAILED_TO_START_MAIN1</t>
  </si>
  <si>
    <t>PUMP.FWP-04.FAILED_TO_START_MAIN2</t>
  </si>
  <si>
    <t>PUMP.FWP-04.FAILED_TO_START_MAIN3</t>
  </si>
  <si>
    <t>PUMP.FWP-04.FAILED_TO_START_MAIN4</t>
  </si>
  <si>
    <t>PUMP.FWP-04.FAILED_TO_START_MAIN5</t>
  </si>
  <si>
    <t>PUMP.FWP-04.FAILED_TO_START_STANDBY1</t>
  </si>
  <si>
    <t>PUMP.FWP-04.FAILED_TO_START_STANDBY2</t>
  </si>
  <si>
    <t>PUMP.FWP-04.PUMP_TRIPPED</t>
  </si>
  <si>
    <t>PUMP.FWP-04.HIGH_TEMPERATURE_ALARM</t>
  </si>
  <si>
    <t>FWP-05</t>
  </si>
  <si>
    <t>PUMP.FWP-05.ON</t>
  </si>
  <si>
    <t>PUMP.FWP-05.REMOTE_STATUS</t>
  </si>
  <si>
    <t>PUMP.FWP-05.MAINTENANCE_STATUS</t>
  </si>
  <si>
    <t>PUMP.FWP-05.FAILED_TO_START_MAIN1</t>
  </si>
  <si>
    <t>PUMP.FWP-05.FAILED_TO_START_MAIN2</t>
  </si>
  <si>
    <t>PUMP.FWP-05.FAILED_TO_START_MAIN3</t>
  </si>
  <si>
    <t>PUMP.FWP-05.FAILED_TO_START_MAIN4</t>
  </si>
  <si>
    <t>PUMP.FWP-05.FAILED_TO_START_MAIN5</t>
  </si>
  <si>
    <t>PUMP.FWP-05.FAILED_TO_START_STANDBY1</t>
  </si>
  <si>
    <t>PUMP.FWP-05.FAILED_TO_START_STANDBY2</t>
  </si>
  <si>
    <t>PUMP.FWP-05.PUMP_TRIPPED</t>
  </si>
  <si>
    <t>PUMP.FWP-05.HIGH_TEMPERATURE_ALARM</t>
  </si>
  <si>
    <t>FWP-06</t>
  </si>
  <si>
    <t>PUMP.FWP-06.ON</t>
  </si>
  <si>
    <t>PUMP.FWP-06.REMOTE_STATUS</t>
  </si>
  <si>
    <t>PUMP.FWP-06.MAINTENANCE_STATUS</t>
  </si>
  <si>
    <t>PUMP.FWP-06.FAILED_TO_START_MAIN1</t>
  </si>
  <si>
    <t>PUMP.FWP-06.FAILED_TO_START_MAIN2</t>
  </si>
  <si>
    <t>PUMP.FWP-06.FAILED_TO_START_MAIN3</t>
  </si>
  <si>
    <t>PUMP.FWP-06.FAILED_TO_START_MAIN4</t>
  </si>
  <si>
    <t>PUMP.FWP-06.FAILED_TO_START_MAIN5</t>
  </si>
  <si>
    <t>PUMP.FWP-06.FAILED_TO_START_STANDBY1</t>
  </si>
  <si>
    <t>PUMP.FWP-06.FAILED_TO_START_STANDBY2</t>
  </si>
  <si>
    <t>PUMP.FWP-06.PUMP_TRIPPED</t>
  </si>
  <si>
    <t>PUMP.FWP-06.HIGH_TEMPERATURE_ALARM</t>
  </si>
  <si>
    <t>FWP-07</t>
  </si>
  <si>
    <t>PUMP.FWP-07.ON</t>
  </si>
  <si>
    <t>PUMP.FWP-07.REMOTE_STATUS</t>
  </si>
  <si>
    <t>PUMP.FWP-07.MAINTENANCE_STATUS</t>
  </si>
  <si>
    <t>PUMP.FWP-07.FAILED_TO_START_MAIN1</t>
  </si>
  <si>
    <t>PUMP.FWP-07.FAILED_TO_START_MAIN2</t>
  </si>
  <si>
    <t>PUMP.FWP-07.FAILED_TO_START_MAIN3</t>
  </si>
  <si>
    <t>PUMP.FWP-07.FAILED_TO_START_MAIN4</t>
  </si>
  <si>
    <t>PUMP.FWP-07.FAILED_TO_START_MAIN5</t>
  </si>
  <si>
    <t>PUMP.FWP-07.FAILED_TO_START_STANDBY1</t>
  </si>
  <si>
    <t>PUMP.FWP-07.FAILED_TO_START_STANDBY2</t>
  </si>
  <si>
    <t>PUMP.FWP-07.PUMP_TRIPPED</t>
  </si>
  <si>
    <t>PUMP.FWP-07.HIGH_TEMPERATURE_ALARM</t>
  </si>
  <si>
    <t>JCY-01</t>
  </si>
  <si>
    <t>PUMP.JCY-01.ON</t>
  </si>
  <si>
    <t>PUMP.JCY-01.REMOTE_STATUS</t>
  </si>
  <si>
    <t>PUMP.JCY-01.MAINTENANCE_STATUS</t>
  </si>
  <si>
    <t>PUMP.JCY-01.FAILED_TO_START_MAIN1</t>
  </si>
  <si>
    <t>PUMP.JCY-01.FAILED_TO_START_STANDBY</t>
  </si>
  <si>
    <t>PUMP.JCY-01.PUMP_TRIPPED</t>
  </si>
  <si>
    <t>JCY-02</t>
  </si>
  <si>
    <t>PUMP.JCY-02.ON</t>
  </si>
  <si>
    <t>PUMP.JCY-02.REMOTE_STATUS</t>
  </si>
  <si>
    <t>PUMP.JCY-02.MAINTENANCE_STATUS</t>
  </si>
  <si>
    <t>PUMP.JCY-02.FAILED_TO_START_MAIN1</t>
  </si>
  <si>
    <t>PUMP.JCY-02.FAILED_TO_START_STANDBY</t>
  </si>
  <si>
    <t>PUMP.JCY-02.PUMP_TRIPPED</t>
  </si>
  <si>
    <t>Farthest Point PT</t>
  </si>
  <si>
    <t>WP</t>
  </si>
  <si>
    <t>PT</t>
  </si>
  <si>
    <t>PressureTransmitter.PT-01.MAINTENANCE_STATUS</t>
  </si>
  <si>
    <t>Nearest Point PT</t>
  </si>
  <si>
    <t>PressureTransmitter.PT-02.MAINTENANCE_STATUS</t>
  </si>
  <si>
    <t>UPS ID</t>
  </si>
  <si>
    <t>UPS FAIL</t>
  </si>
  <si>
    <t>LOW BATTERY</t>
  </si>
  <si>
    <t xml:space="preserve"> Normal Value</t>
  </si>
  <si>
    <t>UPS ON</t>
  </si>
  <si>
    <t>UPS MAIN AC FAIL</t>
  </si>
  <si>
    <t>UPS-01</t>
  </si>
  <si>
    <t>Control Room</t>
  </si>
  <si>
    <t>UPS.UPS-01.LOW_BATTERY</t>
  </si>
  <si>
    <t>UPS.UPS-01.UPS_ON</t>
  </si>
  <si>
    <t>UPS.UPS-01.MAIN_AC_FAIL</t>
  </si>
  <si>
    <t>UPS-02</t>
  </si>
  <si>
    <t>UPS.UPS-02.LOW_BATTERY</t>
  </si>
  <si>
    <t>UPS.UPS-02.UPS_ON</t>
  </si>
  <si>
    <t>UPS.UPS-02.MAIN_AC_FAIL</t>
  </si>
  <si>
    <t>UPS-03</t>
  </si>
  <si>
    <t>UPS.UPS-03.UPS_ON</t>
  </si>
  <si>
    <t>UPS.UPS-03.MAIN_AC_FAIL</t>
  </si>
  <si>
    <t>UPS-04</t>
  </si>
  <si>
    <t>UPS.UPS-04.UPS_ON</t>
  </si>
  <si>
    <t>UPS.UPS-04.MAIN_AC_FAIL</t>
  </si>
  <si>
    <t>PLC ID</t>
  </si>
  <si>
    <t>PLC A IS MASTER</t>
  </si>
  <si>
    <t>PLC B IS MASTER</t>
  </si>
  <si>
    <t>PLC C IS MASTER</t>
  </si>
  <si>
    <t>PLC D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</si>
  <si>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</si>
  <si>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</si>
  <si>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</si>
  <si>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</si>
  <si>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</si>
  <si>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</si>
  <si>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</si>
  <si>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PLC.TASPLC.PLCA_IS_MASTER</t>
  </si>
  <si>
    <t>TASPLC</t>
  </si>
  <si>
    <t>PLC A</t>
  </si>
  <si>
    <t>PLC.TASPLC.PLCB_IS_MASTER</t>
  </si>
  <si>
    <t>PLC B</t>
  </si>
  <si>
    <t>SFT PLC</t>
  </si>
  <si>
    <t>Safety PLC</t>
  </si>
  <si>
    <t>PLC.SFTPLC.PLCA_IS_MASTER</t>
  </si>
  <si>
    <t>SFTPLC</t>
  </si>
  <si>
    <t>PLC.SFTPLC.PLCB_IS_MASTER</t>
  </si>
  <si>
    <t>PLC.SFTPLC.SFTPLCC_IS_MASTER</t>
  </si>
  <si>
    <t>PLC C</t>
  </si>
  <si>
    <t>PLC.SFTPLC.SFTPLCD_IS_MASTER</t>
  </si>
  <si>
    <t>PLC D</t>
  </si>
  <si>
    <t>PLC.SFTPLC.PLCA_FAIL_SAFE_STATUS</t>
  </si>
  <si>
    <t>PLC.SFTPLC.PLCB_FAIL_SAFE_STATUS</t>
  </si>
  <si>
    <t>PLC.SFTPLC.PLCA_COMM_OK</t>
  </si>
  <si>
    <t>PLC.SFTPLC.PLCB_COMM_OK</t>
  </si>
  <si>
    <t>HCD ID</t>
  </si>
  <si>
    <t>Type</t>
  </si>
  <si>
    <t>HCD 40 % ALARM</t>
  </si>
  <si>
    <t>HCD 20 % ALARM</t>
  </si>
  <si>
    <t>HCD FAULT</t>
  </si>
  <si>
    <t>MISALIGNMENT FAULT</t>
  </si>
  <si>
    <t>HCD MAINTENANCE</t>
  </si>
  <si>
    <t>HCD Hooter Activated</t>
  </si>
  <si>
    <t>HDS_01</t>
  </si>
  <si>
    <t>OPEN PATH</t>
  </si>
  <si>
    <t>OLD PUMP HOUSE</t>
  </si>
  <si>
    <t>GDS.HDS_01.HYDROCARBON_40_PCT_LEL</t>
  </si>
  <si>
    <t>GDS.HDS_01.HYDROCARBON_20_PCT_LEL</t>
  </si>
  <si>
    <t>GDS.HDS_01.CRITICAL_FAULT_ALARM</t>
  </si>
  <si>
    <t>GDS.HDS_01.MISALIGNMENT_FAULT_ALARM</t>
  </si>
  <si>
    <t>GDS.HDS_01.MAINTENANCE_CALL</t>
  </si>
  <si>
    <t>PLC.SFTPLC.EFFECT_HOOTER_FOR_HC_CR</t>
  </si>
  <si>
    <t>HDS_02</t>
  </si>
  <si>
    <t>OMC MANIFOLD AREA</t>
  </si>
  <si>
    <t>GDS.HDS_02.HYDROCARBON_40_PCT_LEL</t>
  </si>
  <si>
    <t>GDS.HDS_02.HYDROCARBON_20_PCT_LEL</t>
  </si>
  <si>
    <t>GDS.HDS_02.CRITICAL_FAULT_ALARM</t>
  </si>
  <si>
    <t>GDS.HDS_02.MISALIGNMENT_FAULT_ALARM</t>
  </si>
  <si>
    <t>GDS.HDS_02.MAINTENANCE_CALL</t>
  </si>
  <si>
    <t>HDS_03</t>
  </si>
  <si>
    <t>TANK-101/113-OPENPATH</t>
  </si>
  <si>
    <t>GDS.HDS_03.HYDROCARBON_40_PCT_LEL</t>
  </si>
  <si>
    <t>GDS.HDS_03.HYDROCARBON_20_PCT_LEL</t>
  </si>
  <si>
    <t>GDS.HDS_03.CRITICAL_FAULT_ALARM</t>
  </si>
  <si>
    <t>GDS.HDS_03.MISALIGNMENT_FAULT_ALARM</t>
  </si>
  <si>
    <t>GDS.HDS_03.MAINTENANCE_CALL</t>
  </si>
  <si>
    <t>HDS_04</t>
  </si>
  <si>
    <t>TANK-105/114-OPENPATH</t>
  </si>
  <si>
    <t>GDS.HDS_04.HYDROCARBON_40_PCT_LEL</t>
  </si>
  <si>
    <t>GDS.HDS_04.HYDROCARBON_20_PCT_LEL</t>
  </si>
  <si>
    <t>GDS.HDS_04.CRITICAL_FAULT_ALARM</t>
  </si>
  <si>
    <t>GDS.HDS_04.MISALIGNMENT_FAULT_ALARM</t>
  </si>
  <si>
    <t>GDS.HDS_04.MAINTENANCE_CALL</t>
  </si>
  <si>
    <t>HDS_05</t>
  </si>
  <si>
    <t>POINT TYPE</t>
  </si>
  <si>
    <t>TANK-106-POINT TYPE</t>
  </si>
  <si>
    <t>GDS.HDS_05.HYDROCARBON_40_PCT_LEL</t>
  </si>
  <si>
    <t>GDS.HDS_05.HYDROCARBON_20_PCT_LEL</t>
  </si>
  <si>
    <t>GDS.HDS_05.CRITICAL_FAULT_ALARM</t>
  </si>
  <si>
    <t>GDS.HDS_05.MISALIGNMENT_FAULT_ALARM</t>
  </si>
  <si>
    <t>GDS.HDS_05.MAINTENANCE_CALL</t>
  </si>
  <si>
    <t>HDS_06</t>
  </si>
  <si>
    <t>GDS.HDS_06.HYDROCARBON_40_PCT_LEL</t>
  </si>
  <si>
    <t>GDS.HDS_06.HYDROCARBON_20_PCT_LEL</t>
  </si>
  <si>
    <t>GDS.HDS_06.CRITICAL_FAULT_ALARM</t>
  </si>
  <si>
    <t>GDS.HDS_06.MISALIGNMENT_FAULT_ALARM</t>
  </si>
  <si>
    <t>GDS.HDS_06.MAINTENANCE_CALL</t>
  </si>
  <si>
    <t>HDS_07</t>
  </si>
  <si>
    <t>TK-103 POINT TYPE</t>
  </si>
  <si>
    <t>GDS.HDS_07.HYDROCARBON_40_PCT_LEL</t>
  </si>
  <si>
    <t>GDS.HDS_07.HYDROCARBON_20_PCT_LEL</t>
  </si>
  <si>
    <t>GDS.HDS_07.CRITICAL_FAULT_ALARM</t>
  </si>
  <si>
    <t>GDS.HDS_07.MISALIGNMENT_FAULT_ALARM</t>
  </si>
  <si>
    <t>GDS.HDS_07.MAINTENANCE_CALL</t>
  </si>
  <si>
    <t>HDS_22</t>
  </si>
  <si>
    <t>GDS.HDS_22.HYDROCARBON_40_PCT_LEL</t>
  </si>
  <si>
    <t>GDS.HDS_22.HYDROCARBON_20_PCT_LEL</t>
  </si>
  <si>
    <t>GDS.HDS_22.CRITICAL_FAULT_ALARM</t>
  </si>
  <si>
    <t>GDS.HDS_22.MISALIGNMENT_FAULT_ALARM</t>
  </si>
  <si>
    <t>GDS.HDS_22.MAINTENANCE_CALL</t>
  </si>
  <si>
    <t>HDS_23</t>
  </si>
  <si>
    <t>TK-101/104-OPEN PATH</t>
  </si>
  <si>
    <t>GDS.HDS_23.HYDROCARBON_40_PCT_LEL</t>
  </si>
  <si>
    <t>GDS.HDS_23.HYDROCARBON_20_PCT_LEL</t>
  </si>
  <si>
    <t>GDS.HDS_23.CRITICAL_FAULT_ALARM</t>
  </si>
  <si>
    <t>GDS.HDS_23.MISALIGNMENT_FAULT_ALARM</t>
  </si>
  <si>
    <t>GDS.HDS_23.MAINTENANCE_CALL</t>
  </si>
  <si>
    <t>HDS_24</t>
  </si>
  <si>
    <t>NEW PH1-OPENPATH</t>
  </si>
  <si>
    <t>GDS.HDS_24.HYDROCARBON_40_PCT_LEL</t>
  </si>
  <si>
    <t>GDS.HDS_24.HYDROCARBON_20_PCT_LEL</t>
  </si>
  <si>
    <t>GDS.HDS_24.CRITICAL_FAULT_ALARM</t>
  </si>
  <si>
    <t>GDS.HDS_24.MISALIGNMENT_FAULT_ALARM</t>
  </si>
  <si>
    <t>GDS.HDS_24.MAINTENANCE_CALL</t>
  </si>
  <si>
    <t>HDS_25</t>
  </si>
  <si>
    <t>NEW PH2-OPENPATH</t>
  </si>
  <si>
    <t>GDS.HDS_25.HYDROCARBON_40_PCT_LEL</t>
  </si>
  <si>
    <t>GDS.HDS_25.HYDROCARBON_20_PCT_LEL</t>
  </si>
  <si>
    <t>GDS.HDS_25.CRITICAL_FAULT_ALARM</t>
  </si>
  <si>
    <t>GDS.HDS_25.MISALIGNMENT_FAULT_ALARM</t>
  </si>
  <si>
    <t>GDS.HDS_25.MAINTENANCE_CALL</t>
  </si>
  <si>
    <t>HDS_26</t>
  </si>
  <si>
    <t>NEW PH2-POINT-TYPE-1</t>
  </si>
  <si>
    <t>GDS.HDS_26.HYDROCARBON_40_PCT_LEL</t>
  </si>
  <si>
    <t>GDS.HDS_26.HYDROCARBON_20_PCT_LEL</t>
  </si>
  <si>
    <t>GDS.HDS_26.CRITICAL_FAULT_ALARM</t>
  </si>
  <si>
    <t>GDS.HDS_26.MISALIGNMENT_FAULT_ALARM</t>
  </si>
  <si>
    <t>GDS.HDS_26.MAINTENANCE_CALL</t>
  </si>
  <si>
    <t>HDS_27</t>
  </si>
  <si>
    <t>NEW PH2-POINT-TYPE-2</t>
  </si>
  <si>
    <t>GDS.HDS_27.HYDROCARBON_40_PCT_LEL</t>
  </si>
  <si>
    <t>GDS.HDS_27.HYDROCARBON_20_PCT_LEL</t>
  </si>
  <si>
    <t>GDS.HDS_27.CRITICAL_FAULT_ALARM</t>
  </si>
  <si>
    <t>GDS.HDS_27.MISALIGNMENT_FAULT_ALARM</t>
  </si>
  <si>
    <t>GDS.HDS_27.MAINTENANCE_CALL</t>
  </si>
  <si>
    <t>HDS_28</t>
  </si>
  <si>
    <t>ETP AREA-POINT-TYPE</t>
  </si>
  <si>
    <t>GDS.HDS_28.HYDROCARBON_40_PCT_LEL</t>
  </si>
  <si>
    <t>GDS.HDS_28.HYDROCARBON_20_PCT_LEL</t>
  </si>
  <si>
    <t>GDS.HDS_28.CRITICAL_FAULT_ALARM</t>
  </si>
  <si>
    <t>GDS.HDS_28.MISALIGNMENT_FAULT_ALARM</t>
  </si>
  <si>
    <t>GDS.HDS_28.MAINTENANCE_CALL</t>
  </si>
  <si>
    <t>Dyke ID</t>
  </si>
  <si>
    <t>DYKE VALVE STATUS</t>
  </si>
  <si>
    <t>Dyke Hooter Activated</t>
  </si>
  <si>
    <t>DYKE-01</t>
  </si>
  <si>
    <t>DRAINVALVE.DYKE-01.DRAIN_VALVE_STATUS</t>
  </si>
  <si>
    <t>PLC.SFTPLC.EFFECT_HOOTER_FOR_DYKE_FWP_CR</t>
  </si>
  <si>
    <t>DYKE-02</t>
  </si>
  <si>
    <t>DRAINVALVE.DYKE-02.DRAIN_VALVE_STATUS</t>
  </si>
  <si>
    <t>DYKE-03</t>
  </si>
  <si>
    <t>DRAINVALVE.DYKE-03.DRAIN_VALVE_STATUS</t>
  </si>
  <si>
    <t>DYKE-04</t>
  </si>
  <si>
    <t>DRAINVALVE.DYKE-04.DRAIN_VALVE_STATUS</t>
  </si>
  <si>
    <t>DYKE-05</t>
  </si>
  <si>
    <t>DRAINVALVE.DYKE-05.DRAIN_VALVE_STATUS</t>
  </si>
  <si>
    <t>Barrier ID</t>
  </si>
  <si>
    <t>BARRIER GATE OPEN STATUS</t>
  </si>
  <si>
    <t>BARRIER GATE LR STATUS</t>
  </si>
  <si>
    <t>EntryGate1</t>
  </si>
  <si>
    <t>GATE.EntryGate1.OPEN_STATUS</t>
  </si>
  <si>
    <t>GATE.EntryGate1.REMOTE_STATUS</t>
  </si>
  <si>
    <t>ExitGate1</t>
  </si>
  <si>
    <t>GATE.ExitGate1.OPEN_STATUS</t>
  </si>
  <si>
    <t>GATE.ExitGate1.REMOTE_STATUS</t>
  </si>
  <si>
    <t>EntryGate2</t>
  </si>
  <si>
    <t>GATE.EntryGate2.OPEN_STATUS</t>
  </si>
  <si>
    <t>GATE.EntryGate2.REMOTE_STATUS</t>
  </si>
  <si>
    <t>ExitGate2</t>
  </si>
  <si>
    <t>GATE.ExitGate2.OPEN_STATUS</t>
  </si>
  <si>
    <t>GATE.ExitGate2.REMOTE_STATUS</t>
  </si>
  <si>
    <t>Hooter ID</t>
  </si>
  <si>
    <t>Hooter Name</t>
  </si>
  <si>
    <t>HOOTER STATUS</t>
  </si>
  <si>
    <t>HTR1</t>
  </si>
  <si>
    <t>HOOTER_FIELD_1</t>
  </si>
  <si>
    <t>PLC.SFTPLC.HOOTER_FIELD_1</t>
  </si>
  <si>
    <t>HTR2</t>
  </si>
  <si>
    <t>HOOTER_FIELD_2</t>
  </si>
  <si>
    <t>PLC.SFTPLC.HOOTER_FIELD_2</t>
  </si>
  <si>
    <t>HTR3</t>
  </si>
  <si>
    <t>HOOTER_FIELD_3</t>
  </si>
  <si>
    <t>PLC.SFTPLC.HOOTER_FIELD_3</t>
  </si>
  <si>
    <t>HTR4</t>
  </si>
  <si>
    <t>HOOTER_FIELD_4</t>
  </si>
  <si>
    <t>PLC.SFTPLC.HOOTER_FIELD_4</t>
  </si>
  <si>
    <t>HTR5</t>
  </si>
  <si>
    <t>HOOTER_FIELD_5</t>
  </si>
  <si>
    <t>PLC.SFTPLC.HOOTER_FIELD_5</t>
  </si>
  <si>
    <t>HTR6</t>
  </si>
  <si>
    <t>HOOTER_FIELD_6</t>
  </si>
  <si>
    <t>PLC.SFTPLC.HOOTER_FIELD_6</t>
  </si>
  <si>
    <t>HTR7</t>
  </si>
  <si>
    <t>HOOTER_FOR_SECURITY_ROOM</t>
  </si>
  <si>
    <t>PLC.SFTPLC.HOOTER_FOR_SECURITY_ROOM</t>
  </si>
  <si>
    <t>HTR8</t>
  </si>
  <si>
    <t>HOOTER_RESET_STATUS</t>
  </si>
  <si>
    <t>PLC.SFTPLC.HOOTER_RESET_STATUS</t>
  </si>
  <si>
    <t>ESD ID</t>
  </si>
  <si>
    <t>ESD Name</t>
  </si>
  <si>
    <t>ESD STATUS</t>
  </si>
  <si>
    <t>ESD MAINTENANCE STATUS</t>
  </si>
  <si>
    <t>All ROSOVs closed</t>
  </si>
  <si>
    <t>Barrier Gate opened</t>
  </si>
  <si>
    <t>TLF Gantry Permissive Power Off</t>
  </si>
  <si>
    <t>All TLF Product Pumps Stopped</t>
  </si>
  <si>
    <t>All Tanks in Dormant Mode</t>
  </si>
  <si>
    <t>All DBBVs Closed</t>
  </si>
  <si>
    <t>ESD Command To Process PLC</t>
  </si>
  <si>
    <t>Siren Activated</t>
  </si>
  <si>
    <t>ESD Hooter activated in control room</t>
  </si>
  <si>
    <t>Power ESD Activation after 120 Sec</t>
  </si>
  <si>
    <t>TTL Dispatch in Dormant Mode</t>
  </si>
  <si>
    <t>ESD-18</t>
  </si>
  <si>
    <t>ESD-36</t>
  </si>
  <si>
    <t>ESD.ESD-18.ESD_STATUS</t>
  </si>
  <si>
    <t>ESD.ESD-18.MAINTENANCE_STATUS</t>
  </si>
  <si>
    <t>PLC.SFTPLC.EFFECT_ALL_ROSOV_CLOSED</t>
  </si>
  <si>
    <t>PLC.SFTPLC.EFFECT_GATE_BARRIER_OPENED</t>
  </si>
  <si>
    <t>PLC.SFTPLC.EFFECT_TLF_GANTRY_PERMISSIVE_OFF</t>
  </si>
  <si>
    <t>PLC.SFTPLC.EFFECT_ALL_TLF_PUMP_STOPPED</t>
  </si>
  <si>
    <t>PLC.SFTPLC.EFFECT_ALL_TANKS_IN_DORMANT_EXCP_RECIEPT</t>
  </si>
  <si>
    <t>PLC.SFTPLC.EFFECT_ALL_MOV_CLOSED</t>
  </si>
  <si>
    <t>PLC.SFTPLC.EFFECT_ESD_RELAY_PCC_PANEL</t>
  </si>
  <si>
    <t>PLC.SFTPLC.EFFECT_SIREN_ACTIVATED</t>
  </si>
  <si>
    <t>PLC.SFTPLC.EFFECT_HOOTER_FOR_ESD_CR</t>
  </si>
  <si>
    <t>PLC.SFTPLC.EFFECT_POWER_ESD_ACTI</t>
  </si>
  <si>
    <t>ESD-19</t>
  </si>
  <si>
    <t>ESD-17</t>
  </si>
  <si>
    <t>CONTROL ROOM</t>
  </si>
  <si>
    <t>ESD.ESD-19.ESD_STATUS</t>
  </si>
  <si>
    <t>ESD.ESD-19.MAINTENANCE_STATUS</t>
  </si>
  <si>
    <t>ESD-20</t>
  </si>
  <si>
    <t>TLF-1 WALKWAY</t>
  </si>
  <si>
    <t>ESD.ESD-20.ESD_STATUS</t>
  </si>
  <si>
    <t>ESD.ESD-20.MAINTENANCE_STATUS</t>
  </si>
  <si>
    <t>ESD-21</t>
  </si>
  <si>
    <t>TLF-1 BAY 05</t>
  </si>
  <si>
    <t>ESD.ESD-21.ESD_STATUS</t>
  </si>
  <si>
    <t>ESD.ESD-21.MAINTENANCE_STATUS</t>
  </si>
  <si>
    <t>ESD-22</t>
  </si>
  <si>
    <t>TLF-2 BAY 12</t>
  </si>
  <si>
    <t>ESD.ESD-22.ESD_STATUS</t>
  </si>
  <si>
    <t>ESD.ESD-22.MAINTENANCE_STATUS</t>
  </si>
  <si>
    <t>ESD-23</t>
  </si>
  <si>
    <t>TLF-2 WALKWAY</t>
  </si>
  <si>
    <t>ESD.ESD-23.ESD_STATUS</t>
  </si>
  <si>
    <t>ESD.ESD-23.MAINTENANCE_STATUS</t>
  </si>
  <si>
    <t>ESD-24</t>
  </si>
  <si>
    <t>NEW PUMP HOUSE 2</t>
  </si>
  <si>
    <t>ESD.ESD-24.ESD_STATUS</t>
  </si>
  <si>
    <t>ESD.ESD-24.MAINTENANCE_STATUS</t>
  </si>
  <si>
    <t>ESD-25</t>
  </si>
  <si>
    <t>NEW PUMP HOUSE 1</t>
  </si>
  <si>
    <t>ESD.ESD-25.ESD_STATUS</t>
  </si>
  <si>
    <t>ESD.ESD-25.MAINTENANCE_STATUS</t>
  </si>
  <si>
    <t>ESD-26</t>
  </si>
  <si>
    <t>NEW UG TANK FARM</t>
  </si>
  <si>
    <t>ESD.ESD-26.ESD_STATUS</t>
  </si>
  <si>
    <t>ESD.ESD-26.MAINTENANCE_STATUS</t>
  </si>
  <si>
    <t>ESD-27</t>
  </si>
  <si>
    <t>TLF-3 WALKWAY</t>
  </si>
  <si>
    <t>ESD.ESD-27.ESD_STATUS</t>
  </si>
  <si>
    <t>ESD.ESD-27.MAINTENANCE_STATUS</t>
  </si>
  <si>
    <t>ESD-28</t>
  </si>
  <si>
    <t>TLF-3 BAY 18</t>
  </si>
  <si>
    <t>ESD.ESD-28.ESD_STATUS</t>
  </si>
  <si>
    <t>ESD.ESD-28.MAINTENANCE_STATUS</t>
  </si>
  <si>
    <t>ESD-401</t>
  </si>
  <si>
    <t>ESD-09</t>
  </si>
  <si>
    <t>ESD.ESD-401.ESD_STATUS</t>
  </si>
  <si>
    <t>ESD.ESD-401.MAINTENANCE_STATUS</t>
  </si>
  <si>
    <t>ESD-404</t>
  </si>
  <si>
    <t>ESD-02</t>
  </si>
  <si>
    <t>TT OUT GATE</t>
  </si>
  <si>
    <t>ESD.ESD-404.ESD_STATUS</t>
  </si>
  <si>
    <t>ESD.ESD-404.MAINTENANCE_STATUS</t>
  </si>
  <si>
    <t>ESD-405</t>
  </si>
  <si>
    <t>ESD-03</t>
  </si>
  <si>
    <t>QC LAB</t>
  </si>
  <si>
    <t>ESD.ESD-405.ESD_STATUS</t>
  </si>
  <si>
    <t>ESD.ESD-405.MAINTENANCE_STATUS</t>
  </si>
  <si>
    <t>ESD-406</t>
  </si>
  <si>
    <t>ESD-06</t>
  </si>
  <si>
    <t>NEAR MPSPL PATHWAY</t>
  </si>
  <si>
    <t>ESD.ESD-406.ESD_STATUS</t>
  </si>
  <si>
    <t>ESD.ESD-406.MAINTENANCE_STATUS</t>
  </si>
  <si>
    <t>ESD-407</t>
  </si>
  <si>
    <t>ESD-08</t>
  </si>
  <si>
    <t>NEAR OLD MCC</t>
  </si>
  <si>
    <t>ESD.ESD-407.ESD_STATUS</t>
  </si>
  <si>
    <t>ESD.ESD-407.MAINTENANCE_STATUS</t>
  </si>
  <si>
    <t>ESD-408</t>
  </si>
  <si>
    <t>ESD-07</t>
  </si>
  <si>
    <t>MPSPL PUMP HOUSE</t>
  </si>
  <si>
    <t>ESD.ESD-408.ESD_STATUS</t>
  </si>
  <si>
    <t>ESD.ESD-408.MAINTENANCE_STATUS</t>
  </si>
  <si>
    <t>ESD-410</t>
  </si>
  <si>
    <t>ESD-15</t>
  </si>
  <si>
    <t>NEAR TK-108</t>
  </si>
  <si>
    <t>ESD.ESD-410.ESD_STATUS</t>
  </si>
  <si>
    <t>ESD.ESD-410.MAINTENANCE_STATUS</t>
  </si>
  <si>
    <t>ESD-411</t>
  </si>
  <si>
    <t>ESD-10</t>
  </si>
  <si>
    <t>NEAR TK-113</t>
  </si>
  <si>
    <t>ESD.ESD-411.ESD_STATUS</t>
  </si>
  <si>
    <t>ESD.ESD-411.MAINTENANCE_STATUS</t>
  </si>
  <si>
    <t>ESD-412</t>
  </si>
  <si>
    <t>ESD-14</t>
  </si>
  <si>
    <t>NEAR TK-103</t>
  </si>
  <si>
    <t>ESD.ESD-412.ESD_STATUS</t>
  </si>
  <si>
    <t>ESD.ESD-412.MAINTENANCE_STATUS</t>
  </si>
  <si>
    <t>ESD-413</t>
  </si>
  <si>
    <t>ESD-11</t>
  </si>
  <si>
    <t>NEAR TK-101</t>
  </si>
  <si>
    <t>ESD.ESD-413.ESD_STATUS</t>
  </si>
  <si>
    <t>ESD.ESD-413.MAINTENANCE_STATUS</t>
  </si>
  <si>
    <t>ESD-414</t>
  </si>
  <si>
    <t>ESD-13</t>
  </si>
  <si>
    <t>NEAR TK-115</t>
  </si>
  <si>
    <t>ESD.ESD-414.ESD_STATUS</t>
  </si>
  <si>
    <t>ESD.ESD-414.MAINTENANCE_STATUS</t>
  </si>
  <si>
    <t>ESD-415</t>
  </si>
  <si>
    <t>ESD-12</t>
  </si>
  <si>
    <t>NEAR SCRAP YARD</t>
  </si>
  <si>
    <t>ESD.ESD-415.ESD_STATUS</t>
  </si>
  <si>
    <t>ESD.ESD-415.MAINTENANCE_STATUS</t>
  </si>
  <si>
    <t>ESD-417</t>
  </si>
  <si>
    <t>ESD-01</t>
  </si>
  <si>
    <t>TT IN GATE</t>
  </si>
  <si>
    <t>ESD.ESD-417.ESD_STATUS</t>
  </si>
  <si>
    <t>ESD.ESD-417.MAINTENANCE_STATUS</t>
  </si>
  <si>
    <t>ESD-501</t>
  </si>
  <si>
    <t>ESD-04</t>
  </si>
  <si>
    <t>ADMIN BUILDING</t>
  </si>
  <si>
    <t>ESD.ESD-501.ESD_STATUS</t>
  </si>
  <si>
    <t>ESD.ESD-501.MAINTENANCE_STATUS</t>
  </si>
  <si>
    <t>ESD-502</t>
  </si>
  <si>
    <t>ESD-05</t>
  </si>
  <si>
    <t>VISITOR ENTRY GATE</t>
  </si>
  <si>
    <t>ESD.ESD-502.ESD_STATUS</t>
  </si>
  <si>
    <t>ESD.ESD-502.MAINTENANCE_STATUS</t>
  </si>
  <si>
    <t>ESD-503</t>
  </si>
  <si>
    <t>ESD-16</t>
  </si>
  <si>
    <t>LIC ROOM</t>
  </si>
  <si>
    <t>ESD.ESD-503.ESD_STATUS</t>
  </si>
  <si>
    <t>ESD.ESD-503.MAINTENANCE_STATUS</t>
  </si>
  <si>
    <t>ESD-CENTRAL</t>
  </si>
  <si>
    <t>CENTRAL ESD</t>
  </si>
  <si>
    <t>ESD.ESD-CENTRAL.ESD_STATUS</t>
  </si>
  <si>
    <t>ESD-PIPELINE</t>
  </si>
  <si>
    <t>PIPELINE ESD</t>
  </si>
  <si>
    <t>ESD.ESD-PIPELINE.ESD_STATUS</t>
  </si>
  <si>
    <t>ESD.ESD-PIPELINE.MAINTENANCE_STATUS</t>
  </si>
  <si>
    <t>ESD-SOFT</t>
  </si>
  <si>
    <t>SOFT ESD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</si>
  <si>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</si>
  <si>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</si>
  <si>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</si>
  <si>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</si>
  <si>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</si>
  <si>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</si>
  <si>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</si>
  <si>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</si>
  <si>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</si>
  <si>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</si>
  <si>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</si>
  <si>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</si>
  <si>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</si>
  <si>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</si>
  <si>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</si>
  <si>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</si>
  <si>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</si>
  <si>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</si>
  <si>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</si>
  <si>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</si>
  <si>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</si>
  <si>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</si>
  <si>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</si>
  <si>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</si>
  <si>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</si>
  <si>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BC-01A</t>
  </si>
  <si>
    <t>SmartLoad-Dual.BC-01A.EARTH_ALARM_STATUS</t>
  </si>
  <si>
    <t>SmartLoad-Dual.BC-01A.NO_FLOW_ALARM_STATUS_M1</t>
  </si>
  <si>
    <t>SmartLoad-Dual.BC-01A.LOW_FLOW_ALARM_STATUS_M1</t>
  </si>
  <si>
    <t>SmartLoad-Dual.BC-01A.HIGH_FLOW_ALARM_STATUS_M1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</si>
  <si>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</si>
  <si>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</si>
  <si>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</si>
  <si>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</si>
  <si>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</si>
  <si>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</si>
  <si>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</si>
  <si>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</si>
  <si>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SmartLoad-Dual.BC-01A.MFM_BCU_QTY_BEYOND_TOLERANCE_LIMIT_STATUS</t>
  </si>
  <si>
    <t>SmartLoad-Dual.BC-01A.BCU_C1_TOTALIZER_MISMATCH_ALARM</t>
  </si>
  <si>
    <t>LP 02</t>
  </si>
  <si>
    <t>BC-01B</t>
  </si>
  <si>
    <t>SmartLoad-Dual.BC-01B.EARTH_ALARM_STATUS</t>
  </si>
  <si>
    <t>SmartLoad-Dual.BC-01B.NO_FLOW_ALARM_STATUS_M3</t>
  </si>
  <si>
    <t>SmartLoad-Dual.BC-01B.LOW_FLOW_ALARM_STATUS_M3</t>
  </si>
  <si>
    <t>SmartLoad-Dual.BC-01B.HIGH_FLOW_ALARM_STATUS_M3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</si>
  <si>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</si>
  <si>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</si>
  <si>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</si>
  <si>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</si>
  <si>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</si>
  <si>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</si>
  <si>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</si>
  <si>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</si>
  <si>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SmartLoad-Dual.BC-01B.MFM_BCU_QTY_BEYOND_TOLERANCE_LIMIT_STATUS</t>
  </si>
  <si>
    <t>SmartLoad-Dual.BC-01B.BCU_C3_TOTALIZER_MISMATCH_ALARM</t>
  </si>
  <si>
    <t>LP 03</t>
  </si>
  <si>
    <t>BC-02A</t>
  </si>
  <si>
    <t>SmartLoad-Dual.BC-02A.EARTH_ALARM_STATUS</t>
  </si>
  <si>
    <t>SmartLoad-Dual.BC-02A.NO_FLOW_ALARM_STATUS_M1</t>
  </si>
  <si>
    <t>SmartLoad-Dual.BC-02A.LOW_FLOW_ALARM_STATUS_M1</t>
  </si>
  <si>
    <t>SmartLoad-Dual.BC-02A.HIGH_FLOW_ALARM_STATUS_M1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</si>
  <si>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</si>
  <si>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</si>
  <si>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</si>
  <si>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</si>
  <si>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</si>
  <si>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</si>
  <si>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</si>
  <si>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</si>
  <si>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SmartLoad-Dual.BC-02A.MFM_BCU_QTY_BEYOND_TOLERANCE_LIMIT_STATUS</t>
  </si>
  <si>
    <t>SmartLoad-Dual.BC-02A.BCU_C1_TOTALIZER_MISMATCH_ALARM</t>
  </si>
  <si>
    <t>LP 04</t>
  </si>
  <si>
    <t>BC-02B</t>
  </si>
  <si>
    <t>SmartLoad-Dual.BC-02B.EARTH_ALARM_STATUS</t>
  </si>
  <si>
    <t>SmartLoad-Dual.BC-02B.NO_FLOW_ALARM_STATUS_M3</t>
  </si>
  <si>
    <t>SmartLoad-Dual.BC-02B.LOW_FLOW_ALARM_STATUS_M3</t>
  </si>
  <si>
    <t>SmartLoad-Dual.BC-02B.HIGH_FLOW_ALARM_STATUS_M3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</si>
  <si>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</si>
  <si>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</si>
  <si>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</si>
  <si>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</si>
  <si>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</si>
  <si>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</si>
  <si>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</si>
  <si>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</si>
  <si>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SmartLoad-Dual.BC-02B.MFM_BCU_QTY_BEYOND_TOLERANCE_LIMIT_STATUS</t>
  </si>
  <si>
    <t>SmartLoad-Dual.BC-02B.BCU_C3_TOTALIZER_MISMATCH_ALARM</t>
  </si>
  <si>
    <t>LP 05</t>
  </si>
  <si>
    <t>BC-03A</t>
  </si>
  <si>
    <t>SmartLoad-Dual.BC-03A.EARTH_ALARM_STATUS</t>
  </si>
  <si>
    <t>SmartLoad-Dual.BC-03A.NO_FLOW_ALARM_STATUS_M1</t>
  </si>
  <si>
    <t>SmartLoad-Dual.BC-03A.NO_FLOW_ALARM_STATUS_M2</t>
  </si>
  <si>
    <t>SmartLoad-Dual.BC-03A.LOW_FLOW_ALARM_STATUS_M1</t>
  </si>
  <si>
    <t>SmartLoad-Dual.BC-03A.LOW_FLOW_ALARM_STATUS_M2</t>
  </si>
  <si>
    <t>SmartLoad-Dual.BC-03A.HIGH_FLOW_ALARM_STATUS_M1</t>
  </si>
  <si>
    <t>SmartLoad-Dual.BC-03A.HIGH_FLOW_ALARM_STATUS_M2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</si>
  <si>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</si>
  <si>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</si>
  <si>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</si>
  <si>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</si>
  <si>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</si>
  <si>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</si>
  <si>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</si>
  <si>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</si>
  <si>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SmartLoad-Dual.BC-03A.NOMINAL_ARM1_COMP2_KFACTOR_CHANGED</t>
  </si>
  <si>
    <t>SmartLoad-Dual.BC-03A.MFM_BCU_QTY_BEYOND_TOLERANCE_LIMIT_STATUS</t>
  </si>
  <si>
    <t>SmartLoad-Dual.BC-03A.BCU_C1_TOTALIZER_MISMATCH_ALARM</t>
  </si>
  <si>
    <t>SmartLoad-Dual.BC-03A.BCU_C2_TOTALIZER_MISMATCH_ALARM</t>
  </si>
  <si>
    <t>LP 06</t>
  </si>
  <si>
    <t>BC-03B</t>
  </si>
  <si>
    <t>SmartLoad-Dual.BC-03B.EARTH_ALARM_STATUS</t>
  </si>
  <si>
    <t>SmartLoad-Dual.BC-03B.NO_FLOW_ALARM_STATUS_M3</t>
  </si>
  <si>
    <t>SmartLoad-Dual.BC-03B.LOW_FLOW_ALARM_STATUS_M3</t>
  </si>
  <si>
    <t>SmartLoad-Dual.BC-03B.HIGH_FLOW_ALARM_STATUS_M3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</si>
  <si>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</si>
  <si>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</si>
  <si>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</si>
  <si>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</si>
  <si>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</si>
  <si>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</si>
  <si>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</si>
  <si>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</si>
  <si>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SmartLoad-Dual.BC-03B.MFM_BCU_QTY_BEYOND_TOLERANCE_LIMIT_STATUS</t>
  </si>
  <si>
    <t>SmartLoad-Dual.BC-03B.BCU_C3_TOTALIZER_MISMATCH_ALARM</t>
  </si>
  <si>
    <t>LP 07</t>
  </si>
  <si>
    <t>BC-04A</t>
  </si>
  <si>
    <t>SmartLoad-Dual.BC-04A.EARTH_ALARM_STATUS</t>
  </si>
  <si>
    <t>SmartLoad-Dual.BC-04A.NO_FLOW_ALARM_STATUS_M1</t>
  </si>
  <si>
    <t>SmartLoad-Dual.BC-04A.LOW_FLOW_ALARM_STATUS_M1</t>
  </si>
  <si>
    <t>SmartLoad-Dual.BC-04A.HIGH_FLOW_ALARM_STATUS_M1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</si>
  <si>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</si>
  <si>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</si>
  <si>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</si>
  <si>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</si>
  <si>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</si>
  <si>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</si>
  <si>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</si>
  <si>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</si>
  <si>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SmartLoad-Dual.BC-04A.MFM_BCU_QTY_BEYOND_TOLERANCE_LIMIT_STATUS</t>
  </si>
  <si>
    <t>SmartLoad-Dual.BC-04A.BCU_C1_TOTALIZER_MISMATCH_ALARM</t>
  </si>
  <si>
    <t>LP 08</t>
  </si>
  <si>
    <t>BC-04B</t>
  </si>
  <si>
    <t>SmartLoad-Dual.BC-04B.EARTH_ALARM_STATUS</t>
  </si>
  <si>
    <t>SmartLoad-Dual.BC-04B.NO_FLOW_ALARM_STATUS_M3</t>
  </si>
  <si>
    <t>SmartLoad-Dual.BC-04B.LOW_FLOW_ALARM_STATUS_M3</t>
  </si>
  <si>
    <t>SmartLoad-Dual.BC-04B.HIGH_FLOW_ALARM_STATUS_M3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</si>
  <si>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</si>
  <si>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</si>
  <si>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</si>
  <si>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</si>
  <si>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</si>
  <si>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</si>
  <si>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</si>
  <si>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</si>
  <si>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SmartLoad-Dual.BC-04B.MFM_BCU_QTY_BEYOND_TOLERANCE_LIMIT_STATUS</t>
  </si>
  <si>
    <t>SmartLoad-Dual.BC-04B.BCU_C3_TOTALIZER_MISMATCH_ALARM</t>
  </si>
  <si>
    <t>LP 09</t>
  </si>
  <si>
    <t>BC-05A</t>
  </si>
  <si>
    <t>SmartLoad-Dual.BC-05A.EARTH_ALARM_STATUS</t>
  </si>
  <si>
    <t>SmartLoad-Dual.BC-05A.NO_FLOW_ALARM_STATUS_M1</t>
  </si>
  <si>
    <t>SmartLoad-Dual.BC-05A.NO_FLOW_ALARM_STATUS_M2</t>
  </si>
  <si>
    <t>SmartLoad-Dual.BC-05A.LOW_FLOW_ALARM_STATUS_M1</t>
  </si>
  <si>
    <t>SmartLoad-Dual.BC-05A.LOW_FLOW_ALARM_STATUS_M2</t>
  </si>
  <si>
    <t>SmartLoad-Dual.BC-05A.HIGH_FLOW_ALARM_STATUS_M1</t>
  </si>
  <si>
    <t>SmartLoad-Dual.BC-05A.HIGH_FLOW_ALARM_STATUS_M2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</si>
  <si>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</si>
  <si>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</si>
  <si>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</si>
  <si>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</si>
  <si>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</si>
  <si>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</si>
  <si>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</si>
  <si>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</si>
  <si>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SmartLoad-Dual.BC-05A.NOMINAL_ARM1_COMP2_KFACTOR_CHANGED</t>
  </si>
  <si>
    <t>SmartLoad-Dual.BC-05A.MFM_BCU_QTY_BEYOND_TOLERANCE_LIMIT_STATUS</t>
  </si>
  <si>
    <t>SmartLoad-Dual.BC-05A.BCU_C1_TOTALIZER_MISMATCH_ALARM</t>
  </si>
  <si>
    <t>SmartLoad-Dual.BC-05A.BCU_C2_TOTALIZER_MISMATCH_ALARM</t>
  </si>
  <si>
    <t>LP 10</t>
  </si>
  <si>
    <t>BC-05B</t>
  </si>
  <si>
    <t>SmartLoad-Dual.BC-05B.EARTH_ALARM_STATUS</t>
  </si>
  <si>
    <t>SmartLoad-Dual.BC-05B.NO_FLOW_ALARM_STATUS_M3</t>
  </si>
  <si>
    <t>SmartLoad-Dual.BC-05B.LOW_FLOW_ALARM_STATUS_M3</t>
  </si>
  <si>
    <t>SmartLoad-Dual.BC-05B.HIGH_FLOW_ALARM_STATUS_M3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</si>
  <si>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</si>
  <si>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</si>
  <si>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</si>
  <si>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</si>
  <si>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</si>
  <si>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</si>
  <si>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</si>
  <si>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</si>
  <si>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SmartLoad-Dual.BC-05B.MFM_BCU_QTY_BEYOND_TOLERANCE_LIMIT_STATUS</t>
  </si>
  <si>
    <t>SmartLoad-Dual.BC-05B.BCU_C3_TOTALIZER_MISMATCH_ALARM</t>
  </si>
  <si>
    <t>LP 11</t>
  </si>
  <si>
    <t>BC-06A</t>
  </si>
  <si>
    <t>SmartLoad-Dual.BC-06A.EARTH_ALARM_STATUS</t>
  </si>
  <si>
    <t>SmartLoad-Dual.BC-06A.NO_FLOW_ALARM_STATUS_M1</t>
  </si>
  <si>
    <t>SmartLoad-Dual.BC-06A.NO_FLOW_ALARM_STATUS_M2</t>
  </si>
  <si>
    <t>SmartLoad-Dual.BC-06A.LOW_FLOW_ALARM_STATUS_M1</t>
  </si>
  <si>
    <t>SmartLoad-Dual.BC-06A.LOW_FLOW_ALARM_STATUS_M2</t>
  </si>
  <si>
    <t>SmartLoad-Dual.BC-06A.HIGH_FLOW_ALARM_STATUS_M1</t>
  </si>
  <si>
    <t>SmartLoad-Dual.BC-06A.HIGH_FLOW_ALARM_STATUS_M2</t>
  </si>
  <si>
    <t>SmartLoad-Dual.BC-06A.UNAUTHORIZE_FLOW_ALARM_STATUS_M1</t>
  </si>
  <si>
    <t>SmartLoad-Dual.BC-06A.METER_OVERRUN_ALARM_STATUS_M1</t>
  </si>
  <si>
    <t>SmartLoad-Dual.BC-06A.BLEND_OVERDOSE_ALARM_STATUS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</si>
  <si>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</si>
  <si>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</si>
  <si>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</si>
  <si>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</si>
  <si>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SmartLoad-Dual.BC-06A.NOMINAL_ARM1_COMP1_KFACTOR_CHANGED</t>
  </si>
  <si>
    <t>SmartLoad-Dual.BC-06A.NOMINAL_ARM1_COMP2_KFACTOR_CHANGED</t>
  </si>
  <si>
    <t>SmartLoad-Dual.BC-06A.MFM_BCU_QTY_BEYOND_TOLERANCE_LIMIT_STATUS</t>
  </si>
  <si>
    <t>SmartLoad-Dual.BC-06A.BCU_C1_TOTALIZER_MISMATCH_ALARM</t>
  </si>
  <si>
    <t>SmartLoad-Dual.BC-06A.BCU_C2_TOTALIZER_MISMATCH_ALARM</t>
  </si>
  <si>
    <t>LP 12</t>
  </si>
  <si>
    <t>BC-06B</t>
  </si>
  <si>
    <t>SmartLoad-Dual.BC-06B.EARTH_ALARM_STATUS</t>
  </si>
  <si>
    <t>SmartLoad-Dual.BC-06B.NO_FLOW_ALARM_STATUS_M3</t>
  </si>
  <si>
    <t>SmartLoad-Dual.BC-06B.LOW_FLOW_ALARM_STATUS_M3</t>
  </si>
  <si>
    <t>SmartLoad-Dual.BC-06B.HIGH_FLOW_ALARM_STATUS_M3</t>
  </si>
  <si>
    <t>SmartLoad-Dual.BC-06B.UNAUTHORIZE_FLOW_ALARM_STATUS_M3</t>
  </si>
  <si>
    <t>SmartLoad-Dual.BC-06B.METER_OVERRUN_ALARM_STATUS_M3</t>
  </si>
  <si>
    <t>SmartLoad-Dual.BC-06B.BLEND_OVERDOSE_ALARM_STATUS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</si>
  <si>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</si>
  <si>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</si>
  <si>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</si>
  <si>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</si>
  <si>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SmartLoad-Dual.BC-06B.NOMINAL_ARM2_COMP1_KFACTOR_CHANGED</t>
  </si>
  <si>
    <t>SmartLoad-Dual.BC-06B.MFM_BCU_QTY_BEYOND_TOLERANCE_LIMIT_STATUS</t>
  </si>
  <si>
    <t>SmartLoad-Dual.BC-06B.BCU_C3_TOTALIZER_MISMATCH_ALARM</t>
  </si>
  <si>
    <t>LP 13</t>
  </si>
  <si>
    <t>BC-07A</t>
  </si>
  <si>
    <t>SmartLoad-Dual.BC-07A.EARTH_ALARM_STATUS</t>
  </si>
  <si>
    <t>SmartLoad-Dual.BC-07A.NO_FLOW_ALARM_STATUS_M1</t>
  </si>
  <si>
    <t>SmartLoad-Dual.BC-07A.NO_FLOW_ALARM_STATUS_M2</t>
  </si>
  <si>
    <t>SmartLoad-Dual.BC-07A.LOW_FLOW_ALARM_STATUS_M1</t>
  </si>
  <si>
    <t>SmartLoad-Dual.BC-07A.LOW_FLOW_ALARM_STATUS_M2</t>
  </si>
  <si>
    <t>SmartLoad-Dual.BC-07A.HIGH_FLOW_ALARM_STATUS_M1</t>
  </si>
  <si>
    <t>SmartLoad-Dual.BC-07A.HIGH_FLOW_ALARM_STATUS_M2</t>
  </si>
  <si>
    <t>SmartLoad-Dual.BC-07A.UNAUTHORIZE_FLOW_ALARM_STATUS_M1</t>
  </si>
  <si>
    <t>SmartLoad-Dual.BC-07A.METER_OVERRUN_ALARM_STATUS_M1</t>
  </si>
  <si>
    <t>SmartLoad-Dual.BC-07A.BLEND_OVERDOSE_ALARM_STATUS</t>
  </si>
  <si>
    <t>SmartLoad-Dual.BC-07A.BLEND_UNDERDOSE_ALARM_STATUS</t>
  </si>
  <si>
    <t>SmartLoad-Dual.BC-07A.ADDITIVE_OVERDOSE_ALARM_STATUS</t>
  </si>
  <si>
    <t>SmartLoad-Dual.BC-07A.ADDITIVE_UNDERDOSE_ALARM_STATUS</t>
  </si>
  <si>
    <t>SmartLoad-Dual.BC-07A.BATCH_STATUS</t>
  </si>
  <si>
    <t>SmartLoad-Dual.BC-07A.NOMINAL_ARM1_COMP1_KFACTOR_CHANGED</t>
  </si>
  <si>
    <t>SmartLoad-Dual.BC-07A.NOMINAL_ARM1_COMP2_KFACTOR_CHANGED</t>
  </si>
  <si>
    <t>SmartLoad-Dual.BC-07A.MFM_BCU_QTY_BEYOND_TOLERANCE_LIMIT_STATUS</t>
  </si>
  <si>
    <t>SmartLoad-Dual.BC-07A.BCU_C1_TOTALIZER_MISMATCH_ALARM</t>
  </si>
  <si>
    <t>SmartLoad-Dual.BC-07A.BCU_C2_TOTALIZER_MISMATCH_ALARM</t>
  </si>
  <si>
    <t>LP 14</t>
  </si>
  <si>
    <t>BC-07B</t>
  </si>
  <si>
    <t>SmartLoad-Dual.BC-07B.EARTH_ALARM_STATUS</t>
  </si>
  <si>
    <t>SmartLoad-Dual.BC-07B.NO_FLOW_ALARM_STATUS_M3</t>
  </si>
  <si>
    <t>SmartLoad-Dual.BC-07B.LOW_FLOW_ALARM_STATUS_M3</t>
  </si>
  <si>
    <t>SmartLoad-Dual.BC-07B.HIGH_FLOW_ALARM_STATUS_M3</t>
  </si>
  <si>
    <t>SmartLoad-Dual.BC-07B.UNAUTHORIZE_FLOW_ALARM_STATUS_M3</t>
  </si>
  <si>
    <t>SmartLoad-Dual.BC-07B.METER_OVERRUN_ALARM_STATUS_M3</t>
  </si>
  <si>
    <t>SmartLoad-Dual.BC-07B.BLEND_OVERDOSE_ALARM_STATUS</t>
  </si>
  <si>
    <t>SmartLoad-Dual.BC-07B.BLEND_UNDERDOSE_ALARM_STATUS</t>
  </si>
  <si>
    <t>SmartLoad-Dual.BC-07B.ADDITIVE_OVERDOSE_ALARM_STATUS</t>
  </si>
  <si>
    <t>SmartLoad-Dual.BC-07B.ADDITIVE_UNDERDOSE_ALARM_STATUS</t>
  </si>
  <si>
    <t>SmartLoad-Dual.BC-07B.BATCH_STATUS</t>
  </si>
  <si>
    <t>SmartLoad-Dual.BC-07B.NOMINAL_ARM2_COMP1_KFACTOR_CHANGED</t>
  </si>
  <si>
    <t>SmartLoad-Dual.BC-07B.MFM_BCU_QTY_BEYOND_TOLERANCE_LIMIT_STATUS</t>
  </si>
  <si>
    <t>SmartLoad-Dual.BC-07B.BCU_C3_TOTALIZER_MISMATCH_ALARM</t>
  </si>
  <si>
    <t>LP 15</t>
  </si>
  <si>
    <t>BC-08A</t>
  </si>
  <si>
    <t>SmartLoad-Dual.BC-08A.EARTH_ALARM_STATUS</t>
  </si>
  <si>
    <t>SmartLoad-Dual.BC-08A.NO_FLOW_ALARM_STATUS_M1</t>
  </si>
  <si>
    <t>SmartLoad-Dual.BC-08A.NO_FLOW_ALARM_STATUS_M2</t>
  </si>
  <si>
    <t>SmartLoad-Dual.BC-08A.LOW_FLOW_ALARM_STATUS_M1</t>
  </si>
  <si>
    <t>SmartLoad-Dual.BC-08A.LOW_FLOW_ALARM_STATUS_M2</t>
  </si>
  <si>
    <t>SmartLoad-Dual.BC-08A.HIGH_FLOW_ALARM_STATUS_M1</t>
  </si>
  <si>
    <t>SmartLoad-Dual.BC-08A.HIGH_FLOW_ALARM_STATUS_M2</t>
  </si>
  <si>
    <t>SmartLoad-Dual.BC-08A.UNAUTHORIZE_FLOW_ALARM_STATUS_M1</t>
  </si>
  <si>
    <t>SmartLoad-Dual.BC-08A.METER_OVERRUN_ALARM_STATUS_M1</t>
  </si>
  <si>
    <t>SmartLoad-Dual.BC-08A.BLEND_OVERDOSE_ALARM_STATUS</t>
  </si>
  <si>
    <t>SmartLoad-Dual.BC-08A.BLEND_UNDERDOSE_ALARM_STATUS</t>
  </si>
  <si>
    <t>SmartLoad-Dual.BC-08A.ADDITIVE_OVERDOSE_ALARM_STATUS</t>
  </si>
  <si>
    <t>SmartLoad-Dual.BC-08A.ADDITIVE_UNDERDOSE_ALARM_STATUS</t>
  </si>
  <si>
    <t>SmartLoad-Dual.BC-08A.BATCH_STATUS</t>
  </si>
  <si>
    <t>SmartLoad-Dual.BC-08A.NOMINAL_ARM1_COMP1_KFACTOR_CHANGED</t>
  </si>
  <si>
    <t>SmartLoad-Dual.BC-08A.NOMINAL_ARM1_COMP2_KFACTOR_CHANGED</t>
  </si>
  <si>
    <t>SmartLoad-Dual.BC-08A.MFM_BCU_QTY_BEYOND_TOLERANCE_LIMIT_STATUS</t>
  </si>
  <si>
    <t>SmartLoad-Dual.BC-08A.BCU_C1_TOTALIZER_MISMATCH_ALARM</t>
  </si>
  <si>
    <t>SmartLoad-Dual.BC-08A.BCU_C2_TOTALIZER_MISMATCH_ALARM</t>
  </si>
  <si>
    <t>LP 16</t>
  </si>
  <si>
    <t>BC-08B</t>
  </si>
  <si>
    <t>SmartLoad-Dual.BC-08B.EARTH_ALARM_STATUS</t>
  </si>
  <si>
    <t>SmartLoad-Dual.BC-08B.NO_FLOW_ALARM_STATUS_M3</t>
  </si>
  <si>
    <t>SmartLoad-Dual.BC-08B.LOW_FLOW_ALARM_STATUS_M3</t>
  </si>
  <si>
    <t>SmartLoad-Dual.BC-08B.HIGH_FLOW_ALARM_STATUS_M3</t>
  </si>
  <si>
    <t>SmartLoad-Dual.BC-08B.UNAUTHORIZE_FLOW_ALARM_STATUS_M3</t>
  </si>
  <si>
    <t>SmartLoad-Dual.BC-08B.METER_OVERRUN_ALARM_STATUS_M3</t>
  </si>
  <si>
    <t>SmartLoad-Dual.BC-08B.BLEND_OVERDOSE_ALARM_STATUS</t>
  </si>
  <si>
    <t>SmartLoad-Dual.BC-08B.BLEND_UNDERDOSE_ALARM_STATUS</t>
  </si>
  <si>
    <t>SmartLoad-Dual.BC-08B.ADDITIVE_OVERDOSE_ALARM_STATUS</t>
  </si>
  <si>
    <t>SmartLoad-Dual.BC-08B.ADDITIVE_UNDERDOSE_ALARM_STATUS</t>
  </si>
  <si>
    <t>SmartLoad-Dual.BC-08B.BATCH_STATUS</t>
  </si>
  <si>
    <t>SmartLoad-Dual.BC-08B.NOMINAL_ARM2_COMP1_KFACTOR_CHANGED</t>
  </si>
  <si>
    <t>SmartLoad-Dual.BC-08B.MFM_BCU_QTY_BEYOND_TOLERANCE_LIMIT_STATUS</t>
  </si>
  <si>
    <t>SmartLoad-Dual.BC-08B.BCU_C3_TOTALIZER_MISMATCH_ALARM</t>
  </si>
  <si>
    <t>LP 17</t>
  </si>
  <si>
    <t>BC-09A</t>
  </si>
  <si>
    <t>SmartLoad-Dual.BC-09A.EARTH_ALARM_STATUS</t>
  </si>
  <si>
    <t>SmartLoad-Dual.BC-09A.NO_FLOW_ALARM_STATUS_M1</t>
  </si>
  <si>
    <t>SmartLoad-Dual.BC-09A.NO_FLOW_ALARM_STATUS_M2</t>
  </si>
  <si>
    <t>SmartLoad-Dual.BC-09A.LOW_FLOW_ALARM_STATUS_M1</t>
  </si>
  <si>
    <t>SmartLoad-Dual.BC-09A.LOW_FLOW_ALARM_STATUS_M2</t>
  </si>
  <si>
    <t>SmartLoad-Dual.BC-09A.HIGH_FLOW_ALARM_STATUS_M1</t>
  </si>
  <si>
    <t>SmartLoad-Dual.BC-09A.HIGH_FLOW_ALARM_STATUS_M2</t>
  </si>
  <si>
    <t>SmartLoad-Dual.BC-09A.UNAUTHORIZE_FLOW_ALARM_STATUS_M1</t>
  </si>
  <si>
    <t>SmartLoad-Dual.BC-09A.METER_OVERRUN_ALARM_STATUS_M1</t>
  </si>
  <si>
    <t>SmartLoad-Dual.BC-09A.BLEND_OVERDOSE_ALARM_STATUS</t>
  </si>
  <si>
    <t>SmartLoad-Dual.BC-09A.BLEND_UNDERDOSE_ALARM_STATUS</t>
  </si>
  <si>
    <t>SmartLoad-Dual.BC-09A.ADDITIVE_OVERDOSE_ALARM_STATUS</t>
  </si>
  <si>
    <t>SmartLoad-Dual.BC-09A.ADDITIVE_UNDERDOSE_ALARM_STATUS</t>
  </si>
  <si>
    <t>SmartLoad-Dual.BC-09A.BATCH_STATUS</t>
  </si>
  <si>
    <t>SmartLoad-Dual.BC-09A.NOMINAL_ARM1_COMP1_KFACTOR_CHANGED</t>
  </si>
  <si>
    <t>SmartLoad-Dual.BC-09A.NOMINAL_ARM1_COMP2_KFACTOR_CHANGED</t>
  </si>
  <si>
    <t>SmartLoad-Dual.BC-09A.MFM_BCU_QTY_BEYOND_TOLERANCE_LIMIT_STATUS</t>
  </si>
  <si>
    <t>SmartLoad-Dual.BC-09A.BCU_C1_TOTALIZER_MISMATCH_ALARM</t>
  </si>
  <si>
    <t>SmartLoad-Dual.BC-09A.BCU_C2_TOTALIZER_MISMATCH_ALARM</t>
  </si>
  <si>
    <t>LP 18</t>
  </si>
  <si>
    <t>BC-09B</t>
  </si>
  <si>
    <t>SmartLoad-Dual.BC-09B.EARTH_ALARM_STATUS</t>
  </si>
  <si>
    <t>SmartLoad-Dual.BC-09B.NO_FLOW_ALARM_STATUS_M3</t>
  </si>
  <si>
    <t>SmartLoad-Dual.BC-09B.LOW_FLOW_ALARM_STATUS_M3</t>
  </si>
  <si>
    <t>SmartLoad-Dual.BC-09B.HIGH_FLOW_ALARM_STATUS_M3</t>
  </si>
  <si>
    <t>SmartLoad-Dual.BC-09B.UNAUTHORIZE_FLOW_ALARM_STATUS_M3</t>
  </si>
  <si>
    <t>SmartLoad-Dual.BC-09B.METER_OVERRUN_ALARM_STATUS_M3</t>
  </si>
  <si>
    <t>SmartLoad-Dual.BC-09B.BLEND_OVERDOSE_ALARM_STATUS</t>
  </si>
  <si>
    <t>SmartLoad-Dual.BC-09B.BLEND_UNDERDOSE_ALARM_STATUS</t>
  </si>
  <si>
    <t>SmartLoad-Dual.BC-09B.ADDITIVE_OVERDOSE_ALARM_STATUS</t>
  </si>
  <si>
    <t>SmartLoad-Dual.BC-09B.ADDITIVE_UNDERDOSE_ALARM_STATUS</t>
  </si>
  <si>
    <t>SmartLoad-Dual.BC-09B.BATCH_STATUS</t>
  </si>
  <si>
    <t>SmartLoad-Dual.BC-09B.NOMINAL_ARM2_COMP1_KFACTOR_CHANGED</t>
  </si>
  <si>
    <t>SmartLoad-Dual.BC-09B.MFM_BCU_QTY_BEYOND_TOLERANCE_LIMIT_STATUS</t>
  </si>
  <si>
    <t>SmartLoad-Dual.BC-09B.BCU_C3_TOTALIZER_MISMATCH_ALARM</t>
  </si>
  <si>
    <t>LP 19</t>
  </si>
  <si>
    <t>BC-10A</t>
  </si>
  <si>
    <t>SmartLoad-Dual.BC-10A.EARTH_ALARM_STATUS</t>
  </si>
  <si>
    <t>SmartLoad-Dual.BC-10A.NO_FLOW_ALARM_STATUS_M1</t>
  </si>
  <si>
    <t>SmartLoad-Dual.BC-10A.NO_FLOW_ALARM_STATUS_M2</t>
  </si>
  <si>
    <t>SmartLoad-Dual.BC-10A.LOW_FLOW_ALARM_STATUS_M1</t>
  </si>
  <si>
    <t>SmartLoad-Dual.BC-10A.LOW_FLOW_ALARM_STATUS_M2</t>
  </si>
  <si>
    <t>SmartLoad-Dual.BC-10A.HIGH_FLOW_ALARM_STATUS_M1</t>
  </si>
  <si>
    <t>SmartLoad-Dual.BC-10A.HIGH_FLOW_ALARM_STATUS_M2</t>
  </si>
  <si>
    <t>SmartLoad-Dual.BC-10A.UNAUTHORIZE_FLOW_ALARM_STATUS_M1</t>
  </si>
  <si>
    <t>SmartLoad-Dual.BC-10A.METER_OVERRUN_ALARM_STATUS_M1</t>
  </si>
  <si>
    <t>SmartLoad-Dual.BC-10A.BLEND_OVERDOSE_ALARM_STATUS</t>
  </si>
  <si>
    <t>SmartLoad-Dual.BC-10A.BLEND_UNDERDOSE_ALARM_STATUS</t>
  </si>
  <si>
    <t>SmartLoad-Dual.BC-10A.ADDITIVE_OVERDOSE_ALARM_STATUS</t>
  </si>
  <si>
    <t>SmartLoad-Dual.BC-10A.ADDITIVE_UNDERDOSE_ALARM_STATUS</t>
  </si>
  <si>
    <t>SmartLoad-Dual.BC-10A.BATCH_STATUS</t>
  </si>
  <si>
    <t>SmartLoad-Dual.BC-10A.NOMINAL_ARM1_COMP1_KFACTOR_CHANGED</t>
  </si>
  <si>
    <t>SmartLoad-Dual.BC-10A.NOMINAL_ARM1_COMP2_KFACTOR_CHANGED</t>
  </si>
  <si>
    <t>SmartLoad-Dual.BC-10A.MFM_BCU_QTY_BEYOND_TOLERANCE_LIMIT_STATUS</t>
  </si>
  <si>
    <t>SmartLoad-Dual.BC-10A.BCU_C1_TOTALIZER_MISMATCH_ALARM</t>
  </si>
  <si>
    <t>SmartLoad-Dual.BC-10A.BCU_C2_TOTALIZER_MISMATCH_ALARM</t>
  </si>
  <si>
    <t>LP 20</t>
  </si>
  <si>
    <t>BC-10B</t>
  </si>
  <si>
    <t>SmartLoad-Dual.BC-10B.EARTH_ALARM_STATUS</t>
  </si>
  <si>
    <t>SmartLoad-Dual.BC-10B.NO_FLOW_ALARM_STATUS_M3</t>
  </si>
  <si>
    <t>SmartLoad-Dual.BC-10B.LOW_FLOW_ALARM_STATUS_M3</t>
  </si>
  <si>
    <t>SmartLoad-Dual.BC-10B.HIGH_FLOW_ALARM_STATUS_M3</t>
  </si>
  <si>
    <t>SmartLoad-Dual.BC-10B.UNAUTHORIZE_FLOW_ALARM_STATUS_M3</t>
  </si>
  <si>
    <t>SmartLoad-Dual.BC-10B.METER_OVERRUN_ALARM_STATUS_M3</t>
  </si>
  <si>
    <t>SmartLoad-Dual.BC-10B.BLEND_OVERDOSE_ALARM_STATUS</t>
  </si>
  <si>
    <t>SmartLoad-Dual.BC-10B.BLEND_UNDERDOSE_ALARM_STATUS</t>
  </si>
  <si>
    <t>SmartLoad-Dual.BC-10B.ADDITIVE_OVERDOSE_ALARM_STATUS</t>
  </si>
  <si>
    <t>SmartLoad-Dual.BC-10B.ADDITIVE_UNDERDOSE_ALARM_STATUS</t>
  </si>
  <si>
    <t>SmartLoad-Dual.BC-10B.BATCH_STATUS</t>
  </si>
  <si>
    <t>SmartLoad-Dual.BC-10B.NOMINAL_ARM2_COMP1_KFACTOR_CHANGED</t>
  </si>
  <si>
    <t>SmartLoad-Dual.BC-10B.MFM_BCU_QTY_BEYOND_TOLERANCE_LIMIT_STATUS</t>
  </si>
  <si>
    <t>SmartLoad-Dual.BC-10B.BCU_C3_TOTALIZER_MISMATCH_ALARM</t>
  </si>
  <si>
    <t>LP 21</t>
  </si>
  <si>
    <t>BC-11A</t>
  </si>
  <si>
    <t>SmartLoad-Dual.BC-11A.EARTH_ALARM_STATUS</t>
  </si>
  <si>
    <t>SmartLoad-Dual.BC-11A.NO_FLOW_ALARM_STATUS_M1</t>
  </si>
  <si>
    <t>SmartLoad-Dual.BC-11A.NO_FLOW_ALARM_STATUS_M2</t>
  </si>
  <si>
    <t>SmartLoad-Dual.BC-11A.LOW_FLOW_ALARM_STATUS_M1</t>
  </si>
  <si>
    <t>SmartLoad-Dual.BC-11A.LOW_FLOW_ALARM_STATUS_M2</t>
  </si>
  <si>
    <t>SmartLoad-Dual.BC-11A.HIGH_FLOW_ALARM_STATUS_M1</t>
  </si>
  <si>
    <t>SmartLoad-Dual.BC-11A.HIGH_FLOW_ALARM_STATUS_M2</t>
  </si>
  <si>
    <t>SmartLoad-Dual.BC-11A.UNAUTHORIZE_FLOW_ALARM_STATUS_M1</t>
  </si>
  <si>
    <t>SmartLoad-Dual.BC-11A.METER_OVERRUN_ALARM_STATUS_M1</t>
  </si>
  <si>
    <t>SmartLoad-Dual.BC-11A.BLEND_OVERDOSE_ALARM_STATUS</t>
  </si>
  <si>
    <t>SmartLoad-Dual.BC-11A.BLEND_UNDERDOSE_ALARM_STATUS</t>
  </si>
  <si>
    <t>SmartLoad-Dual.BC-11A.ADDITIVE_OVERDOSE_ALARM_STATUS</t>
  </si>
  <si>
    <t>SmartLoad-Dual.BC-11A.ADDITIVE_UNDERDOSE_ALARM_STATUS</t>
  </si>
  <si>
    <t>SmartLoad-Dual.BC-11A.BATCH_STATUS</t>
  </si>
  <si>
    <t>SmartLoad-Dual.BC-11A.NOMINAL_ARM1_COMP1_KFACTOR_CHANGED</t>
  </si>
  <si>
    <t>SmartLoad-Dual.BC-11A.NOMINAL_ARM1_COMP2_KFACTOR_CHANGED</t>
  </si>
  <si>
    <t>SmartLoad-Dual.BC-11A.MFM_BCU_QTY_BEYOND_TOLERANCE_LIMIT_STATUS</t>
  </si>
  <si>
    <t>SmartLoad-Dual.BC-11A.BCU_C1_TOTALIZER_MISMATCH_ALARM</t>
  </si>
  <si>
    <t>SmartLoad-Dual.BC-11A.BCU_C2_TOTALIZER_MISMATCH_ALARM</t>
  </si>
  <si>
    <t>LP 22</t>
  </si>
  <si>
    <t>BC-11B</t>
  </si>
  <si>
    <t>SmartLoad-Dual.BC-11B.EARTH_ALARM_STATUS</t>
  </si>
  <si>
    <t>SmartLoad-Dual.BC-11B.NO_FLOW_ALARM_STATUS_M3</t>
  </si>
  <si>
    <t>SmartLoad-Dual.BC-11B.LOW_FLOW_ALARM_STATUS_M3</t>
  </si>
  <si>
    <t>SmartLoad-Dual.BC-11B.HIGH_FLOW_ALARM_STATUS_M3</t>
  </si>
  <si>
    <t>SmartLoad-Dual.BC-11B.UNAUTHORIZE_FLOW_ALARM_STATUS_M3</t>
  </si>
  <si>
    <t>SmartLoad-Dual.BC-11B.METER_OVERRUN_ALARM_STATUS_M3</t>
  </si>
  <si>
    <t>SmartLoad-Dual.BC-11B.BLEND_OVERDOSE_ALARM_STATUS</t>
  </si>
  <si>
    <t>SmartLoad-Dual.BC-11B.BLEND_UNDERDOSE_ALARM_STATUS</t>
  </si>
  <si>
    <t>SmartLoad-Dual.BC-11B.ADDITIVE_OVERDOSE_ALARM_STATUS</t>
  </si>
  <si>
    <t>SmartLoad-Dual.BC-11B.ADDITIVE_UNDERDOSE_ALARM_STATUS</t>
  </si>
  <si>
    <t>SmartLoad-Dual.BC-11B.BATCH_STATUS</t>
  </si>
  <si>
    <t>SmartLoad-Dual.BC-11B.NOMINAL_ARM2_COMP1_KFACTOR_CHANGED</t>
  </si>
  <si>
    <t>SmartLoad-Dual.BC-11B.MFM_BCU_QTY_BEYOND_TOLERANCE_LIMIT_STATUS</t>
  </si>
  <si>
    <t>SmartLoad-Dual.BC-11B.BCU_C3_TOTALIZER_MISMATCH_ALARM</t>
  </si>
  <si>
    <t>LP 23</t>
  </si>
  <si>
    <t>BC-12A</t>
  </si>
  <si>
    <t>SmartLoad-Dual.BC-12A.EARTH_ALARM_STATUS</t>
  </si>
  <si>
    <t>SmartLoad-Dual.BC-12A.NO_FLOW_ALARM_STATUS_M1</t>
  </si>
  <si>
    <t>SmartLoad-Dual.BC-12A.NO_FLOW_ALARM_STATUS_M2</t>
  </si>
  <si>
    <t>SmartLoad-Dual.BC-12A.LOW_FLOW_ALARM_STATUS_M1</t>
  </si>
  <si>
    <t>SmartLoad-Dual.BC-12A.LOW_FLOW_ALARM_STATUS_M2</t>
  </si>
  <si>
    <t>SmartLoad-Dual.BC-12A.HIGH_FLOW_ALARM_STATUS_M1</t>
  </si>
  <si>
    <t>SmartLoad-Dual.BC-12A.HIGH_FLOW_ALARM_STATUS_M2</t>
  </si>
  <si>
    <t>SmartLoad-Dual.BC-12A.UNAUTHORIZE_FLOW_ALARM_STATUS_M1</t>
  </si>
  <si>
    <t>SmartLoad-Dual.BC-12A.METER_OVERRUN_ALARM_STATUS_M1</t>
  </si>
  <si>
    <t>SmartLoad-Dual.BC-12A.BLEND_OVERDOSE_ALARM_STATUS</t>
  </si>
  <si>
    <t>SmartLoad-Dual.BC-12A.BLEND_UNDERDOSE_ALARM_STATUS</t>
  </si>
  <si>
    <t>SmartLoad-Dual.BC-12A.ADDITIVE_OVERDOSE_ALARM_STATUS</t>
  </si>
  <si>
    <t>SmartLoad-Dual.BC-12A.ADDITIVE_UNDERDOSE_ALARM_STATUS</t>
  </si>
  <si>
    <t>SmartLoad-Dual.BC-12A.BATCH_STATUS</t>
  </si>
  <si>
    <t>SmartLoad-Dual.BC-12A.NOMINAL_ARM1_COMP1_KFACTOR_CHANGED</t>
  </si>
  <si>
    <t>SmartLoad-Dual.BC-12A.NOMINAL_ARM1_COMP2_KFACTOR_CHANGED</t>
  </si>
  <si>
    <t>SmartLoad-Dual.BC-12A.MFM_BCU_QTY_BEYOND_TOLERANCE_LIMIT_STATUS</t>
  </si>
  <si>
    <t>SmartLoad-Dual.BC-12A.BCU_C1_TOTALIZER_MISMATCH_ALARM</t>
  </si>
  <si>
    <t>SmartLoad-Dual.BC-12A.BCU_C2_TOTALIZER_MISMATCH_ALARM</t>
  </si>
  <si>
    <t>LP 24</t>
  </si>
  <si>
    <t>BC-12B</t>
  </si>
  <si>
    <t>SmartLoad-Dual.BC-12B.EARTH_ALARM_STATUS</t>
  </si>
  <si>
    <t>SmartLoad-Dual.BC-12B.NO_FLOW_ALARM_STATUS_M3</t>
  </si>
  <si>
    <t>SmartLoad-Dual.BC-12B.LOW_FLOW_ALARM_STATUS_M3</t>
  </si>
  <si>
    <t>SmartLoad-Dual.BC-12B.HIGH_FLOW_ALARM_STATUS_M3</t>
  </si>
  <si>
    <t>SmartLoad-Dual.BC-12B.UNAUTHORIZE_FLOW_ALARM_STATUS_M3</t>
  </si>
  <si>
    <t>SmartLoad-Dual.BC-12B.METER_OVERRUN_ALARM_STATUS_M3</t>
  </si>
  <si>
    <t>SmartLoad-Dual.BC-12B.BLEND_OVERDOSE_ALARM_STATUS</t>
  </si>
  <si>
    <t>SmartLoad-Dual.BC-12B.BLEND_UNDERDOSE_ALARM_STATUS</t>
  </si>
  <si>
    <t>SmartLoad-Dual.BC-12B.ADDITIVE_OVERDOSE_ALARM_STATUS</t>
  </si>
  <si>
    <t>SmartLoad-Dual.BC-12B.ADDITIVE_UNDERDOSE_ALARM_STATUS</t>
  </si>
  <si>
    <t>SmartLoad-Dual.BC-12B.BATCH_STATUS</t>
  </si>
  <si>
    <t>SmartLoad-Dual.BC-12B.NOMINAL_ARM2_COMP1_KFACTOR_CHANGED</t>
  </si>
  <si>
    <t>SmartLoad-Dual.BC-12B.MFM_BCU_QTY_BEYOND_TOLERANCE_LIMIT_STATUS</t>
  </si>
  <si>
    <t>SmartLoad-Dual.BC-12B.BCU_C3_TOTALIZER_MISMATCH_ALARM</t>
  </si>
  <si>
    <t>LP 25</t>
  </si>
  <si>
    <t>BC-13A</t>
  </si>
  <si>
    <t>SmartLoad-Dual.BC-13A.EARTH_ALARM_STATUS</t>
  </si>
  <si>
    <t>SmartLoad-Dual.BC-13A.NO_FLOW_ALARM_STATUS_M1</t>
  </si>
  <si>
    <t>SmartLoad-Dual.BC-13A.NO_FLOW_ALARM_STATUS_M2</t>
  </si>
  <si>
    <t>SmartLoad-Dual.BC-13A.LOW_FLOW_ALARM_STATUS_M1</t>
  </si>
  <si>
    <t>SmartLoad-Dual.BC-13A.LOW_FLOW_ALARM_STATUS_M2</t>
  </si>
  <si>
    <t>SmartLoad-Dual.BC-13A.HIGH_FLOW_ALARM_STATUS_M1</t>
  </si>
  <si>
    <t>SmartLoad-Dual.BC-13A.HIGH_FLOW_ALARM_STATUS_M2</t>
  </si>
  <si>
    <t>SmartLoad-Dual.BC-13A.UNAUTHORIZE_FLOW_ALARM_STATUS_M1</t>
  </si>
  <si>
    <t>SmartLoad-Dual.BC-13A.METER_OVERRUN_ALARM_STATUS_M1</t>
  </si>
  <si>
    <t>SmartLoad-Dual.BC-13A.BLEND_OVERDOSE_ALARM_STATUS</t>
  </si>
  <si>
    <t>SmartLoad-Dual.BC-13A.BLEND_UNDERDOSE_ALARM_STATUS</t>
  </si>
  <si>
    <t>SmartLoad-Dual.BC-13A.ADDITIVE_OVERDOSE_ALARM_STATUS</t>
  </si>
  <si>
    <t>SmartLoad-Dual.BC-13A.ADDITIVE_UNDERDOSE_ALARM_STATUS</t>
  </si>
  <si>
    <t>SmartLoad-Dual.BC-13A.BATCH_STATUS</t>
  </si>
  <si>
    <t>SmartLoad-Dual.BC-13A.NOMINAL_ARM1_COMP1_KFACTOR_CHANGED</t>
  </si>
  <si>
    <t>SmartLoad-Dual.BC-13A.NOMINAL_ARM1_COMP2_KFACTOR_CHANGED</t>
  </si>
  <si>
    <t>SmartLoad-Dual.BC-13A.MFM_BCU_QTY_BEYOND_TOLERANCE_LIMIT_STATUS</t>
  </si>
  <si>
    <t>SmartLoad-Dual.BC-13A.BCU_C1_TOTALIZER_MISMATCH_ALARM</t>
  </si>
  <si>
    <t>SmartLoad-Dual.BC-13A.BCU_C2_TOTALIZER_MISMATCH_ALARM</t>
  </si>
  <si>
    <t>LP 26</t>
  </si>
  <si>
    <t>BC-13B</t>
  </si>
  <si>
    <t>SmartLoad-Dual.BC-13B.EARTH_ALARM_STATUS</t>
  </si>
  <si>
    <t>SmartLoad-Dual.BC-13B.NO_FLOW_ALARM_STATUS_M3</t>
  </si>
  <si>
    <t>SmartLoad-Dual.BC-13B.LOW_FLOW_ALARM_STATUS_M3</t>
  </si>
  <si>
    <t>SmartLoad-Dual.BC-13B.HIGH_FLOW_ALARM_STATUS_M3</t>
  </si>
  <si>
    <t>SmartLoad-Dual.BC-13B.UNAUTHORIZE_FLOW_ALARM_STATUS_M3</t>
  </si>
  <si>
    <t>SmartLoad-Dual.BC-13B.METER_OVERRUN_ALARM_STATUS_M3</t>
  </si>
  <si>
    <t>SmartLoad-Dual.BC-13B.BLEND_OVERDOSE_ALARM_STATUS</t>
  </si>
  <si>
    <t>SmartLoad-Dual.BC-13B.BLEND_UNDERDOSE_ALARM_STATUS</t>
  </si>
  <si>
    <t>SmartLoad-Dual.BC-13B.ADDITIVE_OVERDOSE_ALARM_STATUS</t>
  </si>
  <si>
    <t>SmartLoad-Dual.BC-13B.ADDITIVE_UNDERDOSE_ALARM_STATUS</t>
  </si>
  <si>
    <t>SmartLoad-Dual.BC-13B.BATCH_STATUS</t>
  </si>
  <si>
    <t>SmartLoad-Dual.BC-13B.NOMINAL_ARM2_COMP1_KFACTOR_CHANGED</t>
  </si>
  <si>
    <t>SmartLoad-Dual.BC-13B.MFM_BCU_QTY_BEYOND_TOLERANCE_LIMIT_STATUS</t>
  </si>
  <si>
    <t>SmartLoad-Dual.BC-13B.BCU_C3_TOTALIZER_MISMATCH_ALARM</t>
  </si>
  <si>
    <t>LP 27</t>
  </si>
  <si>
    <t>BC-14A</t>
  </si>
  <si>
    <t>SmartLoad-Dual.BC-14A.EARTH_ALARM_STATUS</t>
  </si>
  <si>
    <t>SmartLoad-Dual.BC-14A.NO_FLOW_ALARM_STATUS_M1</t>
  </si>
  <si>
    <t>SmartLoad-Dual.BC-14A.NO_FLOW_ALARM_STATUS_M2</t>
  </si>
  <si>
    <t>SmartLoad-Dual.BC-14A.LOW_FLOW_ALARM_STATUS_M1</t>
  </si>
  <si>
    <t>SmartLoad-Dual.BC-14A.LOW_FLOW_ALARM_STATUS_M2</t>
  </si>
  <si>
    <t>SmartLoad-Dual.BC-14A.HIGH_FLOW_ALARM_STATUS_M1</t>
  </si>
  <si>
    <t>SmartLoad-Dual.BC-14A.HIGH_FLOW_ALARM_STATUS_M2</t>
  </si>
  <si>
    <t>SmartLoad-Dual.BC-14A.UNAUTHORIZE_FLOW_ALARM_STATUS_M1</t>
  </si>
  <si>
    <t>SmartLoad-Dual.BC-14A.METER_OVERRUN_ALARM_STATUS_M1</t>
  </si>
  <si>
    <t>SmartLoad-Dual.BC-14A.BLEND_OVERDOSE_ALARM_STATUS</t>
  </si>
  <si>
    <t>SmartLoad-Dual.BC-14A.BLEND_UNDERDOSE_ALARM_STATUS</t>
  </si>
  <si>
    <t>SmartLoad-Dual.BC-14A.ADDITIVE_OVERDOSE_ALARM_STATUS</t>
  </si>
  <si>
    <t>SmartLoad-Dual.BC-14A.ADDITIVE_UNDERDOSE_ALARM_STATUS</t>
  </si>
  <si>
    <t>SmartLoad-Dual.BC-14A.BATCH_STATUS</t>
  </si>
  <si>
    <t>SmartLoad-Dual.BC-14A.NOMINAL_ARM1_COMP1_KFACTOR_CHANGED</t>
  </si>
  <si>
    <t>SmartLoad-Dual.BC-14A.NOMINAL_ARM1_COMP2_KFACTOR_CHANGED</t>
  </si>
  <si>
    <t>SmartLoad-Dual.BC-14A.MFM_BCU_QTY_BEYOND_TOLERANCE_LIMIT_STATUS</t>
  </si>
  <si>
    <t>SmartLoad-Dual.BC-14A.BCU_C1_TOTALIZER_MISMATCH_ALARM</t>
  </si>
  <si>
    <t>SmartLoad-Dual.BC-14A.BCU_C2_TOTALIZER_MISMATCH_ALARM</t>
  </si>
  <si>
    <t>LP 28</t>
  </si>
  <si>
    <t>BC-14B</t>
  </si>
  <si>
    <t>SmartLoad-Dual.BC-14B.EARTH_ALARM_STATUS</t>
  </si>
  <si>
    <t>SmartLoad-Dual.BC-14B.NO_FLOW_ALARM_STATUS_M3</t>
  </si>
  <si>
    <t>SmartLoad-Dual.BC-14B.LOW_FLOW_ALARM_STATUS_M3</t>
  </si>
  <si>
    <t>SmartLoad-Dual.BC-14B.HIGH_FLOW_ALARM_STATUS_M3</t>
  </si>
  <si>
    <t>SmartLoad-Dual.BC-14B.UNAUTHORIZE_FLOW_ALARM_STATUS_M3</t>
  </si>
  <si>
    <t>SmartLoad-Dual.BC-14B.METER_OVERRUN_ALARM_STATUS_M3</t>
  </si>
  <si>
    <t>SmartLoad-Dual.BC-14B.BLEND_OVERDOSE_ALARM_STATUS</t>
  </si>
  <si>
    <t>SmartLoad-Dual.BC-14B.BLEND_UNDERDOSE_ALARM_STATUS</t>
  </si>
  <si>
    <t>SmartLoad-Dual.BC-14B.ADDITIVE_OVERDOSE_ALARM_STATUS</t>
  </si>
  <si>
    <t>SmartLoad-Dual.BC-14B.ADDITIVE_UNDERDOSE_ALARM_STATUS</t>
  </si>
  <si>
    <t>SmartLoad-Dual.BC-14B.BATCH_STATUS</t>
  </si>
  <si>
    <t>SmartLoad-Dual.BC-14B.NOMINAL_ARM2_COMP1_KFACTOR_CHANGED</t>
  </si>
  <si>
    <t>SmartLoad-Dual.BC-14B.MFM_BCU_QTY_BEYOND_TOLERANCE_LIMIT_STATUS</t>
  </si>
  <si>
    <t>SmartLoad-Dual.BC-14B.BCU_C3_TOTALIZER_MISMATCH_ALARM</t>
  </si>
  <si>
    <t>LP 29</t>
  </si>
  <si>
    <t>BC-15A</t>
  </si>
  <si>
    <t>SmartLoad-Dual.BC-15A.EARTH_ALARM_STATUS</t>
  </si>
  <si>
    <t>SmartLoad-Dual.BC-15A.NO_FLOW_ALARM_STATUS_M1</t>
  </si>
  <si>
    <t>SmartLoad-Dual.BC-15A.NO_FLOW_ALARM_STATUS_M2</t>
  </si>
  <si>
    <t>SmartLoad-Dual.BC-15A.LOW_FLOW_ALARM_STATUS_M1</t>
  </si>
  <si>
    <t>SmartLoad-Dual.BC-15A.LOW_FLOW_ALARM_STATUS_M2</t>
  </si>
  <si>
    <t>SmartLoad-Dual.BC-15A.HIGH_FLOW_ALARM_STATUS_M1</t>
  </si>
  <si>
    <t>SmartLoad-Dual.BC-15A.HIGH_FLOW_ALARM_STATUS_M2</t>
  </si>
  <si>
    <t>SmartLoad-Dual.BC-15A.UNAUTHORIZE_FLOW_ALARM_STATUS_M1</t>
  </si>
  <si>
    <t>SmartLoad-Dual.BC-15A.METER_OVERRUN_ALARM_STATUS_M1</t>
  </si>
  <si>
    <t>SmartLoad-Dual.BC-15A.BLEND_OVERDOSE_ALARM_STATUS</t>
  </si>
  <si>
    <t>SmartLoad-Dual.BC-15A.BLEND_UNDERDOSE_ALARM_STATUS</t>
  </si>
  <si>
    <t>SmartLoad-Dual.BC-15A.ADDITIVE_OVERDOSE_ALARM_STATUS</t>
  </si>
  <si>
    <t>SmartLoad-Dual.BC-15A.ADDITIVE_UNDERDOSE_ALARM_STATUS</t>
  </si>
  <si>
    <t>SmartLoad-Dual.BC-15A.BATCH_STATUS</t>
  </si>
  <si>
    <t>SmartLoad-Dual.BC-15A.NOMINAL_ARM1_COMP1_KFACTOR_CHANGED</t>
  </si>
  <si>
    <t>SmartLoad-Dual.BC-15A.NOMINAL_ARM1_COMP2_KFACTOR_CHANGED</t>
  </si>
  <si>
    <t>SmartLoad-Dual.BC-15A.MFM_BCU_QTY_BEYOND_TOLERANCE_LIMIT_STATUS</t>
  </si>
  <si>
    <t>SmartLoad-Dual.BC-15A.BCU_C1_TOTALIZER_MISMATCH_ALARM</t>
  </si>
  <si>
    <t>SmartLoad-Dual.BC-15A.BCU_C2_TOTALIZER_MISMATCH_ALARM</t>
  </si>
  <si>
    <t>LP 30</t>
  </si>
  <si>
    <t>BC-15B</t>
  </si>
  <si>
    <t>SmartLoad-Dual.BC-15B.EARTH_ALARM_STATUS</t>
  </si>
  <si>
    <t>SmartLoad-Dual.BC-15B.NO_FLOW_ALARM_STATUS_M3</t>
  </si>
  <si>
    <t>SmartLoad-Dual.BC-15B.LOW_FLOW_ALARM_STATUS_M3</t>
  </si>
  <si>
    <t>SmartLoad-Dual.BC-15B.HIGH_FLOW_ALARM_STATUS_M3</t>
  </si>
  <si>
    <t>SmartLoad-Dual.BC-15B.UNAUTHORIZE_FLOW_ALARM_STATUS_M3</t>
  </si>
  <si>
    <t>SmartLoad-Dual.BC-15B.METER_OVERRUN_ALARM_STATUS_M3</t>
  </si>
  <si>
    <t>SmartLoad-Dual.BC-15B.BLEND_OVERDOSE_ALARM_STATUS</t>
  </si>
  <si>
    <t>SmartLoad-Dual.BC-15B.BLEND_UNDERDOSE_ALARM_STATUS</t>
  </si>
  <si>
    <t>SmartLoad-Dual.BC-15B.ADDITIVE_OVERDOSE_ALARM_STATUS</t>
  </si>
  <si>
    <t>SmartLoad-Dual.BC-15B.ADDITIVE_UNDERDOSE_ALARM_STATUS</t>
  </si>
  <si>
    <t>SmartLoad-Dual.BC-15B.BATCH_STATUS</t>
  </si>
  <si>
    <t>SmartLoad-Dual.BC-15B.NOMINAL_ARM2_COMP1_KFACTOR_CHANGED</t>
  </si>
  <si>
    <t>SmartLoad-Dual.BC-15B.MFM_BCU_QTY_BEYOND_TOLERANCE_LIMIT_STATUS</t>
  </si>
  <si>
    <t>SmartLoad-Dual.BC-15B.BCU_C3_TOTALIZER_MISMATCH_ALARM</t>
  </si>
  <si>
    <t>LP 31</t>
  </si>
  <si>
    <t>BC-16A</t>
  </si>
  <si>
    <t>SmartLoad-Dual.BC-16A.EARTH_ALARM_STATUS</t>
  </si>
  <si>
    <t>SmartLoad-Dual.BC-16A.NO_FLOW_ALARM_STATUS_M1</t>
  </si>
  <si>
    <t>SmartLoad-Dual.BC-16A.LOW_FLOW_ALARM_STATUS_M1</t>
  </si>
  <si>
    <t>SmartLoad-Dual.BC-16A.HIGH_FLOW_ALARM_STATUS_M1</t>
  </si>
  <si>
    <t>SmartLoad-Dual.BC-16A.UNAUTHORIZE_FLOW_ALARM_STATUS_M1</t>
  </si>
  <si>
    <t>SmartLoad-Dual.BC-16A.METER_OVERRUN_ALARM_STATUS_M1</t>
  </si>
  <si>
    <t>SmartLoad-Dual.BC-16A.BLEND_OVERDOSE_ALARM_STATUS</t>
  </si>
  <si>
    <t>SmartLoad-Dual.BC-16A.BLEND_UNDERDOSE_ALARM_STATUS</t>
  </si>
  <si>
    <t>SmartLoad-Dual.BC-16A.ADDITIVE_OVERDOSE_ALARM_STATUS</t>
  </si>
  <si>
    <t>SmartLoad-Dual.BC-16A.ADDITIVE_UNDERDOSE_ALARM_STATUS</t>
  </si>
  <si>
    <t>SmartLoad-Dual.BC-16A.BATCH_STATUS</t>
  </si>
  <si>
    <t>SmartLoad-Dual.BC-16A.NOMINAL_ARM1_COMP1_KFACTOR_CHANGED</t>
  </si>
  <si>
    <t>SmartLoad-Dual.BC-16A.MFM_BCU_QTY_BEYOND_TOLERANCE_LIMIT_STATUS</t>
  </si>
  <si>
    <t>SmartLoad-Dual.BC-16A.BCU_C1_TOTALIZER_MISMATCH_ALARM</t>
  </si>
  <si>
    <t>LP 32</t>
  </si>
  <si>
    <t>BC-16B</t>
  </si>
  <si>
    <t>SmartLoad-Dual.BC-16B.EARTH_ALARM_STATUS</t>
  </si>
  <si>
    <t>SmartLoad-Dual.BC-16B.NO_FLOW_ALARM_STATUS_M3</t>
  </si>
  <si>
    <t>SmartLoad-Dual.BC-16B.LOW_FLOW_ALARM_STATUS_M3</t>
  </si>
  <si>
    <t>SmartLoad-Dual.BC-16B.HIGH_FLOW_ALARM_STATUS_M3</t>
  </si>
  <si>
    <t>SmartLoad-Dual.BC-16B.UNAUTHORIZE_FLOW_ALARM_STATUS_M3</t>
  </si>
  <si>
    <t>SmartLoad-Dual.BC-16B.METER_OVERRUN_ALARM_STATUS_M3</t>
  </si>
  <si>
    <t>SmartLoad-Dual.BC-16B.BLEND_OVERDOSE_ALARM_STATUS</t>
  </si>
  <si>
    <t>SmartLoad-Dual.BC-16B.BLEND_UNDERDOSE_ALARM_STATUS</t>
  </si>
  <si>
    <t>SmartLoad-Dual.BC-16B.ADDITIVE_OVERDOSE_ALARM_STATUS</t>
  </si>
  <si>
    <t>SmartLoad-Dual.BC-16B.ADDITIVE_UNDERDOSE_ALARM_STATUS</t>
  </si>
  <si>
    <t>SmartLoad-Dual.BC-16B.BATCH_STATUS</t>
  </si>
  <si>
    <t>SmartLoad-Dual.BC-16B.NOMINAL_ARM2_COMP1_KFACTOR_CHANGED</t>
  </si>
  <si>
    <t>SmartLoad-Dual.BC-16B.MFM_BCU_QTY_BEYOND_TOLERANCE_LIMIT_STATUS</t>
  </si>
  <si>
    <t>SmartLoad-Dual.BC-16B.BCU_C3_TOTALIZER_MISMATCH_ALARM</t>
  </si>
  <si>
    <t>LP 33</t>
  </si>
  <si>
    <t>BC-17A</t>
  </si>
  <si>
    <t>SmartLoad-Dual.BC-17A.EARTH_ALARM_STATUS</t>
  </si>
  <si>
    <t>SmartLoad-Dual.BC-17A.NO_FLOW_ALARM_STATUS_M1</t>
  </si>
  <si>
    <t>SmartLoad-Dual.BC-17A.NO_FLOW_ALARM_STATUS_M2</t>
  </si>
  <si>
    <t>SmartLoad-Dual.BC-17A.LOW_FLOW_ALARM_STATUS_M1</t>
  </si>
  <si>
    <t>SmartLoad-Dual.BC-17A.LOW_FLOW_ALARM_STATUS_M2</t>
  </si>
  <si>
    <t>SmartLoad-Dual.BC-17A.HIGH_FLOW_ALARM_STATUS_M1</t>
  </si>
  <si>
    <t>SmartLoad-Dual.BC-17A.HIGH_FLOW_ALARM_STATUS_M2</t>
  </si>
  <si>
    <t>SmartLoad-Dual.BC-17A.UNAUTHORIZE_FLOW_ALARM_STATUS_M1</t>
  </si>
  <si>
    <t>SmartLoad-Dual.BC-17A.METER_OVERRUN_ALARM_STATUS_M1</t>
  </si>
  <si>
    <t>SmartLoad-Dual.BC-17A.BLEND_OVERDOSE_ALARM_STATUS</t>
  </si>
  <si>
    <t>SmartLoad-Dual.BC-17A.BLEND_UNDERDOSE_ALARM_STATUS</t>
  </si>
  <si>
    <t>SmartLoad-Dual.BC-17A.ADDITIVE_OVERDOSE_ALARM_STATUS</t>
  </si>
  <si>
    <t>SmartLoad-Dual.BC-17A.ADDITIVE_UNDERDOSE_ALARM_STATUS</t>
  </si>
  <si>
    <t>SmartLoad-Dual.BC-17A.BATCH_STATUS</t>
  </si>
  <si>
    <t>SmartLoad-Dual.BC-17A.NOMINAL_ARM1_COMP1_KFACTOR_CHANGED</t>
  </si>
  <si>
    <t>SmartLoad-Dual.BC-17A.NOMINAL_ARM1_COMP2_KFACTOR_CHANGED</t>
  </si>
  <si>
    <t>SmartLoad-Dual.BC-17A.MFM_BCU_QTY_BEYOND_TOLERANCE_LIMIT_STATUS</t>
  </si>
  <si>
    <t>SmartLoad-Dual.BC-17A.BCU_C1_TOTALIZER_MISMATCH_ALARM</t>
  </si>
  <si>
    <t>SmartLoad-Dual.BC-17A.BCU_C2_TOTALIZER_MISMATCH_ALARM</t>
  </si>
  <si>
    <t>LP 34</t>
  </si>
  <si>
    <t>BC-17B</t>
  </si>
  <si>
    <t>SmartLoad-Dual.BC-17B.EARTH_ALARM_STATUS</t>
  </si>
  <si>
    <t>SmartLoad-Dual.BC-17B.NO_FLOW_ALARM_STATUS_M3</t>
  </si>
  <si>
    <t>SmartLoad-Dual.BC-17B.LOW_FLOW_ALARM_STATUS_M3</t>
  </si>
  <si>
    <t>SmartLoad-Dual.BC-17B.HIGH_FLOW_ALARM_STATUS_M3</t>
  </si>
  <si>
    <t>SmartLoad-Dual.BC-17B.UNAUTHORIZE_FLOW_ALARM_STATUS_M3</t>
  </si>
  <si>
    <t>SmartLoad-Dual.BC-17B.METER_OVERRUN_ALARM_STATUS_M3</t>
  </si>
  <si>
    <t>SmartLoad-Dual.BC-17B.BLEND_OVERDOSE_ALARM_STATUS</t>
  </si>
  <si>
    <t>SmartLoad-Dual.BC-17B.BLEND_UNDERDOSE_ALARM_STATUS</t>
  </si>
  <si>
    <t>SmartLoad-Dual.BC-17B.ADDITIVE_OVERDOSE_ALARM_STATUS</t>
  </si>
  <si>
    <t>SmartLoad-Dual.BC-17B.ADDITIVE_UNDERDOSE_ALARM_STATUS</t>
  </si>
  <si>
    <t>SmartLoad-Dual.BC-17B.BATCH_STATUS</t>
  </si>
  <si>
    <t>SmartLoad-Dual.BC-17B.NOMINAL_ARM2_COMP1_KFACTOR_CHANGED</t>
  </si>
  <si>
    <t>SmartLoad-Dual.BC-17B.MFM_BCU_QTY_BEYOND_TOLERANCE_LIMIT_STATUS</t>
  </si>
  <si>
    <t>SmartLoad-Dual.BC-17B.BCU_C3_TOTALIZER_MISMATCH_ALARM</t>
  </si>
  <si>
    <t>LP 35</t>
  </si>
  <si>
    <t>BC-18A</t>
  </si>
  <si>
    <t>SmartLoad-Dual.BC-18A.EARTH_ALARM_STATUS</t>
  </si>
  <si>
    <t>SmartLoad-Dual.BC-18A.NO_FLOW_ALARM_STATUS_M1</t>
  </si>
  <si>
    <t>SmartLoad-Dual.BC-18A.NO_FLOW_ALARM_STATUS_M2</t>
  </si>
  <si>
    <t>SmartLoad-Dual.BC-18A.LOW_FLOW_ALARM_STATUS_M1</t>
  </si>
  <si>
    <t>SmartLoad-Dual.BC-18A.LOW_FLOW_ALARM_STATUS_M2</t>
  </si>
  <si>
    <t>SmartLoad-Dual.BC-18A.HIGH_FLOW_ALARM_STATUS_M1</t>
  </si>
  <si>
    <t>SmartLoad-Dual.BC-18A.HIGH_FLOW_ALARM_STATUS_M2</t>
  </si>
  <si>
    <t>SmartLoad-Dual.BC-18A.UNAUTHORIZE_FLOW_ALARM_STATUS_M1</t>
  </si>
  <si>
    <t>SmartLoad-Dual.BC-18A.METER_OVERRUN_ALARM_STATUS_M1</t>
  </si>
  <si>
    <t>SmartLoad-Dual.BC-18A.BLEND_OVERDOSE_ALARM_STATUS</t>
  </si>
  <si>
    <t>SmartLoad-Dual.BC-18A.BLEND_UNDERDOSE_ALARM_STATUS</t>
  </si>
  <si>
    <t>SmartLoad-Dual.BC-18A.ADDITIVE_OVERDOSE_ALARM_STATUS</t>
  </si>
  <si>
    <t>SmartLoad-Dual.BC-18A.ADDITIVE_UNDERDOSE_ALARM_STATUS</t>
  </si>
  <si>
    <t>SmartLoad-Dual.BC-18A.BATCH_STATUS</t>
  </si>
  <si>
    <t>SmartLoad-Dual.BC-18A.NOMINAL_ARM1_COMP1_KFACTOR_CHANGED</t>
  </si>
  <si>
    <t>SmartLoad-Dual.BC-18A.NOMINAL_ARM1_COMP2_KFACTOR_CHANGED</t>
  </si>
  <si>
    <t>SmartLoad-Dual.BC-18A.MFM_BCU_QTY_BEYOND_TOLERANCE_LIMIT_STATUS</t>
  </si>
  <si>
    <t>SmartLoad-Dual.BC-18A.BCU_C1_TOTALIZER_MISMATCH_ALARM</t>
  </si>
  <si>
    <t>SmartLoad-Dual.BC-18A.BCU_C2_TOTALIZER_MISMATCH_ALARM</t>
  </si>
  <si>
    <t>LP 36</t>
  </si>
  <si>
    <t>BC-18B</t>
  </si>
  <si>
    <t>SmartLoad-Dual.BC-18B.EARTH_ALARM_STATUS</t>
  </si>
  <si>
    <t>SmartLoad-Dual.BC-18B.NO_FLOW_ALARM_STATUS_M3</t>
  </si>
  <si>
    <t>SmartLoad-Dual.BC-18B.LOW_FLOW_ALARM_STATUS_M3</t>
  </si>
  <si>
    <t>SmartLoad-Dual.BC-18B.HIGH_FLOW_ALARM_STATUS_M3</t>
  </si>
  <si>
    <t>SmartLoad-Dual.BC-18B.UNAUTHORIZE_FLOW_ALARM_STATUS_M3</t>
  </si>
  <si>
    <t>SmartLoad-Dual.BC-18B.METER_OVERRUN_ALARM_STATUS_M3</t>
  </si>
  <si>
    <t>SmartLoad-Dual.BC-18B.BLEND_OVERDOSE_ALARM_STATUS</t>
  </si>
  <si>
    <t>SmartLoad-Dual.BC-18B.BLEND_UNDERDOSE_ALARM_STATUS</t>
  </si>
  <si>
    <t>SmartLoad-Dual.BC-18B.ADDITIVE_OVERDOSE_ALARM_STATUS</t>
  </si>
  <si>
    <t>SmartLoad-Dual.BC-18B.ADDITIVE_UNDERDOSE_ALARM_STATUS</t>
  </si>
  <si>
    <t>SmartLoad-Dual.BC-18B.BATCH_STATUS</t>
  </si>
  <si>
    <t>SmartLoad-Dual.BC-18B.NOMINAL_ARM2_COMP1_KFACTOR_CHANGED</t>
  </si>
  <si>
    <t>SmartLoad-Dual.BC-18B.MFM_BCU_QTY_BEYOND_TOLERANCE_LIMIT_STATUS</t>
  </si>
  <si>
    <t>SmartLoad-Dual.BC-18B.BCU_C3_TOTALIZER_MISMATCH_ALARM</t>
  </si>
  <si>
    <t>LP 37</t>
  </si>
  <si>
    <t>BC-19A</t>
  </si>
  <si>
    <t>SmartLoad-Dual.BC-19A.EARTH_ALARM_STATUS</t>
  </si>
  <si>
    <t>SmartLoad-Dual.BC-19A.NO_FLOW_ALARM_STATUS_M1</t>
  </si>
  <si>
    <t>SmartLoad-Dual.BC-19A.NO_FLOW_ALARM_STATUS_M2</t>
  </si>
  <si>
    <t>SmartLoad-Dual.BC-19A.LOW_FLOW_ALARM_STATUS_M1</t>
  </si>
  <si>
    <t>SmartLoad-Dual.BC-19A.LOW_FLOW_ALARM_STATUS_M2</t>
  </si>
  <si>
    <t>SmartLoad-Dual.BC-19A.HIGH_FLOW_ALARM_STATUS_M1</t>
  </si>
  <si>
    <t>SmartLoad-Dual.BC-19A.HIGH_FLOW_ALARM_STATUS_M2</t>
  </si>
  <si>
    <t>SmartLoad-Dual.BC-19A.UNAUTHORIZE_FLOW_ALARM_STATUS_M1</t>
  </si>
  <si>
    <t>SmartLoad-Dual.BC-19A.METER_OVERRUN_ALARM_STATUS_M1</t>
  </si>
  <si>
    <t>SmartLoad-Dual.BC-19A.BLEND_OVERDOSE_ALARM_STATUS</t>
  </si>
  <si>
    <t>SmartLoad-Dual.BC-19A.BLEND_UNDERDOSE_ALARM_STATUS</t>
  </si>
  <si>
    <t>SmartLoad-Dual.BC-19A.ADDITIVE_OVERDOSE_ALARM_STATUS</t>
  </si>
  <si>
    <t>SmartLoad-Dual.BC-19A.ADDITIVE_UNDERDOSE_ALARM_STATUS</t>
  </si>
  <si>
    <t>SmartLoad-Dual.BC-19A.BATCH_STATUS</t>
  </si>
  <si>
    <t>SmartLoad-Dual.BC-19A.NOMINAL_ARM1_COMP1_KFACTOR_CHANGED</t>
  </si>
  <si>
    <t>SmartLoad-Dual.BC-19A.NOMINAL_ARM1_COMP2_KFACTOR_CHANGED</t>
  </si>
  <si>
    <t>SmartLoad-Dual.BC-19A.MFM_BCU_QTY_BEYOND_TOLERANCE_LIMIT_STATUS</t>
  </si>
  <si>
    <t>SmartLoad-Dual.BC-19A.BCU_C1_TOTALIZER_MISMATCH_ALARM</t>
  </si>
  <si>
    <t>SmartLoad-Dual.BC-19A.BCU_C2_TOTALIZER_MISMATCH_ALARM</t>
  </si>
  <si>
    <t>LP 38</t>
  </si>
  <si>
    <t>BC-19B</t>
  </si>
  <si>
    <t>SmartLoad-Dual.BC-19B.EARTH_ALARM_STATUS</t>
  </si>
  <si>
    <t>SmartLoad-Dual.BC-19B.NO_FLOW_ALARM_STATUS_M3</t>
  </si>
  <si>
    <t>SmartLoad-Dual.BC-19B.LOW_FLOW_ALARM_STATUS_M3</t>
  </si>
  <si>
    <t>SmartLoad-Dual.BC-19B.HIGH_FLOW_ALARM_STATUS_M3</t>
  </si>
  <si>
    <t>SmartLoad-Dual.BC-19B.UNAUTHORIZE_FLOW_ALARM_STATUS_M3</t>
  </si>
  <si>
    <t>SmartLoad-Dual.BC-19B.METER_OVERRUN_ALARM_STATUS_M3</t>
  </si>
  <si>
    <t>SmartLoad-Dual.BC-19B.BLEND_OVERDOSE_ALARM_STATUS</t>
  </si>
  <si>
    <t>SmartLoad-Dual.BC-19B.BLEND_UNDERDOSE_ALARM_STATUS</t>
  </si>
  <si>
    <t>SmartLoad-Dual.BC-19B.ADDITIVE_OVERDOSE_ALARM_STATUS</t>
  </si>
  <si>
    <t>SmartLoad-Dual.BC-19B.ADDITIVE_UNDERDOSE_ALARM_STATUS</t>
  </si>
  <si>
    <t>SmartLoad-Dual.BC-19B.BATCH_STATUS</t>
  </si>
  <si>
    <t>SmartLoad-Dual.BC-19B.NOMINAL_ARM2_COMP1_KFACTOR_CHANGED</t>
  </si>
  <si>
    <t>SmartLoad-Dual.BC-19B.MFM_BCU_QTY_BEYOND_TOLERANCE_LIMIT_STATUS</t>
  </si>
  <si>
    <t>SmartLoad-Dual.BC-19B.BCU_C3_TOTALIZER_MISMATCH_ALARM</t>
  </si>
  <si>
    <t>LP 39</t>
  </si>
  <si>
    <t>BC-20A</t>
  </si>
  <si>
    <t>SmartLoad-Dual.BC-20A.EARTH_ALARM_STATUS</t>
  </si>
  <si>
    <t>SmartLoad-Dual.BC-20A.NO_FLOW_ALARM_STATUS_M1</t>
  </si>
  <si>
    <t>SmartLoad-Dual.BC-20A.NO_FLOW_ALARM_STATUS_M2</t>
  </si>
  <si>
    <t>SmartLoad-Dual.BC-20A.LOW_FLOW_ALARM_STATUS_M1</t>
  </si>
  <si>
    <t>SmartLoad-Dual.BC-20A.LOW_FLOW_ALARM_STATUS_M2</t>
  </si>
  <si>
    <t>SmartLoad-Dual.BC-20A.HIGH_FLOW_ALARM_STATUS_M1</t>
  </si>
  <si>
    <t>SmartLoad-Dual.BC-20A.HIGH_FLOW_ALARM_STATUS_M2</t>
  </si>
  <si>
    <t>SmartLoad-Dual.BC-20A.UNAUTHORIZE_FLOW_ALARM_STATUS_M1</t>
  </si>
  <si>
    <t>SmartLoad-Dual.BC-20A.METER_OVERRUN_ALARM_STATUS_M1</t>
  </si>
  <si>
    <t>SmartLoad-Dual.BC-20A.BLEND_OVERDOSE_ALARM_STATUS</t>
  </si>
  <si>
    <t>SmartLoad-Dual.BC-20A.BLEND_UNDERDOSE_ALARM_STATUS</t>
  </si>
  <si>
    <t>SmartLoad-Dual.BC-20A.ADDITIVE_OVERDOSE_ALARM_STATUS</t>
  </si>
  <si>
    <t>SmartLoad-Dual.BC-20A.ADDITIVE_UNDERDOSE_ALARM_STATUS</t>
  </si>
  <si>
    <t>SmartLoad-Dual.BC-20A.BATCH_STATUS</t>
  </si>
  <si>
    <t>SmartLoad-Dual.BC-20A.NOMINAL_ARM1_COMP1_KFACTOR_CHANGED</t>
  </si>
  <si>
    <t>SmartLoad-Dual.BC-20A.NOMINAL_ARM1_COMP2_KFACTOR_CHANGED</t>
  </si>
  <si>
    <t>SmartLoad-Dual.BC-20A.MFM_BCU_QTY_BEYOND_TOLERANCE_LIMIT_STATUS</t>
  </si>
  <si>
    <t>SmartLoad-Dual.BC-20A.BCU_C1_TOTALIZER_MISMATCH_ALARM</t>
  </si>
  <si>
    <t>SmartLoad-Dual.BC-20A.BCU_C2_TOTALIZER_MISMATCH_ALARM</t>
  </si>
  <si>
    <t>LP 40</t>
  </si>
  <si>
    <t>BC-20B</t>
  </si>
  <si>
    <t>SmartLoad-Dual.BC-20B.EARTH_ALARM_STATUS</t>
  </si>
  <si>
    <t>SmartLoad-Dual.BC-20B.NO_FLOW_ALARM_STATUS_M3</t>
  </si>
  <si>
    <t>SmartLoad-Dual.BC-20B.LOW_FLOW_ALARM_STATUS_M3</t>
  </si>
  <si>
    <t>SmartLoad-Dual.BC-20B.HIGH_FLOW_ALARM_STATUS_M3</t>
  </si>
  <si>
    <t>SmartLoad-Dual.BC-20B.UNAUTHORIZE_FLOW_ALARM_STATUS_M3</t>
  </si>
  <si>
    <t>SmartLoad-Dual.BC-20B.METER_OVERRUN_ALARM_STATUS_M3</t>
  </si>
  <si>
    <t>SmartLoad-Dual.BC-20B.BLEND_OVERDOSE_ALARM_STATUS</t>
  </si>
  <si>
    <t>SmartLoad-Dual.BC-20B.BLEND_UNDERDOSE_ALARM_STATUS</t>
  </si>
  <si>
    <t>SmartLoad-Dual.BC-20B.ADDITIVE_OVERDOSE_ALARM_STATUS</t>
  </si>
  <si>
    <t>SmartLoad-Dual.BC-20B.ADDITIVE_UNDERDOSE_ALARM_STATUS</t>
  </si>
  <si>
    <t>SmartLoad-Dual.BC-20B.BATCH_STATUS</t>
  </si>
  <si>
    <t>SmartLoad-Dual.BC-20B.NOMINAL_ARM2_COMP1_KFACTOR_CHANGED</t>
  </si>
  <si>
    <t>SmartLoad-Dual.BC-20B.MFM_BCU_QTY_BEYOND_TOLERANCE_LIMIT_STATUS</t>
  </si>
  <si>
    <t>SmartLoad-Dual.BC-20B.BCU_C3_TOTALIZER_MISMATCH_ALARM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</si>
  <si>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</si>
  <si>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</si>
  <si>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</si>
  <si>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</si>
  <si>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</si>
  <si>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</si>
  <si>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</si>
  <si>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</si>
  <si>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</si>
  <si>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</si>
  <si>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</si>
  <si>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</si>
  <si>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</si>
  <si>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</si>
  <si>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PLC.SFTPLC.CAUSE_ANY_FWP_IS_RUNNING</t>
  </si>
  <si>
    <t>WATER Level below Ref. Volume</t>
  </si>
  <si>
    <t>PLC.SFTPLC.WATERTK_VOL_BELOW_REF_VOL</t>
  </si>
  <si>
    <t>Main Fire Engines not in REMOTE</t>
  </si>
  <si>
    <t>PLC.SFTPLC.CAUSE_ANY_MAIN_FWP_IN_REMOTE_MANUAL</t>
  </si>
  <si>
    <t>Gantry Permissive Off</t>
  </si>
  <si>
    <t>Air Compressor ID</t>
  </si>
  <si>
    <t>AIR COMPRESSOR FAULT STATUS</t>
  </si>
  <si>
    <t>LRC ID</t>
  </si>
  <si>
    <t>LRC SWITCHOVER 30 DAYS STATUS</t>
  </si>
  <si>
    <t>LRC Switch Over</t>
  </si>
  <si>
    <t>CLIENT.LRCVASHI1.HSB_COMMS_FAIL</t>
  </si>
  <si>
    <t>OI ID</t>
  </si>
  <si>
    <t>Fire Engine1</t>
  </si>
  <si>
    <t>Fire Engine2</t>
  </si>
  <si>
    <t>Fire Engine3</t>
  </si>
  <si>
    <t>Fire Engine4</t>
  </si>
  <si>
    <t>Fire Engine5</t>
  </si>
  <si>
    <t>Fire Engine6</t>
  </si>
  <si>
    <t>Fire Engine7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</si>
  <si>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</si>
  <si>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</si>
  <si>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</si>
  <si>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</si>
  <si>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</si>
  <si>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</si>
  <si>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</si>
  <si>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</si>
  <si>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</si>
  <si>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</si>
  <si>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PressureTransmitter.PT-01.PRESSURE</t>
  </si>
  <si>
    <t>PressureTransmitter.PT-02.PRESSURE</t>
  </si>
  <si>
    <t>PLC.TASPLC.TOV_ON_SCREEN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</si>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</sst>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7F7E7"/>
        <bgColor rgb="FFF7F7E7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/>
      <right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0" fontId="3" numFmtId="0" xfId="0" applyAlignment="1" applyBorder="1" applyFont="1">
      <alignment shrinkToFit="0" vertical="top" wrapText="1"/>
    </xf>
    <xf borderId="1" fillId="3" fontId="1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readingOrder="0" shrinkToFit="0" vertical="top" wrapText="1"/>
    </xf>
    <xf borderId="1" fillId="3" fontId="3" numFmtId="0" xfId="0" applyAlignment="1" applyBorder="1" applyFont="1">
      <alignment horizontal="center" readingOrder="0" shrinkToFit="0" vertical="bottom" wrapText="1"/>
    </xf>
    <xf borderId="1" fillId="3" fontId="3" numFmtId="0" xfId="0" applyAlignment="1" applyBorder="1" applyFont="1">
      <alignment horizontal="center" shrinkToFit="0" vertical="bottom" wrapText="1"/>
    </xf>
    <xf borderId="1" fillId="4" fontId="3" numFmtId="0" xfId="0" applyAlignment="1" applyBorder="1" applyFill="1" applyFont="1">
      <alignment readingOrder="0" shrinkToFit="0" vertical="top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5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left" vertical="center"/>
    </xf>
    <xf borderId="1" fillId="0" fontId="4" numFmtId="0" xfId="0" applyAlignment="1" applyBorder="1" applyFont="1">
      <alignment vertical="top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top" wrapText="1"/>
    </xf>
    <xf borderId="1" fillId="3" fontId="4" numFmtId="0" xfId="0" applyAlignment="1" applyBorder="1" applyFont="1">
      <alignment readingOrder="0" vertical="top"/>
    </xf>
    <xf borderId="2" fillId="0" fontId="4" numFmtId="0" xfId="0" applyAlignment="1" applyBorder="1" applyFont="1">
      <alignment shrinkToFit="0" vertical="top" wrapText="1"/>
    </xf>
    <xf borderId="3" fillId="3" fontId="4" numFmtId="0" xfId="0" applyAlignment="1" applyBorder="1" applyFont="1">
      <alignment readingOrder="0" vertical="top"/>
    </xf>
    <xf borderId="1" fillId="3" fontId="4" numFmtId="0" xfId="0" applyAlignment="1" applyBorder="1" applyFont="1">
      <alignment vertical="top"/>
    </xf>
    <xf borderId="2" fillId="0" fontId="4" numFmtId="0" xfId="0" applyAlignment="1" applyBorder="1" applyFont="1">
      <alignment vertical="top"/>
    </xf>
    <xf borderId="1" fillId="5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vertical="top"/>
    </xf>
    <xf borderId="4" fillId="0" fontId="4" numFmtId="0" xfId="0" applyAlignment="1" applyBorder="1" applyFont="1">
      <alignment vertical="top"/>
    </xf>
    <xf borderId="5" fillId="3" fontId="4" numFmtId="0" xfId="0" applyAlignment="1" applyBorder="1" applyFont="1">
      <alignment vertical="top"/>
    </xf>
    <xf borderId="1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vertical="bottom"/>
    </xf>
    <xf borderId="1" fillId="3" fontId="4" numFmtId="0" xfId="0" applyAlignment="1" applyBorder="1" applyFont="1">
      <alignment horizontal="center" vertical="top"/>
    </xf>
    <xf borderId="0" fillId="0" fontId="2" numFmtId="0" xfId="0" applyFont="1"/>
    <xf borderId="6" fillId="3" fontId="2" numFmtId="0" xfId="0" applyBorder="1" applyFont="1"/>
    <xf borderId="0" fillId="0" fontId="4" numFmtId="0" xfId="0" applyFont="1"/>
    <xf borderId="0" fillId="0" fontId="4" numFmtId="0" xfId="0" applyAlignment="1" applyFont="1">
      <alignment vertical="bottom"/>
    </xf>
    <xf borderId="7" fillId="3" fontId="2" numFmtId="0" xfId="0" applyBorder="1" applyFont="1"/>
    <xf borderId="0" fillId="0" fontId="4" numFmtId="0" xfId="0" applyFont="1"/>
    <xf borderId="0" fillId="0" fontId="4" numFmtId="0" xfId="0" applyAlignment="1" applyFont="1">
      <alignment vertical="bottom"/>
    </xf>
    <xf borderId="0" fillId="3" fontId="2" numFmtId="0" xfId="0" applyFont="1"/>
    <xf borderId="1" fillId="2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vertical="bottom"/>
    </xf>
    <xf borderId="0" fillId="0" fontId="7" numFmtId="0" xfId="0" applyFont="1"/>
    <xf borderId="0" fillId="0" fontId="7" numFmtId="0" xfId="0" applyAlignment="1" applyFont="1">
      <alignment readingOrder="0"/>
    </xf>
    <xf borderId="4" fillId="0" fontId="4" numFmtId="0" xfId="0" applyAlignment="1" applyBorder="1" applyFont="1">
      <alignment shrinkToFit="0" vertical="bottom" wrapText="1"/>
    </xf>
    <xf borderId="0" fillId="0" fontId="4" numFmtId="0" xfId="0" applyAlignment="1" applyFont="1">
      <alignment vertical="top"/>
    </xf>
    <xf borderId="0" fillId="0" fontId="4" numFmtId="0" xfId="0" applyAlignment="1" applyFont="1">
      <alignment horizontal="center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bottom" wrapText="1"/>
    </xf>
    <xf borderId="1" fillId="0" fontId="4" numFmtId="0" xfId="0" applyBorder="1" applyFont="1"/>
    <xf borderId="1" fillId="0" fontId="4" numFmtId="0" xfId="0" applyAlignment="1" applyBorder="1" applyFont="1">
      <alignment horizontal="center" readingOrder="0"/>
    </xf>
    <xf borderId="1" fillId="0" fontId="4" numFmtId="0" xfId="0" applyBorder="1" applyFont="1"/>
    <xf borderId="1" fillId="0" fontId="7" numFmtId="0" xfId="0" applyBorder="1" applyFont="1"/>
    <xf borderId="1" fillId="0" fontId="4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1" fillId="6" fontId="2" numFmtId="0" xfId="0" applyAlignment="1" applyBorder="1" applyFill="1" applyFont="1">
      <alignment horizontal="center"/>
    </xf>
    <xf borderId="8" fillId="0" fontId="4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horizontal="center"/>
    </xf>
    <xf borderId="9" fillId="0" fontId="4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/>
    </xf>
    <xf borderId="1" fillId="3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vertical="bottom"/>
    </xf>
    <xf borderId="10" fillId="5" fontId="4" numFmtId="0" xfId="0" applyAlignment="1" applyBorder="1" applyFont="1">
      <alignment shrinkToFit="0" vertical="bottom" wrapText="1"/>
    </xf>
    <xf borderId="1" fillId="5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/>
    </xf>
    <xf borderId="1" fillId="3" fontId="5" numFmtId="0" xfId="0" applyAlignment="1" applyBorder="1" applyFont="1">
      <alignment horizontal="left" vertical="center"/>
    </xf>
    <xf borderId="10" fillId="5" fontId="4" numFmtId="0" xfId="0" applyAlignment="1" applyBorder="1" applyFont="1">
      <alignment shrinkToFit="0" vertical="bottom" wrapText="1"/>
    </xf>
    <xf borderId="1" fillId="7" fontId="9" numFmtId="0" xfId="0" applyBorder="1" applyFill="1" applyFont="1"/>
    <xf borderId="1" fillId="2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vertical="bottom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11" fillId="0" fontId="4" numFmtId="0" xfId="0" applyBorder="1" applyFont="1"/>
    <xf borderId="0" fillId="0" fontId="7" numFmtId="0" xfId="0" applyAlignment="1" applyFont="1">
      <alignment horizontal="center"/>
    </xf>
    <xf borderId="1" fillId="0" fontId="10" numFmtId="0" xfId="0" applyAlignment="1" applyBorder="1" applyFont="1">
      <alignment horizontal="center" vertical="top"/>
    </xf>
    <xf borderId="1" fillId="0" fontId="10" numFmtId="0" xfId="0" applyAlignment="1" applyBorder="1" applyFont="1">
      <alignment horizontal="left" vertical="top"/>
    </xf>
    <xf borderId="12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left" vertical="center"/>
    </xf>
    <xf borderId="0" fillId="0" fontId="1" numFmtId="0" xfId="0" applyFont="1"/>
    <xf borderId="1" fillId="0" fontId="2" numFmtId="0" xfId="0" applyAlignment="1" applyBorder="1" applyFont="1">
      <alignment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8.63"/>
    <col customWidth="1" min="2" max="2" width="10.5"/>
    <col customWidth="1" min="3" max="3" width="18.38"/>
    <col customWidth="1" min="4" max="4" width="9.38"/>
    <col customWidth="1" min="5" max="5" width="11.5"/>
    <col customWidth="1" min="6" max="6" width="9.75"/>
    <col customWidth="1" min="7" max="7" width="33.88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4.0"/>
    <col customWidth="1" min="16" max="16" width="14.0"/>
    <col customWidth="1" min="17" max="17" width="20.0"/>
    <col customWidth="1" min="18" max="18" width="14.0"/>
    <col customWidth="1" min="19" max="19" width="11.5"/>
    <col customWidth="1" min="20" max="20" width="13.88"/>
    <col customWidth="1" min="21" max="21" width="24.63"/>
    <col customWidth="1" min="22" max="22" width="14.0"/>
    <col customWidth="1" min="23" max="23" width="11.5"/>
    <col customWidth="1" min="24" max="24" width="13.88"/>
    <col customWidth="1" min="25" max="25" width="35.63"/>
    <col customWidth="1" min="26" max="26" width="14.0"/>
    <col customWidth="1" min="27" max="27" width="11.5"/>
    <col customWidth="1" min="28" max="28" width="13.88"/>
    <col customWidth="1" min="29" max="29" width="25.25"/>
    <col customWidth="1" min="30" max="30" width="14.0"/>
    <col customWidth="1" min="31" max="31" width="11.5"/>
    <col customWidth="1" min="32" max="32" width="13.88"/>
    <col customWidth="1" min="33" max="33" width="28.63"/>
    <col customWidth="1" min="34" max="34" width="14.0"/>
    <col customWidth="1" min="35" max="35" width="11.5"/>
    <col customWidth="1" min="36" max="36" width="13.88"/>
    <col customWidth="1" min="37" max="37" width="36.5"/>
    <col customWidth="1" min="38" max="38" width="14.0"/>
    <col customWidth="1" min="39" max="39" width="11.5"/>
    <col customWidth="1" min="40" max="40" width="13.88"/>
    <col customWidth="1" min="41" max="41" width="18.88"/>
    <col customWidth="1" min="42" max="42" width="14.0"/>
    <col customWidth="1" min="43" max="43" width="11.5"/>
    <col customWidth="1" min="44" max="44" width="13.88"/>
    <col customWidth="1" min="45" max="45" width="22.25"/>
    <col customWidth="1" min="46" max="46" width="14.0"/>
    <col customWidth="1" min="47" max="47" width="11.5"/>
    <col customWidth="1" min="48" max="48" width="13.88"/>
    <col customWidth="1" min="49" max="49" width="24.5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3.88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14.0"/>
    <col customWidth="1" min="63" max="63" width="11.5"/>
    <col customWidth="1" min="64" max="64" width="13.88"/>
    <col customWidth="1" min="65" max="65" width="24.38"/>
    <col customWidth="1" min="66" max="66" width="14.0"/>
    <col customWidth="1" min="67" max="67" width="11.5"/>
    <col customWidth="1" min="68" max="68" width="13.88"/>
    <col customWidth="1" min="69" max="69" width="22.5"/>
    <col customWidth="1" min="70" max="70" width="14.0"/>
    <col customWidth="1" min="71" max="71" width="11.5"/>
    <col customWidth="1" min="72" max="72" width="13.88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1" width="17.0"/>
    <col customWidth="1" min="82" max="82" width="14.0"/>
    <col customWidth="1" min="83" max="83" width="11.5"/>
    <col customWidth="1" min="84" max="88" width="13.88"/>
    <col customWidth="1" min="89" max="89" width="17.0"/>
    <col customWidth="1" min="90" max="90" width="14.0"/>
    <col customWidth="1" min="91" max="91" width="11.5"/>
    <col customWidth="1" min="92" max="92" width="13.88"/>
    <col customWidth="1" min="93" max="93" width="24.5"/>
    <col customWidth="1" min="94" max="96" width="13.88"/>
    <col customWidth="1" min="97" max="97" width="17.0"/>
    <col customWidth="1" min="98" max="98" width="14.0"/>
    <col customWidth="1" min="99" max="99" width="11.5"/>
    <col customWidth="1" min="100" max="104" width="13.88"/>
    <col customWidth="1" min="105" max="105" width="13.63"/>
    <col customWidth="1" min="106" max="112" width="13.88"/>
    <col customWidth="1" min="113" max="113" width="18.13"/>
    <col customWidth="1" min="114" max="114" width="14.0"/>
    <col customWidth="1" min="115" max="115" width="11.5"/>
    <col customWidth="1" min="116" max="120" width="13.88"/>
    <col customWidth="1" min="121" max="121" width="21.75"/>
    <col customWidth="1" min="122" max="122" width="14.0"/>
    <col customWidth="1" min="123" max="123" width="11.5"/>
    <col customWidth="1" min="124" max="124" width="13.88"/>
    <col customWidth="1" min="125" max="125" width="23.13"/>
    <col customWidth="1" min="126" max="126" width="14.0"/>
    <col customWidth="1" min="127" max="127" width="11.5"/>
    <col customWidth="1" min="128" max="128" width="13.88"/>
  </cols>
  <sheetData>
    <row r="1" ht="6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7</v>
      </c>
      <c r="O1" s="3" t="s">
        <v>12</v>
      </c>
      <c r="P1" s="4" t="s">
        <v>7</v>
      </c>
      <c r="Q1" s="2" t="s">
        <v>13</v>
      </c>
      <c r="R1" s="2" t="s">
        <v>14</v>
      </c>
      <c r="S1" s="2" t="s">
        <v>9</v>
      </c>
      <c r="T1" s="2" t="s">
        <v>10</v>
      </c>
      <c r="U1" s="2" t="s">
        <v>15</v>
      </c>
      <c r="V1" s="2" t="s">
        <v>14</v>
      </c>
      <c r="W1" s="2" t="s">
        <v>9</v>
      </c>
      <c r="X1" s="2" t="s">
        <v>10</v>
      </c>
      <c r="Y1" s="2" t="s">
        <v>16</v>
      </c>
      <c r="Z1" s="2" t="s">
        <v>14</v>
      </c>
      <c r="AA1" s="2" t="s">
        <v>9</v>
      </c>
      <c r="AB1" s="2" t="s">
        <v>10</v>
      </c>
      <c r="AC1" s="2" t="s">
        <v>17</v>
      </c>
      <c r="AD1" s="2" t="s">
        <v>14</v>
      </c>
      <c r="AE1" s="2" t="s">
        <v>9</v>
      </c>
      <c r="AF1" s="2" t="s">
        <v>10</v>
      </c>
      <c r="AG1" s="2" t="s">
        <v>18</v>
      </c>
      <c r="AH1" s="2" t="s">
        <v>14</v>
      </c>
      <c r="AI1" s="2" t="s">
        <v>9</v>
      </c>
      <c r="AJ1" s="2" t="s">
        <v>10</v>
      </c>
      <c r="AK1" s="2" t="s">
        <v>19</v>
      </c>
      <c r="AL1" s="2" t="s">
        <v>14</v>
      </c>
      <c r="AM1" s="2" t="s">
        <v>9</v>
      </c>
      <c r="AN1" s="2" t="s">
        <v>10</v>
      </c>
      <c r="AO1" s="2" t="s">
        <v>20</v>
      </c>
      <c r="AP1" s="2" t="s">
        <v>14</v>
      </c>
      <c r="AQ1" s="2" t="s">
        <v>9</v>
      </c>
      <c r="AR1" s="2" t="s">
        <v>10</v>
      </c>
      <c r="AS1" s="2" t="s">
        <v>21</v>
      </c>
      <c r="AT1" s="2" t="s">
        <v>14</v>
      </c>
      <c r="AU1" s="2" t="s">
        <v>9</v>
      </c>
      <c r="AV1" s="2" t="s">
        <v>10</v>
      </c>
      <c r="AW1" s="2" t="s">
        <v>22</v>
      </c>
      <c r="AX1" s="2" t="s">
        <v>7</v>
      </c>
      <c r="AY1" s="2" t="s">
        <v>9</v>
      </c>
      <c r="AZ1" s="2" t="s">
        <v>10</v>
      </c>
      <c r="BA1" s="2" t="s">
        <v>23</v>
      </c>
      <c r="BB1" s="2" t="s">
        <v>14</v>
      </c>
      <c r="BC1" s="2" t="s">
        <v>9</v>
      </c>
      <c r="BD1" s="2" t="s">
        <v>10</v>
      </c>
      <c r="BE1" s="2" t="s">
        <v>24</v>
      </c>
      <c r="BF1" s="2" t="s">
        <v>7</v>
      </c>
      <c r="BG1" s="2" t="s">
        <v>9</v>
      </c>
      <c r="BH1" s="2" t="s">
        <v>10</v>
      </c>
      <c r="BI1" s="2" t="s">
        <v>25</v>
      </c>
      <c r="BJ1" s="2" t="s">
        <v>7</v>
      </c>
      <c r="BK1" s="2" t="s">
        <v>9</v>
      </c>
      <c r="BL1" s="2" t="s">
        <v>10</v>
      </c>
      <c r="BM1" s="2" t="s">
        <v>26</v>
      </c>
      <c r="BN1" s="2" t="s">
        <v>7</v>
      </c>
      <c r="BO1" s="2" t="s">
        <v>9</v>
      </c>
      <c r="BP1" s="2" t="s">
        <v>10</v>
      </c>
      <c r="BQ1" s="2" t="s">
        <v>27</v>
      </c>
      <c r="BR1" s="2" t="s">
        <v>7</v>
      </c>
      <c r="BS1" s="2" t="s">
        <v>9</v>
      </c>
      <c r="BT1" s="2" t="s">
        <v>10</v>
      </c>
      <c r="BU1" s="2" t="s">
        <v>28</v>
      </c>
      <c r="BV1" s="2" t="s">
        <v>7</v>
      </c>
      <c r="BW1" s="2" t="s">
        <v>9</v>
      </c>
      <c r="BX1" s="2" t="s">
        <v>10</v>
      </c>
      <c r="BY1" s="2" t="s">
        <v>29</v>
      </c>
      <c r="BZ1" s="2" t="s">
        <v>7</v>
      </c>
      <c r="CA1" s="2" t="s">
        <v>9</v>
      </c>
      <c r="CB1" s="2" t="s">
        <v>10</v>
      </c>
      <c r="CC1" s="2" t="s">
        <v>30</v>
      </c>
      <c r="CD1" s="2" t="s">
        <v>14</v>
      </c>
      <c r="CE1" s="2" t="s">
        <v>9</v>
      </c>
      <c r="CF1" s="2" t="s">
        <v>10</v>
      </c>
      <c r="CG1" s="5" t="s">
        <v>31</v>
      </c>
      <c r="CH1" s="2" t="s">
        <v>14</v>
      </c>
      <c r="CI1" s="2" t="s">
        <v>9</v>
      </c>
      <c r="CJ1" s="2" t="s">
        <v>10</v>
      </c>
      <c r="CK1" s="2" t="s">
        <v>32</v>
      </c>
      <c r="CL1" s="2" t="s">
        <v>14</v>
      </c>
      <c r="CM1" s="2" t="s">
        <v>9</v>
      </c>
      <c r="CN1" s="2" t="s">
        <v>10</v>
      </c>
      <c r="CO1" s="6" t="s">
        <v>33</v>
      </c>
      <c r="CP1" s="2" t="s">
        <v>14</v>
      </c>
      <c r="CQ1" s="2" t="s">
        <v>9</v>
      </c>
      <c r="CR1" s="2" t="s">
        <v>10</v>
      </c>
      <c r="CS1" s="2" t="s">
        <v>34</v>
      </c>
      <c r="CT1" s="2" t="s">
        <v>14</v>
      </c>
      <c r="CU1" s="2" t="s">
        <v>9</v>
      </c>
      <c r="CV1" s="2" t="s">
        <v>10</v>
      </c>
      <c r="CW1" s="7" t="s">
        <v>35</v>
      </c>
      <c r="CX1" s="2" t="s">
        <v>14</v>
      </c>
      <c r="CY1" s="2" t="s">
        <v>9</v>
      </c>
      <c r="CZ1" s="2" t="s">
        <v>10</v>
      </c>
      <c r="DA1" s="8" t="s">
        <v>36</v>
      </c>
      <c r="DB1" s="9" t="s">
        <v>14</v>
      </c>
      <c r="DC1" s="9" t="s">
        <v>9</v>
      </c>
      <c r="DD1" s="9" t="s">
        <v>10</v>
      </c>
      <c r="DE1" s="7" t="s">
        <v>37</v>
      </c>
      <c r="DF1" s="9" t="s">
        <v>14</v>
      </c>
      <c r="DG1" s="9" t="s">
        <v>9</v>
      </c>
      <c r="DH1" s="9" t="s">
        <v>10</v>
      </c>
      <c r="DI1" s="2" t="s">
        <v>38</v>
      </c>
      <c r="DJ1" s="2" t="s">
        <v>14</v>
      </c>
      <c r="DK1" s="2" t="s">
        <v>9</v>
      </c>
      <c r="DL1" s="2" t="s">
        <v>10</v>
      </c>
      <c r="DM1" s="10" t="s">
        <v>39</v>
      </c>
      <c r="DN1" s="2" t="s">
        <v>14</v>
      </c>
      <c r="DO1" s="2" t="s">
        <v>9</v>
      </c>
      <c r="DP1" s="2" t="s">
        <v>10</v>
      </c>
      <c r="DQ1" s="2" t="s">
        <v>40</v>
      </c>
      <c r="DR1" s="2" t="s">
        <v>14</v>
      </c>
      <c r="DS1" s="2" t="s">
        <v>9</v>
      </c>
      <c r="DT1" s="2" t="s">
        <v>10</v>
      </c>
      <c r="DU1" s="2" t="s">
        <v>41</v>
      </c>
      <c r="DV1" s="2" t="s">
        <v>14</v>
      </c>
      <c r="DW1" s="2" t="s">
        <v>9</v>
      </c>
      <c r="DX1" s="2" t="s">
        <v>10</v>
      </c>
    </row>
    <row r="2" ht="15.75" customHeight="1">
      <c r="A2" s="11">
        <v>1588.0</v>
      </c>
      <c r="B2" s="11" t="s">
        <v>42</v>
      </c>
      <c r="C2" s="12" t="str">
        <f t="shared" ref="C2:C25" si="1">CONCATENATE(D2,"_",F2)</f>
        <v>TK-101_ETHANOL</v>
      </c>
      <c r="D2" s="13" t="s">
        <v>43</v>
      </c>
      <c r="E2" s="14" t="s">
        <v>44</v>
      </c>
      <c r="F2" s="13" t="s">
        <v>45</v>
      </c>
      <c r="G2" s="15" t="s">
        <v>46</v>
      </c>
      <c r="H2" s="11">
        <v>0.0</v>
      </c>
      <c r="I2" s="16" t="s">
        <v>47</v>
      </c>
      <c r="J2" s="12"/>
      <c r="K2" s="17" t="str">
        <f t="shared" ref="K2:K25" si="2">MID(I2,6,6)</f>
        <v>TK-101</v>
      </c>
      <c r="L2" s="18" t="s">
        <v>48</v>
      </c>
      <c r="M2" s="12"/>
      <c r="N2" s="12"/>
      <c r="O2" s="16" t="s">
        <v>49</v>
      </c>
      <c r="P2" s="19">
        <v>0.0</v>
      </c>
      <c r="Q2" s="16" t="s">
        <v>50</v>
      </c>
      <c r="R2" s="19">
        <v>0.0</v>
      </c>
      <c r="S2" s="17" t="str">
        <f t="shared" ref="S2:S16" si="3">MID(Q2,6,6)</f>
        <v>TK-101</v>
      </c>
      <c r="T2" s="18" t="s">
        <v>48</v>
      </c>
      <c r="U2" s="16" t="s">
        <v>51</v>
      </c>
      <c r="V2" s="19">
        <v>0.0</v>
      </c>
      <c r="W2" s="17" t="str">
        <f t="shared" ref="W2:W16" si="4">MID(U2,6,6)</f>
        <v>TK-101</v>
      </c>
      <c r="X2" s="18" t="s">
        <v>48</v>
      </c>
      <c r="Y2" s="16" t="s">
        <v>52</v>
      </c>
      <c r="Z2" s="19">
        <v>0.0</v>
      </c>
      <c r="AA2" s="20" t="str">
        <f t="shared" ref="AA2:AA25" si="5">MID(Y2,13,9)</f>
        <v>VIB TK101</v>
      </c>
      <c r="AB2" s="21" t="s">
        <v>53</v>
      </c>
      <c r="AC2" s="16" t="s">
        <v>54</v>
      </c>
      <c r="AD2" s="19">
        <v>0.0</v>
      </c>
      <c r="AE2" s="20" t="str">
        <f t="shared" ref="AE2:AE16" si="6">MID(AC2,13,9)</f>
        <v>VIB TK101</v>
      </c>
      <c r="AF2" s="21" t="s">
        <v>53</v>
      </c>
      <c r="AG2" s="16" t="s">
        <v>55</v>
      </c>
      <c r="AH2" s="19">
        <v>0.0</v>
      </c>
      <c r="AI2" s="20" t="str">
        <f t="shared" ref="AI2:AI16" si="7">MID(AG2,13,9)</f>
        <v>VIB TK101</v>
      </c>
      <c r="AJ2" s="21" t="s">
        <v>53</v>
      </c>
      <c r="AK2" s="16" t="s">
        <v>56</v>
      </c>
      <c r="AL2" s="19">
        <v>0.0</v>
      </c>
      <c r="AM2" s="20" t="str">
        <f t="shared" ref="AM2:AM16" si="8">MID(AK2,13,9)</f>
        <v>RDR TK101</v>
      </c>
      <c r="AN2" s="21" t="s">
        <v>57</v>
      </c>
      <c r="AO2" s="16" t="s">
        <v>58</v>
      </c>
      <c r="AP2" s="19">
        <v>0.0</v>
      </c>
      <c r="AQ2" s="20" t="str">
        <f t="shared" ref="AQ2:AQ16" si="9">MID(AO2,13,9)</f>
        <v>RDR TK101</v>
      </c>
      <c r="AR2" s="21" t="s">
        <v>57</v>
      </c>
      <c r="AS2" s="16" t="s">
        <v>59</v>
      </c>
      <c r="AT2" s="19">
        <v>0.0</v>
      </c>
      <c r="AU2" s="20" t="str">
        <f t="shared" ref="AU2:AU16" si="10">MID(AS2,13,9)</f>
        <v>RDR TK101</v>
      </c>
      <c r="AV2" s="21" t="s">
        <v>57</v>
      </c>
      <c r="AW2" s="16" t="s">
        <v>60</v>
      </c>
      <c r="AX2" s="19">
        <v>0.0</v>
      </c>
      <c r="AY2" s="20" t="str">
        <f t="shared" ref="AY2:AY14" si="11">MID(AW2,5,8)</f>
        <v>ROSOV-01</v>
      </c>
      <c r="AZ2" s="21" t="s">
        <v>61</v>
      </c>
      <c r="BA2" s="16" t="s">
        <v>62</v>
      </c>
      <c r="BB2" s="19">
        <v>0.0</v>
      </c>
      <c r="BC2" s="20" t="str">
        <f t="shared" ref="BC2:BC14" si="12">MID(BA2,5,8)</f>
        <v>ROSOV-01</v>
      </c>
      <c r="BD2" s="22" t="s">
        <v>63</v>
      </c>
      <c r="BE2" s="16"/>
      <c r="BF2" s="16"/>
      <c r="BG2" s="12"/>
      <c r="BH2" s="23"/>
      <c r="BI2" s="16"/>
      <c r="BJ2" s="16"/>
      <c r="BK2" s="12"/>
      <c r="BL2" s="23"/>
      <c r="BM2" s="24" t="s">
        <v>64</v>
      </c>
      <c r="BN2" s="19">
        <v>0.0</v>
      </c>
      <c r="BO2" s="20" t="str">
        <f t="shared" ref="BO2:BO14" si="13">MID(BM2,5,8)</f>
        <v>ROSOV-02</v>
      </c>
      <c r="BP2" s="21" t="s">
        <v>65</v>
      </c>
      <c r="BQ2" s="24" t="s">
        <v>66</v>
      </c>
      <c r="BR2" s="25">
        <v>0.0</v>
      </c>
      <c r="BS2" s="20" t="str">
        <f t="shared" ref="BS2:BS14" si="14">MID(BQ2,5,8)</f>
        <v>ROSOV-02</v>
      </c>
      <c r="BT2" s="22" t="s">
        <v>67</v>
      </c>
      <c r="BU2" s="16"/>
      <c r="BV2" s="16"/>
      <c r="BW2" s="23"/>
      <c r="BX2" s="23"/>
      <c r="BY2" s="12"/>
      <c r="BZ2" s="23"/>
      <c r="CA2" s="23"/>
      <c r="CB2" s="12"/>
      <c r="CC2" s="24" t="s">
        <v>68</v>
      </c>
      <c r="CD2" s="25">
        <v>0.0</v>
      </c>
      <c r="CE2" s="20" t="str">
        <f t="shared" ref="CE2:CE25" si="15">MID(CC2,5,7)</f>
        <v>DBBV-01</v>
      </c>
      <c r="CF2" s="21" t="s">
        <v>69</v>
      </c>
      <c r="CG2" s="26" t="s">
        <v>70</v>
      </c>
      <c r="CH2" s="27">
        <v>1.0</v>
      </c>
      <c r="CI2" s="20" t="str">
        <f t="shared" ref="CI2:CI16" si="16">MID(CG2,5,7)</f>
        <v>DBBV-01</v>
      </c>
      <c r="CJ2" s="21" t="s">
        <v>69</v>
      </c>
      <c r="CK2" s="24" t="s">
        <v>71</v>
      </c>
      <c r="CL2" s="25">
        <v>0.0</v>
      </c>
      <c r="CM2" s="20" t="str">
        <f t="shared" ref="CM2:CM16" si="17">MID(CK2,5,7)</f>
        <v>DBBV-03</v>
      </c>
      <c r="CN2" s="21" t="s">
        <v>72</v>
      </c>
      <c r="CO2" s="26" t="s">
        <v>73</v>
      </c>
      <c r="CP2" s="27">
        <v>1.0</v>
      </c>
      <c r="CQ2" s="20" t="str">
        <f t="shared" ref="CQ2:CQ7" si="18">MID(CO2,5,7)</f>
        <v>DBBV-03</v>
      </c>
      <c r="CR2" s="21" t="s">
        <v>72</v>
      </c>
      <c r="CS2" s="24" t="s">
        <v>74</v>
      </c>
      <c r="CT2" s="25">
        <v>0.0</v>
      </c>
      <c r="CU2" s="20" t="str">
        <f t="shared" ref="CU2:CU16" si="19">MID(CS2,5,7)</f>
        <v>DBBV-02</v>
      </c>
      <c r="CV2" s="21" t="s">
        <v>75</v>
      </c>
      <c r="CW2" s="26" t="s">
        <v>76</v>
      </c>
      <c r="CX2" s="27">
        <v>1.0</v>
      </c>
      <c r="CY2" s="20" t="str">
        <f t="shared" ref="CY2:CY16" si="20">MID(CW2,5,7)</f>
        <v>DBBV-02</v>
      </c>
      <c r="CZ2" s="21" t="s">
        <v>75</v>
      </c>
      <c r="DA2" s="24" t="s">
        <v>77</v>
      </c>
      <c r="DB2" s="25">
        <v>0.0</v>
      </c>
      <c r="DC2" s="20" t="str">
        <f t="shared" ref="DC2:DC8" si="21">MID(DA2,5,7)</f>
        <v>DBBV-04</v>
      </c>
      <c r="DD2" s="21" t="s">
        <v>78</v>
      </c>
      <c r="DE2" s="26" t="s">
        <v>79</v>
      </c>
      <c r="DF2" s="27">
        <v>1.0</v>
      </c>
      <c r="DG2" s="20" t="str">
        <f t="shared" ref="DG2:DG8" si="22">MID(DE2,5,7)</f>
        <v>DBBV-04</v>
      </c>
      <c r="DH2" s="21" t="s">
        <v>78</v>
      </c>
      <c r="DI2" s="24"/>
      <c r="DJ2" s="28"/>
      <c r="DK2" s="12"/>
      <c r="DL2" s="12"/>
      <c r="DM2" s="29"/>
      <c r="DN2" s="28"/>
      <c r="DO2" s="12"/>
      <c r="DP2" s="12"/>
      <c r="DQ2" s="4"/>
      <c r="DR2" s="3"/>
      <c r="DS2" s="4"/>
      <c r="DT2" s="4"/>
      <c r="DU2" s="4"/>
      <c r="DV2" s="3"/>
      <c r="DW2" s="4"/>
      <c r="DX2" s="4"/>
    </row>
    <row r="3" ht="15.75" customHeight="1">
      <c r="A3" s="11">
        <v>1588.0</v>
      </c>
      <c r="B3" s="11" t="s">
        <v>42</v>
      </c>
      <c r="C3" s="12" t="str">
        <f t="shared" si="1"/>
        <v>TK-102_SLOP</v>
      </c>
      <c r="D3" s="30" t="s">
        <v>80</v>
      </c>
      <c r="E3" s="31" t="s">
        <v>44</v>
      </c>
      <c r="F3" s="30" t="s">
        <v>81</v>
      </c>
      <c r="G3" s="15" t="s">
        <v>46</v>
      </c>
      <c r="H3" s="11">
        <v>0.0</v>
      </c>
      <c r="I3" s="16" t="s">
        <v>82</v>
      </c>
      <c r="J3" s="4"/>
      <c r="K3" s="17" t="str">
        <f t="shared" si="2"/>
        <v>TK-102</v>
      </c>
      <c r="L3" s="18" t="s">
        <v>48</v>
      </c>
      <c r="M3" s="4"/>
      <c r="N3" s="4"/>
      <c r="O3" s="16" t="s">
        <v>83</v>
      </c>
      <c r="P3" s="19">
        <v>0.0</v>
      </c>
      <c r="Q3" s="16" t="s">
        <v>84</v>
      </c>
      <c r="R3" s="19">
        <v>0.0</v>
      </c>
      <c r="S3" s="17" t="str">
        <f t="shared" si="3"/>
        <v>TK-102</v>
      </c>
      <c r="T3" s="18" t="s">
        <v>48</v>
      </c>
      <c r="U3" s="16" t="s">
        <v>85</v>
      </c>
      <c r="V3" s="19">
        <v>0.0</v>
      </c>
      <c r="W3" s="17" t="str">
        <f t="shared" si="4"/>
        <v>TK-102</v>
      </c>
      <c r="X3" s="18" t="s">
        <v>48</v>
      </c>
      <c r="Y3" s="16" t="s">
        <v>86</v>
      </c>
      <c r="Z3" s="19">
        <v>0.0</v>
      </c>
      <c r="AA3" s="20" t="str">
        <f t="shared" si="5"/>
        <v>VIB TK102</v>
      </c>
      <c r="AB3" s="21" t="s">
        <v>53</v>
      </c>
      <c r="AC3" s="16" t="s">
        <v>87</v>
      </c>
      <c r="AD3" s="19">
        <v>0.0</v>
      </c>
      <c r="AE3" s="20" t="str">
        <f t="shared" si="6"/>
        <v>VIB TK102</v>
      </c>
      <c r="AF3" s="21" t="s">
        <v>53</v>
      </c>
      <c r="AG3" s="16" t="s">
        <v>88</v>
      </c>
      <c r="AH3" s="19">
        <v>0.0</v>
      </c>
      <c r="AI3" s="20" t="str">
        <f t="shared" si="7"/>
        <v>VIB TK102</v>
      </c>
      <c r="AJ3" s="21" t="s">
        <v>53</v>
      </c>
      <c r="AK3" s="16" t="s">
        <v>89</v>
      </c>
      <c r="AL3" s="19">
        <v>0.0</v>
      </c>
      <c r="AM3" s="20" t="str">
        <f t="shared" si="8"/>
        <v>RDR TK102</v>
      </c>
      <c r="AN3" s="21" t="s">
        <v>57</v>
      </c>
      <c r="AO3" s="16" t="s">
        <v>90</v>
      </c>
      <c r="AP3" s="19">
        <v>0.0</v>
      </c>
      <c r="AQ3" s="20" t="str">
        <f t="shared" si="9"/>
        <v>RDR TK102</v>
      </c>
      <c r="AR3" s="21" t="s">
        <v>57</v>
      </c>
      <c r="AS3" s="16" t="s">
        <v>91</v>
      </c>
      <c r="AT3" s="19">
        <v>0.0</v>
      </c>
      <c r="AU3" s="20" t="str">
        <f t="shared" si="10"/>
        <v>RDR TK102</v>
      </c>
      <c r="AV3" s="21" t="s">
        <v>57</v>
      </c>
      <c r="AW3" s="16"/>
      <c r="AX3" s="16"/>
      <c r="AY3" s="20" t="str">
        <f t="shared" si="11"/>
        <v/>
      </c>
      <c r="AZ3" s="4"/>
      <c r="BA3" s="16"/>
      <c r="BB3" s="16"/>
      <c r="BC3" s="20" t="str">
        <f t="shared" si="12"/>
        <v/>
      </c>
      <c r="BD3" s="4"/>
      <c r="BE3" s="16" t="s">
        <v>92</v>
      </c>
      <c r="BF3" s="19">
        <v>0.0</v>
      </c>
      <c r="BG3" s="20" t="str">
        <f t="shared" ref="BG3:BG16" si="23">MID(BE3,5,8)</f>
        <v>ROSOV-04</v>
      </c>
      <c r="BH3" s="21" t="s">
        <v>93</v>
      </c>
      <c r="BI3" s="16" t="s">
        <v>94</v>
      </c>
      <c r="BJ3" s="19">
        <v>0.0</v>
      </c>
      <c r="BK3" s="20" t="str">
        <f t="shared" ref="BK3:BK17" si="24">MID(BI3,5,8)</f>
        <v>ROSOV-04</v>
      </c>
      <c r="BL3" s="22" t="s">
        <v>95</v>
      </c>
      <c r="BM3" s="16"/>
      <c r="BN3" s="4"/>
      <c r="BO3" s="20" t="str">
        <f t="shared" si="13"/>
        <v/>
      </c>
      <c r="BP3" s="4"/>
      <c r="BQ3" s="16"/>
      <c r="BR3" s="16"/>
      <c r="BS3" s="20" t="str">
        <f t="shared" si="14"/>
        <v/>
      </c>
      <c r="BT3" s="4"/>
      <c r="BU3" s="24" t="s">
        <v>96</v>
      </c>
      <c r="BV3" s="25">
        <v>0.0</v>
      </c>
      <c r="BW3" s="20" t="str">
        <f t="shared" ref="BW3:BW16" si="25">MID(BU3,5,8)</f>
        <v>ROSOV-03</v>
      </c>
      <c r="BX3" s="22" t="s">
        <v>97</v>
      </c>
      <c r="BY3" s="24" t="s">
        <v>98</v>
      </c>
      <c r="BZ3" s="25">
        <v>0.0</v>
      </c>
      <c r="CA3" s="20" t="str">
        <f t="shared" ref="CA3:CA4" si="26">MID(BY3,5,8)</f>
        <v>ROSOV-03</v>
      </c>
      <c r="CB3" s="21" t="s">
        <v>99</v>
      </c>
      <c r="CC3" s="24" t="s">
        <v>100</v>
      </c>
      <c r="CD3" s="25">
        <v>0.0</v>
      </c>
      <c r="CE3" s="20" t="str">
        <f t="shared" si="15"/>
        <v>DBBV-05</v>
      </c>
      <c r="CF3" s="21" t="s">
        <v>69</v>
      </c>
      <c r="CG3" s="32" t="s">
        <v>101</v>
      </c>
      <c r="CH3" s="27">
        <v>1.0</v>
      </c>
      <c r="CI3" s="20" t="str">
        <f t="shared" si="16"/>
        <v>DBBV-05</v>
      </c>
      <c r="CJ3" s="21" t="s">
        <v>69</v>
      </c>
      <c r="CK3" s="24" t="s">
        <v>102</v>
      </c>
      <c r="CL3" s="25">
        <v>0.0</v>
      </c>
      <c r="CM3" s="20" t="str">
        <f t="shared" si="17"/>
        <v>DBBV-07</v>
      </c>
      <c r="CN3" s="21" t="s">
        <v>72</v>
      </c>
      <c r="CO3" s="32" t="s">
        <v>103</v>
      </c>
      <c r="CP3" s="27">
        <v>1.0</v>
      </c>
      <c r="CQ3" s="20" t="str">
        <f t="shared" si="18"/>
        <v>DBBV-07</v>
      </c>
      <c r="CR3" s="21" t="s">
        <v>72</v>
      </c>
      <c r="CS3" s="24" t="s">
        <v>104</v>
      </c>
      <c r="CT3" s="25">
        <v>0.0</v>
      </c>
      <c r="CU3" s="20" t="str">
        <f t="shared" si="19"/>
        <v>DBBV-06</v>
      </c>
      <c r="CV3" s="21" t="s">
        <v>75</v>
      </c>
      <c r="CW3" s="32" t="s">
        <v>105</v>
      </c>
      <c r="CX3" s="27">
        <v>1.0</v>
      </c>
      <c r="CY3" s="20" t="str">
        <f t="shared" si="20"/>
        <v>DBBV-06</v>
      </c>
      <c r="CZ3" s="21" t="s">
        <v>75</v>
      </c>
      <c r="DA3" s="24" t="s">
        <v>106</v>
      </c>
      <c r="DB3" s="25">
        <v>0.0</v>
      </c>
      <c r="DC3" s="20" t="str">
        <f t="shared" si="21"/>
        <v>DBBV-08</v>
      </c>
      <c r="DD3" s="21" t="s">
        <v>78</v>
      </c>
      <c r="DE3" s="32" t="s">
        <v>107</v>
      </c>
      <c r="DF3" s="27">
        <v>1.0</v>
      </c>
      <c r="DG3" s="20" t="str">
        <f t="shared" si="22"/>
        <v>DBBV-08</v>
      </c>
      <c r="DH3" s="21" t="s">
        <v>78</v>
      </c>
      <c r="DI3" s="24"/>
      <c r="DJ3" s="28"/>
      <c r="DK3" s="4"/>
      <c r="DL3" s="4"/>
      <c r="DM3" s="33"/>
      <c r="DN3" s="28"/>
      <c r="DO3" s="4"/>
      <c r="DP3" s="4"/>
      <c r="DQ3" s="4"/>
      <c r="DR3" s="4"/>
      <c r="DS3" s="4"/>
      <c r="DT3" s="4"/>
      <c r="DU3" s="4"/>
      <c r="DV3" s="4"/>
      <c r="DW3" s="4"/>
      <c r="DX3" s="4"/>
    </row>
    <row r="4" ht="15.75" customHeight="1">
      <c r="A4" s="11">
        <v>1588.0</v>
      </c>
      <c r="B4" s="11" t="s">
        <v>42</v>
      </c>
      <c r="C4" s="12" t="str">
        <f t="shared" si="1"/>
        <v>TK-103_BS VI HSD</v>
      </c>
      <c r="D4" s="30" t="s">
        <v>108</v>
      </c>
      <c r="E4" s="31" t="s">
        <v>44</v>
      </c>
      <c r="F4" s="30" t="s">
        <v>109</v>
      </c>
      <c r="G4" s="15" t="s">
        <v>46</v>
      </c>
      <c r="H4" s="11">
        <v>0.0</v>
      </c>
      <c r="I4" s="16" t="s">
        <v>110</v>
      </c>
      <c r="J4" s="4"/>
      <c r="K4" s="17" t="str">
        <f t="shared" si="2"/>
        <v>TK-103</v>
      </c>
      <c r="L4" s="18" t="s">
        <v>48</v>
      </c>
      <c r="M4" s="4"/>
      <c r="N4" s="4"/>
      <c r="O4" s="16" t="s">
        <v>111</v>
      </c>
      <c r="P4" s="19">
        <v>0.0</v>
      </c>
      <c r="Q4" s="16" t="s">
        <v>112</v>
      </c>
      <c r="R4" s="19">
        <v>0.0</v>
      </c>
      <c r="S4" s="17" t="str">
        <f t="shared" si="3"/>
        <v>TK-103</v>
      </c>
      <c r="T4" s="18" t="s">
        <v>48</v>
      </c>
      <c r="U4" s="16" t="s">
        <v>113</v>
      </c>
      <c r="V4" s="19">
        <v>0.0</v>
      </c>
      <c r="W4" s="17" t="str">
        <f t="shared" si="4"/>
        <v>TK-103</v>
      </c>
      <c r="X4" s="18" t="s">
        <v>48</v>
      </c>
      <c r="Y4" s="16" t="s">
        <v>114</v>
      </c>
      <c r="Z4" s="19">
        <v>0.0</v>
      </c>
      <c r="AA4" s="20" t="str">
        <f t="shared" si="5"/>
        <v>VIB TK103</v>
      </c>
      <c r="AB4" s="21" t="s">
        <v>53</v>
      </c>
      <c r="AC4" s="16" t="s">
        <v>115</v>
      </c>
      <c r="AD4" s="19">
        <v>0.0</v>
      </c>
      <c r="AE4" s="20" t="str">
        <f t="shared" si="6"/>
        <v>VIB TK103</v>
      </c>
      <c r="AF4" s="21" t="s">
        <v>53</v>
      </c>
      <c r="AG4" s="16" t="s">
        <v>116</v>
      </c>
      <c r="AH4" s="19">
        <v>0.0</v>
      </c>
      <c r="AI4" s="20" t="str">
        <f t="shared" si="7"/>
        <v>VIB TK103</v>
      </c>
      <c r="AJ4" s="21" t="s">
        <v>53</v>
      </c>
      <c r="AK4" s="16" t="s">
        <v>117</v>
      </c>
      <c r="AL4" s="19">
        <v>0.0</v>
      </c>
      <c r="AM4" s="20" t="str">
        <f t="shared" si="8"/>
        <v>RDR TK103</v>
      </c>
      <c r="AN4" s="21" t="s">
        <v>57</v>
      </c>
      <c r="AO4" s="16" t="s">
        <v>118</v>
      </c>
      <c r="AP4" s="19">
        <v>0.0</v>
      </c>
      <c r="AQ4" s="20" t="str">
        <f t="shared" si="9"/>
        <v>RDR TK103</v>
      </c>
      <c r="AR4" s="21" t="s">
        <v>57</v>
      </c>
      <c r="AS4" s="16" t="s">
        <v>119</v>
      </c>
      <c r="AT4" s="19">
        <v>0.0</v>
      </c>
      <c r="AU4" s="20" t="str">
        <f t="shared" si="10"/>
        <v>RDR TK103</v>
      </c>
      <c r="AV4" s="21" t="s">
        <v>57</v>
      </c>
      <c r="AW4" s="16"/>
      <c r="AX4" s="16"/>
      <c r="AY4" s="20" t="str">
        <f t="shared" si="11"/>
        <v/>
      </c>
      <c r="AZ4" s="4"/>
      <c r="BA4" s="16"/>
      <c r="BB4" s="16"/>
      <c r="BC4" s="20" t="str">
        <f t="shared" si="12"/>
        <v/>
      </c>
      <c r="BD4" s="4"/>
      <c r="BE4" s="16" t="s">
        <v>120</v>
      </c>
      <c r="BF4" s="19">
        <v>0.0</v>
      </c>
      <c r="BG4" s="20" t="str">
        <f t="shared" si="23"/>
        <v>ROSOV-06</v>
      </c>
      <c r="BH4" s="21" t="s">
        <v>93</v>
      </c>
      <c r="BI4" s="16" t="s">
        <v>121</v>
      </c>
      <c r="BJ4" s="19">
        <v>0.0</v>
      </c>
      <c r="BK4" s="20" t="str">
        <f t="shared" si="24"/>
        <v>ROSOV-06</v>
      </c>
      <c r="BL4" s="22" t="s">
        <v>95</v>
      </c>
      <c r="BM4" s="16"/>
      <c r="BN4" s="4"/>
      <c r="BO4" s="20" t="str">
        <f t="shared" si="13"/>
        <v/>
      </c>
      <c r="BP4" s="4"/>
      <c r="BQ4" s="16"/>
      <c r="BR4" s="16"/>
      <c r="BS4" s="20" t="str">
        <f t="shared" si="14"/>
        <v/>
      </c>
      <c r="BT4" s="4"/>
      <c r="BU4" s="24" t="s">
        <v>122</v>
      </c>
      <c r="BV4" s="25">
        <v>0.0</v>
      </c>
      <c r="BW4" s="20" t="str">
        <f t="shared" si="25"/>
        <v>ROSOV-05</v>
      </c>
      <c r="BX4" s="22" t="s">
        <v>97</v>
      </c>
      <c r="BY4" s="24" t="s">
        <v>123</v>
      </c>
      <c r="BZ4" s="25">
        <v>0.0</v>
      </c>
      <c r="CA4" s="20" t="str">
        <f t="shared" si="26"/>
        <v>ROSOV-05</v>
      </c>
      <c r="CB4" s="21" t="s">
        <v>99</v>
      </c>
      <c r="CC4" s="24" t="s">
        <v>124</v>
      </c>
      <c r="CD4" s="25">
        <v>0.0</v>
      </c>
      <c r="CE4" s="20" t="str">
        <f t="shared" si="15"/>
        <v>DBBV-09</v>
      </c>
      <c r="CF4" s="21" t="s">
        <v>69</v>
      </c>
      <c r="CG4" s="32" t="s">
        <v>125</v>
      </c>
      <c r="CH4" s="27">
        <v>1.0</v>
      </c>
      <c r="CI4" s="20" t="str">
        <f t="shared" si="16"/>
        <v>DBBV-09</v>
      </c>
      <c r="CJ4" s="21" t="s">
        <v>69</v>
      </c>
      <c r="CK4" s="24" t="s">
        <v>126</v>
      </c>
      <c r="CL4" s="25">
        <v>0.0</v>
      </c>
      <c r="CM4" s="20" t="str">
        <f t="shared" si="17"/>
        <v>DBBV-11</v>
      </c>
      <c r="CN4" s="21" t="s">
        <v>72</v>
      </c>
      <c r="CO4" s="32" t="s">
        <v>127</v>
      </c>
      <c r="CP4" s="27">
        <v>1.0</v>
      </c>
      <c r="CQ4" s="20" t="str">
        <f t="shared" si="18"/>
        <v>DBBV-11</v>
      </c>
      <c r="CR4" s="21" t="s">
        <v>72</v>
      </c>
      <c r="CS4" s="24" t="s">
        <v>128</v>
      </c>
      <c r="CT4" s="25">
        <v>0.0</v>
      </c>
      <c r="CU4" s="20" t="str">
        <f t="shared" si="19"/>
        <v>DBBV-10</v>
      </c>
      <c r="CV4" s="21" t="s">
        <v>75</v>
      </c>
      <c r="CW4" s="32" t="s">
        <v>129</v>
      </c>
      <c r="CX4" s="27">
        <v>1.0</v>
      </c>
      <c r="CY4" s="20" t="str">
        <f t="shared" si="20"/>
        <v>DBBV-10</v>
      </c>
      <c r="CZ4" s="21" t="s">
        <v>75</v>
      </c>
      <c r="DA4" s="24" t="s">
        <v>130</v>
      </c>
      <c r="DB4" s="25">
        <v>0.0</v>
      </c>
      <c r="DC4" s="20" t="str">
        <f t="shared" si="21"/>
        <v>DBBV-12</v>
      </c>
      <c r="DD4" s="21" t="s">
        <v>78</v>
      </c>
      <c r="DE4" s="32" t="s">
        <v>131</v>
      </c>
      <c r="DF4" s="27">
        <v>1.0</v>
      </c>
      <c r="DG4" s="20" t="str">
        <f t="shared" si="22"/>
        <v>DBBV-12</v>
      </c>
      <c r="DH4" s="21" t="s">
        <v>78</v>
      </c>
      <c r="DI4" s="24"/>
      <c r="DJ4" s="28"/>
      <c r="DK4" s="4"/>
      <c r="DL4" s="4"/>
      <c r="DM4" s="33"/>
      <c r="DN4" s="28"/>
      <c r="DO4" s="4"/>
      <c r="DP4" s="4"/>
      <c r="DQ4" s="4"/>
      <c r="DR4" s="4"/>
      <c r="DS4" s="4"/>
      <c r="DT4" s="4"/>
      <c r="DU4" s="4"/>
      <c r="DV4" s="4"/>
      <c r="DW4" s="4"/>
      <c r="DX4" s="4"/>
    </row>
    <row r="5" ht="15.75" customHeight="1">
      <c r="A5" s="11">
        <v>1588.0</v>
      </c>
      <c r="B5" s="11" t="s">
        <v>42</v>
      </c>
      <c r="C5" s="12" t="str">
        <f t="shared" si="1"/>
        <v>TK-104_ETHANOL</v>
      </c>
      <c r="D5" s="30" t="s">
        <v>132</v>
      </c>
      <c r="E5" s="31" t="s">
        <v>44</v>
      </c>
      <c r="F5" s="30" t="s">
        <v>45</v>
      </c>
      <c r="G5" s="15" t="s">
        <v>46</v>
      </c>
      <c r="H5" s="11">
        <v>0.0</v>
      </c>
      <c r="I5" s="16" t="s">
        <v>133</v>
      </c>
      <c r="J5" s="4"/>
      <c r="K5" s="17" t="str">
        <f t="shared" si="2"/>
        <v>TK-104</v>
      </c>
      <c r="L5" s="18" t="s">
        <v>48</v>
      </c>
      <c r="M5" s="4"/>
      <c r="N5" s="4"/>
      <c r="O5" s="16" t="s">
        <v>134</v>
      </c>
      <c r="P5" s="19">
        <v>0.0</v>
      </c>
      <c r="Q5" s="16" t="s">
        <v>135</v>
      </c>
      <c r="R5" s="19">
        <v>0.0</v>
      </c>
      <c r="S5" s="17" t="str">
        <f t="shared" si="3"/>
        <v>TK-104</v>
      </c>
      <c r="T5" s="18" t="s">
        <v>48</v>
      </c>
      <c r="U5" s="16" t="s">
        <v>136</v>
      </c>
      <c r="V5" s="19">
        <v>0.0</v>
      </c>
      <c r="W5" s="17" t="str">
        <f t="shared" si="4"/>
        <v>TK-104</v>
      </c>
      <c r="X5" s="18" t="s">
        <v>48</v>
      </c>
      <c r="Y5" s="16" t="s">
        <v>137</v>
      </c>
      <c r="Z5" s="19">
        <v>0.0</v>
      </c>
      <c r="AA5" s="20" t="str">
        <f t="shared" si="5"/>
        <v>VIB TK104</v>
      </c>
      <c r="AB5" s="21" t="s">
        <v>53</v>
      </c>
      <c r="AC5" s="16" t="s">
        <v>138</v>
      </c>
      <c r="AD5" s="19">
        <v>0.0</v>
      </c>
      <c r="AE5" s="20" t="str">
        <f t="shared" si="6"/>
        <v>VIB TK104</v>
      </c>
      <c r="AF5" s="21" t="s">
        <v>53</v>
      </c>
      <c r="AG5" s="16" t="s">
        <v>139</v>
      </c>
      <c r="AH5" s="19">
        <v>0.0</v>
      </c>
      <c r="AI5" s="20" t="str">
        <f t="shared" si="7"/>
        <v>VIB TK104</v>
      </c>
      <c r="AJ5" s="21" t="s">
        <v>53</v>
      </c>
      <c r="AK5" s="16" t="s">
        <v>140</v>
      </c>
      <c r="AL5" s="19">
        <v>0.0</v>
      </c>
      <c r="AM5" s="20" t="str">
        <f t="shared" si="8"/>
        <v>RDR TK104</v>
      </c>
      <c r="AN5" s="21" t="s">
        <v>57</v>
      </c>
      <c r="AO5" s="16" t="s">
        <v>141</v>
      </c>
      <c r="AP5" s="19">
        <v>0.0</v>
      </c>
      <c r="AQ5" s="20" t="str">
        <f t="shared" si="9"/>
        <v>RDR TK104</v>
      </c>
      <c r="AR5" s="21" t="s">
        <v>57</v>
      </c>
      <c r="AS5" s="16" t="s">
        <v>142</v>
      </c>
      <c r="AT5" s="19">
        <v>0.0</v>
      </c>
      <c r="AU5" s="20" t="str">
        <f t="shared" si="10"/>
        <v>RDR TK104</v>
      </c>
      <c r="AV5" s="21" t="s">
        <v>57</v>
      </c>
      <c r="AW5" s="16" t="s">
        <v>143</v>
      </c>
      <c r="AX5" s="19">
        <v>0.0</v>
      </c>
      <c r="AY5" s="20" t="str">
        <f t="shared" si="11"/>
        <v>ROSOV-07</v>
      </c>
      <c r="AZ5" s="21" t="s">
        <v>61</v>
      </c>
      <c r="BA5" s="16" t="s">
        <v>144</v>
      </c>
      <c r="BB5" s="19">
        <v>0.0</v>
      </c>
      <c r="BC5" s="20" t="str">
        <f t="shared" si="12"/>
        <v>ROSOV-07</v>
      </c>
      <c r="BD5" s="22" t="s">
        <v>63</v>
      </c>
      <c r="BE5" s="16"/>
      <c r="BF5" s="16"/>
      <c r="BG5" s="20" t="str">
        <f t="shared" si="23"/>
        <v/>
      </c>
      <c r="BH5" s="4"/>
      <c r="BI5" s="16"/>
      <c r="BJ5" s="16"/>
      <c r="BK5" s="20" t="str">
        <f t="shared" si="24"/>
        <v/>
      </c>
      <c r="BL5" s="4"/>
      <c r="BM5" s="24" t="s">
        <v>145</v>
      </c>
      <c r="BN5" s="19">
        <v>0.0</v>
      </c>
      <c r="BO5" s="20" t="str">
        <f t="shared" si="13"/>
        <v>ROSOV-08</v>
      </c>
      <c r="BP5" s="21" t="s">
        <v>65</v>
      </c>
      <c r="BQ5" s="24" t="s">
        <v>146</v>
      </c>
      <c r="BR5" s="25">
        <v>0.0</v>
      </c>
      <c r="BS5" s="20" t="str">
        <f t="shared" si="14"/>
        <v>ROSOV-08</v>
      </c>
      <c r="BT5" s="22" t="s">
        <v>67</v>
      </c>
      <c r="BU5" s="16"/>
      <c r="BV5" s="16"/>
      <c r="BW5" s="20" t="str">
        <f t="shared" si="25"/>
        <v/>
      </c>
      <c r="BX5" s="4"/>
      <c r="BY5" s="16"/>
      <c r="BZ5" s="16"/>
      <c r="CA5" s="4"/>
      <c r="CB5" s="4"/>
      <c r="CC5" s="24" t="s">
        <v>147</v>
      </c>
      <c r="CD5" s="25">
        <v>0.0</v>
      </c>
      <c r="CE5" s="20" t="str">
        <f t="shared" si="15"/>
        <v>DBBV-13</v>
      </c>
      <c r="CF5" s="21" t="s">
        <v>69</v>
      </c>
      <c r="CG5" s="32" t="s">
        <v>148</v>
      </c>
      <c r="CH5" s="27">
        <v>1.0</v>
      </c>
      <c r="CI5" s="20" t="str">
        <f t="shared" si="16"/>
        <v>DBBV-13</v>
      </c>
      <c r="CJ5" s="21" t="s">
        <v>69</v>
      </c>
      <c r="CK5" s="24" t="s">
        <v>149</v>
      </c>
      <c r="CL5" s="25">
        <v>0.0</v>
      </c>
      <c r="CM5" s="20" t="str">
        <f t="shared" si="17"/>
        <v>DBBV-15</v>
      </c>
      <c r="CN5" s="21" t="s">
        <v>72</v>
      </c>
      <c r="CO5" s="32" t="s">
        <v>150</v>
      </c>
      <c r="CP5" s="27">
        <v>1.0</v>
      </c>
      <c r="CQ5" s="20" t="str">
        <f t="shared" si="18"/>
        <v>DBBV-15</v>
      </c>
      <c r="CR5" s="21" t="s">
        <v>72</v>
      </c>
      <c r="CS5" s="24" t="s">
        <v>151</v>
      </c>
      <c r="CT5" s="25">
        <v>0.0</v>
      </c>
      <c r="CU5" s="20" t="str">
        <f t="shared" si="19"/>
        <v>DBBV-14</v>
      </c>
      <c r="CV5" s="21" t="s">
        <v>75</v>
      </c>
      <c r="CW5" s="32" t="s">
        <v>152</v>
      </c>
      <c r="CX5" s="27">
        <v>1.0</v>
      </c>
      <c r="CY5" s="20" t="str">
        <f t="shared" si="20"/>
        <v>DBBV-14</v>
      </c>
      <c r="CZ5" s="21" t="s">
        <v>75</v>
      </c>
      <c r="DA5" s="24" t="s">
        <v>153</v>
      </c>
      <c r="DB5" s="25">
        <v>0.0</v>
      </c>
      <c r="DC5" s="20" t="str">
        <f t="shared" si="21"/>
        <v>DBBV-16</v>
      </c>
      <c r="DD5" s="21" t="s">
        <v>78</v>
      </c>
      <c r="DE5" s="32" t="s">
        <v>154</v>
      </c>
      <c r="DF5" s="27">
        <v>1.0</v>
      </c>
      <c r="DG5" s="20" t="str">
        <f t="shared" si="22"/>
        <v>DBBV-16</v>
      </c>
      <c r="DH5" s="21" t="s">
        <v>78</v>
      </c>
      <c r="DI5" s="24"/>
      <c r="DJ5" s="28"/>
      <c r="DK5" s="4"/>
      <c r="DL5" s="4"/>
      <c r="DM5" s="33"/>
      <c r="DN5" s="28"/>
      <c r="DO5" s="4"/>
      <c r="DP5" s="4"/>
      <c r="DQ5" s="4"/>
      <c r="DR5" s="4"/>
      <c r="DS5" s="4"/>
      <c r="DT5" s="4"/>
      <c r="DU5" s="4"/>
      <c r="DV5" s="4"/>
      <c r="DW5" s="4"/>
      <c r="DX5" s="4"/>
    </row>
    <row r="6" ht="15.75" customHeight="1">
      <c r="A6" s="11">
        <v>1588.0</v>
      </c>
      <c r="B6" s="11" t="s">
        <v>42</v>
      </c>
      <c r="C6" s="12" t="str">
        <f t="shared" si="1"/>
        <v>TK-105_LOW RON MS</v>
      </c>
      <c r="D6" s="30" t="s">
        <v>155</v>
      </c>
      <c r="E6" s="31" t="s">
        <v>44</v>
      </c>
      <c r="F6" s="30" t="s">
        <v>156</v>
      </c>
      <c r="G6" s="15" t="s">
        <v>46</v>
      </c>
      <c r="H6" s="11">
        <v>0.0</v>
      </c>
      <c r="I6" s="16" t="s">
        <v>157</v>
      </c>
      <c r="J6" s="4"/>
      <c r="K6" s="17" t="str">
        <f t="shared" si="2"/>
        <v>TK-105</v>
      </c>
      <c r="L6" s="18" t="s">
        <v>48</v>
      </c>
      <c r="M6" s="4"/>
      <c r="N6" s="4"/>
      <c r="O6" s="16" t="s">
        <v>158</v>
      </c>
      <c r="P6" s="19">
        <v>0.0</v>
      </c>
      <c r="Q6" s="16" t="s">
        <v>159</v>
      </c>
      <c r="R6" s="19">
        <v>0.0</v>
      </c>
      <c r="S6" s="17" t="str">
        <f t="shared" si="3"/>
        <v>TK-105</v>
      </c>
      <c r="T6" s="18" t="s">
        <v>48</v>
      </c>
      <c r="U6" s="16" t="s">
        <v>160</v>
      </c>
      <c r="V6" s="19">
        <v>0.0</v>
      </c>
      <c r="W6" s="17" t="str">
        <f t="shared" si="4"/>
        <v>TK-105</v>
      </c>
      <c r="X6" s="18" t="s">
        <v>48</v>
      </c>
      <c r="Y6" s="16" t="s">
        <v>161</v>
      </c>
      <c r="Z6" s="19">
        <v>0.0</v>
      </c>
      <c r="AA6" s="20" t="str">
        <f t="shared" si="5"/>
        <v>VIB TK105</v>
      </c>
      <c r="AB6" s="21" t="s">
        <v>53</v>
      </c>
      <c r="AC6" s="16" t="s">
        <v>162</v>
      </c>
      <c r="AD6" s="19">
        <v>0.0</v>
      </c>
      <c r="AE6" s="20" t="str">
        <f t="shared" si="6"/>
        <v>VIB TK105</v>
      </c>
      <c r="AF6" s="21" t="s">
        <v>53</v>
      </c>
      <c r="AG6" s="16" t="s">
        <v>163</v>
      </c>
      <c r="AH6" s="19">
        <v>0.0</v>
      </c>
      <c r="AI6" s="20" t="str">
        <f t="shared" si="7"/>
        <v>VIB TK105</v>
      </c>
      <c r="AJ6" s="21" t="s">
        <v>53</v>
      </c>
      <c r="AK6" s="16" t="s">
        <v>164</v>
      </c>
      <c r="AL6" s="19">
        <v>0.0</v>
      </c>
      <c r="AM6" s="20" t="str">
        <f t="shared" si="8"/>
        <v>RDR TK105</v>
      </c>
      <c r="AN6" s="21" t="s">
        <v>57</v>
      </c>
      <c r="AO6" s="16" t="s">
        <v>165</v>
      </c>
      <c r="AP6" s="19">
        <v>0.0</v>
      </c>
      <c r="AQ6" s="20" t="str">
        <f t="shared" si="9"/>
        <v>RDR TK105</v>
      </c>
      <c r="AR6" s="21" t="s">
        <v>57</v>
      </c>
      <c r="AS6" s="16" t="s">
        <v>166</v>
      </c>
      <c r="AT6" s="19">
        <v>0.0</v>
      </c>
      <c r="AU6" s="20" t="str">
        <f t="shared" si="10"/>
        <v>RDR TK105</v>
      </c>
      <c r="AV6" s="21" t="s">
        <v>57</v>
      </c>
      <c r="AW6" s="16"/>
      <c r="AX6" s="16"/>
      <c r="AY6" s="20" t="str">
        <f t="shared" si="11"/>
        <v/>
      </c>
      <c r="AZ6" s="4"/>
      <c r="BA6" s="16"/>
      <c r="BB6" s="16"/>
      <c r="BC6" s="20" t="str">
        <f t="shared" si="12"/>
        <v/>
      </c>
      <c r="BD6" s="4"/>
      <c r="BE6" s="16" t="s">
        <v>167</v>
      </c>
      <c r="BF6" s="19">
        <v>0.0</v>
      </c>
      <c r="BG6" s="20" t="str">
        <f t="shared" si="23"/>
        <v>ROSOV-10</v>
      </c>
      <c r="BH6" s="21" t="s">
        <v>93</v>
      </c>
      <c r="BI6" s="16" t="s">
        <v>168</v>
      </c>
      <c r="BJ6" s="19">
        <v>0.0</v>
      </c>
      <c r="BK6" s="20" t="str">
        <f t="shared" si="24"/>
        <v>ROSOV-10</v>
      </c>
      <c r="BL6" s="22" t="s">
        <v>95</v>
      </c>
      <c r="BM6" s="16"/>
      <c r="BN6" s="4"/>
      <c r="BO6" s="20" t="str">
        <f t="shared" si="13"/>
        <v/>
      </c>
      <c r="BP6" s="4"/>
      <c r="BQ6" s="16"/>
      <c r="BR6" s="16"/>
      <c r="BS6" s="20" t="str">
        <f t="shared" si="14"/>
        <v/>
      </c>
      <c r="BT6" s="4"/>
      <c r="BU6" s="24" t="s">
        <v>169</v>
      </c>
      <c r="BV6" s="25">
        <v>0.0</v>
      </c>
      <c r="BW6" s="20" t="str">
        <f t="shared" si="25"/>
        <v>ROSOV-09</v>
      </c>
      <c r="BX6" s="22" t="s">
        <v>97</v>
      </c>
      <c r="BY6" s="24" t="s">
        <v>170</v>
      </c>
      <c r="BZ6" s="25">
        <v>0.0</v>
      </c>
      <c r="CA6" s="20" t="str">
        <f t="shared" ref="CA6:CA12" si="27">MID(BY6,5,8)</f>
        <v>ROSOV-09</v>
      </c>
      <c r="CB6" s="21" t="s">
        <v>99</v>
      </c>
      <c r="CC6" s="24" t="s">
        <v>171</v>
      </c>
      <c r="CD6" s="25">
        <v>0.0</v>
      </c>
      <c r="CE6" s="20" t="str">
        <f t="shared" si="15"/>
        <v>DBBV-17</v>
      </c>
      <c r="CF6" s="21" t="s">
        <v>69</v>
      </c>
      <c r="CG6" s="32" t="s">
        <v>172</v>
      </c>
      <c r="CH6" s="27">
        <v>1.0</v>
      </c>
      <c r="CI6" s="20" t="str">
        <f t="shared" si="16"/>
        <v>DBBV-17</v>
      </c>
      <c r="CJ6" s="21" t="s">
        <v>69</v>
      </c>
      <c r="CK6" s="24" t="s">
        <v>173</v>
      </c>
      <c r="CL6" s="25">
        <v>0.0</v>
      </c>
      <c r="CM6" s="20" t="str">
        <f t="shared" si="17"/>
        <v>DBBV-19</v>
      </c>
      <c r="CN6" s="21" t="s">
        <v>72</v>
      </c>
      <c r="CO6" s="32" t="s">
        <v>174</v>
      </c>
      <c r="CP6" s="27">
        <v>1.0</v>
      </c>
      <c r="CQ6" s="20" t="str">
        <f t="shared" si="18"/>
        <v>DBBV-19</v>
      </c>
      <c r="CR6" s="21" t="s">
        <v>72</v>
      </c>
      <c r="CS6" s="24" t="s">
        <v>175</v>
      </c>
      <c r="CT6" s="25">
        <v>0.0</v>
      </c>
      <c r="CU6" s="20" t="str">
        <f t="shared" si="19"/>
        <v>DBBV-18</v>
      </c>
      <c r="CV6" s="21" t="s">
        <v>75</v>
      </c>
      <c r="CW6" s="32" t="s">
        <v>176</v>
      </c>
      <c r="CX6" s="27">
        <v>1.0</v>
      </c>
      <c r="CY6" s="20" t="str">
        <f t="shared" si="20"/>
        <v>DBBV-18</v>
      </c>
      <c r="CZ6" s="21" t="s">
        <v>75</v>
      </c>
      <c r="DA6" s="24" t="s">
        <v>177</v>
      </c>
      <c r="DB6" s="25">
        <v>0.0</v>
      </c>
      <c r="DC6" s="20" t="str">
        <f t="shared" si="21"/>
        <v>DBBV-20</v>
      </c>
      <c r="DD6" s="21" t="s">
        <v>78</v>
      </c>
      <c r="DE6" s="32" t="s">
        <v>178</v>
      </c>
      <c r="DF6" s="27">
        <v>1.0</v>
      </c>
      <c r="DG6" s="20" t="str">
        <f t="shared" si="22"/>
        <v>DBBV-20</v>
      </c>
      <c r="DH6" s="21" t="s">
        <v>78</v>
      </c>
      <c r="DI6" s="24"/>
      <c r="DJ6" s="28"/>
      <c r="DK6" s="4"/>
      <c r="DL6" s="4"/>
      <c r="DM6" s="33"/>
      <c r="DN6" s="28"/>
      <c r="DO6" s="4"/>
      <c r="DP6" s="4"/>
      <c r="DQ6" s="4"/>
      <c r="DR6" s="4"/>
      <c r="DS6" s="4"/>
      <c r="DT6" s="4"/>
      <c r="DU6" s="4"/>
      <c r="DV6" s="4"/>
      <c r="DW6" s="4"/>
      <c r="DX6" s="4"/>
    </row>
    <row r="7" ht="15.75" customHeight="1">
      <c r="A7" s="11">
        <v>1588.0</v>
      </c>
      <c r="B7" s="11" t="s">
        <v>42</v>
      </c>
      <c r="C7" s="12" t="str">
        <f t="shared" si="1"/>
        <v>TK-106_LOW RON MS</v>
      </c>
      <c r="D7" s="30" t="s">
        <v>179</v>
      </c>
      <c r="E7" s="31" t="s">
        <v>44</v>
      </c>
      <c r="F7" s="30" t="s">
        <v>156</v>
      </c>
      <c r="G7" s="15" t="s">
        <v>46</v>
      </c>
      <c r="H7" s="11">
        <v>0.0</v>
      </c>
      <c r="I7" s="16" t="s">
        <v>180</v>
      </c>
      <c r="J7" s="4"/>
      <c r="K7" s="17" t="str">
        <f t="shared" si="2"/>
        <v>TK-106</v>
      </c>
      <c r="L7" s="18" t="s">
        <v>48</v>
      </c>
      <c r="M7" s="4"/>
      <c r="N7" s="4"/>
      <c r="O7" s="16" t="s">
        <v>181</v>
      </c>
      <c r="P7" s="19">
        <v>0.0</v>
      </c>
      <c r="Q7" s="16" t="s">
        <v>182</v>
      </c>
      <c r="R7" s="19">
        <v>0.0</v>
      </c>
      <c r="S7" s="17" t="str">
        <f t="shared" si="3"/>
        <v>TK-106</v>
      </c>
      <c r="T7" s="18" t="s">
        <v>48</v>
      </c>
      <c r="U7" s="16" t="s">
        <v>183</v>
      </c>
      <c r="V7" s="19">
        <v>0.0</v>
      </c>
      <c r="W7" s="17" t="str">
        <f t="shared" si="4"/>
        <v>TK-106</v>
      </c>
      <c r="X7" s="18" t="s">
        <v>48</v>
      </c>
      <c r="Y7" s="16" t="s">
        <v>184</v>
      </c>
      <c r="Z7" s="19">
        <v>0.0</v>
      </c>
      <c r="AA7" s="20" t="str">
        <f t="shared" si="5"/>
        <v>VIB TK106</v>
      </c>
      <c r="AB7" s="21" t="s">
        <v>53</v>
      </c>
      <c r="AC7" s="16" t="s">
        <v>185</v>
      </c>
      <c r="AD7" s="19">
        <v>0.0</v>
      </c>
      <c r="AE7" s="20" t="str">
        <f t="shared" si="6"/>
        <v>VIB TK106</v>
      </c>
      <c r="AF7" s="21" t="s">
        <v>53</v>
      </c>
      <c r="AG7" s="16" t="s">
        <v>186</v>
      </c>
      <c r="AH7" s="19">
        <v>0.0</v>
      </c>
      <c r="AI7" s="20" t="str">
        <f t="shared" si="7"/>
        <v>VIB TK106</v>
      </c>
      <c r="AJ7" s="21" t="s">
        <v>53</v>
      </c>
      <c r="AK7" s="16" t="s">
        <v>187</v>
      </c>
      <c r="AL7" s="19">
        <v>0.0</v>
      </c>
      <c r="AM7" s="20" t="str">
        <f t="shared" si="8"/>
        <v>RDR TK106</v>
      </c>
      <c r="AN7" s="21" t="s">
        <v>57</v>
      </c>
      <c r="AO7" s="16" t="s">
        <v>188</v>
      </c>
      <c r="AP7" s="19">
        <v>0.0</v>
      </c>
      <c r="AQ7" s="20" t="str">
        <f t="shared" si="9"/>
        <v>RDR TK106</v>
      </c>
      <c r="AR7" s="21" t="s">
        <v>57</v>
      </c>
      <c r="AS7" s="16" t="s">
        <v>189</v>
      </c>
      <c r="AT7" s="19">
        <v>0.0</v>
      </c>
      <c r="AU7" s="20" t="str">
        <f t="shared" si="10"/>
        <v>RDR TK106</v>
      </c>
      <c r="AV7" s="21" t="s">
        <v>57</v>
      </c>
      <c r="AW7" s="16"/>
      <c r="AX7" s="16"/>
      <c r="AY7" s="20" t="str">
        <f t="shared" si="11"/>
        <v/>
      </c>
      <c r="AZ7" s="4"/>
      <c r="BA7" s="16"/>
      <c r="BB7" s="16"/>
      <c r="BC7" s="20" t="str">
        <f t="shared" si="12"/>
        <v/>
      </c>
      <c r="BD7" s="4"/>
      <c r="BE7" s="16" t="s">
        <v>190</v>
      </c>
      <c r="BF7" s="19">
        <v>0.0</v>
      </c>
      <c r="BG7" s="20" t="str">
        <f t="shared" si="23"/>
        <v>ROSOV-12</v>
      </c>
      <c r="BH7" s="21" t="s">
        <v>93</v>
      </c>
      <c r="BI7" s="16" t="s">
        <v>191</v>
      </c>
      <c r="BJ7" s="19">
        <v>0.0</v>
      </c>
      <c r="BK7" s="20" t="str">
        <f t="shared" si="24"/>
        <v>ROSOV-12</v>
      </c>
      <c r="BL7" s="22" t="s">
        <v>95</v>
      </c>
      <c r="BM7" s="16"/>
      <c r="BN7" s="4"/>
      <c r="BO7" s="20" t="str">
        <f t="shared" si="13"/>
        <v/>
      </c>
      <c r="BP7" s="4"/>
      <c r="BQ7" s="16"/>
      <c r="BR7" s="16"/>
      <c r="BS7" s="20" t="str">
        <f t="shared" si="14"/>
        <v/>
      </c>
      <c r="BT7" s="4"/>
      <c r="BU7" s="24" t="s">
        <v>192</v>
      </c>
      <c r="BV7" s="25">
        <v>0.0</v>
      </c>
      <c r="BW7" s="20" t="str">
        <f t="shared" si="25"/>
        <v>ROSOV-11</v>
      </c>
      <c r="BX7" s="22" t="s">
        <v>97</v>
      </c>
      <c r="BY7" s="24" t="s">
        <v>193</v>
      </c>
      <c r="BZ7" s="25">
        <v>0.0</v>
      </c>
      <c r="CA7" s="20" t="str">
        <f t="shared" si="27"/>
        <v>ROSOV-11</v>
      </c>
      <c r="CB7" s="21" t="s">
        <v>99</v>
      </c>
      <c r="CC7" s="24" t="s">
        <v>194</v>
      </c>
      <c r="CD7" s="25">
        <v>0.0</v>
      </c>
      <c r="CE7" s="20" t="str">
        <f t="shared" si="15"/>
        <v>DBBV-21</v>
      </c>
      <c r="CF7" s="21" t="s">
        <v>69</v>
      </c>
      <c r="CG7" s="32" t="s">
        <v>195</v>
      </c>
      <c r="CH7" s="27">
        <v>1.0</v>
      </c>
      <c r="CI7" s="20" t="str">
        <f t="shared" si="16"/>
        <v>DBBV-21</v>
      </c>
      <c r="CJ7" s="21" t="s">
        <v>69</v>
      </c>
      <c r="CK7" s="24" t="s">
        <v>196</v>
      </c>
      <c r="CL7" s="25">
        <v>0.0</v>
      </c>
      <c r="CM7" s="20" t="str">
        <f t="shared" si="17"/>
        <v>DBBV-23</v>
      </c>
      <c r="CN7" s="21" t="s">
        <v>72</v>
      </c>
      <c r="CO7" s="32" t="s">
        <v>197</v>
      </c>
      <c r="CP7" s="27">
        <v>1.0</v>
      </c>
      <c r="CQ7" s="20" t="str">
        <f t="shared" si="18"/>
        <v>DBBV-23</v>
      </c>
      <c r="CR7" s="21" t="s">
        <v>72</v>
      </c>
      <c r="CS7" s="24" t="s">
        <v>198</v>
      </c>
      <c r="CT7" s="25">
        <v>0.0</v>
      </c>
      <c r="CU7" s="20" t="str">
        <f t="shared" si="19"/>
        <v>DBBV-22</v>
      </c>
      <c r="CV7" s="21" t="s">
        <v>75</v>
      </c>
      <c r="CW7" s="32" t="s">
        <v>199</v>
      </c>
      <c r="CX7" s="27">
        <v>1.0</v>
      </c>
      <c r="CY7" s="20" t="str">
        <f t="shared" si="20"/>
        <v>DBBV-22</v>
      </c>
      <c r="CZ7" s="21" t="s">
        <v>75</v>
      </c>
      <c r="DA7" s="24" t="s">
        <v>200</v>
      </c>
      <c r="DB7" s="25">
        <v>0.0</v>
      </c>
      <c r="DC7" s="20" t="str">
        <f t="shared" si="21"/>
        <v>DBBV-24</v>
      </c>
      <c r="DD7" s="21" t="s">
        <v>78</v>
      </c>
      <c r="DE7" s="32" t="s">
        <v>201</v>
      </c>
      <c r="DF7" s="27">
        <v>1.0</v>
      </c>
      <c r="DG7" s="20" t="str">
        <f t="shared" si="22"/>
        <v>DBBV-24</v>
      </c>
      <c r="DH7" s="21" t="s">
        <v>78</v>
      </c>
      <c r="DI7" s="24"/>
      <c r="DJ7" s="28"/>
      <c r="DK7" s="4"/>
      <c r="DL7" s="4"/>
      <c r="DM7" s="33"/>
      <c r="DN7" s="28"/>
      <c r="DO7" s="4"/>
      <c r="DP7" s="4"/>
      <c r="DQ7" s="4"/>
      <c r="DR7" s="4"/>
      <c r="DS7" s="4"/>
      <c r="DT7" s="4"/>
      <c r="DU7" s="4"/>
      <c r="DV7" s="4"/>
      <c r="DW7" s="4"/>
      <c r="DX7" s="4"/>
    </row>
    <row r="8" ht="15.75" customHeight="1">
      <c r="A8" s="11">
        <v>1588.0</v>
      </c>
      <c r="B8" s="11" t="s">
        <v>42</v>
      </c>
      <c r="C8" s="12" t="str">
        <f t="shared" si="1"/>
        <v>TK-107_BS VI HSD</v>
      </c>
      <c r="D8" s="30" t="s">
        <v>202</v>
      </c>
      <c r="E8" s="31" t="s">
        <v>44</v>
      </c>
      <c r="F8" s="30" t="s">
        <v>109</v>
      </c>
      <c r="G8" s="15" t="s">
        <v>46</v>
      </c>
      <c r="H8" s="11">
        <v>0.0</v>
      </c>
      <c r="I8" s="16" t="s">
        <v>203</v>
      </c>
      <c r="J8" s="4"/>
      <c r="K8" s="17" t="str">
        <f t="shared" si="2"/>
        <v>TK-107</v>
      </c>
      <c r="L8" s="18" t="s">
        <v>48</v>
      </c>
      <c r="M8" s="4"/>
      <c r="N8" s="4"/>
      <c r="O8" s="16" t="s">
        <v>204</v>
      </c>
      <c r="P8" s="19">
        <v>0.0</v>
      </c>
      <c r="Q8" s="16" t="s">
        <v>205</v>
      </c>
      <c r="R8" s="19">
        <v>0.0</v>
      </c>
      <c r="S8" s="17" t="str">
        <f t="shared" si="3"/>
        <v>TK-107</v>
      </c>
      <c r="T8" s="18" t="s">
        <v>48</v>
      </c>
      <c r="U8" s="16" t="s">
        <v>206</v>
      </c>
      <c r="V8" s="19">
        <v>0.0</v>
      </c>
      <c r="W8" s="17" t="str">
        <f t="shared" si="4"/>
        <v>TK-107</v>
      </c>
      <c r="X8" s="18" t="s">
        <v>48</v>
      </c>
      <c r="Y8" s="16" t="s">
        <v>207</v>
      </c>
      <c r="Z8" s="19">
        <v>0.0</v>
      </c>
      <c r="AA8" s="20" t="str">
        <f t="shared" si="5"/>
        <v>VIB TK107</v>
      </c>
      <c r="AB8" s="21" t="s">
        <v>53</v>
      </c>
      <c r="AC8" s="16" t="s">
        <v>208</v>
      </c>
      <c r="AD8" s="19">
        <v>0.0</v>
      </c>
      <c r="AE8" s="20" t="str">
        <f t="shared" si="6"/>
        <v>VIB TK107</v>
      </c>
      <c r="AF8" s="21" t="s">
        <v>53</v>
      </c>
      <c r="AG8" s="16" t="s">
        <v>209</v>
      </c>
      <c r="AH8" s="19">
        <v>0.0</v>
      </c>
      <c r="AI8" s="20" t="str">
        <f t="shared" si="7"/>
        <v>VIB TK107</v>
      </c>
      <c r="AJ8" s="21" t="s">
        <v>53</v>
      </c>
      <c r="AK8" s="16" t="s">
        <v>210</v>
      </c>
      <c r="AL8" s="19">
        <v>0.0</v>
      </c>
      <c r="AM8" s="20" t="str">
        <f t="shared" si="8"/>
        <v>RDR TK107</v>
      </c>
      <c r="AN8" s="21" t="s">
        <v>57</v>
      </c>
      <c r="AO8" s="16" t="s">
        <v>211</v>
      </c>
      <c r="AP8" s="19">
        <v>0.0</v>
      </c>
      <c r="AQ8" s="20" t="str">
        <f t="shared" si="9"/>
        <v>RDR TK107</v>
      </c>
      <c r="AR8" s="21" t="s">
        <v>57</v>
      </c>
      <c r="AS8" s="16" t="s">
        <v>212</v>
      </c>
      <c r="AT8" s="19">
        <v>0.0</v>
      </c>
      <c r="AU8" s="20" t="str">
        <f t="shared" si="10"/>
        <v>RDR TK107</v>
      </c>
      <c r="AV8" s="21" t="s">
        <v>57</v>
      </c>
      <c r="AW8" s="16"/>
      <c r="AX8" s="16"/>
      <c r="AY8" s="20" t="str">
        <f t="shared" si="11"/>
        <v/>
      </c>
      <c r="AZ8" s="4"/>
      <c r="BA8" s="16"/>
      <c r="BB8" s="16"/>
      <c r="BC8" s="20" t="str">
        <f t="shared" si="12"/>
        <v/>
      </c>
      <c r="BD8" s="4"/>
      <c r="BE8" s="16" t="s">
        <v>213</v>
      </c>
      <c r="BF8" s="19">
        <v>0.0</v>
      </c>
      <c r="BG8" s="20" t="str">
        <f t="shared" si="23"/>
        <v>ROSOV-14</v>
      </c>
      <c r="BH8" s="21" t="s">
        <v>93</v>
      </c>
      <c r="BI8" s="16" t="s">
        <v>214</v>
      </c>
      <c r="BJ8" s="19">
        <v>0.0</v>
      </c>
      <c r="BK8" s="20" t="str">
        <f t="shared" si="24"/>
        <v>ROSOV-14</v>
      </c>
      <c r="BL8" s="22" t="s">
        <v>95</v>
      </c>
      <c r="BM8" s="16"/>
      <c r="BN8" s="4"/>
      <c r="BO8" s="20" t="str">
        <f t="shared" si="13"/>
        <v/>
      </c>
      <c r="BP8" s="4"/>
      <c r="BQ8" s="16"/>
      <c r="BR8" s="16"/>
      <c r="BS8" s="20" t="str">
        <f t="shared" si="14"/>
        <v/>
      </c>
      <c r="BT8" s="4"/>
      <c r="BU8" s="24" t="s">
        <v>215</v>
      </c>
      <c r="BV8" s="25">
        <v>0.0</v>
      </c>
      <c r="BW8" s="20" t="str">
        <f t="shared" si="25"/>
        <v>ROSOV-13</v>
      </c>
      <c r="BX8" s="22" t="s">
        <v>97</v>
      </c>
      <c r="BY8" s="24" t="s">
        <v>216</v>
      </c>
      <c r="BZ8" s="25">
        <v>0.0</v>
      </c>
      <c r="CA8" s="20" t="str">
        <f t="shared" si="27"/>
        <v>ROSOV-13</v>
      </c>
      <c r="CB8" s="21" t="s">
        <v>99</v>
      </c>
      <c r="CC8" s="24" t="s">
        <v>217</v>
      </c>
      <c r="CD8" s="25">
        <v>0.0</v>
      </c>
      <c r="CE8" s="20" t="str">
        <f t="shared" si="15"/>
        <v>DBBV-25</v>
      </c>
      <c r="CF8" s="21" t="s">
        <v>69</v>
      </c>
      <c r="CG8" s="32" t="s">
        <v>218</v>
      </c>
      <c r="CH8" s="27">
        <v>1.0</v>
      </c>
      <c r="CI8" s="20" t="str">
        <f t="shared" si="16"/>
        <v>DBBV-25</v>
      </c>
      <c r="CJ8" s="21" t="s">
        <v>69</v>
      </c>
      <c r="CK8" s="4"/>
      <c r="CL8" s="28"/>
      <c r="CM8" s="20" t="str">
        <f t="shared" si="17"/>
        <v/>
      </c>
      <c r="CN8" s="4"/>
      <c r="CO8" s="4"/>
      <c r="CP8" s="4"/>
      <c r="CQ8" s="4"/>
      <c r="CR8" s="4"/>
      <c r="CS8" s="24" t="s">
        <v>219</v>
      </c>
      <c r="CT8" s="25">
        <v>0.0</v>
      </c>
      <c r="CU8" s="20" t="str">
        <f t="shared" si="19"/>
        <v>DBBV-26</v>
      </c>
      <c r="CV8" s="21" t="s">
        <v>75</v>
      </c>
      <c r="CW8" s="32" t="s">
        <v>220</v>
      </c>
      <c r="CX8" s="27">
        <v>1.0</v>
      </c>
      <c r="CY8" s="20" t="str">
        <f t="shared" si="20"/>
        <v>DBBV-26</v>
      </c>
      <c r="CZ8" s="21" t="s">
        <v>75</v>
      </c>
      <c r="DA8" s="24" t="s">
        <v>221</v>
      </c>
      <c r="DB8" s="25">
        <v>0.0</v>
      </c>
      <c r="DC8" s="20" t="str">
        <f t="shared" si="21"/>
        <v>DBBV-28</v>
      </c>
      <c r="DD8" s="21" t="s">
        <v>78</v>
      </c>
      <c r="DE8" s="32" t="s">
        <v>222</v>
      </c>
      <c r="DF8" s="27">
        <v>1.0</v>
      </c>
      <c r="DG8" s="20" t="str">
        <f t="shared" si="22"/>
        <v>DBBV-28</v>
      </c>
      <c r="DH8" s="21" t="s">
        <v>78</v>
      </c>
      <c r="DI8" s="24" t="s">
        <v>223</v>
      </c>
      <c r="DJ8" s="25">
        <v>0.0</v>
      </c>
      <c r="DK8" s="20" t="str">
        <f t="shared" ref="DK8:DK17" si="28">MID(DI8,5,7)</f>
        <v>DBBV-27</v>
      </c>
      <c r="DL8" s="21" t="s">
        <v>224</v>
      </c>
      <c r="DM8" s="32" t="s">
        <v>225</v>
      </c>
      <c r="DN8" s="27">
        <v>1.0</v>
      </c>
      <c r="DO8" s="20" t="str">
        <f t="shared" ref="DO8:DO16" si="29">MID(DM8,5,7)</f>
        <v>DBBV-27</v>
      </c>
      <c r="DP8" s="21" t="s">
        <v>224</v>
      </c>
      <c r="DQ8" s="4"/>
      <c r="DR8" s="4"/>
      <c r="DS8" s="4"/>
      <c r="DT8" s="4"/>
      <c r="DU8" s="4"/>
      <c r="DV8" s="4"/>
      <c r="DW8" s="4"/>
      <c r="DX8" s="4"/>
    </row>
    <row r="9" ht="15.75" customHeight="1">
      <c r="A9" s="11">
        <v>1588.0</v>
      </c>
      <c r="B9" s="11" t="s">
        <v>42</v>
      </c>
      <c r="C9" s="12" t="str">
        <f t="shared" si="1"/>
        <v>TK-108_BS VI HSD</v>
      </c>
      <c r="D9" s="30" t="s">
        <v>226</v>
      </c>
      <c r="E9" s="31" t="s">
        <v>44</v>
      </c>
      <c r="F9" s="30" t="s">
        <v>109</v>
      </c>
      <c r="G9" s="15" t="s">
        <v>46</v>
      </c>
      <c r="H9" s="11">
        <v>0.0</v>
      </c>
      <c r="I9" s="16" t="s">
        <v>227</v>
      </c>
      <c r="J9" s="4"/>
      <c r="K9" s="17" t="str">
        <f t="shared" si="2"/>
        <v>TK-108</v>
      </c>
      <c r="L9" s="18" t="s">
        <v>48</v>
      </c>
      <c r="M9" s="4"/>
      <c r="N9" s="4"/>
      <c r="O9" s="16" t="s">
        <v>228</v>
      </c>
      <c r="P9" s="19">
        <v>0.0</v>
      </c>
      <c r="Q9" s="16" t="s">
        <v>229</v>
      </c>
      <c r="R9" s="19">
        <v>0.0</v>
      </c>
      <c r="S9" s="17" t="str">
        <f t="shared" si="3"/>
        <v>TK-108</v>
      </c>
      <c r="T9" s="18" t="s">
        <v>48</v>
      </c>
      <c r="U9" s="16" t="s">
        <v>230</v>
      </c>
      <c r="V9" s="19">
        <v>0.0</v>
      </c>
      <c r="W9" s="17" t="str">
        <f t="shared" si="4"/>
        <v>TK-108</v>
      </c>
      <c r="X9" s="18" t="s">
        <v>48</v>
      </c>
      <c r="Y9" s="16" t="s">
        <v>231</v>
      </c>
      <c r="Z9" s="19">
        <v>0.0</v>
      </c>
      <c r="AA9" s="20" t="str">
        <f t="shared" si="5"/>
        <v>VIB TK108</v>
      </c>
      <c r="AB9" s="21" t="s">
        <v>53</v>
      </c>
      <c r="AC9" s="16" t="s">
        <v>232</v>
      </c>
      <c r="AD9" s="19">
        <v>0.0</v>
      </c>
      <c r="AE9" s="20" t="str">
        <f t="shared" si="6"/>
        <v>VIB TK108</v>
      </c>
      <c r="AF9" s="21" t="s">
        <v>53</v>
      </c>
      <c r="AG9" s="16" t="s">
        <v>233</v>
      </c>
      <c r="AH9" s="19">
        <v>0.0</v>
      </c>
      <c r="AI9" s="20" t="str">
        <f t="shared" si="7"/>
        <v>VIB TK108</v>
      </c>
      <c r="AJ9" s="21" t="s">
        <v>53</v>
      </c>
      <c r="AK9" s="16" t="s">
        <v>234</v>
      </c>
      <c r="AL9" s="19">
        <v>0.0</v>
      </c>
      <c r="AM9" s="20" t="str">
        <f t="shared" si="8"/>
        <v>RDR TK108</v>
      </c>
      <c r="AN9" s="21" t="s">
        <v>57</v>
      </c>
      <c r="AO9" s="16" t="s">
        <v>235</v>
      </c>
      <c r="AP9" s="19">
        <v>0.0</v>
      </c>
      <c r="AQ9" s="20" t="str">
        <f t="shared" si="9"/>
        <v>RDR TK108</v>
      </c>
      <c r="AR9" s="21" t="s">
        <v>57</v>
      </c>
      <c r="AS9" s="16" t="s">
        <v>236</v>
      </c>
      <c r="AT9" s="19">
        <v>0.0</v>
      </c>
      <c r="AU9" s="20" t="str">
        <f t="shared" si="10"/>
        <v>RDR TK108</v>
      </c>
      <c r="AV9" s="21" t="s">
        <v>57</v>
      </c>
      <c r="AW9" s="16"/>
      <c r="AX9" s="16"/>
      <c r="AY9" s="20" t="str">
        <f t="shared" si="11"/>
        <v/>
      </c>
      <c r="AZ9" s="4"/>
      <c r="BA9" s="16"/>
      <c r="BB9" s="16"/>
      <c r="BC9" s="20" t="str">
        <f t="shared" si="12"/>
        <v/>
      </c>
      <c r="BD9" s="4"/>
      <c r="BE9" s="16" t="s">
        <v>237</v>
      </c>
      <c r="BF9" s="19">
        <v>0.0</v>
      </c>
      <c r="BG9" s="20" t="str">
        <f t="shared" si="23"/>
        <v>ROSOV-16</v>
      </c>
      <c r="BH9" s="21" t="s">
        <v>93</v>
      </c>
      <c r="BI9" s="16" t="s">
        <v>238</v>
      </c>
      <c r="BJ9" s="19">
        <v>0.0</v>
      </c>
      <c r="BK9" s="20" t="str">
        <f t="shared" si="24"/>
        <v>ROSOV-16</v>
      </c>
      <c r="BL9" s="22" t="s">
        <v>95</v>
      </c>
      <c r="BM9" s="16"/>
      <c r="BN9" s="4"/>
      <c r="BO9" s="20" t="str">
        <f t="shared" si="13"/>
        <v/>
      </c>
      <c r="BP9" s="4"/>
      <c r="BQ9" s="16"/>
      <c r="BR9" s="16"/>
      <c r="BS9" s="20" t="str">
        <f t="shared" si="14"/>
        <v/>
      </c>
      <c r="BT9" s="4"/>
      <c r="BU9" s="24" t="s">
        <v>239</v>
      </c>
      <c r="BV9" s="25">
        <v>0.0</v>
      </c>
      <c r="BW9" s="20" t="str">
        <f t="shared" si="25"/>
        <v>ROSOV-15</v>
      </c>
      <c r="BX9" s="22" t="s">
        <v>97</v>
      </c>
      <c r="BY9" s="24" t="s">
        <v>240</v>
      </c>
      <c r="BZ9" s="25">
        <v>0.0</v>
      </c>
      <c r="CA9" s="20" t="str">
        <f t="shared" si="27"/>
        <v>ROSOV-15</v>
      </c>
      <c r="CB9" s="21" t="s">
        <v>99</v>
      </c>
      <c r="CC9" s="16"/>
      <c r="CD9" s="4"/>
      <c r="CE9" s="20" t="str">
        <f t="shared" si="15"/>
        <v/>
      </c>
      <c r="CF9" s="21"/>
      <c r="CG9" s="34"/>
      <c r="CH9" s="35"/>
      <c r="CI9" s="20" t="str">
        <f t="shared" si="16"/>
        <v/>
      </c>
      <c r="CJ9" s="21"/>
      <c r="CK9" s="24" t="s">
        <v>241</v>
      </c>
      <c r="CL9" s="25">
        <v>0.0</v>
      </c>
      <c r="CM9" s="20" t="str">
        <f t="shared" si="17"/>
        <v>DBBV-32</v>
      </c>
      <c r="CN9" s="21" t="s">
        <v>72</v>
      </c>
      <c r="CO9" s="36" t="s">
        <v>242</v>
      </c>
      <c r="CP9" s="27">
        <v>1.0</v>
      </c>
      <c r="CQ9" s="20" t="str">
        <f t="shared" ref="CQ9:CQ16" si="30">MID(CO9,5,7)</f>
        <v>DBBV-32</v>
      </c>
      <c r="CR9" s="21" t="s">
        <v>72</v>
      </c>
      <c r="CS9" s="16"/>
      <c r="CT9" s="28"/>
      <c r="CU9" s="20" t="str">
        <f t="shared" si="19"/>
        <v/>
      </c>
      <c r="CV9" s="21"/>
      <c r="CW9" s="34"/>
      <c r="CX9" s="35"/>
      <c r="CY9" s="20" t="str">
        <f t="shared" si="20"/>
        <v/>
      </c>
      <c r="CZ9" s="21"/>
      <c r="DA9" s="16"/>
      <c r="DB9" s="28"/>
      <c r="DC9" s="37"/>
      <c r="DD9" s="37"/>
      <c r="DE9" s="37"/>
      <c r="DF9" s="37"/>
      <c r="DG9" s="37"/>
      <c r="DH9" s="37"/>
      <c r="DI9" s="24" t="s">
        <v>243</v>
      </c>
      <c r="DJ9" s="25">
        <v>0.0</v>
      </c>
      <c r="DK9" s="20" t="str">
        <f t="shared" si="28"/>
        <v>DBBV-31</v>
      </c>
      <c r="DL9" s="21" t="s">
        <v>224</v>
      </c>
      <c r="DM9" s="32" t="s">
        <v>244</v>
      </c>
      <c r="DN9" s="27">
        <v>1.0</v>
      </c>
      <c r="DO9" s="20" t="str">
        <f t="shared" si="29"/>
        <v>DBBV-31</v>
      </c>
      <c r="DP9" s="21" t="s">
        <v>224</v>
      </c>
      <c r="DQ9" s="4"/>
      <c r="DR9" s="4"/>
      <c r="DS9" s="4"/>
      <c r="DT9" s="4"/>
      <c r="DU9" s="4"/>
      <c r="DV9" s="4"/>
      <c r="DW9" s="4"/>
      <c r="DX9" s="4"/>
    </row>
    <row r="10" ht="15.75" customHeight="1">
      <c r="A10" s="11">
        <v>1588.0</v>
      </c>
      <c r="B10" s="11" t="s">
        <v>42</v>
      </c>
      <c r="C10" s="12" t="str">
        <f t="shared" si="1"/>
        <v>TK-109_BS VI HSD</v>
      </c>
      <c r="D10" s="30" t="s">
        <v>245</v>
      </c>
      <c r="E10" s="31" t="s">
        <v>44</v>
      </c>
      <c r="F10" s="30" t="s">
        <v>109</v>
      </c>
      <c r="G10" s="15" t="s">
        <v>46</v>
      </c>
      <c r="H10" s="11">
        <v>0.0</v>
      </c>
      <c r="I10" s="16" t="s">
        <v>246</v>
      </c>
      <c r="J10" s="4"/>
      <c r="K10" s="17" t="str">
        <f t="shared" si="2"/>
        <v>TK-109</v>
      </c>
      <c r="L10" s="18" t="s">
        <v>48</v>
      </c>
      <c r="M10" s="4"/>
      <c r="N10" s="4"/>
      <c r="O10" s="16" t="s">
        <v>247</v>
      </c>
      <c r="P10" s="19">
        <v>0.0</v>
      </c>
      <c r="Q10" s="16" t="s">
        <v>248</v>
      </c>
      <c r="R10" s="19">
        <v>0.0</v>
      </c>
      <c r="S10" s="17" t="str">
        <f t="shared" si="3"/>
        <v>TK-109</v>
      </c>
      <c r="T10" s="18" t="s">
        <v>48</v>
      </c>
      <c r="U10" s="16" t="s">
        <v>249</v>
      </c>
      <c r="V10" s="19">
        <v>0.0</v>
      </c>
      <c r="W10" s="17" t="str">
        <f t="shared" si="4"/>
        <v>TK-109</v>
      </c>
      <c r="X10" s="18" t="s">
        <v>48</v>
      </c>
      <c r="Y10" s="16" t="s">
        <v>250</v>
      </c>
      <c r="Z10" s="19">
        <v>0.0</v>
      </c>
      <c r="AA10" s="20" t="str">
        <f t="shared" si="5"/>
        <v>VIB TK109</v>
      </c>
      <c r="AB10" s="21" t="s">
        <v>53</v>
      </c>
      <c r="AC10" s="16" t="s">
        <v>251</v>
      </c>
      <c r="AD10" s="19">
        <v>0.0</v>
      </c>
      <c r="AE10" s="20" t="str">
        <f t="shared" si="6"/>
        <v>VIB TK109</v>
      </c>
      <c r="AF10" s="21" t="s">
        <v>53</v>
      </c>
      <c r="AG10" s="16" t="s">
        <v>252</v>
      </c>
      <c r="AH10" s="19">
        <v>0.0</v>
      </c>
      <c r="AI10" s="20" t="str">
        <f t="shared" si="7"/>
        <v>VIB TK109</v>
      </c>
      <c r="AJ10" s="21" t="s">
        <v>53</v>
      </c>
      <c r="AK10" s="16" t="s">
        <v>253</v>
      </c>
      <c r="AL10" s="19">
        <v>0.0</v>
      </c>
      <c r="AM10" s="20" t="str">
        <f t="shared" si="8"/>
        <v>RDR TK109</v>
      </c>
      <c r="AN10" s="21" t="s">
        <v>57</v>
      </c>
      <c r="AO10" s="16" t="s">
        <v>254</v>
      </c>
      <c r="AP10" s="19">
        <v>0.0</v>
      </c>
      <c r="AQ10" s="20" t="str">
        <f t="shared" si="9"/>
        <v>RDR TK109</v>
      </c>
      <c r="AR10" s="21" t="s">
        <v>57</v>
      </c>
      <c r="AS10" s="16" t="s">
        <v>255</v>
      </c>
      <c r="AT10" s="19">
        <v>0.0</v>
      </c>
      <c r="AU10" s="20" t="str">
        <f t="shared" si="10"/>
        <v>RDR TK109</v>
      </c>
      <c r="AV10" s="21" t="s">
        <v>57</v>
      </c>
      <c r="AW10" s="16"/>
      <c r="AX10" s="16"/>
      <c r="AY10" s="20" t="str">
        <f t="shared" si="11"/>
        <v/>
      </c>
      <c r="AZ10" s="4"/>
      <c r="BA10" s="16"/>
      <c r="BB10" s="16"/>
      <c r="BC10" s="20" t="str">
        <f t="shared" si="12"/>
        <v/>
      </c>
      <c r="BD10" s="4"/>
      <c r="BE10" s="16" t="s">
        <v>256</v>
      </c>
      <c r="BF10" s="19">
        <v>0.0</v>
      </c>
      <c r="BG10" s="20" t="str">
        <f t="shared" si="23"/>
        <v>ROSOV-19</v>
      </c>
      <c r="BH10" s="21" t="s">
        <v>93</v>
      </c>
      <c r="BI10" s="16" t="s">
        <v>257</v>
      </c>
      <c r="BJ10" s="19">
        <v>0.0</v>
      </c>
      <c r="BK10" s="20" t="str">
        <f t="shared" si="24"/>
        <v>ROSOV-19</v>
      </c>
      <c r="BL10" s="22" t="s">
        <v>95</v>
      </c>
      <c r="BM10" s="16"/>
      <c r="BN10" s="4"/>
      <c r="BO10" s="20" t="str">
        <f t="shared" si="13"/>
        <v/>
      </c>
      <c r="BP10" s="4"/>
      <c r="BQ10" s="16"/>
      <c r="BR10" s="16"/>
      <c r="BS10" s="20" t="str">
        <f t="shared" si="14"/>
        <v/>
      </c>
      <c r="BT10" s="4"/>
      <c r="BU10" s="24" t="s">
        <v>258</v>
      </c>
      <c r="BV10" s="25">
        <v>0.0</v>
      </c>
      <c r="BW10" s="20" t="str">
        <f t="shared" si="25"/>
        <v>ROSOV-18</v>
      </c>
      <c r="BX10" s="22" t="s">
        <v>97</v>
      </c>
      <c r="BY10" s="24" t="s">
        <v>259</v>
      </c>
      <c r="BZ10" s="25">
        <v>0.0</v>
      </c>
      <c r="CA10" s="20" t="str">
        <f t="shared" si="27"/>
        <v>ROSOV-18</v>
      </c>
      <c r="CB10" s="21" t="s">
        <v>99</v>
      </c>
      <c r="CC10" s="24" t="s">
        <v>260</v>
      </c>
      <c r="CD10" s="25">
        <v>0.0</v>
      </c>
      <c r="CE10" s="20" t="str">
        <f t="shared" si="15"/>
        <v>DBBV-33</v>
      </c>
      <c r="CF10" s="21" t="s">
        <v>69</v>
      </c>
      <c r="CG10" s="32" t="s">
        <v>261</v>
      </c>
      <c r="CH10" s="27">
        <v>1.0</v>
      </c>
      <c r="CI10" s="20" t="str">
        <f t="shared" si="16"/>
        <v>DBBV-33</v>
      </c>
      <c r="CJ10" s="21" t="s">
        <v>69</v>
      </c>
      <c r="CK10" s="24" t="s">
        <v>262</v>
      </c>
      <c r="CL10" s="25">
        <v>0.0</v>
      </c>
      <c r="CM10" s="20" t="str">
        <f t="shared" si="17"/>
        <v>DBBV-36</v>
      </c>
      <c r="CN10" s="21" t="s">
        <v>72</v>
      </c>
      <c r="CO10" s="36" t="s">
        <v>263</v>
      </c>
      <c r="CP10" s="27">
        <v>1.0</v>
      </c>
      <c r="CQ10" s="20" t="str">
        <f t="shared" si="30"/>
        <v>DBBV-36</v>
      </c>
      <c r="CR10" s="21" t="s">
        <v>72</v>
      </c>
      <c r="CS10" s="24" t="s">
        <v>264</v>
      </c>
      <c r="CT10" s="25">
        <v>0.0</v>
      </c>
      <c r="CU10" s="20" t="str">
        <f t="shared" si="19"/>
        <v>DBBV-34</v>
      </c>
      <c r="CV10" s="21" t="s">
        <v>75</v>
      </c>
      <c r="CW10" s="32" t="s">
        <v>265</v>
      </c>
      <c r="CX10" s="27">
        <v>1.0</v>
      </c>
      <c r="CY10" s="20" t="str">
        <f t="shared" si="20"/>
        <v>DBBV-34</v>
      </c>
      <c r="CZ10" s="21" t="s">
        <v>75</v>
      </c>
      <c r="DA10" s="24"/>
      <c r="DB10" s="38"/>
      <c r="DC10" s="37"/>
      <c r="DD10" s="37"/>
      <c r="DE10" s="37"/>
      <c r="DF10" s="37"/>
      <c r="DG10" s="37"/>
      <c r="DH10" s="37"/>
      <c r="DI10" s="24" t="s">
        <v>266</v>
      </c>
      <c r="DJ10" s="25">
        <v>0.0</v>
      </c>
      <c r="DK10" s="20" t="str">
        <f t="shared" si="28"/>
        <v>DBBV-35</v>
      </c>
      <c r="DL10" s="21" t="s">
        <v>224</v>
      </c>
      <c r="DM10" s="32" t="s">
        <v>267</v>
      </c>
      <c r="DN10" s="27">
        <v>1.0</v>
      </c>
      <c r="DO10" s="20" t="str">
        <f t="shared" si="29"/>
        <v>DBBV-35</v>
      </c>
      <c r="DP10" s="21" t="s">
        <v>224</v>
      </c>
      <c r="DQ10" s="4"/>
      <c r="DR10" s="4"/>
      <c r="DS10" s="4"/>
      <c r="DT10" s="4"/>
      <c r="DU10" s="4"/>
      <c r="DV10" s="4"/>
      <c r="DW10" s="4"/>
      <c r="DX10" s="4"/>
    </row>
    <row r="11" ht="15.75" customHeight="1">
      <c r="A11" s="11">
        <v>1588.0</v>
      </c>
      <c r="B11" s="11" t="s">
        <v>42</v>
      </c>
      <c r="C11" s="12" t="str">
        <f t="shared" si="1"/>
        <v>TK-110_SKO</v>
      </c>
      <c r="D11" s="30" t="s">
        <v>268</v>
      </c>
      <c r="E11" s="31" t="s">
        <v>44</v>
      </c>
      <c r="F11" s="30" t="s">
        <v>269</v>
      </c>
      <c r="G11" s="15" t="s">
        <v>46</v>
      </c>
      <c r="H11" s="11">
        <v>0.0</v>
      </c>
      <c r="I11" s="16" t="s">
        <v>270</v>
      </c>
      <c r="J11" s="4"/>
      <c r="K11" s="17" t="str">
        <f t="shared" si="2"/>
        <v>TK-110</v>
      </c>
      <c r="L11" s="18" t="s">
        <v>48</v>
      </c>
      <c r="M11" s="4"/>
      <c r="N11" s="4"/>
      <c r="O11" s="16" t="s">
        <v>271</v>
      </c>
      <c r="P11" s="19">
        <v>0.0</v>
      </c>
      <c r="Q11" s="16" t="s">
        <v>272</v>
      </c>
      <c r="R11" s="19">
        <v>0.0</v>
      </c>
      <c r="S11" s="17" t="str">
        <f t="shared" si="3"/>
        <v>TK-110</v>
      </c>
      <c r="T11" s="18" t="s">
        <v>48</v>
      </c>
      <c r="U11" s="16" t="s">
        <v>273</v>
      </c>
      <c r="V11" s="19">
        <v>0.0</v>
      </c>
      <c r="W11" s="17" t="str">
        <f t="shared" si="4"/>
        <v>TK-110</v>
      </c>
      <c r="X11" s="18" t="s">
        <v>48</v>
      </c>
      <c r="Y11" s="16" t="s">
        <v>274</v>
      </c>
      <c r="Z11" s="19">
        <v>0.0</v>
      </c>
      <c r="AA11" s="20" t="str">
        <f t="shared" si="5"/>
        <v>VIB TK110</v>
      </c>
      <c r="AB11" s="21" t="s">
        <v>53</v>
      </c>
      <c r="AC11" s="16" t="s">
        <v>275</v>
      </c>
      <c r="AD11" s="19">
        <v>0.0</v>
      </c>
      <c r="AE11" s="20" t="str">
        <f t="shared" si="6"/>
        <v>VIB TK110</v>
      </c>
      <c r="AF11" s="21" t="s">
        <v>53</v>
      </c>
      <c r="AG11" s="16" t="s">
        <v>276</v>
      </c>
      <c r="AH11" s="19">
        <v>0.0</v>
      </c>
      <c r="AI11" s="20" t="str">
        <f t="shared" si="7"/>
        <v>VIB TK110</v>
      </c>
      <c r="AJ11" s="21" t="s">
        <v>53</v>
      </c>
      <c r="AK11" s="16" t="s">
        <v>277</v>
      </c>
      <c r="AL11" s="19">
        <v>0.0</v>
      </c>
      <c r="AM11" s="20" t="str">
        <f t="shared" si="8"/>
        <v>RDR TK110</v>
      </c>
      <c r="AN11" s="21" t="s">
        <v>57</v>
      </c>
      <c r="AO11" s="16" t="s">
        <v>278</v>
      </c>
      <c r="AP11" s="19">
        <v>0.0</v>
      </c>
      <c r="AQ11" s="20" t="str">
        <f t="shared" si="9"/>
        <v>RDR TK110</v>
      </c>
      <c r="AR11" s="21" t="s">
        <v>57</v>
      </c>
      <c r="AS11" s="16" t="s">
        <v>279</v>
      </c>
      <c r="AT11" s="19">
        <v>0.0</v>
      </c>
      <c r="AU11" s="20" t="str">
        <f t="shared" si="10"/>
        <v>RDR TK110</v>
      </c>
      <c r="AV11" s="21" t="s">
        <v>57</v>
      </c>
      <c r="AW11" s="16"/>
      <c r="AX11" s="16"/>
      <c r="AY11" s="20" t="str">
        <f t="shared" si="11"/>
        <v/>
      </c>
      <c r="AZ11" s="4"/>
      <c r="BA11" s="16"/>
      <c r="BB11" s="16"/>
      <c r="BC11" s="20" t="str">
        <f t="shared" si="12"/>
        <v/>
      </c>
      <c r="BD11" s="4"/>
      <c r="BE11" s="16"/>
      <c r="BF11" s="16"/>
      <c r="BG11" s="20" t="str">
        <f t="shared" si="23"/>
        <v/>
      </c>
      <c r="BH11" s="4"/>
      <c r="BI11" s="16"/>
      <c r="BJ11" s="16"/>
      <c r="BK11" s="20" t="str">
        <f t="shared" si="24"/>
        <v/>
      </c>
      <c r="BL11" s="4"/>
      <c r="BM11" s="24" t="s">
        <v>280</v>
      </c>
      <c r="BN11" s="19">
        <v>0.0</v>
      </c>
      <c r="BO11" s="20" t="str">
        <f t="shared" si="13"/>
        <v>ROSOV-22</v>
      </c>
      <c r="BP11" s="21" t="s">
        <v>65</v>
      </c>
      <c r="BQ11" s="24" t="s">
        <v>281</v>
      </c>
      <c r="BR11" s="25">
        <v>0.0</v>
      </c>
      <c r="BS11" s="20" t="str">
        <f t="shared" si="14"/>
        <v>ROSOV-22</v>
      </c>
      <c r="BT11" s="22" t="s">
        <v>67</v>
      </c>
      <c r="BU11" s="24" t="s">
        <v>282</v>
      </c>
      <c r="BV11" s="25">
        <v>0.0</v>
      </c>
      <c r="BW11" s="20" t="str">
        <f t="shared" si="25"/>
        <v>ROSOV-21</v>
      </c>
      <c r="BX11" s="22" t="s">
        <v>97</v>
      </c>
      <c r="BY11" s="24" t="s">
        <v>283</v>
      </c>
      <c r="BZ11" s="25">
        <v>0.0</v>
      </c>
      <c r="CA11" s="20" t="str">
        <f t="shared" si="27"/>
        <v>ROSOV-21</v>
      </c>
      <c r="CB11" s="21" t="s">
        <v>99</v>
      </c>
      <c r="CC11" s="24" t="s">
        <v>284</v>
      </c>
      <c r="CD11" s="25">
        <v>0.0</v>
      </c>
      <c r="CE11" s="20" t="str">
        <f t="shared" si="15"/>
        <v>DBBV-37</v>
      </c>
      <c r="CF11" s="21" t="s">
        <v>69</v>
      </c>
      <c r="CG11" s="32" t="s">
        <v>285</v>
      </c>
      <c r="CH11" s="27">
        <v>1.0</v>
      </c>
      <c r="CI11" s="20" t="str">
        <f t="shared" si="16"/>
        <v>DBBV-37</v>
      </c>
      <c r="CJ11" s="21" t="s">
        <v>69</v>
      </c>
      <c r="CK11" s="24" t="s">
        <v>286</v>
      </c>
      <c r="CL11" s="25">
        <v>0.0</v>
      </c>
      <c r="CM11" s="20" t="str">
        <f t="shared" si="17"/>
        <v>DBBV-40</v>
      </c>
      <c r="CN11" s="21" t="s">
        <v>72</v>
      </c>
      <c r="CO11" s="36" t="s">
        <v>287</v>
      </c>
      <c r="CP11" s="27">
        <v>1.0</v>
      </c>
      <c r="CQ11" s="20" t="str">
        <f t="shared" si="30"/>
        <v>DBBV-40</v>
      </c>
      <c r="CR11" s="21" t="s">
        <v>72</v>
      </c>
      <c r="CS11" s="24" t="s">
        <v>288</v>
      </c>
      <c r="CT11" s="25">
        <v>0.0</v>
      </c>
      <c r="CU11" s="20" t="str">
        <f t="shared" si="19"/>
        <v>DBBV-38</v>
      </c>
      <c r="CV11" s="21" t="s">
        <v>75</v>
      </c>
      <c r="CW11" s="32" t="s">
        <v>289</v>
      </c>
      <c r="CX11" s="27">
        <v>1.0</v>
      </c>
      <c r="CY11" s="20" t="str">
        <f t="shared" si="20"/>
        <v>DBBV-38</v>
      </c>
      <c r="CZ11" s="21" t="s">
        <v>75</v>
      </c>
      <c r="DA11" s="24"/>
      <c r="DB11" s="38"/>
      <c r="DC11" s="37"/>
      <c r="DD11" s="37"/>
      <c r="DE11" s="37"/>
      <c r="DF11" s="37"/>
      <c r="DG11" s="37"/>
      <c r="DH11" s="37"/>
      <c r="DI11" s="24" t="s">
        <v>290</v>
      </c>
      <c r="DJ11" s="25">
        <v>0.0</v>
      </c>
      <c r="DK11" s="20" t="str">
        <f t="shared" si="28"/>
        <v>DBBV-39</v>
      </c>
      <c r="DL11" s="21" t="s">
        <v>224</v>
      </c>
      <c r="DM11" s="32" t="s">
        <v>291</v>
      </c>
      <c r="DN11" s="27">
        <v>1.0</v>
      </c>
      <c r="DO11" s="20" t="str">
        <f t="shared" si="29"/>
        <v>DBBV-39</v>
      </c>
      <c r="DP11" s="21" t="s">
        <v>224</v>
      </c>
      <c r="DQ11" s="4"/>
      <c r="DR11" s="4"/>
      <c r="DS11" s="4"/>
      <c r="DT11" s="4"/>
      <c r="DU11" s="4"/>
      <c r="DV11" s="4"/>
      <c r="DW11" s="4"/>
      <c r="DX11" s="4"/>
    </row>
    <row r="12" ht="15.75" customHeight="1">
      <c r="A12" s="11">
        <v>1588.0</v>
      </c>
      <c r="B12" s="11" t="s">
        <v>42</v>
      </c>
      <c r="C12" s="12" t="str">
        <f t="shared" si="1"/>
        <v>TK-111_ATF</v>
      </c>
      <c r="D12" s="30" t="s">
        <v>292</v>
      </c>
      <c r="E12" s="31" t="s">
        <v>44</v>
      </c>
      <c r="F12" s="30" t="s">
        <v>293</v>
      </c>
      <c r="G12" s="15" t="s">
        <v>46</v>
      </c>
      <c r="H12" s="11">
        <v>0.0</v>
      </c>
      <c r="I12" s="16" t="s">
        <v>294</v>
      </c>
      <c r="J12" s="4"/>
      <c r="K12" s="17" t="str">
        <f t="shared" si="2"/>
        <v>TK-111</v>
      </c>
      <c r="L12" s="18" t="s">
        <v>48</v>
      </c>
      <c r="M12" s="4"/>
      <c r="N12" s="4"/>
      <c r="O12" s="16" t="s">
        <v>295</v>
      </c>
      <c r="P12" s="19">
        <v>0.0</v>
      </c>
      <c r="Q12" s="16" t="s">
        <v>296</v>
      </c>
      <c r="R12" s="19">
        <v>0.0</v>
      </c>
      <c r="S12" s="17" t="str">
        <f t="shared" si="3"/>
        <v>TK-111</v>
      </c>
      <c r="T12" s="18" t="s">
        <v>48</v>
      </c>
      <c r="U12" s="16" t="s">
        <v>297</v>
      </c>
      <c r="V12" s="19">
        <v>0.0</v>
      </c>
      <c r="W12" s="17" t="str">
        <f t="shared" si="4"/>
        <v>TK-111</v>
      </c>
      <c r="X12" s="18" t="s">
        <v>48</v>
      </c>
      <c r="Y12" s="16" t="s">
        <v>298</v>
      </c>
      <c r="Z12" s="19">
        <v>0.0</v>
      </c>
      <c r="AA12" s="20" t="str">
        <f t="shared" si="5"/>
        <v>VIB TK111</v>
      </c>
      <c r="AB12" s="21" t="s">
        <v>53</v>
      </c>
      <c r="AC12" s="16" t="s">
        <v>299</v>
      </c>
      <c r="AD12" s="19">
        <v>0.0</v>
      </c>
      <c r="AE12" s="20" t="str">
        <f t="shared" si="6"/>
        <v>VIB TK111</v>
      </c>
      <c r="AF12" s="21" t="s">
        <v>53</v>
      </c>
      <c r="AG12" s="16" t="s">
        <v>300</v>
      </c>
      <c r="AH12" s="19">
        <v>0.0</v>
      </c>
      <c r="AI12" s="20" t="str">
        <f t="shared" si="7"/>
        <v>VIB TK111</v>
      </c>
      <c r="AJ12" s="21" t="s">
        <v>53</v>
      </c>
      <c r="AK12" s="16" t="s">
        <v>301</v>
      </c>
      <c r="AL12" s="19">
        <v>0.0</v>
      </c>
      <c r="AM12" s="20" t="str">
        <f t="shared" si="8"/>
        <v>RDR TK111</v>
      </c>
      <c r="AN12" s="21" t="s">
        <v>57</v>
      </c>
      <c r="AO12" s="16" t="s">
        <v>302</v>
      </c>
      <c r="AP12" s="19">
        <v>0.0</v>
      </c>
      <c r="AQ12" s="20" t="str">
        <f t="shared" si="9"/>
        <v>RDR TK111</v>
      </c>
      <c r="AR12" s="21" t="s">
        <v>57</v>
      </c>
      <c r="AS12" s="16" t="s">
        <v>303</v>
      </c>
      <c r="AT12" s="19">
        <v>0.0</v>
      </c>
      <c r="AU12" s="20" t="str">
        <f t="shared" si="10"/>
        <v>RDR TK111</v>
      </c>
      <c r="AV12" s="21" t="s">
        <v>57</v>
      </c>
      <c r="AW12" s="16"/>
      <c r="AX12" s="16"/>
      <c r="AY12" s="20" t="str">
        <f t="shared" si="11"/>
        <v/>
      </c>
      <c r="AZ12" s="4"/>
      <c r="BA12" s="16"/>
      <c r="BB12" s="16"/>
      <c r="BC12" s="20" t="str">
        <f t="shared" si="12"/>
        <v/>
      </c>
      <c r="BD12" s="4"/>
      <c r="BE12" s="16"/>
      <c r="BF12" s="16"/>
      <c r="BG12" s="20" t="str">
        <f t="shared" si="23"/>
        <v/>
      </c>
      <c r="BH12" s="4"/>
      <c r="BI12" s="16"/>
      <c r="BJ12" s="16"/>
      <c r="BK12" s="20" t="str">
        <f t="shared" si="24"/>
        <v/>
      </c>
      <c r="BL12" s="4"/>
      <c r="BM12" s="24" t="s">
        <v>304</v>
      </c>
      <c r="BN12" s="19">
        <v>0.0</v>
      </c>
      <c r="BO12" s="20" t="str">
        <f t="shared" si="13"/>
        <v>ROSOV-23</v>
      </c>
      <c r="BP12" s="21" t="s">
        <v>65</v>
      </c>
      <c r="BQ12" s="24" t="s">
        <v>305</v>
      </c>
      <c r="BR12" s="25">
        <v>0.0</v>
      </c>
      <c r="BS12" s="20" t="str">
        <f t="shared" si="14"/>
        <v>ROSOV-23</v>
      </c>
      <c r="BT12" s="22" t="s">
        <v>67</v>
      </c>
      <c r="BU12" s="24" t="s">
        <v>306</v>
      </c>
      <c r="BV12" s="25">
        <v>0.0</v>
      </c>
      <c r="BW12" s="20" t="str">
        <f t="shared" si="25"/>
        <v>ROSOV-34</v>
      </c>
      <c r="BX12" s="22" t="s">
        <v>97</v>
      </c>
      <c r="BY12" s="24" t="s">
        <v>307</v>
      </c>
      <c r="BZ12" s="25">
        <v>0.0</v>
      </c>
      <c r="CA12" s="20" t="str">
        <f t="shared" si="27"/>
        <v>ROSOV-34</v>
      </c>
      <c r="CB12" s="21" t="s">
        <v>99</v>
      </c>
      <c r="CC12" s="24" t="s">
        <v>308</v>
      </c>
      <c r="CD12" s="25">
        <v>0.0</v>
      </c>
      <c r="CE12" s="20" t="str">
        <f t="shared" si="15"/>
        <v>DBBV-41</v>
      </c>
      <c r="CF12" s="21" t="s">
        <v>69</v>
      </c>
      <c r="CG12" s="32" t="s">
        <v>309</v>
      </c>
      <c r="CH12" s="27">
        <v>1.0</v>
      </c>
      <c r="CI12" s="20" t="str">
        <f t="shared" si="16"/>
        <v>DBBV-41</v>
      </c>
      <c r="CJ12" s="21" t="s">
        <v>69</v>
      </c>
      <c r="CK12" s="24" t="s">
        <v>310</v>
      </c>
      <c r="CL12" s="25">
        <v>0.0</v>
      </c>
      <c r="CM12" s="20" t="str">
        <f t="shared" si="17"/>
        <v>DBBV-44</v>
      </c>
      <c r="CN12" s="21" t="s">
        <v>72</v>
      </c>
      <c r="CO12" s="36" t="s">
        <v>311</v>
      </c>
      <c r="CP12" s="27">
        <v>1.0</v>
      </c>
      <c r="CQ12" s="20" t="str">
        <f t="shared" si="30"/>
        <v>DBBV-44</v>
      </c>
      <c r="CR12" s="21" t="s">
        <v>72</v>
      </c>
      <c r="CS12" s="24" t="s">
        <v>312</v>
      </c>
      <c r="CT12" s="25">
        <v>0.0</v>
      </c>
      <c r="CU12" s="20" t="str">
        <f t="shared" si="19"/>
        <v>DBBV-42</v>
      </c>
      <c r="CV12" s="21" t="s">
        <v>75</v>
      </c>
      <c r="CW12" s="32" t="s">
        <v>313</v>
      </c>
      <c r="CX12" s="27">
        <v>1.0</v>
      </c>
      <c r="CY12" s="20" t="str">
        <f t="shared" si="20"/>
        <v>DBBV-42</v>
      </c>
      <c r="CZ12" s="21" t="s">
        <v>75</v>
      </c>
      <c r="DA12" s="24"/>
      <c r="DB12" s="38"/>
      <c r="DC12" s="37"/>
      <c r="DD12" s="37"/>
      <c r="DE12" s="37"/>
      <c r="DF12" s="37"/>
      <c r="DG12" s="37"/>
      <c r="DH12" s="37"/>
      <c r="DI12" s="24" t="s">
        <v>314</v>
      </c>
      <c r="DJ12" s="25">
        <v>0.0</v>
      </c>
      <c r="DK12" s="20" t="str">
        <f t="shared" si="28"/>
        <v>DBBV-43</v>
      </c>
      <c r="DL12" s="21" t="s">
        <v>224</v>
      </c>
      <c r="DM12" s="32" t="s">
        <v>315</v>
      </c>
      <c r="DN12" s="27">
        <v>1.0</v>
      </c>
      <c r="DO12" s="20" t="str">
        <f t="shared" si="29"/>
        <v>DBBV-43</v>
      </c>
      <c r="DP12" s="21" t="s">
        <v>224</v>
      </c>
      <c r="DQ12" s="4"/>
      <c r="DR12" s="4"/>
      <c r="DS12" s="4"/>
      <c r="DT12" s="4"/>
      <c r="DU12" s="4"/>
      <c r="DV12" s="4"/>
      <c r="DW12" s="4"/>
      <c r="DX12" s="4"/>
    </row>
    <row r="13" ht="15.75" customHeight="1">
      <c r="A13" s="11">
        <v>1588.0</v>
      </c>
      <c r="B13" s="11" t="s">
        <v>42</v>
      </c>
      <c r="C13" s="12" t="str">
        <f t="shared" si="1"/>
        <v>TK-112_ETHANOL</v>
      </c>
      <c r="D13" s="30" t="s">
        <v>316</v>
      </c>
      <c r="E13" s="31" t="s">
        <v>44</v>
      </c>
      <c r="F13" s="30" t="s">
        <v>45</v>
      </c>
      <c r="G13" s="15" t="s">
        <v>46</v>
      </c>
      <c r="H13" s="11">
        <v>0.0</v>
      </c>
      <c r="I13" s="16" t="s">
        <v>317</v>
      </c>
      <c r="J13" s="4"/>
      <c r="K13" s="17" t="str">
        <f t="shared" si="2"/>
        <v>TK-112</v>
      </c>
      <c r="L13" s="18" t="s">
        <v>48</v>
      </c>
      <c r="M13" s="4"/>
      <c r="N13" s="4"/>
      <c r="O13" s="16" t="s">
        <v>318</v>
      </c>
      <c r="P13" s="19">
        <v>0.0</v>
      </c>
      <c r="Q13" s="16" t="s">
        <v>319</v>
      </c>
      <c r="R13" s="19">
        <v>0.0</v>
      </c>
      <c r="S13" s="17" t="str">
        <f t="shared" si="3"/>
        <v>TK-112</v>
      </c>
      <c r="T13" s="18" t="s">
        <v>48</v>
      </c>
      <c r="U13" s="16" t="s">
        <v>320</v>
      </c>
      <c r="V13" s="19">
        <v>0.0</v>
      </c>
      <c r="W13" s="17" t="str">
        <f t="shared" si="4"/>
        <v>TK-112</v>
      </c>
      <c r="X13" s="18" t="s">
        <v>48</v>
      </c>
      <c r="Y13" s="16" t="s">
        <v>321</v>
      </c>
      <c r="Z13" s="19">
        <v>0.0</v>
      </c>
      <c r="AA13" s="20" t="str">
        <f t="shared" si="5"/>
        <v>VIB TK112</v>
      </c>
      <c r="AB13" s="21" t="s">
        <v>53</v>
      </c>
      <c r="AC13" s="16" t="s">
        <v>322</v>
      </c>
      <c r="AD13" s="19">
        <v>0.0</v>
      </c>
      <c r="AE13" s="20" t="str">
        <f t="shared" si="6"/>
        <v>VIB TK112</v>
      </c>
      <c r="AF13" s="21" t="s">
        <v>53</v>
      </c>
      <c r="AG13" s="16" t="s">
        <v>323</v>
      </c>
      <c r="AH13" s="19">
        <v>0.0</v>
      </c>
      <c r="AI13" s="20" t="str">
        <f t="shared" si="7"/>
        <v>VIB TK112</v>
      </c>
      <c r="AJ13" s="21" t="s">
        <v>53</v>
      </c>
      <c r="AK13" s="16" t="s">
        <v>324</v>
      </c>
      <c r="AL13" s="19">
        <v>0.0</v>
      </c>
      <c r="AM13" s="20" t="str">
        <f t="shared" si="8"/>
        <v>RDR TK112</v>
      </c>
      <c r="AN13" s="21" t="s">
        <v>57</v>
      </c>
      <c r="AO13" s="16" t="s">
        <v>325</v>
      </c>
      <c r="AP13" s="19">
        <v>0.0</v>
      </c>
      <c r="AQ13" s="20" t="str">
        <f t="shared" si="9"/>
        <v>RDR TK112</v>
      </c>
      <c r="AR13" s="21" t="s">
        <v>57</v>
      </c>
      <c r="AS13" s="16" t="s">
        <v>326</v>
      </c>
      <c r="AT13" s="19">
        <v>0.0</v>
      </c>
      <c r="AU13" s="20" t="str">
        <f t="shared" si="10"/>
        <v>RDR TK112</v>
      </c>
      <c r="AV13" s="21" t="s">
        <v>57</v>
      </c>
      <c r="AW13" s="16" t="s">
        <v>327</v>
      </c>
      <c r="AX13" s="19">
        <v>0.0</v>
      </c>
      <c r="AY13" s="20" t="str">
        <f t="shared" si="11"/>
        <v>ROSOV-25</v>
      </c>
      <c r="AZ13" s="21" t="s">
        <v>61</v>
      </c>
      <c r="BA13" s="16" t="s">
        <v>328</v>
      </c>
      <c r="BB13" s="19">
        <v>0.0</v>
      </c>
      <c r="BC13" s="20" t="str">
        <f t="shared" si="12"/>
        <v>ROSOV-25</v>
      </c>
      <c r="BD13" s="22" t="s">
        <v>63</v>
      </c>
      <c r="BE13" s="16"/>
      <c r="BF13" s="16"/>
      <c r="BG13" s="20" t="str">
        <f t="shared" si="23"/>
        <v/>
      </c>
      <c r="BH13" s="4"/>
      <c r="BI13" s="16"/>
      <c r="BJ13" s="16"/>
      <c r="BK13" s="20" t="str">
        <f t="shared" si="24"/>
        <v/>
      </c>
      <c r="BL13" s="4"/>
      <c r="BM13" s="24" t="s">
        <v>329</v>
      </c>
      <c r="BN13" s="19">
        <v>0.0</v>
      </c>
      <c r="BO13" s="20" t="str">
        <f t="shared" si="13"/>
        <v>ROSOV-24</v>
      </c>
      <c r="BP13" s="21" t="s">
        <v>65</v>
      </c>
      <c r="BQ13" s="24" t="s">
        <v>330</v>
      </c>
      <c r="BR13" s="25">
        <v>0.0</v>
      </c>
      <c r="BS13" s="20" t="str">
        <f t="shared" si="14"/>
        <v>ROSOV-24</v>
      </c>
      <c r="BT13" s="22" t="s">
        <v>67</v>
      </c>
      <c r="BU13" s="16"/>
      <c r="BV13" s="16"/>
      <c r="BW13" s="20" t="str">
        <f t="shared" si="25"/>
        <v/>
      </c>
      <c r="BX13" s="22"/>
      <c r="BY13" s="16"/>
      <c r="BZ13" s="16"/>
      <c r="CA13" s="4"/>
      <c r="CB13" s="21"/>
      <c r="CC13" s="24" t="s">
        <v>331</v>
      </c>
      <c r="CD13" s="25">
        <v>0.0</v>
      </c>
      <c r="CE13" s="20" t="str">
        <f t="shared" si="15"/>
        <v>DBBV-45</v>
      </c>
      <c r="CF13" s="21" t="s">
        <v>69</v>
      </c>
      <c r="CG13" s="32" t="s">
        <v>332</v>
      </c>
      <c r="CH13" s="27">
        <v>1.0</v>
      </c>
      <c r="CI13" s="20" t="str">
        <f t="shared" si="16"/>
        <v>DBBV-45</v>
      </c>
      <c r="CJ13" s="21" t="s">
        <v>69</v>
      </c>
      <c r="CK13" s="24" t="s">
        <v>333</v>
      </c>
      <c r="CL13" s="25">
        <v>0.0</v>
      </c>
      <c r="CM13" s="20" t="str">
        <f t="shared" si="17"/>
        <v>DBBV-48</v>
      </c>
      <c r="CN13" s="21" t="s">
        <v>72</v>
      </c>
      <c r="CO13" s="36" t="s">
        <v>334</v>
      </c>
      <c r="CP13" s="27">
        <v>1.0</v>
      </c>
      <c r="CQ13" s="20" t="str">
        <f t="shared" si="30"/>
        <v>DBBV-48</v>
      </c>
      <c r="CR13" s="21" t="s">
        <v>72</v>
      </c>
      <c r="CS13" s="24" t="s">
        <v>335</v>
      </c>
      <c r="CT13" s="25">
        <v>0.0</v>
      </c>
      <c r="CU13" s="20" t="str">
        <f t="shared" si="19"/>
        <v>DBBV-46</v>
      </c>
      <c r="CV13" s="21" t="s">
        <v>75</v>
      </c>
      <c r="CW13" s="32" t="s">
        <v>336</v>
      </c>
      <c r="CX13" s="27">
        <v>1.0</v>
      </c>
      <c r="CY13" s="20" t="str">
        <f t="shared" si="20"/>
        <v>DBBV-46</v>
      </c>
      <c r="CZ13" s="21" t="s">
        <v>75</v>
      </c>
      <c r="DA13" s="24"/>
      <c r="DB13" s="38"/>
      <c r="DC13" s="37"/>
      <c r="DD13" s="37"/>
      <c r="DE13" s="37"/>
      <c r="DF13" s="37"/>
      <c r="DG13" s="37"/>
      <c r="DH13" s="37"/>
      <c r="DI13" s="24" t="s">
        <v>337</v>
      </c>
      <c r="DJ13" s="25">
        <v>0.0</v>
      </c>
      <c r="DK13" s="20" t="str">
        <f t="shared" si="28"/>
        <v>DBBV-47</v>
      </c>
      <c r="DL13" s="21" t="s">
        <v>224</v>
      </c>
      <c r="DM13" s="32" t="s">
        <v>338</v>
      </c>
      <c r="DN13" s="27">
        <v>1.0</v>
      </c>
      <c r="DO13" s="20" t="str">
        <f t="shared" si="29"/>
        <v>DBBV-47</v>
      </c>
      <c r="DP13" s="21" t="s">
        <v>224</v>
      </c>
      <c r="DQ13" s="4"/>
      <c r="DR13" s="4"/>
      <c r="DS13" s="4"/>
      <c r="DT13" s="4"/>
      <c r="DU13" s="4"/>
      <c r="DV13" s="4"/>
      <c r="DW13" s="4"/>
      <c r="DX13" s="4"/>
    </row>
    <row r="14" ht="15.75" customHeight="1">
      <c r="A14" s="11">
        <v>1588.0</v>
      </c>
      <c r="B14" s="11" t="s">
        <v>42</v>
      </c>
      <c r="C14" s="12" t="str">
        <f t="shared" si="1"/>
        <v>TK-113_ETHANOL</v>
      </c>
      <c r="D14" s="30" t="s">
        <v>339</v>
      </c>
      <c r="E14" s="31" t="s">
        <v>44</v>
      </c>
      <c r="F14" s="30" t="s">
        <v>45</v>
      </c>
      <c r="G14" s="15" t="s">
        <v>46</v>
      </c>
      <c r="H14" s="11">
        <v>0.0</v>
      </c>
      <c r="I14" s="16" t="s">
        <v>340</v>
      </c>
      <c r="J14" s="4"/>
      <c r="K14" s="17" t="str">
        <f t="shared" si="2"/>
        <v>TK-113</v>
      </c>
      <c r="L14" s="18" t="s">
        <v>48</v>
      </c>
      <c r="M14" s="4"/>
      <c r="N14" s="4"/>
      <c r="O14" s="16" t="s">
        <v>341</v>
      </c>
      <c r="P14" s="19">
        <v>0.0</v>
      </c>
      <c r="Q14" s="16" t="s">
        <v>342</v>
      </c>
      <c r="R14" s="19">
        <v>0.0</v>
      </c>
      <c r="S14" s="17" t="str">
        <f t="shared" si="3"/>
        <v>TK-113</v>
      </c>
      <c r="T14" s="18" t="s">
        <v>48</v>
      </c>
      <c r="U14" s="16" t="s">
        <v>343</v>
      </c>
      <c r="V14" s="19">
        <v>0.0</v>
      </c>
      <c r="W14" s="17" t="str">
        <f t="shared" si="4"/>
        <v>TK-113</v>
      </c>
      <c r="X14" s="18" t="s">
        <v>48</v>
      </c>
      <c r="Y14" s="16" t="s">
        <v>344</v>
      </c>
      <c r="Z14" s="19">
        <v>0.0</v>
      </c>
      <c r="AA14" s="20" t="str">
        <f t="shared" si="5"/>
        <v>VIB TK113</v>
      </c>
      <c r="AB14" s="21" t="s">
        <v>53</v>
      </c>
      <c r="AC14" s="16" t="s">
        <v>345</v>
      </c>
      <c r="AD14" s="19">
        <v>0.0</v>
      </c>
      <c r="AE14" s="20" t="str">
        <f t="shared" si="6"/>
        <v>VIB TK113</v>
      </c>
      <c r="AF14" s="21" t="s">
        <v>53</v>
      </c>
      <c r="AG14" s="16" t="s">
        <v>346</v>
      </c>
      <c r="AH14" s="19">
        <v>0.0</v>
      </c>
      <c r="AI14" s="20" t="str">
        <f t="shared" si="7"/>
        <v>VIB TK113</v>
      </c>
      <c r="AJ14" s="21" t="s">
        <v>53</v>
      </c>
      <c r="AK14" s="16" t="s">
        <v>347</v>
      </c>
      <c r="AL14" s="19">
        <v>0.0</v>
      </c>
      <c r="AM14" s="20" t="str">
        <f t="shared" si="8"/>
        <v>RDR TK113</v>
      </c>
      <c r="AN14" s="21" t="s">
        <v>57</v>
      </c>
      <c r="AO14" s="16" t="s">
        <v>348</v>
      </c>
      <c r="AP14" s="19">
        <v>0.0</v>
      </c>
      <c r="AQ14" s="20" t="str">
        <f t="shared" si="9"/>
        <v>RDR TK113</v>
      </c>
      <c r="AR14" s="21" t="s">
        <v>57</v>
      </c>
      <c r="AS14" s="16" t="s">
        <v>349</v>
      </c>
      <c r="AT14" s="19">
        <v>0.0</v>
      </c>
      <c r="AU14" s="20" t="str">
        <f t="shared" si="10"/>
        <v>RDR TK113</v>
      </c>
      <c r="AV14" s="21" t="s">
        <v>57</v>
      </c>
      <c r="AW14" s="16" t="s">
        <v>350</v>
      </c>
      <c r="AX14" s="19">
        <v>0.0</v>
      </c>
      <c r="AY14" s="20" t="str">
        <f t="shared" si="11"/>
        <v>ROSOV-27</v>
      </c>
      <c r="AZ14" s="21" t="s">
        <v>61</v>
      </c>
      <c r="BA14" s="16" t="s">
        <v>351</v>
      </c>
      <c r="BB14" s="19">
        <v>0.0</v>
      </c>
      <c r="BC14" s="20" t="str">
        <f t="shared" si="12"/>
        <v>ROSOV-27</v>
      </c>
      <c r="BD14" s="22" t="s">
        <v>63</v>
      </c>
      <c r="BE14" s="16"/>
      <c r="BF14" s="16"/>
      <c r="BG14" s="20" t="str">
        <f t="shared" si="23"/>
        <v/>
      </c>
      <c r="BH14" s="4"/>
      <c r="BI14" s="16"/>
      <c r="BJ14" s="16"/>
      <c r="BK14" s="20" t="str">
        <f t="shared" si="24"/>
        <v/>
      </c>
      <c r="BL14" s="4"/>
      <c r="BM14" s="24" t="s">
        <v>352</v>
      </c>
      <c r="BN14" s="19">
        <v>0.0</v>
      </c>
      <c r="BO14" s="20" t="str">
        <f t="shared" si="13"/>
        <v>ROSOV-28</v>
      </c>
      <c r="BP14" s="21" t="s">
        <v>65</v>
      </c>
      <c r="BQ14" s="24" t="s">
        <v>353</v>
      </c>
      <c r="BR14" s="25">
        <v>0.0</v>
      </c>
      <c r="BS14" s="20" t="str">
        <f t="shared" si="14"/>
        <v>ROSOV-28</v>
      </c>
      <c r="BT14" s="22" t="s">
        <v>67</v>
      </c>
      <c r="BU14" s="16"/>
      <c r="BV14" s="16"/>
      <c r="BW14" s="20" t="str">
        <f t="shared" si="25"/>
        <v/>
      </c>
      <c r="BX14" s="22"/>
      <c r="BY14" s="16"/>
      <c r="BZ14" s="16"/>
      <c r="CA14" s="4"/>
      <c r="CB14" s="21"/>
      <c r="CC14" s="24" t="s">
        <v>354</v>
      </c>
      <c r="CD14" s="25">
        <v>0.0</v>
      </c>
      <c r="CE14" s="20" t="str">
        <f t="shared" si="15"/>
        <v>DBBV-49</v>
      </c>
      <c r="CF14" s="21" t="s">
        <v>69</v>
      </c>
      <c r="CG14" s="32" t="s">
        <v>355</v>
      </c>
      <c r="CH14" s="27">
        <v>1.0</v>
      </c>
      <c r="CI14" s="20" t="str">
        <f t="shared" si="16"/>
        <v>DBBV-49</v>
      </c>
      <c r="CJ14" s="21" t="s">
        <v>69</v>
      </c>
      <c r="CK14" s="24" t="s">
        <v>356</v>
      </c>
      <c r="CL14" s="25">
        <v>0.0</v>
      </c>
      <c r="CM14" s="20" t="str">
        <f t="shared" si="17"/>
        <v>DBBV-52</v>
      </c>
      <c r="CN14" s="21" t="s">
        <v>72</v>
      </c>
      <c r="CO14" s="36" t="s">
        <v>357</v>
      </c>
      <c r="CP14" s="27">
        <v>1.0</v>
      </c>
      <c r="CQ14" s="20" t="str">
        <f t="shared" si="30"/>
        <v>DBBV-52</v>
      </c>
      <c r="CR14" s="21" t="s">
        <v>72</v>
      </c>
      <c r="CS14" s="24" t="s">
        <v>358</v>
      </c>
      <c r="CT14" s="25">
        <v>0.0</v>
      </c>
      <c r="CU14" s="20" t="str">
        <f t="shared" si="19"/>
        <v>DBBV-50</v>
      </c>
      <c r="CV14" s="21" t="s">
        <v>75</v>
      </c>
      <c r="CW14" s="32" t="s">
        <v>359</v>
      </c>
      <c r="CX14" s="27">
        <v>1.0</v>
      </c>
      <c r="CY14" s="20" t="str">
        <f t="shared" si="20"/>
        <v>DBBV-50</v>
      </c>
      <c r="CZ14" s="21" t="s">
        <v>75</v>
      </c>
      <c r="DA14" s="24"/>
      <c r="DB14" s="38"/>
      <c r="DC14" s="37"/>
      <c r="DD14" s="37"/>
      <c r="DE14" s="37"/>
      <c r="DF14" s="37"/>
      <c r="DG14" s="37"/>
      <c r="DH14" s="37"/>
      <c r="DI14" s="24" t="s">
        <v>360</v>
      </c>
      <c r="DJ14" s="25">
        <v>0.0</v>
      </c>
      <c r="DK14" s="20" t="str">
        <f t="shared" si="28"/>
        <v>DBBV-51</v>
      </c>
      <c r="DL14" s="21" t="s">
        <v>224</v>
      </c>
      <c r="DM14" s="32" t="s">
        <v>361</v>
      </c>
      <c r="DN14" s="27">
        <v>1.0</v>
      </c>
      <c r="DO14" s="20" t="str">
        <f t="shared" si="29"/>
        <v>DBBV-51</v>
      </c>
      <c r="DP14" s="21" t="s">
        <v>224</v>
      </c>
      <c r="DQ14" s="4"/>
      <c r="DR14" s="4"/>
      <c r="DS14" s="4"/>
      <c r="DT14" s="4"/>
      <c r="DU14" s="4"/>
      <c r="DV14" s="4"/>
      <c r="DW14" s="4"/>
      <c r="DX14" s="4"/>
    </row>
    <row r="15" ht="15.75" customHeight="1">
      <c r="A15" s="11">
        <v>1588.0</v>
      </c>
      <c r="B15" s="11" t="s">
        <v>42</v>
      </c>
      <c r="C15" s="12" t="str">
        <f t="shared" si="1"/>
        <v>TK-114_LOW RON MS</v>
      </c>
      <c r="D15" s="30" t="s">
        <v>362</v>
      </c>
      <c r="E15" s="31" t="s">
        <v>44</v>
      </c>
      <c r="F15" s="30" t="s">
        <v>156</v>
      </c>
      <c r="G15" s="15" t="s">
        <v>46</v>
      </c>
      <c r="H15" s="11">
        <v>0.0</v>
      </c>
      <c r="I15" s="16" t="s">
        <v>363</v>
      </c>
      <c r="J15" s="4"/>
      <c r="K15" s="17" t="str">
        <f t="shared" si="2"/>
        <v>TK-114</v>
      </c>
      <c r="L15" s="18" t="s">
        <v>48</v>
      </c>
      <c r="M15" s="4"/>
      <c r="N15" s="4"/>
      <c r="O15" s="16" t="s">
        <v>364</v>
      </c>
      <c r="P15" s="19">
        <v>0.0</v>
      </c>
      <c r="Q15" s="16" t="s">
        <v>365</v>
      </c>
      <c r="R15" s="19">
        <v>0.0</v>
      </c>
      <c r="S15" s="17" t="str">
        <f t="shared" si="3"/>
        <v>TK-114</v>
      </c>
      <c r="T15" s="18" t="s">
        <v>48</v>
      </c>
      <c r="U15" s="16" t="s">
        <v>366</v>
      </c>
      <c r="V15" s="19">
        <v>0.0</v>
      </c>
      <c r="W15" s="17" t="str">
        <f t="shared" si="4"/>
        <v>TK-114</v>
      </c>
      <c r="X15" s="18" t="s">
        <v>48</v>
      </c>
      <c r="Y15" s="16" t="s">
        <v>367</v>
      </c>
      <c r="Z15" s="19">
        <v>0.0</v>
      </c>
      <c r="AA15" s="20" t="str">
        <f t="shared" si="5"/>
        <v>VIB TK114</v>
      </c>
      <c r="AB15" s="21" t="s">
        <v>53</v>
      </c>
      <c r="AC15" s="16" t="s">
        <v>368</v>
      </c>
      <c r="AD15" s="19">
        <v>0.0</v>
      </c>
      <c r="AE15" s="20" t="str">
        <f t="shared" si="6"/>
        <v>VIB TK114</v>
      </c>
      <c r="AF15" s="21" t="s">
        <v>53</v>
      </c>
      <c r="AG15" s="16" t="s">
        <v>369</v>
      </c>
      <c r="AH15" s="19">
        <v>0.0</v>
      </c>
      <c r="AI15" s="20" t="str">
        <f t="shared" si="7"/>
        <v>VIB TK114</v>
      </c>
      <c r="AJ15" s="21" t="s">
        <v>53</v>
      </c>
      <c r="AK15" s="16" t="s">
        <v>370</v>
      </c>
      <c r="AL15" s="19">
        <v>0.0</v>
      </c>
      <c r="AM15" s="20" t="str">
        <f t="shared" si="8"/>
        <v>RDR TK114</v>
      </c>
      <c r="AN15" s="21" t="s">
        <v>57</v>
      </c>
      <c r="AO15" s="16" t="s">
        <v>371</v>
      </c>
      <c r="AP15" s="19">
        <v>0.0</v>
      </c>
      <c r="AQ15" s="20" t="str">
        <f t="shared" si="9"/>
        <v>RDR TK114</v>
      </c>
      <c r="AR15" s="21" t="s">
        <v>57</v>
      </c>
      <c r="AS15" s="16" t="s">
        <v>372</v>
      </c>
      <c r="AT15" s="19">
        <v>0.0</v>
      </c>
      <c r="AU15" s="20" t="str">
        <f t="shared" si="10"/>
        <v>RDR TK114</v>
      </c>
      <c r="AV15" s="21" t="s">
        <v>57</v>
      </c>
      <c r="AW15" s="4"/>
      <c r="AX15" s="4"/>
      <c r="AY15" s="4"/>
      <c r="AZ15" s="4"/>
      <c r="BA15" s="4"/>
      <c r="BB15" s="4"/>
      <c r="BC15" s="4"/>
      <c r="BD15" s="4"/>
      <c r="BE15" s="16" t="s">
        <v>373</v>
      </c>
      <c r="BF15" s="19">
        <v>0.0</v>
      </c>
      <c r="BG15" s="20" t="str">
        <f t="shared" si="23"/>
        <v>ROSOV-31</v>
      </c>
      <c r="BH15" s="21" t="s">
        <v>93</v>
      </c>
      <c r="BI15" s="16" t="s">
        <v>374</v>
      </c>
      <c r="BJ15" s="19">
        <v>0.0</v>
      </c>
      <c r="BK15" s="20" t="str">
        <f t="shared" si="24"/>
        <v>ROSOV-31</v>
      </c>
      <c r="BL15" s="22" t="s">
        <v>95</v>
      </c>
      <c r="BM15" s="4"/>
      <c r="BN15" s="4"/>
      <c r="BO15" s="4"/>
      <c r="BP15" s="4"/>
      <c r="BQ15" s="4"/>
      <c r="BR15" s="4"/>
      <c r="BS15" s="4"/>
      <c r="BT15" s="4"/>
      <c r="BU15" s="24" t="s">
        <v>375</v>
      </c>
      <c r="BV15" s="25">
        <v>0.0</v>
      </c>
      <c r="BW15" s="20" t="str">
        <f t="shared" si="25"/>
        <v>ROSOV-30</v>
      </c>
      <c r="BX15" s="22" t="s">
        <v>97</v>
      </c>
      <c r="BY15" s="24" t="s">
        <v>376</v>
      </c>
      <c r="BZ15" s="25">
        <v>0.0</v>
      </c>
      <c r="CA15" s="20" t="str">
        <f t="shared" ref="CA15:CA16" si="31">MID(BY15,5,8)</f>
        <v>ROSOV-30</v>
      </c>
      <c r="CB15" s="21" t="s">
        <v>99</v>
      </c>
      <c r="CC15" s="24" t="s">
        <v>377</v>
      </c>
      <c r="CD15" s="25">
        <v>0.0</v>
      </c>
      <c r="CE15" s="20" t="str">
        <f t="shared" si="15"/>
        <v>DBBV-53</v>
      </c>
      <c r="CF15" s="21" t="s">
        <v>69</v>
      </c>
      <c r="CG15" s="32" t="s">
        <v>378</v>
      </c>
      <c r="CH15" s="27">
        <v>1.0</v>
      </c>
      <c r="CI15" s="20" t="str">
        <f t="shared" si="16"/>
        <v>DBBV-53</v>
      </c>
      <c r="CJ15" s="21" t="s">
        <v>69</v>
      </c>
      <c r="CK15" s="24" t="s">
        <v>379</v>
      </c>
      <c r="CL15" s="25">
        <v>0.0</v>
      </c>
      <c r="CM15" s="20" t="str">
        <f t="shared" si="17"/>
        <v>DBBV-56</v>
      </c>
      <c r="CN15" s="21" t="s">
        <v>72</v>
      </c>
      <c r="CO15" s="36" t="s">
        <v>380</v>
      </c>
      <c r="CP15" s="27">
        <v>1.0</v>
      </c>
      <c r="CQ15" s="20" t="str">
        <f t="shared" si="30"/>
        <v>DBBV-56</v>
      </c>
      <c r="CR15" s="21" t="s">
        <v>72</v>
      </c>
      <c r="CS15" s="24" t="s">
        <v>381</v>
      </c>
      <c r="CT15" s="25">
        <v>0.0</v>
      </c>
      <c r="CU15" s="20" t="str">
        <f t="shared" si="19"/>
        <v>DBBV-54</v>
      </c>
      <c r="CV15" s="21" t="s">
        <v>75</v>
      </c>
      <c r="CW15" s="32" t="s">
        <v>382</v>
      </c>
      <c r="CX15" s="27">
        <v>1.0</v>
      </c>
      <c r="CY15" s="20" t="str">
        <f t="shared" si="20"/>
        <v>DBBV-54</v>
      </c>
      <c r="CZ15" s="21" t="s">
        <v>75</v>
      </c>
      <c r="DA15" s="24"/>
      <c r="DB15" s="38"/>
      <c r="DC15" s="37"/>
      <c r="DD15" s="37"/>
      <c r="DE15" s="37"/>
      <c r="DF15" s="37"/>
      <c r="DG15" s="37"/>
      <c r="DH15" s="37"/>
      <c r="DI15" s="24" t="s">
        <v>383</v>
      </c>
      <c r="DJ15" s="25">
        <v>0.0</v>
      </c>
      <c r="DK15" s="20" t="str">
        <f t="shared" si="28"/>
        <v>DBBV-55</v>
      </c>
      <c r="DL15" s="21" t="s">
        <v>224</v>
      </c>
      <c r="DM15" s="32" t="s">
        <v>384</v>
      </c>
      <c r="DN15" s="27">
        <v>1.0</v>
      </c>
      <c r="DO15" s="20" t="str">
        <f t="shared" si="29"/>
        <v>DBBV-55</v>
      </c>
      <c r="DP15" s="21" t="s">
        <v>224</v>
      </c>
      <c r="DQ15" s="4"/>
      <c r="DR15" s="4"/>
      <c r="DS15" s="4"/>
      <c r="DT15" s="4"/>
      <c r="DU15" s="4"/>
      <c r="DV15" s="4"/>
      <c r="DW15" s="4"/>
      <c r="DX15" s="4"/>
    </row>
    <row r="16" ht="15.75" customHeight="1">
      <c r="A16" s="11">
        <v>1588.0</v>
      </c>
      <c r="B16" s="11" t="s">
        <v>42</v>
      </c>
      <c r="C16" s="12" t="str">
        <f t="shared" si="1"/>
        <v>TK-115_BS VI HSD</v>
      </c>
      <c r="D16" s="30" t="s">
        <v>385</v>
      </c>
      <c r="E16" s="31" t="s">
        <v>44</v>
      </c>
      <c r="F16" s="30" t="s">
        <v>109</v>
      </c>
      <c r="G16" s="15" t="s">
        <v>46</v>
      </c>
      <c r="H16" s="11">
        <v>0.0</v>
      </c>
      <c r="I16" s="16" t="s">
        <v>386</v>
      </c>
      <c r="J16" s="4"/>
      <c r="K16" s="17" t="str">
        <f t="shared" si="2"/>
        <v>TK-115</v>
      </c>
      <c r="L16" s="18" t="s">
        <v>48</v>
      </c>
      <c r="M16" s="4"/>
      <c r="N16" s="4"/>
      <c r="O16" s="16" t="s">
        <v>387</v>
      </c>
      <c r="P16" s="19">
        <v>0.0</v>
      </c>
      <c r="Q16" s="16" t="s">
        <v>388</v>
      </c>
      <c r="R16" s="19">
        <v>0.0</v>
      </c>
      <c r="S16" s="17" t="str">
        <f t="shared" si="3"/>
        <v>TK-115</v>
      </c>
      <c r="T16" s="18" t="s">
        <v>48</v>
      </c>
      <c r="U16" s="16" t="s">
        <v>389</v>
      </c>
      <c r="V16" s="19">
        <v>0.0</v>
      </c>
      <c r="W16" s="17" t="str">
        <f t="shared" si="4"/>
        <v>TK-115</v>
      </c>
      <c r="X16" s="18" t="s">
        <v>48</v>
      </c>
      <c r="Y16" s="16" t="s">
        <v>390</v>
      </c>
      <c r="Z16" s="19">
        <v>0.0</v>
      </c>
      <c r="AA16" s="20" t="str">
        <f t="shared" si="5"/>
        <v>VIB TK115</v>
      </c>
      <c r="AB16" s="21" t="s">
        <v>53</v>
      </c>
      <c r="AC16" s="16" t="s">
        <v>391</v>
      </c>
      <c r="AD16" s="19">
        <v>0.0</v>
      </c>
      <c r="AE16" s="20" t="str">
        <f t="shared" si="6"/>
        <v>VIB TK115</v>
      </c>
      <c r="AF16" s="21" t="s">
        <v>53</v>
      </c>
      <c r="AG16" s="16" t="s">
        <v>392</v>
      </c>
      <c r="AH16" s="19">
        <v>0.0</v>
      </c>
      <c r="AI16" s="20" t="str">
        <f t="shared" si="7"/>
        <v>VIB TK115</v>
      </c>
      <c r="AJ16" s="21" t="s">
        <v>53</v>
      </c>
      <c r="AK16" s="16" t="s">
        <v>393</v>
      </c>
      <c r="AL16" s="19">
        <v>0.0</v>
      </c>
      <c r="AM16" s="20" t="str">
        <f t="shared" si="8"/>
        <v>RDR TK115</v>
      </c>
      <c r="AN16" s="21" t="s">
        <v>57</v>
      </c>
      <c r="AO16" s="16" t="s">
        <v>394</v>
      </c>
      <c r="AP16" s="19">
        <v>0.0</v>
      </c>
      <c r="AQ16" s="20" t="str">
        <f t="shared" si="9"/>
        <v>RDR TK115</v>
      </c>
      <c r="AR16" s="21" t="s">
        <v>57</v>
      </c>
      <c r="AS16" s="16" t="s">
        <v>395</v>
      </c>
      <c r="AT16" s="19">
        <v>0.0</v>
      </c>
      <c r="AU16" s="20" t="str">
        <f t="shared" si="10"/>
        <v>RDR TK115</v>
      </c>
      <c r="AV16" s="21" t="s">
        <v>57</v>
      </c>
      <c r="AW16" s="4"/>
      <c r="AX16" s="4"/>
      <c r="AY16" s="4"/>
      <c r="AZ16" s="4"/>
      <c r="BA16" s="4"/>
      <c r="BB16" s="4"/>
      <c r="BC16" s="4"/>
      <c r="BD16" s="4"/>
      <c r="BE16" s="16" t="s">
        <v>396</v>
      </c>
      <c r="BF16" s="19">
        <v>0.0</v>
      </c>
      <c r="BG16" s="20" t="str">
        <f t="shared" si="23"/>
        <v>ROSOV-33</v>
      </c>
      <c r="BH16" s="21" t="s">
        <v>93</v>
      </c>
      <c r="BI16" s="16" t="s">
        <v>397</v>
      </c>
      <c r="BJ16" s="19">
        <v>0.0</v>
      </c>
      <c r="BK16" s="20" t="str">
        <f t="shared" si="24"/>
        <v>ROSOV-33</v>
      </c>
      <c r="BL16" s="22" t="s">
        <v>95</v>
      </c>
      <c r="BM16" s="4"/>
      <c r="BN16" s="4"/>
      <c r="BO16" s="4"/>
      <c r="BP16" s="4"/>
      <c r="BQ16" s="4"/>
      <c r="BR16" s="4"/>
      <c r="BS16" s="4"/>
      <c r="BT16" s="4"/>
      <c r="BU16" s="24" t="s">
        <v>398</v>
      </c>
      <c r="BV16" s="25">
        <v>0.0</v>
      </c>
      <c r="BW16" s="20" t="str">
        <f t="shared" si="25"/>
        <v>ROSOV-32</v>
      </c>
      <c r="BX16" s="22" t="s">
        <v>97</v>
      </c>
      <c r="BY16" s="24" t="s">
        <v>399</v>
      </c>
      <c r="BZ16" s="25">
        <v>0.0</v>
      </c>
      <c r="CA16" s="20" t="str">
        <f t="shared" si="31"/>
        <v>ROSOV-32</v>
      </c>
      <c r="CB16" s="21" t="s">
        <v>99</v>
      </c>
      <c r="CC16" s="24" t="s">
        <v>400</v>
      </c>
      <c r="CD16" s="25">
        <v>0.0</v>
      </c>
      <c r="CE16" s="20" t="str">
        <f t="shared" si="15"/>
        <v>DBBV-57</v>
      </c>
      <c r="CF16" s="21" t="s">
        <v>69</v>
      </c>
      <c r="CG16" s="32" t="s">
        <v>401</v>
      </c>
      <c r="CH16" s="27">
        <v>1.0</v>
      </c>
      <c r="CI16" s="20" t="str">
        <f t="shared" si="16"/>
        <v>DBBV-57</v>
      </c>
      <c r="CJ16" s="21" t="s">
        <v>69</v>
      </c>
      <c r="CK16" s="24" t="s">
        <v>402</v>
      </c>
      <c r="CL16" s="25">
        <v>0.0</v>
      </c>
      <c r="CM16" s="20" t="str">
        <f t="shared" si="17"/>
        <v>DBBV-60</v>
      </c>
      <c r="CN16" s="21" t="s">
        <v>72</v>
      </c>
      <c r="CO16" s="36" t="s">
        <v>403</v>
      </c>
      <c r="CP16" s="27">
        <v>1.0</v>
      </c>
      <c r="CQ16" s="20" t="str">
        <f t="shared" si="30"/>
        <v>DBBV-60</v>
      </c>
      <c r="CR16" s="21" t="s">
        <v>72</v>
      </c>
      <c r="CS16" s="24" t="s">
        <v>404</v>
      </c>
      <c r="CT16" s="25">
        <v>0.0</v>
      </c>
      <c r="CU16" s="20" t="str">
        <f t="shared" si="19"/>
        <v>DBBV-58</v>
      </c>
      <c r="CV16" s="21" t="s">
        <v>75</v>
      </c>
      <c r="CW16" s="32" t="s">
        <v>405</v>
      </c>
      <c r="CX16" s="27">
        <v>1.0</v>
      </c>
      <c r="CY16" s="20" t="str">
        <f t="shared" si="20"/>
        <v>DBBV-58</v>
      </c>
      <c r="CZ16" s="21" t="s">
        <v>75</v>
      </c>
      <c r="DA16" s="24"/>
      <c r="DB16" s="38"/>
      <c r="DC16" s="37"/>
      <c r="DD16" s="37"/>
      <c r="DE16" s="37"/>
      <c r="DF16" s="37"/>
      <c r="DG16" s="37"/>
      <c r="DH16" s="37"/>
      <c r="DI16" s="24" t="s">
        <v>406</v>
      </c>
      <c r="DJ16" s="25">
        <v>0.0</v>
      </c>
      <c r="DK16" s="20" t="str">
        <f t="shared" si="28"/>
        <v>DBBV-59</v>
      </c>
      <c r="DL16" s="21" t="s">
        <v>224</v>
      </c>
      <c r="DM16" s="32" t="s">
        <v>407</v>
      </c>
      <c r="DN16" s="27">
        <v>1.0</v>
      </c>
      <c r="DO16" s="20" t="str">
        <f t="shared" si="29"/>
        <v>DBBV-59</v>
      </c>
      <c r="DP16" s="21" t="s">
        <v>224</v>
      </c>
      <c r="DQ16" s="4"/>
      <c r="DR16" s="4"/>
      <c r="DS16" s="4"/>
      <c r="DT16" s="4"/>
      <c r="DU16" s="4"/>
      <c r="DV16" s="4"/>
      <c r="DW16" s="4"/>
      <c r="DX16" s="4"/>
    </row>
    <row r="17" ht="15.75" customHeight="1">
      <c r="A17" s="11">
        <v>1588.0</v>
      </c>
      <c r="B17" s="11" t="s">
        <v>42</v>
      </c>
      <c r="C17" s="12" t="str">
        <f t="shared" si="1"/>
        <v>TK-124_WATER</v>
      </c>
      <c r="D17" s="30" t="s">
        <v>408</v>
      </c>
      <c r="E17" s="31" t="s">
        <v>44</v>
      </c>
      <c r="F17" s="30" t="s">
        <v>409</v>
      </c>
      <c r="G17" s="15" t="s">
        <v>46</v>
      </c>
      <c r="H17" s="11">
        <v>0.0</v>
      </c>
      <c r="I17" s="16" t="s">
        <v>410</v>
      </c>
      <c r="J17" s="4"/>
      <c r="K17" s="17" t="str">
        <f t="shared" si="2"/>
        <v>TK-124</v>
      </c>
      <c r="L17" s="18" t="s">
        <v>48</v>
      </c>
      <c r="M17" s="4"/>
      <c r="N17" s="4"/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20" t="str">
        <f t="shared" si="5"/>
        <v/>
      </c>
      <c r="AB17" s="21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20" t="str">
        <f t="shared" si="24"/>
        <v/>
      </c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20" t="str">
        <f t="shared" si="15"/>
        <v/>
      </c>
      <c r="CF17" s="21"/>
      <c r="CG17" s="34"/>
      <c r="CH17" s="34"/>
      <c r="CI17" s="21"/>
      <c r="CJ17" s="21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37"/>
      <c r="DB17" s="37"/>
      <c r="DC17" s="37"/>
      <c r="DD17" s="37"/>
      <c r="DE17" s="37"/>
      <c r="DF17" s="37"/>
      <c r="DG17" s="37"/>
      <c r="DH17" s="37"/>
      <c r="DI17" s="4"/>
      <c r="DJ17" s="4"/>
      <c r="DK17" s="20" t="str">
        <f t="shared" si="28"/>
        <v/>
      </c>
      <c r="DL17" s="4"/>
      <c r="DM17" s="33"/>
      <c r="DN17" s="33"/>
      <c r="DO17" s="4"/>
      <c r="DP17" s="4"/>
      <c r="DQ17" s="4"/>
      <c r="DR17" s="4"/>
      <c r="DS17" s="4"/>
      <c r="DT17" s="4"/>
      <c r="DU17" s="4"/>
      <c r="DV17" s="4"/>
      <c r="DW17" s="4"/>
      <c r="DX17" s="4"/>
    </row>
    <row r="18" ht="15.75" customHeight="1">
      <c r="A18" s="11">
        <v>1588.0</v>
      </c>
      <c r="B18" s="11" t="s">
        <v>42</v>
      </c>
      <c r="C18" s="12" t="str">
        <f t="shared" si="1"/>
        <v>TK-125_WATER</v>
      </c>
      <c r="D18" s="30" t="s">
        <v>411</v>
      </c>
      <c r="E18" s="31" t="s">
        <v>44</v>
      </c>
      <c r="F18" s="30" t="s">
        <v>409</v>
      </c>
      <c r="G18" s="15" t="s">
        <v>46</v>
      </c>
      <c r="H18" s="11">
        <v>0.0</v>
      </c>
      <c r="I18" s="16" t="s">
        <v>412</v>
      </c>
      <c r="J18" s="4"/>
      <c r="K18" s="17" t="str">
        <f t="shared" si="2"/>
        <v>TK-125</v>
      </c>
      <c r="L18" s="18" t="s">
        <v>48</v>
      </c>
      <c r="M18" s="4"/>
      <c r="N18" s="4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20" t="str">
        <f t="shared" si="5"/>
        <v/>
      </c>
      <c r="AB18" s="21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20" t="str">
        <f t="shared" si="15"/>
        <v/>
      </c>
      <c r="CF18" s="21"/>
      <c r="CG18" s="34"/>
      <c r="CH18" s="34"/>
      <c r="CI18" s="21"/>
      <c r="CJ18" s="21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37"/>
      <c r="DB18" s="37"/>
      <c r="DC18" s="37"/>
      <c r="DD18" s="37"/>
      <c r="DE18" s="37"/>
      <c r="DF18" s="37"/>
      <c r="DG18" s="37"/>
      <c r="DH18" s="37"/>
      <c r="DI18" s="4"/>
      <c r="DJ18" s="4"/>
      <c r="DK18" s="4"/>
      <c r="DL18" s="4"/>
      <c r="DM18" s="33"/>
      <c r="DN18" s="33"/>
      <c r="DO18" s="4"/>
      <c r="DP18" s="4"/>
      <c r="DQ18" s="4"/>
      <c r="DR18" s="4"/>
      <c r="DS18" s="4"/>
      <c r="DT18" s="4"/>
      <c r="DU18" s="4"/>
      <c r="DV18" s="4"/>
      <c r="DW18" s="4"/>
      <c r="DX18" s="4"/>
    </row>
    <row r="19" ht="15.75" customHeight="1">
      <c r="A19" s="11">
        <v>1588.0</v>
      </c>
      <c r="B19" s="11" t="s">
        <v>42</v>
      </c>
      <c r="C19" s="12" t="str">
        <f t="shared" si="1"/>
        <v>TK-130_ETHANOL</v>
      </c>
      <c r="D19" s="30" t="s">
        <v>413</v>
      </c>
      <c r="E19" s="31" t="s">
        <v>414</v>
      </c>
      <c r="F19" s="30" t="s">
        <v>45</v>
      </c>
      <c r="G19" s="15" t="s">
        <v>46</v>
      </c>
      <c r="H19" s="11">
        <v>0.0</v>
      </c>
      <c r="I19" s="16" t="s">
        <v>415</v>
      </c>
      <c r="J19" s="4"/>
      <c r="K19" s="17" t="str">
        <f t="shared" si="2"/>
        <v>TK-130</v>
      </c>
      <c r="L19" s="18" t="s">
        <v>48</v>
      </c>
      <c r="M19" s="4"/>
      <c r="N19" s="4"/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20" t="str">
        <f t="shared" si="5"/>
        <v/>
      </c>
      <c r="AB19" s="21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20" t="str">
        <f t="shared" si="15"/>
        <v/>
      </c>
      <c r="CF19" s="21"/>
      <c r="CG19" s="34"/>
      <c r="CH19" s="34"/>
      <c r="CI19" s="21"/>
      <c r="CJ19" s="21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37"/>
      <c r="DB19" s="37"/>
      <c r="DC19" s="37"/>
      <c r="DD19" s="37"/>
      <c r="DE19" s="37"/>
      <c r="DF19" s="37"/>
      <c r="DG19" s="37"/>
      <c r="DH19" s="37"/>
      <c r="DI19" s="4"/>
      <c r="DJ19" s="4"/>
      <c r="DK19" s="4"/>
      <c r="DL19" s="4"/>
      <c r="DM19" s="33"/>
      <c r="DN19" s="33"/>
      <c r="DO19" s="4"/>
      <c r="DP19" s="4"/>
      <c r="DQ19" s="4"/>
      <c r="DR19" s="4"/>
      <c r="DS19" s="4"/>
      <c r="DT19" s="4"/>
      <c r="DU19" s="4"/>
      <c r="DV19" s="4"/>
      <c r="DW19" s="4"/>
      <c r="DX19" s="4"/>
    </row>
    <row r="20" ht="15.75" customHeight="1">
      <c r="A20" s="11">
        <v>1588.0</v>
      </c>
      <c r="B20" s="11" t="s">
        <v>42</v>
      </c>
      <c r="C20" s="12" t="str">
        <f t="shared" si="1"/>
        <v>TK-131_ETHANOL</v>
      </c>
      <c r="D20" s="30" t="s">
        <v>416</v>
      </c>
      <c r="E20" s="31" t="s">
        <v>414</v>
      </c>
      <c r="F20" s="30" t="s">
        <v>45</v>
      </c>
      <c r="G20" s="15" t="s">
        <v>46</v>
      </c>
      <c r="H20" s="11">
        <v>0.0</v>
      </c>
      <c r="I20" s="16" t="s">
        <v>417</v>
      </c>
      <c r="J20" s="4"/>
      <c r="K20" s="17" t="str">
        <f t="shared" si="2"/>
        <v>TK-131</v>
      </c>
      <c r="L20" s="18" t="s">
        <v>48</v>
      </c>
      <c r="M20" s="4"/>
      <c r="N20" s="4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20" t="str">
        <f t="shared" si="5"/>
        <v/>
      </c>
      <c r="AB20" s="21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20" t="str">
        <f t="shared" si="15"/>
        <v/>
      </c>
      <c r="CF20" s="21"/>
      <c r="CG20" s="34"/>
      <c r="CH20" s="34"/>
      <c r="CI20" s="21"/>
      <c r="CJ20" s="21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37"/>
      <c r="DB20" s="37"/>
      <c r="DC20" s="37"/>
      <c r="DD20" s="37"/>
      <c r="DE20" s="37"/>
      <c r="DF20" s="37"/>
      <c r="DG20" s="37"/>
      <c r="DH20" s="37"/>
      <c r="DI20" s="4"/>
      <c r="DJ20" s="4"/>
      <c r="DK20" s="4"/>
      <c r="DL20" s="4"/>
      <c r="DM20" s="33"/>
      <c r="DN20" s="33"/>
      <c r="DO20" s="4"/>
      <c r="DP20" s="4"/>
      <c r="DQ20" s="4"/>
      <c r="DR20" s="4"/>
      <c r="DS20" s="4"/>
      <c r="DT20" s="4"/>
      <c r="DU20" s="4"/>
      <c r="DV20" s="4"/>
      <c r="DW20" s="4"/>
      <c r="DX20" s="4"/>
    </row>
    <row r="21" ht="15.75" customHeight="1">
      <c r="A21" s="11">
        <v>1588.0</v>
      </c>
      <c r="B21" s="11" t="s">
        <v>42</v>
      </c>
      <c r="C21" s="12" t="str">
        <f t="shared" si="1"/>
        <v>TK-132_LOW RON MS</v>
      </c>
      <c r="D21" s="30" t="s">
        <v>418</v>
      </c>
      <c r="E21" s="31" t="s">
        <v>414</v>
      </c>
      <c r="F21" s="30" t="s">
        <v>156</v>
      </c>
      <c r="G21" s="15" t="s">
        <v>46</v>
      </c>
      <c r="H21" s="11">
        <v>0.0</v>
      </c>
      <c r="I21" s="16" t="s">
        <v>419</v>
      </c>
      <c r="J21" s="4"/>
      <c r="K21" s="17" t="str">
        <f t="shared" si="2"/>
        <v>TK-132</v>
      </c>
      <c r="L21" s="18" t="s">
        <v>48</v>
      </c>
      <c r="M21" s="4"/>
      <c r="N21" s="4"/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20" t="str">
        <f t="shared" si="5"/>
        <v/>
      </c>
      <c r="AB21" s="21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20" t="str">
        <f t="shared" si="15"/>
        <v/>
      </c>
      <c r="CF21" s="21"/>
      <c r="CG21" s="34"/>
      <c r="CH21" s="34"/>
      <c r="CI21" s="21"/>
      <c r="CJ21" s="21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37"/>
      <c r="DB21" s="37"/>
      <c r="DC21" s="37"/>
      <c r="DD21" s="37"/>
      <c r="DE21" s="37"/>
      <c r="DF21" s="37"/>
      <c r="DG21" s="37"/>
      <c r="DH21" s="37"/>
      <c r="DI21" s="4"/>
      <c r="DJ21" s="4"/>
      <c r="DK21" s="4"/>
      <c r="DL21" s="4"/>
      <c r="DM21" s="33"/>
      <c r="DN21" s="33"/>
      <c r="DO21" s="4"/>
      <c r="DP21" s="4"/>
      <c r="DQ21" s="4"/>
      <c r="DR21" s="4"/>
      <c r="DS21" s="4"/>
      <c r="DT21" s="4"/>
      <c r="DU21" s="4"/>
      <c r="DV21" s="4"/>
      <c r="DW21" s="4"/>
      <c r="DX21" s="4"/>
    </row>
    <row r="22" ht="15.75" customHeight="1">
      <c r="A22" s="11">
        <v>1588.0</v>
      </c>
      <c r="B22" s="11" t="s">
        <v>42</v>
      </c>
      <c r="C22" s="12" t="str">
        <f t="shared" si="1"/>
        <v>TK-133_BS VI HSD</v>
      </c>
      <c r="D22" s="30" t="s">
        <v>420</v>
      </c>
      <c r="E22" s="31" t="s">
        <v>414</v>
      </c>
      <c r="F22" s="30" t="s">
        <v>109</v>
      </c>
      <c r="G22" s="15" t="s">
        <v>46</v>
      </c>
      <c r="H22" s="11">
        <v>0.0</v>
      </c>
      <c r="I22" s="16" t="s">
        <v>421</v>
      </c>
      <c r="J22" s="4"/>
      <c r="K22" s="17" t="str">
        <f t="shared" si="2"/>
        <v>TK-133</v>
      </c>
      <c r="L22" s="18" t="s">
        <v>48</v>
      </c>
      <c r="M22" s="4"/>
      <c r="N22" s="4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20" t="str">
        <f t="shared" si="5"/>
        <v/>
      </c>
      <c r="AB22" s="21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20" t="str">
        <f t="shared" si="15"/>
        <v/>
      </c>
      <c r="CF22" s="21"/>
      <c r="CG22" s="34"/>
      <c r="CH22" s="34"/>
      <c r="CI22" s="21"/>
      <c r="CJ22" s="21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37"/>
      <c r="DB22" s="37"/>
      <c r="DC22" s="37"/>
      <c r="DD22" s="37"/>
      <c r="DE22" s="37"/>
      <c r="DF22" s="37"/>
      <c r="DG22" s="37"/>
      <c r="DH22" s="37"/>
      <c r="DI22" s="4"/>
      <c r="DJ22" s="4"/>
      <c r="DK22" s="4"/>
      <c r="DL22" s="4"/>
      <c r="DM22" s="33"/>
      <c r="DN22" s="33"/>
      <c r="DO22" s="4"/>
      <c r="DP22" s="4"/>
      <c r="DQ22" s="4"/>
      <c r="DR22" s="4"/>
      <c r="DS22" s="4"/>
      <c r="DT22" s="4"/>
      <c r="DU22" s="4"/>
      <c r="DV22" s="4"/>
      <c r="DW22" s="4"/>
      <c r="DX22" s="4"/>
    </row>
    <row r="23" ht="15.75" customHeight="1">
      <c r="A23" s="11">
        <v>1588.0</v>
      </c>
      <c r="B23" s="11" t="s">
        <v>42</v>
      </c>
      <c r="C23" s="12" t="str">
        <f t="shared" si="1"/>
        <v>TK-134_SKO</v>
      </c>
      <c r="D23" s="30" t="s">
        <v>422</v>
      </c>
      <c r="E23" s="31" t="s">
        <v>414</v>
      </c>
      <c r="F23" s="30" t="s">
        <v>269</v>
      </c>
      <c r="G23" s="15" t="s">
        <v>46</v>
      </c>
      <c r="H23" s="11">
        <v>0.0</v>
      </c>
      <c r="I23" s="16" t="s">
        <v>423</v>
      </c>
      <c r="J23" s="4"/>
      <c r="K23" s="17" t="str">
        <f t="shared" si="2"/>
        <v>TK-134</v>
      </c>
      <c r="L23" s="18" t="s">
        <v>48</v>
      </c>
      <c r="M23" s="4"/>
      <c r="N23" s="4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20" t="str">
        <f t="shared" si="5"/>
        <v/>
      </c>
      <c r="AB23" s="21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20" t="str">
        <f t="shared" si="15"/>
        <v/>
      </c>
      <c r="CF23" s="21"/>
      <c r="CG23" s="34"/>
      <c r="CH23" s="34"/>
      <c r="CI23" s="21"/>
      <c r="CJ23" s="21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37"/>
      <c r="DB23" s="37"/>
      <c r="DC23" s="37"/>
      <c r="DD23" s="37"/>
      <c r="DE23" s="37"/>
      <c r="DF23" s="37"/>
      <c r="DG23" s="37"/>
      <c r="DH23" s="37"/>
      <c r="DI23" s="4"/>
      <c r="DJ23" s="4"/>
      <c r="DK23" s="4"/>
      <c r="DL23" s="4"/>
      <c r="DM23" s="33"/>
      <c r="DN23" s="33"/>
      <c r="DO23" s="4"/>
      <c r="DP23" s="4"/>
      <c r="DQ23" s="4"/>
      <c r="DR23" s="4"/>
      <c r="DS23" s="4"/>
      <c r="DT23" s="4"/>
      <c r="DU23" s="4"/>
      <c r="DV23" s="4"/>
      <c r="DW23" s="4"/>
      <c r="DX23" s="4"/>
    </row>
    <row r="24" ht="15.75" customHeight="1">
      <c r="A24" s="11">
        <v>1588.0</v>
      </c>
      <c r="B24" s="11" t="s">
        <v>42</v>
      </c>
      <c r="C24" s="12" t="str">
        <f t="shared" si="1"/>
        <v>TK-135_BIOHSD</v>
      </c>
      <c r="D24" s="30" t="s">
        <v>424</v>
      </c>
      <c r="E24" s="31" t="s">
        <v>414</v>
      </c>
      <c r="F24" s="30" t="s">
        <v>425</v>
      </c>
      <c r="G24" s="15" t="s">
        <v>46</v>
      </c>
      <c r="H24" s="11">
        <v>0.0</v>
      </c>
      <c r="I24" s="16" t="s">
        <v>426</v>
      </c>
      <c r="J24" s="4"/>
      <c r="K24" s="17" t="str">
        <f t="shared" si="2"/>
        <v>TK-135</v>
      </c>
      <c r="L24" s="18" t="s">
        <v>48</v>
      </c>
      <c r="M24" s="4"/>
      <c r="N24" s="4"/>
      <c r="O24" s="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20" t="str">
        <f t="shared" si="5"/>
        <v/>
      </c>
      <c r="AB24" s="21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20" t="str">
        <f t="shared" si="15"/>
        <v/>
      </c>
      <c r="CF24" s="21"/>
      <c r="CG24" s="34"/>
      <c r="CH24" s="34"/>
      <c r="CI24" s="21"/>
      <c r="CJ24" s="21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37"/>
      <c r="DB24" s="37"/>
      <c r="DC24" s="37"/>
      <c r="DD24" s="37"/>
      <c r="DE24" s="37"/>
      <c r="DF24" s="37"/>
      <c r="DG24" s="37"/>
      <c r="DH24" s="37"/>
      <c r="DI24" s="4"/>
      <c r="DJ24" s="4"/>
      <c r="DK24" s="4"/>
      <c r="DL24" s="4"/>
      <c r="DM24" s="33"/>
      <c r="DN24" s="33"/>
      <c r="DO24" s="4"/>
      <c r="DP24" s="4"/>
      <c r="DQ24" s="4"/>
      <c r="DR24" s="4"/>
      <c r="DS24" s="4"/>
      <c r="DT24" s="4"/>
      <c r="DU24" s="4"/>
      <c r="DV24" s="4"/>
      <c r="DW24" s="4"/>
      <c r="DX24" s="4"/>
    </row>
    <row r="25" ht="15.75" customHeight="1">
      <c r="A25" s="11">
        <v>1588.0</v>
      </c>
      <c r="B25" s="11" t="s">
        <v>42</v>
      </c>
      <c r="C25" s="12" t="str">
        <f t="shared" si="1"/>
        <v>TK-136_ATF</v>
      </c>
      <c r="D25" s="30" t="s">
        <v>427</v>
      </c>
      <c r="E25" s="31" t="s">
        <v>414</v>
      </c>
      <c r="F25" s="30" t="s">
        <v>293</v>
      </c>
      <c r="G25" s="15" t="s">
        <v>46</v>
      </c>
      <c r="H25" s="11">
        <v>0.0</v>
      </c>
      <c r="I25" s="16" t="s">
        <v>428</v>
      </c>
      <c r="J25" s="4"/>
      <c r="K25" s="17" t="str">
        <f t="shared" si="2"/>
        <v>TK-136</v>
      </c>
      <c r="L25" s="18" t="s">
        <v>48</v>
      </c>
      <c r="M25" s="4"/>
      <c r="N25" s="4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20" t="str">
        <f t="shared" si="5"/>
        <v/>
      </c>
      <c r="AB25" s="21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20" t="str">
        <f t="shared" si="15"/>
        <v/>
      </c>
      <c r="CF25" s="21"/>
      <c r="CG25" s="34"/>
      <c r="CH25" s="34"/>
      <c r="CI25" s="21"/>
      <c r="CJ25" s="21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37"/>
      <c r="DB25" s="37"/>
      <c r="DC25" s="37"/>
      <c r="DD25" s="37"/>
      <c r="DE25" s="37"/>
      <c r="DF25" s="37"/>
      <c r="DG25" s="37"/>
      <c r="DH25" s="37"/>
      <c r="DI25" s="4"/>
      <c r="DJ25" s="4"/>
      <c r="DK25" s="4"/>
      <c r="DL25" s="4"/>
      <c r="DM25" s="33"/>
      <c r="DN25" s="33"/>
      <c r="DO25" s="4"/>
      <c r="DP25" s="4"/>
      <c r="DQ25" s="4"/>
      <c r="DR25" s="4"/>
      <c r="DS25" s="4"/>
      <c r="DT25" s="4"/>
      <c r="DU25" s="4"/>
      <c r="DV25" s="4"/>
      <c r="DW25" s="4"/>
      <c r="DX25" s="4"/>
    </row>
    <row r="26" ht="15.75" customHeight="1">
      <c r="G26" s="39"/>
      <c r="H26" s="39"/>
      <c r="I26" s="39"/>
      <c r="J26" s="39"/>
      <c r="K26" s="39"/>
      <c r="L26" s="39"/>
      <c r="M26" s="39"/>
      <c r="N26" s="39"/>
      <c r="O26" s="40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41"/>
      <c r="CH26" s="41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42"/>
      <c r="DB26" s="42"/>
      <c r="DC26" s="42"/>
      <c r="DD26" s="42"/>
      <c r="DE26" s="42"/>
      <c r="DF26" s="42"/>
      <c r="DG26" s="42"/>
      <c r="DH26" s="42"/>
      <c r="DI26" s="39"/>
      <c r="DJ26" s="39"/>
      <c r="DK26" s="39"/>
      <c r="DL26" s="39"/>
      <c r="DM26" s="41"/>
      <c r="DN26" s="41"/>
      <c r="DO26" s="39"/>
      <c r="DP26" s="39"/>
      <c r="DQ26" s="39"/>
      <c r="DR26" s="39"/>
      <c r="DS26" s="39"/>
      <c r="DT26" s="39"/>
      <c r="DU26" s="39"/>
      <c r="DV26" s="39"/>
      <c r="DW26" s="39"/>
      <c r="DX26" s="39"/>
    </row>
    <row r="27" ht="15.75" customHeight="1">
      <c r="G27" s="39"/>
      <c r="H27" s="39"/>
      <c r="I27" s="39"/>
      <c r="J27" s="39"/>
      <c r="K27" s="39"/>
      <c r="L27" s="39"/>
      <c r="M27" s="39"/>
      <c r="N27" s="39"/>
      <c r="O27" s="43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41"/>
      <c r="CH27" s="41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42"/>
      <c r="DB27" s="42"/>
      <c r="DC27" s="42"/>
      <c r="DD27" s="42"/>
      <c r="DE27" s="42"/>
      <c r="DF27" s="42"/>
      <c r="DG27" s="42"/>
      <c r="DH27" s="42"/>
      <c r="DI27" s="39"/>
      <c r="DJ27" s="39"/>
      <c r="DK27" s="39"/>
      <c r="DL27" s="39"/>
      <c r="DM27" s="41"/>
      <c r="DN27" s="41"/>
      <c r="DO27" s="39"/>
      <c r="DP27" s="39"/>
      <c r="DQ27" s="39"/>
      <c r="DR27" s="39"/>
      <c r="DS27" s="39"/>
      <c r="DT27" s="39"/>
      <c r="DU27" s="39"/>
      <c r="DV27" s="39"/>
      <c r="DW27" s="39"/>
      <c r="DX27" s="39"/>
    </row>
    <row r="28" ht="15.75" customHeight="1">
      <c r="G28" s="39"/>
      <c r="H28" s="39"/>
      <c r="I28" s="39"/>
      <c r="J28" s="39"/>
      <c r="K28" s="39"/>
      <c r="L28" s="39"/>
      <c r="M28" s="39"/>
      <c r="N28" s="39"/>
      <c r="O28" s="43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41"/>
      <c r="CH28" s="41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42"/>
      <c r="DB28" s="42"/>
      <c r="DC28" s="42"/>
      <c r="DD28" s="42"/>
      <c r="DE28" s="42"/>
      <c r="DF28" s="42"/>
      <c r="DG28" s="42"/>
      <c r="DH28" s="42"/>
      <c r="DI28" s="39"/>
      <c r="DJ28" s="39"/>
      <c r="DK28" s="39"/>
      <c r="DL28" s="39"/>
      <c r="DM28" s="41"/>
      <c r="DN28" s="41"/>
      <c r="DO28" s="39"/>
      <c r="DP28" s="39"/>
      <c r="DQ28" s="39"/>
      <c r="DR28" s="39"/>
      <c r="DS28" s="39"/>
      <c r="DT28" s="39"/>
      <c r="DU28" s="39"/>
      <c r="DV28" s="39"/>
      <c r="DW28" s="39"/>
      <c r="DX28" s="39"/>
    </row>
    <row r="29" ht="15.75" customHeight="1">
      <c r="G29" s="39"/>
      <c r="H29" s="39"/>
      <c r="I29" s="39"/>
      <c r="J29" s="39"/>
      <c r="K29" s="39"/>
      <c r="L29" s="39"/>
      <c r="M29" s="39"/>
      <c r="N29" s="39"/>
      <c r="O29" s="43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41"/>
      <c r="CH29" s="41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42"/>
      <c r="DB29" s="42"/>
      <c r="DC29" s="42"/>
      <c r="DD29" s="42"/>
      <c r="DE29" s="42"/>
      <c r="DF29" s="42"/>
      <c r="DG29" s="42"/>
      <c r="DH29" s="42"/>
      <c r="DI29" s="39"/>
      <c r="DJ29" s="39"/>
      <c r="DK29" s="39"/>
      <c r="DL29" s="39"/>
      <c r="DM29" s="41"/>
      <c r="DN29" s="41"/>
      <c r="DO29" s="39"/>
      <c r="DP29" s="39"/>
      <c r="DQ29" s="39"/>
      <c r="DR29" s="39"/>
      <c r="DS29" s="39"/>
      <c r="DT29" s="39"/>
      <c r="DU29" s="39"/>
      <c r="DV29" s="39"/>
      <c r="DW29" s="39"/>
      <c r="DX29" s="39"/>
    </row>
    <row r="30" ht="15.75" customHeight="1">
      <c r="G30" s="39"/>
      <c r="H30" s="39"/>
      <c r="I30" s="39"/>
      <c r="J30" s="39"/>
      <c r="K30" s="39"/>
      <c r="L30" s="39"/>
      <c r="M30" s="39"/>
      <c r="N30" s="39"/>
      <c r="O30" s="43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41"/>
      <c r="CH30" s="41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42"/>
      <c r="DB30" s="42"/>
      <c r="DC30" s="42"/>
      <c r="DD30" s="42"/>
      <c r="DE30" s="42"/>
      <c r="DF30" s="42"/>
      <c r="DG30" s="42"/>
      <c r="DH30" s="42"/>
      <c r="DI30" s="39"/>
      <c r="DJ30" s="39"/>
      <c r="DK30" s="39"/>
      <c r="DL30" s="39"/>
      <c r="DM30" s="41"/>
      <c r="DN30" s="41"/>
      <c r="DO30" s="39"/>
      <c r="DP30" s="39"/>
      <c r="DQ30" s="39"/>
      <c r="DR30" s="39"/>
      <c r="DS30" s="39"/>
      <c r="DT30" s="39"/>
      <c r="DU30" s="39"/>
      <c r="DV30" s="39"/>
      <c r="DW30" s="39"/>
      <c r="DX30" s="39"/>
    </row>
    <row r="31" ht="15.75" customHeight="1">
      <c r="G31" s="39"/>
      <c r="H31" s="39"/>
      <c r="I31" s="39"/>
      <c r="J31" s="39"/>
      <c r="K31" s="39"/>
      <c r="L31" s="39"/>
      <c r="M31" s="39"/>
      <c r="N31" s="39"/>
      <c r="O31" s="43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41"/>
      <c r="CH31" s="41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42"/>
      <c r="DB31" s="42"/>
      <c r="DC31" s="42"/>
      <c r="DD31" s="42"/>
      <c r="DE31" s="42"/>
      <c r="DF31" s="42"/>
      <c r="DG31" s="42"/>
      <c r="DH31" s="42"/>
      <c r="DI31" s="39"/>
      <c r="DJ31" s="39"/>
      <c r="DK31" s="39"/>
      <c r="DL31" s="39"/>
      <c r="DM31" s="41"/>
      <c r="DN31" s="41"/>
      <c r="DO31" s="39"/>
      <c r="DP31" s="39"/>
      <c r="DQ31" s="39"/>
      <c r="DR31" s="39"/>
      <c r="DS31" s="39"/>
      <c r="DT31" s="39"/>
      <c r="DU31" s="39"/>
      <c r="DV31" s="39"/>
      <c r="DW31" s="39"/>
      <c r="DX31" s="39"/>
    </row>
    <row r="32" ht="15.75" customHeight="1">
      <c r="G32" s="39"/>
      <c r="H32" s="39"/>
      <c r="I32" s="39"/>
      <c r="J32" s="39"/>
      <c r="K32" s="39"/>
      <c r="L32" s="39"/>
      <c r="M32" s="39"/>
      <c r="N32" s="39"/>
      <c r="O32" s="43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41"/>
      <c r="CH32" s="41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42"/>
      <c r="DB32" s="42"/>
      <c r="DC32" s="42"/>
      <c r="DD32" s="42"/>
      <c r="DE32" s="42"/>
      <c r="DF32" s="42"/>
      <c r="DG32" s="42"/>
      <c r="DH32" s="42"/>
      <c r="DI32" s="39"/>
      <c r="DJ32" s="39"/>
      <c r="DK32" s="39"/>
      <c r="DL32" s="39"/>
      <c r="DM32" s="41"/>
      <c r="DN32" s="41"/>
      <c r="DO32" s="39"/>
      <c r="DP32" s="39"/>
      <c r="DQ32" s="39"/>
      <c r="DR32" s="39"/>
      <c r="DS32" s="39"/>
      <c r="DT32" s="39"/>
      <c r="DU32" s="39"/>
      <c r="DV32" s="39"/>
      <c r="DW32" s="39"/>
      <c r="DX32" s="39"/>
    </row>
    <row r="33" ht="15.75" customHeight="1">
      <c r="G33" s="39"/>
      <c r="H33" s="39"/>
      <c r="I33" s="39"/>
      <c r="J33" s="39"/>
      <c r="K33" s="39"/>
      <c r="L33" s="39"/>
      <c r="M33" s="39"/>
      <c r="N33" s="39"/>
      <c r="O33" s="43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41"/>
      <c r="CH33" s="41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42"/>
      <c r="DB33" s="42"/>
      <c r="DC33" s="42"/>
      <c r="DD33" s="42"/>
      <c r="DE33" s="42"/>
      <c r="DF33" s="42"/>
      <c r="DG33" s="42"/>
      <c r="DH33" s="42"/>
      <c r="DI33" s="39"/>
      <c r="DJ33" s="39"/>
      <c r="DK33" s="39"/>
      <c r="DL33" s="39"/>
      <c r="DM33" s="41"/>
      <c r="DN33" s="41"/>
      <c r="DO33" s="39"/>
      <c r="DP33" s="39"/>
      <c r="DQ33" s="39"/>
      <c r="DR33" s="39"/>
      <c r="DS33" s="39"/>
      <c r="DT33" s="39"/>
      <c r="DU33" s="39"/>
      <c r="DV33" s="39"/>
      <c r="DW33" s="39"/>
      <c r="DX33" s="39"/>
    </row>
    <row r="34" ht="15.75" customHeight="1">
      <c r="G34" s="39"/>
      <c r="H34" s="39"/>
      <c r="I34" s="39"/>
      <c r="J34" s="39"/>
      <c r="K34" s="39"/>
      <c r="L34" s="39"/>
      <c r="M34" s="39"/>
      <c r="N34" s="39"/>
      <c r="O34" s="43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41"/>
      <c r="CH34" s="41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42"/>
      <c r="DB34" s="42"/>
      <c r="DC34" s="42"/>
      <c r="DD34" s="42"/>
      <c r="DE34" s="42"/>
      <c r="DF34" s="42"/>
      <c r="DG34" s="42"/>
      <c r="DH34" s="42"/>
      <c r="DI34" s="39"/>
      <c r="DJ34" s="39"/>
      <c r="DK34" s="39"/>
      <c r="DL34" s="39"/>
      <c r="DM34" s="41"/>
      <c r="DN34" s="41"/>
      <c r="DO34" s="39"/>
      <c r="DP34" s="39"/>
      <c r="DQ34" s="39"/>
      <c r="DR34" s="39"/>
      <c r="DS34" s="39"/>
      <c r="DT34" s="39"/>
      <c r="DU34" s="39"/>
      <c r="DV34" s="39"/>
      <c r="DW34" s="39"/>
      <c r="DX34" s="39"/>
    </row>
    <row r="35" ht="15.75" customHeight="1">
      <c r="G35" s="39"/>
      <c r="H35" s="39"/>
      <c r="I35" s="39"/>
      <c r="J35" s="39"/>
      <c r="K35" s="39"/>
      <c r="L35" s="39"/>
      <c r="M35" s="39"/>
      <c r="N35" s="39"/>
      <c r="O35" s="43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41"/>
      <c r="CH35" s="41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42"/>
      <c r="DB35" s="42"/>
      <c r="DC35" s="42"/>
      <c r="DD35" s="42"/>
      <c r="DE35" s="42"/>
      <c r="DF35" s="42"/>
      <c r="DG35" s="42"/>
      <c r="DH35" s="42"/>
      <c r="DI35" s="39"/>
      <c r="DJ35" s="39"/>
      <c r="DK35" s="39"/>
      <c r="DL35" s="39"/>
      <c r="DM35" s="41"/>
      <c r="DN35" s="41"/>
      <c r="DO35" s="39"/>
      <c r="DP35" s="39"/>
      <c r="DQ35" s="39"/>
      <c r="DR35" s="39"/>
      <c r="DS35" s="39"/>
      <c r="DT35" s="39"/>
      <c r="DU35" s="39"/>
      <c r="DV35" s="39"/>
      <c r="DW35" s="39"/>
      <c r="DX35" s="39"/>
    </row>
    <row r="36" ht="15.75" customHeight="1">
      <c r="G36" s="39"/>
      <c r="H36" s="39"/>
      <c r="I36" s="39"/>
      <c r="J36" s="39"/>
      <c r="K36" s="39"/>
      <c r="L36" s="39"/>
      <c r="M36" s="39"/>
      <c r="N36" s="39"/>
      <c r="O36" s="43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41"/>
      <c r="CH36" s="41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42"/>
      <c r="DB36" s="42"/>
      <c r="DC36" s="42"/>
      <c r="DD36" s="42"/>
      <c r="DE36" s="42"/>
      <c r="DF36" s="42"/>
      <c r="DG36" s="42"/>
      <c r="DH36" s="42"/>
      <c r="DI36" s="39"/>
      <c r="DJ36" s="39"/>
      <c r="DK36" s="39"/>
      <c r="DL36" s="39"/>
      <c r="DM36" s="41"/>
      <c r="DN36" s="41"/>
      <c r="DO36" s="39"/>
      <c r="DP36" s="39"/>
      <c r="DQ36" s="39"/>
      <c r="DR36" s="39"/>
      <c r="DS36" s="39"/>
      <c r="DT36" s="39"/>
      <c r="DU36" s="39"/>
      <c r="DV36" s="39"/>
      <c r="DW36" s="39"/>
      <c r="DX36" s="39"/>
    </row>
    <row r="37" ht="15.75" customHeight="1">
      <c r="G37" s="39"/>
      <c r="H37" s="39"/>
      <c r="I37" s="39"/>
      <c r="J37" s="39"/>
      <c r="K37" s="39"/>
      <c r="L37" s="39"/>
      <c r="M37" s="39"/>
      <c r="N37" s="39"/>
      <c r="O37" s="43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41"/>
      <c r="CH37" s="41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42"/>
      <c r="DB37" s="42"/>
      <c r="DC37" s="42"/>
      <c r="DD37" s="42"/>
      <c r="DE37" s="42"/>
      <c r="DF37" s="42"/>
      <c r="DG37" s="42"/>
      <c r="DH37" s="42"/>
      <c r="DI37" s="39"/>
      <c r="DJ37" s="39"/>
      <c r="DK37" s="39"/>
      <c r="DL37" s="39"/>
      <c r="DM37" s="41"/>
      <c r="DN37" s="41"/>
      <c r="DO37" s="39"/>
      <c r="DP37" s="39"/>
      <c r="DQ37" s="39"/>
      <c r="DR37" s="39"/>
      <c r="DS37" s="39"/>
      <c r="DT37" s="39"/>
      <c r="DU37" s="39"/>
      <c r="DV37" s="39"/>
      <c r="DW37" s="39"/>
      <c r="DX37" s="39"/>
    </row>
    <row r="38" ht="15.75" customHeight="1">
      <c r="G38" s="39"/>
      <c r="H38" s="39"/>
      <c r="I38" s="39"/>
      <c r="J38" s="39"/>
      <c r="K38" s="39"/>
      <c r="L38" s="39"/>
      <c r="M38" s="39"/>
      <c r="N38" s="39"/>
      <c r="O38" s="43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41"/>
      <c r="CH38" s="41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42"/>
      <c r="DB38" s="42"/>
      <c r="DC38" s="42"/>
      <c r="DD38" s="42"/>
      <c r="DE38" s="42"/>
      <c r="DF38" s="42"/>
      <c r="DG38" s="42"/>
      <c r="DH38" s="42"/>
      <c r="DI38" s="39"/>
      <c r="DJ38" s="39"/>
      <c r="DK38" s="39"/>
      <c r="DL38" s="39"/>
      <c r="DM38" s="41"/>
      <c r="DN38" s="41"/>
      <c r="DO38" s="39"/>
      <c r="DP38" s="39"/>
      <c r="DQ38" s="39"/>
      <c r="DR38" s="39"/>
      <c r="DS38" s="39"/>
      <c r="DT38" s="39"/>
      <c r="DU38" s="39"/>
      <c r="DV38" s="39"/>
      <c r="DW38" s="39"/>
      <c r="DX38" s="39"/>
    </row>
    <row r="39" ht="15.75" customHeight="1">
      <c r="G39" s="39"/>
      <c r="H39" s="39"/>
      <c r="I39" s="39"/>
      <c r="J39" s="39"/>
      <c r="K39" s="39"/>
      <c r="L39" s="39"/>
      <c r="M39" s="39"/>
      <c r="N39" s="39"/>
      <c r="O39" s="43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41"/>
      <c r="CH39" s="41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42"/>
      <c r="DB39" s="42"/>
      <c r="DC39" s="42"/>
      <c r="DD39" s="42"/>
      <c r="DE39" s="42"/>
      <c r="DF39" s="42"/>
      <c r="DG39" s="42"/>
      <c r="DH39" s="42"/>
      <c r="DI39" s="39"/>
      <c r="DJ39" s="39"/>
      <c r="DK39" s="39"/>
      <c r="DL39" s="39"/>
      <c r="DM39" s="41"/>
      <c r="DN39" s="41"/>
      <c r="DO39" s="39"/>
      <c r="DP39" s="39"/>
      <c r="DQ39" s="39"/>
      <c r="DR39" s="39"/>
      <c r="DS39" s="39"/>
      <c r="DT39" s="39"/>
      <c r="DU39" s="39"/>
      <c r="DV39" s="39"/>
      <c r="DW39" s="39"/>
      <c r="DX39" s="39"/>
    </row>
    <row r="40" ht="15.75" customHeight="1">
      <c r="G40" s="39"/>
      <c r="H40" s="39"/>
      <c r="I40" s="39"/>
      <c r="J40" s="39"/>
      <c r="K40" s="39"/>
      <c r="L40" s="39"/>
      <c r="M40" s="39"/>
      <c r="N40" s="39"/>
      <c r="O40" s="43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41"/>
      <c r="CH40" s="41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42"/>
      <c r="DB40" s="42"/>
      <c r="DC40" s="42"/>
      <c r="DD40" s="42"/>
      <c r="DE40" s="42"/>
      <c r="DF40" s="42"/>
      <c r="DG40" s="42"/>
      <c r="DH40" s="42"/>
      <c r="DI40" s="39"/>
      <c r="DJ40" s="39"/>
      <c r="DK40" s="39"/>
      <c r="DL40" s="39"/>
      <c r="DM40" s="41"/>
      <c r="DN40" s="41"/>
      <c r="DO40" s="39"/>
      <c r="DP40" s="39"/>
      <c r="DQ40" s="39"/>
      <c r="DR40" s="39"/>
      <c r="DS40" s="39"/>
      <c r="DT40" s="39"/>
      <c r="DU40" s="39"/>
      <c r="DV40" s="39"/>
      <c r="DW40" s="39"/>
      <c r="DX40" s="39"/>
    </row>
    <row r="41" ht="15.75" customHeight="1">
      <c r="G41" s="39"/>
      <c r="H41" s="39"/>
      <c r="I41" s="39"/>
      <c r="J41" s="39"/>
      <c r="K41" s="39"/>
      <c r="L41" s="39"/>
      <c r="M41" s="39"/>
      <c r="N41" s="39"/>
      <c r="O41" s="43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41"/>
      <c r="CH41" s="41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42"/>
      <c r="DB41" s="42"/>
      <c r="DC41" s="42"/>
      <c r="DD41" s="42"/>
      <c r="DE41" s="42"/>
      <c r="DF41" s="42"/>
      <c r="DG41" s="42"/>
      <c r="DH41" s="42"/>
      <c r="DI41" s="39"/>
      <c r="DJ41" s="39"/>
      <c r="DK41" s="39"/>
      <c r="DL41" s="39"/>
      <c r="DM41" s="41"/>
      <c r="DN41" s="41"/>
      <c r="DO41" s="39"/>
      <c r="DP41" s="39"/>
      <c r="DQ41" s="39"/>
      <c r="DR41" s="39"/>
      <c r="DS41" s="39"/>
      <c r="DT41" s="39"/>
      <c r="DU41" s="39"/>
      <c r="DV41" s="39"/>
      <c r="DW41" s="39"/>
      <c r="DX41" s="39"/>
    </row>
    <row r="42" ht="15.75" customHeight="1">
      <c r="G42" s="39"/>
      <c r="H42" s="39"/>
      <c r="I42" s="39"/>
      <c r="J42" s="39"/>
      <c r="K42" s="39"/>
      <c r="L42" s="39"/>
      <c r="M42" s="39"/>
      <c r="N42" s="39"/>
      <c r="O42" s="43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41"/>
      <c r="CH42" s="41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42"/>
      <c r="DB42" s="42"/>
      <c r="DC42" s="42"/>
      <c r="DD42" s="42"/>
      <c r="DE42" s="42"/>
      <c r="DF42" s="42"/>
      <c r="DG42" s="42"/>
      <c r="DH42" s="42"/>
      <c r="DI42" s="39"/>
      <c r="DJ42" s="39"/>
      <c r="DK42" s="39"/>
      <c r="DL42" s="39"/>
      <c r="DM42" s="41"/>
      <c r="DN42" s="41"/>
      <c r="DO42" s="39"/>
      <c r="DP42" s="39"/>
      <c r="DQ42" s="39"/>
      <c r="DR42" s="39"/>
      <c r="DS42" s="39"/>
      <c r="DT42" s="39"/>
      <c r="DU42" s="39"/>
      <c r="DV42" s="39"/>
      <c r="DW42" s="39"/>
      <c r="DX42" s="39"/>
    </row>
    <row r="43" ht="15.75" customHeight="1">
      <c r="G43" s="39"/>
      <c r="H43" s="39"/>
      <c r="I43" s="39"/>
      <c r="J43" s="39"/>
      <c r="K43" s="39"/>
      <c r="L43" s="39"/>
      <c r="M43" s="39"/>
      <c r="N43" s="39"/>
      <c r="O43" s="43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41"/>
      <c r="CH43" s="41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42"/>
      <c r="DB43" s="42"/>
      <c r="DC43" s="42"/>
      <c r="DD43" s="42"/>
      <c r="DE43" s="42"/>
      <c r="DF43" s="42"/>
      <c r="DG43" s="42"/>
      <c r="DH43" s="42"/>
      <c r="DI43" s="39"/>
      <c r="DJ43" s="39"/>
      <c r="DK43" s="39"/>
      <c r="DL43" s="39"/>
      <c r="DM43" s="41"/>
      <c r="DN43" s="41"/>
      <c r="DO43" s="39"/>
      <c r="DP43" s="39"/>
      <c r="DQ43" s="39"/>
      <c r="DR43" s="39"/>
      <c r="DS43" s="39"/>
      <c r="DT43" s="39"/>
      <c r="DU43" s="39"/>
      <c r="DV43" s="39"/>
      <c r="DW43" s="39"/>
      <c r="DX43" s="39"/>
    </row>
    <row r="44" ht="15.75" customHeight="1">
      <c r="G44" s="39"/>
      <c r="H44" s="39"/>
      <c r="I44" s="39"/>
      <c r="J44" s="39"/>
      <c r="K44" s="39"/>
      <c r="L44" s="39"/>
      <c r="M44" s="39"/>
      <c r="N44" s="39"/>
      <c r="O44" s="43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41"/>
      <c r="CH44" s="41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42"/>
      <c r="DB44" s="42"/>
      <c r="DC44" s="42"/>
      <c r="DD44" s="42"/>
      <c r="DE44" s="42"/>
      <c r="DF44" s="42"/>
      <c r="DG44" s="42"/>
      <c r="DH44" s="42"/>
      <c r="DI44" s="39"/>
      <c r="DJ44" s="39"/>
      <c r="DK44" s="39"/>
      <c r="DL44" s="39"/>
      <c r="DM44" s="41"/>
      <c r="DN44" s="41"/>
      <c r="DO44" s="39"/>
      <c r="DP44" s="39"/>
      <c r="DQ44" s="39"/>
      <c r="DR44" s="39"/>
      <c r="DS44" s="39"/>
      <c r="DT44" s="39"/>
      <c r="DU44" s="39"/>
      <c r="DV44" s="39"/>
      <c r="DW44" s="39"/>
      <c r="DX44" s="39"/>
    </row>
    <row r="45" ht="15.75" customHeight="1">
      <c r="G45" s="39"/>
      <c r="H45" s="39"/>
      <c r="I45" s="39"/>
      <c r="J45" s="39"/>
      <c r="K45" s="39"/>
      <c r="L45" s="39"/>
      <c r="M45" s="39"/>
      <c r="N45" s="39"/>
      <c r="O45" s="43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41"/>
      <c r="CH45" s="41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42"/>
      <c r="DB45" s="42"/>
      <c r="DC45" s="42"/>
      <c r="DD45" s="42"/>
      <c r="DE45" s="42"/>
      <c r="DF45" s="42"/>
      <c r="DG45" s="42"/>
      <c r="DH45" s="42"/>
      <c r="DI45" s="39"/>
      <c r="DJ45" s="39"/>
      <c r="DK45" s="39"/>
      <c r="DL45" s="39"/>
      <c r="DM45" s="41"/>
      <c r="DN45" s="41"/>
      <c r="DO45" s="39"/>
      <c r="DP45" s="39"/>
      <c r="DQ45" s="39"/>
      <c r="DR45" s="39"/>
      <c r="DS45" s="39"/>
      <c r="DT45" s="39"/>
      <c r="DU45" s="39"/>
      <c r="DV45" s="39"/>
      <c r="DW45" s="39"/>
      <c r="DX45" s="39"/>
    </row>
    <row r="46" ht="15.75" customHeight="1">
      <c r="G46" s="39"/>
      <c r="H46" s="39"/>
      <c r="I46" s="39"/>
      <c r="J46" s="39"/>
      <c r="K46" s="39"/>
      <c r="L46" s="39"/>
      <c r="M46" s="39"/>
      <c r="N46" s="39"/>
      <c r="O46" s="43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41"/>
      <c r="CH46" s="41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42"/>
      <c r="DB46" s="42"/>
      <c r="DC46" s="42"/>
      <c r="DD46" s="42"/>
      <c r="DE46" s="42"/>
      <c r="DF46" s="42"/>
      <c r="DG46" s="42"/>
      <c r="DH46" s="42"/>
      <c r="DI46" s="39"/>
      <c r="DJ46" s="39"/>
      <c r="DK46" s="39"/>
      <c r="DL46" s="39"/>
      <c r="DM46" s="41"/>
      <c r="DN46" s="41"/>
      <c r="DO46" s="39"/>
      <c r="DP46" s="39"/>
      <c r="DQ46" s="39"/>
      <c r="DR46" s="39"/>
      <c r="DS46" s="39"/>
      <c r="DT46" s="39"/>
      <c r="DU46" s="39"/>
      <c r="DV46" s="39"/>
      <c r="DW46" s="39"/>
      <c r="DX46" s="39"/>
    </row>
    <row r="47" ht="15.75" customHeight="1">
      <c r="G47" s="39"/>
      <c r="H47" s="39"/>
      <c r="I47" s="39"/>
      <c r="J47" s="39"/>
      <c r="K47" s="39"/>
      <c r="L47" s="39"/>
      <c r="M47" s="39"/>
      <c r="N47" s="39"/>
      <c r="O47" s="43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41"/>
      <c r="CH47" s="41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42"/>
      <c r="DB47" s="42"/>
      <c r="DC47" s="42"/>
      <c r="DD47" s="42"/>
      <c r="DE47" s="42"/>
      <c r="DF47" s="42"/>
      <c r="DG47" s="42"/>
      <c r="DH47" s="42"/>
      <c r="DI47" s="39"/>
      <c r="DJ47" s="39"/>
      <c r="DK47" s="39"/>
      <c r="DL47" s="39"/>
      <c r="DM47" s="41"/>
      <c r="DN47" s="41"/>
      <c r="DO47" s="39"/>
      <c r="DP47" s="39"/>
      <c r="DQ47" s="39"/>
      <c r="DR47" s="39"/>
      <c r="DS47" s="39"/>
      <c r="DT47" s="39"/>
      <c r="DU47" s="39"/>
      <c r="DV47" s="39"/>
      <c r="DW47" s="39"/>
      <c r="DX47" s="39"/>
    </row>
    <row r="48" ht="15.75" customHeight="1">
      <c r="G48" s="39"/>
      <c r="H48" s="39"/>
      <c r="I48" s="39"/>
      <c r="J48" s="39"/>
      <c r="K48" s="39"/>
      <c r="L48" s="39"/>
      <c r="M48" s="39"/>
      <c r="N48" s="39"/>
      <c r="O48" s="43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41"/>
      <c r="CH48" s="41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42"/>
      <c r="DB48" s="42"/>
      <c r="DC48" s="42"/>
      <c r="DD48" s="42"/>
      <c r="DE48" s="42"/>
      <c r="DF48" s="42"/>
      <c r="DG48" s="42"/>
      <c r="DH48" s="42"/>
      <c r="DI48" s="39"/>
      <c r="DJ48" s="39"/>
      <c r="DK48" s="39"/>
      <c r="DL48" s="39"/>
      <c r="DM48" s="41"/>
      <c r="DN48" s="41"/>
      <c r="DO48" s="39"/>
      <c r="DP48" s="39"/>
      <c r="DQ48" s="39"/>
      <c r="DR48" s="39"/>
      <c r="DS48" s="39"/>
      <c r="DT48" s="39"/>
      <c r="DU48" s="39"/>
      <c r="DV48" s="39"/>
      <c r="DW48" s="39"/>
      <c r="DX48" s="39"/>
    </row>
    <row r="49" ht="15.75" customHeight="1">
      <c r="G49" s="39"/>
      <c r="H49" s="39"/>
      <c r="I49" s="39"/>
      <c r="J49" s="39"/>
      <c r="K49" s="39"/>
      <c r="L49" s="39"/>
      <c r="M49" s="39"/>
      <c r="N49" s="39"/>
      <c r="O49" s="43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41"/>
      <c r="CH49" s="41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42"/>
      <c r="DB49" s="42"/>
      <c r="DC49" s="42"/>
      <c r="DD49" s="42"/>
      <c r="DE49" s="42"/>
      <c r="DF49" s="42"/>
      <c r="DG49" s="42"/>
      <c r="DH49" s="42"/>
      <c r="DI49" s="39"/>
      <c r="DJ49" s="39"/>
      <c r="DK49" s="39"/>
      <c r="DL49" s="39"/>
      <c r="DM49" s="41"/>
      <c r="DN49" s="41"/>
      <c r="DO49" s="39"/>
      <c r="DP49" s="39"/>
      <c r="DQ49" s="39"/>
      <c r="DR49" s="39"/>
      <c r="DS49" s="39"/>
      <c r="DT49" s="39"/>
      <c r="DU49" s="39"/>
      <c r="DV49" s="39"/>
      <c r="DW49" s="39"/>
      <c r="DX49" s="39"/>
    </row>
    <row r="50" ht="15.75" customHeight="1">
      <c r="G50" s="39"/>
      <c r="H50" s="39"/>
      <c r="I50" s="39"/>
      <c r="J50" s="39"/>
      <c r="K50" s="39"/>
      <c r="L50" s="39"/>
      <c r="M50" s="39"/>
      <c r="N50" s="39"/>
      <c r="O50" s="43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41"/>
      <c r="CH50" s="41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42"/>
      <c r="DB50" s="42"/>
      <c r="DC50" s="42"/>
      <c r="DD50" s="42"/>
      <c r="DE50" s="42"/>
      <c r="DF50" s="42"/>
      <c r="DG50" s="42"/>
      <c r="DH50" s="42"/>
      <c r="DI50" s="39"/>
      <c r="DJ50" s="39"/>
      <c r="DK50" s="39"/>
      <c r="DL50" s="39"/>
      <c r="DM50" s="41"/>
      <c r="DN50" s="41"/>
      <c r="DO50" s="39"/>
      <c r="DP50" s="39"/>
      <c r="DQ50" s="39"/>
      <c r="DR50" s="39"/>
      <c r="DS50" s="39"/>
      <c r="DT50" s="39"/>
      <c r="DU50" s="39"/>
      <c r="DV50" s="39"/>
      <c r="DW50" s="39"/>
      <c r="DX50" s="39"/>
    </row>
    <row r="51" ht="15.75" customHeight="1">
      <c r="G51" s="39"/>
      <c r="H51" s="39"/>
      <c r="I51" s="39"/>
      <c r="J51" s="39"/>
      <c r="K51" s="39"/>
      <c r="L51" s="39"/>
      <c r="M51" s="39"/>
      <c r="N51" s="39"/>
      <c r="O51" s="43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41"/>
      <c r="CH51" s="41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42"/>
      <c r="DB51" s="42"/>
      <c r="DC51" s="42"/>
      <c r="DD51" s="42"/>
      <c r="DE51" s="42"/>
      <c r="DF51" s="42"/>
      <c r="DG51" s="42"/>
      <c r="DH51" s="42"/>
      <c r="DI51" s="39"/>
      <c r="DJ51" s="39"/>
      <c r="DK51" s="39"/>
      <c r="DL51" s="39"/>
      <c r="DM51" s="41"/>
      <c r="DN51" s="41"/>
      <c r="DO51" s="39"/>
      <c r="DP51" s="39"/>
      <c r="DQ51" s="39"/>
      <c r="DR51" s="39"/>
      <c r="DS51" s="39"/>
      <c r="DT51" s="39"/>
      <c r="DU51" s="39"/>
      <c r="DV51" s="39"/>
      <c r="DW51" s="39"/>
      <c r="DX51" s="39"/>
    </row>
    <row r="52" ht="15.75" customHeight="1">
      <c r="G52" s="39"/>
      <c r="H52" s="39"/>
      <c r="I52" s="39"/>
      <c r="J52" s="39"/>
      <c r="K52" s="39"/>
      <c r="L52" s="39"/>
      <c r="M52" s="39"/>
      <c r="N52" s="39"/>
      <c r="O52" s="43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41"/>
      <c r="CH52" s="41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42"/>
      <c r="DB52" s="42"/>
      <c r="DC52" s="42"/>
      <c r="DD52" s="42"/>
      <c r="DE52" s="42"/>
      <c r="DF52" s="42"/>
      <c r="DG52" s="42"/>
      <c r="DH52" s="42"/>
      <c r="DI52" s="39"/>
      <c r="DJ52" s="39"/>
      <c r="DK52" s="39"/>
      <c r="DL52" s="39"/>
      <c r="DM52" s="41"/>
      <c r="DN52" s="41"/>
      <c r="DO52" s="39"/>
      <c r="DP52" s="39"/>
      <c r="DQ52" s="39"/>
      <c r="DR52" s="39"/>
      <c r="DS52" s="39"/>
      <c r="DT52" s="39"/>
      <c r="DU52" s="39"/>
      <c r="DV52" s="39"/>
      <c r="DW52" s="39"/>
      <c r="DX52" s="39"/>
    </row>
    <row r="53" ht="15.75" customHeight="1">
      <c r="G53" s="39"/>
      <c r="H53" s="39"/>
      <c r="I53" s="39"/>
      <c r="J53" s="39"/>
      <c r="K53" s="39"/>
      <c r="L53" s="39"/>
      <c r="M53" s="39"/>
      <c r="N53" s="39"/>
      <c r="O53" s="43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41"/>
      <c r="CH53" s="41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42"/>
      <c r="DB53" s="42"/>
      <c r="DC53" s="42"/>
      <c r="DD53" s="42"/>
      <c r="DE53" s="42"/>
      <c r="DF53" s="42"/>
      <c r="DG53" s="42"/>
      <c r="DH53" s="42"/>
      <c r="DI53" s="39"/>
      <c r="DJ53" s="39"/>
      <c r="DK53" s="39"/>
      <c r="DL53" s="39"/>
      <c r="DM53" s="41"/>
      <c r="DN53" s="41"/>
      <c r="DO53" s="39"/>
      <c r="DP53" s="39"/>
      <c r="DQ53" s="39"/>
      <c r="DR53" s="39"/>
      <c r="DS53" s="39"/>
      <c r="DT53" s="39"/>
      <c r="DU53" s="39"/>
      <c r="DV53" s="39"/>
      <c r="DW53" s="39"/>
      <c r="DX53" s="39"/>
    </row>
    <row r="54" ht="15.75" customHeight="1">
      <c r="G54" s="39"/>
      <c r="H54" s="39"/>
      <c r="I54" s="39"/>
      <c r="J54" s="39"/>
      <c r="K54" s="39"/>
      <c r="L54" s="39"/>
      <c r="M54" s="39"/>
      <c r="N54" s="39"/>
      <c r="O54" s="43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41"/>
      <c r="CH54" s="41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42"/>
      <c r="DB54" s="42"/>
      <c r="DC54" s="42"/>
      <c r="DD54" s="42"/>
      <c r="DE54" s="42"/>
      <c r="DF54" s="42"/>
      <c r="DG54" s="42"/>
      <c r="DH54" s="42"/>
      <c r="DI54" s="39"/>
      <c r="DJ54" s="39"/>
      <c r="DK54" s="39"/>
      <c r="DL54" s="39"/>
      <c r="DM54" s="41"/>
      <c r="DN54" s="41"/>
      <c r="DO54" s="39"/>
      <c r="DP54" s="39"/>
      <c r="DQ54" s="39"/>
      <c r="DR54" s="39"/>
      <c r="DS54" s="39"/>
      <c r="DT54" s="39"/>
      <c r="DU54" s="39"/>
      <c r="DV54" s="39"/>
      <c r="DW54" s="39"/>
      <c r="DX54" s="39"/>
    </row>
    <row r="55" ht="15.75" customHeight="1">
      <c r="G55" s="39"/>
      <c r="H55" s="39"/>
      <c r="I55" s="39"/>
      <c r="J55" s="39"/>
      <c r="K55" s="39"/>
      <c r="L55" s="39"/>
      <c r="M55" s="39"/>
      <c r="N55" s="39"/>
      <c r="O55" s="43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41"/>
      <c r="CH55" s="41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42"/>
      <c r="DB55" s="42"/>
      <c r="DC55" s="42"/>
      <c r="DD55" s="42"/>
      <c r="DE55" s="42"/>
      <c r="DF55" s="42"/>
      <c r="DG55" s="42"/>
      <c r="DH55" s="42"/>
      <c r="DI55" s="39"/>
      <c r="DJ55" s="39"/>
      <c r="DK55" s="39"/>
      <c r="DL55" s="39"/>
      <c r="DM55" s="41"/>
      <c r="DN55" s="41"/>
      <c r="DO55" s="39"/>
      <c r="DP55" s="39"/>
      <c r="DQ55" s="39"/>
      <c r="DR55" s="39"/>
      <c r="DS55" s="39"/>
      <c r="DT55" s="39"/>
      <c r="DU55" s="39"/>
      <c r="DV55" s="39"/>
      <c r="DW55" s="39"/>
      <c r="DX55" s="39"/>
    </row>
    <row r="56" ht="15.75" customHeight="1">
      <c r="G56" s="39"/>
      <c r="H56" s="39"/>
      <c r="I56" s="39"/>
      <c r="J56" s="39"/>
      <c r="K56" s="39"/>
      <c r="L56" s="39"/>
      <c r="M56" s="39"/>
      <c r="N56" s="39"/>
      <c r="O56" s="43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41"/>
      <c r="CH56" s="41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42"/>
      <c r="DB56" s="42"/>
      <c r="DC56" s="42"/>
      <c r="DD56" s="42"/>
      <c r="DE56" s="42"/>
      <c r="DF56" s="42"/>
      <c r="DG56" s="42"/>
      <c r="DH56" s="42"/>
      <c r="DI56" s="39"/>
      <c r="DJ56" s="39"/>
      <c r="DK56" s="39"/>
      <c r="DL56" s="39"/>
      <c r="DM56" s="41"/>
      <c r="DN56" s="41"/>
      <c r="DO56" s="39"/>
      <c r="DP56" s="39"/>
      <c r="DQ56" s="39"/>
      <c r="DR56" s="39"/>
      <c r="DS56" s="39"/>
      <c r="DT56" s="39"/>
      <c r="DU56" s="39"/>
      <c r="DV56" s="39"/>
      <c r="DW56" s="39"/>
      <c r="DX56" s="39"/>
    </row>
    <row r="57" ht="15.75" customHeight="1">
      <c r="G57" s="39"/>
      <c r="H57" s="39"/>
      <c r="I57" s="39"/>
      <c r="J57" s="39"/>
      <c r="K57" s="39"/>
      <c r="L57" s="39"/>
      <c r="M57" s="39"/>
      <c r="N57" s="39"/>
      <c r="O57" s="43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41"/>
      <c r="CH57" s="41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42"/>
      <c r="DB57" s="42"/>
      <c r="DC57" s="42"/>
      <c r="DD57" s="42"/>
      <c r="DE57" s="42"/>
      <c r="DF57" s="42"/>
      <c r="DG57" s="42"/>
      <c r="DH57" s="42"/>
      <c r="DI57" s="39"/>
      <c r="DJ57" s="39"/>
      <c r="DK57" s="39"/>
      <c r="DL57" s="39"/>
      <c r="DM57" s="41"/>
      <c r="DN57" s="41"/>
      <c r="DO57" s="39"/>
      <c r="DP57" s="39"/>
      <c r="DQ57" s="39"/>
      <c r="DR57" s="39"/>
      <c r="DS57" s="39"/>
      <c r="DT57" s="39"/>
      <c r="DU57" s="39"/>
      <c r="DV57" s="39"/>
      <c r="DW57" s="39"/>
      <c r="DX57" s="39"/>
    </row>
    <row r="58" ht="15.75" customHeight="1">
      <c r="G58" s="39"/>
      <c r="H58" s="39"/>
      <c r="I58" s="39"/>
      <c r="J58" s="39"/>
      <c r="K58" s="39"/>
      <c r="L58" s="39"/>
      <c r="M58" s="39"/>
      <c r="N58" s="39"/>
      <c r="O58" s="43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41"/>
      <c r="CH58" s="41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42"/>
      <c r="DB58" s="42"/>
      <c r="DC58" s="42"/>
      <c r="DD58" s="42"/>
      <c r="DE58" s="42"/>
      <c r="DF58" s="42"/>
      <c r="DG58" s="42"/>
      <c r="DH58" s="42"/>
      <c r="DI58" s="39"/>
      <c r="DJ58" s="39"/>
      <c r="DK58" s="39"/>
      <c r="DL58" s="39"/>
      <c r="DM58" s="41"/>
      <c r="DN58" s="41"/>
      <c r="DO58" s="39"/>
      <c r="DP58" s="39"/>
      <c r="DQ58" s="39"/>
      <c r="DR58" s="39"/>
      <c r="DS58" s="39"/>
      <c r="DT58" s="39"/>
      <c r="DU58" s="39"/>
      <c r="DV58" s="39"/>
      <c r="DW58" s="39"/>
      <c r="DX58" s="39"/>
    </row>
    <row r="59" ht="15.75" customHeight="1">
      <c r="G59" s="39"/>
      <c r="H59" s="39"/>
      <c r="I59" s="39"/>
      <c r="J59" s="39"/>
      <c r="K59" s="39"/>
      <c r="L59" s="39"/>
      <c r="M59" s="39"/>
      <c r="N59" s="39"/>
      <c r="O59" s="43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41"/>
      <c r="CH59" s="41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42"/>
      <c r="DB59" s="42"/>
      <c r="DC59" s="42"/>
      <c r="DD59" s="42"/>
      <c r="DE59" s="42"/>
      <c r="DF59" s="42"/>
      <c r="DG59" s="42"/>
      <c r="DH59" s="42"/>
      <c r="DI59" s="39"/>
      <c r="DJ59" s="39"/>
      <c r="DK59" s="39"/>
      <c r="DL59" s="39"/>
      <c r="DM59" s="41"/>
      <c r="DN59" s="41"/>
      <c r="DO59" s="39"/>
      <c r="DP59" s="39"/>
      <c r="DQ59" s="39"/>
      <c r="DR59" s="39"/>
      <c r="DS59" s="39"/>
      <c r="DT59" s="39"/>
      <c r="DU59" s="39"/>
      <c r="DV59" s="39"/>
      <c r="DW59" s="39"/>
      <c r="DX59" s="39"/>
    </row>
    <row r="60" ht="15.75" customHeight="1">
      <c r="G60" s="39"/>
      <c r="H60" s="39"/>
      <c r="I60" s="39"/>
      <c r="J60" s="39"/>
      <c r="K60" s="39"/>
      <c r="L60" s="39"/>
      <c r="M60" s="39"/>
      <c r="N60" s="39"/>
      <c r="O60" s="43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41"/>
      <c r="CH60" s="41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42"/>
      <c r="DB60" s="42"/>
      <c r="DC60" s="42"/>
      <c r="DD60" s="42"/>
      <c r="DE60" s="42"/>
      <c r="DF60" s="42"/>
      <c r="DG60" s="42"/>
      <c r="DH60" s="42"/>
      <c r="DI60" s="39"/>
      <c r="DJ60" s="39"/>
      <c r="DK60" s="39"/>
      <c r="DL60" s="39"/>
      <c r="DM60" s="41"/>
      <c r="DN60" s="41"/>
      <c r="DO60" s="39"/>
      <c r="DP60" s="39"/>
      <c r="DQ60" s="39"/>
      <c r="DR60" s="39"/>
      <c r="DS60" s="39"/>
      <c r="DT60" s="39"/>
      <c r="DU60" s="39"/>
      <c r="DV60" s="39"/>
      <c r="DW60" s="39"/>
      <c r="DX60" s="39"/>
    </row>
    <row r="61" ht="15.75" customHeight="1">
      <c r="G61" s="39"/>
      <c r="H61" s="39"/>
      <c r="I61" s="39"/>
      <c r="J61" s="39"/>
      <c r="K61" s="39"/>
      <c r="L61" s="39"/>
      <c r="M61" s="39"/>
      <c r="N61" s="39"/>
      <c r="O61" s="43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41"/>
      <c r="CH61" s="41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42"/>
      <c r="DB61" s="42"/>
      <c r="DC61" s="42"/>
      <c r="DD61" s="42"/>
      <c r="DE61" s="42"/>
      <c r="DF61" s="42"/>
      <c r="DG61" s="42"/>
      <c r="DH61" s="42"/>
      <c r="DI61" s="39"/>
      <c r="DJ61" s="39"/>
      <c r="DK61" s="39"/>
      <c r="DL61" s="39"/>
      <c r="DM61" s="41"/>
      <c r="DN61" s="41"/>
      <c r="DO61" s="39"/>
      <c r="DP61" s="39"/>
      <c r="DQ61" s="39"/>
      <c r="DR61" s="39"/>
      <c r="DS61" s="39"/>
      <c r="DT61" s="39"/>
      <c r="DU61" s="39"/>
      <c r="DV61" s="39"/>
      <c r="DW61" s="39"/>
      <c r="DX61" s="39"/>
    </row>
    <row r="62" ht="15.75" customHeight="1">
      <c r="G62" s="39"/>
      <c r="H62" s="39"/>
      <c r="I62" s="39"/>
      <c r="J62" s="39"/>
      <c r="K62" s="39"/>
      <c r="L62" s="39"/>
      <c r="M62" s="39"/>
      <c r="N62" s="39"/>
      <c r="O62" s="43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41"/>
      <c r="CH62" s="41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42"/>
      <c r="DB62" s="42"/>
      <c r="DC62" s="42"/>
      <c r="DD62" s="42"/>
      <c r="DE62" s="42"/>
      <c r="DF62" s="42"/>
      <c r="DG62" s="42"/>
      <c r="DH62" s="42"/>
      <c r="DI62" s="39"/>
      <c r="DJ62" s="39"/>
      <c r="DK62" s="39"/>
      <c r="DL62" s="39"/>
      <c r="DM62" s="41"/>
      <c r="DN62" s="41"/>
      <c r="DO62" s="39"/>
      <c r="DP62" s="39"/>
      <c r="DQ62" s="39"/>
      <c r="DR62" s="39"/>
      <c r="DS62" s="39"/>
      <c r="DT62" s="39"/>
      <c r="DU62" s="39"/>
      <c r="DV62" s="39"/>
      <c r="DW62" s="39"/>
      <c r="DX62" s="39"/>
    </row>
    <row r="63" ht="15.75" customHeight="1">
      <c r="G63" s="39"/>
      <c r="H63" s="39"/>
      <c r="I63" s="39"/>
      <c r="J63" s="39"/>
      <c r="K63" s="39"/>
      <c r="L63" s="39"/>
      <c r="M63" s="39"/>
      <c r="N63" s="39"/>
      <c r="O63" s="43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41"/>
      <c r="CH63" s="41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42"/>
      <c r="DB63" s="42"/>
      <c r="DC63" s="42"/>
      <c r="DD63" s="42"/>
      <c r="DE63" s="42"/>
      <c r="DF63" s="42"/>
      <c r="DG63" s="42"/>
      <c r="DH63" s="42"/>
      <c r="DI63" s="39"/>
      <c r="DJ63" s="39"/>
      <c r="DK63" s="39"/>
      <c r="DL63" s="39"/>
      <c r="DM63" s="41"/>
      <c r="DN63" s="41"/>
      <c r="DO63" s="39"/>
      <c r="DP63" s="39"/>
      <c r="DQ63" s="39"/>
      <c r="DR63" s="39"/>
      <c r="DS63" s="39"/>
      <c r="DT63" s="39"/>
      <c r="DU63" s="39"/>
      <c r="DV63" s="39"/>
      <c r="DW63" s="39"/>
      <c r="DX63" s="39"/>
    </row>
    <row r="64" ht="15.75" customHeight="1">
      <c r="G64" s="39"/>
      <c r="H64" s="39"/>
      <c r="I64" s="39"/>
      <c r="J64" s="39"/>
      <c r="K64" s="39"/>
      <c r="L64" s="39"/>
      <c r="M64" s="39"/>
      <c r="N64" s="39"/>
      <c r="O64" s="43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41"/>
      <c r="CH64" s="41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42"/>
      <c r="DB64" s="42"/>
      <c r="DC64" s="42"/>
      <c r="DD64" s="42"/>
      <c r="DE64" s="42"/>
      <c r="DF64" s="42"/>
      <c r="DG64" s="42"/>
      <c r="DH64" s="42"/>
      <c r="DI64" s="39"/>
      <c r="DJ64" s="39"/>
      <c r="DK64" s="39"/>
      <c r="DL64" s="39"/>
      <c r="DM64" s="41"/>
      <c r="DN64" s="41"/>
      <c r="DO64" s="39"/>
      <c r="DP64" s="39"/>
      <c r="DQ64" s="39"/>
      <c r="DR64" s="39"/>
      <c r="DS64" s="39"/>
      <c r="DT64" s="39"/>
      <c r="DU64" s="39"/>
      <c r="DV64" s="39"/>
      <c r="DW64" s="39"/>
      <c r="DX64" s="39"/>
    </row>
    <row r="65" ht="15.75" customHeight="1">
      <c r="G65" s="39"/>
      <c r="H65" s="39"/>
      <c r="I65" s="39"/>
      <c r="J65" s="39"/>
      <c r="K65" s="39"/>
      <c r="L65" s="39"/>
      <c r="M65" s="39"/>
      <c r="N65" s="39"/>
      <c r="O65" s="43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41"/>
      <c r="CH65" s="41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42"/>
      <c r="DB65" s="42"/>
      <c r="DC65" s="42"/>
      <c r="DD65" s="42"/>
      <c r="DE65" s="42"/>
      <c r="DF65" s="42"/>
      <c r="DG65" s="42"/>
      <c r="DH65" s="42"/>
      <c r="DI65" s="39"/>
      <c r="DJ65" s="39"/>
      <c r="DK65" s="39"/>
      <c r="DL65" s="39"/>
      <c r="DM65" s="41"/>
      <c r="DN65" s="41"/>
      <c r="DO65" s="39"/>
      <c r="DP65" s="39"/>
      <c r="DQ65" s="39"/>
      <c r="DR65" s="39"/>
      <c r="DS65" s="39"/>
      <c r="DT65" s="39"/>
      <c r="DU65" s="39"/>
      <c r="DV65" s="39"/>
      <c r="DW65" s="39"/>
      <c r="DX65" s="39"/>
    </row>
    <row r="66" ht="15.75" customHeight="1">
      <c r="G66" s="39"/>
      <c r="H66" s="39"/>
      <c r="I66" s="39"/>
      <c r="J66" s="39"/>
      <c r="K66" s="39"/>
      <c r="L66" s="39"/>
      <c r="M66" s="39"/>
      <c r="N66" s="39"/>
      <c r="O66" s="43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41"/>
      <c r="CH66" s="41"/>
      <c r="CI66" s="39"/>
      <c r="CJ66" s="39"/>
      <c r="CK66" s="39"/>
      <c r="CL66" s="39"/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42"/>
      <c r="DB66" s="42"/>
      <c r="DC66" s="42"/>
      <c r="DD66" s="42"/>
      <c r="DE66" s="42"/>
      <c r="DF66" s="42"/>
      <c r="DG66" s="42"/>
      <c r="DH66" s="42"/>
      <c r="DI66" s="39"/>
      <c r="DJ66" s="39"/>
      <c r="DK66" s="39"/>
      <c r="DL66" s="39"/>
      <c r="DM66" s="41"/>
      <c r="DN66" s="41"/>
      <c r="DO66" s="39"/>
      <c r="DP66" s="39"/>
      <c r="DQ66" s="39"/>
      <c r="DR66" s="39"/>
      <c r="DS66" s="39"/>
      <c r="DT66" s="39"/>
      <c r="DU66" s="39"/>
      <c r="DV66" s="39"/>
      <c r="DW66" s="39"/>
      <c r="DX66" s="39"/>
    </row>
    <row r="67" ht="15.75" customHeight="1">
      <c r="G67" s="39"/>
      <c r="H67" s="39"/>
      <c r="I67" s="39"/>
      <c r="J67" s="39"/>
      <c r="K67" s="39"/>
      <c r="L67" s="39"/>
      <c r="M67" s="39"/>
      <c r="N67" s="39"/>
      <c r="O67" s="43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41"/>
      <c r="CH67" s="41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42"/>
      <c r="DB67" s="42"/>
      <c r="DC67" s="42"/>
      <c r="DD67" s="42"/>
      <c r="DE67" s="42"/>
      <c r="DF67" s="42"/>
      <c r="DG67" s="42"/>
      <c r="DH67" s="42"/>
      <c r="DI67" s="39"/>
      <c r="DJ67" s="39"/>
      <c r="DK67" s="39"/>
      <c r="DL67" s="39"/>
      <c r="DM67" s="41"/>
      <c r="DN67" s="41"/>
      <c r="DO67" s="39"/>
      <c r="DP67" s="39"/>
      <c r="DQ67" s="39"/>
      <c r="DR67" s="39"/>
      <c r="DS67" s="39"/>
      <c r="DT67" s="39"/>
      <c r="DU67" s="39"/>
      <c r="DV67" s="39"/>
      <c r="DW67" s="39"/>
      <c r="DX67" s="39"/>
    </row>
    <row r="68" ht="15.75" customHeight="1">
      <c r="G68" s="39"/>
      <c r="H68" s="39"/>
      <c r="I68" s="39"/>
      <c r="J68" s="39"/>
      <c r="K68" s="39"/>
      <c r="L68" s="39"/>
      <c r="M68" s="39"/>
      <c r="N68" s="39"/>
      <c r="O68" s="43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41"/>
      <c r="CH68" s="41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42"/>
      <c r="DB68" s="42"/>
      <c r="DC68" s="42"/>
      <c r="DD68" s="42"/>
      <c r="DE68" s="42"/>
      <c r="DF68" s="42"/>
      <c r="DG68" s="42"/>
      <c r="DH68" s="42"/>
      <c r="DI68" s="39"/>
      <c r="DJ68" s="39"/>
      <c r="DK68" s="39"/>
      <c r="DL68" s="39"/>
      <c r="DM68" s="41"/>
      <c r="DN68" s="41"/>
      <c r="DO68" s="39"/>
      <c r="DP68" s="39"/>
      <c r="DQ68" s="39"/>
      <c r="DR68" s="39"/>
      <c r="DS68" s="39"/>
      <c r="DT68" s="39"/>
      <c r="DU68" s="39"/>
      <c r="DV68" s="39"/>
      <c r="DW68" s="39"/>
      <c r="DX68" s="39"/>
    </row>
    <row r="69" ht="15.75" customHeight="1">
      <c r="G69" s="39"/>
      <c r="H69" s="39"/>
      <c r="I69" s="39"/>
      <c r="J69" s="39"/>
      <c r="K69" s="39"/>
      <c r="L69" s="39"/>
      <c r="M69" s="39"/>
      <c r="N69" s="39"/>
      <c r="O69" s="43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41"/>
      <c r="CH69" s="41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42"/>
      <c r="DB69" s="42"/>
      <c r="DC69" s="42"/>
      <c r="DD69" s="42"/>
      <c r="DE69" s="42"/>
      <c r="DF69" s="42"/>
      <c r="DG69" s="42"/>
      <c r="DH69" s="42"/>
      <c r="DI69" s="39"/>
      <c r="DJ69" s="39"/>
      <c r="DK69" s="39"/>
      <c r="DL69" s="39"/>
      <c r="DM69" s="41"/>
      <c r="DN69" s="41"/>
      <c r="DO69" s="39"/>
      <c r="DP69" s="39"/>
      <c r="DQ69" s="39"/>
      <c r="DR69" s="39"/>
      <c r="DS69" s="39"/>
      <c r="DT69" s="39"/>
      <c r="DU69" s="39"/>
      <c r="DV69" s="39"/>
      <c r="DW69" s="39"/>
      <c r="DX69" s="39"/>
    </row>
    <row r="70" ht="15.75" customHeight="1">
      <c r="G70" s="39"/>
      <c r="H70" s="39"/>
      <c r="I70" s="39"/>
      <c r="J70" s="39"/>
      <c r="K70" s="39"/>
      <c r="L70" s="39"/>
      <c r="M70" s="39"/>
      <c r="N70" s="39"/>
      <c r="O70" s="43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41"/>
      <c r="CH70" s="41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42"/>
      <c r="DB70" s="42"/>
      <c r="DC70" s="42"/>
      <c r="DD70" s="42"/>
      <c r="DE70" s="42"/>
      <c r="DF70" s="42"/>
      <c r="DG70" s="42"/>
      <c r="DH70" s="42"/>
      <c r="DI70" s="39"/>
      <c r="DJ70" s="39"/>
      <c r="DK70" s="39"/>
      <c r="DL70" s="39"/>
      <c r="DM70" s="41"/>
      <c r="DN70" s="41"/>
      <c r="DO70" s="39"/>
      <c r="DP70" s="39"/>
      <c r="DQ70" s="39"/>
      <c r="DR70" s="39"/>
      <c r="DS70" s="39"/>
      <c r="DT70" s="39"/>
      <c r="DU70" s="39"/>
      <c r="DV70" s="39"/>
      <c r="DW70" s="39"/>
      <c r="DX70" s="39"/>
    </row>
    <row r="71" ht="15.75" customHeight="1">
      <c r="G71" s="39"/>
      <c r="H71" s="39"/>
      <c r="I71" s="39"/>
      <c r="J71" s="39"/>
      <c r="K71" s="39"/>
      <c r="L71" s="39"/>
      <c r="M71" s="39"/>
      <c r="N71" s="39"/>
      <c r="O71" s="43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41"/>
      <c r="CH71" s="41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42"/>
      <c r="DB71" s="42"/>
      <c r="DC71" s="42"/>
      <c r="DD71" s="42"/>
      <c r="DE71" s="42"/>
      <c r="DF71" s="42"/>
      <c r="DG71" s="42"/>
      <c r="DH71" s="42"/>
      <c r="DI71" s="39"/>
      <c r="DJ71" s="39"/>
      <c r="DK71" s="39"/>
      <c r="DL71" s="39"/>
      <c r="DM71" s="41"/>
      <c r="DN71" s="41"/>
      <c r="DO71" s="39"/>
      <c r="DP71" s="39"/>
      <c r="DQ71" s="39"/>
      <c r="DR71" s="39"/>
      <c r="DS71" s="39"/>
      <c r="DT71" s="39"/>
      <c r="DU71" s="39"/>
      <c r="DV71" s="39"/>
      <c r="DW71" s="39"/>
      <c r="DX71" s="39"/>
    </row>
    <row r="72" ht="15.75" customHeight="1">
      <c r="G72" s="39"/>
      <c r="H72" s="39"/>
      <c r="I72" s="39"/>
      <c r="J72" s="39"/>
      <c r="K72" s="39"/>
      <c r="L72" s="39"/>
      <c r="M72" s="39"/>
      <c r="N72" s="39"/>
      <c r="O72" s="43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41"/>
      <c r="CH72" s="41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42"/>
      <c r="DB72" s="42"/>
      <c r="DC72" s="42"/>
      <c r="DD72" s="42"/>
      <c r="DE72" s="42"/>
      <c r="DF72" s="42"/>
      <c r="DG72" s="42"/>
      <c r="DH72" s="42"/>
      <c r="DI72" s="39"/>
      <c r="DJ72" s="39"/>
      <c r="DK72" s="39"/>
      <c r="DL72" s="39"/>
      <c r="DM72" s="41"/>
      <c r="DN72" s="41"/>
      <c r="DO72" s="39"/>
      <c r="DP72" s="39"/>
      <c r="DQ72" s="39"/>
      <c r="DR72" s="39"/>
      <c r="DS72" s="39"/>
      <c r="DT72" s="39"/>
      <c r="DU72" s="39"/>
      <c r="DV72" s="39"/>
      <c r="DW72" s="39"/>
      <c r="DX72" s="39"/>
    </row>
    <row r="73" ht="15.75" customHeight="1">
      <c r="G73" s="39"/>
      <c r="H73" s="39"/>
      <c r="I73" s="39"/>
      <c r="J73" s="39"/>
      <c r="K73" s="39"/>
      <c r="L73" s="39"/>
      <c r="M73" s="39"/>
      <c r="N73" s="39"/>
      <c r="O73" s="43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41"/>
      <c r="CH73" s="41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42"/>
      <c r="DB73" s="42"/>
      <c r="DC73" s="42"/>
      <c r="DD73" s="42"/>
      <c r="DE73" s="42"/>
      <c r="DF73" s="42"/>
      <c r="DG73" s="42"/>
      <c r="DH73" s="42"/>
      <c r="DI73" s="39"/>
      <c r="DJ73" s="39"/>
      <c r="DK73" s="39"/>
      <c r="DL73" s="39"/>
      <c r="DM73" s="41"/>
      <c r="DN73" s="41"/>
      <c r="DO73" s="39"/>
      <c r="DP73" s="39"/>
      <c r="DQ73" s="39"/>
      <c r="DR73" s="39"/>
      <c r="DS73" s="39"/>
      <c r="DT73" s="39"/>
      <c r="DU73" s="39"/>
      <c r="DV73" s="39"/>
      <c r="DW73" s="39"/>
      <c r="DX73" s="39"/>
    </row>
    <row r="74" ht="15.75" customHeight="1">
      <c r="G74" s="39"/>
      <c r="H74" s="39"/>
      <c r="I74" s="39"/>
      <c r="J74" s="39"/>
      <c r="K74" s="39"/>
      <c r="L74" s="39"/>
      <c r="M74" s="39"/>
      <c r="N74" s="39"/>
      <c r="O74" s="43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41"/>
      <c r="CH74" s="41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42"/>
      <c r="DB74" s="42"/>
      <c r="DC74" s="42"/>
      <c r="DD74" s="42"/>
      <c r="DE74" s="42"/>
      <c r="DF74" s="42"/>
      <c r="DG74" s="42"/>
      <c r="DH74" s="42"/>
      <c r="DI74" s="39"/>
      <c r="DJ74" s="39"/>
      <c r="DK74" s="39"/>
      <c r="DL74" s="39"/>
      <c r="DM74" s="41"/>
      <c r="DN74" s="41"/>
      <c r="DO74" s="39"/>
      <c r="DP74" s="39"/>
      <c r="DQ74" s="39"/>
      <c r="DR74" s="39"/>
      <c r="DS74" s="39"/>
      <c r="DT74" s="39"/>
      <c r="DU74" s="39"/>
      <c r="DV74" s="39"/>
      <c r="DW74" s="39"/>
      <c r="DX74" s="39"/>
    </row>
    <row r="75" ht="15.75" customHeight="1">
      <c r="G75" s="39"/>
      <c r="H75" s="39"/>
      <c r="I75" s="39"/>
      <c r="J75" s="39"/>
      <c r="K75" s="39"/>
      <c r="L75" s="39"/>
      <c r="M75" s="39"/>
      <c r="N75" s="39"/>
      <c r="O75" s="43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41"/>
      <c r="CH75" s="41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42"/>
      <c r="DB75" s="42"/>
      <c r="DC75" s="42"/>
      <c r="DD75" s="42"/>
      <c r="DE75" s="42"/>
      <c r="DF75" s="42"/>
      <c r="DG75" s="42"/>
      <c r="DH75" s="42"/>
      <c r="DI75" s="39"/>
      <c r="DJ75" s="39"/>
      <c r="DK75" s="39"/>
      <c r="DL75" s="39"/>
      <c r="DM75" s="41"/>
      <c r="DN75" s="41"/>
      <c r="DO75" s="39"/>
      <c r="DP75" s="39"/>
      <c r="DQ75" s="39"/>
      <c r="DR75" s="39"/>
      <c r="DS75" s="39"/>
      <c r="DT75" s="39"/>
      <c r="DU75" s="39"/>
      <c r="DV75" s="39"/>
      <c r="DW75" s="39"/>
      <c r="DX75" s="39"/>
    </row>
    <row r="76" ht="15.75" customHeight="1">
      <c r="G76" s="39"/>
      <c r="H76" s="39"/>
      <c r="I76" s="39"/>
      <c r="J76" s="39"/>
      <c r="K76" s="39"/>
      <c r="L76" s="39"/>
      <c r="M76" s="39"/>
      <c r="N76" s="39"/>
      <c r="O76" s="43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41"/>
      <c r="CH76" s="41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42"/>
      <c r="DB76" s="42"/>
      <c r="DC76" s="42"/>
      <c r="DD76" s="42"/>
      <c r="DE76" s="42"/>
      <c r="DF76" s="42"/>
      <c r="DG76" s="42"/>
      <c r="DH76" s="42"/>
      <c r="DI76" s="39"/>
      <c r="DJ76" s="39"/>
      <c r="DK76" s="39"/>
      <c r="DL76" s="39"/>
      <c r="DM76" s="41"/>
      <c r="DN76" s="41"/>
      <c r="DO76" s="39"/>
      <c r="DP76" s="39"/>
      <c r="DQ76" s="39"/>
      <c r="DR76" s="39"/>
      <c r="DS76" s="39"/>
      <c r="DT76" s="39"/>
      <c r="DU76" s="39"/>
      <c r="DV76" s="39"/>
      <c r="DW76" s="39"/>
      <c r="DX76" s="39"/>
    </row>
    <row r="77" ht="15.75" customHeight="1">
      <c r="G77" s="39"/>
      <c r="H77" s="39"/>
      <c r="I77" s="39"/>
      <c r="J77" s="39"/>
      <c r="K77" s="39"/>
      <c r="L77" s="39"/>
      <c r="M77" s="39"/>
      <c r="N77" s="39"/>
      <c r="O77" s="43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41"/>
      <c r="CH77" s="41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42"/>
      <c r="DB77" s="42"/>
      <c r="DC77" s="42"/>
      <c r="DD77" s="42"/>
      <c r="DE77" s="42"/>
      <c r="DF77" s="42"/>
      <c r="DG77" s="42"/>
      <c r="DH77" s="42"/>
      <c r="DI77" s="39"/>
      <c r="DJ77" s="39"/>
      <c r="DK77" s="39"/>
      <c r="DL77" s="39"/>
      <c r="DM77" s="41"/>
      <c r="DN77" s="41"/>
      <c r="DO77" s="39"/>
      <c r="DP77" s="39"/>
      <c r="DQ77" s="39"/>
      <c r="DR77" s="39"/>
      <c r="DS77" s="39"/>
      <c r="DT77" s="39"/>
      <c r="DU77" s="39"/>
      <c r="DV77" s="39"/>
      <c r="DW77" s="39"/>
      <c r="DX77" s="39"/>
    </row>
    <row r="78" ht="15.75" customHeight="1">
      <c r="G78" s="39"/>
      <c r="H78" s="39"/>
      <c r="I78" s="39"/>
      <c r="J78" s="39"/>
      <c r="K78" s="39"/>
      <c r="L78" s="39"/>
      <c r="M78" s="39"/>
      <c r="N78" s="39"/>
      <c r="O78" s="43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41"/>
      <c r="CH78" s="41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42"/>
      <c r="DB78" s="42"/>
      <c r="DC78" s="42"/>
      <c r="DD78" s="42"/>
      <c r="DE78" s="42"/>
      <c r="DF78" s="42"/>
      <c r="DG78" s="42"/>
      <c r="DH78" s="42"/>
      <c r="DI78" s="39"/>
      <c r="DJ78" s="39"/>
      <c r="DK78" s="39"/>
      <c r="DL78" s="39"/>
      <c r="DM78" s="41"/>
      <c r="DN78" s="41"/>
      <c r="DO78" s="39"/>
      <c r="DP78" s="39"/>
      <c r="DQ78" s="39"/>
      <c r="DR78" s="39"/>
      <c r="DS78" s="39"/>
      <c r="DT78" s="39"/>
      <c r="DU78" s="39"/>
      <c r="DV78" s="39"/>
      <c r="DW78" s="39"/>
      <c r="DX78" s="39"/>
    </row>
    <row r="79" ht="15.75" customHeight="1">
      <c r="G79" s="39"/>
      <c r="H79" s="39"/>
      <c r="I79" s="39"/>
      <c r="J79" s="39"/>
      <c r="K79" s="39"/>
      <c r="L79" s="39"/>
      <c r="M79" s="39"/>
      <c r="N79" s="39"/>
      <c r="O79" s="43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41"/>
      <c r="CH79" s="41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42"/>
      <c r="DB79" s="42"/>
      <c r="DC79" s="42"/>
      <c r="DD79" s="42"/>
      <c r="DE79" s="42"/>
      <c r="DF79" s="42"/>
      <c r="DG79" s="42"/>
      <c r="DH79" s="42"/>
      <c r="DI79" s="39"/>
      <c r="DJ79" s="39"/>
      <c r="DK79" s="39"/>
      <c r="DL79" s="39"/>
      <c r="DM79" s="41"/>
      <c r="DN79" s="41"/>
      <c r="DO79" s="39"/>
      <c r="DP79" s="39"/>
      <c r="DQ79" s="39"/>
      <c r="DR79" s="39"/>
      <c r="DS79" s="39"/>
      <c r="DT79" s="39"/>
      <c r="DU79" s="39"/>
      <c r="DV79" s="39"/>
      <c r="DW79" s="39"/>
      <c r="DX79" s="39"/>
    </row>
    <row r="80" ht="15.75" customHeight="1">
      <c r="G80" s="39"/>
      <c r="H80" s="39"/>
      <c r="I80" s="39"/>
      <c r="J80" s="39"/>
      <c r="K80" s="39"/>
      <c r="L80" s="39"/>
      <c r="M80" s="39"/>
      <c r="N80" s="39"/>
      <c r="O80" s="43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41"/>
      <c r="CH80" s="41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42"/>
      <c r="DB80" s="42"/>
      <c r="DC80" s="42"/>
      <c r="DD80" s="42"/>
      <c r="DE80" s="42"/>
      <c r="DF80" s="42"/>
      <c r="DG80" s="42"/>
      <c r="DH80" s="42"/>
      <c r="DI80" s="39"/>
      <c r="DJ80" s="39"/>
      <c r="DK80" s="39"/>
      <c r="DL80" s="39"/>
      <c r="DM80" s="41"/>
      <c r="DN80" s="41"/>
      <c r="DO80" s="39"/>
      <c r="DP80" s="39"/>
      <c r="DQ80" s="39"/>
      <c r="DR80" s="39"/>
      <c r="DS80" s="39"/>
      <c r="DT80" s="39"/>
      <c r="DU80" s="39"/>
      <c r="DV80" s="39"/>
      <c r="DW80" s="39"/>
      <c r="DX80" s="39"/>
    </row>
    <row r="81" ht="15.75" customHeight="1">
      <c r="G81" s="39"/>
      <c r="H81" s="39"/>
      <c r="I81" s="39"/>
      <c r="J81" s="39"/>
      <c r="K81" s="39"/>
      <c r="L81" s="39"/>
      <c r="M81" s="39"/>
      <c r="N81" s="39"/>
      <c r="O81" s="43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41"/>
      <c r="CH81" s="41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42"/>
      <c r="DB81" s="42"/>
      <c r="DC81" s="42"/>
      <c r="DD81" s="42"/>
      <c r="DE81" s="42"/>
      <c r="DF81" s="42"/>
      <c r="DG81" s="42"/>
      <c r="DH81" s="42"/>
      <c r="DI81" s="39"/>
      <c r="DJ81" s="39"/>
      <c r="DK81" s="39"/>
      <c r="DL81" s="39"/>
      <c r="DM81" s="41"/>
      <c r="DN81" s="41"/>
      <c r="DO81" s="39"/>
      <c r="DP81" s="39"/>
      <c r="DQ81" s="39"/>
      <c r="DR81" s="39"/>
      <c r="DS81" s="39"/>
      <c r="DT81" s="39"/>
      <c r="DU81" s="39"/>
      <c r="DV81" s="39"/>
      <c r="DW81" s="39"/>
      <c r="DX81" s="39"/>
    </row>
    <row r="82" ht="15.75" customHeight="1">
      <c r="G82" s="39"/>
      <c r="H82" s="39"/>
      <c r="I82" s="39"/>
      <c r="J82" s="39"/>
      <c r="K82" s="39"/>
      <c r="L82" s="39"/>
      <c r="M82" s="39"/>
      <c r="N82" s="39"/>
      <c r="O82" s="43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41"/>
      <c r="CH82" s="41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42"/>
      <c r="DB82" s="42"/>
      <c r="DC82" s="42"/>
      <c r="DD82" s="42"/>
      <c r="DE82" s="42"/>
      <c r="DF82" s="42"/>
      <c r="DG82" s="42"/>
      <c r="DH82" s="42"/>
      <c r="DI82" s="39"/>
      <c r="DJ82" s="39"/>
      <c r="DK82" s="39"/>
      <c r="DL82" s="39"/>
      <c r="DM82" s="41"/>
      <c r="DN82" s="41"/>
      <c r="DO82" s="39"/>
      <c r="DP82" s="39"/>
      <c r="DQ82" s="39"/>
      <c r="DR82" s="39"/>
      <c r="DS82" s="39"/>
      <c r="DT82" s="39"/>
      <c r="DU82" s="39"/>
      <c r="DV82" s="39"/>
      <c r="DW82" s="39"/>
      <c r="DX82" s="39"/>
    </row>
    <row r="83" ht="15.75" customHeight="1">
      <c r="G83" s="39"/>
      <c r="H83" s="39"/>
      <c r="I83" s="39"/>
      <c r="J83" s="39"/>
      <c r="K83" s="39"/>
      <c r="L83" s="39"/>
      <c r="M83" s="39"/>
      <c r="N83" s="39"/>
      <c r="O83" s="43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41"/>
      <c r="CH83" s="41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42"/>
      <c r="DB83" s="42"/>
      <c r="DC83" s="42"/>
      <c r="DD83" s="42"/>
      <c r="DE83" s="42"/>
      <c r="DF83" s="42"/>
      <c r="DG83" s="42"/>
      <c r="DH83" s="42"/>
      <c r="DI83" s="39"/>
      <c r="DJ83" s="39"/>
      <c r="DK83" s="39"/>
      <c r="DL83" s="39"/>
      <c r="DM83" s="41"/>
      <c r="DN83" s="41"/>
      <c r="DO83" s="39"/>
      <c r="DP83" s="39"/>
      <c r="DQ83" s="39"/>
      <c r="DR83" s="39"/>
      <c r="DS83" s="39"/>
      <c r="DT83" s="39"/>
      <c r="DU83" s="39"/>
      <c r="DV83" s="39"/>
      <c r="DW83" s="39"/>
      <c r="DX83" s="39"/>
    </row>
    <row r="84" ht="15.75" customHeight="1">
      <c r="G84" s="39"/>
      <c r="H84" s="39"/>
      <c r="I84" s="39"/>
      <c r="J84" s="39"/>
      <c r="K84" s="39"/>
      <c r="L84" s="39"/>
      <c r="M84" s="39"/>
      <c r="N84" s="39"/>
      <c r="O84" s="43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41"/>
      <c r="CH84" s="41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42"/>
      <c r="DB84" s="42"/>
      <c r="DC84" s="42"/>
      <c r="DD84" s="42"/>
      <c r="DE84" s="42"/>
      <c r="DF84" s="42"/>
      <c r="DG84" s="42"/>
      <c r="DH84" s="42"/>
      <c r="DI84" s="39"/>
      <c r="DJ84" s="39"/>
      <c r="DK84" s="39"/>
      <c r="DL84" s="39"/>
      <c r="DM84" s="41"/>
      <c r="DN84" s="41"/>
      <c r="DO84" s="39"/>
      <c r="DP84" s="39"/>
      <c r="DQ84" s="39"/>
      <c r="DR84" s="39"/>
      <c r="DS84" s="39"/>
      <c r="DT84" s="39"/>
      <c r="DU84" s="39"/>
      <c r="DV84" s="39"/>
      <c r="DW84" s="39"/>
      <c r="DX84" s="39"/>
    </row>
    <row r="85" ht="15.75" customHeight="1">
      <c r="G85" s="39"/>
      <c r="H85" s="39"/>
      <c r="I85" s="39"/>
      <c r="J85" s="39"/>
      <c r="K85" s="39"/>
      <c r="L85" s="39"/>
      <c r="M85" s="39"/>
      <c r="N85" s="39"/>
      <c r="O85" s="43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41"/>
      <c r="CH85" s="41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42"/>
      <c r="DB85" s="42"/>
      <c r="DC85" s="42"/>
      <c r="DD85" s="42"/>
      <c r="DE85" s="42"/>
      <c r="DF85" s="42"/>
      <c r="DG85" s="42"/>
      <c r="DH85" s="42"/>
      <c r="DI85" s="39"/>
      <c r="DJ85" s="39"/>
      <c r="DK85" s="39"/>
      <c r="DL85" s="39"/>
      <c r="DM85" s="41"/>
      <c r="DN85" s="41"/>
      <c r="DO85" s="39"/>
      <c r="DP85" s="39"/>
      <c r="DQ85" s="39"/>
      <c r="DR85" s="39"/>
      <c r="DS85" s="39"/>
      <c r="DT85" s="39"/>
      <c r="DU85" s="39"/>
      <c r="DV85" s="39"/>
      <c r="DW85" s="39"/>
      <c r="DX85" s="39"/>
    </row>
    <row r="86" ht="15.75" customHeight="1">
      <c r="G86" s="39"/>
      <c r="H86" s="39"/>
      <c r="I86" s="39"/>
      <c r="J86" s="39"/>
      <c r="K86" s="39"/>
      <c r="L86" s="39"/>
      <c r="M86" s="39"/>
      <c r="N86" s="39"/>
      <c r="O86" s="43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41"/>
      <c r="CH86" s="41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42"/>
      <c r="DB86" s="42"/>
      <c r="DC86" s="42"/>
      <c r="DD86" s="42"/>
      <c r="DE86" s="42"/>
      <c r="DF86" s="42"/>
      <c r="DG86" s="42"/>
      <c r="DH86" s="42"/>
      <c r="DI86" s="39"/>
      <c r="DJ86" s="39"/>
      <c r="DK86" s="39"/>
      <c r="DL86" s="39"/>
      <c r="DM86" s="41"/>
      <c r="DN86" s="41"/>
      <c r="DO86" s="39"/>
      <c r="DP86" s="39"/>
      <c r="DQ86" s="39"/>
      <c r="DR86" s="39"/>
      <c r="DS86" s="39"/>
      <c r="DT86" s="39"/>
      <c r="DU86" s="39"/>
      <c r="DV86" s="39"/>
      <c r="DW86" s="39"/>
      <c r="DX86" s="39"/>
    </row>
    <row r="87" ht="15.75" customHeight="1">
      <c r="G87" s="39"/>
      <c r="H87" s="39"/>
      <c r="I87" s="39"/>
      <c r="J87" s="39"/>
      <c r="K87" s="39"/>
      <c r="L87" s="39"/>
      <c r="M87" s="39"/>
      <c r="N87" s="39"/>
      <c r="O87" s="43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41"/>
      <c r="CH87" s="41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42"/>
      <c r="DB87" s="42"/>
      <c r="DC87" s="42"/>
      <c r="DD87" s="42"/>
      <c r="DE87" s="42"/>
      <c r="DF87" s="42"/>
      <c r="DG87" s="42"/>
      <c r="DH87" s="42"/>
      <c r="DI87" s="39"/>
      <c r="DJ87" s="39"/>
      <c r="DK87" s="39"/>
      <c r="DL87" s="39"/>
      <c r="DM87" s="41"/>
      <c r="DN87" s="41"/>
      <c r="DO87" s="39"/>
      <c r="DP87" s="39"/>
      <c r="DQ87" s="39"/>
      <c r="DR87" s="39"/>
      <c r="DS87" s="39"/>
      <c r="DT87" s="39"/>
      <c r="DU87" s="39"/>
      <c r="DV87" s="39"/>
      <c r="DW87" s="39"/>
      <c r="DX87" s="39"/>
    </row>
    <row r="88" ht="15.75" customHeight="1">
      <c r="G88" s="39"/>
      <c r="H88" s="39"/>
      <c r="I88" s="39"/>
      <c r="J88" s="39"/>
      <c r="K88" s="39"/>
      <c r="L88" s="39"/>
      <c r="M88" s="39"/>
      <c r="N88" s="39"/>
      <c r="O88" s="43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41"/>
      <c r="CH88" s="41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42"/>
      <c r="DB88" s="42"/>
      <c r="DC88" s="42"/>
      <c r="DD88" s="42"/>
      <c r="DE88" s="42"/>
      <c r="DF88" s="42"/>
      <c r="DG88" s="42"/>
      <c r="DH88" s="42"/>
      <c r="DI88" s="39"/>
      <c r="DJ88" s="39"/>
      <c r="DK88" s="39"/>
      <c r="DL88" s="39"/>
      <c r="DM88" s="41"/>
      <c r="DN88" s="41"/>
      <c r="DO88" s="39"/>
      <c r="DP88" s="39"/>
      <c r="DQ88" s="39"/>
      <c r="DR88" s="39"/>
      <c r="DS88" s="39"/>
      <c r="DT88" s="39"/>
      <c r="DU88" s="39"/>
      <c r="DV88" s="39"/>
      <c r="DW88" s="39"/>
      <c r="DX88" s="39"/>
    </row>
    <row r="89" ht="15.75" customHeight="1">
      <c r="G89" s="39"/>
      <c r="H89" s="39"/>
      <c r="I89" s="39"/>
      <c r="J89" s="39"/>
      <c r="K89" s="39"/>
      <c r="L89" s="39"/>
      <c r="M89" s="39"/>
      <c r="N89" s="39"/>
      <c r="O89" s="43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41"/>
      <c r="CH89" s="41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42"/>
      <c r="DB89" s="42"/>
      <c r="DC89" s="42"/>
      <c r="DD89" s="42"/>
      <c r="DE89" s="42"/>
      <c r="DF89" s="42"/>
      <c r="DG89" s="42"/>
      <c r="DH89" s="42"/>
      <c r="DI89" s="39"/>
      <c r="DJ89" s="39"/>
      <c r="DK89" s="39"/>
      <c r="DL89" s="39"/>
      <c r="DM89" s="41"/>
      <c r="DN89" s="41"/>
      <c r="DO89" s="39"/>
      <c r="DP89" s="39"/>
      <c r="DQ89" s="39"/>
      <c r="DR89" s="39"/>
      <c r="DS89" s="39"/>
      <c r="DT89" s="39"/>
      <c r="DU89" s="39"/>
      <c r="DV89" s="39"/>
      <c r="DW89" s="39"/>
      <c r="DX89" s="39"/>
    </row>
    <row r="90" ht="15.75" customHeight="1">
      <c r="G90" s="39"/>
      <c r="H90" s="39"/>
      <c r="I90" s="39"/>
      <c r="J90" s="39"/>
      <c r="K90" s="39"/>
      <c r="L90" s="39"/>
      <c r="M90" s="39"/>
      <c r="N90" s="39"/>
      <c r="O90" s="43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41"/>
      <c r="CH90" s="41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42"/>
      <c r="DB90" s="42"/>
      <c r="DC90" s="42"/>
      <c r="DD90" s="42"/>
      <c r="DE90" s="42"/>
      <c r="DF90" s="42"/>
      <c r="DG90" s="42"/>
      <c r="DH90" s="42"/>
      <c r="DI90" s="39"/>
      <c r="DJ90" s="39"/>
      <c r="DK90" s="39"/>
      <c r="DL90" s="39"/>
      <c r="DM90" s="41"/>
      <c r="DN90" s="41"/>
      <c r="DO90" s="39"/>
      <c r="DP90" s="39"/>
      <c r="DQ90" s="39"/>
      <c r="DR90" s="39"/>
      <c r="DS90" s="39"/>
      <c r="DT90" s="39"/>
      <c r="DU90" s="39"/>
      <c r="DV90" s="39"/>
      <c r="DW90" s="39"/>
      <c r="DX90" s="39"/>
    </row>
    <row r="91" ht="15.75" customHeight="1">
      <c r="G91" s="39"/>
      <c r="H91" s="39"/>
      <c r="I91" s="39"/>
      <c r="J91" s="39"/>
      <c r="K91" s="39"/>
      <c r="L91" s="39"/>
      <c r="M91" s="39"/>
      <c r="N91" s="39"/>
      <c r="O91" s="43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41"/>
      <c r="CH91" s="41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42"/>
      <c r="DB91" s="42"/>
      <c r="DC91" s="42"/>
      <c r="DD91" s="42"/>
      <c r="DE91" s="42"/>
      <c r="DF91" s="42"/>
      <c r="DG91" s="42"/>
      <c r="DH91" s="42"/>
      <c r="DI91" s="39"/>
      <c r="DJ91" s="39"/>
      <c r="DK91" s="39"/>
      <c r="DL91" s="39"/>
      <c r="DM91" s="41"/>
      <c r="DN91" s="41"/>
      <c r="DO91" s="39"/>
      <c r="DP91" s="39"/>
      <c r="DQ91" s="39"/>
      <c r="DR91" s="39"/>
      <c r="DS91" s="39"/>
      <c r="DT91" s="39"/>
      <c r="DU91" s="39"/>
      <c r="DV91" s="39"/>
      <c r="DW91" s="39"/>
      <c r="DX91" s="39"/>
    </row>
    <row r="92" ht="15.75" customHeight="1">
      <c r="G92" s="39"/>
      <c r="H92" s="39"/>
      <c r="I92" s="39"/>
      <c r="J92" s="39"/>
      <c r="K92" s="39"/>
      <c r="L92" s="39"/>
      <c r="M92" s="39"/>
      <c r="N92" s="39"/>
      <c r="O92" s="43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41"/>
      <c r="CH92" s="41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42"/>
      <c r="DB92" s="42"/>
      <c r="DC92" s="42"/>
      <c r="DD92" s="42"/>
      <c r="DE92" s="42"/>
      <c r="DF92" s="42"/>
      <c r="DG92" s="42"/>
      <c r="DH92" s="42"/>
      <c r="DI92" s="39"/>
      <c r="DJ92" s="39"/>
      <c r="DK92" s="39"/>
      <c r="DL92" s="39"/>
      <c r="DM92" s="41"/>
      <c r="DN92" s="41"/>
      <c r="DO92" s="39"/>
      <c r="DP92" s="39"/>
      <c r="DQ92" s="39"/>
      <c r="DR92" s="39"/>
      <c r="DS92" s="39"/>
      <c r="DT92" s="39"/>
      <c r="DU92" s="39"/>
      <c r="DV92" s="39"/>
      <c r="DW92" s="39"/>
      <c r="DX92" s="39"/>
    </row>
    <row r="93" ht="15.75" customHeight="1">
      <c r="G93" s="39"/>
      <c r="H93" s="39"/>
      <c r="I93" s="39"/>
      <c r="J93" s="39"/>
      <c r="K93" s="39"/>
      <c r="L93" s="39"/>
      <c r="M93" s="39"/>
      <c r="N93" s="39"/>
      <c r="O93" s="43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41"/>
      <c r="CH93" s="41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42"/>
      <c r="DB93" s="42"/>
      <c r="DC93" s="42"/>
      <c r="DD93" s="42"/>
      <c r="DE93" s="42"/>
      <c r="DF93" s="42"/>
      <c r="DG93" s="42"/>
      <c r="DH93" s="42"/>
      <c r="DI93" s="39"/>
      <c r="DJ93" s="39"/>
      <c r="DK93" s="39"/>
      <c r="DL93" s="39"/>
      <c r="DM93" s="41"/>
      <c r="DN93" s="41"/>
      <c r="DO93" s="39"/>
      <c r="DP93" s="39"/>
      <c r="DQ93" s="39"/>
      <c r="DR93" s="39"/>
      <c r="DS93" s="39"/>
      <c r="DT93" s="39"/>
      <c r="DU93" s="39"/>
      <c r="DV93" s="39"/>
      <c r="DW93" s="39"/>
      <c r="DX93" s="39"/>
    </row>
    <row r="94" ht="15.75" customHeight="1">
      <c r="G94" s="39"/>
      <c r="H94" s="39"/>
      <c r="I94" s="39"/>
      <c r="J94" s="39"/>
      <c r="K94" s="39"/>
      <c r="L94" s="39"/>
      <c r="M94" s="39"/>
      <c r="N94" s="39"/>
      <c r="O94" s="43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41"/>
      <c r="CH94" s="41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42"/>
      <c r="DB94" s="42"/>
      <c r="DC94" s="42"/>
      <c r="DD94" s="42"/>
      <c r="DE94" s="42"/>
      <c r="DF94" s="42"/>
      <c r="DG94" s="42"/>
      <c r="DH94" s="42"/>
      <c r="DI94" s="39"/>
      <c r="DJ94" s="39"/>
      <c r="DK94" s="39"/>
      <c r="DL94" s="39"/>
      <c r="DM94" s="41"/>
      <c r="DN94" s="41"/>
      <c r="DO94" s="39"/>
      <c r="DP94" s="39"/>
      <c r="DQ94" s="39"/>
      <c r="DR94" s="39"/>
      <c r="DS94" s="39"/>
      <c r="DT94" s="39"/>
      <c r="DU94" s="39"/>
      <c r="DV94" s="39"/>
      <c r="DW94" s="39"/>
      <c r="DX94" s="39"/>
    </row>
    <row r="95" ht="15.75" customHeight="1">
      <c r="G95" s="39"/>
      <c r="H95" s="39"/>
      <c r="I95" s="39"/>
      <c r="J95" s="39"/>
      <c r="K95" s="39"/>
      <c r="L95" s="39"/>
      <c r="M95" s="39"/>
      <c r="N95" s="39"/>
      <c r="O95" s="43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41"/>
      <c r="CH95" s="41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42"/>
      <c r="DB95" s="42"/>
      <c r="DC95" s="42"/>
      <c r="DD95" s="42"/>
      <c r="DE95" s="42"/>
      <c r="DF95" s="42"/>
      <c r="DG95" s="42"/>
      <c r="DH95" s="42"/>
      <c r="DI95" s="39"/>
      <c r="DJ95" s="39"/>
      <c r="DK95" s="39"/>
      <c r="DL95" s="39"/>
      <c r="DM95" s="41"/>
      <c r="DN95" s="41"/>
      <c r="DO95" s="39"/>
      <c r="DP95" s="39"/>
      <c r="DQ95" s="39"/>
      <c r="DR95" s="39"/>
      <c r="DS95" s="39"/>
      <c r="DT95" s="39"/>
      <c r="DU95" s="39"/>
      <c r="DV95" s="39"/>
      <c r="DW95" s="39"/>
      <c r="DX95" s="39"/>
    </row>
    <row r="96" ht="15.75" customHeight="1">
      <c r="G96" s="39"/>
      <c r="H96" s="39"/>
      <c r="I96" s="39"/>
      <c r="J96" s="39"/>
      <c r="K96" s="39"/>
      <c r="L96" s="39"/>
      <c r="M96" s="39"/>
      <c r="N96" s="39"/>
      <c r="O96" s="43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41"/>
      <c r="CH96" s="41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42"/>
      <c r="DB96" s="42"/>
      <c r="DC96" s="42"/>
      <c r="DD96" s="42"/>
      <c r="DE96" s="42"/>
      <c r="DF96" s="42"/>
      <c r="DG96" s="42"/>
      <c r="DH96" s="42"/>
      <c r="DI96" s="39"/>
      <c r="DJ96" s="39"/>
      <c r="DK96" s="39"/>
      <c r="DL96" s="39"/>
      <c r="DM96" s="41"/>
      <c r="DN96" s="41"/>
      <c r="DO96" s="39"/>
      <c r="DP96" s="39"/>
      <c r="DQ96" s="39"/>
      <c r="DR96" s="39"/>
      <c r="DS96" s="39"/>
      <c r="DT96" s="39"/>
      <c r="DU96" s="39"/>
      <c r="DV96" s="39"/>
      <c r="DW96" s="39"/>
      <c r="DX96" s="39"/>
    </row>
    <row r="97" ht="15.75" customHeight="1">
      <c r="G97" s="39"/>
      <c r="H97" s="39"/>
      <c r="I97" s="39"/>
      <c r="J97" s="39"/>
      <c r="K97" s="39"/>
      <c r="L97" s="39"/>
      <c r="M97" s="39"/>
      <c r="N97" s="39"/>
      <c r="O97" s="43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41"/>
      <c r="CH97" s="41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42"/>
      <c r="DB97" s="42"/>
      <c r="DC97" s="42"/>
      <c r="DD97" s="42"/>
      <c r="DE97" s="42"/>
      <c r="DF97" s="42"/>
      <c r="DG97" s="42"/>
      <c r="DH97" s="42"/>
      <c r="DI97" s="39"/>
      <c r="DJ97" s="39"/>
      <c r="DK97" s="39"/>
      <c r="DL97" s="39"/>
      <c r="DM97" s="41"/>
      <c r="DN97" s="41"/>
      <c r="DO97" s="39"/>
      <c r="DP97" s="39"/>
      <c r="DQ97" s="39"/>
      <c r="DR97" s="39"/>
      <c r="DS97" s="39"/>
      <c r="DT97" s="39"/>
      <c r="DU97" s="39"/>
      <c r="DV97" s="39"/>
      <c r="DW97" s="39"/>
      <c r="DX97" s="39"/>
    </row>
    <row r="98" ht="15.75" customHeight="1">
      <c r="G98" s="39"/>
      <c r="H98" s="39"/>
      <c r="I98" s="39"/>
      <c r="J98" s="39"/>
      <c r="K98" s="39"/>
      <c r="L98" s="39"/>
      <c r="M98" s="39"/>
      <c r="N98" s="39"/>
      <c r="O98" s="43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41"/>
      <c r="CH98" s="41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42"/>
      <c r="DB98" s="42"/>
      <c r="DC98" s="42"/>
      <c r="DD98" s="42"/>
      <c r="DE98" s="42"/>
      <c r="DF98" s="42"/>
      <c r="DG98" s="42"/>
      <c r="DH98" s="42"/>
      <c r="DI98" s="39"/>
      <c r="DJ98" s="39"/>
      <c r="DK98" s="39"/>
      <c r="DL98" s="39"/>
      <c r="DM98" s="41"/>
      <c r="DN98" s="41"/>
      <c r="DO98" s="39"/>
      <c r="DP98" s="39"/>
      <c r="DQ98" s="39"/>
      <c r="DR98" s="39"/>
      <c r="DS98" s="39"/>
      <c r="DT98" s="39"/>
      <c r="DU98" s="39"/>
      <c r="DV98" s="39"/>
      <c r="DW98" s="39"/>
      <c r="DX98" s="39"/>
    </row>
    <row r="99" ht="15.75" customHeight="1">
      <c r="G99" s="39"/>
      <c r="H99" s="39"/>
      <c r="I99" s="39"/>
      <c r="J99" s="39"/>
      <c r="K99" s="39"/>
      <c r="L99" s="39"/>
      <c r="M99" s="39"/>
      <c r="N99" s="39"/>
      <c r="O99" s="43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41"/>
      <c r="CH99" s="41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42"/>
      <c r="DB99" s="42"/>
      <c r="DC99" s="42"/>
      <c r="DD99" s="42"/>
      <c r="DE99" s="42"/>
      <c r="DF99" s="42"/>
      <c r="DG99" s="42"/>
      <c r="DH99" s="42"/>
      <c r="DI99" s="39"/>
      <c r="DJ99" s="39"/>
      <c r="DK99" s="39"/>
      <c r="DL99" s="39"/>
      <c r="DM99" s="41"/>
      <c r="DN99" s="41"/>
      <c r="DO99" s="39"/>
      <c r="DP99" s="39"/>
      <c r="DQ99" s="39"/>
      <c r="DR99" s="39"/>
      <c r="DS99" s="39"/>
      <c r="DT99" s="39"/>
      <c r="DU99" s="39"/>
      <c r="DV99" s="39"/>
      <c r="DW99" s="39"/>
      <c r="DX99" s="39"/>
    </row>
    <row r="100" ht="15.75" customHeight="1">
      <c r="G100" s="39"/>
      <c r="H100" s="39"/>
      <c r="I100" s="39"/>
      <c r="J100" s="39"/>
      <c r="K100" s="39"/>
      <c r="L100" s="39"/>
      <c r="M100" s="39"/>
      <c r="N100" s="39"/>
      <c r="O100" s="43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41"/>
      <c r="CH100" s="41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42"/>
      <c r="DB100" s="42"/>
      <c r="DC100" s="42"/>
      <c r="DD100" s="42"/>
      <c r="DE100" s="42"/>
      <c r="DF100" s="42"/>
      <c r="DG100" s="42"/>
      <c r="DH100" s="42"/>
      <c r="DI100" s="39"/>
      <c r="DJ100" s="39"/>
      <c r="DK100" s="39"/>
      <c r="DL100" s="39"/>
      <c r="DM100" s="41"/>
      <c r="DN100" s="41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</row>
    <row r="101" ht="15.75" customHeight="1">
      <c r="G101" s="39"/>
      <c r="H101" s="39"/>
      <c r="I101" s="39"/>
      <c r="J101" s="39"/>
      <c r="K101" s="39"/>
      <c r="L101" s="39"/>
      <c r="M101" s="39"/>
      <c r="N101" s="39"/>
      <c r="O101" s="43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41"/>
      <c r="CH101" s="41"/>
      <c r="CI101" s="39"/>
      <c r="CJ101" s="39"/>
      <c r="CK101" s="39"/>
      <c r="CL101" s="39"/>
      <c r="CM101" s="39"/>
      <c r="CN101" s="39"/>
      <c r="CO101" s="39"/>
      <c r="CP101" s="39"/>
      <c r="CQ101" s="39"/>
      <c r="CR101" s="39"/>
      <c r="CS101" s="39"/>
      <c r="CT101" s="39"/>
      <c r="CU101" s="39"/>
      <c r="CV101" s="39"/>
      <c r="CW101" s="39"/>
      <c r="CX101" s="39"/>
      <c r="CY101" s="39"/>
      <c r="CZ101" s="39"/>
      <c r="DA101" s="42"/>
      <c r="DB101" s="42"/>
      <c r="DC101" s="42"/>
      <c r="DD101" s="42"/>
      <c r="DE101" s="42"/>
      <c r="DF101" s="42"/>
      <c r="DG101" s="42"/>
      <c r="DH101" s="42"/>
      <c r="DI101" s="39"/>
      <c r="DJ101" s="39"/>
      <c r="DK101" s="39"/>
      <c r="DL101" s="39"/>
      <c r="DM101" s="41"/>
      <c r="DN101" s="41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</row>
    <row r="102" ht="15.75" customHeight="1">
      <c r="G102" s="39"/>
      <c r="H102" s="39"/>
      <c r="I102" s="39"/>
      <c r="J102" s="39"/>
      <c r="K102" s="39"/>
      <c r="L102" s="39"/>
      <c r="M102" s="39"/>
      <c r="N102" s="39"/>
      <c r="O102" s="43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41"/>
      <c r="CH102" s="41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42"/>
      <c r="DB102" s="42"/>
      <c r="DC102" s="42"/>
      <c r="DD102" s="42"/>
      <c r="DE102" s="42"/>
      <c r="DF102" s="42"/>
      <c r="DG102" s="42"/>
      <c r="DH102" s="42"/>
      <c r="DI102" s="39"/>
      <c r="DJ102" s="39"/>
      <c r="DK102" s="39"/>
      <c r="DL102" s="39"/>
      <c r="DM102" s="41"/>
      <c r="DN102" s="41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</row>
    <row r="103" ht="15.75" customHeight="1">
      <c r="G103" s="39"/>
      <c r="H103" s="39"/>
      <c r="I103" s="39"/>
      <c r="J103" s="39"/>
      <c r="K103" s="39"/>
      <c r="L103" s="39"/>
      <c r="M103" s="39"/>
      <c r="N103" s="39"/>
      <c r="O103" s="43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41"/>
      <c r="CH103" s="41"/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42"/>
      <c r="DB103" s="42"/>
      <c r="DC103" s="42"/>
      <c r="DD103" s="42"/>
      <c r="DE103" s="42"/>
      <c r="DF103" s="42"/>
      <c r="DG103" s="42"/>
      <c r="DH103" s="42"/>
      <c r="DI103" s="39"/>
      <c r="DJ103" s="39"/>
      <c r="DK103" s="39"/>
      <c r="DL103" s="39"/>
      <c r="DM103" s="41"/>
      <c r="DN103" s="41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</row>
    <row r="104" ht="15.75" customHeight="1">
      <c r="G104" s="39"/>
      <c r="H104" s="39"/>
      <c r="I104" s="39"/>
      <c r="J104" s="39"/>
      <c r="K104" s="39"/>
      <c r="L104" s="39"/>
      <c r="M104" s="39"/>
      <c r="N104" s="39"/>
      <c r="O104" s="43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41"/>
      <c r="CH104" s="41"/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/>
      <c r="DA104" s="42"/>
      <c r="DB104" s="42"/>
      <c r="DC104" s="42"/>
      <c r="DD104" s="42"/>
      <c r="DE104" s="42"/>
      <c r="DF104" s="42"/>
      <c r="DG104" s="42"/>
      <c r="DH104" s="42"/>
      <c r="DI104" s="39"/>
      <c r="DJ104" s="39"/>
      <c r="DK104" s="39"/>
      <c r="DL104" s="39"/>
      <c r="DM104" s="41"/>
      <c r="DN104" s="41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</row>
    <row r="105" ht="15.75" customHeight="1">
      <c r="G105" s="39"/>
      <c r="H105" s="39"/>
      <c r="I105" s="39"/>
      <c r="J105" s="39"/>
      <c r="K105" s="39"/>
      <c r="L105" s="39"/>
      <c r="M105" s="39"/>
      <c r="N105" s="39"/>
      <c r="O105" s="43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41"/>
      <c r="CH105" s="41"/>
      <c r="CI105" s="39"/>
      <c r="CJ105" s="39"/>
      <c r="CK105" s="39"/>
      <c r="CL105" s="39"/>
      <c r="CM105" s="39"/>
      <c r="CN105" s="39"/>
      <c r="CO105" s="39"/>
      <c r="CP105" s="39"/>
      <c r="CQ105" s="39"/>
      <c r="CR105" s="39"/>
      <c r="CS105" s="39"/>
      <c r="CT105" s="39"/>
      <c r="CU105" s="39"/>
      <c r="CV105" s="39"/>
      <c r="CW105" s="39"/>
      <c r="CX105" s="39"/>
      <c r="CY105" s="39"/>
      <c r="CZ105" s="39"/>
      <c r="DA105" s="42"/>
      <c r="DB105" s="42"/>
      <c r="DC105" s="42"/>
      <c r="DD105" s="42"/>
      <c r="DE105" s="42"/>
      <c r="DF105" s="42"/>
      <c r="DG105" s="42"/>
      <c r="DH105" s="42"/>
      <c r="DI105" s="39"/>
      <c r="DJ105" s="39"/>
      <c r="DK105" s="39"/>
      <c r="DL105" s="39"/>
      <c r="DM105" s="41"/>
      <c r="DN105" s="41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</row>
    <row r="106" ht="15.75" customHeight="1">
      <c r="G106" s="39"/>
      <c r="H106" s="39"/>
      <c r="I106" s="39"/>
      <c r="J106" s="39"/>
      <c r="K106" s="39"/>
      <c r="L106" s="39"/>
      <c r="M106" s="39"/>
      <c r="N106" s="39"/>
      <c r="O106" s="43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41"/>
      <c r="CH106" s="41"/>
      <c r="CI106" s="39"/>
      <c r="CJ106" s="39"/>
      <c r="CK106" s="39"/>
      <c r="CL106" s="39"/>
      <c r="CM106" s="39"/>
      <c r="CN106" s="39"/>
      <c r="CO106" s="39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42"/>
      <c r="DB106" s="42"/>
      <c r="DC106" s="42"/>
      <c r="DD106" s="42"/>
      <c r="DE106" s="42"/>
      <c r="DF106" s="42"/>
      <c r="DG106" s="42"/>
      <c r="DH106" s="42"/>
      <c r="DI106" s="39"/>
      <c r="DJ106" s="39"/>
      <c r="DK106" s="39"/>
      <c r="DL106" s="39"/>
      <c r="DM106" s="41"/>
      <c r="DN106" s="41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</row>
    <row r="107" ht="15.75" customHeight="1">
      <c r="G107" s="39"/>
      <c r="H107" s="39"/>
      <c r="I107" s="39"/>
      <c r="J107" s="39"/>
      <c r="K107" s="39"/>
      <c r="L107" s="39"/>
      <c r="M107" s="39"/>
      <c r="N107" s="39"/>
      <c r="O107" s="43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41"/>
      <c r="CH107" s="41"/>
      <c r="CI107" s="39"/>
      <c r="CJ107" s="39"/>
      <c r="CK107" s="39"/>
      <c r="CL107" s="39"/>
      <c r="CM107" s="39"/>
      <c r="CN107" s="39"/>
      <c r="CO107" s="39"/>
      <c r="CP107" s="39"/>
      <c r="CQ107" s="39"/>
      <c r="CR107" s="39"/>
      <c r="CS107" s="39"/>
      <c r="CT107" s="39"/>
      <c r="CU107" s="39"/>
      <c r="CV107" s="39"/>
      <c r="CW107" s="39"/>
      <c r="CX107" s="39"/>
      <c r="CY107" s="39"/>
      <c r="CZ107" s="39"/>
      <c r="DA107" s="42"/>
      <c r="DB107" s="42"/>
      <c r="DC107" s="42"/>
      <c r="DD107" s="42"/>
      <c r="DE107" s="42"/>
      <c r="DF107" s="42"/>
      <c r="DG107" s="42"/>
      <c r="DH107" s="42"/>
      <c r="DI107" s="39"/>
      <c r="DJ107" s="39"/>
      <c r="DK107" s="39"/>
      <c r="DL107" s="39"/>
      <c r="DM107" s="41"/>
      <c r="DN107" s="41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</row>
    <row r="108" ht="15.75" customHeight="1">
      <c r="G108" s="39"/>
      <c r="H108" s="39"/>
      <c r="I108" s="39"/>
      <c r="J108" s="39"/>
      <c r="K108" s="39"/>
      <c r="L108" s="39"/>
      <c r="M108" s="39"/>
      <c r="N108" s="39"/>
      <c r="O108" s="43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41"/>
      <c r="CH108" s="41"/>
      <c r="CI108" s="39"/>
      <c r="CJ108" s="39"/>
      <c r="CK108" s="39"/>
      <c r="CL108" s="39"/>
      <c r="CM108" s="39"/>
      <c r="CN108" s="39"/>
      <c r="CO108" s="39"/>
      <c r="CP108" s="39"/>
      <c r="CQ108" s="39"/>
      <c r="CR108" s="39"/>
      <c r="CS108" s="39"/>
      <c r="CT108" s="39"/>
      <c r="CU108" s="39"/>
      <c r="CV108" s="39"/>
      <c r="CW108" s="39"/>
      <c r="CX108" s="39"/>
      <c r="CY108" s="39"/>
      <c r="CZ108" s="39"/>
      <c r="DA108" s="42"/>
      <c r="DB108" s="42"/>
      <c r="DC108" s="42"/>
      <c r="DD108" s="42"/>
      <c r="DE108" s="42"/>
      <c r="DF108" s="42"/>
      <c r="DG108" s="42"/>
      <c r="DH108" s="42"/>
      <c r="DI108" s="39"/>
      <c r="DJ108" s="39"/>
      <c r="DK108" s="39"/>
      <c r="DL108" s="39"/>
      <c r="DM108" s="41"/>
      <c r="DN108" s="41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</row>
    <row r="109" ht="15.75" customHeight="1">
      <c r="G109" s="39"/>
      <c r="H109" s="39"/>
      <c r="I109" s="39"/>
      <c r="J109" s="39"/>
      <c r="K109" s="39"/>
      <c r="L109" s="39"/>
      <c r="M109" s="39"/>
      <c r="N109" s="39"/>
      <c r="O109" s="43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41"/>
      <c r="CH109" s="41"/>
      <c r="CI109" s="39"/>
      <c r="CJ109" s="39"/>
      <c r="CK109" s="39"/>
      <c r="CL109" s="39"/>
      <c r="CM109" s="39"/>
      <c r="CN109" s="39"/>
      <c r="CO109" s="39"/>
      <c r="CP109" s="39"/>
      <c r="CQ109" s="39"/>
      <c r="CR109" s="39"/>
      <c r="CS109" s="39"/>
      <c r="CT109" s="39"/>
      <c r="CU109" s="39"/>
      <c r="CV109" s="39"/>
      <c r="CW109" s="39"/>
      <c r="CX109" s="39"/>
      <c r="CY109" s="39"/>
      <c r="CZ109" s="39"/>
      <c r="DA109" s="42"/>
      <c r="DB109" s="42"/>
      <c r="DC109" s="42"/>
      <c r="DD109" s="42"/>
      <c r="DE109" s="42"/>
      <c r="DF109" s="42"/>
      <c r="DG109" s="42"/>
      <c r="DH109" s="42"/>
      <c r="DI109" s="39"/>
      <c r="DJ109" s="39"/>
      <c r="DK109" s="39"/>
      <c r="DL109" s="39"/>
      <c r="DM109" s="41"/>
      <c r="DN109" s="41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</row>
    <row r="110" ht="15.75" customHeight="1">
      <c r="G110" s="39"/>
      <c r="H110" s="39"/>
      <c r="I110" s="39"/>
      <c r="J110" s="39"/>
      <c r="K110" s="39"/>
      <c r="L110" s="39"/>
      <c r="M110" s="39"/>
      <c r="N110" s="39"/>
      <c r="O110" s="43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41"/>
      <c r="CH110" s="41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42"/>
      <c r="DB110" s="42"/>
      <c r="DC110" s="42"/>
      <c r="DD110" s="42"/>
      <c r="DE110" s="42"/>
      <c r="DF110" s="42"/>
      <c r="DG110" s="42"/>
      <c r="DH110" s="42"/>
      <c r="DI110" s="39"/>
      <c r="DJ110" s="39"/>
      <c r="DK110" s="39"/>
      <c r="DL110" s="39"/>
      <c r="DM110" s="41"/>
      <c r="DN110" s="41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</row>
    <row r="111" ht="15.75" customHeight="1">
      <c r="G111" s="39"/>
      <c r="H111" s="39"/>
      <c r="I111" s="39"/>
      <c r="J111" s="39"/>
      <c r="K111" s="39"/>
      <c r="L111" s="39"/>
      <c r="M111" s="39"/>
      <c r="N111" s="39"/>
      <c r="O111" s="43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41"/>
      <c r="CH111" s="41"/>
      <c r="CI111" s="39"/>
      <c r="CJ111" s="39"/>
      <c r="CK111" s="39"/>
      <c r="CL111" s="39"/>
      <c r="CM111" s="39"/>
      <c r="CN111" s="39"/>
      <c r="CO111" s="39"/>
      <c r="CP111" s="39"/>
      <c r="CQ111" s="39"/>
      <c r="CR111" s="39"/>
      <c r="CS111" s="39"/>
      <c r="CT111" s="39"/>
      <c r="CU111" s="39"/>
      <c r="CV111" s="39"/>
      <c r="CW111" s="39"/>
      <c r="CX111" s="39"/>
      <c r="CY111" s="39"/>
      <c r="CZ111" s="39"/>
      <c r="DA111" s="42"/>
      <c r="DB111" s="42"/>
      <c r="DC111" s="42"/>
      <c r="DD111" s="42"/>
      <c r="DE111" s="42"/>
      <c r="DF111" s="42"/>
      <c r="DG111" s="42"/>
      <c r="DH111" s="42"/>
      <c r="DI111" s="39"/>
      <c r="DJ111" s="39"/>
      <c r="DK111" s="39"/>
      <c r="DL111" s="39"/>
      <c r="DM111" s="41"/>
      <c r="DN111" s="41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</row>
    <row r="112" ht="15.75" customHeight="1">
      <c r="G112" s="39"/>
      <c r="H112" s="39"/>
      <c r="I112" s="39"/>
      <c r="J112" s="39"/>
      <c r="K112" s="39"/>
      <c r="L112" s="39"/>
      <c r="M112" s="39"/>
      <c r="N112" s="39"/>
      <c r="O112" s="43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41"/>
      <c r="CH112" s="41"/>
      <c r="CI112" s="39"/>
      <c r="CJ112" s="39"/>
      <c r="CK112" s="39"/>
      <c r="CL112" s="39"/>
      <c r="CM112" s="39"/>
      <c r="CN112" s="39"/>
      <c r="CO112" s="39"/>
      <c r="CP112" s="39"/>
      <c r="CQ112" s="39"/>
      <c r="CR112" s="39"/>
      <c r="CS112" s="39"/>
      <c r="CT112" s="39"/>
      <c r="CU112" s="39"/>
      <c r="CV112" s="39"/>
      <c r="CW112" s="39"/>
      <c r="CX112" s="39"/>
      <c r="CY112" s="39"/>
      <c r="CZ112" s="39"/>
      <c r="DA112" s="42"/>
      <c r="DB112" s="42"/>
      <c r="DC112" s="42"/>
      <c r="DD112" s="42"/>
      <c r="DE112" s="42"/>
      <c r="DF112" s="42"/>
      <c r="DG112" s="42"/>
      <c r="DH112" s="42"/>
      <c r="DI112" s="39"/>
      <c r="DJ112" s="39"/>
      <c r="DK112" s="39"/>
      <c r="DL112" s="39"/>
      <c r="DM112" s="41"/>
      <c r="DN112" s="41"/>
      <c r="DO112" s="39"/>
      <c r="DP112" s="39"/>
      <c r="DQ112" s="39"/>
      <c r="DR112" s="39"/>
      <c r="DS112" s="39"/>
      <c r="DT112" s="39"/>
      <c r="DU112" s="39"/>
      <c r="DV112" s="39"/>
      <c r="DW112" s="39"/>
      <c r="DX112" s="39"/>
    </row>
    <row r="113" ht="15.75" customHeight="1">
      <c r="G113" s="39"/>
      <c r="H113" s="39"/>
      <c r="I113" s="39"/>
      <c r="J113" s="39"/>
      <c r="K113" s="39"/>
      <c r="L113" s="39"/>
      <c r="M113" s="39"/>
      <c r="N113" s="39"/>
      <c r="O113" s="43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41"/>
      <c r="CH113" s="41"/>
      <c r="CI113" s="39"/>
      <c r="CJ113" s="39"/>
      <c r="CK113" s="39"/>
      <c r="CL113" s="39"/>
      <c r="CM113" s="39"/>
      <c r="CN113" s="39"/>
      <c r="CO113" s="39"/>
      <c r="CP113" s="39"/>
      <c r="CQ113" s="39"/>
      <c r="CR113" s="39"/>
      <c r="CS113" s="39"/>
      <c r="CT113" s="39"/>
      <c r="CU113" s="39"/>
      <c r="CV113" s="39"/>
      <c r="CW113" s="39"/>
      <c r="CX113" s="39"/>
      <c r="CY113" s="39"/>
      <c r="CZ113" s="39"/>
      <c r="DA113" s="42"/>
      <c r="DB113" s="42"/>
      <c r="DC113" s="42"/>
      <c r="DD113" s="42"/>
      <c r="DE113" s="42"/>
      <c r="DF113" s="42"/>
      <c r="DG113" s="42"/>
      <c r="DH113" s="42"/>
      <c r="DI113" s="39"/>
      <c r="DJ113" s="39"/>
      <c r="DK113" s="39"/>
      <c r="DL113" s="39"/>
      <c r="DM113" s="41"/>
      <c r="DN113" s="41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</row>
    <row r="114" ht="15.75" customHeight="1">
      <c r="G114" s="39"/>
      <c r="H114" s="39"/>
      <c r="I114" s="39"/>
      <c r="J114" s="39"/>
      <c r="K114" s="39"/>
      <c r="L114" s="39"/>
      <c r="M114" s="39"/>
      <c r="N114" s="39"/>
      <c r="O114" s="43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41"/>
      <c r="CH114" s="41"/>
      <c r="CI114" s="39"/>
      <c r="CJ114" s="39"/>
      <c r="CK114" s="39"/>
      <c r="CL114" s="39"/>
      <c r="CM114" s="39"/>
      <c r="CN114" s="39"/>
      <c r="CO114" s="39"/>
      <c r="CP114" s="39"/>
      <c r="CQ114" s="39"/>
      <c r="CR114" s="39"/>
      <c r="CS114" s="39"/>
      <c r="CT114" s="39"/>
      <c r="CU114" s="39"/>
      <c r="CV114" s="39"/>
      <c r="CW114" s="39"/>
      <c r="CX114" s="39"/>
      <c r="CY114" s="39"/>
      <c r="CZ114" s="39"/>
      <c r="DA114" s="42"/>
      <c r="DB114" s="42"/>
      <c r="DC114" s="42"/>
      <c r="DD114" s="42"/>
      <c r="DE114" s="42"/>
      <c r="DF114" s="42"/>
      <c r="DG114" s="42"/>
      <c r="DH114" s="42"/>
      <c r="DI114" s="39"/>
      <c r="DJ114" s="39"/>
      <c r="DK114" s="39"/>
      <c r="DL114" s="39"/>
      <c r="DM114" s="41"/>
      <c r="DN114" s="41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</row>
    <row r="115" ht="15.75" customHeight="1">
      <c r="G115" s="39"/>
      <c r="H115" s="39"/>
      <c r="I115" s="39"/>
      <c r="J115" s="39"/>
      <c r="K115" s="39"/>
      <c r="L115" s="39"/>
      <c r="M115" s="39"/>
      <c r="N115" s="39"/>
      <c r="O115" s="43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41"/>
      <c r="CH115" s="41"/>
      <c r="CI115" s="39"/>
      <c r="CJ115" s="39"/>
      <c r="CK115" s="39"/>
      <c r="CL115" s="39"/>
      <c r="CM115" s="39"/>
      <c r="CN115" s="39"/>
      <c r="CO115" s="39"/>
      <c r="CP115" s="39"/>
      <c r="CQ115" s="39"/>
      <c r="CR115" s="39"/>
      <c r="CS115" s="39"/>
      <c r="CT115" s="39"/>
      <c r="CU115" s="39"/>
      <c r="CV115" s="39"/>
      <c r="CW115" s="39"/>
      <c r="CX115" s="39"/>
      <c r="CY115" s="39"/>
      <c r="CZ115" s="39"/>
      <c r="DA115" s="42"/>
      <c r="DB115" s="42"/>
      <c r="DC115" s="42"/>
      <c r="DD115" s="42"/>
      <c r="DE115" s="42"/>
      <c r="DF115" s="42"/>
      <c r="DG115" s="42"/>
      <c r="DH115" s="42"/>
      <c r="DI115" s="39"/>
      <c r="DJ115" s="39"/>
      <c r="DK115" s="39"/>
      <c r="DL115" s="39"/>
      <c r="DM115" s="41"/>
      <c r="DN115" s="41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</row>
    <row r="116" ht="15.75" customHeight="1">
      <c r="G116" s="39"/>
      <c r="H116" s="39"/>
      <c r="I116" s="39"/>
      <c r="J116" s="39"/>
      <c r="K116" s="39"/>
      <c r="L116" s="39"/>
      <c r="M116" s="39"/>
      <c r="N116" s="39"/>
      <c r="O116" s="43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CG116" s="41"/>
      <c r="CH116" s="41"/>
      <c r="CI116" s="39"/>
      <c r="CJ116" s="39"/>
      <c r="CK116" s="39"/>
      <c r="CL116" s="39"/>
      <c r="CM116" s="39"/>
      <c r="CN116" s="39"/>
      <c r="CO116" s="39"/>
      <c r="CP116" s="39"/>
      <c r="CQ116" s="39"/>
      <c r="CR116" s="39"/>
      <c r="CS116" s="39"/>
      <c r="CT116" s="39"/>
      <c r="CU116" s="39"/>
      <c r="CV116" s="39"/>
      <c r="CW116" s="39"/>
      <c r="CX116" s="39"/>
      <c r="CY116" s="39"/>
      <c r="CZ116" s="39"/>
      <c r="DA116" s="42"/>
      <c r="DB116" s="42"/>
      <c r="DC116" s="42"/>
      <c r="DD116" s="42"/>
      <c r="DE116" s="42"/>
      <c r="DF116" s="42"/>
      <c r="DG116" s="42"/>
      <c r="DH116" s="42"/>
      <c r="DI116" s="39"/>
      <c r="DJ116" s="39"/>
      <c r="DK116" s="39"/>
      <c r="DL116" s="39"/>
      <c r="DM116" s="41"/>
      <c r="DN116" s="41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</row>
    <row r="117" ht="15.75" customHeight="1">
      <c r="G117" s="39"/>
      <c r="H117" s="39"/>
      <c r="I117" s="39"/>
      <c r="J117" s="39"/>
      <c r="K117" s="39"/>
      <c r="L117" s="39"/>
      <c r="M117" s="39"/>
      <c r="N117" s="39"/>
      <c r="O117" s="43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CG117" s="41"/>
      <c r="CH117" s="41"/>
      <c r="CI117" s="39"/>
      <c r="CJ117" s="39"/>
      <c r="CK117" s="39"/>
      <c r="CL117" s="39"/>
      <c r="CM117" s="39"/>
      <c r="CN117" s="39"/>
      <c r="CO117" s="39"/>
      <c r="CP117" s="39"/>
      <c r="CQ117" s="39"/>
      <c r="CR117" s="39"/>
      <c r="CS117" s="39"/>
      <c r="CT117" s="39"/>
      <c r="CU117" s="39"/>
      <c r="CV117" s="39"/>
      <c r="CW117" s="39"/>
      <c r="CX117" s="39"/>
      <c r="CY117" s="39"/>
      <c r="CZ117" s="39"/>
      <c r="DA117" s="42"/>
      <c r="DB117" s="42"/>
      <c r="DC117" s="42"/>
      <c r="DD117" s="42"/>
      <c r="DE117" s="42"/>
      <c r="DF117" s="42"/>
      <c r="DG117" s="42"/>
      <c r="DH117" s="42"/>
      <c r="DI117" s="39"/>
      <c r="DJ117" s="39"/>
      <c r="DK117" s="39"/>
      <c r="DL117" s="39"/>
      <c r="DM117" s="41"/>
      <c r="DN117" s="41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</row>
    <row r="118" ht="15.75" customHeight="1">
      <c r="G118" s="39"/>
      <c r="H118" s="39"/>
      <c r="I118" s="39"/>
      <c r="J118" s="39"/>
      <c r="K118" s="39"/>
      <c r="L118" s="39"/>
      <c r="M118" s="39"/>
      <c r="N118" s="39"/>
      <c r="O118" s="43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39"/>
      <c r="CC118" s="39"/>
      <c r="CD118" s="39"/>
      <c r="CE118" s="39"/>
      <c r="CF118" s="39"/>
      <c r="CG118" s="41"/>
      <c r="CH118" s="41"/>
      <c r="CI118" s="39"/>
      <c r="CJ118" s="39"/>
      <c r="CK118" s="39"/>
      <c r="CL118" s="39"/>
      <c r="CM118" s="39"/>
      <c r="CN118" s="39"/>
      <c r="CO118" s="39"/>
      <c r="CP118" s="39"/>
      <c r="CQ118" s="39"/>
      <c r="CR118" s="39"/>
      <c r="CS118" s="39"/>
      <c r="CT118" s="39"/>
      <c r="CU118" s="39"/>
      <c r="CV118" s="39"/>
      <c r="CW118" s="39"/>
      <c r="CX118" s="39"/>
      <c r="CY118" s="39"/>
      <c r="CZ118" s="39"/>
      <c r="DA118" s="42"/>
      <c r="DB118" s="42"/>
      <c r="DC118" s="42"/>
      <c r="DD118" s="42"/>
      <c r="DE118" s="42"/>
      <c r="DF118" s="42"/>
      <c r="DG118" s="42"/>
      <c r="DH118" s="42"/>
      <c r="DI118" s="39"/>
      <c r="DJ118" s="39"/>
      <c r="DK118" s="39"/>
      <c r="DL118" s="39"/>
      <c r="DM118" s="41"/>
      <c r="DN118" s="41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</row>
    <row r="119" ht="15.75" customHeight="1">
      <c r="G119" s="39"/>
      <c r="H119" s="39"/>
      <c r="I119" s="39"/>
      <c r="J119" s="39"/>
      <c r="K119" s="39"/>
      <c r="L119" s="39"/>
      <c r="M119" s="39"/>
      <c r="N119" s="39"/>
      <c r="O119" s="43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41"/>
      <c r="CH119" s="41"/>
      <c r="CI119" s="39"/>
      <c r="CJ119" s="39"/>
      <c r="CK119" s="39"/>
      <c r="CL119" s="39"/>
      <c r="CM119" s="39"/>
      <c r="CN119" s="39"/>
      <c r="CO119" s="39"/>
      <c r="CP119" s="39"/>
      <c r="CQ119" s="39"/>
      <c r="CR119" s="39"/>
      <c r="CS119" s="39"/>
      <c r="CT119" s="39"/>
      <c r="CU119" s="39"/>
      <c r="CV119" s="39"/>
      <c r="CW119" s="39"/>
      <c r="CX119" s="39"/>
      <c r="CY119" s="39"/>
      <c r="CZ119" s="39"/>
      <c r="DA119" s="42"/>
      <c r="DB119" s="42"/>
      <c r="DC119" s="42"/>
      <c r="DD119" s="42"/>
      <c r="DE119" s="42"/>
      <c r="DF119" s="42"/>
      <c r="DG119" s="42"/>
      <c r="DH119" s="42"/>
      <c r="DI119" s="39"/>
      <c r="DJ119" s="39"/>
      <c r="DK119" s="39"/>
      <c r="DL119" s="39"/>
      <c r="DM119" s="41"/>
      <c r="DN119" s="41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</row>
    <row r="120" ht="15.75" customHeight="1">
      <c r="G120" s="39"/>
      <c r="H120" s="39"/>
      <c r="I120" s="39"/>
      <c r="J120" s="39"/>
      <c r="K120" s="39"/>
      <c r="L120" s="39"/>
      <c r="M120" s="39"/>
      <c r="N120" s="39"/>
      <c r="O120" s="43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41"/>
      <c r="CH120" s="41"/>
      <c r="CI120" s="39"/>
      <c r="CJ120" s="39"/>
      <c r="CK120" s="39"/>
      <c r="CL120" s="39"/>
      <c r="CM120" s="39"/>
      <c r="CN120" s="39"/>
      <c r="CO120" s="39"/>
      <c r="CP120" s="39"/>
      <c r="CQ120" s="39"/>
      <c r="CR120" s="39"/>
      <c r="CS120" s="39"/>
      <c r="CT120" s="39"/>
      <c r="CU120" s="39"/>
      <c r="CV120" s="39"/>
      <c r="CW120" s="39"/>
      <c r="CX120" s="39"/>
      <c r="CY120" s="39"/>
      <c r="CZ120" s="39"/>
      <c r="DA120" s="42"/>
      <c r="DB120" s="42"/>
      <c r="DC120" s="42"/>
      <c r="DD120" s="42"/>
      <c r="DE120" s="42"/>
      <c r="DF120" s="42"/>
      <c r="DG120" s="42"/>
      <c r="DH120" s="42"/>
      <c r="DI120" s="39"/>
      <c r="DJ120" s="39"/>
      <c r="DK120" s="39"/>
      <c r="DL120" s="39"/>
      <c r="DM120" s="41"/>
      <c r="DN120" s="41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</row>
    <row r="121" ht="15.75" customHeight="1">
      <c r="G121" s="39"/>
      <c r="H121" s="39"/>
      <c r="I121" s="39"/>
      <c r="J121" s="39"/>
      <c r="K121" s="39"/>
      <c r="L121" s="39"/>
      <c r="M121" s="39"/>
      <c r="N121" s="39"/>
      <c r="O121" s="43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41"/>
      <c r="CH121" s="41"/>
      <c r="CI121" s="39"/>
      <c r="CJ121" s="39"/>
      <c r="CK121" s="39"/>
      <c r="CL121" s="39"/>
      <c r="CM121" s="39"/>
      <c r="CN121" s="39"/>
      <c r="CO121" s="39"/>
      <c r="CP121" s="39"/>
      <c r="CQ121" s="39"/>
      <c r="CR121" s="39"/>
      <c r="CS121" s="39"/>
      <c r="CT121" s="39"/>
      <c r="CU121" s="39"/>
      <c r="CV121" s="39"/>
      <c r="CW121" s="39"/>
      <c r="CX121" s="39"/>
      <c r="CY121" s="39"/>
      <c r="CZ121" s="39"/>
      <c r="DA121" s="42"/>
      <c r="DB121" s="42"/>
      <c r="DC121" s="42"/>
      <c r="DD121" s="42"/>
      <c r="DE121" s="42"/>
      <c r="DF121" s="42"/>
      <c r="DG121" s="42"/>
      <c r="DH121" s="42"/>
      <c r="DI121" s="39"/>
      <c r="DJ121" s="39"/>
      <c r="DK121" s="39"/>
      <c r="DL121" s="39"/>
      <c r="DM121" s="41"/>
      <c r="DN121" s="41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</row>
    <row r="122" ht="15.75" customHeight="1">
      <c r="G122" s="39"/>
      <c r="H122" s="39"/>
      <c r="I122" s="39"/>
      <c r="J122" s="39"/>
      <c r="K122" s="39"/>
      <c r="L122" s="39"/>
      <c r="M122" s="39"/>
      <c r="N122" s="39"/>
      <c r="O122" s="43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41"/>
      <c r="CH122" s="41"/>
      <c r="CI122" s="39"/>
      <c r="CJ122" s="39"/>
      <c r="CK122" s="39"/>
      <c r="CL122" s="39"/>
      <c r="CM122" s="39"/>
      <c r="CN122" s="39"/>
      <c r="CO122" s="39"/>
      <c r="CP122" s="39"/>
      <c r="CQ122" s="39"/>
      <c r="CR122" s="39"/>
      <c r="CS122" s="39"/>
      <c r="CT122" s="39"/>
      <c r="CU122" s="39"/>
      <c r="CV122" s="39"/>
      <c r="CW122" s="39"/>
      <c r="CX122" s="39"/>
      <c r="CY122" s="39"/>
      <c r="CZ122" s="39"/>
      <c r="DA122" s="42"/>
      <c r="DB122" s="42"/>
      <c r="DC122" s="42"/>
      <c r="DD122" s="42"/>
      <c r="DE122" s="42"/>
      <c r="DF122" s="42"/>
      <c r="DG122" s="42"/>
      <c r="DH122" s="42"/>
      <c r="DI122" s="39"/>
      <c r="DJ122" s="39"/>
      <c r="DK122" s="39"/>
      <c r="DL122" s="39"/>
      <c r="DM122" s="41"/>
      <c r="DN122" s="41"/>
      <c r="DO122" s="39"/>
      <c r="DP122" s="39"/>
      <c r="DQ122" s="39"/>
      <c r="DR122" s="39"/>
      <c r="DS122" s="39"/>
      <c r="DT122" s="39"/>
      <c r="DU122" s="39"/>
      <c r="DV122" s="39"/>
      <c r="DW122" s="39"/>
      <c r="DX122" s="39"/>
    </row>
    <row r="123" ht="15.75" customHeight="1">
      <c r="G123" s="39"/>
      <c r="H123" s="39"/>
      <c r="I123" s="39"/>
      <c r="J123" s="39"/>
      <c r="K123" s="39"/>
      <c r="L123" s="39"/>
      <c r="M123" s="39"/>
      <c r="N123" s="39"/>
      <c r="O123" s="43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  <c r="CD123" s="39"/>
      <c r="CE123" s="39"/>
      <c r="CF123" s="39"/>
      <c r="CG123" s="41"/>
      <c r="CH123" s="41"/>
      <c r="CI123" s="39"/>
      <c r="CJ123" s="39"/>
      <c r="CK123" s="39"/>
      <c r="CL123" s="39"/>
      <c r="CM123" s="39"/>
      <c r="CN123" s="39"/>
      <c r="CO123" s="39"/>
      <c r="CP123" s="39"/>
      <c r="CQ123" s="39"/>
      <c r="CR123" s="39"/>
      <c r="CS123" s="39"/>
      <c r="CT123" s="39"/>
      <c r="CU123" s="39"/>
      <c r="CV123" s="39"/>
      <c r="CW123" s="39"/>
      <c r="CX123" s="39"/>
      <c r="CY123" s="39"/>
      <c r="CZ123" s="39"/>
      <c r="DA123" s="42"/>
      <c r="DB123" s="42"/>
      <c r="DC123" s="42"/>
      <c r="DD123" s="42"/>
      <c r="DE123" s="42"/>
      <c r="DF123" s="42"/>
      <c r="DG123" s="42"/>
      <c r="DH123" s="42"/>
      <c r="DI123" s="39"/>
      <c r="DJ123" s="39"/>
      <c r="DK123" s="39"/>
      <c r="DL123" s="39"/>
      <c r="DM123" s="41"/>
      <c r="DN123" s="41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</row>
    <row r="124" ht="15.75" customHeight="1">
      <c r="G124" s="39"/>
      <c r="H124" s="39"/>
      <c r="I124" s="39"/>
      <c r="J124" s="39"/>
      <c r="K124" s="39"/>
      <c r="L124" s="39"/>
      <c r="M124" s="39"/>
      <c r="N124" s="39"/>
      <c r="O124" s="43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  <c r="CC124" s="39"/>
      <c r="CD124" s="39"/>
      <c r="CE124" s="39"/>
      <c r="CF124" s="39"/>
      <c r="CG124" s="41"/>
      <c r="CH124" s="41"/>
      <c r="CI124" s="39"/>
      <c r="CJ124" s="39"/>
      <c r="CK124" s="39"/>
      <c r="CL124" s="39"/>
      <c r="CM124" s="39"/>
      <c r="CN124" s="39"/>
      <c r="CO124" s="39"/>
      <c r="CP124" s="39"/>
      <c r="CQ124" s="39"/>
      <c r="CR124" s="39"/>
      <c r="CS124" s="39"/>
      <c r="CT124" s="39"/>
      <c r="CU124" s="39"/>
      <c r="CV124" s="39"/>
      <c r="CW124" s="39"/>
      <c r="CX124" s="39"/>
      <c r="CY124" s="39"/>
      <c r="CZ124" s="39"/>
      <c r="DA124" s="42"/>
      <c r="DB124" s="42"/>
      <c r="DC124" s="42"/>
      <c r="DD124" s="42"/>
      <c r="DE124" s="42"/>
      <c r="DF124" s="42"/>
      <c r="DG124" s="42"/>
      <c r="DH124" s="42"/>
      <c r="DI124" s="39"/>
      <c r="DJ124" s="39"/>
      <c r="DK124" s="39"/>
      <c r="DL124" s="39"/>
      <c r="DM124" s="41"/>
      <c r="DN124" s="41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</row>
    <row r="125" ht="15.75" customHeight="1">
      <c r="G125" s="39"/>
      <c r="H125" s="39"/>
      <c r="I125" s="39"/>
      <c r="J125" s="39"/>
      <c r="K125" s="39"/>
      <c r="L125" s="39"/>
      <c r="M125" s="39"/>
      <c r="N125" s="39"/>
      <c r="O125" s="43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  <c r="CG125" s="41"/>
      <c r="CH125" s="41"/>
      <c r="CI125" s="39"/>
      <c r="CJ125" s="39"/>
      <c r="CK125" s="39"/>
      <c r="CL125" s="39"/>
      <c r="CM125" s="39"/>
      <c r="CN125" s="39"/>
      <c r="CO125" s="39"/>
      <c r="CP125" s="39"/>
      <c r="CQ125" s="39"/>
      <c r="CR125" s="39"/>
      <c r="CS125" s="39"/>
      <c r="CT125" s="39"/>
      <c r="CU125" s="39"/>
      <c r="CV125" s="39"/>
      <c r="CW125" s="39"/>
      <c r="CX125" s="39"/>
      <c r="CY125" s="39"/>
      <c r="CZ125" s="39"/>
      <c r="DA125" s="42"/>
      <c r="DB125" s="42"/>
      <c r="DC125" s="42"/>
      <c r="DD125" s="42"/>
      <c r="DE125" s="42"/>
      <c r="DF125" s="42"/>
      <c r="DG125" s="42"/>
      <c r="DH125" s="42"/>
      <c r="DI125" s="39"/>
      <c r="DJ125" s="39"/>
      <c r="DK125" s="39"/>
      <c r="DL125" s="39"/>
      <c r="DM125" s="41"/>
      <c r="DN125" s="41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</row>
    <row r="126" ht="15.75" customHeight="1">
      <c r="G126" s="39"/>
      <c r="H126" s="39"/>
      <c r="I126" s="39"/>
      <c r="J126" s="39"/>
      <c r="K126" s="39"/>
      <c r="L126" s="39"/>
      <c r="M126" s="39"/>
      <c r="N126" s="39"/>
      <c r="O126" s="43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  <c r="CG126" s="41"/>
      <c r="CH126" s="41"/>
      <c r="CI126" s="39"/>
      <c r="CJ126" s="39"/>
      <c r="CK126" s="39"/>
      <c r="CL126" s="39"/>
      <c r="CM126" s="39"/>
      <c r="CN126" s="39"/>
      <c r="CO126" s="39"/>
      <c r="CP126" s="39"/>
      <c r="CQ126" s="39"/>
      <c r="CR126" s="39"/>
      <c r="CS126" s="39"/>
      <c r="CT126" s="39"/>
      <c r="CU126" s="39"/>
      <c r="CV126" s="39"/>
      <c r="CW126" s="39"/>
      <c r="CX126" s="39"/>
      <c r="CY126" s="39"/>
      <c r="CZ126" s="39"/>
      <c r="DA126" s="42"/>
      <c r="DB126" s="42"/>
      <c r="DC126" s="42"/>
      <c r="DD126" s="42"/>
      <c r="DE126" s="42"/>
      <c r="DF126" s="42"/>
      <c r="DG126" s="42"/>
      <c r="DH126" s="42"/>
      <c r="DI126" s="39"/>
      <c r="DJ126" s="39"/>
      <c r="DK126" s="39"/>
      <c r="DL126" s="39"/>
      <c r="DM126" s="41"/>
      <c r="DN126" s="41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</row>
    <row r="127" ht="15.75" customHeight="1">
      <c r="G127" s="39"/>
      <c r="H127" s="39"/>
      <c r="I127" s="39"/>
      <c r="J127" s="39"/>
      <c r="K127" s="39"/>
      <c r="L127" s="39"/>
      <c r="M127" s="39"/>
      <c r="N127" s="39"/>
      <c r="O127" s="43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41"/>
      <c r="CH127" s="41"/>
      <c r="CI127" s="39"/>
      <c r="CJ127" s="39"/>
      <c r="CK127" s="39"/>
      <c r="CL127" s="39"/>
      <c r="CM127" s="39"/>
      <c r="CN127" s="39"/>
      <c r="CO127" s="39"/>
      <c r="CP127" s="39"/>
      <c r="CQ127" s="39"/>
      <c r="CR127" s="39"/>
      <c r="CS127" s="39"/>
      <c r="CT127" s="39"/>
      <c r="CU127" s="39"/>
      <c r="CV127" s="39"/>
      <c r="CW127" s="39"/>
      <c r="CX127" s="39"/>
      <c r="CY127" s="39"/>
      <c r="CZ127" s="39"/>
      <c r="DA127" s="42"/>
      <c r="DB127" s="42"/>
      <c r="DC127" s="42"/>
      <c r="DD127" s="42"/>
      <c r="DE127" s="42"/>
      <c r="DF127" s="42"/>
      <c r="DG127" s="42"/>
      <c r="DH127" s="42"/>
      <c r="DI127" s="39"/>
      <c r="DJ127" s="39"/>
      <c r="DK127" s="39"/>
      <c r="DL127" s="39"/>
      <c r="DM127" s="41"/>
      <c r="DN127" s="41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</row>
    <row r="128" ht="15.75" customHeight="1">
      <c r="G128" s="39"/>
      <c r="H128" s="39"/>
      <c r="I128" s="39"/>
      <c r="J128" s="39"/>
      <c r="K128" s="39"/>
      <c r="L128" s="39"/>
      <c r="M128" s="39"/>
      <c r="N128" s="39"/>
      <c r="O128" s="43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41"/>
      <c r="CH128" s="41"/>
      <c r="CI128" s="39"/>
      <c r="CJ128" s="39"/>
      <c r="CK128" s="39"/>
      <c r="CL128" s="39"/>
      <c r="CM128" s="39"/>
      <c r="CN128" s="39"/>
      <c r="CO128" s="39"/>
      <c r="CP128" s="39"/>
      <c r="CQ128" s="39"/>
      <c r="CR128" s="39"/>
      <c r="CS128" s="39"/>
      <c r="CT128" s="39"/>
      <c r="CU128" s="39"/>
      <c r="CV128" s="39"/>
      <c r="CW128" s="39"/>
      <c r="CX128" s="39"/>
      <c r="CY128" s="39"/>
      <c r="CZ128" s="39"/>
      <c r="DA128" s="42"/>
      <c r="DB128" s="42"/>
      <c r="DC128" s="42"/>
      <c r="DD128" s="42"/>
      <c r="DE128" s="42"/>
      <c r="DF128" s="42"/>
      <c r="DG128" s="42"/>
      <c r="DH128" s="42"/>
      <c r="DI128" s="39"/>
      <c r="DJ128" s="39"/>
      <c r="DK128" s="39"/>
      <c r="DL128" s="39"/>
      <c r="DM128" s="41"/>
      <c r="DN128" s="41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</row>
    <row r="129" ht="15.75" customHeight="1">
      <c r="G129" s="39"/>
      <c r="H129" s="39"/>
      <c r="I129" s="39"/>
      <c r="J129" s="39"/>
      <c r="K129" s="39"/>
      <c r="L129" s="39"/>
      <c r="M129" s="39"/>
      <c r="N129" s="39"/>
      <c r="O129" s="43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  <c r="CG129" s="41"/>
      <c r="CH129" s="41"/>
      <c r="CI129" s="39"/>
      <c r="CJ129" s="39"/>
      <c r="CK129" s="39"/>
      <c r="CL129" s="39"/>
      <c r="CM129" s="39"/>
      <c r="CN129" s="39"/>
      <c r="CO129" s="39"/>
      <c r="CP129" s="39"/>
      <c r="CQ129" s="39"/>
      <c r="CR129" s="39"/>
      <c r="CS129" s="39"/>
      <c r="CT129" s="39"/>
      <c r="CU129" s="39"/>
      <c r="CV129" s="39"/>
      <c r="CW129" s="39"/>
      <c r="CX129" s="39"/>
      <c r="CY129" s="39"/>
      <c r="CZ129" s="39"/>
      <c r="DA129" s="42"/>
      <c r="DB129" s="42"/>
      <c r="DC129" s="42"/>
      <c r="DD129" s="42"/>
      <c r="DE129" s="42"/>
      <c r="DF129" s="42"/>
      <c r="DG129" s="42"/>
      <c r="DH129" s="42"/>
      <c r="DI129" s="39"/>
      <c r="DJ129" s="39"/>
      <c r="DK129" s="39"/>
      <c r="DL129" s="39"/>
      <c r="DM129" s="41"/>
      <c r="DN129" s="41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</row>
    <row r="130" ht="15.75" customHeight="1">
      <c r="G130" s="39"/>
      <c r="H130" s="39"/>
      <c r="I130" s="39"/>
      <c r="J130" s="39"/>
      <c r="K130" s="39"/>
      <c r="L130" s="39"/>
      <c r="M130" s="39"/>
      <c r="N130" s="39"/>
      <c r="O130" s="43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  <c r="CC130" s="39"/>
      <c r="CD130" s="39"/>
      <c r="CE130" s="39"/>
      <c r="CF130" s="39"/>
      <c r="CG130" s="41"/>
      <c r="CH130" s="41"/>
      <c r="CI130" s="39"/>
      <c r="CJ130" s="39"/>
      <c r="CK130" s="39"/>
      <c r="CL130" s="39"/>
      <c r="CM130" s="39"/>
      <c r="CN130" s="39"/>
      <c r="CO130" s="39"/>
      <c r="CP130" s="39"/>
      <c r="CQ130" s="39"/>
      <c r="CR130" s="39"/>
      <c r="CS130" s="39"/>
      <c r="CT130" s="39"/>
      <c r="CU130" s="39"/>
      <c r="CV130" s="39"/>
      <c r="CW130" s="39"/>
      <c r="CX130" s="39"/>
      <c r="CY130" s="39"/>
      <c r="CZ130" s="39"/>
      <c r="DA130" s="42"/>
      <c r="DB130" s="42"/>
      <c r="DC130" s="42"/>
      <c r="DD130" s="42"/>
      <c r="DE130" s="42"/>
      <c r="DF130" s="42"/>
      <c r="DG130" s="42"/>
      <c r="DH130" s="42"/>
      <c r="DI130" s="39"/>
      <c r="DJ130" s="39"/>
      <c r="DK130" s="39"/>
      <c r="DL130" s="39"/>
      <c r="DM130" s="41"/>
      <c r="DN130" s="41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</row>
    <row r="131" ht="15.75" customHeight="1">
      <c r="G131" s="39"/>
      <c r="H131" s="39"/>
      <c r="I131" s="39"/>
      <c r="J131" s="39"/>
      <c r="K131" s="39"/>
      <c r="L131" s="39"/>
      <c r="M131" s="39"/>
      <c r="N131" s="39"/>
      <c r="O131" s="43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  <c r="CG131" s="41"/>
      <c r="CH131" s="41"/>
      <c r="CI131" s="39"/>
      <c r="CJ131" s="39"/>
      <c r="CK131" s="39"/>
      <c r="CL131" s="39"/>
      <c r="CM131" s="39"/>
      <c r="CN131" s="39"/>
      <c r="CO131" s="39"/>
      <c r="CP131" s="39"/>
      <c r="CQ131" s="39"/>
      <c r="CR131" s="39"/>
      <c r="CS131" s="39"/>
      <c r="CT131" s="39"/>
      <c r="CU131" s="39"/>
      <c r="CV131" s="39"/>
      <c r="CW131" s="39"/>
      <c r="CX131" s="39"/>
      <c r="CY131" s="39"/>
      <c r="CZ131" s="39"/>
      <c r="DA131" s="42"/>
      <c r="DB131" s="42"/>
      <c r="DC131" s="42"/>
      <c r="DD131" s="42"/>
      <c r="DE131" s="42"/>
      <c r="DF131" s="42"/>
      <c r="DG131" s="42"/>
      <c r="DH131" s="42"/>
      <c r="DI131" s="39"/>
      <c r="DJ131" s="39"/>
      <c r="DK131" s="39"/>
      <c r="DL131" s="39"/>
      <c r="DM131" s="41"/>
      <c r="DN131" s="41"/>
      <c r="DO131" s="39"/>
      <c r="DP131" s="39"/>
      <c r="DQ131" s="39"/>
      <c r="DR131" s="39"/>
      <c r="DS131" s="39"/>
      <c r="DT131" s="39"/>
      <c r="DU131" s="39"/>
      <c r="DV131" s="39"/>
      <c r="DW131" s="39"/>
      <c r="DX131" s="39"/>
    </row>
    <row r="132" ht="15.75" customHeight="1">
      <c r="G132" s="39"/>
      <c r="H132" s="39"/>
      <c r="I132" s="39"/>
      <c r="J132" s="39"/>
      <c r="K132" s="39"/>
      <c r="L132" s="39"/>
      <c r="M132" s="39"/>
      <c r="N132" s="39"/>
      <c r="O132" s="43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41"/>
      <c r="CH132" s="41"/>
      <c r="CI132" s="39"/>
      <c r="CJ132" s="39"/>
      <c r="CK132" s="39"/>
      <c r="CL132" s="39"/>
      <c r="CM132" s="39"/>
      <c r="CN132" s="39"/>
      <c r="CO132" s="39"/>
      <c r="CP132" s="39"/>
      <c r="CQ132" s="39"/>
      <c r="CR132" s="39"/>
      <c r="CS132" s="39"/>
      <c r="CT132" s="39"/>
      <c r="CU132" s="39"/>
      <c r="CV132" s="39"/>
      <c r="CW132" s="39"/>
      <c r="CX132" s="39"/>
      <c r="CY132" s="39"/>
      <c r="CZ132" s="39"/>
      <c r="DA132" s="42"/>
      <c r="DB132" s="42"/>
      <c r="DC132" s="42"/>
      <c r="DD132" s="42"/>
      <c r="DE132" s="42"/>
      <c r="DF132" s="42"/>
      <c r="DG132" s="42"/>
      <c r="DH132" s="42"/>
      <c r="DI132" s="39"/>
      <c r="DJ132" s="39"/>
      <c r="DK132" s="39"/>
      <c r="DL132" s="39"/>
      <c r="DM132" s="41"/>
      <c r="DN132" s="41"/>
      <c r="DO132" s="39"/>
      <c r="DP132" s="39"/>
      <c r="DQ132" s="39"/>
      <c r="DR132" s="39"/>
      <c r="DS132" s="39"/>
      <c r="DT132" s="39"/>
      <c r="DU132" s="39"/>
      <c r="DV132" s="39"/>
      <c r="DW132" s="39"/>
      <c r="DX132" s="39"/>
    </row>
    <row r="133" ht="15.75" customHeight="1">
      <c r="G133" s="39"/>
      <c r="H133" s="39"/>
      <c r="I133" s="39"/>
      <c r="J133" s="39"/>
      <c r="K133" s="39"/>
      <c r="L133" s="39"/>
      <c r="M133" s="39"/>
      <c r="N133" s="39"/>
      <c r="O133" s="43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41"/>
      <c r="CH133" s="41"/>
      <c r="CI133" s="39"/>
      <c r="CJ133" s="39"/>
      <c r="CK133" s="39"/>
      <c r="CL133" s="39"/>
      <c r="CM133" s="39"/>
      <c r="CN133" s="39"/>
      <c r="CO133" s="39"/>
      <c r="CP133" s="39"/>
      <c r="CQ133" s="39"/>
      <c r="CR133" s="39"/>
      <c r="CS133" s="39"/>
      <c r="CT133" s="39"/>
      <c r="CU133" s="39"/>
      <c r="CV133" s="39"/>
      <c r="CW133" s="39"/>
      <c r="CX133" s="39"/>
      <c r="CY133" s="39"/>
      <c r="CZ133" s="39"/>
      <c r="DA133" s="42"/>
      <c r="DB133" s="42"/>
      <c r="DC133" s="42"/>
      <c r="DD133" s="42"/>
      <c r="DE133" s="42"/>
      <c r="DF133" s="42"/>
      <c r="DG133" s="42"/>
      <c r="DH133" s="42"/>
      <c r="DI133" s="39"/>
      <c r="DJ133" s="39"/>
      <c r="DK133" s="39"/>
      <c r="DL133" s="39"/>
      <c r="DM133" s="41"/>
      <c r="DN133" s="41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</row>
    <row r="134" ht="15.75" customHeight="1">
      <c r="G134" s="39"/>
      <c r="H134" s="39"/>
      <c r="I134" s="39"/>
      <c r="J134" s="39"/>
      <c r="K134" s="39"/>
      <c r="L134" s="39"/>
      <c r="M134" s="39"/>
      <c r="N134" s="39"/>
      <c r="O134" s="43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41"/>
      <c r="CH134" s="41"/>
      <c r="CI134" s="39"/>
      <c r="CJ134" s="39"/>
      <c r="CK134" s="39"/>
      <c r="CL134" s="39"/>
      <c r="CM134" s="39"/>
      <c r="CN134" s="39"/>
      <c r="CO134" s="39"/>
      <c r="CP134" s="39"/>
      <c r="CQ134" s="39"/>
      <c r="CR134" s="39"/>
      <c r="CS134" s="39"/>
      <c r="CT134" s="39"/>
      <c r="CU134" s="39"/>
      <c r="CV134" s="39"/>
      <c r="CW134" s="39"/>
      <c r="CX134" s="39"/>
      <c r="CY134" s="39"/>
      <c r="CZ134" s="39"/>
      <c r="DA134" s="42"/>
      <c r="DB134" s="42"/>
      <c r="DC134" s="42"/>
      <c r="DD134" s="42"/>
      <c r="DE134" s="42"/>
      <c r="DF134" s="42"/>
      <c r="DG134" s="42"/>
      <c r="DH134" s="42"/>
      <c r="DI134" s="39"/>
      <c r="DJ134" s="39"/>
      <c r="DK134" s="39"/>
      <c r="DL134" s="39"/>
      <c r="DM134" s="41"/>
      <c r="DN134" s="41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</row>
    <row r="135" ht="15.75" customHeight="1">
      <c r="G135" s="39"/>
      <c r="H135" s="39"/>
      <c r="I135" s="39"/>
      <c r="J135" s="39"/>
      <c r="K135" s="39"/>
      <c r="L135" s="39"/>
      <c r="M135" s="39"/>
      <c r="N135" s="39"/>
      <c r="O135" s="43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CG135" s="41"/>
      <c r="CH135" s="41"/>
      <c r="CI135" s="39"/>
      <c r="CJ135" s="39"/>
      <c r="CK135" s="39"/>
      <c r="CL135" s="39"/>
      <c r="CM135" s="39"/>
      <c r="CN135" s="39"/>
      <c r="CO135" s="39"/>
      <c r="CP135" s="39"/>
      <c r="CQ135" s="39"/>
      <c r="CR135" s="39"/>
      <c r="CS135" s="39"/>
      <c r="CT135" s="39"/>
      <c r="CU135" s="39"/>
      <c r="CV135" s="39"/>
      <c r="CW135" s="39"/>
      <c r="CX135" s="39"/>
      <c r="CY135" s="39"/>
      <c r="CZ135" s="39"/>
      <c r="DA135" s="42"/>
      <c r="DB135" s="42"/>
      <c r="DC135" s="42"/>
      <c r="DD135" s="42"/>
      <c r="DE135" s="42"/>
      <c r="DF135" s="42"/>
      <c r="DG135" s="42"/>
      <c r="DH135" s="42"/>
      <c r="DI135" s="39"/>
      <c r="DJ135" s="39"/>
      <c r="DK135" s="39"/>
      <c r="DL135" s="39"/>
      <c r="DM135" s="41"/>
      <c r="DN135" s="41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</row>
    <row r="136" ht="15.75" customHeight="1">
      <c r="G136" s="39"/>
      <c r="H136" s="39"/>
      <c r="I136" s="39"/>
      <c r="J136" s="39"/>
      <c r="K136" s="39"/>
      <c r="L136" s="39"/>
      <c r="M136" s="39"/>
      <c r="N136" s="39"/>
      <c r="O136" s="43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41"/>
      <c r="CH136" s="41"/>
      <c r="CI136" s="39"/>
      <c r="CJ136" s="39"/>
      <c r="CK136" s="39"/>
      <c r="CL136" s="39"/>
      <c r="CM136" s="39"/>
      <c r="CN136" s="39"/>
      <c r="CO136" s="39"/>
      <c r="CP136" s="39"/>
      <c r="CQ136" s="39"/>
      <c r="CR136" s="39"/>
      <c r="CS136" s="39"/>
      <c r="CT136" s="39"/>
      <c r="CU136" s="39"/>
      <c r="CV136" s="39"/>
      <c r="CW136" s="39"/>
      <c r="CX136" s="39"/>
      <c r="CY136" s="39"/>
      <c r="CZ136" s="39"/>
      <c r="DA136" s="42"/>
      <c r="DB136" s="42"/>
      <c r="DC136" s="42"/>
      <c r="DD136" s="42"/>
      <c r="DE136" s="42"/>
      <c r="DF136" s="42"/>
      <c r="DG136" s="42"/>
      <c r="DH136" s="42"/>
      <c r="DI136" s="39"/>
      <c r="DJ136" s="39"/>
      <c r="DK136" s="39"/>
      <c r="DL136" s="39"/>
      <c r="DM136" s="41"/>
      <c r="DN136" s="41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</row>
    <row r="137" ht="15.75" customHeight="1">
      <c r="G137" s="39"/>
      <c r="H137" s="39"/>
      <c r="I137" s="39"/>
      <c r="J137" s="39"/>
      <c r="K137" s="39"/>
      <c r="L137" s="39"/>
      <c r="M137" s="39"/>
      <c r="N137" s="39"/>
      <c r="O137" s="43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CG137" s="41"/>
      <c r="CH137" s="41"/>
      <c r="CI137" s="39"/>
      <c r="CJ137" s="39"/>
      <c r="CK137" s="39"/>
      <c r="CL137" s="39"/>
      <c r="CM137" s="39"/>
      <c r="CN137" s="39"/>
      <c r="CO137" s="39"/>
      <c r="CP137" s="39"/>
      <c r="CQ137" s="39"/>
      <c r="CR137" s="39"/>
      <c r="CS137" s="39"/>
      <c r="CT137" s="39"/>
      <c r="CU137" s="39"/>
      <c r="CV137" s="39"/>
      <c r="CW137" s="39"/>
      <c r="CX137" s="39"/>
      <c r="CY137" s="39"/>
      <c r="CZ137" s="39"/>
      <c r="DA137" s="42"/>
      <c r="DB137" s="42"/>
      <c r="DC137" s="42"/>
      <c r="DD137" s="42"/>
      <c r="DE137" s="42"/>
      <c r="DF137" s="42"/>
      <c r="DG137" s="42"/>
      <c r="DH137" s="42"/>
      <c r="DI137" s="39"/>
      <c r="DJ137" s="39"/>
      <c r="DK137" s="39"/>
      <c r="DL137" s="39"/>
      <c r="DM137" s="41"/>
      <c r="DN137" s="41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</row>
    <row r="138" ht="15.75" customHeight="1">
      <c r="G138" s="39"/>
      <c r="H138" s="39"/>
      <c r="I138" s="39"/>
      <c r="J138" s="39"/>
      <c r="K138" s="39"/>
      <c r="L138" s="39"/>
      <c r="M138" s="39"/>
      <c r="N138" s="39"/>
      <c r="O138" s="43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41"/>
      <c r="CH138" s="41"/>
      <c r="CI138" s="39"/>
      <c r="CJ138" s="39"/>
      <c r="CK138" s="39"/>
      <c r="CL138" s="39"/>
      <c r="CM138" s="39"/>
      <c r="CN138" s="39"/>
      <c r="CO138" s="39"/>
      <c r="CP138" s="39"/>
      <c r="CQ138" s="39"/>
      <c r="CR138" s="39"/>
      <c r="CS138" s="39"/>
      <c r="CT138" s="39"/>
      <c r="CU138" s="39"/>
      <c r="CV138" s="39"/>
      <c r="CW138" s="39"/>
      <c r="CX138" s="39"/>
      <c r="CY138" s="39"/>
      <c r="CZ138" s="39"/>
      <c r="DA138" s="42"/>
      <c r="DB138" s="42"/>
      <c r="DC138" s="42"/>
      <c r="DD138" s="42"/>
      <c r="DE138" s="42"/>
      <c r="DF138" s="42"/>
      <c r="DG138" s="42"/>
      <c r="DH138" s="42"/>
      <c r="DI138" s="39"/>
      <c r="DJ138" s="39"/>
      <c r="DK138" s="39"/>
      <c r="DL138" s="39"/>
      <c r="DM138" s="41"/>
      <c r="DN138" s="41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</row>
    <row r="139" ht="15.75" customHeight="1">
      <c r="G139" s="39"/>
      <c r="H139" s="39"/>
      <c r="I139" s="39"/>
      <c r="J139" s="39"/>
      <c r="K139" s="39"/>
      <c r="L139" s="39"/>
      <c r="M139" s="39"/>
      <c r="N139" s="39"/>
      <c r="O139" s="43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41"/>
      <c r="CH139" s="41"/>
      <c r="CI139" s="39"/>
      <c r="CJ139" s="39"/>
      <c r="CK139" s="39"/>
      <c r="CL139" s="39"/>
      <c r="CM139" s="39"/>
      <c r="CN139" s="39"/>
      <c r="CO139" s="39"/>
      <c r="CP139" s="39"/>
      <c r="CQ139" s="39"/>
      <c r="CR139" s="39"/>
      <c r="CS139" s="39"/>
      <c r="CT139" s="39"/>
      <c r="CU139" s="39"/>
      <c r="CV139" s="39"/>
      <c r="CW139" s="39"/>
      <c r="CX139" s="39"/>
      <c r="CY139" s="39"/>
      <c r="CZ139" s="39"/>
      <c r="DA139" s="42"/>
      <c r="DB139" s="42"/>
      <c r="DC139" s="42"/>
      <c r="DD139" s="42"/>
      <c r="DE139" s="42"/>
      <c r="DF139" s="42"/>
      <c r="DG139" s="42"/>
      <c r="DH139" s="42"/>
      <c r="DI139" s="39"/>
      <c r="DJ139" s="39"/>
      <c r="DK139" s="39"/>
      <c r="DL139" s="39"/>
      <c r="DM139" s="41"/>
      <c r="DN139" s="41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</row>
    <row r="140" ht="15.75" customHeight="1">
      <c r="G140" s="39"/>
      <c r="H140" s="39"/>
      <c r="I140" s="39"/>
      <c r="J140" s="39"/>
      <c r="K140" s="39"/>
      <c r="L140" s="39"/>
      <c r="M140" s="39"/>
      <c r="N140" s="39"/>
      <c r="O140" s="43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41"/>
      <c r="CH140" s="41"/>
      <c r="CI140" s="39"/>
      <c r="CJ140" s="39"/>
      <c r="CK140" s="39"/>
      <c r="CL140" s="39"/>
      <c r="CM140" s="39"/>
      <c r="CN140" s="39"/>
      <c r="CO140" s="39"/>
      <c r="CP140" s="39"/>
      <c r="CQ140" s="39"/>
      <c r="CR140" s="39"/>
      <c r="CS140" s="39"/>
      <c r="CT140" s="39"/>
      <c r="CU140" s="39"/>
      <c r="CV140" s="39"/>
      <c r="CW140" s="39"/>
      <c r="CX140" s="39"/>
      <c r="CY140" s="39"/>
      <c r="CZ140" s="39"/>
      <c r="DA140" s="42"/>
      <c r="DB140" s="42"/>
      <c r="DC140" s="42"/>
      <c r="DD140" s="42"/>
      <c r="DE140" s="42"/>
      <c r="DF140" s="42"/>
      <c r="DG140" s="42"/>
      <c r="DH140" s="42"/>
      <c r="DI140" s="39"/>
      <c r="DJ140" s="39"/>
      <c r="DK140" s="39"/>
      <c r="DL140" s="39"/>
      <c r="DM140" s="41"/>
      <c r="DN140" s="41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</row>
    <row r="141" ht="15.75" customHeight="1">
      <c r="G141" s="39"/>
      <c r="H141" s="39"/>
      <c r="I141" s="39"/>
      <c r="J141" s="39"/>
      <c r="K141" s="39"/>
      <c r="L141" s="39"/>
      <c r="M141" s="39"/>
      <c r="N141" s="39"/>
      <c r="O141" s="43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  <c r="CD141" s="39"/>
      <c r="CE141" s="39"/>
      <c r="CF141" s="39"/>
      <c r="CG141" s="41"/>
      <c r="CH141" s="41"/>
      <c r="CI141" s="39"/>
      <c r="CJ141" s="39"/>
      <c r="CK141" s="39"/>
      <c r="CL141" s="39"/>
      <c r="CM141" s="39"/>
      <c r="CN141" s="39"/>
      <c r="CO141" s="39"/>
      <c r="CP141" s="39"/>
      <c r="CQ141" s="39"/>
      <c r="CR141" s="39"/>
      <c r="CS141" s="39"/>
      <c r="CT141" s="39"/>
      <c r="CU141" s="39"/>
      <c r="CV141" s="39"/>
      <c r="CW141" s="39"/>
      <c r="CX141" s="39"/>
      <c r="CY141" s="39"/>
      <c r="CZ141" s="39"/>
      <c r="DA141" s="42"/>
      <c r="DB141" s="42"/>
      <c r="DC141" s="42"/>
      <c r="DD141" s="42"/>
      <c r="DE141" s="42"/>
      <c r="DF141" s="42"/>
      <c r="DG141" s="42"/>
      <c r="DH141" s="42"/>
      <c r="DI141" s="39"/>
      <c r="DJ141" s="39"/>
      <c r="DK141" s="39"/>
      <c r="DL141" s="39"/>
      <c r="DM141" s="41"/>
      <c r="DN141" s="41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</row>
    <row r="142" ht="15.75" customHeight="1">
      <c r="G142" s="39"/>
      <c r="H142" s="39"/>
      <c r="I142" s="39"/>
      <c r="J142" s="39"/>
      <c r="K142" s="39"/>
      <c r="L142" s="39"/>
      <c r="M142" s="39"/>
      <c r="N142" s="39"/>
      <c r="O142" s="43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CG142" s="41"/>
      <c r="CH142" s="41"/>
      <c r="CI142" s="39"/>
      <c r="CJ142" s="39"/>
      <c r="CK142" s="39"/>
      <c r="CL142" s="39"/>
      <c r="CM142" s="39"/>
      <c r="CN142" s="39"/>
      <c r="CO142" s="39"/>
      <c r="CP142" s="39"/>
      <c r="CQ142" s="39"/>
      <c r="CR142" s="39"/>
      <c r="CS142" s="39"/>
      <c r="CT142" s="39"/>
      <c r="CU142" s="39"/>
      <c r="CV142" s="39"/>
      <c r="CW142" s="39"/>
      <c r="CX142" s="39"/>
      <c r="CY142" s="39"/>
      <c r="CZ142" s="39"/>
      <c r="DA142" s="42"/>
      <c r="DB142" s="42"/>
      <c r="DC142" s="42"/>
      <c r="DD142" s="42"/>
      <c r="DE142" s="42"/>
      <c r="DF142" s="42"/>
      <c r="DG142" s="42"/>
      <c r="DH142" s="42"/>
      <c r="DI142" s="39"/>
      <c r="DJ142" s="39"/>
      <c r="DK142" s="39"/>
      <c r="DL142" s="39"/>
      <c r="DM142" s="41"/>
      <c r="DN142" s="41"/>
      <c r="DO142" s="39"/>
      <c r="DP142" s="39"/>
      <c r="DQ142" s="39"/>
      <c r="DR142" s="39"/>
      <c r="DS142" s="39"/>
      <c r="DT142" s="39"/>
      <c r="DU142" s="39"/>
      <c r="DV142" s="39"/>
      <c r="DW142" s="39"/>
      <c r="DX142" s="39"/>
    </row>
    <row r="143" ht="15.75" customHeight="1">
      <c r="G143" s="39"/>
      <c r="H143" s="39"/>
      <c r="I143" s="39"/>
      <c r="J143" s="39"/>
      <c r="K143" s="39"/>
      <c r="L143" s="39"/>
      <c r="M143" s="39"/>
      <c r="N143" s="39"/>
      <c r="O143" s="43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41"/>
      <c r="CH143" s="41"/>
      <c r="CI143" s="39"/>
      <c r="CJ143" s="39"/>
      <c r="CK143" s="39"/>
      <c r="CL143" s="39"/>
      <c r="CM143" s="39"/>
      <c r="CN143" s="39"/>
      <c r="CO143" s="39"/>
      <c r="CP143" s="39"/>
      <c r="CQ143" s="39"/>
      <c r="CR143" s="39"/>
      <c r="CS143" s="39"/>
      <c r="CT143" s="39"/>
      <c r="CU143" s="39"/>
      <c r="CV143" s="39"/>
      <c r="CW143" s="39"/>
      <c r="CX143" s="39"/>
      <c r="CY143" s="39"/>
      <c r="CZ143" s="39"/>
      <c r="DA143" s="42"/>
      <c r="DB143" s="42"/>
      <c r="DC143" s="42"/>
      <c r="DD143" s="42"/>
      <c r="DE143" s="42"/>
      <c r="DF143" s="42"/>
      <c r="DG143" s="42"/>
      <c r="DH143" s="42"/>
      <c r="DI143" s="39"/>
      <c r="DJ143" s="39"/>
      <c r="DK143" s="39"/>
      <c r="DL143" s="39"/>
      <c r="DM143" s="41"/>
      <c r="DN143" s="41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</row>
    <row r="144" ht="15.75" customHeight="1">
      <c r="G144" s="39"/>
      <c r="H144" s="39"/>
      <c r="I144" s="39"/>
      <c r="J144" s="39"/>
      <c r="K144" s="39"/>
      <c r="L144" s="39"/>
      <c r="M144" s="39"/>
      <c r="N144" s="39"/>
      <c r="O144" s="43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CG144" s="41"/>
      <c r="CH144" s="41"/>
      <c r="CI144" s="39"/>
      <c r="CJ144" s="39"/>
      <c r="CK144" s="39"/>
      <c r="CL144" s="39"/>
      <c r="CM144" s="39"/>
      <c r="CN144" s="39"/>
      <c r="CO144" s="39"/>
      <c r="CP144" s="39"/>
      <c r="CQ144" s="39"/>
      <c r="CR144" s="39"/>
      <c r="CS144" s="39"/>
      <c r="CT144" s="39"/>
      <c r="CU144" s="39"/>
      <c r="CV144" s="39"/>
      <c r="CW144" s="39"/>
      <c r="CX144" s="39"/>
      <c r="CY144" s="39"/>
      <c r="CZ144" s="39"/>
      <c r="DA144" s="42"/>
      <c r="DB144" s="42"/>
      <c r="DC144" s="42"/>
      <c r="DD144" s="42"/>
      <c r="DE144" s="42"/>
      <c r="DF144" s="42"/>
      <c r="DG144" s="42"/>
      <c r="DH144" s="42"/>
      <c r="DI144" s="39"/>
      <c r="DJ144" s="39"/>
      <c r="DK144" s="39"/>
      <c r="DL144" s="39"/>
      <c r="DM144" s="41"/>
      <c r="DN144" s="41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</row>
    <row r="145" ht="15.75" customHeight="1">
      <c r="G145" s="39"/>
      <c r="H145" s="39"/>
      <c r="I145" s="39"/>
      <c r="J145" s="39"/>
      <c r="K145" s="39"/>
      <c r="L145" s="39"/>
      <c r="M145" s="39"/>
      <c r="N145" s="39"/>
      <c r="O145" s="43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CG145" s="41"/>
      <c r="CH145" s="41"/>
      <c r="CI145" s="39"/>
      <c r="CJ145" s="39"/>
      <c r="CK145" s="39"/>
      <c r="CL145" s="39"/>
      <c r="CM145" s="39"/>
      <c r="CN145" s="39"/>
      <c r="CO145" s="39"/>
      <c r="CP145" s="39"/>
      <c r="CQ145" s="39"/>
      <c r="CR145" s="39"/>
      <c r="CS145" s="39"/>
      <c r="CT145" s="39"/>
      <c r="CU145" s="39"/>
      <c r="CV145" s="39"/>
      <c r="CW145" s="39"/>
      <c r="CX145" s="39"/>
      <c r="CY145" s="39"/>
      <c r="CZ145" s="39"/>
      <c r="DA145" s="42"/>
      <c r="DB145" s="42"/>
      <c r="DC145" s="42"/>
      <c r="DD145" s="42"/>
      <c r="DE145" s="42"/>
      <c r="DF145" s="42"/>
      <c r="DG145" s="42"/>
      <c r="DH145" s="42"/>
      <c r="DI145" s="39"/>
      <c r="DJ145" s="39"/>
      <c r="DK145" s="39"/>
      <c r="DL145" s="39"/>
      <c r="DM145" s="41"/>
      <c r="DN145" s="41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</row>
    <row r="146" ht="15.75" customHeight="1">
      <c r="G146" s="39"/>
      <c r="H146" s="39"/>
      <c r="I146" s="39"/>
      <c r="J146" s="39"/>
      <c r="K146" s="39"/>
      <c r="L146" s="39"/>
      <c r="M146" s="39"/>
      <c r="N146" s="39"/>
      <c r="O146" s="43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CG146" s="41"/>
      <c r="CH146" s="41"/>
      <c r="CI146" s="39"/>
      <c r="CJ146" s="39"/>
      <c r="CK146" s="39"/>
      <c r="CL146" s="39"/>
      <c r="CM146" s="39"/>
      <c r="CN146" s="39"/>
      <c r="CO146" s="39"/>
      <c r="CP146" s="39"/>
      <c r="CQ146" s="39"/>
      <c r="CR146" s="39"/>
      <c r="CS146" s="39"/>
      <c r="CT146" s="39"/>
      <c r="CU146" s="39"/>
      <c r="CV146" s="39"/>
      <c r="CW146" s="39"/>
      <c r="CX146" s="39"/>
      <c r="CY146" s="39"/>
      <c r="CZ146" s="39"/>
      <c r="DA146" s="42"/>
      <c r="DB146" s="42"/>
      <c r="DC146" s="42"/>
      <c r="DD146" s="42"/>
      <c r="DE146" s="42"/>
      <c r="DF146" s="42"/>
      <c r="DG146" s="42"/>
      <c r="DH146" s="42"/>
      <c r="DI146" s="39"/>
      <c r="DJ146" s="39"/>
      <c r="DK146" s="39"/>
      <c r="DL146" s="39"/>
      <c r="DM146" s="41"/>
      <c r="DN146" s="41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</row>
    <row r="147" ht="15.75" customHeight="1">
      <c r="G147" s="39"/>
      <c r="H147" s="39"/>
      <c r="I147" s="39"/>
      <c r="J147" s="39"/>
      <c r="K147" s="39"/>
      <c r="L147" s="39"/>
      <c r="M147" s="39"/>
      <c r="N147" s="39"/>
      <c r="O147" s="43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  <c r="CG147" s="41"/>
      <c r="CH147" s="41"/>
      <c r="CI147" s="39"/>
      <c r="CJ147" s="39"/>
      <c r="CK147" s="39"/>
      <c r="CL147" s="39"/>
      <c r="CM147" s="39"/>
      <c r="CN147" s="39"/>
      <c r="CO147" s="39"/>
      <c r="CP147" s="39"/>
      <c r="CQ147" s="39"/>
      <c r="CR147" s="39"/>
      <c r="CS147" s="39"/>
      <c r="CT147" s="39"/>
      <c r="CU147" s="39"/>
      <c r="CV147" s="39"/>
      <c r="CW147" s="39"/>
      <c r="CX147" s="39"/>
      <c r="CY147" s="39"/>
      <c r="CZ147" s="39"/>
      <c r="DA147" s="42"/>
      <c r="DB147" s="42"/>
      <c r="DC147" s="42"/>
      <c r="DD147" s="42"/>
      <c r="DE147" s="42"/>
      <c r="DF147" s="42"/>
      <c r="DG147" s="42"/>
      <c r="DH147" s="42"/>
      <c r="DI147" s="39"/>
      <c r="DJ147" s="39"/>
      <c r="DK147" s="39"/>
      <c r="DL147" s="39"/>
      <c r="DM147" s="41"/>
      <c r="DN147" s="41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</row>
    <row r="148" ht="15.75" customHeight="1">
      <c r="G148" s="39"/>
      <c r="H148" s="39"/>
      <c r="I148" s="39"/>
      <c r="J148" s="39"/>
      <c r="K148" s="39"/>
      <c r="L148" s="39"/>
      <c r="M148" s="39"/>
      <c r="N148" s="39"/>
      <c r="O148" s="43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39"/>
      <c r="CF148" s="39"/>
      <c r="CG148" s="41"/>
      <c r="CH148" s="41"/>
      <c r="CI148" s="39"/>
      <c r="CJ148" s="39"/>
      <c r="CK148" s="39"/>
      <c r="CL148" s="39"/>
      <c r="CM148" s="39"/>
      <c r="CN148" s="39"/>
      <c r="CO148" s="39"/>
      <c r="CP148" s="39"/>
      <c r="CQ148" s="39"/>
      <c r="CR148" s="39"/>
      <c r="CS148" s="39"/>
      <c r="CT148" s="39"/>
      <c r="CU148" s="39"/>
      <c r="CV148" s="39"/>
      <c r="CW148" s="39"/>
      <c r="CX148" s="39"/>
      <c r="CY148" s="39"/>
      <c r="CZ148" s="39"/>
      <c r="DA148" s="42"/>
      <c r="DB148" s="42"/>
      <c r="DC148" s="42"/>
      <c r="DD148" s="42"/>
      <c r="DE148" s="42"/>
      <c r="DF148" s="42"/>
      <c r="DG148" s="42"/>
      <c r="DH148" s="42"/>
      <c r="DI148" s="39"/>
      <c r="DJ148" s="39"/>
      <c r="DK148" s="39"/>
      <c r="DL148" s="39"/>
      <c r="DM148" s="41"/>
      <c r="DN148" s="41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</row>
    <row r="149" ht="15.75" customHeight="1">
      <c r="G149" s="39"/>
      <c r="H149" s="39"/>
      <c r="I149" s="39"/>
      <c r="J149" s="39"/>
      <c r="K149" s="39"/>
      <c r="L149" s="39"/>
      <c r="M149" s="39"/>
      <c r="N149" s="39"/>
      <c r="O149" s="43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41"/>
      <c r="CH149" s="41"/>
      <c r="CI149" s="39"/>
      <c r="CJ149" s="39"/>
      <c r="CK149" s="39"/>
      <c r="CL149" s="39"/>
      <c r="CM149" s="39"/>
      <c r="CN149" s="39"/>
      <c r="CO149" s="39"/>
      <c r="CP149" s="39"/>
      <c r="CQ149" s="39"/>
      <c r="CR149" s="39"/>
      <c r="CS149" s="39"/>
      <c r="CT149" s="39"/>
      <c r="CU149" s="39"/>
      <c r="CV149" s="39"/>
      <c r="CW149" s="39"/>
      <c r="CX149" s="39"/>
      <c r="CY149" s="39"/>
      <c r="CZ149" s="39"/>
      <c r="DA149" s="42"/>
      <c r="DB149" s="42"/>
      <c r="DC149" s="42"/>
      <c r="DD149" s="42"/>
      <c r="DE149" s="42"/>
      <c r="DF149" s="42"/>
      <c r="DG149" s="42"/>
      <c r="DH149" s="42"/>
      <c r="DI149" s="39"/>
      <c r="DJ149" s="39"/>
      <c r="DK149" s="39"/>
      <c r="DL149" s="39"/>
      <c r="DM149" s="41"/>
      <c r="DN149" s="41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</row>
    <row r="150" ht="15.75" customHeight="1">
      <c r="G150" s="39"/>
      <c r="H150" s="39"/>
      <c r="I150" s="39"/>
      <c r="J150" s="39"/>
      <c r="K150" s="39"/>
      <c r="L150" s="39"/>
      <c r="M150" s="39"/>
      <c r="N150" s="39"/>
      <c r="O150" s="43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  <c r="CC150" s="39"/>
      <c r="CD150" s="39"/>
      <c r="CE150" s="39"/>
      <c r="CF150" s="39"/>
      <c r="CG150" s="41"/>
      <c r="CH150" s="41"/>
      <c r="CI150" s="39"/>
      <c r="CJ150" s="39"/>
      <c r="CK150" s="39"/>
      <c r="CL150" s="39"/>
      <c r="CM150" s="39"/>
      <c r="CN150" s="39"/>
      <c r="CO150" s="39"/>
      <c r="CP150" s="39"/>
      <c r="CQ150" s="39"/>
      <c r="CR150" s="39"/>
      <c r="CS150" s="39"/>
      <c r="CT150" s="39"/>
      <c r="CU150" s="39"/>
      <c r="CV150" s="39"/>
      <c r="CW150" s="39"/>
      <c r="CX150" s="39"/>
      <c r="CY150" s="39"/>
      <c r="CZ150" s="39"/>
      <c r="DA150" s="42"/>
      <c r="DB150" s="42"/>
      <c r="DC150" s="42"/>
      <c r="DD150" s="42"/>
      <c r="DE150" s="42"/>
      <c r="DF150" s="42"/>
      <c r="DG150" s="42"/>
      <c r="DH150" s="42"/>
      <c r="DI150" s="39"/>
      <c r="DJ150" s="39"/>
      <c r="DK150" s="39"/>
      <c r="DL150" s="39"/>
      <c r="DM150" s="41"/>
      <c r="DN150" s="41"/>
      <c r="DO150" s="39"/>
      <c r="DP150" s="39"/>
      <c r="DQ150" s="39"/>
      <c r="DR150" s="39"/>
      <c r="DS150" s="39"/>
      <c r="DT150" s="39"/>
      <c r="DU150" s="39"/>
      <c r="DV150" s="39"/>
      <c r="DW150" s="39"/>
      <c r="DX150" s="39"/>
    </row>
    <row r="151" ht="15.75" customHeight="1">
      <c r="G151" s="39"/>
      <c r="H151" s="39"/>
      <c r="I151" s="39"/>
      <c r="J151" s="39"/>
      <c r="K151" s="39"/>
      <c r="L151" s="39"/>
      <c r="M151" s="39"/>
      <c r="N151" s="39"/>
      <c r="O151" s="43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  <c r="CC151" s="39"/>
      <c r="CD151" s="39"/>
      <c r="CE151" s="39"/>
      <c r="CF151" s="39"/>
      <c r="CG151" s="41"/>
      <c r="CH151" s="41"/>
      <c r="CI151" s="39"/>
      <c r="CJ151" s="39"/>
      <c r="CK151" s="39"/>
      <c r="CL151" s="39"/>
      <c r="CM151" s="39"/>
      <c r="CN151" s="39"/>
      <c r="CO151" s="39"/>
      <c r="CP151" s="39"/>
      <c r="CQ151" s="39"/>
      <c r="CR151" s="39"/>
      <c r="CS151" s="39"/>
      <c r="CT151" s="39"/>
      <c r="CU151" s="39"/>
      <c r="CV151" s="39"/>
      <c r="CW151" s="39"/>
      <c r="CX151" s="39"/>
      <c r="CY151" s="39"/>
      <c r="CZ151" s="39"/>
      <c r="DA151" s="42"/>
      <c r="DB151" s="42"/>
      <c r="DC151" s="42"/>
      <c r="DD151" s="42"/>
      <c r="DE151" s="42"/>
      <c r="DF151" s="42"/>
      <c r="DG151" s="42"/>
      <c r="DH151" s="42"/>
      <c r="DI151" s="39"/>
      <c r="DJ151" s="39"/>
      <c r="DK151" s="39"/>
      <c r="DL151" s="39"/>
      <c r="DM151" s="41"/>
      <c r="DN151" s="41"/>
      <c r="DO151" s="39"/>
      <c r="DP151" s="39"/>
      <c r="DQ151" s="39"/>
      <c r="DR151" s="39"/>
      <c r="DS151" s="39"/>
      <c r="DT151" s="39"/>
      <c r="DU151" s="39"/>
      <c r="DV151" s="39"/>
      <c r="DW151" s="39"/>
      <c r="DX151" s="39"/>
    </row>
    <row r="152" ht="15.75" customHeight="1">
      <c r="G152" s="39"/>
      <c r="H152" s="39"/>
      <c r="I152" s="39"/>
      <c r="J152" s="39"/>
      <c r="K152" s="39"/>
      <c r="L152" s="39"/>
      <c r="M152" s="39"/>
      <c r="N152" s="39"/>
      <c r="O152" s="43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CG152" s="41"/>
      <c r="CH152" s="41"/>
      <c r="CI152" s="39"/>
      <c r="CJ152" s="39"/>
      <c r="CK152" s="39"/>
      <c r="CL152" s="39"/>
      <c r="CM152" s="39"/>
      <c r="CN152" s="39"/>
      <c r="CO152" s="39"/>
      <c r="CP152" s="39"/>
      <c r="CQ152" s="39"/>
      <c r="CR152" s="39"/>
      <c r="CS152" s="39"/>
      <c r="CT152" s="39"/>
      <c r="CU152" s="39"/>
      <c r="CV152" s="39"/>
      <c r="CW152" s="39"/>
      <c r="CX152" s="39"/>
      <c r="CY152" s="39"/>
      <c r="CZ152" s="39"/>
      <c r="DA152" s="42"/>
      <c r="DB152" s="42"/>
      <c r="DC152" s="42"/>
      <c r="DD152" s="42"/>
      <c r="DE152" s="42"/>
      <c r="DF152" s="42"/>
      <c r="DG152" s="42"/>
      <c r="DH152" s="42"/>
      <c r="DI152" s="39"/>
      <c r="DJ152" s="39"/>
      <c r="DK152" s="39"/>
      <c r="DL152" s="39"/>
      <c r="DM152" s="41"/>
      <c r="DN152" s="41"/>
      <c r="DO152" s="39"/>
      <c r="DP152" s="39"/>
      <c r="DQ152" s="39"/>
      <c r="DR152" s="39"/>
      <c r="DS152" s="39"/>
      <c r="DT152" s="39"/>
      <c r="DU152" s="39"/>
      <c r="DV152" s="39"/>
      <c r="DW152" s="39"/>
      <c r="DX152" s="39"/>
    </row>
    <row r="153" ht="15.75" customHeight="1">
      <c r="G153" s="39"/>
      <c r="H153" s="39"/>
      <c r="I153" s="39"/>
      <c r="J153" s="39"/>
      <c r="K153" s="39"/>
      <c r="L153" s="39"/>
      <c r="M153" s="39"/>
      <c r="N153" s="39"/>
      <c r="O153" s="43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CG153" s="41"/>
      <c r="CH153" s="41"/>
      <c r="CI153" s="39"/>
      <c r="CJ153" s="39"/>
      <c r="CK153" s="39"/>
      <c r="CL153" s="39"/>
      <c r="CM153" s="39"/>
      <c r="CN153" s="39"/>
      <c r="CO153" s="39"/>
      <c r="CP153" s="39"/>
      <c r="CQ153" s="39"/>
      <c r="CR153" s="39"/>
      <c r="CS153" s="39"/>
      <c r="CT153" s="39"/>
      <c r="CU153" s="39"/>
      <c r="CV153" s="39"/>
      <c r="CW153" s="39"/>
      <c r="CX153" s="39"/>
      <c r="CY153" s="39"/>
      <c r="CZ153" s="39"/>
      <c r="DA153" s="42"/>
      <c r="DB153" s="42"/>
      <c r="DC153" s="42"/>
      <c r="DD153" s="42"/>
      <c r="DE153" s="42"/>
      <c r="DF153" s="42"/>
      <c r="DG153" s="42"/>
      <c r="DH153" s="42"/>
      <c r="DI153" s="39"/>
      <c r="DJ153" s="39"/>
      <c r="DK153" s="39"/>
      <c r="DL153" s="39"/>
      <c r="DM153" s="41"/>
      <c r="DN153" s="41"/>
      <c r="DO153" s="39"/>
      <c r="DP153" s="39"/>
      <c r="DQ153" s="39"/>
      <c r="DR153" s="39"/>
      <c r="DS153" s="39"/>
      <c r="DT153" s="39"/>
      <c r="DU153" s="39"/>
      <c r="DV153" s="39"/>
      <c r="DW153" s="39"/>
      <c r="DX153" s="39"/>
    </row>
    <row r="154" ht="15.75" customHeight="1">
      <c r="G154" s="39"/>
      <c r="H154" s="39"/>
      <c r="I154" s="39"/>
      <c r="J154" s="39"/>
      <c r="K154" s="39"/>
      <c r="L154" s="39"/>
      <c r="M154" s="39"/>
      <c r="N154" s="39"/>
      <c r="O154" s="43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41"/>
      <c r="CH154" s="41"/>
      <c r="CI154" s="39"/>
      <c r="CJ154" s="39"/>
      <c r="CK154" s="39"/>
      <c r="CL154" s="39"/>
      <c r="CM154" s="39"/>
      <c r="CN154" s="39"/>
      <c r="CO154" s="39"/>
      <c r="CP154" s="39"/>
      <c r="CQ154" s="39"/>
      <c r="CR154" s="39"/>
      <c r="CS154" s="39"/>
      <c r="CT154" s="39"/>
      <c r="CU154" s="39"/>
      <c r="CV154" s="39"/>
      <c r="CW154" s="39"/>
      <c r="CX154" s="39"/>
      <c r="CY154" s="39"/>
      <c r="CZ154" s="39"/>
      <c r="DA154" s="42"/>
      <c r="DB154" s="42"/>
      <c r="DC154" s="42"/>
      <c r="DD154" s="42"/>
      <c r="DE154" s="42"/>
      <c r="DF154" s="42"/>
      <c r="DG154" s="42"/>
      <c r="DH154" s="42"/>
      <c r="DI154" s="39"/>
      <c r="DJ154" s="39"/>
      <c r="DK154" s="39"/>
      <c r="DL154" s="39"/>
      <c r="DM154" s="41"/>
      <c r="DN154" s="41"/>
      <c r="DO154" s="39"/>
      <c r="DP154" s="39"/>
      <c r="DQ154" s="39"/>
      <c r="DR154" s="39"/>
      <c r="DS154" s="39"/>
      <c r="DT154" s="39"/>
      <c r="DU154" s="39"/>
      <c r="DV154" s="39"/>
      <c r="DW154" s="39"/>
      <c r="DX154" s="39"/>
    </row>
    <row r="155" ht="15.75" customHeight="1">
      <c r="G155" s="39"/>
      <c r="H155" s="39"/>
      <c r="I155" s="39"/>
      <c r="J155" s="39"/>
      <c r="K155" s="39"/>
      <c r="L155" s="39"/>
      <c r="M155" s="39"/>
      <c r="N155" s="39"/>
      <c r="O155" s="43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CG155" s="41"/>
      <c r="CH155" s="41"/>
      <c r="CI155" s="39"/>
      <c r="CJ155" s="39"/>
      <c r="CK155" s="39"/>
      <c r="CL155" s="39"/>
      <c r="CM155" s="39"/>
      <c r="CN155" s="39"/>
      <c r="CO155" s="39"/>
      <c r="CP155" s="39"/>
      <c r="CQ155" s="39"/>
      <c r="CR155" s="39"/>
      <c r="CS155" s="39"/>
      <c r="CT155" s="39"/>
      <c r="CU155" s="39"/>
      <c r="CV155" s="39"/>
      <c r="CW155" s="39"/>
      <c r="CX155" s="39"/>
      <c r="CY155" s="39"/>
      <c r="CZ155" s="39"/>
      <c r="DA155" s="42"/>
      <c r="DB155" s="42"/>
      <c r="DC155" s="42"/>
      <c r="DD155" s="42"/>
      <c r="DE155" s="42"/>
      <c r="DF155" s="42"/>
      <c r="DG155" s="42"/>
      <c r="DH155" s="42"/>
      <c r="DI155" s="39"/>
      <c r="DJ155" s="39"/>
      <c r="DK155" s="39"/>
      <c r="DL155" s="39"/>
      <c r="DM155" s="41"/>
      <c r="DN155" s="41"/>
      <c r="DO155" s="39"/>
      <c r="DP155" s="39"/>
      <c r="DQ155" s="39"/>
      <c r="DR155" s="39"/>
      <c r="DS155" s="39"/>
      <c r="DT155" s="39"/>
      <c r="DU155" s="39"/>
      <c r="DV155" s="39"/>
      <c r="DW155" s="39"/>
      <c r="DX155" s="39"/>
    </row>
    <row r="156" ht="15.75" customHeight="1">
      <c r="G156" s="39"/>
      <c r="H156" s="39"/>
      <c r="I156" s="39"/>
      <c r="J156" s="39"/>
      <c r="K156" s="39"/>
      <c r="L156" s="39"/>
      <c r="M156" s="39"/>
      <c r="N156" s="39"/>
      <c r="O156" s="43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CG156" s="41"/>
      <c r="CH156" s="41"/>
      <c r="CI156" s="39"/>
      <c r="CJ156" s="39"/>
      <c r="CK156" s="39"/>
      <c r="CL156" s="39"/>
      <c r="CM156" s="39"/>
      <c r="CN156" s="39"/>
      <c r="CO156" s="39"/>
      <c r="CP156" s="39"/>
      <c r="CQ156" s="39"/>
      <c r="CR156" s="39"/>
      <c r="CS156" s="39"/>
      <c r="CT156" s="39"/>
      <c r="CU156" s="39"/>
      <c r="CV156" s="39"/>
      <c r="CW156" s="39"/>
      <c r="CX156" s="39"/>
      <c r="CY156" s="39"/>
      <c r="CZ156" s="39"/>
      <c r="DA156" s="42"/>
      <c r="DB156" s="42"/>
      <c r="DC156" s="42"/>
      <c r="DD156" s="42"/>
      <c r="DE156" s="42"/>
      <c r="DF156" s="42"/>
      <c r="DG156" s="42"/>
      <c r="DH156" s="42"/>
      <c r="DI156" s="39"/>
      <c r="DJ156" s="39"/>
      <c r="DK156" s="39"/>
      <c r="DL156" s="39"/>
      <c r="DM156" s="41"/>
      <c r="DN156" s="41"/>
      <c r="DO156" s="39"/>
      <c r="DP156" s="39"/>
      <c r="DQ156" s="39"/>
      <c r="DR156" s="39"/>
      <c r="DS156" s="39"/>
      <c r="DT156" s="39"/>
      <c r="DU156" s="39"/>
      <c r="DV156" s="39"/>
      <c r="DW156" s="39"/>
      <c r="DX156" s="39"/>
    </row>
    <row r="157" ht="15.75" customHeight="1">
      <c r="G157" s="39"/>
      <c r="H157" s="39"/>
      <c r="I157" s="39"/>
      <c r="J157" s="39"/>
      <c r="K157" s="39"/>
      <c r="L157" s="39"/>
      <c r="M157" s="39"/>
      <c r="N157" s="39"/>
      <c r="O157" s="43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41"/>
      <c r="CH157" s="41"/>
      <c r="CI157" s="39"/>
      <c r="CJ157" s="39"/>
      <c r="CK157" s="39"/>
      <c r="CL157" s="39"/>
      <c r="CM157" s="39"/>
      <c r="CN157" s="39"/>
      <c r="CO157" s="39"/>
      <c r="CP157" s="39"/>
      <c r="CQ157" s="39"/>
      <c r="CR157" s="39"/>
      <c r="CS157" s="39"/>
      <c r="CT157" s="39"/>
      <c r="CU157" s="39"/>
      <c r="CV157" s="39"/>
      <c r="CW157" s="39"/>
      <c r="CX157" s="39"/>
      <c r="CY157" s="39"/>
      <c r="CZ157" s="39"/>
      <c r="DA157" s="42"/>
      <c r="DB157" s="42"/>
      <c r="DC157" s="42"/>
      <c r="DD157" s="42"/>
      <c r="DE157" s="42"/>
      <c r="DF157" s="42"/>
      <c r="DG157" s="42"/>
      <c r="DH157" s="42"/>
      <c r="DI157" s="39"/>
      <c r="DJ157" s="39"/>
      <c r="DK157" s="39"/>
      <c r="DL157" s="39"/>
      <c r="DM157" s="41"/>
      <c r="DN157" s="41"/>
      <c r="DO157" s="39"/>
      <c r="DP157" s="39"/>
      <c r="DQ157" s="39"/>
      <c r="DR157" s="39"/>
      <c r="DS157" s="39"/>
      <c r="DT157" s="39"/>
      <c r="DU157" s="39"/>
      <c r="DV157" s="39"/>
      <c r="DW157" s="39"/>
      <c r="DX157" s="39"/>
    </row>
    <row r="158" ht="15.75" customHeight="1">
      <c r="G158" s="39"/>
      <c r="H158" s="39"/>
      <c r="I158" s="39"/>
      <c r="J158" s="39"/>
      <c r="K158" s="39"/>
      <c r="L158" s="39"/>
      <c r="M158" s="39"/>
      <c r="N158" s="39"/>
      <c r="O158" s="43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41"/>
      <c r="CH158" s="41"/>
      <c r="CI158" s="39"/>
      <c r="CJ158" s="39"/>
      <c r="CK158" s="39"/>
      <c r="CL158" s="39"/>
      <c r="CM158" s="39"/>
      <c r="CN158" s="39"/>
      <c r="CO158" s="39"/>
      <c r="CP158" s="39"/>
      <c r="CQ158" s="39"/>
      <c r="CR158" s="39"/>
      <c r="CS158" s="39"/>
      <c r="CT158" s="39"/>
      <c r="CU158" s="39"/>
      <c r="CV158" s="39"/>
      <c r="CW158" s="39"/>
      <c r="CX158" s="39"/>
      <c r="CY158" s="39"/>
      <c r="CZ158" s="39"/>
      <c r="DA158" s="42"/>
      <c r="DB158" s="42"/>
      <c r="DC158" s="42"/>
      <c r="DD158" s="42"/>
      <c r="DE158" s="42"/>
      <c r="DF158" s="42"/>
      <c r="DG158" s="42"/>
      <c r="DH158" s="42"/>
      <c r="DI158" s="39"/>
      <c r="DJ158" s="39"/>
      <c r="DK158" s="39"/>
      <c r="DL158" s="39"/>
      <c r="DM158" s="41"/>
      <c r="DN158" s="41"/>
      <c r="DO158" s="39"/>
      <c r="DP158" s="39"/>
      <c r="DQ158" s="39"/>
      <c r="DR158" s="39"/>
      <c r="DS158" s="39"/>
      <c r="DT158" s="39"/>
      <c r="DU158" s="39"/>
      <c r="DV158" s="39"/>
      <c r="DW158" s="39"/>
      <c r="DX158" s="39"/>
    </row>
    <row r="159" ht="15.75" customHeight="1">
      <c r="G159" s="39"/>
      <c r="H159" s="39"/>
      <c r="I159" s="39"/>
      <c r="J159" s="39"/>
      <c r="K159" s="39"/>
      <c r="L159" s="39"/>
      <c r="M159" s="39"/>
      <c r="N159" s="39"/>
      <c r="O159" s="43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  <c r="CC159" s="39"/>
      <c r="CD159" s="39"/>
      <c r="CE159" s="39"/>
      <c r="CF159" s="39"/>
      <c r="CG159" s="41"/>
      <c r="CH159" s="41"/>
      <c r="CI159" s="39"/>
      <c r="CJ159" s="39"/>
      <c r="CK159" s="39"/>
      <c r="CL159" s="39"/>
      <c r="CM159" s="39"/>
      <c r="CN159" s="39"/>
      <c r="CO159" s="39"/>
      <c r="CP159" s="39"/>
      <c r="CQ159" s="39"/>
      <c r="CR159" s="39"/>
      <c r="CS159" s="39"/>
      <c r="CT159" s="39"/>
      <c r="CU159" s="39"/>
      <c r="CV159" s="39"/>
      <c r="CW159" s="39"/>
      <c r="CX159" s="39"/>
      <c r="CY159" s="39"/>
      <c r="CZ159" s="39"/>
      <c r="DA159" s="42"/>
      <c r="DB159" s="42"/>
      <c r="DC159" s="42"/>
      <c r="DD159" s="42"/>
      <c r="DE159" s="42"/>
      <c r="DF159" s="42"/>
      <c r="DG159" s="42"/>
      <c r="DH159" s="42"/>
      <c r="DI159" s="39"/>
      <c r="DJ159" s="39"/>
      <c r="DK159" s="39"/>
      <c r="DL159" s="39"/>
      <c r="DM159" s="41"/>
      <c r="DN159" s="41"/>
      <c r="DO159" s="39"/>
      <c r="DP159" s="39"/>
      <c r="DQ159" s="39"/>
      <c r="DR159" s="39"/>
      <c r="DS159" s="39"/>
      <c r="DT159" s="39"/>
      <c r="DU159" s="39"/>
      <c r="DV159" s="39"/>
      <c r="DW159" s="39"/>
      <c r="DX159" s="39"/>
    </row>
    <row r="160" ht="15.75" customHeight="1">
      <c r="G160" s="39"/>
      <c r="H160" s="39"/>
      <c r="I160" s="39"/>
      <c r="J160" s="39"/>
      <c r="K160" s="39"/>
      <c r="L160" s="39"/>
      <c r="M160" s="39"/>
      <c r="N160" s="39"/>
      <c r="O160" s="43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41"/>
      <c r="CH160" s="41"/>
      <c r="CI160" s="39"/>
      <c r="CJ160" s="39"/>
      <c r="CK160" s="39"/>
      <c r="CL160" s="39"/>
      <c r="CM160" s="39"/>
      <c r="CN160" s="39"/>
      <c r="CO160" s="39"/>
      <c r="CP160" s="39"/>
      <c r="CQ160" s="39"/>
      <c r="CR160" s="39"/>
      <c r="CS160" s="39"/>
      <c r="CT160" s="39"/>
      <c r="CU160" s="39"/>
      <c r="CV160" s="39"/>
      <c r="CW160" s="39"/>
      <c r="CX160" s="39"/>
      <c r="CY160" s="39"/>
      <c r="CZ160" s="39"/>
      <c r="DA160" s="42"/>
      <c r="DB160" s="42"/>
      <c r="DC160" s="42"/>
      <c r="DD160" s="42"/>
      <c r="DE160" s="42"/>
      <c r="DF160" s="42"/>
      <c r="DG160" s="42"/>
      <c r="DH160" s="42"/>
      <c r="DI160" s="39"/>
      <c r="DJ160" s="39"/>
      <c r="DK160" s="39"/>
      <c r="DL160" s="39"/>
      <c r="DM160" s="41"/>
      <c r="DN160" s="41"/>
      <c r="DO160" s="39"/>
      <c r="DP160" s="39"/>
      <c r="DQ160" s="39"/>
      <c r="DR160" s="39"/>
      <c r="DS160" s="39"/>
      <c r="DT160" s="39"/>
      <c r="DU160" s="39"/>
      <c r="DV160" s="39"/>
      <c r="DW160" s="39"/>
      <c r="DX160" s="39"/>
    </row>
    <row r="161" ht="15.75" customHeight="1">
      <c r="G161" s="39"/>
      <c r="H161" s="39"/>
      <c r="I161" s="39"/>
      <c r="J161" s="39"/>
      <c r="K161" s="39"/>
      <c r="L161" s="39"/>
      <c r="M161" s="39"/>
      <c r="N161" s="39"/>
      <c r="O161" s="43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  <c r="CG161" s="41"/>
      <c r="CH161" s="41"/>
      <c r="CI161" s="39"/>
      <c r="CJ161" s="39"/>
      <c r="CK161" s="39"/>
      <c r="CL161" s="39"/>
      <c r="CM161" s="39"/>
      <c r="CN161" s="39"/>
      <c r="CO161" s="39"/>
      <c r="CP161" s="39"/>
      <c r="CQ161" s="39"/>
      <c r="CR161" s="39"/>
      <c r="CS161" s="39"/>
      <c r="CT161" s="39"/>
      <c r="CU161" s="39"/>
      <c r="CV161" s="39"/>
      <c r="CW161" s="39"/>
      <c r="CX161" s="39"/>
      <c r="CY161" s="39"/>
      <c r="CZ161" s="39"/>
      <c r="DA161" s="42"/>
      <c r="DB161" s="42"/>
      <c r="DC161" s="42"/>
      <c r="DD161" s="42"/>
      <c r="DE161" s="42"/>
      <c r="DF161" s="42"/>
      <c r="DG161" s="42"/>
      <c r="DH161" s="42"/>
      <c r="DI161" s="39"/>
      <c r="DJ161" s="39"/>
      <c r="DK161" s="39"/>
      <c r="DL161" s="39"/>
      <c r="DM161" s="41"/>
      <c r="DN161" s="41"/>
      <c r="DO161" s="39"/>
      <c r="DP161" s="39"/>
      <c r="DQ161" s="39"/>
      <c r="DR161" s="39"/>
      <c r="DS161" s="39"/>
      <c r="DT161" s="39"/>
      <c r="DU161" s="39"/>
      <c r="DV161" s="39"/>
      <c r="DW161" s="39"/>
      <c r="DX161" s="39"/>
    </row>
    <row r="162" ht="15.75" customHeight="1">
      <c r="G162" s="39"/>
      <c r="H162" s="39"/>
      <c r="I162" s="39"/>
      <c r="J162" s="39"/>
      <c r="K162" s="39"/>
      <c r="L162" s="39"/>
      <c r="M162" s="39"/>
      <c r="N162" s="39"/>
      <c r="O162" s="43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  <c r="CC162" s="39"/>
      <c r="CD162" s="39"/>
      <c r="CE162" s="39"/>
      <c r="CF162" s="39"/>
      <c r="CG162" s="41"/>
      <c r="CH162" s="41"/>
      <c r="CI162" s="39"/>
      <c r="CJ162" s="39"/>
      <c r="CK162" s="39"/>
      <c r="CL162" s="39"/>
      <c r="CM162" s="39"/>
      <c r="CN162" s="39"/>
      <c r="CO162" s="39"/>
      <c r="CP162" s="39"/>
      <c r="CQ162" s="39"/>
      <c r="CR162" s="39"/>
      <c r="CS162" s="39"/>
      <c r="CT162" s="39"/>
      <c r="CU162" s="39"/>
      <c r="CV162" s="39"/>
      <c r="CW162" s="39"/>
      <c r="CX162" s="39"/>
      <c r="CY162" s="39"/>
      <c r="CZ162" s="39"/>
      <c r="DA162" s="42"/>
      <c r="DB162" s="42"/>
      <c r="DC162" s="42"/>
      <c r="DD162" s="42"/>
      <c r="DE162" s="42"/>
      <c r="DF162" s="42"/>
      <c r="DG162" s="42"/>
      <c r="DH162" s="42"/>
      <c r="DI162" s="39"/>
      <c r="DJ162" s="39"/>
      <c r="DK162" s="39"/>
      <c r="DL162" s="39"/>
      <c r="DM162" s="41"/>
      <c r="DN162" s="41"/>
      <c r="DO162" s="39"/>
      <c r="DP162" s="39"/>
      <c r="DQ162" s="39"/>
      <c r="DR162" s="39"/>
      <c r="DS162" s="39"/>
      <c r="DT162" s="39"/>
      <c r="DU162" s="39"/>
      <c r="DV162" s="39"/>
      <c r="DW162" s="39"/>
      <c r="DX162" s="39"/>
    </row>
    <row r="163" ht="15.75" customHeight="1">
      <c r="G163" s="39"/>
      <c r="H163" s="39"/>
      <c r="I163" s="39"/>
      <c r="J163" s="39"/>
      <c r="K163" s="39"/>
      <c r="L163" s="39"/>
      <c r="M163" s="39"/>
      <c r="N163" s="39"/>
      <c r="O163" s="43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CG163" s="41"/>
      <c r="CH163" s="41"/>
      <c r="CI163" s="39"/>
      <c r="CJ163" s="39"/>
      <c r="CK163" s="39"/>
      <c r="CL163" s="39"/>
      <c r="CM163" s="39"/>
      <c r="CN163" s="39"/>
      <c r="CO163" s="39"/>
      <c r="CP163" s="39"/>
      <c r="CQ163" s="39"/>
      <c r="CR163" s="39"/>
      <c r="CS163" s="39"/>
      <c r="CT163" s="39"/>
      <c r="CU163" s="39"/>
      <c r="CV163" s="39"/>
      <c r="CW163" s="39"/>
      <c r="CX163" s="39"/>
      <c r="CY163" s="39"/>
      <c r="CZ163" s="39"/>
      <c r="DA163" s="42"/>
      <c r="DB163" s="42"/>
      <c r="DC163" s="42"/>
      <c r="DD163" s="42"/>
      <c r="DE163" s="42"/>
      <c r="DF163" s="42"/>
      <c r="DG163" s="42"/>
      <c r="DH163" s="42"/>
      <c r="DI163" s="39"/>
      <c r="DJ163" s="39"/>
      <c r="DK163" s="39"/>
      <c r="DL163" s="39"/>
      <c r="DM163" s="41"/>
      <c r="DN163" s="41"/>
      <c r="DO163" s="39"/>
      <c r="DP163" s="39"/>
      <c r="DQ163" s="39"/>
      <c r="DR163" s="39"/>
      <c r="DS163" s="39"/>
      <c r="DT163" s="39"/>
      <c r="DU163" s="39"/>
      <c r="DV163" s="39"/>
      <c r="DW163" s="39"/>
      <c r="DX163" s="39"/>
    </row>
    <row r="164" ht="15.75" customHeight="1">
      <c r="G164" s="39"/>
      <c r="H164" s="39"/>
      <c r="I164" s="39"/>
      <c r="J164" s="39"/>
      <c r="K164" s="39"/>
      <c r="L164" s="39"/>
      <c r="M164" s="39"/>
      <c r="N164" s="39"/>
      <c r="O164" s="43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CG164" s="41"/>
      <c r="CH164" s="41"/>
      <c r="CI164" s="39"/>
      <c r="CJ164" s="39"/>
      <c r="CK164" s="39"/>
      <c r="CL164" s="39"/>
      <c r="CM164" s="39"/>
      <c r="CN164" s="39"/>
      <c r="CO164" s="39"/>
      <c r="CP164" s="39"/>
      <c r="CQ164" s="39"/>
      <c r="CR164" s="39"/>
      <c r="CS164" s="39"/>
      <c r="CT164" s="39"/>
      <c r="CU164" s="39"/>
      <c r="CV164" s="39"/>
      <c r="CW164" s="39"/>
      <c r="CX164" s="39"/>
      <c r="CY164" s="39"/>
      <c r="CZ164" s="39"/>
      <c r="DA164" s="42"/>
      <c r="DB164" s="42"/>
      <c r="DC164" s="42"/>
      <c r="DD164" s="42"/>
      <c r="DE164" s="42"/>
      <c r="DF164" s="42"/>
      <c r="DG164" s="42"/>
      <c r="DH164" s="42"/>
      <c r="DI164" s="39"/>
      <c r="DJ164" s="39"/>
      <c r="DK164" s="39"/>
      <c r="DL164" s="39"/>
      <c r="DM164" s="41"/>
      <c r="DN164" s="41"/>
      <c r="DO164" s="39"/>
      <c r="DP164" s="39"/>
      <c r="DQ164" s="39"/>
      <c r="DR164" s="39"/>
      <c r="DS164" s="39"/>
      <c r="DT164" s="39"/>
      <c r="DU164" s="39"/>
      <c r="DV164" s="39"/>
      <c r="DW164" s="39"/>
      <c r="DX164" s="39"/>
    </row>
    <row r="165" ht="15.75" customHeight="1">
      <c r="G165" s="39"/>
      <c r="H165" s="39"/>
      <c r="I165" s="39"/>
      <c r="J165" s="39"/>
      <c r="K165" s="39"/>
      <c r="L165" s="39"/>
      <c r="M165" s="39"/>
      <c r="N165" s="39"/>
      <c r="O165" s="43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  <c r="CG165" s="41"/>
      <c r="CH165" s="41"/>
      <c r="CI165" s="39"/>
      <c r="CJ165" s="39"/>
      <c r="CK165" s="39"/>
      <c r="CL165" s="39"/>
      <c r="CM165" s="39"/>
      <c r="CN165" s="39"/>
      <c r="CO165" s="39"/>
      <c r="CP165" s="39"/>
      <c r="CQ165" s="39"/>
      <c r="CR165" s="39"/>
      <c r="CS165" s="39"/>
      <c r="CT165" s="39"/>
      <c r="CU165" s="39"/>
      <c r="CV165" s="39"/>
      <c r="CW165" s="39"/>
      <c r="CX165" s="39"/>
      <c r="CY165" s="39"/>
      <c r="CZ165" s="39"/>
      <c r="DA165" s="42"/>
      <c r="DB165" s="42"/>
      <c r="DC165" s="42"/>
      <c r="DD165" s="42"/>
      <c r="DE165" s="42"/>
      <c r="DF165" s="42"/>
      <c r="DG165" s="42"/>
      <c r="DH165" s="42"/>
      <c r="DI165" s="39"/>
      <c r="DJ165" s="39"/>
      <c r="DK165" s="39"/>
      <c r="DL165" s="39"/>
      <c r="DM165" s="41"/>
      <c r="DN165" s="41"/>
      <c r="DO165" s="39"/>
      <c r="DP165" s="39"/>
      <c r="DQ165" s="39"/>
      <c r="DR165" s="39"/>
      <c r="DS165" s="39"/>
      <c r="DT165" s="39"/>
      <c r="DU165" s="39"/>
      <c r="DV165" s="39"/>
      <c r="DW165" s="39"/>
      <c r="DX165" s="39"/>
    </row>
    <row r="166" ht="15.75" customHeight="1">
      <c r="G166" s="39"/>
      <c r="H166" s="39"/>
      <c r="I166" s="39"/>
      <c r="J166" s="39"/>
      <c r="K166" s="39"/>
      <c r="L166" s="39"/>
      <c r="M166" s="39"/>
      <c r="N166" s="39"/>
      <c r="O166" s="43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41"/>
      <c r="CH166" s="41"/>
      <c r="CI166" s="39"/>
      <c r="CJ166" s="39"/>
      <c r="CK166" s="39"/>
      <c r="CL166" s="39"/>
      <c r="CM166" s="39"/>
      <c r="CN166" s="39"/>
      <c r="CO166" s="39"/>
      <c r="CP166" s="39"/>
      <c r="CQ166" s="39"/>
      <c r="CR166" s="39"/>
      <c r="CS166" s="39"/>
      <c r="CT166" s="39"/>
      <c r="CU166" s="39"/>
      <c r="CV166" s="39"/>
      <c r="CW166" s="39"/>
      <c r="CX166" s="39"/>
      <c r="CY166" s="39"/>
      <c r="CZ166" s="39"/>
      <c r="DA166" s="42"/>
      <c r="DB166" s="42"/>
      <c r="DC166" s="42"/>
      <c r="DD166" s="42"/>
      <c r="DE166" s="42"/>
      <c r="DF166" s="42"/>
      <c r="DG166" s="42"/>
      <c r="DH166" s="42"/>
      <c r="DI166" s="39"/>
      <c r="DJ166" s="39"/>
      <c r="DK166" s="39"/>
      <c r="DL166" s="39"/>
      <c r="DM166" s="41"/>
      <c r="DN166" s="41"/>
      <c r="DO166" s="39"/>
      <c r="DP166" s="39"/>
      <c r="DQ166" s="39"/>
      <c r="DR166" s="39"/>
      <c r="DS166" s="39"/>
      <c r="DT166" s="39"/>
      <c r="DU166" s="39"/>
      <c r="DV166" s="39"/>
      <c r="DW166" s="39"/>
      <c r="DX166" s="39"/>
    </row>
    <row r="167" ht="15.75" customHeight="1">
      <c r="G167" s="39"/>
      <c r="H167" s="39"/>
      <c r="I167" s="39"/>
      <c r="J167" s="39"/>
      <c r="K167" s="39"/>
      <c r="L167" s="39"/>
      <c r="M167" s="39"/>
      <c r="N167" s="39"/>
      <c r="O167" s="43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CG167" s="41"/>
      <c r="CH167" s="41"/>
      <c r="CI167" s="39"/>
      <c r="CJ167" s="39"/>
      <c r="CK167" s="39"/>
      <c r="CL167" s="39"/>
      <c r="CM167" s="39"/>
      <c r="CN167" s="39"/>
      <c r="CO167" s="39"/>
      <c r="CP167" s="39"/>
      <c r="CQ167" s="39"/>
      <c r="CR167" s="39"/>
      <c r="CS167" s="39"/>
      <c r="CT167" s="39"/>
      <c r="CU167" s="39"/>
      <c r="CV167" s="39"/>
      <c r="CW167" s="39"/>
      <c r="CX167" s="39"/>
      <c r="CY167" s="39"/>
      <c r="CZ167" s="39"/>
      <c r="DA167" s="42"/>
      <c r="DB167" s="42"/>
      <c r="DC167" s="42"/>
      <c r="DD167" s="42"/>
      <c r="DE167" s="42"/>
      <c r="DF167" s="42"/>
      <c r="DG167" s="42"/>
      <c r="DH167" s="42"/>
      <c r="DI167" s="39"/>
      <c r="DJ167" s="39"/>
      <c r="DK167" s="39"/>
      <c r="DL167" s="39"/>
      <c r="DM167" s="41"/>
      <c r="DN167" s="41"/>
      <c r="DO167" s="39"/>
      <c r="DP167" s="39"/>
      <c r="DQ167" s="39"/>
      <c r="DR167" s="39"/>
      <c r="DS167" s="39"/>
      <c r="DT167" s="39"/>
      <c r="DU167" s="39"/>
      <c r="DV167" s="39"/>
      <c r="DW167" s="39"/>
      <c r="DX167" s="39"/>
    </row>
    <row r="168" ht="15.75" customHeight="1">
      <c r="G168" s="39"/>
      <c r="H168" s="39"/>
      <c r="I168" s="39"/>
      <c r="J168" s="39"/>
      <c r="K168" s="39"/>
      <c r="L168" s="39"/>
      <c r="M168" s="39"/>
      <c r="N168" s="39"/>
      <c r="O168" s="43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41"/>
      <c r="CH168" s="41"/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/>
      <c r="CX168" s="39"/>
      <c r="CY168" s="39"/>
      <c r="CZ168" s="39"/>
      <c r="DA168" s="42"/>
      <c r="DB168" s="42"/>
      <c r="DC168" s="42"/>
      <c r="DD168" s="42"/>
      <c r="DE168" s="42"/>
      <c r="DF168" s="42"/>
      <c r="DG168" s="42"/>
      <c r="DH168" s="42"/>
      <c r="DI168" s="39"/>
      <c r="DJ168" s="39"/>
      <c r="DK168" s="39"/>
      <c r="DL168" s="39"/>
      <c r="DM168" s="41"/>
      <c r="DN168" s="41"/>
      <c r="DO168" s="39"/>
      <c r="DP168" s="39"/>
      <c r="DQ168" s="39"/>
      <c r="DR168" s="39"/>
      <c r="DS168" s="39"/>
      <c r="DT168" s="39"/>
      <c r="DU168" s="39"/>
      <c r="DV168" s="39"/>
      <c r="DW168" s="39"/>
      <c r="DX168" s="39"/>
    </row>
    <row r="169" ht="15.75" customHeight="1">
      <c r="G169" s="39"/>
      <c r="H169" s="39"/>
      <c r="I169" s="39"/>
      <c r="J169" s="39"/>
      <c r="K169" s="39"/>
      <c r="L169" s="39"/>
      <c r="M169" s="39"/>
      <c r="N169" s="39"/>
      <c r="O169" s="43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CG169" s="41"/>
      <c r="CH169" s="41"/>
      <c r="CI169" s="39"/>
      <c r="CJ169" s="39"/>
      <c r="CK169" s="39"/>
      <c r="CL169" s="39"/>
      <c r="CM169" s="39"/>
      <c r="CN169" s="39"/>
      <c r="CO169" s="39"/>
      <c r="CP169" s="39"/>
      <c r="CQ169" s="39"/>
      <c r="CR169" s="39"/>
      <c r="CS169" s="39"/>
      <c r="CT169" s="39"/>
      <c r="CU169" s="39"/>
      <c r="CV169" s="39"/>
      <c r="CW169" s="39"/>
      <c r="CX169" s="39"/>
      <c r="CY169" s="39"/>
      <c r="CZ169" s="39"/>
      <c r="DA169" s="42"/>
      <c r="DB169" s="42"/>
      <c r="DC169" s="42"/>
      <c r="DD169" s="42"/>
      <c r="DE169" s="42"/>
      <c r="DF169" s="42"/>
      <c r="DG169" s="42"/>
      <c r="DH169" s="42"/>
      <c r="DI169" s="39"/>
      <c r="DJ169" s="39"/>
      <c r="DK169" s="39"/>
      <c r="DL169" s="39"/>
      <c r="DM169" s="41"/>
      <c r="DN169" s="41"/>
      <c r="DO169" s="39"/>
      <c r="DP169" s="39"/>
      <c r="DQ169" s="39"/>
      <c r="DR169" s="39"/>
      <c r="DS169" s="39"/>
      <c r="DT169" s="39"/>
      <c r="DU169" s="39"/>
      <c r="DV169" s="39"/>
      <c r="DW169" s="39"/>
      <c r="DX169" s="39"/>
    </row>
    <row r="170" ht="15.75" customHeight="1">
      <c r="G170" s="39"/>
      <c r="H170" s="39"/>
      <c r="I170" s="39"/>
      <c r="J170" s="39"/>
      <c r="K170" s="39"/>
      <c r="L170" s="39"/>
      <c r="M170" s="39"/>
      <c r="N170" s="39"/>
      <c r="O170" s="43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CG170" s="41"/>
      <c r="CH170" s="41"/>
      <c r="CI170" s="39"/>
      <c r="CJ170" s="39"/>
      <c r="CK170" s="39"/>
      <c r="CL170" s="39"/>
      <c r="CM170" s="39"/>
      <c r="CN170" s="39"/>
      <c r="CO170" s="39"/>
      <c r="CP170" s="39"/>
      <c r="CQ170" s="39"/>
      <c r="CR170" s="39"/>
      <c r="CS170" s="39"/>
      <c r="CT170" s="39"/>
      <c r="CU170" s="39"/>
      <c r="CV170" s="39"/>
      <c r="CW170" s="39"/>
      <c r="CX170" s="39"/>
      <c r="CY170" s="39"/>
      <c r="CZ170" s="39"/>
      <c r="DA170" s="42"/>
      <c r="DB170" s="42"/>
      <c r="DC170" s="42"/>
      <c r="DD170" s="42"/>
      <c r="DE170" s="42"/>
      <c r="DF170" s="42"/>
      <c r="DG170" s="42"/>
      <c r="DH170" s="42"/>
      <c r="DI170" s="39"/>
      <c r="DJ170" s="39"/>
      <c r="DK170" s="39"/>
      <c r="DL170" s="39"/>
      <c r="DM170" s="41"/>
      <c r="DN170" s="41"/>
      <c r="DO170" s="39"/>
      <c r="DP170" s="39"/>
      <c r="DQ170" s="39"/>
      <c r="DR170" s="39"/>
      <c r="DS170" s="39"/>
      <c r="DT170" s="39"/>
      <c r="DU170" s="39"/>
      <c r="DV170" s="39"/>
      <c r="DW170" s="39"/>
      <c r="DX170" s="39"/>
    </row>
    <row r="171" ht="15.75" customHeight="1">
      <c r="G171" s="39"/>
      <c r="H171" s="39"/>
      <c r="I171" s="39"/>
      <c r="J171" s="39"/>
      <c r="K171" s="39"/>
      <c r="L171" s="39"/>
      <c r="M171" s="39"/>
      <c r="N171" s="39"/>
      <c r="O171" s="43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  <c r="CC171" s="39"/>
      <c r="CD171" s="39"/>
      <c r="CE171" s="39"/>
      <c r="CF171" s="39"/>
      <c r="CG171" s="41"/>
      <c r="CH171" s="41"/>
      <c r="CI171" s="39"/>
      <c r="CJ171" s="39"/>
      <c r="CK171" s="39"/>
      <c r="CL171" s="39"/>
      <c r="CM171" s="39"/>
      <c r="CN171" s="39"/>
      <c r="CO171" s="39"/>
      <c r="CP171" s="39"/>
      <c r="CQ171" s="39"/>
      <c r="CR171" s="39"/>
      <c r="CS171" s="39"/>
      <c r="CT171" s="39"/>
      <c r="CU171" s="39"/>
      <c r="CV171" s="39"/>
      <c r="CW171" s="39"/>
      <c r="CX171" s="39"/>
      <c r="CY171" s="39"/>
      <c r="CZ171" s="39"/>
      <c r="DA171" s="42"/>
      <c r="DB171" s="42"/>
      <c r="DC171" s="42"/>
      <c r="DD171" s="42"/>
      <c r="DE171" s="42"/>
      <c r="DF171" s="42"/>
      <c r="DG171" s="42"/>
      <c r="DH171" s="42"/>
      <c r="DI171" s="39"/>
      <c r="DJ171" s="39"/>
      <c r="DK171" s="39"/>
      <c r="DL171" s="39"/>
      <c r="DM171" s="41"/>
      <c r="DN171" s="41"/>
      <c r="DO171" s="39"/>
      <c r="DP171" s="39"/>
      <c r="DQ171" s="39"/>
      <c r="DR171" s="39"/>
      <c r="DS171" s="39"/>
      <c r="DT171" s="39"/>
      <c r="DU171" s="39"/>
      <c r="DV171" s="39"/>
      <c r="DW171" s="39"/>
      <c r="DX171" s="39"/>
    </row>
    <row r="172" ht="15.75" customHeight="1">
      <c r="G172" s="39"/>
      <c r="H172" s="39"/>
      <c r="I172" s="39"/>
      <c r="J172" s="39"/>
      <c r="K172" s="39"/>
      <c r="L172" s="39"/>
      <c r="M172" s="39"/>
      <c r="N172" s="39"/>
      <c r="O172" s="43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CG172" s="41"/>
      <c r="CH172" s="41"/>
      <c r="CI172" s="39"/>
      <c r="CJ172" s="39"/>
      <c r="CK172" s="39"/>
      <c r="CL172" s="39"/>
      <c r="CM172" s="39"/>
      <c r="CN172" s="39"/>
      <c r="CO172" s="39"/>
      <c r="CP172" s="39"/>
      <c r="CQ172" s="39"/>
      <c r="CR172" s="39"/>
      <c r="CS172" s="39"/>
      <c r="CT172" s="39"/>
      <c r="CU172" s="39"/>
      <c r="CV172" s="39"/>
      <c r="CW172" s="39"/>
      <c r="CX172" s="39"/>
      <c r="CY172" s="39"/>
      <c r="CZ172" s="39"/>
      <c r="DA172" s="42"/>
      <c r="DB172" s="42"/>
      <c r="DC172" s="42"/>
      <c r="DD172" s="42"/>
      <c r="DE172" s="42"/>
      <c r="DF172" s="42"/>
      <c r="DG172" s="42"/>
      <c r="DH172" s="42"/>
      <c r="DI172" s="39"/>
      <c r="DJ172" s="39"/>
      <c r="DK172" s="39"/>
      <c r="DL172" s="39"/>
      <c r="DM172" s="41"/>
      <c r="DN172" s="41"/>
      <c r="DO172" s="39"/>
      <c r="DP172" s="39"/>
      <c r="DQ172" s="39"/>
      <c r="DR172" s="39"/>
      <c r="DS172" s="39"/>
      <c r="DT172" s="39"/>
      <c r="DU172" s="39"/>
      <c r="DV172" s="39"/>
      <c r="DW172" s="39"/>
      <c r="DX172" s="39"/>
    </row>
    <row r="173" ht="15.75" customHeight="1">
      <c r="G173" s="39"/>
      <c r="H173" s="39"/>
      <c r="I173" s="39"/>
      <c r="J173" s="39"/>
      <c r="K173" s="39"/>
      <c r="L173" s="39"/>
      <c r="M173" s="39"/>
      <c r="N173" s="39"/>
      <c r="O173" s="43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39"/>
      <c r="CF173" s="39"/>
      <c r="CG173" s="41"/>
      <c r="CH173" s="41"/>
      <c r="CI173" s="39"/>
      <c r="CJ173" s="39"/>
      <c r="CK173" s="39"/>
      <c r="CL173" s="39"/>
      <c r="CM173" s="39"/>
      <c r="CN173" s="39"/>
      <c r="CO173" s="39"/>
      <c r="CP173" s="39"/>
      <c r="CQ173" s="39"/>
      <c r="CR173" s="39"/>
      <c r="CS173" s="39"/>
      <c r="CT173" s="39"/>
      <c r="CU173" s="39"/>
      <c r="CV173" s="39"/>
      <c r="CW173" s="39"/>
      <c r="CX173" s="39"/>
      <c r="CY173" s="39"/>
      <c r="CZ173" s="39"/>
      <c r="DA173" s="42"/>
      <c r="DB173" s="42"/>
      <c r="DC173" s="42"/>
      <c r="DD173" s="42"/>
      <c r="DE173" s="42"/>
      <c r="DF173" s="42"/>
      <c r="DG173" s="42"/>
      <c r="DH173" s="42"/>
      <c r="DI173" s="39"/>
      <c r="DJ173" s="39"/>
      <c r="DK173" s="39"/>
      <c r="DL173" s="39"/>
      <c r="DM173" s="41"/>
      <c r="DN173" s="41"/>
      <c r="DO173" s="39"/>
      <c r="DP173" s="39"/>
      <c r="DQ173" s="39"/>
      <c r="DR173" s="39"/>
      <c r="DS173" s="39"/>
      <c r="DT173" s="39"/>
      <c r="DU173" s="39"/>
      <c r="DV173" s="39"/>
      <c r="DW173" s="39"/>
      <c r="DX173" s="39"/>
    </row>
    <row r="174" ht="15.75" customHeight="1">
      <c r="G174" s="39"/>
      <c r="H174" s="39"/>
      <c r="I174" s="39"/>
      <c r="J174" s="39"/>
      <c r="K174" s="39"/>
      <c r="L174" s="39"/>
      <c r="M174" s="39"/>
      <c r="N174" s="39"/>
      <c r="O174" s="43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CG174" s="41"/>
      <c r="CH174" s="41"/>
      <c r="CI174" s="39"/>
      <c r="CJ174" s="39"/>
      <c r="CK174" s="39"/>
      <c r="CL174" s="39"/>
      <c r="CM174" s="39"/>
      <c r="CN174" s="39"/>
      <c r="CO174" s="39"/>
      <c r="CP174" s="39"/>
      <c r="CQ174" s="39"/>
      <c r="CR174" s="39"/>
      <c r="CS174" s="39"/>
      <c r="CT174" s="39"/>
      <c r="CU174" s="39"/>
      <c r="CV174" s="39"/>
      <c r="CW174" s="39"/>
      <c r="CX174" s="39"/>
      <c r="CY174" s="39"/>
      <c r="CZ174" s="39"/>
      <c r="DA174" s="42"/>
      <c r="DB174" s="42"/>
      <c r="DC174" s="42"/>
      <c r="DD174" s="42"/>
      <c r="DE174" s="42"/>
      <c r="DF174" s="42"/>
      <c r="DG174" s="42"/>
      <c r="DH174" s="42"/>
      <c r="DI174" s="39"/>
      <c r="DJ174" s="39"/>
      <c r="DK174" s="39"/>
      <c r="DL174" s="39"/>
      <c r="DM174" s="41"/>
      <c r="DN174" s="41"/>
      <c r="DO174" s="39"/>
      <c r="DP174" s="39"/>
      <c r="DQ174" s="39"/>
      <c r="DR174" s="39"/>
      <c r="DS174" s="39"/>
      <c r="DT174" s="39"/>
      <c r="DU174" s="39"/>
      <c r="DV174" s="39"/>
      <c r="DW174" s="39"/>
      <c r="DX174" s="39"/>
    </row>
    <row r="175" ht="15.75" customHeight="1">
      <c r="G175" s="39"/>
      <c r="H175" s="39"/>
      <c r="I175" s="39"/>
      <c r="J175" s="39"/>
      <c r="K175" s="39"/>
      <c r="L175" s="39"/>
      <c r="M175" s="39"/>
      <c r="N175" s="39"/>
      <c r="O175" s="43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CG175" s="41"/>
      <c r="CH175" s="41"/>
      <c r="CI175" s="39"/>
      <c r="CJ175" s="39"/>
      <c r="CK175" s="39"/>
      <c r="CL175" s="39"/>
      <c r="CM175" s="39"/>
      <c r="CN175" s="39"/>
      <c r="CO175" s="39"/>
      <c r="CP175" s="39"/>
      <c r="CQ175" s="39"/>
      <c r="CR175" s="39"/>
      <c r="CS175" s="39"/>
      <c r="CT175" s="39"/>
      <c r="CU175" s="39"/>
      <c r="CV175" s="39"/>
      <c r="CW175" s="39"/>
      <c r="CX175" s="39"/>
      <c r="CY175" s="39"/>
      <c r="CZ175" s="39"/>
      <c r="DA175" s="42"/>
      <c r="DB175" s="42"/>
      <c r="DC175" s="42"/>
      <c r="DD175" s="42"/>
      <c r="DE175" s="42"/>
      <c r="DF175" s="42"/>
      <c r="DG175" s="42"/>
      <c r="DH175" s="42"/>
      <c r="DI175" s="39"/>
      <c r="DJ175" s="39"/>
      <c r="DK175" s="39"/>
      <c r="DL175" s="39"/>
      <c r="DM175" s="41"/>
      <c r="DN175" s="41"/>
      <c r="DO175" s="39"/>
      <c r="DP175" s="39"/>
      <c r="DQ175" s="39"/>
      <c r="DR175" s="39"/>
      <c r="DS175" s="39"/>
      <c r="DT175" s="39"/>
      <c r="DU175" s="39"/>
      <c r="DV175" s="39"/>
      <c r="DW175" s="39"/>
      <c r="DX175" s="39"/>
    </row>
    <row r="176" ht="15.75" customHeight="1">
      <c r="G176" s="39"/>
      <c r="H176" s="39"/>
      <c r="I176" s="39"/>
      <c r="J176" s="39"/>
      <c r="K176" s="39"/>
      <c r="L176" s="39"/>
      <c r="M176" s="39"/>
      <c r="N176" s="39"/>
      <c r="O176" s="43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CG176" s="41"/>
      <c r="CH176" s="41"/>
      <c r="CI176" s="39"/>
      <c r="CJ176" s="39"/>
      <c r="CK176" s="39"/>
      <c r="CL176" s="39"/>
      <c r="CM176" s="39"/>
      <c r="CN176" s="39"/>
      <c r="CO176" s="39"/>
      <c r="CP176" s="39"/>
      <c r="CQ176" s="39"/>
      <c r="CR176" s="39"/>
      <c r="CS176" s="39"/>
      <c r="CT176" s="39"/>
      <c r="CU176" s="39"/>
      <c r="CV176" s="39"/>
      <c r="CW176" s="39"/>
      <c r="CX176" s="39"/>
      <c r="CY176" s="39"/>
      <c r="CZ176" s="39"/>
      <c r="DA176" s="42"/>
      <c r="DB176" s="42"/>
      <c r="DC176" s="42"/>
      <c r="DD176" s="42"/>
      <c r="DE176" s="42"/>
      <c r="DF176" s="42"/>
      <c r="DG176" s="42"/>
      <c r="DH176" s="42"/>
      <c r="DI176" s="39"/>
      <c r="DJ176" s="39"/>
      <c r="DK176" s="39"/>
      <c r="DL176" s="39"/>
      <c r="DM176" s="41"/>
      <c r="DN176" s="41"/>
      <c r="DO176" s="39"/>
      <c r="DP176" s="39"/>
      <c r="DQ176" s="39"/>
      <c r="DR176" s="39"/>
      <c r="DS176" s="39"/>
      <c r="DT176" s="39"/>
      <c r="DU176" s="39"/>
      <c r="DV176" s="39"/>
      <c r="DW176" s="39"/>
      <c r="DX176" s="39"/>
    </row>
    <row r="177" ht="15.75" customHeight="1">
      <c r="G177" s="39"/>
      <c r="H177" s="39"/>
      <c r="I177" s="39"/>
      <c r="J177" s="39"/>
      <c r="K177" s="39"/>
      <c r="L177" s="39"/>
      <c r="M177" s="39"/>
      <c r="N177" s="39"/>
      <c r="O177" s="43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  <c r="CC177" s="39"/>
      <c r="CD177" s="39"/>
      <c r="CE177" s="39"/>
      <c r="CF177" s="39"/>
      <c r="CG177" s="41"/>
      <c r="CH177" s="41"/>
      <c r="CI177" s="39"/>
      <c r="CJ177" s="39"/>
      <c r="CK177" s="39"/>
      <c r="CL177" s="39"/>
      <c r="CM177" s="39"/>
      <c r="CN177" s="39"/>
      <c r="CO177" s="39"/>
      <c r="CP177" s="39"/>
      <c r="CQ177" s="39"/>
      <c r="CR177" s="39"/>
      <c r="CS177" s="39"/>
      <c r="CT177" s="39"/>
      <c r="CU177" s="39"/>
      <c r="CV177" s="39"/>
      <c r="CW177" s="39"/>
      <c r="CX177" s="39"/>
      <c r="CY177" s="39"/>
      <c r="CZ177" s="39"/>
      <c r="DA177" s="42"/>
      <c r="DB177" s="42"/>
      <c r="DC177" s="42"/>
      <c r="DD177" s="42"/>
      <c r="DE177" s="42"/>
      <c r="DF177" s="42"/>
      <c r="DG177" s="42"/>
      <c r="DH177" s="42"/>
      <c r="DI177" s="39"/>
      <c r="DJ177" s="39"/>
      <c r="DK177" s="39"/>
      <c r="DL177" s="39"/>
      <c r="DM177" s="41"/>
      <c r="DN177" s="41"/>
      <c r="DO177" s="39"/>
      <c r="DP177" s="39"/>
      <c r="DQ177" s="39"/>
      <c r="DR177" s="39"/>
      <c r="DS177" s="39"/>
      <c r="DT177" s="39"/>
      <c r="DU177" s="39"/>
      <c r="DV177" s="39"/>
      <c r="DW177" s="39"/>
      <c r="DX177" s="39"/>
    </row>
    <row r="178" ht="15.75" customHeight="1">
      <c r="G178" s="39"/>
      <c r="H178" s="39"/>
      <c r="I178" s="39"/>
      <c r="J178" s="39"/>
      <c r="K178" s="39"/>
      <c r="L178" s="39"/>
      <c r="M178" s="39"/>
      <c r="N178" s="39"/>
      <c r="O178" s="43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41"/>
      <c r="CH178" s="41"/>
      <c r="CI178" s="39"/>
      <c r="CJ178" s="39"/>
      <c r="CK178" s="39"/>
      <c r="CL178" s="39"/>
      <c r="CM178" s="39"/>
      <c r="CN178" s="39"/>
      <c r="CO178" s="39"/>
      <c r="CP178" s="39"/>
      <c r="CQ178" s="39"/>
      <c r="CR178" s="39"/>
      <c r="CS178" s="39"/>
      <c r="CT178" s="39"/>
      <c r="CU178" s="39"/>
      <c r="CV178" s="39"/>
      <c r="CW178" s="39"/>
      <c r="CX178" s="39"/>
      <c r="CY178" s="39"/>
      <c r="CZ178" s="39"/>
      <c r="DA178" s="42"/>
      <c r="DB178" s="42"/>
      <c r="DC178" s="42"/>
      <c r="DD178" s="42"/>
      <c r="DE178" s="42"/>
      <c r="DF178" s="42"/>
      <c r="DG178" s="42"/>
      <c r="DH178" s="42"/>
      <c r="DI178" s="39"/>
      <c r="DJ178" s="39"/>
      <c r="DK178" s="39"/>
      <c r="DL178" s="39"/>
      <c r="DM178" s="41"/>
      <c r="DN178" s="41"/>
      <c r="DO178" s="39"/>
      <c r="DP178" s="39"/>
      <c r="DQ178" s="39"/>
      <c r="DR178" s="39"/>
      <c r="DS178" s="39"/>
      <c r="DT178" s="39"/>
      <c r="DU178" s="39"/>
      <c r="DV178" s="39"/>
      <c r="DW178" s="39"/>
      <c r="DX178" s="39"/>
    </row>
    <row r="179" ht="15.75" customHeight="1">
      <c r="G179" s="39"/>
      <c r="H179" s="39"/>
      <c r="I179" s="39"/>
      <c r="J179" s="39"/>
      <c r="K179" s="39"/>
      <c r="L179" s="39"/>
      <c r="M179" s="39"/>
      <c r="N179" s="39"/>
      <c r="O179" s="43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CG179" s="41"/>
      <c r="CH179" s="41"/>
      <c r="CI179" s="39"/>
      <c r="CJ179" s="39"/>
      <c r="CK179" s="39"/>
      <c r="CL179" s="39"/>
      <c r="CM179" s="39"/>
      <c r="CN179" s="39"/>
      <c r="CO179" s="39"/>
      <c r="CP179" s="39"/>
      <c r="CQ179" s="39"/>
      <c r="CR179" s="39"/>
      <c r="CS179" s="39"/>
      <c r="CT179" s="39"/>
      <c r="CU179" s="39"/>
      <c r="CV179" s="39"/>
      <c r="CW179" s="39"/>
      <c r="CX179" s="39"/>
      <c r="CY179" s="39"/>
      <c r="CZ179" s="39"/>
      <c r="DA179" s="42"/>
      <c r="DB179" s="42"/>
      <c r="DC179" s="42"/>
      <c r="DD179" s="42"/>
      <c r="DE179" s="42"/>
      <c r="DF179" s="42"/>
      <c r="DG179" s="42"/>
      <c r="DH179" s="42"/>
      <c r="DI179" s="39"/>
      <c r="DJ179" s="39"/>
      <c r="DK179" s="39"/>
      <c r="DL179" s="39"/>
      <c r="DM179" s="41"/>
      <c r="DN179" s="41"/>
      <c r="DO179" s="39"/>
      <c r="DP179" s="39"/>
      <c r="DQ179" s="39"/>
      <c r="DR179" s="39"/>
      <c r="DS179" s="39"/>
      <c r="DT179" s="39"/>
      <c r="DU179" s="39"/>
      <c r="DV179" s="39"/>
      <c r="DW179" s="39"/>
      <c r="DX179" s="39"/>
    </row>
    <row r="180" ht="15.75" customHeight="1">
      <c r="G180" s="39"/>
      <c r="H180" s="39"/>
      <c r="I180" s="39"/>
      <c r="J180" s="39"/>
      <c r="K180" s="39"/>
      <c r="L180" s="39"/>
      <c r="M180" s="39"/>
      <c r="N180" s="39"/>
      <c r="O180" s="43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41"/>
      <c r="CH180" s="41"/>
      <c r="CI180" s="39"/>
      <c r="CJ180" s="39"/>
      <c r="CK180" s="39"/>
      <c r="CL180" s="39"/>
      <c r="CM180" s="39"/>
      <c r="CN180" s="39"/>
      <c r="CO180" s="39"/>
      <c r="CP180" s="39"/>
      <c r="CQ180" s="39"/>
      <c r="CR180" s="39"/>
      <c r="CS180" s="39"/>
      <c r="CT180" s="39"/>
      <c r="CU180" s="39"/>
      <c r="CV180" s="39"/>
      <c r="CW180" s="39"/>
      <c r="CX180" s="39"/>
      <c r="CY180" s="39"/>
      <c r="CZ180" s="39"/>
      <c r="DA180" s="42"/>
      <c r="DB180" s="42"/>
      <c r="DC180" s="42"/>
      <c r="DD180" s="42"/>
      <c r="DE180" s="42"/>
      <c r="DF180" s="42"/>
      <c r="DG180" s="42"/>
      <c r="DH180" s="42"/>
      <c r="DI180" s="39"/>
      <c r="DJ180" s="39"/>
      <c r="DK180" s="39"/>
      <c r="DL180" s="39"/>
      <c r="DM180" s="41"/>
      <c r="DN180" s="41"/>
      <c r="DO180" s="39"/>
      <c r="DP180" s="39"/>
      <c r="DQ180" s="39"/>
      <c r="DR180" s="39"/>
      <c r="DS180" s="39"/>
      <c r="DT180" s="39"/>
      <c r="DU180" s="39"/>
      <c r="DV180" s="39"/>
      <c r="DW180" s="39"/>
      <c r="DX180" s="39"/>
    </row>
    <row r="181" ht="15.75" customHeight="1">
      <c r="G181" s="39"/>
      <c r="H181" s="39"/>
      <c r="I181" s="39"/>
      <c r="J181" s="39"/>
      <c r="K181" s="39"/>
      <c r="L181" s="39"/>
      <c r="M181" s="39"/>
      <c r="N181" s="39"/>
      <c r="O181" s="43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CG181" s="41"/>
      <c r="CH181" s="41"/>
      <c r="CI181" s="39"/>
      <c r="CJ181" s="39"/>
      <c r="CK181" s="39"/>
      <c r="CL181" s="39"/>
      <c r="CM181" s="39"/>
      <c r="CN181" s="39"/>
      <c r="CO181" s="39"/>
      <c r="CP181" s="39"/>
      <c r="CQ181" s="39"/>
      <c r="CR181" s="39"/>
      <c r="CS181" s="39"/>
      <c r="CT181" s="39"/>
      <c r="CU181" s="39"/>
      <c r="CV181" s="39"/>
      <c r="CW181" s="39"/>
      <c r="CX181" s="39"/>
      <c r="CY181" s="39"/>
      <c r="CZ181" s="39"/>
      <c r="DA181" s="42"/>
      <c r="DB181" s="42"/>
      <c r="DC181" s="42"/>
      <c r="DD181" s="42"/>
      <c r="DE181" s="42"/>
      <c r="DF181" s="42"/>
      <c r="DG181" s="42"/>
      <c r="DH181" s="42"/>
      <c r="DI181" s="39"/>
      <c r="DJ181" s="39"/>
      <c r="DK181" s="39"/>
      <c r="DL181" s="39"/>
      <c r="DM181" s="41"/>
      <c r="DN181" s="41"/>
      <c r="DO181" s="39"/>
      <c r="DP181" s="39"/>
      <c r="DQ181" s="39"/>
      <c r="DR181" s="39"/>
      <c r="DS181" s="39"/>
      <c r="DT181" s="39"/>
      <c r="DU181" s="39"/>
      <c r="DV181" s="39"/>
      <c r="DW181" s="39"/>
      <c r="DX181" s="39"/>
    </row>
    <row r="182" ht="15.75" customHeight="1">
      <c r="G182" s="39"/>
      <c r="H182" s="39"/>
      <c r="I182" s="39"/>
      <c r="J182" s="39"/>
      <c r="K182" s="39"/>
      <c r="L182" s="39"/>
      <c r="M182" s="39"/>
      <c r="N182" s="39"/>
      <c r="O182" s="43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41"/>
      <c r="CH182" s="41"/>
      <c r="CI182" s="39"/>
      <c r="CJ182" s="39"/>
      <c r="CK182" s="39"/>
      <c r="CL182" s="39"/>
      <c r="CM182" s="39"/>
      <c r="CN182" s="39"/>
      <c r="CO182" s="39"/>
      <c r="CP182" s="39"/>
      <c r="CQ182" s="39"/>
      <c r="CR182" s="39"/>
      <c r="CS182" s="39"/>
      <c r="CT182" s="39"/>
      <c r="CU182" s="39"/>
      <c r="CV182" s="39"/>
      <c r="CW182" s="39"/>
      <c r="CX182" s="39"/>
      <c r="CY182" s="39"/>
      <c r="CZ182" s="39"/>
      <c r="DA182" s="42"/>
      <c r="DB182" s="42"/>
      <c r="DC182" s="42"/>
      <c r="DD182" s="42"/>
      <c r="DE182" s="42"/>
      <c r="DF182" s="42"/>
      <c r="DG182" s="42"/>
      <c r="DH182" s="42"/>
      <c r="DI182" s="39"/>
      <c r="DJ182" s="39"/>
      <c r="DK182" s="39"/>
      <c r="DL182" s="39"/>
      <c r="DM182" s="41"/>
      <c r="DN182" s="41"/>
      <c r="DO182" s="39"/>
      <c r="DP182" s="39"/>
      <c r="DQ182" s="39"/>
      <c r="DR182" s="39"/>
      <c r="DS182" s="39"/>
      <c r="DT182" s="39"/>
      <c r="DU182" s="39"/>
      <c r="DV182" s="39"/>
      <c r="DW182" s="39"/>
      <c r="DX182" s="39"/>
    </row>
    <row r="183" ht="15.75" customHeight="1">
      <c r="G183" s="39"/>
      <c r="H183" s="39"/>
      <c r="I183" s="39"/>
      <c r="J183" s="39"/>
      <c r="K183" s="39"/>
      <c r="L183" s="39"/>
      <c r="M183" s="39"/>
      <c r="N183" s="39"/>
      <c r="O183" s="43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  <c r="CG183" s="41"/>
      <c r="CH183" s="41"/>
      <c r="CI183" s="39"/>
      <c r="CJ183" s="39"/>
      <c r="CK183" s="39"/>
      <c r="CL183" s="39"/>
      <c r="CM183" s="39"/>
      <c r="CN183" s="39"/>
      <c r="CO183" s="39"/>
      <c r="CP183" s="39"/>
      <c r="CQ183" s="39"/>
      <c r="CR183" s="39"/>
      <c r="CS183" s="39"/>
      <c r="CT183" s="39"/>
      <c r="CU183" s="39"/>
      <c r="CV183" s="39"/>
      <c r="CW183" s="39"/>
      <c r="CX183" s="39"/>
      <c r="CY183" s="39"/>
      <c r="CZ183" s="39"/>
      <c r="DA183" s="42"/>
      <c r="DB183" s="42"/>
      <c r="DC183" s="42"/>
      <c r="DD183" s="42"/>
      <c r="DE183" s="42"/>
      <c r="DF183" s="42"/>
      <c r="DG183" s="42"/>
      <c r="DH183" s="42"/>
      <c r="DI183" s="39"/>
      <c r="DJ183" s="39"/>
      <c r="DK183" s="39"/>
      <c r="DL183" s="39"/>
      <c r="DM183" s="41"/>
      <c r="DN183" s="41"/>
      <c r="DO183" s="39"/>
      <c r="DP183" s="39"/>
      <c r="DQ183" s="39"/>
      <c r="DR183" s="39"/>
      <c r="DS183" s="39"/>
      <c r="DT183" s="39"/>
      <c r="DU183" s="39"/>
      <c r="DV183" s="39"/>
      <c r="DW183" s="39"/>
      <c r="DX183" s="39"/>
    </row>
    <row r="184" ht="15.75" customHeight="1">
      <c r="G184" s="39"/>
      <c r="H184" s="39"/>
      <c r="I184" s="39"/>
      <c r="J184" s="39"/>
      <c r="K184" s="39"/>
      <c r="L184" s="39"/>
      <c r="M184" s="39"/>
      <c r="N184" s="39"/>
      <c r="O184" s="43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41"/>
      <c r="CH184" s="41"/>
      <c r="CI184" s="39"/>
      <c r="CJ184" s="39"/>
      <c r="CK184" s="39"/>
      <c r="CL184" s="39"/>
      <c r="CM184" s="39"/>
      <c r="CN184" s="39"/>
      <c r="CO184" s="39"/>
      <c r="CP184" s="39"/>
      <c r="CQ184" s="39"/>
      <c r="CR184" s="39"/>
      <c r="CS184" s="39"/>
      <c r="CT184" s="39"/>
      <c r="CU184" s="39"/>
      <c r="CV184" s="39"/>
      <c r="CW184" s="39"/>
      <c r="CX184" s="39"/>
      <c r="CY184" s="39"/>
      <c r="CZ184" s="39"/>
      <c r="DA184" s="42"/>
      <c r="DB184" s="42"/>
      <c r="DC184" s="42"/>
      <c r="DD184" s="42"/>
      <c r="DE184" s="42"/>
      <c r="DF184" s="42"/>
      <c r="DG184" s="42"/>
      <c r="DH184" s="42"/>
      <c r="DI184" s="39"/>
      <c r="DJ184" s="39"/>
      <c r="DK184" s="39"/>
      <c r="DL184" s="39"/>
      <c r="DM184" s="41"/>
      <c r="DN184" s="41"/>
      <c r="DO184" s="39"/>
      <c r="DP184" s="39"/>
      <c r="DQ184" s="39"/>
      <c r="DR184" s="39"/>
      <c r="DS184" s="39"/>
      <c r="DT184" s="39"/>
      <c r="DU184" s="39"/>
      <c r="DV184" s="39"/>
      <c r="DW184" s="39"/>
      <c r="DX184" s="39"/>
    </row>
    <row r="185" ht="15.75" customHeight="1">
      <c r="G185" s="39"/>
      <c r="H185" s="39"/>
      <c r="I185" s="39"/>
      <c r="J185" s="39"/>
      <c r="K185" s="39"/>
      <c r="L185" s="39"/>
      <c r="M185" s="39"/>
      <c r="N185" s="39"/>
      <c r="O185" s="43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41"/>
      <c r="CH185" s="41"/>
      <c r="CI185" s="39"/>
      <c r="CJ185" s="39"/>
      <c r="CK185" s="39"/>
      <c r="CL185" s="39"/>
      <c r="CM185" s="39"/>
      <c r="CN185" s="39"/>
      <c r="CO185" s="39"/>
      <c r="CP185" s="39"/>
      <c r="CQ185" s="39"/>
      <c r="CR185" s="39"/>
      <c r="CS185" s="39"/>
      <c r="CT185" s="39"/>
      <c r="CU185" s="39"/>
      <c r="CV185" s="39"/>
      <c r="CW185" s="39"/>
      <c r="CX185" s="39"/>
      <c r="CY185" s="39"/>
      <c r="CZ185" s="39"/>
      <c r="DA185" s="42"/>
      <c r="DB185" s="42"/>
      <c r="DC185" s="42"/>
      <c r="DD185" s="42"/>
      <c r="DE185" s="42"/>
      <c r="DF185" s="42"/>
      <c r="DG185" s="42"/>
      <c r="DH185" s="42"/>
      <c r="DI185" s="39"/>
      <c r="DJ185" s="39"/>
      <c r="DK185" s="39"/>
      <c r="DL185" s="39"/>
      <c r="DM185" s="41"/>
      <c r="DN185" s="41"/>
      <c r="DO185" s="39"/>
      <c r="DP185" s="39"/>
      <c r="DQ185" s="39"/>
      <c r="DR185" s="39"/>
      <c r="DS185" s="39"/>
      <c r="DT185" s="39"/>
      <c r="DU185" s="39"/>
      <c r="DV185" s="39"/>
      <c r="DW185" s="39"/>
      <c r="DX185" s="39"/>
    </row>
    <row r="186" ht="15.75" customHeight="1">
      <c r="G186" s="39"/>
      <c r="H186" s="39"/>
      <c r="I186" s="39"/>
      <c r="J186" s="39"/>
      <c r="K186" s="39"/>
      <c r="L186" s="39"/>
      <c r="M186" s="39"/>
      <c r="N186" s="39"/>
      <c r="O186" s="43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39"/>
      <c r="CD186" s="39"/>
      <c r="CE186" s="39"/>
      <c r="CF186" s="39"/>
      <c r="CG186" s="41"/>
      <c r="CH186" s="41"/>
      <c r="CI186" s="39"/>
      <c r="CJ186" s="39"/>
      <c r="CK186" s="39"/>
      <c r="CL186" s="39"/>
      <c r="CM186" s="39"/>
      <c r="CN186" s="39"/>
      <c r="CO186" s="39"/>
      <c r="CP186" s="39"/>
      <c r="CQ186" s="39"/>
      <c r="CR186" s="39"/>
      <c r="CS186" s="39"/>
      <c r="CT186" s="39"/>
      <c r="CU186" s="39"/>
      <c r="CV186" s="39"/>
      <c r="CW186" s="39"/>
      <c r="CX186" s="39"/>
      <c r="CY186" s="39"/>
      <c r="CZ186" s="39"/>
      <c r="DA186" s="42"/>
      <c r="DB186" s="42"/>
      <c r="DC186" s="42"/>
      <c r="DD186" s="42"/>
      <c r="DE186" s="42"/>
      <c r="DF186" s="42"/>
      <c r="DG186" s="42"/>
      <c r="DH186" s="42"/>
      <c r="DI186" s="39"/>
      <c r="DJ186" s="39"/>
      <c r="DK186" s="39"/>
      <c r="DL186" s="39"/>
      <c r="DM186" s="41"/>
      <c r="DN186" s="41"/>
      <c r="DO186" s="39"/>
      <c r="DP186" s="39"/>
      <c r="DQ186" s="39"/>
      <c r="DR186" s="39"/>
      <c r="DS186" s="39"/>
      <c r="DT186" s="39"/>
      <c r="DU186" s="39"/>
      <c r="DV186" s="39"/>
      <c r="DW186" s="39"/>
      <c r="DX186" s="39"/>
    </row>
    <row r="187" ht="15.75" customHeight="1">
      <c r="G187" s="39"/>
      <c r="H187" s="39"/>
      <c r="I187" s="39"/>
      <c r="J187" s="39"/>
      <c r="K187" s="39"/>
      <c r="L187" s="39"/>
      <c r="M187" s="39"/>
      <c r="N187" s="39"/>
      <c r="O187" s="43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41"/>
      <c r="CH187" s="41"/>
      <c r="CI187" s="39"/>
      <c r="CJ187" s="39"/>
      <c r="CK187" s="39"/>
      <c r="CL187" s="39"/>
      <c r="CM187" s="39"/>
      <c r="CN187" s="39"/>
      <c r="CO187" s="39"/>
      <c r="CP187" s="39"/>
      <c r="CQ187" s="39"/>
      <c r="CR187" s="39"/>
      <c r="CS187" s="39"/>
      <c r="CT187" s="39"/>
      <c r="CU187" s="39"/>
      <c r="CV187" s="39"/>
      <c r="CW187" s="39"/>
      <c r="CX187" s="39"/>
      <c r="CY187" s="39"/>
      <c r="CZ187" s="39"/>
      <c r="DA187" s="42"/>
      <c r="DB187" s="42"/>
      <c r="DC187" s="42"/>
      <c r="DD187" s="42"/>
      <c r="DE187" s="42"/>
      <c r="DF187" s="42"/>
      <c r="DG187" s="42"/>
      <c r="DH187" s="42"/>
      <c r="DI187" s="39"/>
      <c r="DJ187" s="39"/>
      <c r="DK187" s="39"/>
      <c r="DL187" s="39"/>
      <c r="DM187" s="41"/>
      <c r="DN187" s="41"/>
      <c r="DO187" s="39"/>
      <c r="DP187" s="39"/>
      <c r="DQ187" s="39"/>
      <c r="DR187" s="39"/>
      <c r="DS187" s="39"/>
      <c r="DT187" s="39"/>
      <c r="DU187" s="39"/>
      <c r="DV187" s="39"/>
      <c r="DW187" s="39"/>
      <c r="DX187" s="39"/>
    </row>
    <row r="188" ht="15.75" customHeight="1">
      <c r="G188" s="39"/>
      <c r="H188" s="39"/>
      <c r="I188" s="39"/>
      <c r="J188" s="39"/>
      <c r="K188" s="39"/>
      <c r="L188" s="39"/>
      <c r="M188" s="39"/>
      <c r="N188" s="39"/>
      <c r="O188" s="43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CG188" s="41"/>
      <c r="CH188" s="41"/>
      <c r="CI188" s="39"/>
      <c r="CJ188" s="39"/>
      <c r="CK188" s="39"/>
      <c r="CL188" s="39"/>
      <c r="CM188" s="39"/>
      <c r="CN188" s="39"/>
      <c r="CO188" s="39"/>
      <c r="CP188" s="39"/>
      <c r="CQ188" s="39"/>
      <c r="CR188" s="39"/>
      <c r="CS188" s="39"/>
      <c r="CT188" s="39"/>
      <c r="CU188" s="39"/>
      <c r="CV188" s="39"/>
      <c r="CW188" s="39"/>
      <c r="CX188" s="39"/>
      <c r="CY188" s="39"/>
      <c r="CZ188" s="39"/>
      <c r="DA188" s="42"/>
      <c r="DB188" s="42"/>
      <c r="DC188" s="42"/>
      <c r="DD188" s="42"/>
      <c r="DE188" s="42"/>
      <c r="DF188" s="42"/>
      <c r="DG188" s="42"/>
      <c r="DH188" s="42"/>
      <c r="DI188" s="39"/>
      <c r="DJ188" s="39"/>
      <c r="DK188" s="39"/>
      <c r="DL188" s="39"/>
      <c r="DM188" s="41"/>
      <c r="DN188" s="41"/>
      <c r="DO188" s="39"/>
      <c r="DP188" s="39"/>
      <c r="DQ188" s="39"/>
      <c r="DR188" s="39"/>
      <c r="DS188" s="39"/>
      <c r="DT188" s="39"/>
      <c r="DU188" s="39"/>
      <c r="DV188" s="39"/>
      <c r="DW188" s="39"/>
      <c r="DX188" s="39"/>
    </row>
    <row r="189" ht="15.75" customHeight="1">
      <c r="O189" s="43"/>
      <c r="CG189" s="44"/>
      <c r="CH189" s="44"/>
      <c r="DA189" s="45"/>
      <c r="DB189" s="45"/>
      <c r="DC189" s="45"/>
      <c r="DD189" s="45"/>
      <c r="DE189" s="45"/>
      <c r="DF189" s="45"/>
      <c r="DG189" s="45"/>
      <c r="DH189" s="45"/>
      <c r="DM189" s="44"/>
      <c r="DN189" s="44"/>
    </row>
    <row r="190" ht="15.75" customHeight="1">
      <c r="O190" s="43"/>
      <c r="CG190" s="44"/>
      <c r="CH190" s="44"/>
      <c r="DA190" s="45"/>
      <c r="DB190" s="45"/>
      <c r="DC190" s="45"/>
      <c r="DD190" s="45"/>
      <c r="DE190" s="45"/>
      <c r="DF190" s="45"/>
      <c r="DG190" s="45"/>
      <c r="DH190" s="45"/>
      <c r="DM190" s="44"/>
      <c r="DN190" s="44"/>
    </row>
    <row r="191" ht="15.75" customHeight="1">
      <c r="O191" s="43"/>
      <c r="CG191" s="44"/>
      <c r="CH191" s="44"/>
      <c r="DA191" s="45"/>
      <c r="DB191" s="45"/>
      <c r="DC191" s="45"/>
      <c r="DD191" s="45"/>
      <c r="DE191" s="45"/>
      <c r="DF191" s="45"/>
      <c r="DG191" s="45"/>
      <c r="DH191" s="45"/>
      <c r="DM191" s="44"/>
      <c r="DN191" s="44"/>
    </row>
    <row r="192" ht="15.75" customHeight="1">
      <c r="O192" s="43"/>
      <c r="CG192" s="44"/>
      <c r="CH192" s="44"/>
      <c r="DA192" s="45"/>
      <c r="DB192" s="45"/>
      <c r="DC192" s="45"/>
      <c r="DD192" s="45"/>
      <c r="DE192" s="45"/>
      <c r="DF192" s="45"/>
      <c r="DG192" s="45"/>
      <c r="DH192" s="45"/>
      <c r="DM192" s="44"/>
      <c r="DN192" s="44"/>
    </row>
    <row r="193" ht="15.75" customHeight="1">
      <c r="O193" s="43"/>
      <c r="CG193" s="44"/>
      <c r="CH193" s="44"/>
      <c r="DA193" s="45"/>
      <c r="DB193" s="45"/>
      <c r="DC193" s="45"/>
      <c r="DD193" s="45"/>
      <c r="DE193" s="45"/>
      <c r="DF193" s="45"/>
      <c r="DG193" s="45"/>
      <c r="DH193" s="45"/>
      <c r="DM193" s="44"/>
      <c r="DN193" s="44"/>
    </row>
    <row r="194" ht="15.75" customHeight="1">
      <c r="O194" s="43"/>
      <c r="CG194" s="44"/>
      <c r="CH194" s="44"/>
      <c r="DA194" s="45"/>
      <c r="DB194" s="45"/>
      <c r="DC194" s="45"/>
      <c r="DD194" s="45"/>
      <c r="DE194" s="45"/>
      <c r="DF194" s="45"/>
      <c r="DG194" s="45"/>
      <c r="DH194" s="45"/>
      <c r="DM194" s="44"/>
      <c r="DN194" s="44"/>
    </row>
    <row r="195" ht="15.75" customHeight="1">
      <c r="O195" s="43"/>
      <c r="CG195" s="44"/>
      <c r="CH195" s="44"/>
      <c r="DA195" s="45"/>
      <c r="DB195" s="45"/>
      <c r="DC195" s="45"/>
      <c r="DD195" s="45"/>
      <c r="DE195" s="45"/>
      <c r="DF195" s="45"/>
      <c r="DG195" s="45"/>
      <c r="DH195" s="45"/>
      <c r="DM195" s="44"/>
      <c r="DN195" s="44"/>
    </row>
    <row r="196" ht="15.75" customHeight="1">
      <c r="O196" s="43"/>
      <c r="CG196" s="44"/>
      <c r="CH196" s="44"/>
      <c r="DA196" s="45"/>
      <c r="DB196" s="45"/>
      <c r="DC196" s="45"/>
      <c r="DD196" s="45"/>
      <c r="DE196" s="45"/>
      <c r="DF196" s="45"/>
      <c r="DG196" s="45"/>
      <c r="DH196" s="45"/>
      <c r="DM196" s="44"/>
      <c r="DN196" s="44"/>
    </row>
    <row r="197" ht="15.75" customHeight="1">
      <c r="O197" s="43"/>
      <c r="CG197" s="44"/>
      <c r="CH197" s="44"/>
      <c r="DA197" s="45"/>
      <c r="DB197" s="45"/>
      <c r="DC197" s="45"/>
      <c r="DD197" s="45"/>
      <c r="DE197" s="45"/>
      <c r="DF197" s="45"/>
      <c r="DG197" s="45"/>
      <c r="DH197" s="45"/>
      <c r="DM197" s="44"/>
      <c r="DN197" s="44"/>
    </row>
    <row r="198" ht="15.75" customHeight="1">
      <c r="O198" s="43"/>
      <c r="CG198" s="44"/>
      <c r="CH198" s="44"/>
      <c r="DA198" s="45"/>
      <c r="DB198" s="45"/>
      <c r="DC198" s="45"/>
      <c r="DD198" s="45"/>
      <c r="DE198" s="45"/>
      <c r="DF198" s="45"/>
      <c r="DG198" s="45"/>
      <c r="DH198" s="45"/>
      <c r="DM198" s="44"/>
      <c r="DN198" s="44"/>
    </row>
    <row r="199" ht="15.75" customHeight="1">
      <c r="O199" s="43"/>
      <c r="CG199" s="44"/>
      <c r="CH199" s="44"/>
      <c r="DA199" s="45"/>
      <c r="DB199" s="45"/>
      <c r="DC199" s="45"/>
      <c r="DD199" s="45"/>
      <c r="DE199" s="45"/>
      <c r="DF199" s="45"/>
      <c r="DG199" s="45"/>
      <c r="DH199" s="45"/>
      <c r="DM199" s="44"/>
      <c r="DN199" s="44"/>
    </row>
    <row r="200" ht="15.75" customHeight="1">
      <c r="O200" s="43"/>
      <c r="CG200" s="44"/>
      <c r="CH200" s="44"/>
      <c r="DA200" s="45"/>
      <c r="DB200" s="45"/>
      <c r="DC200" s="45"/>
      <c r="DD200" s="45"/>
      <c r="DE200" s="45"/>
      <c r="DF200" s="45"/>
      <c r="DG200" s="45"/>
      <c r="DH200" s="45"/>
      <c r="DM200" s="44"/>
      <c r="DN200" s="44"/>
    </row>
    <row r="201" ht="15.75" customHeight="1">
      <c r="O201" s="43"/>
      <c r="CG201" s="44"/>
      <c r="CH201" s="44"/>
      <c r="DA201" s="45"/>
      <c r="DB201" s="45"/>
      <c r="DC201" s="45"/>
      <c r="DD201" s="45"/>
      <c r="DE201" s="45"/>
      <c r="DF201" s="45"/>
      <c r="DG201" s="45"/>
      <c r="DH201" s="45"/>
      <c r="DM201" s="44"/>
      <c r="DN201" s="44"/>
    </row>
    <row r="202" ht="15.75" customHeight="1">
      <c r="O202" s="43"/>
      <c r="CG202" s="44"/>
      <c r="CH202" s="44"/>
      <c r="DA202" s="45"/>
      <c r="DB202" s="45"/>
      <c r="DC202" s="45"/>
      <c r="DD202" s="45"/>
      <c r="DE202" s="45"/>
      <c r="DF202" s="45"/>
      <c r="DG202" s="45"/>
      <c r="DH202" s="45"/>
      <c r="DM202" s="44"/>
      <c r="DN202" s="44"/>
    </row>
    <row r="203" ht="15.75" customHeight="1">
      <c r="O203" s="43"/>
      <c r="CG203" s="44"/>
      <c r="CH203" s="44"/>
      <c r="DA203" s="45"/>
      <c r="DB203" s="45"/>
      <c r="DC203" s="45"/>
      <c r="DD203" s="45"/>
      <c r="DE203" s="45"/>
      <c r="DF203" s="45"/>
      <c r="DG203" s="45"/>
      <c r="DH203" s="45"/>
      <c r="DM203" s="44"/>
      <c r="DN203" s="44"/>
    </row>
    <row r="204" ht="15.75" customHeight="1">
      <c r="O204" s="43"/>
      <c r="CG204" s="44"/>
      <c r="CH204" s="44"/>
      <c r="DA204" s="45"/>
      <c r="DB204" s="45"/>
      <c r="DC204" s="45"/>
      <c r="DD204" s="45"/>
      <c r="DE204" s="45"/>
      <c r="DF204" s="45"/>
      <c r="DG204" s="45"/>
      <c r="DH204" s="45"/>
      <c r="DM204" s="44"/>
      <c r="DN204" s="44"/>
    </row>
    <row r="205" ht="15.75" customHeight="1">
      <c r="O205" s="43"/>
      <c r="CG205" s="44"/>
      <c r="CH205" s="44"/>
      <c r="DA205" s="45"/>
      <c r="DB205" s="45"/>
      <c r="DC205" s="45"/>
      <c r="DD205" s="45"/>
      <c r="DE205" s="45"/>
      <c r="DF205" s="45"/>
      <c r="DG205" s="45"/>
      <c r="DH205" s="45"/>
      <c r="DM205" s="44"/>
      <c r="DN205" s="44"/>
    </row>
    <row r="206" ht="15.75" customHeight="1">
      <c r="O206" s="43"/>
      <c r="CG206" s="44"/>
      <c r="CH206" s="44"/>
      <c r="DA206" s="45"/>
      <c r="DB206" s="45"/>
      <c r="DC206" s="45"/>
      <c r="DD206" s="45"/>
      <c r="DE206" s="45"/>
      <c r="DF206" s="45"/>
      <c r="DG206" s="45"/>
      <c r="DH206" s="45"/>
      <c r="DM206" s="44"/>
      <c r="DN206" s="44"/>
    </row>
    <row r="207" ht="15.75" customHeight="1">
      <c r="O207" s="43"/>
      <c r="CG207" s="44"/>
      <c r="CH207" s="44"/>
      <c r="DA207" s="45"/>
      <c r="DB207" s="45"/>
      <c r="DC207" s="45"/>
      <c r="DD207" s="45"/>
      <c r="DE207" s="45"/>
      <c r="DF207" s="45"/>
      <c r="DG207" s="45"/>
      <c r="DH207" s="45"/>
      <c r="DM207" s="44"/>
      <c r="DN207" s="44"/>
    </row>
    <row r="208" ht="15.75" customHeight="1">
      <c r="O208" s="43"/>
      <c r="CG208" s="44"/>
      <c r="CH208" s="44"/>
      <c r="DA208" s="45"/>
      <c r="DB208" s="45"/>
      <c r="DC208" s="45"/>
      <c r="DD208" s="45"/>
      <c r="DE208" s="45"/>
      <c r="DF208" s="45"/>
      <c r="DG208" s="45"/>
      <c r="DH208" s="45"/>
      <c r="DM208" s="44"/>
      <c r="DN208" s="44"/>
    </row>
    <row r="209" ht="15.75" customHeight="1">
      <c r="O209" s="43"/>
      <c r="CG209" s="44"/>
      <c r="CH209" s="44"/>
      <c r="DA209" s="45"/>
      <c r="DB209" s="45"/>
      <c r="DC209" s="45"/>
      <c r="DD209" s="45"/>
      <c r="DE209" s="45"/>
      <c r="DF209" s="45"/>
      <c r="DG209" s="45"/>
      <c r="DH209" s="45"/>
      <c r="DM209" s="44"/>
      <c r="DN209" s="44"/>
    </row>
    <row r="210" ht="15.75" customHeight="1">
      <c r="O210" s="43"/>
      <c r="CG210" s="44"/>
      <c r="CH210" s="44"/>
      <c r="DA210" s="45"/>
      <c r="DB210" s="45"/>
      <c r="DC210" s="45"/>
      <c r="DD210" s="45"/>
      <c r="DE210" s="45"/>
      <c r="DF210" s="45"/>
      <c r="DG210" s="45"/>
      <c r="DH210" s="45"/>
      <c r="DM210" s="44"/>
      <c r="DN210" s="44"/>
    </row>
    <row r="211" ht="15.75" customHeight="1">
      <c r="O211" s="43"/>
      <c r="CG211" s="44"/>
      <c r="CH211" s="44"/>
      <c r="DA211" s="45"/>
      <c r="DB211" s="45"/>
      <c r="DC211" s="45"/>
      <c r="DD211" s="45"/>
      <c r="DE211" s="45"/>
      <c r="DF211" s="45"/>
      <c r="DG211" s="45"/>
      <c r="DH211" s="45"/>
      <c r="DM211" s="44"/>
      <c r="DN211" s="44"/>
    </row>
    <row r="212" ht="15.75" customHeight="1">
      <c r="O212" s="43"/>
      <c r="CG212" s="44"/>
      <c r="CH212" s="44"/>
      <c r="DA212" s="45"/>
      <c r="DB212" s="45"/>
      <c r="DC212" s="45"/>
      <c r="DD212" s="45"/>
      <c r="DE212" s="45"/>
      <c r="DF212" s="45"/>
      <c r="DG212" s="45"/>
      <c r="DH212" s="45"/>
      <c r="DM212" s="44"/>
      <c r="DN212" s="44"/>
    </row>
    <row r="213" ht="15.75" customHeight="1">
      <c r="O213" s="43"/>
      <c r="CG213" s="44"/>
      <c r="CH213" s="44"/>
      <c r="DA213" s="45"/>
      <c r="DB213" s="45"/>
      <c r="DC213" s="45"/>
      <c r="DD213" s="45"/>
      <c r="DE213" s="45"/>
      <c r="DF213" s="45"/>
      <c r="DG213" s="45"/>
      <c r="DH213" s="45"/>
      <c r="DM213" s="44"/>
      <c r="DN213" s="44"/>
    </row>
    <row r="214" ht="15.75" customHeight="1">
      <c r="O214" s="43"/>
      <c r="CG214" s="44"/>
      <c r="CH214" s="44"/>
      <c r="DA214" s="45"/>
      <c r="DB214" s="45"/>
      <c r="DC214" s="45"/>
      <c r="DD214" s="45"/>
      <c r="DE214" s="45"/>
      <c r="DF214" s="45"/>
      <c r="DG214" s="45"/>
      <c r="DH214" s="45"/>
      <c r="DM214" s="44"/>
      <c r="DN214" s="44"/>
    </row>
    <row r="215" ht="15.75" customHeight="1">
      <c r="O215" s="43"/>
      <c r="CG215" s="44"/>
      <c r="CH215" s="44"/>
      <c r="DA215" s="45"/>
      <c r="DB215" s="45"/>
      <c r="DC215" s="45"/>
      <c r="DD215" s="45"/>
      <c r="DE215" s="45"/>
      <c r="DF215" s="45"/>
      <c r="DG215" s="45"/>
      <c r="DH215" s="45"/>
      <c r="DM215" s="44"/>
      <c r="DN215" s="44"/>
    </row>
    <row r="216" ht="15.75" customHeight="1">
      <c r="O216" s="43"/>
      <c r="CG216" s="44"/>
      <c r="CH216" s="44"/>
      <c r="DA216" s="45"/>
      <c r="DB216" s="45"/>
      <c r="DC216" s="45"/>
      <c r="DD216" s="45"/>
      <c r="DE216" s="45"/>
      <c r="DF216" s="45"/>
      <c r="DG216" s="45"/>
      <c r="DH216" s="45"/>
      <c r="DM216" s="44"/>
      <c r="DN216" s="44"/>
    </row>
    <row r="217" ht="15.75" customHeight="1">
      <c r="O217" s="43"/>
      <c r="CG217" s="44"/>
      <c r="CH217" s="44"/>
      <c r="DA217" s="45"/>
      <c r="DB217" s="45"/>
      <c r="DC217" s="45"/>
      <c r="DD217" s="45"/>
      <c r="DE217" s="45"/>
      <c r="DF217" s="45"/>
      <c r="DG217" s="45"/>
      <c r="DH217" s="45"/>
      <c r="DM217" s="44"/>
      <c r="DN217" s="44"/>
    </row>
    <row r="218" ht="15.75" customHeight="1">
      <c r="O218" s="43"/>
      <c r="CG218" s="44"/>
      <c r="CH218" s="44"/>
      <c r="DA218" s="45"/>
      <c r="DB218" s="45"/>
      <c r="DC218" s="45"/>
      <c r="DD218" s="45"/>
      <c r="DE218" s="45"/>
      <c r="DF218" s="45"/>
      <c r="DG218" s="45"/>
      <c r="DH218" s="45"/>
      <c r="DM218" s="44"/>
      <c r="DN218" s="44"/>
    </row>
    <row r="219" ht="15.75" customHeight="1">
      <c r="O219" s="43"/>
      <c r="CG219" s="44"/>
      <c r="CH219" s="44"/>
      <c r="DA219" s="45"/>
      <c r="DB219" s="45"/>
      <c r="DC219" s="45"/>
      <c r="DD219" s="45"/>
      <c r="DE219" s="45"/>
      <c r="DF219" s="45"/>
      <c r="DG219" s="45"/>
      <c r="DH219" s="45"/>
      <c r="DM219" s="44"/>
      <c r="DN219" s="44"/>
    </row>
    <row r="220" ht="15.75" customHeight="1">
      <c r="O220" s="43"/>
      <c r="CG220" s="44"/>
      <c r="CH220" s="44"/>
      <c r="DA220" s="45"/>
      <c r="DB220" s="45"/>
      <c r="DC220" s="45"/>
      <c r="DD220" s="45"/>
      <c r="DE220" s="45"/>
      <c r="DF220" s="45"/>
      <c r="DG220" s="45"/>
      <c r="DH220" s="45"/>
      <c r="DM220" s="44"/>
      <c r="DN220" s="44"/>
    </row>
    <row r="221" ht="15.75" customHeight="1">
      <c r="O221" s="43"/>
      <c r="CG221" s="44"/>
      <c r="CH221" s="44"/>
      <c r="DA221" s="45"/>
      <c r="DB221" s="45"/>
      <c r="DC221" s="45"/>
      <c r="DD221" s="45"/>
      <c r="DE221" s="45"/>
      <c r="DF221" s="45"/>
      <c r="DG221" s="45"/>
      <c r="DH221" s="45"/>
      <c r="DM221" s="44"/>
      <c r="DN221" s="44"/>
    </row>
    <row r="222" ht="15.75" customHeight="1">
      <c r="O222" s="43"/>
      <c r="CG222" s="44"/>
      <c r="CH222" s="44"/>
      <c r="DA222" s="45"/>
      <c r="DB222" s="45"/>
      <c r="DC222" s="45"/>
      <c r="DD222" s="45"/>
      <c r="DE222" s="45"/>
      <c r="DF222" s="45"/>
      <c r="DG222" s="45"/>
      <c r="DH222" s="45"/>
      <c r="DM222" s="44"/>
      <c r="DN222" s="44"/>
    </row>
    <row r="223" ht="15.75" customHeight="1">
      <c r="O223" s="43"/>
      <c r="CG223" s="44"/>
      <c r="CH223" s="44"/>
      <c r="DA223" s="45"/>
      <c r="DB223" s="45"/>
      <c r="DC223" s="45"/>
      <c r="DD223" s="45"/>
      <c r="DE223" s="45"/>
      <c r="DF223" s="45"/>
      <c r="DG223" s="45"/>
      <c r="DH223" s="45"/>
      <c r="DM223" s="44"/>
      <c r="DN223" s="44"/>
    </row>
    <row r="224" ht="15.75" customHeight="1">
      <c r="O224" s="43"/>
      <c r="CG224" s="44"/>
      <c r="CH224" s="44"/>
      <c r="DA224" s="45"/>
      <c r="DB224" s="45"/>
      <c r="DC224" s="45"/>
      <c r="DD224" s="45"/>
      <c r="DE224" s="45"/>
      <c r="DF224" s="45"/>
      <c r="DG224" s="45"/>
      <c r="DH224" s="45"/>
      <c r="DM224" s="44"/>
      <c r="DN224" s="44"/>
    </row>
    <row r="225" ht="15.75" customHeight="1">
      <c r="O225" s="43"/>
      <c r="CG225" s="44"/>
      <c r="CH225" s="44"/>
      <c r="DA225" s="45"/>
      <c r="DB225" s="45"/>
      <c r="DC225" s="45"/>
      <c r="DD225" s="45"/>
      <c r="DE225" s="45"/>
      <c r="DF225" s="45"/>
      <c r="DG225" s="45"/>
      <c r="DH225" s="45"/>
      <c r="DM225" s="44"/>
      <c r="DN225" s="44"/>
    </row>
    <row r="226" ht="15.75" customHeight="1">
      <c r="O226" s="43"/>
      <c r="CG226" s="44"/>
      <c r="CH226" s="44"/>
      <c r="DA226" s="45"/>
      <c r="DB226" s="45"/>
      <c r="DC226" s="45"/>
      <c r="DD226" s="45"/>
      <c r="DE226" s="45"/>
      <c r="DF226" s="45"/>
      <c r="DG226" s="45"/>
      <c r="DH226" s="45"/>
      <c r="DM226" s="44"/>
      <c r="DN226" s="44"/>
    </row>
    <row r="227" ht="15.75" customHeight="1">
      <c r="O227" s="43"/>
      <c r="CG227" s="44"/>
      <c r="CH227" s="44"/>
      <c r="DA227" s="45"/>
      <c r="DB227" s="45"/>
      <c r="DC227" s="45"/>
      <c r="DD227" s="45"/>
      <c r="DE227" s="45"/>
      <c r="DF227" s="45"/>
      <c r="DG227" s="45"/>
      <c r="DH227" s="45"/>
      <c r="DM227" s="44"/>
      <c r="DN227" s="44"/>
    </row>
    <row r="228" ht="15.75" customHeight="1">
      <c r="O228" s="43"/>
      <c r="CG228" s="44"/>
      <c r="CH228" s="44"/>
      <c r="DA228" s="45"/>
      <c r="DB228" s="45"/>
      <c r="DC228" s="45"/>
      <c r="DD228" s="45"/>
      <c r="DE228" s="45"/>
      <c r="DF228" s="45"/>
      <c r="DG228" s="45"/>
      <c r="DH228" s="45"/>
      <c r="DM228" s="44"/>
      <c r="DN228" s="44"/>
    </row>
    <row r="229" ht="15.75" customHeight="1">
      <c r="O229" s="43"/>
      <c r="CG229" s="44"/>
      <c r="CH229" s="44"/>
      <c r="DA229" s="45"/>
      <c r="DB229" s="45"/>
      <c r="DC229" s="45"/>
      <c r="DD229" s="45"/>
      <c r="DE229" s="45"/>
      <c r="DF229" s="45"/>
      <c r="DG229" s="45"/>
      <c r="DH229" s="45"/>
      <c r="DM229" s="44"/>
      <c r="DN229" s="44"/>
    </row>
    <row r="230" ht="15.75" customHeight="1">
      <c r="O230" s="43"/>
      <c r="CG230" s="44"/>
      <c r="CH230" s="44"/>
      <c r="DA230" s="45"/>
      <c r="DB230" s="45"/>
      <c r="DC230" s="45"/>
      <c r="DD230" s="45"/>
      <c r="DE230" s="45"/>
      <c r="DF230" s="45"/>
      <c r="DG230" s="45"/>
      <c r="DH230" s="45"/>
      <c r="DM230" s="44"/>
      <c r="DN230" s="44"/>
    </row>
    <row r="231" ht="15.75" customHeight="1">
      <c r="O231" s="43"/>
      <c r="CG231" s="44"/>
      <c r="CH231" s="44"/>
      <c r="DA231" s="45"/>
      <c r="DB231" s="45"/>
      <c r="DC231" s="45"/>
      <c r="DD231" s="45"/>
      <c r="DE231" s="45"/>
      <c r="DF231" s="45"/>
      <c r="DG231" s="45"/>
      <c r="DH231" s="45"/>
      <c r="DM231" s="44"/>
      <c r="DN231" s="44"/>
    </row>
    <row r="232" ht="15.75" customHeight="1">
      <c r="O232" s="43"/>
      <c r="CG232" s="44"/>
      <c r="CH232" s="44"/>
      <c r="DA232" s="45"/>
      <c r="DB232" s="45"/>
      <c r="DC232" s="45"/>
      <c r="DD232" s="45"/>
      <c r="DE232" s="45"/>
      <c r="DF232" s="45"/>
      <c r="DG232" s="45"/>
      <c r="DH232" s="45"/>
      <c r="DM232" s="44"/>
      <c r="DN232" s="44"/>
    </row>
    <row r="233" ht="15.75" customHeight="1">
      <c r="O233" s="43"/>
      <c r="CG233" s="44"/>
      <c r="CH233" s="44"/>
      <c r="DA233" s="45"/>
      <c r="DB233" s="45"/>
      <c r="DC233" s="45"/>
      <c r="DD233" s="45"/>
      <c r="DE233" s="45"/>
      <c r="DF233" s="45"/>
      <c r="DG233" s="45"/>
      <c r="DH233" s="45"/>
      <c r="DM233" s="44"/>
      <c r="DN233" s="44"/>
    </row>
    <row r="234" ht="15.75" customHeight="1">
      <c r="O234" s="43"/>
      <c r="CG234" s="44"/>
      <c r="CH234" s="44"/>
      <c r="DA234" s="45"/>
      <c r="DB234" s="45"/>
      <c r="DC234" s="45"/>
      <c r="DD234" s="45"/>
      <c r="DE234" s="45"/>
      <c r="DF234" s="45"/>
      <c r="DG234" s="45"/>
      <c r="DH234" s="45"/>
      <c r="DM234" s="44"/>
      <c r="DN234" s="44"/>
    </row>
    <row r="235" ht="15.75" customHeight="1">
      <c r="O235" s="43"/>
      <c r="CG235" s="44"/>
      <c r="CH235" s="44"/>
      <c r="DA235" s="45"/>
      <c r="DB235" s="45"/>
      <c r="DC235" s="45"/>
      <c r="DD235" s="45"/>
      <c r="DE235" s="45"/>
      <c r="DF235" s="45"/>
      <c r="DG235" s="45"/>
      <c r="DH235" s="45"/>
      <c r="DM235" s="44"/>
      <c r="DN235" s="44"/>
    </row>
    <row r="236" ht="15.75" customHeight="1">
      <c r="O236" s="43"/>
      <c r="CG236" s="44"/>
      <c r="CH236" s="44"/>
      <c r="DA236" s="45"/>
      <c r="DB236" s="45"/>
      <c r="DC236" s="45"/>
      <c r="DD236" s="45"/>
      <c r="DE236" s="45"/>
      <c r="DF236" s="45"/>
      <c r="DG236" s="45"/>
      <c r="DH236" s="45"/>
      <c r="DM236" s="44"/>
      <c r="DN236" s="44"/>
    </row>
    <row r="237" ht="15.75" customHeight="1">
      <c r="O237" s="43"/>
      <c r="CG237" s="44"/>
      <c r="CH237" s="44"/>
      <c r="DA237" s="45"/>
      <c r="DB237" s="45"/>
      <c r="DC237" s="45"/>
      <c r="DD237" s="45"/>
      <c r="DE237" s="45"/>
      <c r="DF237" s="45"/>
      <c r="DG237" s="45"/>
      <c r="DH237" s="45"/>
      <c r="DM237" s="44"/>
      <c r="DN237" s="44"/>
    </row>
    <row r="238" ht="15.75" customHeight="1">
      <c r="O238" s="43"/>
      <c r="CG238" s="44"/>
      <c r="CH238" s="44"/>
      <c r="DA238" s="45"/>
      <c r="DB238" s="45"/>
      <c r="DC238" s="45"/>
      <c r="DD238" s="45"/>
      <c r="DE238" s="45"/>
      <c r="DF238" s="45"/>
      <c r="DG238" s="45"/>
      <c r="DH238" s="45"/>
      <c r="DM238" s="44"/>
      <c r="DN238" s="44"/>
    </row>
    <row r="239" ht="15.75" customHeight="1">
      <c r="O239" s="43"/>
      <c r="CG239" s="44"/>
      <c r="CH239" s="44"/>
      <c r="DA239" s="45"/>
      <c r="DB239" s="45"/>
      <c r="DC239" s="45"/>
      <c r="DD239" s="45"/>
      <c r="DE239" s="45"/>
      <c r="DF239" s="45"/>
      <c r="DG239" s="45"/>
      <c r="DH239" s="45"/>
      <c r="DM239" s="44"/>
      <c r="DN239" s="44"/>
    </row>
    <row r="240" ht="15.75" customHeight="1">
      <c r="O240" s="43"/>
      <c r="CG240" s="44"/>
      <c r="CH240" s="44"/>
      <c r="DA240" s="45"/>
      <c r="DB240" s="45"/>
      <c r="DC240" s="45"/>
      <c r="DD240" s="45"/>
      <c r="DE240" s="45"/>
      <c r="DF240" s="45"/>
      <c r="DG240" s="45"/>
      <c r="DH240" s="45"/>
      <c r="DM240" s="44"/>
      <c r="DN240" s="44"/>
    </row>
    <row r="241" ht="15.75" customHeight="1">
      <c r="O241" s="43"/>
      <c r="CG241" s="44"/>
      <c r="CH241" s="44"/>
      <c r="DA241" s="45"/>
      <c r="DB241" s="45"/>
      <c r="DC241" s="45"/>
      <c r="DD241" s="45"/>
      <c r="DE241" s="45"/>
      <c r="DF241" s="45"/>
      <c r="DG241" s="45"/>
      <c r="DH241" s="45"/>
      <c r="DM241" s="44"/>
      <c r="DN241" s="44"/>
    </row>
    <row r="242" ht="15.75" customHeight="1">
      <c r="O242" s="43"/>
      <c r="CG242" s="44"/>
      <c r="CH242" s="44"/>
      <c r="DA242" s="45"/>
      <c r="DB242" s="45"/>
      <c r="DC242" s="45"/>
      <c r="DD242" s="45"/>
      <c r="DE242" s="45"/>
      <c r="DF242" s="45"/>
      <c r="DG242" s="45"/>
      <c r="DH242" s="45"/>
      <c r="DM242" s="44"/>
      <c r="DN242" s="44"/>
    </row>
    <row r="243" ht="15.75" customHeight="1">
      <c r="O243" s="43"/>
      <c r="CG243" s="44"/>
      <c r="CH243" s="44"/>
      <c r="DA243" s="45"/>
      <c r="DB243" s="45"/>
      <c r="DC243" s="45"/>
      <c r="DD243" s="45"/>
      <c r="DE243" s="45"/>
      <c r="DF243" s="45"/>
      <c r="DG243" s="45"/>
      <c r="DH243" s="45"/>
      <c r="DM243" s="44"/>
      <c r="DN243" s="44"/>
    </row>
    <row r="244" ht="15.75" customHeight="1">
      <c r="O244" s="43"/>
      <c r="CG244" s="44"/>
      <c r="CH244" s="44"/>
      <c r="DA244" s="45"/>
      <c r="DB244" s="45"/>
      <c r="DC244" s="45"/>
      <c r="DD244" s="45"/>
      <c r="DE244" s="45"/>
      <c r="DF244" s="45"/>
      <c r="DG244" s="45"/>
      <c r="DH244" s="45"/>
      <c r="DM244" s="44"/>
      <c r="DN244" s="44"/>
    </row>
    <row r="245" ht="15.75" customHeight="1">
      <c r="O245" s="43"/>
      <c r="CG245" s="44"/>
      <c r="CH245" s="44"/>
      <c r="DA245" s="45"/>
      <c r="DB245" s="45"/>
      <c r="DC245" s="45"/>
      <c r="DD245" s="45"/>
      <c r="DE245" s="45"/>
      <c r="DF245" s="45"/>
      <c r="DG245" s="45"/>
      <c r="DH245" s="45"/>
      <c r="DM245" s="44"/>
      <c r="DN245" s="44"/>
    </row>
    <row r="246" ht="15.75" customHeight="1">
      <c r="O246" s="43"/>
      <c r="CG246" s="44"/>
      <c r="CH246" s="44"/>
      <c r="DA246" s="45"/>
      <c r="DB246" s="45"/>
      <c r="DC246" s="45"/>
      <c r="DD246" s="45"/>
      <c r="DE246" s="45"/>
      <c r="DF246" s="45"/>
      <c r="DG246" s="45"/>
      <c r="DH246" s="45"/>
      <c r="DM246" s="44"/>
      <c r="DN246" s="44"/>
    </row>
    <row r="247" ht="15.75" customHeight="1">
      <c r="O247" s="43"/>
      <c r="CG247" s="44"/>
      <c r="CH247" s="44"/>
      <c r="DA247" s="45"/>
      <c r="DB247" s="45"/>
      <c r="DC247" s="45"/>
      <c r="DD247" s="45"/>
      <c r="DE247" s="45"/>
      <c r="DF247" s="45"/>
      <c r="DG247" s="45"/>
      <c r="DH247" s="45"/>
      <c r="DM247" s="44"/>
      <c r="DN247" s="44"/>
    </row>
    <row r="248" ht="15.75" customHeight="1">
      <c r="O248" s="43"/>
      <c r="CG248" s="44"/>
      <c r="CH248" s="44"/>
      <c r="DA248" s="45"/>
      <c r="DB248" s="45"/>
      <c r="DC248" s="45"/>
      <c r="DD248" s="45"/>
      <c r="DE248" s="45"/>
      <c r="DF248" s="45"/>
      <c r="DG248" s="45"/>
      <c r="DH248" s="45"/>
      <c r="DM248" s="44"/>
      <c r="DN248" s="44"/>
    </row>
    <row r="249" ht="15.75" customHeight="1">
      <c r="O249" s="43"/>
      <c r="CG249" s="44"/>
      <c r="CH249" s="44"/>
      <c r="DA249" s="45"/>
      <c r="DB249" s="45"/>
      <c r="DC249" s="45"/>
      <c r="DD249" s="45"/>
      <c r="DE249" s="45"/>
      <c r="DF249" s="45"/>
      <c r="DG249" s="45"/>
      <c r="DH249" s="45"/>
      <c r="DM249" s="44"/>
      <c r="DN249" s="44"/>
    </row>
    <row r="250" ht="15.75" customHeight="1">
      <c r="O250" s="43"/>
      <c r="CG250" s="44"/>
      <c r="CH250" s="44"/>
      <c r="DA250" s="45"/>
      <c r="DB250" s="45"/>
      <c r="DC250" s="45"/>
      <c r="DD250" s="45"/>
      <c r="DE250" s="45"/>
      <c r="DF250" s="45"/>
      <c r="DG250" s="45"/>
      <c r="DH250" s="45"/>
      <c r="DM250" s="44"/>
      <c r="DN250" s="44"/>
    </row>
    <row r="251" ht="15.75" customHeight="1">
      <c r="O251" s="43"/>
      <c r="CG251" s="44"/>
      <c r="CH251" s="44"/>
      <c r="DA251" s="45"/>
      <c r="DB251" s="45"/>
      <c r="DC251" s="45"/>
      <c r="DD251" s="45"/>
      <c r="DE251" s="45"/>
      <c r="DF251" s="45"/>
      <c r="DG251" s="45"/>
      <c r="DH251" s="45"/>
      <c r="DM251" s="44"/>
      <c r="DN251" s="44"/>
    </row>
    <row r="252" ht="15.75" customHeight="1">
      <c r="O252" s="43"/>
      <c r="CG252" s="44"/>
      <c r="CH252" s="44"/>
      <c r="DA252" s="45"/>
      <c r="DB252" s="45"/>
      <c r="DC252" s="45"/>
      <c r="DD252" s="45"/>
      <c r="DE252" s="45"/>
      <c r="DF252" s="45"/>
      <c r="DG252" s="45"/>
      <c r="DH252" s="45"/>
      <c r="DM252" s="44"/>
      <c r="DN252" s="44"/>
    </row>
    <row r="253" ht="15.75" customHeight="1">
      <c r="O253" s="43"/>
      <c r="CG253" s="44"/>
      <c r="CH253" s="44"/>
      <c r="DA253" s="45"/>
      <c r="DB253" s="45"/>
      <c r="DC253" s="45"/>
      <c r="DD253" s="45"/>
      <c r="DE253" s="45"/>
      <c r="DF253" s="45"/>
      <c r="DG253" s="45"/>
      <c r="DH253" s="45"/>
      <c r="DM253" s="44"/>
      <c r="DN253" s="44"/>
    </row>
    <row r="254" ht="15.75" customHeight="1">
      <c r="O254" s="43"/>
      <c r="CG254" s="44"/>
      <c r="CH254" s="44"/>
      <c r="DA254" s="45"/>
      <c r="DB254" s="45"/>
      <c r="DC254" s="45"/>
      <c r="DD254" s="45"/>
      <c r="DE254" s="45"/>
      <c r="DF254" s="45"/>
      <c r="DG254" s="45"/>
      <c r="DH254" s="45"/>
      <c r="DM254" s="44"/>
      <c r="DN254" s="44"/>
    </row>
    <row r="255" ht="15.75" customHeight="1">
      <c r="O255" s="43"/>
      <c r="CG255" s="44"/>
      <c r="CH255" s="44"/>
      <c r="DA255" s="45"/>
      <c r="DB255" s="45"/>
      <c r="DC255" s="45"/>
      <c r="DD255" s="45"/>
      <c r="DE255" s="45"/>
      <c r="DF255" s="45"/>
      <c r="DG255" s="45"/>
      <c r="DH255" s="45"/>
      <c r="DM255" s="44"/>
      <c r="DN255" s="44"/>
    </row>
    <row r="256" ht="15.75" customHeight="1">
      <c r="O256" s="43"/>
      <c r="CG256" s="44"/>
      <c r="CH256" s="44"/>
      <c r="DA256" s="45"/>
      <c r="DB256" s="45"/>
      <c r="DC256" s="45"/>
      <c r="DD256" s="45"/>
      <c r="DE256" s="45"/>
      <c r="DF256" s="45"/>
      <c r="DG256" s="45"/>
      <c r="DH256" s="45"/>
      <c r="DM256" s="44"/>
      <c r="DN256" s="44"/>
    </row>
    <row r="257" ht="15.75" customHeight="1">
      <c r="O257" s="43"/>
      <c r="CG257" s="44"/>
      <c r="CH257" s="44"/>
      <c r="DA257" s="45"/>
      <c r="DB257" s="45"/>
      <c r="DC257" s="45"/>
      <c r="DD257" s="45"/>
      <c r="DE257" s="45"/>
      <c r="DF257" s="45"/>
      <c r="DG257" s="45"/>
      <c r="DH257" s="45"/>
      <c r="DM257" s="44"/>
      <c r="DN257" s="44"/>
    </row>
    <row r="258" ht="15.75" customHeight="1">
      <c r="O258" s="43"/>
      <c r="CG258" s="44"/>
      <c r="CH258" s="44"/>
      <c r="DA258" s="45"/>
      <c r="DB258" s="45"/>
      <c r="DC258" s="45"/>
      <c r="DD258" s="45"/>
      <c r="DE258" s="45"/>
      <c r="DF258" s="45"/>
      <c r="DG258" s="45"/>
      <c r="DH258" s="45"/>
      <c r="DM258" s="44"/>
      <c r="DN258" s="44"/>
    </row>
    <row r="259" ht="15.75" customHeight="1">
      <c r="O259" s="43"/>
      <c r="CG259" s="44"/>
      <c r="CH259" s="44"/>
      <c r="DA259" s="45"/>
      <c r="DB259" s="45"/>
      <c r="DC259" s="45"/>
      <c r="DD259" s="45"/>
      <c r="DE259" s="45"/>
      <c r="DF259" s="45"/>
      <c r="DG259" s="45"/>
      <c r="DH259" s="45"/>
      <c r="DM259" s="44"/>
      <c r="DN259" s="44"/>
    </row>
    <row r="260" ht="15.75" customHeight="1">
      <c r="O260" s="43"/>
      <c r="CG260" s="44"/>
      <c r="CH260" s="44"/>
      <c r="DA260" s="45"/>
      <c r="DB260" s="45"/>
      <c r="DC260" s="45"/>
      <c r="DD260" s="45"/>
      <c r="DE260" s="45"/>
      <c r="DF260" s="45"/>
      <c r="DG260" s="45"/>
      <c r="DH260" s="45"/>
      <c r="DM260" s="44"/>
      <c r="DN260" s="44"/>
    </row>
    <row r="261" ht="15.75" customHeight="1">
      <c r="O261" s="43"/>
      <c r="CG261" s="44"/>
      <c r="CH261" s="44"/>
      <c r="DA261" s="45"/>
      <c r="DB261" s="45"/>
      <c r="DC261" s="45"/>
      <c r="DD261" s="45"/>
      <c r="DE261" s="45"/>
      <c r="DF261" s="45"/>
      <c r="DG261" s="45"/>
      <c r="DH261" s="45"/>
      <c r="DM261" s="44"/>
      <c r="DN261" s="44"/>
    </row>
    <row r="262" ht="15.75" customHeight="1">
      <c r="O262" s="43"/>
      <c r="CG262" s="44"/>
      <c r="CH262" s="44"/>
      <c r="DA262" s="45"/>
      <c r="DB262" s="45"/>
      <c r="DC262" s="45"/>
      <c r="DD262" s="45"/>
      <c r="DE262" s="45"/>
      <c r="DF262" s="45"/>
      <c r="DG262" s="45"/>
      <c r="DH262" s="45"/>
      <c r="DM262" s="44"/>
      <c r="DN262" s="44"/>
    </row>
    <row r="263" ht="15.75" customHeight="1">
      <c r="O263" s="43"/>
      <c r="CG263" s="44"/>
      <c r="CH263" s="44"/>
      <c r="DA263" s="45"/>
      <c r="DB263" s="45"/>
      <c r="DC263" s="45"/>
      <c r="DD263" s="45"/>
      <c r="DE263" s="45"/>
      <c r="DF263" s="45"/>
      <c r="DG263" s="45"/>
      <c r="DH263" s="45"/>
      <c r="DM263" s="44"/>
      <c r="DN263" s="44"/>
    </row>
    <row r="264" ht="15.75" customHeight="1">
      <c r="O264" s="43"/>
      <c r="CG264" s="44"/>
      <c r="CH264" s="44"/>
      <c r="DA264" s="45"/>
      <c r="DB264" s="45"/>
      <c r="DC264" s="45"/>
      <c r="DD264" s="45"/>
      <c r="DE264" s="45"/>
      <c r="DF264" s="45"/>
      <c r="DG264" s="45"/>
      <c r="DH264" s="45"/>
      <c r="DM264" s="44"/>
      <c r="DN264" s="44"/>
    </row>
    <row r="265" ht="15.75" customHeight="1">
      <c r="O265" s="43"/>
      <c r="CG265" s="44"/>
      <c r="CH265" s="44"/>
      <c r="DA265" s="45"/>
      <c r="DB265" s="45"/>
      <c r="DC265" s="45"/>
      <c r="DD265" s="45"/>
      <c r="DE265" s="45"/>
      <c r="DF265" s="45"/>
      <c r="DG265" s="45"/>
      <c r="DH265" s="45"/>
      <c r="DM265" s="44"/>
      <c r="DN265" s="44"/>
    </row>
    <row r="266" ht="15.75" customHeight="1">
      <c r="O266" s="43"/>
      <c r="CG266" s="44"/>
      <c r="CH266" s="44"/>
      <c r="DA266" s="45"/>
      <c r="DB266" s="45"/>
      <c r="DC266" s="45"/>
      <c r="DD266" s="45"/>
      <c r="DE266" s="45"/>
      <c r="DF266" s="45"/>
      <c r="DG266" s="45"/>
      <c r="DH266" s="45"/>
      <c r="DM266" s="44"/>
      <c r="DN266" s="44"/>
    </row>
    <row r="267" ht="15.75" customHeight="1">
      <c r="O267" s="43"/>
      <c r="CG267" s="44"/>
      <c r="CH267" s="44"/>
      <c r="DA267" s="45"/>
      <c r="DB267" s="45"/>
      <c r="DC267" s="45"/>
      <c r="DD267" s="45"/>
      <c r="DE267" s="45"/>
      <c r="DF267" s="45"/>
      <c r="DG267" s="45"/>
      <c r="DH267" s="45"/>
      <c r="DM267" s="44"/>
      <c r="DN267" s="44"/>
    </row>
    <row r="268" ht="15.75" customHeight="1">
      <c r="O268" s="43"/>
      <c r="CG268" s="44"/>
      <c r="CH268" s="44"/>
      <c r="DA268" s="45"/>
      <c r="DB268" s="45"/>
      <c r="DC268" s="45"/>
      <c r="DD268" s="45"/>
      <c r="DE268" s="45"/>
      <c r="DF268" s="45"/>
      <c r="DG268" s="45"/>
      <c r="DH268" s="45"/>
      <c r="DM268" s="44"/>
      <c r="DN268" s="44"/>
    </row>
    <row r="269" ht="15.75" customHeight="1">
      <c r="O269" s="43"/>
      <c r="CG269" s="44"/>
      <c r="CH269" s="44"/>
      <c r="DA269" s="45"/>
      <c r="DB269" s="45"/>
      <c r="DC269" s="45"/>
      <c r="DD269" s="45"/>
      <c r="DE269" s="45"/>
      <c r="DF269" s="45"/>
      <c r="DG269" s="45"/>
      <c r="DH269" s="45"/>
      <c r="DM269" s="44"/>
      <c r="DN269" s="44"/>
    </row>
    <row r="270" ht="15.75" customHeight="1">
      <c r="O270" s="43"/>
      <c r="CG270" s="44"/>
      <c r="CH270" s="44"/>
      <c r="DA270" s="45"/>
      <c r="DB270" s="45"/>
      <c r="DC270" s="45"/>
      <c r="DD270" s="45"/>
      <c r="DE270" s="45"/>
      <c r="DF270" s="45"/>
      <c r="DG270" s="45"/>
      <c r="DH270" s="45"/>
      <c r="DM270" s="44"/>
      <c r="DN270" s="44"/>
    </row>
    <row r="271" ht="15.75" customHeight="1">
      <c r="O271" s="43"/>
      <c r="CG271" s="44"/>
      <c r="CH271" s="44"/>
      <c r="DA271" s="45"/>
      <c r="DB271" s="45"/>
      <c r="DC271" s="45"/>
      <c r="DD271" s="45"/>
      <c r="DE271" s="45"/>
      <c r="DF271" s="45"/>
      <c r="DG271" s="45"/>
      <c r="DH271" s="45"/>
      <c r="DM271" s="44"/>
      <c r="DN271" s="44"/>
    </row>
    <row r="272" ht="15.75" customHeight="1">
      <c r="O272" s="43"/>
      <c r="CG272" s="44"/>
      <c r="CH272" s="44"/>
      <c r="DA272" s="45"/>
      <c r="DB272" s="45"/>
      <c r="DC272" s="45"/>
      <c r="DD272" s="45"/>
      <c r="DE272" s="45"/>
      <c r="DF272" s="45"/>
      <c r="DG272" s="45"/>
      <c r="DH272" s="45"/>
      <c r="DM272" s="44"/>
      <c r="DN272" s="44"/>
    </row>
    <row r="273" ht="15.75" customHeight="1">
      <c r="O273" s="43"/>
      <c r="CG273" s="44"/>
      <c r="CH273" s="44"/>
      <c r="DA273" s="45"/>
      <c r="DB273" s="45"/>
      <c r="DC273" s="45"/>
      <c r="DD273" s="45"/>
      <c r="DE273" s="45"/>
      <c r="DF273" s="45"/>
      <c r="DG273" s="45"/>
      <c r="DH273" s="45"/>
      <c r="DM273" s="44"/>
      <c r="DN273" s="44"/>
    </row>
    <row r="274" ht="15.75" customHeight="1">
      <c r="O274" s="43"/>
      <c r="CG274" s="44"/>
      <c r="CH274" s="44"/>
      <c r="DA274" s="45"/>
      <c r="DB274" s="45"/>
      <c r="DC274" s="45"/>
      <c r="DD274" s="45"/>
      <c r="DE274" s="45"/>
      <c r="DF274" s="45"/>
      <c r="DG274" s="45"/>
      <c r="DH274" s="45"/>
      <c r="DM274" s="44"/>
      <c r="DN274" s="44"/>
    </row>
    <row r="275" ht="15.75" customHeight="1">
      <c r="O275" s="43"/>
      <c r="CG275" s="44"/>
      <c r="CH275" s="44"/>
      <c r="DA275" s="45"/>
      <c r="DB275" s="45"/>
      <c r="DC275" s="45"/>
      <c r="DD275" s="45"/>
      <c r="DE275" s="45"/>
      <c r="DF275" s="45"/>
      <c r="DG275" s="45"/>
      <c r="DH275" s="45"/>
      <c r="DM275" s="44"/>
      <c r="DN275" s="44"/>
    </row>
    <row r="276" ht="15.75" customHeight="1">
      <c r="O276" s="43"/>
      <c r="CG276" s="44"/>
      <c r="CH276" s="44"/>
      <c r="DA276" s="45"/>
      <c r="DB276" s="45"/>
      <c r="DC276" s="45"/>
      <c r="DD276" s="45"/>
      <c r="DE276" s="45"/>
      <c r="DF276" s="45"/>
      <c r="DG276" s="45"/>
      <c r="DH276" s="45"/>
      <c r="DM276" s="44"/>
      <c r="DN276" s="44"/>
    </row>
    <row r="277" ht="15.75" customHeight="1">
      <c r="O277" s="43"/>
      <c r="CG277" s="44"/>
      <c r="CH277" s="44"/>
      <c r="DA277" s="45"/>
      <c r="DB277" s="45"/>
      <c r="DC277" s="45"/>
      <c r="DD277" s="45"/>
      <c r="DE277" s="45"/>
      <c r="DF277" s="45"/>
      <c r="DG277" s="45"/>
      <c r="DH277" s="45"/>
      <c r="DM277" s="44"/>
      <c r="DN277" s="44"/>
    </row>
    <row r="278" ht="15.75" customHeight="1">
      <c r="O278" s="43"/>
      <c r="CG278" s="44"/>
      <c r="CH278" s="44"/>
      <c r="DA278" s="45"/>
      <c r="DB278" s="45"/>
      <c r="DC278" s="45"/>
      <c r="DD278" s="45"/>
      <c r="DE278" s="45"/>
      <c r="DF278" s="45"/>
      <c r="DG278" s="45"/>
      <c r="DH278" s="45"/>
      <c r="DM278" s="44"/>
      <c r="DN278" s="44"/>
    </row>
    <row r="279" ht="15.75" customHeight="1">
      <c r="O279" s="43"/>
      <c r="CG279" s="44"/>
      <c r="CH279" s="44"/>
      <c r="DA279" s="45"/>
      <c r="DB279" s="45"/>
      <c r="DC279" s="45"/>
      <c r="DD279" s="45"/>
      <c r="DE279" s="45"/>
      <c r="DF279" s="45"/>
      <c r="DG279" s="45"/>
      <c r="DH279" s="45"/>
      <c r="DM279" s="44"/>
      <c r="DN279" s="44"/>
    </row>
    <row r="280" ht="15.75" customHeight="1">
      <c r="O280" s="43"/>
      <c r="CG280" s="44"/>
      <c r="CH280" s="44"/>
      <c r="DA280" s="45"/>
      <c r="DB280" s="45"/>
      <c r="DC280" s="45"/>
      <c r="DD280" s="45"/>
      <c r="DE280" s="45"/>
      <c r="DF280" s="45"/>
      <c r="DG280" s="45"/>
      <c r="DH280" s="45"/>
      <c r="DM280" s="44"/>
      <c r="DN280" s="44"/>
    </row>
    <row r="281" ht="15.75" customHeight="1">
      <c r="O281" s="43"/>
      <c r="CG281" s="44"/>
      <c r="CH281" s="44"/>
      <c r="DA281" s="45"/>
      <c r="DB281" s="45"/>
      <c r="DC281" s="45"/>
      <c r="DD281" s="45"/>
      <c r="DE281" s="45"/>
      <c r="DF281" s="45"/>
      <c r="DG281" s="45"/>
      <c r="DH281" s="45"/>
      <c r="DM281" s="44"/>
      <c r="DN281" s="44"/>
    </row>
    <row r="282" ht="15.75" customHeight="1">
      <c r="O282" s="43"/>
      <c r="CG282" s="44"/>
      <c r="CH282" s="44"/>
      <c r="DA282" s="45"/>
      <c r="DB282" s="45"/>
      <c r="DC282" s="45"/>
      <c r="DD282" s="45"/>
      <c r="DE282" s="45"/>
      <c r="DF282" s="45"/>
      <c r="DG282" s="45"/>
      <c r="DH282" s="45"/>
      <c r="DM282" s="44"/>
      <c r="DN282" s="44"/>
    </row>
    <row r="283" ht="15.75" customHeight="1">
      <c r="O283" s="43"/>
      <c r="CG283" s="44"/>
      <c r="CH283" s="44"/>
      <c r="DA283" s="45"/>
      <c r="DB283" s="45"/>
      <c r="DC283" s="45"/>
      <c r="DD283" s="45"/>
      <c r="DE283" s="45"/>
      <c r="DF283" s="45"/>
      <c r="DG283" s="45"/>
      <c r="DH283" s="45"/>
      <c r="DM283" s="44"/>
      <c r="DN283" s="44"/>
    </row>
    <row r="284" ht="15.75" customHeight="1">
      <c r="O284" s="43"/>
      <c r="CG284" s="44"/>
      <c r="CH284" s="44"/>
      <c r="DA284" s="45"/>
      <c r="DB284" s="45"/>
      <c r="DC284" s="45"/>
      <c r="DD284" s="45"/>
      <c r="DE284" s="45"/>
      <c r="DF284" s="45"/>
      <c r="DG284" s="45"/>
      <c r="DH284" s="45"/>
      <c r="DM284" s="44"/>
      <c r="DN284" s="44"/>
    </row>
    <row r="285" ht="15.75" customHeight="1">
      <c r="O285" s="43"/>
      <c r="CG285" s="44"/>
      <c r="CH285" s="44"/>
      <c r="DA285" s="45"/>
      <c r="DB285" s="45"/>
      <c r="DC285" s="45"/>
      <c r="DD285" s="45"/>
      <c r="DE285" s="45"/>
      <c r="DF285" s="45"/>
      <c r="DG285" s="45"/>
      <c r="DH285" s="45"/>
      <c r="DM285" s="44"/>
      <c r="DN285" s="44"/>
    </row>
    <row r="286" ht="15.75" customHeight="1">
      <c r="O286" s="43"/>
      <c r="CG286" s="44"/>
      <c r="CH286" s="44"/>
      <c r="DA286" s="45"/>
      <c r="DB286" s="45"/>
      <c r="DC286" s="45"/>
      <c r="DD286" s="45"/>
      <c r="DE286" s="45"/>
      <c r="DF286" s="45"/>
      <c r="DG286" s="45"/>
      <c r="DH286" s="45"/>
      <c r="DM286" s="44"/>
      <c r="DN286" s="44"/>
    </row>
    <row r="287" ht="15.75" customHeight="1">
      <c r="O287" s="43"/>
      <c r="CG287" s="44"/>
      <c r="CH287" s="44"/>
      <c r="DA287" s="45"/>
      <c r="DB287" s="45"/>
      <c r="DC287" s="45"/>
      <c r="DD287" s="45"/>
      <c r="DE287" s="45"/>
      <c r="DF287" s="45"/>
      <c r="DG287" s="45"/>
      <c r="DH287" s="45"/>
      <c r="DM287" s="44"/>
      <c r="DN287" s="44"/>
    </row>
    <row r="288" ht="15.75" customHeight="1">
      <c r="O288" s="43"/>
      <c r="CG288" s="44"/>
      <c r="CH288" s="44"/>
      <c r="DA288" s="45"/>
      <c r="DB288" s="45"/>
      <c r="DC288" s="45"/>
      <c r="DD288" s="45"/>
      <c r="DE288" s="45"/>
      <c r="DF288" s="45"/>
      <c r="DG288" s="45"/>
      <c r="DH288" s="45"/>
      <c r="DM288" s="44"/>
      <c r="DN288" s="44"/>
    </row>
    <row r="289" ht="15.75" customHeight="1">
      <c r="O289" s="43"/>
      <c r="CG289" s="44"/>
      <c r="CH289" s="44"/>
      <c r="DA289" s="45"/>
      <c r="DB289" s="45"/>
      <c r="DC289" s="45"/>
      <c r="DD289" s="45"/>
      <c r="DE289" s="45"/>
      <c r="DF289" s="45"/>
      <c r="DG289" s="45"/>
      <c r="DH289" s="45"/>
      <c r="DM289" s="44"/>
      <c r="DN289" s="44"/>
    </row>
    <row r="290" ht="15.75" customHeight="1">
      <c r="O290" s="43"/>
      <c r="CG290" s="44"/>
      <c r="CH290" s="44"/>
      <c r="DA290" s="45"/>
      <c r="DB290" s="45"/>
      <c r="DC290" s="45"/>
      <c r="DD290" s="45"/>
      <c r="DE290" s="45"/>
      <c r="DF290" s="45"/>
      <c r="DG290" s="45"/>
      <c r="DH290" s="45"/>
      <c r="DM290" s="44"/>
      <c r="DN290" s="44"/>
    </row>
    <row r="291" ht="15.75" customHeight="1">
      <c r="O291" s="43"/>
      <c r="CG291" s="44"/>
      <c r="CH291" s="44"/>
      <c r="DA291" s="45"/>
      <c r="DB291" s="45"/>
      <c r="DC291" s="45"/>
      <c r="DD291" s="45"/>
      <c r="DE291" s="45"/>
      <c r="DF291" s="45"/>
      <c r="DG291" s="45"/>
      <c r="DH291" s="45"/>
      <c r="DM291" s="44"/>
      <c r="DN291" s="44"/>
    </row>
    <row r="292" ht="15.75" customHeight="1">
      <c r="O292" s="43"/>
      <c r="CG292" s="44"/>
      <c r="CH292" s="44"/>
      <c r="DA292" s="45"/>
      <c r="DB292" s="45"/>
      <c r="DC292" s="45"/>
      <c r="DD292" s="45"/>
      <c r="DE292" s="45"/>
      <c r="DF292" s="45"/>
      <c r="DG292" s="45"/>
      <c r="DH292" s="45"/>
      <c r="DM292" s="44"/>
      <c r="DN292" s="44"/>
    </row>
    <row r="293" ht="15.75" customHeight="1">
      <c r="O293" s="43"/>
      <c r="CG293" s="44"/>
      <c r="CH293" s="44"/>
      <c r="DA293" s="45"/>
      <c r="DB293" s="45"/>
      <c r="DC293" s="45"/>
      <c r="DD293" s="45"/>
      <c r="DE293" s="45"/>
      <c r="DF293" s="45"/>
      <c r="DG293" s="45"/>
      <c r="DH293" s="45"/>
      <c r="DM293" s="44"/>
      <c r="DN293" s="44"/>
    </row>
    <row r="294" ht="15.75" customHeight="1">
      <c r="O294" s="43"/>
      <c r="CG294" s="44"/>
      <c r="CH294" s="44"/>
      <c r="DA294" s="45"/>
      <c r="DB294" s="45"/>
      <c r="DC294" s="45"/>
      <c r="DD294" s="45"/>
      <c r="DE294" s="45"/>
      <c r="DF294" s="45"/>
      <c r="DG294" s="45"/>
      <c r="DH294" s="45"/>
      <c r="DM294" s="44"/>
      <c r="DN294" s="44"/>
    </row>
    <row r="295" ht="15.75" customHeight="1">
      <c r="O295" s="43"/>
      <c r="CG295" s="44"/>
      <c r="CH295" s="44"/>
      <c r="DA295" s="45"/>
      <c r="DB295" s="45"/>
      <c r="DC295" s="45"/>
      <c r="DD295" s="45"/>
      <c r="DE295" s="45"/>
      <c r="DF295" s="45"/>
      <c r="DG295" s="45"/>
      <c r="DH295" s="45"/>
      <c r="DM295" s="44"/>
      <c r="DN295" s="44"/>
    </row>
    <row r="296" ht="15.75" customHeight="1">
      <c r="O296" s="43"/>
      <c r="CG296" s="44"/>
      <c r="CH296" s="44"/>
      <c r="DA296" s="45"/>
      <c r="DB296" s="45"/>
      <c r="DC296" s="45"/>
      <c r="DD296" s="45"/>
      <c r="DE296" s="45"/>
      <c r="DF296" s="45"/>
      <c r="DG296" s="45"/>
      <c r="DH296" s="45"/>
      <c r="DM296" s="44"/>
      <c r="DN296" s="44"/>
    </row>
    <row r="297" ht="15.75" customHeight="1">
      <c r="O297" s="43"/>
      <c r="CG297" s="44"/>
      <c r="CH297" s="44"/>
      <c r="DA297" s="45"/>
      <c r="DB297" s="45"/>
      <c r="DC297" s="45"/>
      <c r="DD297" s="45"/>
      <c r="DE297" s="45"/>
      <c r="DF297" s="45"/>
      <c r="DG297" s="45"/>
      <c r="DH297" s="45"/>
      <c r="DM297" s="44"/>
      <c r="DN297" s="44"/>
    </row>
    <row r="298" ht="15.75" customHeight="1">
      <c r="O298" s="43"/>
      <c r="CG298" s="44"/>
      <c r="CH298" s="44"/>
      <c r="DA298" s="45"/>
      <c r="DB298" s="45"/>
      <c r="DC298" s="45"/>
      <c r="DD298" s="45"/>
      <c r="DE298" s="45"/>
      <c r="DF298" s="45"/>
      <c r="DG298" s="45"/>
      <c r="DH298" s="45"/>
      <c r="DM298" s="44"/>
      <c r="DN298" s="44"/>
    </row>
    <row r="299" ht="15.75" customHeight="1">
      <c r="O299" s="43"/>
      <c r="CG299" s="44"/>
      <c r="CH299" s="44"/>
      <c r="DA299" s="45"/>
      <c r="DB299" s="45"/>
      <c r="DC299" s="45"/>
      <c r="DD299" s="45"/>
      <c r="DE299" s="45"/>
      <c r="DF299" s="45"/>
      <c r="DG299" s="45"/>
      <c r="DH299" s="45"/>
      <c r="DM299" s="44"/>
      <c r="DN299" s="44"/>
    </row>
    <row r="300" ht="15.75" customHeight="1">
      <c r="O300" s="43"/>
      <c r="CG300" s="44"/>
      <c r="CH300" s="44"/>
      <c r="DA300" s="45"/>
      <c r="DB300" s="45"/>
      <c r="DC300" s="45"/>
      <c r="DD300" s="45"/>
      <c r="DE300" s="45"/>
      <c r="DF300" s="45"/>
      <c r="DG300" s="45"/>
      <c r="DH300" s="45"/>
      <c r="DM300" s="44"/>
      <c r="DN300" s="44"/>
    </row>
    <row r="301" ht="15.75" customHeight="1">
      <c r="O301" s="43"/>
      <c r="CG301" s="44"/>
      <c r="CH301" s="44"/>
      <c r="DA301" s="45"/>
      <c r="DB301" s="45"/>
      <c r="DC301" s="45"/>
      <c r="DD301" s="45"/>
      <c r="DE301" s="45"/>
      <c r="DF301" s="45"/>
      <c r="DG301" s="45"/>
      <c r="DH301" s="45"/>
      <c r="DM301" s="44"/>
      <c r="DN301" s="44"/>
    </row>
    <row r="302" ht="15.75" customHeight="1">
      <c r="O302" s="43"/>
      <c r="CG302" s="44"/>
      <c r="CH302" s="44"/>
      <c r="DA302" s="45"/>
      <c r="DB302" s="45"/>
      <c r="DC302" s="45"/>
      <c r="DD302" s="45"/>
      <c r="DE302" s="45"/>
      <c r="DF302" s="45"/>
      <c r="DG302" s="45"/>
      <c r="DH302" s="45"/>
      <c r="DM302" s="44"/>
      <c r="DN302" s="44"/>
    </row>
    <row r="303" ht="15.75" customHeight="1">
      <c r="O303" s="43"/>
      <c r="CG303" s="44"/>
      <c r="CH303" s="44"/>
      <c r="DA303" s="45"/>
      <c r="DB303" s="45"/>
      <c r="DC303" s="45"/>
      <c r="DD303" s="45"/>
      <c r="DE303" s="45"/>
      <c r="DF303" s="45"/>
      <c r="DG303" s="45"/>
      <c r="DH303" s="45"/>
      <c r="DM303" s="44"/>
      <c r="DN303" s="44"/>
    </row>
    <row r="304" ht="15.75" customHeight="1">
      <c r="O304" s="43"/>
      <c r="CG304" s="44"/>
      <c r="CH304" s="44"/>
      <c r="DA304" s="45"/>
      <c r="DB304" s="45"/>
      <c r="DC304" s="45"/>
      <c r="DD304" s="45"/>
      <c r="DE304" s="45"/>
      <c r="DF304" s="45"/>
      <c r="DG304" s="45"/>
      <c r="DH304" s="45"/>
      <c r="DM304" s="44"/>
      <c r="DN304" s="44"/>
    </row>
    <row r="305" ht="15.75" customHeight="1">
      <c r="O305" s="43"/>
      <c r="CG305" s="44"/>
      <c r="CH305" s="44"/>
      <c r="DA305" s="45"/>
      <c r="DB305" s="45"/>
      <c r="DC305" s="45"/>
      <c r="DD305" s="45"/>
      <c r="DE305" s="45"/>
      <c r="DF305" s="45"/>
      <c r="DG305" s="45"/>
      <c r="DH305" s="45"/>
      <c r="DM305" s="44"/>
      <c r="DN305" s="44"/>
    </row>
    <row r="306" ht="15.75" customHeight="1">
      <c r="O306" s="43"/>
      <c r="CG306" s="44"/>
      <c r="CH306" s="44"/>
      <c r="DA306" s="45"/>
      <c r="DB306" s="45"/>
      <c r="DC306" s="45"/>
      <c r="DD306" s="45"/>
      <c r="DE306" s="45"/>
      <c r="DF306" s="45"/>
      <c r="DG306" s="45"/>
      <c r="DH306" s="45"/>
      <c r="DM306" s="44"/>
      <c r="DN306" s="44"/>
    </row>
    <row r="307" ht="15.75" customHeight="1">
      <c r="O307" s="43"/>
      <c r="CG307" s="44"/>
      <c r="CH307" s="44"/>
      <c r="DA307" s="45"/>
      <c r="DB307" s="45"/>
      <c r="DC307" s="45"/>
      <c r="DD307" s="45"/>
      <c r="DE307" s="45"/>
      <c r="DF307" s="45"/>
      <c r="DG307" s="45"/>
      <c r="DH307" s="45"/>
      <c r="DM307" s="44"/>
      <c r="DN307" s="44"/>
    </row>
    <row r="308" ht="15.75" customHeight="1">
      <c r="O308" s="43"/>
      <c r="CG308" s="44"/>
      <c r="CH308" s="44"/>
      <c r="DA308" s="45"/>
      <c r="DB308" s="45"/>
      <c r="DC308" s="45"/>
      <c r="DD308" s="45"/>
      <c r="DE308" s="45"/>
      <c r="DF308" s="45"/>
      <c r="DG308" s="45"/>
      <c r="DH308" s="45"/>
      <c r="DM308" s="44"/>
      <c r="DN308" s="44"/>
    </row>
    <row r="309" ht="15.75" customHeight="1">
      <c r="O309" s="43"/>
      <c r="CG309" s="44"/>
      <c r="CH309" s="44"/>
      <c r="DA309" s="45"/>
      <c r="DB309" s="45"/>
      <c r="DC309" s="45"/>
      <c r="DD309" s="45"/>
      <c r="DE309" s="45"/>
      <c r="DF309" s="45"/>
      <c r="DG309" s="45"/>
      <c r="DH309" s="45"/>
      <c r="DM309" s="44"/>
      <c r="DN309" s="44"/>
    </row>
    <row r="310" ht="15.75" customHeight="1">
      <c r="O310" s="43"/>
      <c r="CG310" s="44"/>
      <c r="CH310" s="44"/>
      <c r="DA310" s="45"/>
      <c r="DB310" s="45"/>
      <c r="DC310" s="45"/>
      <c r="DD310" s="45"/>
      <c r="DE310" s="45"/>
      <c r="DF310" s="45"/>
      <c r="DG310" s="45"/>
      <c r="DH310" s="45"/>
      <c r="DM310" s="44"/>
      <c r="DN310" s="44"/>
    </row>
    <row r="311" ht="15.75" customHeight="1">
      <c r="O311" s="43"/>
      <c r="CG311" s="44"/>
      <c r="CH311" s="44"/>
      <c r="DA311" s="45"/>
      <c r="DB311" s="45"/>
      <c r="DC311" s="45"/>
      <c r="DD311" s="45"/>
      <c r="DE311" s="45"/>
      <c r="DF311" s="45"/>
      <c r="DG311" s="45"/>
      <c r="DH311" s="45"/>
      <c r="DM311" s="44"/>
      <c r="DN311" s="44"/>
    </row>
    <row r="312" ht="15.75" customHeight="1">
      <c r="O312" s="43"/>
      <c r="CG312" s="44"/>
      <c r="CH312" s="44"/>
      <c r="DA312" s="45"/>
      <c r="DB312" s="45"/>
      <c r="DC312" s="45"/>
      <c r="DD312" s="45"/>
      <c r="DE312" s="45"/>
      <c r="DF312" s="45"/>
      <c r="DG312" s="45"/>
      <c r="DH312" s="45"/>
      <c r="DM312" s="44"/>
      <c r="DN312" s="44"/>
    </row>
    <row r="313" ht="15.75" customHeight="1">
      <c r="O313" s="43"/>
      <c r="CG313" s="44"/>
      <c r="CH313" s="44"/>
      <c r="DA313" s="45"/>
      <c r="DB313" s="45"/>
      <c r="DC313" s="45"/>
      <c r="DD313" s="45"/>
      <c r="DE313" s="45"/>
      <c r="DF313" s="45"/>
      <c r="DG313" s="45"/>
      <c r="DH313" s="45"/>
      <c r="DM313" s="44"/>
      <c r="DN313" s="44"/>
    </row>
    <row r="314" ht="15.75" customHeight="1">
      <c r="O314" s="43"/>
      <c r="CG314" s="44"/>
      <c r="CH314" s="44"/>
      <c r="DA314" s="45"/>
      <c r="DB314" s="45"/>
      <c r="DC314" s="45"/>
      <c r="DD314" s="45"/>
      <c r="DE314" s="45"/>
      <c r="DF314" s="45"/>
      <c r="DG314" s="45"/>
      <c r="DH314" s="45"/>
      <c r="DM314" s="44"/>
      <c r="DN314" s="44"/>
    </row>
    <row r="315" ht="15.75" customHeight="1">
      <c r="O315" s="43"/>
      <c r="CG315" s="44"/>
      <c r="CH315" s="44"/>
      <c r="DA315" s="45"/>
      <c r="DB315" s="45"/>
      <c r="DC315" s="45"/>
      <c r="DD315" s="45"/>
      <c r="DE315" s="45"/>
      <c r="DF315" s="45"/>
      <c r="DG315" s="45"/>
      <c r="DH315" s="45"/>
      <c r="DM315" s="44"/>
      <c r="DN315" s="44"/>
    </row>
    <row r="316" ht="15.75" customHeight="1">
      <c r="O316" s="43"/>
      <c r="CG316" s="44"/>
      <c r="CH316" s="44"/>
      <c r="DA316" s="45"/>
      <c r="DB316" s="45"/>
      <c r="DC316" s="45"/>
      <c r="DD316" s="45"/>
      <c r="DE316" s="45"/>
      <c r="DF316" s="45"/>
      <c r="DG316" s="45"/>
      <c r="DH316" s="45"/>
      <c r="DM316" s="44"/>
      <c r="DN316" s="44"/>
    </row>
    <row r="317" ht="15.75" customHeight="1">
      <c r="O317" s="43"/>
      <c r="CG317" s="44"/>
      <c r="CH317" s="44"/>
      <c r="DA317" s="45"/>
      <c r="DB317" s="45"/>
      <c r="DC317" s="45"/>
      <c r="DD317" s="45"/>
      <c r="DE317" s="45"/>
      <c r="DF317" s="45"/>
      <c r="DG317" s="45"/>
      <c r="DH317" s="45"/>
      <c r="DM317" s="44"/>
      <c r="DN317" s="44"/>
    </row>
    <row r="318" ht="15.75" customHeight="1">
      <c r="O318" s="43"/>
      <c r="CG318" s="44"/>
      <c r="CH318" s="44"/>
      <c r="DA318" s="45"/>
      <c r="DB318" s="45"/>
      <c r="DC318" s="45"/>
      <c r="DD318" s="45"/>
      <c r="DE318" s="45"/>
      <c r="DF318" s="45"/>
      <c r="DG318" s="45"/>
      <c r="DH318" s="45"/>
      <c r="DM318" s="44"/>
      <c r="DN318" s="44"/>
    </row>
    <row r="319" ht="15.75" customHeight="1">
      <c r="O319" s="43"/>
      <c r="CG319" s="44"/>
      <c r="CH319" s="44"/>
      <c r="DA319" s="45"/>
      <c r="DB319" s="45"/>
      <c r="DC319" s="45"/>
      <c r="DD319" s="45"/>
      <c r="DE319" s="45"/>
      <c r="DF319" s="45"/>
      <c r="DG319" s="45"/>
      <c r="DH319" s="45"/>
      <c r="DM319" s="44"/>
      <c r="DN319" s="44"/>
    </row>
    <row r="320" ht="15.75" customHeight="1">
      <c r="O320" s="43"/>
      <c r="CG320" s="44"/>
      <c r="CH320" s="44"/>
      <c r="DA320" s="45"/>
      <c r="DB320" s="45"/>
      <c r="DC320" s="45"/>
      <c r="DD320" s="45"/>
      <c r="DE320" s="45"/>
      <c r="DF320" s="45"/>
      <c r="DG320" s="45"/>
      <c r="DH320" s="45"/>
      <c r="DM320" s="44"/>
      <c r="DN320" s="44"/>
    </row>
    <row r="321" ht="15.75" customHeight="1">
      <c r="O321" s="43"/>
      <c r="CG321" s="44"/>
      <c r="CH321" s="44"/>
      <c r="DA321" s="45"/>
      <c r="DB321" s="45"/>
      <c r="DC321" s="45"/>
      <c r="DD321" s="45"/>
      <c r="DE321" s="45"/>
      <c r="DF321" s="45"/>
      <c r="DG321" s="45"/>
      <c r="DH321" s="45"/>
      <c r="DM321" s="44"/>
      <c r="DN321" s="44"/>
    </row>
    <row r="322" ht="15.75" customHeight="1">
      <c r="O322" s="43"/>
      <c r="CG322" s="44"/>
      <c r="CH322" s="44"/>
      <c r="DA322" s="45"/>
      <c r="DB322" s="45"/>
      <c r="DC322" s="45"/>
      <c r="DD322" s="45"/>
      <c r="DE322" s="45"/>
      <c r="DF322" s="45"/>
      <c r="DG322" s="45"/>
      <c r="DH322" s="45"/>
      <c r="DM322" s="44"/>
      <c r="DN322" s="44"/>
    </row>
    <row r="323" ht="15.75" customHeight="1">
      <c r="O323" s="43"/>
      <c r="CG323" s="44"/>
      <c r="CH323" s="44"/>
      <c r="DA323" s="45"/>
      <c r="DB323" s="45"/>
      <c r="DC323" s="45"/>
      <c r="DD323" s="45"/>
      <c r="DE323" s="45"/>
      <c r="DF323" s="45"/>
      <c r="DG323" s="45"/>
      <c r="DH323" s="45"/>
      <c r="DM323" s="44"/>
      <c r="DN323" s="44"/>
    </row>
    <row r="324" ht="15.75" customHeight="1">
      <c r="O324" s="43"/>
      <c r="CG324" s="44"/>
      <c r="CH324" s="44"/>
      <c r="DA324" s="45"/>
      <c r="DB324" s="45"/>
      <c r="DC324" s="45"/>
      <c r="DD324" s="45"/>
      <c r="DE324" s="45"/>
      <c r="DF324" s="45"/>
      <c r="DG324" s="45"/>
      <c r="DH324" s="45"/>
      <c r="DM324" s="44"/>
      <c r="DN324" s="44"/>
    </row>
    <row r="325" ht="15.75" customHeight="1">
      <c r="O325" s="43"/>
      <c r="CG325" s="44"/>
      <c r="CH325" s="44"/>
      <c r="DA325" s="45"/>
      <c r="DB325" s="45"/>
      <c r="DC325" s="45"/>
      <c r="DD325" s="45"/>
      <c r="DE325" s="45"/>
      <c r="DF325" s="45"/>
      <c r="DG325" s="45"/>
      <c r="DH325" s="45"/>
      <c r="DM325" s="44"/>
      <c r="DN325" s="44"/>
    </row>
    <row r="326" ht="15.75" customHeight="1">
      <c r="O326" s="43"/>
      <c r="CG326" s="44"/>
      <c r="CH326" s="44"/>
      <c r="DA326" s="45"/>
      <c r="DB326" s="45"/>
      <c r="DC326" s="45"/>
      <c r="DD326" s="45"/>
      <c r="DE326" s="45"/>
      <c r="DF326" s="45"/>
      <c r="DG326" s="45"/>
      <c r="DH326" s="45"/>
      <c r="DM326" s="44"/>
      <c r="DN326" s="44"/>
    </row>
    <row r="327" ht="15.75" customHeight="1">
      <c r="O327" s="43"/>
      <c r="CG327" s="44"/>
      <c r="CH327" s="44"/>
      <c r="DA327" s="45"/>
      <c r="DB327" s="45"/>
      <c r="DC327" s="45"/>
      <c r="DD327" s="45"/>
      <c r="DE327" s="45"/>
      <c r="DF327" s="45"/>
      <c r="DG327" s="45"/>
      <c r="DH327" s="45"/>
      <c r="DM327" s="44"/>
      <c r="DN327" s="44"/>
    </row>
    <row r="328" ht="15.75" customHeight="1">
      <c r="O328" s="43"/>
      <c r="CG328" s="44"/>
      <c r="CH328" s="44"/>
      <c r="DA328" s="45"/>
      <c r="DB328" s="45"/>
      <c r="DC328" s="45"/>
      <c r="DD328" s="45"/>
      <c r="DE328" s="45"/>
      <c r="DF328" s="45"/>
      <c r="DG328" s="45"/>
      <c r="DH328" s="45"/>
      <c r="DM328" s="44"/>
      <c r="DN328" s="44"/>
    </row>
    <row r="329" ht="15.75" customHeight="1">
      <c r="O329" s="43"/>
      <c r="CG329" s="44"/>
      <c r="CH329" s="44"/>
      <c r="DA329" s="45"/>
      <c r="DB329" s="45"/>
      <c r="DC329" s="45"/>
      <c r="DD329" s="45"/>
      <c r="DE329" s="45"/>
      <c r="DF329" s="45"/>
      <c r="DG329" s="45"/>
      <c r="DH329" s="45"/>
      <c r="DM329" s="44"/>
      <c r="DN329" s="44"/>
    </row>
    <row r="330" ht="15.75" customHeight="1">
      <c r="O330" s="43"/>
      <c r="CG330" s="44"/>
      <c r="CH330" s="44"/>
      <c r="DA330" s="45"/>
      <c r="DB330" s="45"/>
      <c r="DC330" s="45"/>
      <c r="DD330" s="45"/>
      <c r="DE330" s="45"/>
      <c r="DF330" s="45"/>
      <c r="DG330" s="45"/>
      <c r="DH330" s="45"/>
      <c r="DM330" s="44"/>
      <c r="DN330" s="44"/>
    </row>
    <row r="331" ht="15.75" customHeight="1">
      <c r="O331" s="43"/>
      <c r="CG331" s="44"/>
      <c r="CH331" s="44"/>
      <c r="DA331" s="45"/>
      <c r="DB331" s="45"/>
      <c r="DC331" s="45"/>
      <c r="DD331" s="45"/>
      <c r="DE331" s="45"/>
      <c r="DF331" s="45"/>
      <c r="DG331" s="45"/>
      <c r="DH331" s="45"/>
      <c r="DM331" s="44"/>
      <c r="DN331" s="44"/>
    </row>
    <row r="332" ht="15.75" customHeight="1">
      <c r="O332" s="43"/>
      <c r="CG332" s="44"/>
      <c r="CH332" s="44"/>
      <c r="DA332" s="45"/>
      <c r="DB332" s="45"/>
      <c r="DC332" s="45"/>
      <c r="DD332" s="45"/>
      <c r="DE332" s="45"/>
      <c r="DF332" s="45"/>
      <c r="DG332" s="45"/>
      <c r="DH332" s="45"/>
      <c r="DM332" s="44"/>
      <c r="DN332" s="44"/>
    </row>
    <row r="333" ht="15.75" customHeight="1">
      <c r="O333" s="43"/>
      <c r="CG333" s="44"/>
      <c r="CH333" s="44"/>
      <c r="DA333" s="45"/>
      <c r="DB333" s="45"/>
      <c r="DC333" s="45"/>
      <c r="DD333" s="45"/>
      <c r="DE333" s="45"/>
      <c r="DF333" s="45"/>
      <c r="DG333" s="45"/>
      <c r="DH333" s="45"/>
      <c r="DM333" s="44"/>
      <c r="DN333" s="44"/>
    </row>
    <row r="334" ht="15.75" customHeight="1">
      <c r="O334" s="43"/>
      <c r="CG334" s="44"/>
      <c r="CH334" s="44"/>
      <c r="DA334" s="45"/>
      <c r="DB334" s="45"/>
      <c r="DC334" s="45"/>
      <c r="DD334" s="45"/>
      <c r="DE334" s="45"/>
      <c r="DF334" s="45"/>
      <c r="DG334" s="45"/>
      <c r="DH334" s="45"/>
      <c r="DM334" s="44"/>
      <c r="DN334" s="44"/>
    </row>
    <row r="335" ht="15.75" customHeight="1">
      <c r="O335" s="43"/>
      <c r="CG335" s="44"/>
      <c r="CH335" s="44"/>
      <c r="DA335" s="45"/>
      <c r="DB335" s="45"/>
      <c r="DC335" s="45"/>
      <c r="DD335" s="45"/>
      <c r="DE335" s="45"/>
      <c r="DF335" s="45"/>
      <c r="DG335" s="45"/>
      <c r="DH335" s="45"/>
      <c r="DM335" s="44"/>
      <c r="DN335" s="44"/>
    </row>
    <row r="336" ht="15.75" customHeight="1">
      <c r="O336" s="43"/>
      <c r="CG336" s="44"/>
      <c r="CH336" s="44"/>
      <c r="DA336" s="45"/>
      <c r="DB336" s="45"/>
      <c r="DC336" s="45"/>
      <c r="DD336" s="45"/>
      <c r="DE336" s="45"/>
      <c r="DF336" s="45"/>
      <c r="DG336" s="45"/>
      <c r="DH336" s="45"/>
      <c r="DM336" s="44"/>
      <c r="DN336" s="44"/>
    </row>
    <row r="337" ht="15.75" customHeight="1">
      <c r="O337" s="43"/>
      <c r="CG337" s="44"/>
      <c r="CH337" s="44"/>
      <c r="DA337" s="45"/>
      <c r="DB337" s="45"/>
      <c r="DC337" s="45"/>
      <c r="DD337" s="45"/>
      <c r="DE337" s="45"/>
      <c r="DF337" s="45"/>
      <c r="DG337" s="45"/>
      <c r="DH337" s="45"/>
      <c r="DM337" s="44"/>
      <c r="DN337" s="44"/>
    </row>
    <row r="338" ht="15.75" customHeight="1">
      <c r="O338" s="43"/>
      <c r="CG338" s="44"/>
      <c r="CH338" s="44"/>
      <c r="DA338" s="45"/>
      <c r="DB338" s="45"/>
      <c r="DC338" s="45"/>
      <c r="DD338" s="45"/>
      <c r="DE338" s="45"/>
      <c r="DF338" s="45"/>
      <c r="DG338" s="45"/>
      <c r="DH338" s="45"/>
      <c r="DM338" s="44"/>
      <c r="DN338" s="44"/>
    </row>
    <row r="339" ht="15.75" customHeight="1">
      <c r="O339" s="43"/>
      <c r="CG339" s="44"/>
      <c r="CH339" s="44"/>
      <c r="DA339" s="45"/>
      <c r="DB339" s="45"/>
      <c r="DC339" s="45"/>
      <c r="DD339" s="45"/>
      <c r="DE339" s="45"/>
      <c r="DF339" s="45"/>
      <c r="DG339" s="45"/>
      <c r="DH339" s="45"/>
      <c r="DM339" s="44"/>
      <c r="DN339" s="44"/>
    </row>
    <row r="340" ht="15.75" customHeight="1">
      <c r="O340" s="43"/>
      <c r="CG340" s="44"/>
      <c r="CH340" s="44"/>
      <c r="DA340" s="45"/>
      <c r="DB340" s="45"/>
      <c r="DC340" s="45"/>
      <c r="DD340" s="45"/>
      <c r="DE340" s="45"/>
      <c r="DF340" s="45"/>
      <c r="DG340" s="45"/>
      <c r="DH340" s="45"/>
      <c r="DM340" s="44"/>
      <c r="DN340" s="44"/>
    </row>
    <row r="341" ht="15.75" customHeight="1">
      <c r="O341" s="43"/>
      <c r="CG341" s="44"/>
      <c r="CH341" s="44"/>
      <c r="DA341" s="45"/>
      <c r="DB341" s="45"/>
      <c r="DC341" s="45"/>
      <c r="DD341" s="45"/>
      <c r="DE341" s="45"/>
      <c r="DF341" s="45"/>
      <c r="DG341" s="45"/>
      <c r="DH341" s="45"/>
      <c r="DM341" s="44"/>
      <c r="DN341" s="44"/>
    </row>
    <row r="342" ht="15.75" customHeight="1">
      <c r="O342" s="43"/>
      <c r="CG342" s="44"/>
      <c r="CH342" s="44"/>
      <c r="DA342" s="45"/>
      <c r="DB342" s="45"/>
      <c r="DC342" s="45"/>
      <c r="DD342" s="45"/>
      <c r="DE342" s="45"/>
      <c r="DF342" s="45"/>
      <c r="DG342" s="45"/>
      <c r="DH342" s="45"/>
      <c r="DM342" s="44"/>
      <c r="DN342" s="44"/>
    </row>
    <row r="343" ht="15.75" customHeight="1">
      <c r="O343" s="43"/>
      <c r="CG343" s="44"/>
      <c r="CH343" s="44"/>
      <c r="DA343" s="45"/>
      <c r="DB343" s="45"/>
      <c r="DC343" s="45"/>
      <c r="DD343" s="45"/>
      <c r="DE343" s="45"/>
      <c r="DF343" s="45"/>
      <c r="DG343" s="45"/>
      <c r="DH343" s="45"/>
      <c r="DM343" s="44"/>
      <c r="DN343" s="44"/>
    </row>
    <row r="344" ht="15.75" customHeight="1">
      <c r="O344" s="43"/>
      <c r="CG344" s="44"/>
      <c r="CH344" s="44"/>
      <c r="DA344" s="45"/>
      <c r="DB344" s="45"/>
      <c r="DC344" s="45"/>
      <c r="DD344" s="45"/>
      <c r="DE344" s="45"/>
      <c r="DF344" s="45"/>
      <c r="DG344" s="45"/>
      <c r="DH344" s="45"/>
      <c r="DM344" s="44"/>
      <c r="DN344" s="44"/>
    </row>
    <row r="345" ht="15.75" customHeight="1">
      <c r="O345" s="43"/>
      <c r="CG345" s="44"/>
      <c r="CH345" s="44"/>
      <c r="DA345" s="45"/>
      <c r="DB345" s="45"/>
      <c r="DC345" s="45"/>
      <c r="DD345" s="45"/>
      <c r="DE345" s="45"/>
      <c r="DF345" s="45"/>
      <c r="DG345" s="45"/>
      <c r="DH345" s="45"/>
      <c r="DM345" s="44"/>
      <c r="DN345" s="44"/>
    </row>
    <row r="346" ht="15.75" customHeight="1">
      <c r="O346" s="43"/>
      <c r="CG346" s="44"/>
      <c r="CH346" s="44"/>
      <c r="DA346" s="45"/>
      <c r="DB346" s="45"/>
      <c r="DC346" s="45"/>
      <c r="DD346" s="45"/>
      <c r="DE346" s="45"/>
      <c r="DF346" s="45"/>
      <c r="DG346" s="45"/>
      <c r="DH346" s="45"/>
      <c r="DM346" s="44"/>
      <c r="DN346" s="44"/>
    </row>
    <row r="347" ht="15.75" customHeight="1">
      <c r="O347" s="43"/>
      <c r="CG347" s="44"/>
      <c r="CH347" s="44"/>
      <c r="DA347" s="45"/>
      <c r="DB347" s="45"/>
      <c r="DC347" s="45"/>
      <c r="DD347" s="45"/>
      <c r="DE347" s="45"/>
      <c r="DF347" s="45"/>
      <c r="DG347" s="45"/>
      <c r="DH347" s="45"/>
      <c r="DM347" s="44"/>
      <c r="DN347" s="44"/>
    </row>
    <row r="348" ht="15.75" customHeight="1">
      <c r="O348" s="43"/>
      <c r="CG348" s="44"/>
      <c r="CH348" s="44"/>
      <c r="DA348" s="45"/>
      <c r="DB348" s="45"/>
      <c r="DC348" s="45"/>
      <c r="DD348" s="45"/>
      <c r="DE348" s="45"/>
      <c r="DF348" s="45"/>
      <c r="DG348" s="45"/>
      <c r="DH348" s="45"/>
      <c r="DM348" s="44"/>
      <c r="DN348" s="44"/>
    </row>
    <row r="349" ht="15.75" customHeight="1">
      <c r="O349" s="43"/>
      <c r="CG349" s="44"/>
      <c r="CH349" s="44"/>
      <c r="DA349" s="45"/>
      <c r="DB349" s="45"/>
      <c r="DC349" s="45"/>
      <c r="DD349" s="45"/>
      <c r="DE349" s="45"/>
      <c r="DF349" s="45"/>
      <c r="DG349" s="45"/>
      <c r="DH349" s="45"/>
      <c r="DM349" s="44"/>
      <c r="DN349" s="44"/>
    </row>
    <row r="350" ht="15.75" customHeight="1">
      <c r="O350" s="43"/>
      <c r="CG350" s="44"/>
      <c r="CH350" s="44"/>
      <c r="DA350" s="45"/>
      <c r="DB350" s="45"/>
      <c r="DC350" s="45"/>
      <c r="DD350" s="45"/>
      <c r="DE350" s="45"/>
      <c r="DF350" s="45"/>
      <c r="DG350" s="45"/>
      <c r="DH350" s="45"/>
      <c r="DM350" s="44"/>
      <c r="DN350" s="44"/>
    </row>
    <row r="351" ht="15.75" customHeight="1">
      <c r="O351" s="43"/>
      <c r="CG351" s="44"/>
      <c r="CH351" s="44"/>
      <c r="DA351" s="45"/>
      <c r="DB351" s="45"/>
      <c r="DC351" s="45"/>
      <c r="DD351" s="45"/>
      <c r="DE351" s="45"/>
      <c r="DF351" s="45"/>
      <c r="DG351" s="45"/>
      <c r="DH351" s="45"/>
      <c r="DM351" s="44"/>
      <c r="DN351" s="44"/>
    </row>
    <row r="352" ht="15.75" customHeight="1">
      <c r="O352" s="43"/>
      <c r="CG352" s="44"/>
      <c r="CH352" s="44"/>
      <c r="DA352" s="45"/>
      <c r="DB352" s="45"/>
      <c r="DC352" s="45"/>
      <c r="DD352" s="45"/>
      <c r="DE352" s="45"/>
      <c r="DF352" s="45"/>
      <c r="DG352" s="45"/>
      <c r="DH352" s="45"/>
      <c r="DM352" s="44"/>
      <c r="DN352" s="44"/>
    </row>
    <row r="353" ht="15.75" customHeight="1">
      <c r="O353" s="43"/>
      <c r="CG353" s="44"/>
      <c r="CH353" s="44"/>
      <c r="DA353" s="45"/>
      <c r="DB353" s="45"/>
      <c r="DC353" s="45"/>
      <c r="DD353" s="45"/>
      <c r="DE353" s="45"/>
      <c r="DF353" s="45"/>
      <c r="DG353" s="45"/>
      <c r="DH353" s="45"/>
      <c r="DM353" s="44"/>
      <c r="DN353" s="44"/>
    </row>
    <row r="354" ht="15.75" customHeight="1">
      <c r="O354" s="43"/>
      <c r="CG354" s="44"/>
      <c r="CH354" s="44"/>
      <c r="DA354" s="45"/>
      <c r="DB354" s="45"/>
      <c r="DC354" s="45"/>
      <c r="DD354" s="45"/>
      <c r="DE354" s="45"/>
      <c r="DF354" s="45"/>
      <c r="DG354" s="45"/>
      <c r="DH354" s="45"/>
      <c r="DM354" s="44"/>
      <c r="DN354" s="44"/>
    </row>
    <row r="355" ht="15.75" customHeight="1">
      <c r="O355" s="43"/>
      <c r="CG355" s="44"/>
      <c r="CH355" s="44"/>
      <c r="DA355" s="45"/>
      <c r="DB355" s="45"/>
      <c r="DC355" s="45"/>
      <c r="DD355" s="45"/>
      <c r="DE355" s="45"/>
      <c r="DF355" s="45"/>
      <c r="DG355" s="45"/>
      <c r="DH355" s="45"/>
      <c r="DM355" s="44"/>
      <c r="DN355" s="44"/>
    </row>
    <row r="356" ht="15.75" customHeight="1">
      <c r="O356" s="43"/>
      <c r="CG356" s="44"/>
      <c r="CH356" s="44"/>
      <c r="DA356" s="45"/>
      <c r="DB356" s="45"/>
      <c r="DC356" s="45"/>
      <c r="DD356" s="45"/>
      <c r="DE356" s="45"/>
      <c r="DF356" s="45"/>
      <c r="DG356" s="45"/>
      <c r="DH356" s="45"/>
      <c r="DM356" s="44"/>
      <c r="DN356" s="44"/>
    </row>
    <row r="357" ht="15.75" customHeight="1">
      <c r="O357" s="43"/>
      <c r="CG357" s="44"/>
      <c r="CH357" s="44"/>
      <c r="DA357" s="45"/>
      <c r="DB357" s="45"/>
      <c r="DC357" s="45"/>
      <c r="DD357" s="45"/>
      <c r="DE357" s="45"/>
      <c r="DF357" s="45"/>
      <c r="DG357" s="45"/>
      <c r="DH357" s="45"/>
      <c r="DM357" s="44"/>
      <c r="DN357" s="44"/>
    </row>
    <row r="358" ht="15.75" customHeight="1">
      <c r="O358" s="43"/>
      <c r="CG358" s="44"/>
      <c r="CH358" s="44"/>
      <c r="DA358" s="45"/>
      <c r="DB358" s="45"/>
      <c r="DC358" s="45"/>
      <c r="DD358" s="45"/>
      <c r="DE358" s="45"/>
      <c r="DF358" s="45"/>
      <c r="DG358" s="45"/>
      <c r="DH358" s="45"/>
      <c r="DM358" s="44"/>
      <c r="DN358" s="44"/>
    </row>
    <row r="359" ht="15.75" customHeight="1">
      <c r="O359" s="43"/>
      <c r="CG359" s="44"/>
      <c r="CH359" s="44"/>
      <c r="DA359" s="45"/>
      <c r="DB359" s="45"/>
      <c r="DC359" s="45"/>
      <c r="DD359" s="45"/>
      <c r="DE359" s="45"/>
      <c r="DF359" s="45"/>
      <c r="DG359" s="45"/>
      <c r="DH359" s="45"/>
      <c r="DM359" s="44"/>
      <c r="DN359" s="44"/>
    </row>
    <row r="360" ht="15.75" customHeight="1">
      <c r="O360" s="43"/>
      <c r="CG360" s="44"/>
      <c r="CH360" s="44"/>
      <c r="DA360" s="45"/>
      <c r="DB360" s="45"/>
      <c r="DC360" s="45"/>
      <c r="DD360" s="45"/>
      <c r="DE360" s="45"/>
      <c r="DF360" s="45"/>
      <c r="DG360" s="45"/>
      <c r="DH360" s="45"/>
      <c r="DM360" s="44"/>
      <c r="DN360" s="44"/>
    </row>
    <row r="361" ht="15.75" customHeight="1">
      <c r="O361" s="43"/>
      <c r="CG361" s="44"/>
      <c r="CH361" s="44"/>
      <c r="DA361" s="45"/>
      <c r="DB361" s="45"/>
      <c r="DC361" s="45"/>
      <c r="DD361" s="45"/>
      <c r="DE361" s="45"/>
      <c r="DF361" s="45"/>
      <c r="DG361" s="45"/>
      <c r="DH361" s="45"/>
      <c r="DM361" s="44"/>
      <c r="DN361" s="44"/>
    </row>
    <row r="362" ht="15.75" customHeight="1">
      <c r="O362" s="43"/>
      <c r="CG362" s="44"/>
      <c r="CH362" s="44"/>
      <c r="DA362" s="45"/>
      <c r="DB362" s="45"/>
      <c r="DC362" s="45"/>
      <c r="DD362" s="45"/>
      <c r="DE362" s="45"/>
      <c r="DF362" s="45"/>
      <c r="DG362" s="45"/>
      <c r="DH362" s="45"/>
      <c r="DM362" s="44"/>
      <c r="DN362" s="44"/>
    </row>
    <row r="363" ht="15.75" customHeight="1">
      <c r="O363" s="43"/>
      <c r="CG363" s="44"/>
      <c r="CH363" s="44"/>
      <c r="DA363" s="45"/>
      <c r="DB363" s="45"/>
      <c r="DC363" s="45"/>
      <c r="DD363" s="45"/>
      <c r="DE363" s="45"/>
      <c r="DF363" s="45"/>
      <c r="DG363" s="45"/>
      <c r="DH363" s="45"/>
      <c r="DM363" s="44"/>
      <c r="DN363" s="44"/>
    </row>
    <row r="364" ht="15.75" customHeight="1">
      <c r="O364" s="43"/>
      <c r="CG364" s="44"/>
      <c r="CH364" s="44"/>
      <c r="DA364" s="45"/>
      <c r="DB364" s="45"/>
      <c r="DC364" s="45"/>
      <c r="DD364" s="45"/>
      <c r="DE364" s="45"/>
      <c r="DF364" s="45"/>
      <c r="DG364" s="45"/>
      <c r="DH364" s="45"/>
      <c r="DM364" s="44"/>
      <c r="DN364" s="44"/>
    </row>
    <row r="365" ht="15.75" customHeight="1">
      <c r="O365" s="43"/>
      <c r="CG365" s="44"/>
      <c r="CH365" s="44"/>
      <c r="DA365" s="45"/>
      <c r="DB365" s="45"/>
      <c r="DC365" s="45"/>
      <c r="DD365" s="45"/>
      <c r="DE365" s="45"/>
      <c r="DF365" s="45"/>
      <c r="DG365" s="45"/>
      <c r="DH365" s="45"/>
      <c r="DM365" s="44"/>
      <c r="DN365" s="44"/>
    </row>
    <row r="366" ht="15.75" customHeight="1">
      <c r="O366" s="43"/>
      <c r="CG366" s="44"/>
      <c r="CH366" s="44"/>
      <c r="DA366" s="45"/>
      <c r="DB366" s="45"/>
      <c r="DC366" s="45"/>
      <c r="DD366" s="45"/>
      <c r="DE366" s="45"/>
      <c r="DF366" s="45"/>
      <c r="DG366" s="45"/>
      <c r="DH366" s="45"/>
      <c r="DM366" s="44"/>
      <c r="DN366" s="44"/>
    </row>
    <row r="367" ht="15.75" customHeight="1">
      <c r="O367" s="43"/>
      <c r="CG367" s="44"/>
      <c r="CH367" s="44"/>
      <c r="DA367" s="45"/>
      <c r="DB367" s="45"/>
      <c r="DC367" s="45"/>
      <c r="DD367" s="45"/>
      <c r="DE367" s="45"/>
      <c r="DF367" s="45"/>
      <c r="DG367" s="45"/>
      <c r="DH367" s="45"/>
      <c r="DM367" s="44"/>
      <c r="DN367" s="44"/>
    </row>
    <row r="368" ht="15.75" customHeight="1">
      <c r="O368" s="43"/>
      <c r="CG368" s="44"/>
      <c r="CH368" s="44"/>
      <c r="DA368" s="45"/>
      <c r="DB368" s="45"/>
      <c r="DC368" s="45"/>
      <c r="DD368" s="45"/>
      <c r="DE368" s="45"/>
      <c r="DF368" s="45"/>
      <c r="DG368" s="45"/>
      <c r="DH368" s="45"/>
      <c r="DM368" s="44"/>
      <c r="DN368" s="44"/>
    </row>
    <row r="369" ht="15.75" customHeight="1">
      <c r="O369" s="43"/>
      <c r="CG369" s="44"/>
      <c r="CH369" s="44"/>
      <c r="DA369" s="45"/>
      <c r="DB369" s="45"/>
      <c r="DC369" s="45"/>
      <c r="DD369" s="45"/>
      <c r="DE369" s="45"/>
      <c r="DF369" s="45"/>
      <c r="DG369" s="45"/>
      <c r="DH369" s="45"/>
      <c r="DM369" s="44"/>
      <c r="DN369" s="44"/>
    </row>
    <row r="370" ht="15.75" customHeight="1">
      <c r="O370" s="43"/>
      <c r="CG370" s="44"/>
      <c r="CH370" s="44"/>
      <c r="DA370" s="45"/>
      <c r="DB370" s="45"/>
      <c r="DC370" s="45"/>
      <c r="DD370" s="45"/>
      <c r="DE370" s="45"/>
      <c r="DF370" s="45"/>
      <c r="DG370" s="45"/>
      <c r="DH370" s="45"/>
      <c r="DM370" s="44"/>
      <c r="DN370" s="44"/>
    </row>
    <row r="371" ht="15.75" customHeight="1">
      <c r="O371" s="43"/>
      <c r="CG371" s="44"/>
      <c r="CH371" s="44"/>
      <c r="DA371" s="45"/>
      <c r="DB371" s="45"/>
      <c r="DC371" s="45"/>
      <c r="DD371" s="45"/>
      <c r="DE371" s="45"/>
      <c r="DF371" s="45"/>
      <c r="DG371" s="45"/>
      <c r="DH371" s="45"/>
      <c r="DM371" s="44"/>
      <c r="DN371" s="44"/>
    </row>
    <row r="372" ht="15.75" customHeight="1">
      <c r="O372" s="43"/>
      <c r="CG372" s="44"/>
      <c r="CH372" s="44"/>
      <c r="DA372" s="45"/>
      <c r="DB372" s="45"/>
      <c r="DC372" s="45"/>
      <c r="DD372" s="45"/>
      <c r="DE372" s="45"/>
      <c r="DF372" s="45"/>
      <c r="DG372" s="45"/>
      <c r="DH372" s="45"/>
      <c r="DM372" s="44"/>
      <c r="DN372" s="44"/>
    </row>
    <row r="373" ht="15.75" customHeight="1">
      <c r="O373" s="43"/>
      <c r="CG373" s="44"/>
      <c r="CH373" s="44"/>
      <c r="DA373" s="45"/>
      <c r="DB373" s="45"/>
      <c r="DC373" s="45"/>
      <c r="DD373" s="45"/>
      <c r="DE373" s="45"/>
      <c r="DF373" s="45"/>
      <c r="DG373" s="45"/>
      <c r="DH373" s="45"/>
      <c r="DM373" s="44"/>
      <c r="DN373" s="44"/>
    </row>
    <row r="374" ht="15.75" customHeight="1">
      <c r="O374" s="43"/>
      <c r="CG374" s="44"/>
      <c r="CH374" s="44"/>
      <c r="DA374" s="45"/>
      <c r="DB374" s="45"/>
      <c r="DC374" s="45"/>
      <c r="DD374" s="45"/>
      <c r="DE374" s="45"/>
      <c r="DF374" s="45"/>
      <c r="DG374" s="45"/>
      <c r="DH374" s="45"/>
      <c r="DM374" s="44"/>
      <c r="DN374" s="44"/>
    </row>
    <row r="375" ht="15.75" customHeight="1">
      <c r="O375" s="43"/>
      <c r="CG375" s="44"/>
      <c r="CH375" s="44"/>
      <c r="DA375" s="45"/>
      <c r="DB375" s="45"/>
      <c r="DC375" s="45"/>
      <c r="DD375" s="45"/>
      <c r="DE375" s="45"/>
      <c r="DF375" s="45"/>
      <c r="DG375" s="45"/>
      <c r="DH375" s="45"/>
      <c r="DM375" s="44"/>
      <c r="DN375" s="44"/>
    </row>
    <row r="376" ht="15.75" customHeight="1">
      <c r="O376" s="43"/>
      <c r="CG376" s="44"/>
      <c r="CH376" s="44"/>
      <c r="DA376" s="45"/>
      <c r="DB376" s="45"/>
      <c r="DC376" s="45"/>
      <c r="DD376" s="45"/>
      <c r="DE376" s="45"/>
      <c r="DF376" s="45"/>
      <c r="DG376" s="45"/>
      <c r="DH376" s="45"/>
      <c r="DM376" s="44"/>
      <c r="DN376" s="44"/>
    </row>
    <row r="377" ht="15.75" customHeight="1">
      <c r="O377" s="43"/>
      <c r="CG377" s="44"/>
      <c r="CH377" s="44"/>
      <c r="DA377" s="45"/>
      <c r="DB377" s="45"/>
      <c r="DC377" s="45"/>
      <c r="DD377" s="45"/>
      <c r="DE377" s="45"/>
      <c r="DF377" s="45"/>
      <c r="DG377" s="45"/>
      <c r="DH377" s="45"/>
      <c r="DM377" s="44"/>
      <c r="DN377" s="44"/>
    </row>
    <row r="378" ht="15.75" customHeight="1">
      <c r="O378" s="43"/>
      <c r="CG378" s="44"/>
      <c r="CH378" s="44"/>
      <c r="DA378" s="45"/>
      <c r="DB378" s="45"/>
      <c r="DC378" s="45"/>
      <c r="DD378" s="45"/>
      <c r="DE378" s="45"/>
      <c r="DF378" s="45"/>
      <c r="DG378" s="45"/>
      <c r="DH378" s="45"/>
      <c r="DM378" s="44"/>
      <c r="DN378" s="44"/>
    </row>
    <row r="379" ht="15.75" customHeight="1">
      <c r="O379" s="43"/>
      <c r="CG379" s="44"/>
      <c r="CH379" s="44"/>
      <c r="DA379" s="45"/>
      <c r="DB379" s="45"/>
      <c r="DC379" s="45"/>
      <c r="DD379" s="45"/>
      <c r="DE379" s="45"/>
      <c r="DF379" s="45"/>
      <c r="DG379" s="45"/>
      <c r="DH379" s="45"/>
      <c r="DM379" s="44"/>
      <c r="DN379" s="44"/>
    </row>
    <row r="380" ht="15.75" customHeight="1">
      <c r="O380" s="43"/>
      <c r="CG380" s="44"/>
      <c r="CH380" s="44"/>
      <c r="DA380" s="45"/>
      <c r="DB380" s="45"/>
      <c r="DC380" s="45"/>
      <c r="DD380" s="45"/>
      <c r="DE380" s="45"/>
      <c r="DF380" s="45"/>
      <c r="DG380" s="45"/>
      <c r="DH380" s="45"/>
      <c r="DM380" s="44"/>
      <c r="DN380" s="44"/>
    </row>
    <row r="381" ht="15.75" customHeight="1">
      <c r="O381" s="43"/>
      <c r="CG381" s="44"/>
      <c r="CH381" s="44"/>
      <c r="DA381" s="45"/>
      <c r="DB381" s="45"/>
      <c r="DC381" s="45"/>
      <c r="DD381" s="45"/>
      <c r="DE381" s="45"/>
      <c r="DF381" s="45"/>
      <c r="DG381" s="45"/>
      <c r="DH381" s="45"/>
      <c r="DM381" s="44"/>
      <c r="DN381" s="44"/>
    </row>
    <row r="382" ht="15.75" customHeight="1">
      <c r="O382" s="43"/>
      <c r="CG382" s="44"/>
      <c r="CH382" s="44"/>
      <c r="DA382" s="45"/>
      <c r="DB382" s="45"/>
      <c r="DC382" s="45"/>
      <c r="DD382" s="45"/>
      <c r="DE382" s="45"/>
      <c r="DF382" s="45"/>
      <c r="DG382" s="45"/>
      <c r="DH382" s="45"/>
      <c r="DM382" s="44"/>
      <c r="DN382" s="44"/>
    </row>
    <row r="383" ht="15.75" customHeight="1">
      <c r="O383" s="43"/>
      <c r="CG383" s="44"/>
      <c r="CH383" s="44"/>
      <c r="DA383" s="45"/>
      <c r="DB383" s="45"/>
      <c r="DC383" s="45"/>
      <c r="DD383" s="45"/>
      <c r="DE383" s="45"/>
      <c r="DF383" s="45"/>
      <c r="DG383" s="45"/>
      <c r="DH383" s="45"/>
      <c r="DM383" s="44"/>
      <c r="DN383" s="44"/>
    </row>
    <row r="384" ht="15.75" customHeight="1">
      <c r="O384" s="43"/>
      <c r="CG384" s="44"/>
      <c r="CH384" s="44"/>
      <c r="DA384" s="45"/>
      <c r="DB384" s="45"/>
      <c r="DC384" s="45"/>
      <c r="DD384" s="45"/>
      <c r="DE384" s="45"/>
      <c r="DF384" s="45"/>
      <c r="DG384" s="45"/>
      <c r="DH384" s="45"/>
      <c r="DM384" s="44"/>
      <c r="DN384" s="44"/>
    </row>
    <row r="385" ht="15.75" customHeight="1">
      <c r="O385" s="43"/>
      <c r="CG385" s="44"/>
      <c r="CH385" s="44"/>
      <c r="DA385" s="45"/>
      <c r="DB385" s="45"/>
      <c r="DC385" s="45"/>
      <c r="DD385" s="45"/>
      <c r="DE385" s="45"/>
      <c r="DF385" s="45"/>
      <c r="DG385" s="45"/>
      <c r="DH385" s="45"/>
      <c r="DM385" s="44"/>
      <c r="DN385" s="44"/>
    </row>
    <row r="386" ht="15.75" customHeight="1">
      <c r="O386" s="43"/>
      <c r="CG386" s="44"/>
      <c r="CH386" s="44"/>
      <c r="DA386" s="45"/>
      <c r="DB386" s="45"/>
      <c r="DC386" s="45"/>
      <c r="DD386" s="45"/>
      <c r="DE386" s="45"/>
      <c r="DF386" s="45"/>
      <c r="DG386" s="45"/>
      <c r="DH386" s="45"/>
      <c r="DM386" s="44"/>
      <c r="DN386" s="44"/>
    </row>
    <row r="387" ht="15.75" customHeight="1">
      <c r="O387" s="43"/>
      <c r="CG387" s="44"/>
      <c r="CH387" s="44"/>
      <c r="DA387" s="45"/>
      <c r="DB387" s="45"/>
      <c r="DC387" s="45"/>
      <c r="DD387" s="45"/>
      <c r="DE387" s="45"/>
      <c r="DF387" s="45"/>
      <c r="DG387" s="45"/>
      <c r="DH387" s="45"/>
      <c r="DM387" s="44"/>
      <c r="DN387" s="44"/>
    </row>
    <row r="388" ht="15.75" customHeight="1">
      <c r="O388" s="43"/>
      <c r="CG388" s="44"/>
      <c r="CH388" s="44"/>
      <c r="DA388" s="45"/>
      <c r="DB388" s="45"/>
      <c r="DC388" s="45"/>
      <c r="DD388" s="45"/>
      <c r="DE388" s="45"/>
      <c r="DF388" s="45"/>
      <c r="DG388" s="45"/>
      <c r="DH388" s="45"/>
      <c r="DM388" s="44"/>
      <c r="DN388" s="44"/>
    </row>
    <row r="389" ht="15.75" customHeight="1">
      <c r="O389" s="43"/>
      <c r="CG389" s="44"/>
      <c r="CH389" s="44"/>
      <c r="DA389" s="45"/>
      <c r="DB389" s="45"/>
      <c r="DC389" s="45"/>
      <c r="DD389" s="45"/>
      <c r="DE389" s="45"/>
      <c r="DF389" s="45"/>
      <c r="DG389" s="45"/>
      <c r="DH389" s="45"/>
      <c r="DM389" s="44"/>
      <c r="DN389" s="44"/>
    </row>
    <row r="390" ht="15.75" customHeight="1">
      <c r="O390" s="43"/>
      <c r="CG390" s="44"/>
      <c r="CH390" s="44"/>
      <c r="DA390" s="45"/>
      <c r="DB390" s="45"/>
      <c r="DC390" s="45"/>
      <c r="DD390" s="45"/>
      <c r="DE390" s="45"/>
      <c r="DF390" s="45"/>
      <c r="DG390" s="45"/>
      <c r="DH390" s="45"/>
      <c r="DM390" s="44"/>
      <c r="DN390" s="44"/>
    </row>
    <row r="391" ht="15.75" customHeight="1">
      <c r="O391" s="43"/>
      <c r="CG391" s="44"/>
      <c r="CH391" s="44"/>
      <c r="DA391" s="45"/>
      <c r="DB391" s="45"/>
      <c r="DC391" s="45"/>
      <c r="DD391" s="45"/>
      <c r="DE391" s="45"/>
      <c r="DF391" s="45"/>
      <c r="DG391" s="45"/>
      <c r="DH391" s="45"/>
      <c r="DM391" s="44"/>
      <c r="DN391" s="44"/>
    </row>
    <row r="392" ht="15.75" customHeight="1">
      <c r="O392" s="43"/>
      <c r="CG392" s="44"/>
      <c r="CH392" s="44"/>
      <c r="DA392" s="45"/>
      <c r="DB392" s="45"/>
      <c r="DC392" s="45"/>
      <c r="DD392" s="45"/>
      <c r="DE392" s="45"/>
      <c r="DF392" s="45"/>
      <c r="DG392" s="45"/>
      <c r="DH392" s="45"/>
      <c r="DM392" s="44"/>
      <c r="DN392" s="44"/>
    </row>
    <row r="393" ht="15.75" customHeight="1">
      <c r="O393" s="43"/>
      <c r="CG393" s="44"/>
      <c r="CH393" s="44"/>
      <c r="DA393" s="45"/>
      <c r="DB393" s="45"/>
      <c r="DC393" s="45"/>
      <c r="DD393" s="45"/>
      <c r="DE393" s="45"/>
      <c r="DF393" s="45"/>
      <c r="DG393" s="45"/>
      <c r="DH393" s="45"/>
      <c r="DM393" s="44"/>
      <c r="DN393" s="44"/>
    </row>
    <row r="394" ht="15.75" customHeight="1">
      <c r="O394" s="43"/>
      <c r="CG394" s="44"/>
      <c r="CH394" s="44"/>
      <c r="DA394" s="45"/>
      <c r="DB394" s="45"/>
      <c r="DC394" s="45"/>
      <c r="DD394" s="45"/>
      <c r="DE394" s="45"/>
      <c r="DF394" s="45"/>
      <c r="DG394" s="45"/>
      <c r="DH394" s="45"/>
      <c r="DM394" s="44"/>
      <c r="DN394" s="44"/>
    </row>
    <row r="395" ht="15.75" customHeight="1">
      <c r="O395" s="43"/>
      <c r="CG395" s="44"/>
      <c r="CH395" s="44"/>
      <c r="DA395" s="45"/>
      <c r="DB395" s="45"/>
      <c r="DC395" s="45"/>
      <c r="DD395" s="45"/>
      <c r="DE395" s="45"/>
      <c r="DF395" s="45"/>
      <c r="DG395" s="45"/>
      <c r="DH395" s="45"/>
      <c r="DM395" s="44"/>
      <c r="DN395" s="44"/>
    </row>
    <row r="396" ht="15.75" customHeight="1">
      <c r="O396" s="43"/>
      <c r="CG396" s="44"/>
      <c r="CH396" s="44"/>
      <c r="DA396" s="45"/>
      <c r="DB396" s="45"/>
      <c r="DC396" s="45"/>
      <c r="DD396" s="45"/>
      <c r="DE396" s="45"/>
      <c r="DF396" s="45"/>
      <c r="DG396" s="45"/>
      <c r="DH396" s="45"/>
      <c r="DM396" s="44"/>
      <c r="DN396" s="44"/>
    </row>
    <row r="397" ht="15.75" customHeight="1">
      <c r="O397" s="43"/>
      <c r="CG397" s="44"/>
      <c r="CH397" s="44"/>
      <c r="DA397" s="45"/>
      <c r="DB397" s="45"/>
      <c r="DC397" s="45"/>
      <c r="DD397" s="45"/>
      <c r="DE397" s="45"/>
      <c r="DF397" s="45"/>
      <c r="DG397" s="45"/>
      <c r="DH397" s="45"/>
      <c r="DM397" s="44"/>
      <c r="DN397" s="44"/>
    </row>
    <row r="398" ht="15.75" customHeight="1">
      <c r="O398" s="43"/>
      <c r="CG398" s="44"/>
      <c r="CH398" s="44"/>
      <c r="DA398" s="45"/>
      <c r="DB398" s="45"/>
      <c r="DC398" s="45"/>
      <c r="DD398" s="45"/>
      <c r="DE398" s="45"/>
      <c r="DF398" s="45"/>
      <c r="DG398" s="45"/>
      <c r="DH398" s="45"/>
      <c r="DM398" s="44"/>
      <c r="DN398" s="44"/>
    </row>
    <row r="399" ht="15.75" customHeight="1">
      <c r="O399" s="43"/>
      <c r="CG399" s="44"/>
      <c r="CH399" s="44"/>
      <c r="DA399" s="45"/>
      <c r="DB399" s="45"/>
      <c r="DC399" s="45"/>
      <c r="DD399" s="45"/>
      <c r="DE399" s="45"/>
      <c r="DF399" s="45"/>
      <c r="DG399" s="45"/>
      <c r="DH399" s="45"/>
      <c r="DM399" s="44"/>
      <c r="DN399" s="44"/>
    </row>
    <row r="400" ht="15.75" customHeight="1">
      <c r="O400" s="43"/>
      <c r="CG400" s="44"/>
      <c r="CH400" s="44"/>
      <c r="DA400" s="45"/>
      <c r="DB400" s="45"/>
      <c r="DC400" s="45"/>
      <c r="DD400" s="45"/>
      <c r="DE400" s="45"/>
      <c r="DF400" s="45"/>
      <c r="DG400" s="45"/>
      <c r="DH400" s="45"/>
      <c r="DM400" s="44"/>
      <c r="DN400" s="44"/>
    </row>
    <row r="401" ht="15.75" customHeight="1">
      <c r="O401" s="43"/>
      <c r="CG401" s="44"/>
      <c r="CH401" s="44"/>
      <c r="DA401" s="45"/>
      <c r="DB401" s="45"/>
      <c r="DC401" s="45"/>
      <c r="DD401" s="45"/>
      <c r="DE401" s="45"/>
      <c r="DF401" s="45"/>
      <c r="DG401" s="45"/>
      <c r="DH401" s="45"/>
      <c r="DM401" s="44"/>
      <c r="DN401" s="44"/>
    </row>
    <row r="402" ht="15.75" customHeight="1">
      <c r="O402" s="43"/>
      <c r="CG402" s="44"/>
      <c r="CH402" s="44"/>
      <c r="DA402" s="45"/>
      <c r="DB402" s="45"/>
      <c r="DC402" s="45"/>
      <c r="DD402" s="45"/>
      <c r="DE402" s="45"/>
      <c r="DF402" s="45"/>
      <c r="DG402" s="45"/>
      <c r="DH402" s="45"/>
      <c r="DM402" s="44"/>
      <c r="DN402" s="44"/>
    </row>
    <row r="403" ht="15.75" customHeight="1">
      <c r="O403" s="43"/>
      <c r="CG403" s="44"/>
      <c r="CH403" s="44"/>
      <c r="DA403" s="45"/>
      <c r="DB403" s="45"/>
      <c r="DC403" s="45"/>
      <c r="DD403" s="45"/>
      <c r="DE403" s="45"/>
      <c r="DF403" s="45"/>
      <c r="DG403" s="45"/>
      <c r="DH403" s="45"/>
      <c r="DM403" s="44"/>
      <c r="DN403" s="44"/>
    </row>
    <row r="404" ht="15.75" customHeight="1">
      <c r="O404" s="43"/>
      <c r="CG404" s="44"/>
      <c r="CH404" s="44"/>
      <c r="DA404" s="45"/>
      <c r="DB404" s="45"/>
      <c r="DC404" s="45"/>
      <c r="DD404" s="45"/>
      <c r="DE404" s="45"/>
      <c r="DF404" s="45"/>
      <c r="DG404" s="45"/>
      <c r="DH404" s="45"/>
      <c r="DM404" s="44"/>
      <c r="DN404" s="44"/>
    </row>
    <row r="405" ht="15.75" customHeight="1">
      <c r="O405" s="43"/>
      <c r="CG405" s="44"/>
      <c r="CH405" s="44"/>
      <c r="DA405" s="45"/>
      <c r="DB405" s="45"/>
      <c r="DC405" s="45"/>
      <c r="DD405" s="45"/>
      <c r="DE405" s="45"/>
      <c r="DF405" s="45"/>
      <c r="DG405" s="45"/>
      <c r="DH405" s="45"/>
      <c r="DM405" s="44"/>
      <c r="DN405" s="44"/>
    </row>
    <row r="406" ht="15.75" customHeight="1">
      <c r="O406" s="43"/>
      <c r="CG406" s="44"/>
      <c r="CH406" s="44"/>
      <c r="DA406" s="45"/>
      <c r="DB406" s="45"/>
      <c r="DC406" s="45"/>
      <c r="DD406" s="45"/>
      <c r="DE406" s="45"/>
      <c r="DF406" s="45"/>
      <c r="DG406" s="45"/>
      <c r="DH406" s="45"/>
      <c r="DM406" s="44"/>
      <c r="DN406" s="44"/>
    </row>
    <row r="407" ht="15.75" customHeight="1">
      <c r="O407" s="43"/>
      <c r="CG407" s="44"/>
      <c r="CH407" s="44"/>
      <c r="DA407" s="45"/>
      <c r="DB407" s="45"/>
      <c r="DC407" s="45"/>
      <c r="DD407" s="45"/>
      <c r="DE407" s="45"/>
      <c r="DF407" s="45"/>
      <c r="DG407" s="45"/>
      <c r="DH407" s="45"/>
      <c r="DM407" s="44"/>
      <c r="DN407" s="44"/>
    </row>
    <row r="408" ht="15.75" customHeight="1">
      <c r="O408" s="43"/>
      <c r="CG408" s="44"/>
      <c r="CH408" s="44"/>
      <c r="DA408" s="45"/>
      <c r="DB408" s="45"/>
      <c r="DC408" s="45"/>
      <c r="DD408" s="45"/>
      <c r="DE408" s="45"/>
      <c r="DF408" s="45"/>
      <c r="DG408" s="45"/>
      <c r="DH408" s="45"/>
      <c r="DM408" s="44"/>
      <c r="DN408" s="44"/>
    </row>
    <row r="409" ht="15.75" customHeight="1">
      <c r="O409" s="43"/>
      <c r="CG409" s="44"/>
      <c r="CH409" s="44"/>
      <c r="DA409" s="45"/>
      <c r="DB409" s="45"/>
      <c r="DC409" s="45"/>
      <c r="DD409" s="45"/>
      <c r="DE409" s="45"/>
      <c r="DF409" s="45"/>
      <c r="DG409" s="45"/>
      <c r="DH409" s="45"/>
      <c r="DM409" s="44"/>
      <c r="DN409" s="44"/>
    </row>
    <row r="410" ht="15.75" customHeight="1">
      <c r="O410" s="43"/>
      <c r="CG410" s="44"/>
      <c r="CH410" s="44"/>
      <c r="DA410" s="45"/>
      <c r="DB410" s="45"/>
      <c r="DC410" s="45"/>
      <c r="DD410" s="45"/>
      <c r="DE410" s="45"/>
      <c r="DF410" s="45"/>
      <c r="DG410" s="45"/>
      <c r="DH410" s="45"/>
      <c r="DM410" s="44"/>
      <c r="DN410" s="44"/>
    </row>
    <row r="411" ht="15.75" customHeight="1">
      <c r="O411" s="43"/>
      <c r="CG411" s="44"/>
      <c r="CH411" s="44"/>
      <c r="DA411" s="45"/>
      <c r="DB411" s="45"/>
      <c r="DC411" s="45"/>
      <c r="DD411" s="45"/>
      <c r="DE411" s="45"/>
      <c r="DF411" s="45"/>
      <c r="DG411" s="45"/>
      <c r="DH411" s="45"/>
      <c r="DM411" s="44"/>
      <c r="DN411" s="44"/>
    </row>
    <row r="412" ht="15.75" customHeight="1">
      <c r="O412" s="43"/>
      <c r="CG412" s="44"/>
      <c r="CH412" s="44"/>
      <c r="DA412" s="45"/>
      <c r="DB412" s="45"/>
      <c r="DC412" s="45"/>
      <c r="DD412" s="45"/>
      <c r="DE412" s="45"/>
      <c r="DF412" s="45"/>
      <c r="DG412" s="45"/>
      <c r="DH412" s="45"/>
      <c r="DM412" s="44"/>
      <c r="DN412" s="44"/>
    </row>
    <row r="413" ht="15.75" customHeight="1">
      <c r="O413" s="43"/>
      <c r="CG413" s="44"/>
      <c r="CH413" s="44"/>
      <c r="DA413" s="45"/>
      <c r="DB413" s="45"/>
      <c r="DC413" s="45"/>
      <c r="DD413" s="45"/>
      <c r="DE413" s="45"/>
      <c r="DF413" s="45"/>
      <c r="DG413" s="45"/>
      <c r="DH413" s="45"/>
      <c r="DM413" s="44"/>
      <c r="DN413" s="44"/>
    </row>
    <row r="414" ht="15.75" customHeight="1">
      <c r="O414" s="43"/>
      <c r="CG414" s="44"/>
      <c r="CH414" s="44"/>
      <c r="DA414" s="45"/>
      <c r="DB414" s="45"/>
      <c r="DC414" s="45"/>
      <c r="DD414" s="45"/>
      <c r="DE414" s="45"/>
      <c r="DF414" s="45"/>
      <c r="DG414" s="45"/>
      <c r="DH414" s="45"/>
      <c r="DM414" s="44"/>
      <c r="DN414" s="44"/>
    </row>
    <row r="415" ht="15.75" customHeight="1">
      <c r="O415" s="43"/>
      <c r="CG415" s="44"/>
      <c r="CH415" s="44"/>
      <c r="DA415" s="45"/>
      <c r="DB415" s="45"/>
      <c r="DC415" s="45"/>
      <c r="DD415" s="45"/>
      <c r="DE415" s="45"/>
      <c r="DF415" s="45"/>
      <c r="DG415" s="45"/>
      <c r="DH415" s="45"/>
      <c r="DM415" s="44"/>
      <c r="DN415" s="44"/>
    </row>
    <row r="416" ht="15.75" customHeight="1">
      <c r="O416" s="43"/>
      <c r="CG416" s="44"/>
      <c r="CH416" s="44"/>
      <c r="DA416" s="45"/>
      <c r="DB416" s="45"/>
      <c r="DC416" s="45"/>
      <c r="DD416" s="45"/>
      <c r="DE416" s="45"/>
      <c r="DF416" s="45"/>
      <c r="DG416" s="45"/>
      <c r="DH416" s="45"/>
      <c r="DM416" s="44"/>
      <c r="DN416" s="44"/>
    </row>
    <row r="417" ht="15.75" customHeight="1">
      <c r="O417" s="43"/>
      <c r="CG417" s="44"/>
      <c r="CH417" s="44"/>
      <c r="DA417" s="45"/>
      <c r="DB417" s="45"/>
      <c r="DC417" s="45"/>
      <c r="DD417" s="45"/>
      <c r="DE417" s="45"/>
      <c r="DF417" s="45"/>
      <c r="DG417" s="45"/>
      <c r="DH417" s="45"/>
      <c r="DM417" s="44"/>
      <c r="DN417" s="44"/>
    </row>
    <row r="418" ht="15.75" customHeight="1">
      <c r="O418" s="43"/>
      <c r="CG418" s="44"/>
      <c r="CH418" s="44"/>
      <c r="DA418" s="45"/>
      <c r="DB418" s="45"/>
      <c r="DC418" s="45"/>
      <c r="DD418" s="45"/>
      <c r="DE418" s="45"/>
      <c r="DF418" s="45"/>
      <c r="DG418" s="45"/>
      <c r="DH418" s="45"/>
      <c r="DM418" s="44"/>
      <c r="DN418" s="44"/>
    </row>
    <row r="419" ht="15.75" customHeight="1">
      <c r="O419" s="43"/>
      <c r="CG419" s="44"/>
      <c r="CH419" s="44"/>
      <c r="DA419" s="45"/>
      <c r="DB419" s="45"/>
      <c r="DC419" s="45"/>
      <c r="DD419" s="45"/>
      <c r="DE419" s="45"/>
      <c r="DF419" s="45"/>
      <c r="DG419" s="45"/>
      <c r="DH419" s="45"/>
      <c r="DM419" s="44"/>
      <c r="DN419" s="44"/>
    </row>
    <row r="420" ht="15.75" customHeight="1">
      <c r="O420" s="43"/>
      <c r="CG420" s="44"/>
      <c r="CH420" s="44"/>
      <c r="DA420" s="45"/>
      <c r="DB420" s="45"/>
      <c r="DC420" s="45"/>
      <c r="DD420" s="45"/>
      <c r="DE420" s="45"/>
      <c r="DF420" s="45"/>
      <c r="DG420" s="45"/>
      <c r="DH420" s="45"/>
      <c r="DM420" s="44"/>
      <c r="DN420" s="44"/>
    </row>
    <row r="421" ht="15.75" customHeight="1">
      <c r="O421" s="43"/>
      <c r="CG421" s="44"/>
      <c r="CH421" s="44"/>
      <c r="DA421" s="45"/>
      <c r="DB421" s="45"/>
      <c r="DC421" s="45"/>
      <c r="DD421" s="45"/>
      <c r="DE421" s="45"/>
      <c r="DF421" s="45"/>
      <c r="DG421" s="45"/>
      <c r="DH421" s="45"/>
      <c r="DM421" s="44"/>
      <c r="DN421" s="44"/>
    </row>
    <row r="422" ht="15.75" customHeight="1">
      <c r="O422" s="43"/>
      <c r="CG422" s="44"/>
      <c r="CH422" s="44"/>
      <c r="DA422" s="45"/>
      <c r="DB422" s="45"/>
      <c r="DC422" s="45"/>
      <c r="DD422" s="45"/>
      <c r="DE422" s="45"/>
      <c r="DF422" s="45"/>
      <c r="DG422" s="45"/>
      <c r="DH422" s="45"/>
      <c r="DM422" s="44"/>
      <c r="DN422" s="44"/>
    </row>
    <row r="423" ht="15.75" customHeight="1">
      <c r="O423" s="43"/>
      <c r="CG423" s="44"/>
      <c r="CH423" s="44"/>
      <c r="DA423" s="45"/>
      <c r="DB423" s="45"/>
      <c r="DC423" s="45"/>
      <c r="DD423" s="45"/>
      <c r="DE423" s="45"/>
      <c r="DF423" s="45"/>
      <c r="DG423" s="45"/>
      <c r="DH423" s="45"/>
      <c r="DM423" s="44"/>
      <c r="DN423" s="44"/>
    </row>
    <row r="424" ht="15.75" customHeight="1">
      <c r="O424" s="43"/>
      <c r="CG424" s="44"/>
      <c r="CH424" s="44"/>
      <c r="DA424" s="45"/>
      <c r="DB424" s="45"/>
      <c r="DC424" s="45"/>
      <c r="DD424" s="45"/>
      <c r="DE424" s="45"/>
      <c r="DF424" s="45"/>
      <c r="DG424" s="45"/>
      <c r="DH424" s="45"/>
      <c r="DM424" s="44"/>
      <c r="DN424" s="44"/>
    </row>
    <row r="425" ht="15.75" customHeight="1">
      <c r="O425" s="43"/>
      <c r="CG425" s="44"/>
      <c r="CH425" s="44"/>
      <c r="DA425" s="45"/>
      <c r="DB425" s="45"/>
      <c r="DC425" s="45"/>
      <c r="DD425" s="45"/>
      <c r="DE425" s="45"/>
      <c r="DF425" s="45"/>
      <c r="DG425" s="45"/>
      <c r="DH425" s="45"/>
      <c r="DM425" s="44"/>
      <c r="DN425" s="44"/>
    </row>
    <row r="426" ht="15.75" customHeight="1">
      <c r="O426" s="43"/>
      <c r="CG426" s="44"/>
      <c r="CH426" s="44"/>
      <c r="DA426" s="45"/>
      <c r="DB426" s="45"/>
      <c r="DC426" s="45"/>
      <c r="DD426" s="45"/>
      <c r="DE426" s="45"/>
      <c r="DF426" s="45"/>
      <c r="DG426" s="45"/>
      <c r="DH426" s="45"/>
      <c r="DM426" s="44"/>
      <c r="DN426" s="44"/>
    </row>
    <row r="427" ht="15.75" customHeight="1">
      <c r="O427" s="43"/>
      <c r="CG427" s="44"/>
      <c r="CH427" s="44"/>
      <c r="DA427" s="45"/>
      <c r="DB427" s="45"/>
      <c r="DC427" s="45"/>
      <c r="DD427" s="45"/>
      <c r="DE427" s="45"/>
      <c r="DF427" s="45"/>
      <c r="DG427" s="45"/>
      <c r="DH427" s="45"/>
      <c r="DM427" s="44"/>
      <c r="DN427" s="44"/>
    </row>
    <row r="428" ht="15.75" customHeight="1">
      <c r="O428" s="43"/>
      <c r="CG428" s="44"/>
      <c r="CH428" s="44"/>
      <c r="DA428" s="45"/>
      <c r="DB428" s="45"/>
      <c r="DC428" s="45"/>
      <c r="DD428" s="45"/>
      <c r="DE428" s="45"/>
      <c r="DF428" s="45"/>
      <c r="DG428" s="45"/>
      <c r="DH428" s="45"/>
      <c r="DM428" s="44"/>
      <c r="DN428" s="44"/>
    </row>
    <row r="429" ht="15.75" customHeight="1">
      <c r="O429" s="43"/>
      <c r="CG429" s="44"/>
      <c r="CH429" s="44"/>
      <c r="DA429" s="45"/>
      <c r="DB429" s="45"/>
      <c r="DC429" s="45"/>
      <c r="DD429" s="45"/>
      <c r="DE429" s="45"/>
      <c r="DF429" s="45"/>
      <c r="DG429" s="45"/>
      <c r="DH429" s="45"/>
      <c r="DM429" s="44"/>
      <c r="DN429" s="44"/>
    </row>
    <row r="430" ht="15.75" customHeight="1">
      <c r="O430" s="43"/>
      <c r="CG430" s="44"/>
      <c r="CH430" s="44"/>
      <c r="DA430" s="45"/>
      <c r="DB430" s="45"/>
      <c r="DC430" s="45"/>
      <c r="DD430" s="45"/>
      <c r="DE430" s="45"/>
      <c r="DF430" s="45"/>
      <c r="DG430" s="45"/>
      <c r="DH430" s="45"/>
      <c r="DM430" s="44"/>
      <c r="DN430" s="44"/>
    </row>
    <row r="431" ht="15.75" customHeight="1">
      <c r="O431" s="43"/>
      <c r="CG431" s="44"/>
      <c r="CH431" s="44"/>
      <c r="DA431" s="45"/>
      <c r="DB431" s="45"/>
      <c r="DC431" s="45"/>
      <c r="DD431" s="45"/>
      <c r="DE431" s="45"/>
      <c r="DF431" s="45"/>
      <c r="DG431" s="45"/>
      <c r="DH431" s="45"/>
      <c r="DM431" s="44"/>
      <c r="DN431" s="44"/>
    </row>
    <row r="432" ht="15.75" customHeight="1">
      <c r="O432" s="43"/>
      <c r="CG432" s="44"/>
      <c r="CH432" s="44"/>
      <c r="DA432" s="45"/>
      <c r="DB432" s="45"/>
      <c r="DC432" s="45"/>
      <c r="DD432" s="45"/>
      <c r="DE432" s="45"/>
      <c r="DF432" s="45"/>
      <c r="DG432" s="45"/>
      <c r="DH432" s="45"/>
      <c r="DM432" s="44"/>
      <c r="DN432" s="44"/>
    </row>
    <row r="433" ht="15.75" customHeight="1">
      <c r="O433" s="43"/>
      <c r="CG433" s="44"/>
      <c r="CH433" s="44"/>
      <c r="DA433" s="45"/>
      <c r="DB433" s="45"/>
      <c r="DC433" s="45"/>
      <c r="DD433" s="45"/>
      <c r="DE433" s="45"/>
      <c r="DF433" s="45"/>
      <c r="DG433" s="45"/>
      <c r="DH433" s="45"/>
      <c r="DM433" s="44"/>
      <c r="DN433" s="44"/>
    </row>
    <row r="434" ht="15.75" customHeight="1">
      <c r="O434" s="43"/>
      <c r="CG434" s="44"/>
      <c r="CH434" s="44"/>
      <c r="DA434" s="45"/>
      <c r="DB434" s="45"/>
      <c r="DC434" s="45"/>
      <c r="DD434" s="45"/>
      <c r="DE434" s="45"/>
      <c r="DF434" s="45"/>
      <c r="DG434" s="45"/>
      <c r="DH434" s="45"/>
      <c r="DM434" s="44"/>
      <c r="DN434" s="44"/>
    </row>
    <row r="435" ht="15.75" customHeight="1">
      <c r="O435" s="43"/>
      <c r="CG435" s="44"/>
      <c r="CH435" s="44"/>
      <c r="DA435" s="45"/>
      <c r="DB435" s="45"/>
      <c r="DC435" s="45"/>
      <c r="DD435" s="45"/>
      <c r="DE435" s="45"/>
      <c r="DF435" s="45"/>
      <c r="DG435" s="45"/>
      <c r="DH435" s="45"/>
      <c r="DM435" s="44"/>
      <c r="DN435" s="44"/>
    </row>
    <row r="436" ht="15.75" customHeight="1">
      <c r="O436" s="43"/>
      <c r="CG436" s="44"/>
      <c r="CH436" s="44"/>
      <c r="DA436" s="45"/>
      <c r="DB436" s="45"/>
      <c r="DC436" s="45"/>
      <c r="DD436" s="45"/>
      <c r="DE436" s="45"/>
      <c r="DF436" s="45"/>
      <c r="DG436" s="45"/>
      <c r="DH436" s="45"/>
      <c r="DM436" s="44"/>
      <c r="DN436" s="44"/>
    </row>
    <row r="437" ht="15.75" customHeight="1">
      <c r="O437" s="43"/>
      <c r="CG437" s="44"/>
      <c r="CH437" s="44"/>
      <c r="DA437" s="45"/>
      <c r="DB437" s="45"/>
      <c r="DC437" s="45"/>
      <c r="DD437" s="45"/>
      <c r="DE437" s="45"/>
      <c r="DF437" s="45"/>
      <c r="DG437" s="45"/>
      <c r="DH437" s="45"/>
      <c r="DM437" s="44"/>
      <c r="DN437" s="44"/>
    </row>
    <row r="438" ht="15.75" customHeight="1">
      <c r="O438" s="43"/>
      <c r="CG438" s="44"/>
      <c r="CH438" s="44"/>
      <c r="DA438" s="45"/>
      <c r="DB438" s="45"/>
      <c r="DC438" s="45"/>
      <c r="DD438" s="45"/>
      <c r="DE438" s="45"/>
      <c r="DF438" s="45"/>
      <c r="DG438" s="45"/>
      <c r="DH438" s="45"/>
      <c r="DM438" s="44"/>
      <c r="DN438" s="44"/>
    </row>
    <row r="439" ht="15.75" customHeight="1">
      <c r="O439" s="43"/>
      <c r="CG439" s="44"/>
      <c r="CH439" s="44"/>
      <c r="DA439" s="45"/>
      <c r="DB439" s="45"/>
      <c r="DC439" s="45"/>
      <c r="DD439" s="45"/>
      <c r="DE439" s="45"/>
      <c r="DF439" s="45"/>
      <c r="DG439" s="45"/>
      <c r="DH439" s="45"/>
      <c r="DM439" s="44"/>
      <c r="DN439" s="44"/>
    </row>
    <row r="440" ht="15.75" customHeight="1">
      <c r="O440" s="43"/>
      <c r="CG440" s="44"/>
      <c r="CH440" s="44"/>
      <c r="DA440" s="45"/>
      <c r="DB440" s="45"/>
      <c r="DC440" s="45"/>
      <c r="DD440" s="45"/>
      <c r="DE440" s="45"/>
      <c r="DF440" s="45"/>
      <c r="DG440" s="45"/>
      <c r="DH440" s="45"/>
      <c r="DM440" s="44"/>
      <c r="DN440" s="44"/>
    </row>
    <row r="441" ht="15.75" customHeight="1">
      <c r="O441" s="43"/>
      <c r="CG441" s="44"/>
      <c r="CH441" s="44"/>
      <c r="DA441" s="45"/>
      <c r="DB441" s="45"/>
      <c r="DC441" s="45"/>
      <c r="DD441" s="45"/>
      <c r="DE441" s="45"/>
      <c r="DF441" s="45"/>
      <c r="DG441" s="45"/>
      <c r="DH441" s="45"/>
      <c r="DM441" s="44"/>
      <c r="DN441" s="44"/>
    </row>
    <row r="442" ht="15.75" customHeight="1">
      <c r="O442" s="43"/>
      <c r="CG442" s="44"/>
      <c r="CH442" s="44"/>
      <c r="DA442" s="45"/>
      <c r="DB442" s="45"/>
      <c r="DC442" s="45"/>
      <c r="DD442" s="45"/>
      <c r="DE442" s="45"/>
      <c r="DF442" s="45"/>
      <c r="DG442" s="45"/>
      <c r="DH442" s="45"/>
      <c r="DM442" s="44"/>
      <c r="DN442" s="44"/>
    </row>
    <row r="443" ht="15.75" customHeight="1">
      <c r="O443" s="43"/>
      <c r="CG443" s="44"/>
      <c r="CH443" s="44"/>
      <c r="DA443" s="45"/>
      <c r="DB443" s="45"/>
      <c r="DC443" s="45"/>
      <c r="DD443" s="45"/>
      <c r="DE443" s="45"/>
      <c r="DF443" s="45"/>
      <c r="DG443" s="45"/>
      <c r="DH443" s="45"/>
      <c r="DM443" s="44"/>
      <c r="DN443" s="44"/>
    </row>
    <row r="444" ht="15.75" customHeight="1">
      <c r="O444" s="43"/>
      <c r="CG444" s="44"/>
      <c r="CH444" s="44"/>
      <c r="DA444" s="45"/>
      <c r="DB444" s="45"/>
      <c r="DC444" s="45"/>
      <c r="DD444" s="45"/>
      <c r="DE444" s="45"/>
      <c r="DF444" s="45"/>
      <c r="DG444" s="45"/>
      <c r="DH444" s="45"/>
      <c r="DM444" s="44"/>
      <c r="DN444" s="44"/>
    </row>
    <row r="445" ht="15.75" customHeight="1">
      <c r="O445" s="43"/>
      <c r="CG445" s="44"/>
      <c r="CH445" s="44"/>
      <c r="DA445" s="45"/>
      <c r="DB445" s="45"/>
      <c r="DC445" s="45"/>
      <c r="DD445" s="45"/>
      <c r="DE445" s="45"/>
      <c r="DF445" s="45"/>
      <c r="DG445" s="45"/>
      <c r="DH445" s="45"/>
      <c r="DM445" s="44"/>
      <c r="DN445" s="44"/>
    </row>
    <row r="446" ht="15.75" customHeight="1">
      <c r="O446" s="43"/>
      <c r="CG446" s="44"/>
      <c r="CH446" s="44"/>
      <c r="DA446" s="45"/>
      <c r="DB446" s="45"/>
      <c r="DC446" s="45"/>
      <c r="DD446" s="45"/>
      <c r="DE446" s="45"/>
      <c r="DF446" s="45"/>
      <c r="DG446" s="45"/>
      <c r="DH446" s="45"/>
      <c r="DM446" s="44"/>
      <c r="DN446" s="44"/>
    </row>
    <row r="447" ht="15.75" customHeight="1">
      <c r="O447" s="43"/>
      <c r="CG447" s="44"/>
      <c r="CH447" s="44"/>
      <c r="DA447" s="45"/>
      <c r="DB447" s="45"/>
      <c r="DC447" s="45"/>
      <c r="DD447" s="45"/>
      <c r="DE447" s="45"/>
      <c r="DF447" s="45"/>
      <c r="DG447" s="45"/>
      <c r="DH447" s="45"/>
      <c r="DM447" s="44"/>
      <c r="DN447" s="44"/>
    </row>
    <row r="448" ht="15.75" customHeight="1">
      <c r="O448" s="43"/>
      <c r="CG448" s="44"/>
      <c r="CH448" s="44"/>
      <c r="DA448" s="45"/>
      <c r="DB448" s="45"/>
      <c r="DC448" s="45"/>
      <c r="DD448" s="45"/>
      <c r="DE448" s="45"/>
      <c r="DF448" s="45"/>
      <c r="DG448" s="45"/>
      <c r="DH448" s="45"/>
      <c r="DM448" s="44"/>
      <c r="DN448" s="44"/>
    </row>
    <row r="449" ht="15.75" customHeight="1">
      <c r="O449" s="43"/>
      <c r="CG449" s="44"/>
      <c r="CH449" s="44"/>
      <c r="DA449" s="45"/>
      <c r="DB449" s="45"/>
      <c r="DC449" s="45"/>
      <c r="DD449" s="45"/>
      <c r="DE449" s="45"/>
      <c r="DF449" s="45"/>
      <c r="DG449" s="45"/>
      <c r="DH449" s="45"/>
      <c r="DM449" s="44"/>
      <c r="DN449" s="44"/>
    </row>
    <row r="450" ht="15.75" customHeight="1">
      <c r="O450" s="43"/>
      <c r="CG450" s="44"/>
      <c r="CH450" s="44"/>
      <c r="DA450" s="45"/>
      <c r="DB450" s="45"/>
      <c r="DC450" s="45"/>
      <c r="DD450" s="45"/>
      <c r="DE450" s="45"/>
      <c r="DF450" s="45"/>
      <c r="DG450" s="45"/>
      <c r="DH450" s="45"/>
      <c r="DM450" s="44"/>
      <c r="DN450" s="44"/>
    </row>
    <row r="451" ht="15.75" customHeight="1">
      <c r="O451" s="43"/>
      <c r="CG451" s="44"/>
      <c r="CH451" s="44"/>
      <c r="DA451" s="45"/>
      <c r="DB451" s="45"/>
      <c r="DC451" s="45"/>
      <c r="DD451" s="45"/>
      <c r="DE451" s="45"/>
      <c r="DF451" s="45"/>
      <c r="DG451" s="45"/>
      <c r="DH451" s="45"/>
      <c r="DM451" s="44"/>
      <c r="DN451" s="44"/>
    </row>
    <row r="452" ht="15.75" customHeight="1">
      <c r="O452" s="43"/>
      <c r="CG452" s="44"/>
      <c r="CH452" s="44"/>
      <c r="DA452" s="45"/>
      <c r="DB452" s="45"/>
      <c r="DC452" s="45"/>
      <c r="DD452" s="45"/>
      <c r="DE452" s="45"/>
      <c r="DF452" s="45"/>
      <c r="DG452" s="45"/>
      <c r="DH452" s="45"/>
      <c r="DM452" s="44"/>
      <c r="DN452" s="44"/>
    </row>
    <row r="453" ht="15.75" customHeight="1">
      <c r="O453" s="43"/>
      <c r="CG453" s="44"/>
      <c r="CH453" s="44"/>
      <c r="DA453" s="45"/>
      <c r="DB453" s="45"/>
      <c r="DC453" s="45"/>
      <c r="DD453" s="45"/>
      <c r="DE453" s="45"/>
      <c r="DF453" s="45"/>
      <c r="DG453" s="45"/>
      <c r="DH453" s="45"/>
      <c r="DM453" s="44"/>
      <c r="DN453" s="44"/>
    </row>
    <row r="454" ht="15.75" customHeight="1">
      <c r="O454" s="43"/>
      <c r="CG454" s="44"/>
      <c r="CH454" s="44"/>
      <c r="DA454" s="45"/>
      <c r="DB454" s="45"/>
      <c r="DC454" s="45"/>
      <c r="DD454" s="45"/>
      <c r="DE454" s="45"/>
      <c r="DF454" s="45"/>
      <c r="DG454" s="45"/>
      <c r="DH454" s="45"/>
      <c r="DM454" s="44"/>
      <c r="DN454" s="44"/>
    </row>
    <row r="455" ht="15.75" customHeight="1">
      <c r="O455" s="43"/>
      <c r="CG455" s="44"/>
      <c r="CH455" s="44"/>
      <c r="DA455" s="45"/>
      <c r="DB455" s="45"/>
      <c r="DC455" s="45"/>
      <c r="DD455" s="45"/>
      <c r="DE455" s="45"/>
      <c r="DF455" s="45"/>
      <c r="DG455" s="45"/>
      <c r="DH455" s="45"/>
      <c r="DM455" s="44"/>
      <c r="DN455" s="44"/>
    </row>
    <row r="456" ht="15.75" customHeight="1">
      <c r="O456" s="43"/>
      <c r="CG456" s="44"/>
      <c r="CH456" s="44"/>
      <c r="DA456" s="45"/>
      <c r="DB456" s="45"/>
      <c r="DC456" s="45"/>
      <c r="DD456" s="45"/>
      <c r="DE456" s="45"/>
      <c r="DF456" s="45"/>
      <c r="DG456" s="45"/>
      <c r="DH456" s="45"/>
      <c r="DM456" s="44"/>
      <c r="DN456" s="44"/>
    </row>
    <row r="457" ht="15.75" customHeight="1">
      <c r="O457" s="43"/>
      <c r="CG457" s="44"/>
      <c r="CH457" s="44"/>
      <c r="DA457" s="45"/>
      <c r="DB457" s="45"/>
      <c r="DC457" s="45"/>
      <c r="DD457" s="45"/>
      <c r="DE457" s="45"/>
      <c r="DF457" s="45"/>
      <c r="DG457" s="45"/>
      <c r="DH457" s="45"/>
      <c r="DM457" s="44"/>
      <c r="DN457" s="44"/>
    </row>
    <row r="458" ht="15.75" customHeight="1">
      <c r="O458" s="43"/>
      <c r="CG458" s="44"/>
      <c r="CH458" s="44"/>
      <c r="DA458" s="45"/>
      <c r="DB458" s="45"/>
      <c r="DC458" s="45"/>
      <c r="DD458" s="45"/>
      <c r="DE458" s="45"/>
      <c r="DF458" s="45"/>
      <c r="DG458" s="45"/>
      <c r="DH458" s="45"/>
      <c r="DM458" s="44"/>
      <c r="DN458" s="44"/>
    </row>
    <row r="459" ht="15.75" customHeight="1">
      <c r="O459" s="43"/>
      <c r="CG459" s="44"/>
      <c r="CH459" s="44"/>
      <c r="DA459" s="45"/>
      <c r="DB459" s="45"/>
      <c r="DC459" s="45"/>
      <c r="DD459" s="45"/>
      <c r="DE459" s="45"/>
      <c r="DF459" s="45"/>
      <c r="DG459" s="45"/>
      <c r="DH459" s="45"/>
      <c r="DM459" s="44"/>
      <c r="DN459" s="44"/>
    </row>
    <row r="460" ht="15.75" customHeight="1">
      <c r="O460" s="43"/>
      <c r="CG460" s="44"/>
      <c r="CH460" s="44"/>
      <c r="DA460" s="45"/>
      <c r="DB460" s="45"/>
      <c r="DC460" s="45"/>
      <c r="DD460" s="45"/>
      <c r="DE460" s="45"/>
      <c r="DF460" s="45"/>
      <c r="DG460" s="45"/>
      <c r="DH460" s="45"/>
      <c r="DM460" s="44"/>
      <c r="DN460" s="44"/>
    </row>
    <row r="461" ht="15.75" customHeight="1">
      <c r="O461" s="43"/>
      <c r="CG461" s="44"/>
      <c r="CH461" s="44"/>
      <c r="DA461" s="45"/>
      <c r="DB461" s="45"/>
      <c r="DC461" s="45"/>
      <c r="DD461" s="45"/>
      <c r="DE461" s="45"/>
      <c r="DF461" s="45"/>
      <c r="DG461" s="45"/>
      <c r="DH461" s="45"/>
      <c r="DM461" s="44"/>
      <c r="DN461" s="44"/>
    </row>
    <row r="462" ht="15.75" customHeight="1">
      <c r="O462" s="43"/>
      <c r="CG462" s="44"/>
      <c r="CH462" s="44"/>
      <c r="DA462" s="45"/>
      <c r="DB462" s="45"/>
      <c r="DC462" s="45"/>
      <c r="DD462" s="45"/>
      <c r="DE462" s="45"/>
      <c r="DF462" s="45"/>
      <c r="DG462" s="45"/>
      <c r="DH462" s="45"/>
      <c r="DM462" s="44"/>
      <c r="DN462" s="44"/>
    </row>
    <row r="463" ht="15.75" customHeight="1">
      <c r="O463" s="43"/>
      <c r="CG463" s="44"/>
      <c r="CH463" s="44"/>
      <c r="DA463" s="45"/>
      <c r="DB463" s="45"/>
      <c r="DC463" s="45"/>
      <c r="DD463" s="45"/>
      <c r="DE463" s="45"/>
      <c r="DF463" s="45"/>
      <c r="DG463" s="45"/>
      <c r="DH463" s="45"/>
      <c r="DM463" s="44"/>
      <c r="DN463" s="44"/>
    </row>
    <row r="464" ht="15.75" customHeight="1">
      <c r="O464" s="43"/>
      <c r="CG464" s="44"/>
      <c r="CH464" s="44"/>
      <c r="DA464" s="45"/>
      <c r="DB464" s="45"/>
      <c r="DC464" s="45"/>
      <c r="DD464" s="45"/>
      <c r="DE464" s="45"/>
      <c r="DF464" s="45"/>
      <c r="DG464" s="45"/>
      <c r="DH464" s="45"/>
      <c r="DM464" s="44"/>
      <c r="DN464" s="44"/>
    </row>
    <row r="465" ht="15.75" customHeight="1">
      <c r="O465" s="43"/>
      <c r="CG465" s="44"/>
      <c r="CH465" s="44"/>
      <c r="DA465" s="45"/>
      <c r="DB465" s="45"/>
      <c r="DC465" s="45"/>
      <c r="DD465" s="45"/>
      <c r="DE465" s="45"/>
      <c r="DF465" s="45"/>
      <c r="DG465" s="45"/>
      <c r="DH465" s="45"/>
      <c r="DM465" s="44"/>
      <c r="DN465" s="44"/>
    </row>
    <row r="466" ht="15.75" customHeight="1">
      <c r="O466" s="43"/>
      <c r="CG466" s="44"/>
      <c r="CH466" s="44"/>
      <c r="DA466" s="45"/>
      <c r="DB466" s="45"/>
      <c r="DC466" s="45"/>
      <c r="DD466" s="45"/>
      <c r="DE466" s="45"/>
      <c r="DF466" s="45"/>
      <c r="DG466" s="45"/>
      <c r="DH466" s="45"/>
      <c r="DM466" s="44"/>
      <c r="DN466" s="44"/>
    </row>
    <row r="467" ht="15.75" customHeight="1">
      <c r="O467" s="43"/>
      <c r="CG467" s="44"/>
      <c r="CH467" s="44"/>
      <c r="DA467" s="45"/>
      <c r="DB467" s="45"/>
      <c r="DC467" s="45"/>
      <c r="DD467" s="45"/>
      <c r="DE467" s="45"/>
      <c r="DF467" s="45"/>
      <c r="DG467" s="45"/>
      <c r="DH467" s="45"/>
      <c r="DM467" s="44"/>
      <c r="DN467" s="44"/>
    </row>
    <row r="468" ht="15.75" customHeight="1">
      <c r="O468" s="43"/>
      <c r="CG468" s="44"/>
      <c r="CH468" s="44"/>
      <c r="DA468" s="45"/>
      <c r="DB468" s="45"/>
      <c r="DC468" s="45"/>
      <c r="DD468" s="45"/>
      <c r="DE468" s="45"/>
      <c r="DF468" s="45"/>
      <c r="DG468" s="45"/>
      <c r="DH468" s="45"/>
      <c r="DM468" s="44"/>
      <c r="DN468" s="44"/>
    </row>
    <row r="469" ht="15.75" customHeight="1">
      <c r="O469" s="43"/>
      <c r="CG469" s="44"/>
      <c r="CH469" s="44"/>
      <c r="DA469" s="45"/>
      <c r="DB469" s="45"/>
      <c r="DC469" s="45"/>
      <c r="DD469" s="45"/>
      <c r="DE469" s="45"/>
      <c r="DF469" s="45"/>
      <c r="DG469" s="45"/>
      <c r="DH469" s="45"/>
      <c r="DM469" s="44"/>
      <c r="DN469" s="44"/>
    </row>
    <row r="470" ht="15.75" customHeight="1">
      <c r="O470" s="43"/>
      <c r="CG470" s="44"/>
      <c r="CH470" s="44"/>
      <c r="DA470" s="45"/>
      <c r="DB470" s="45"/>
      <c r="DC470" s="45"/>
      <c r="DD470" s="45"/>
      <c r="DE470" s="45"/>
      <c r="DF470" s="45"/>
      <c r="DG470" s="45"/>
      <c r="DH470" s="45"/>
      <c r="DM470" s="44"/>
      <c r="DN470" s="44"/>
    </row>
    <row r="471" ht="15.75" customHeight="1">
      <c r="O471" s="43"/>
      <c r="CG471" s="44"/>
      <c r="CH471" s="44"/>
      <c r="DA471" s="45"/>
      <c r="DB471" s="45"/>
      <c r="DC471" s="45"/>
      <c r="DD471" s="45"/>
      <c r="DE471" s="45"/>
      <c r="DF471" s="45"/>
      <c r="DG471" s="45"/>
      <c r="DH471" s="45"/>
      <c r="DM471" s="44"/>
      <c r="DN471" s="44"/>
    </row>
    <row r="472" ht="15.75" customHeight="1">
      <c r="O472" s="43"/>
      <c r="CG472" s="44"/>
      <c r="CH472" s="44"/>
      <c r="DA472" s="45"/>
      <c r="DB472" s="45"/>
      <c r="DC472" s="45"/>
      <c r="DD472" s="45"/>
      <c r="DE472" s="45"/>
      <c r="DF472" s="45"/>
      <c r="DG472" s="45"/>
      <c r="DH472" s="45"/>
      <c r="DM472" s="44"/>
      <c r="DN472" s="44"/>
    </row>
    <row r="473" ht="15.75" customHeight="1">
      <c r="O473" s="43"/>
      <c r="CG473" s="44"/>
      <c r="CH473" s="44"/>
      <c r="DA473" s="45"/>
      <c r="DB473" s="45"/>
      <c r="DC473" s="45"/>
      <c r="DD473" s="45"/>
      <c r="DE473" s="45"/>
      <c r="DF473" s="45"/>
      <c r="DG473" s="45"/>
      <c r="DH473" s="45"/>
      <c r="DM473" s="44"/>
      <c r="DN473" s="44"/>
    </row>
    <row r="474" ht="15.75" customHeight="1">
      <c r="O474" s="43"/>
      <c r="CG474" s="44"/>
      <c r="CH474" s="44"/>
      <c r="DA474" s="45"/>
      <c r="DB474" s="45"/>
      <c r="DC474" s="45"/>
      <c r="DD474" s="45"/>
      <c r="DE474" s="45"/>
      <c r="DF474" s="45"/>
      <c r="DG474" s="45"/>
      <c r="DH474" s="45"/>
      <c r="DM474" s="44"/>
      <c r="DN474" s="44"/>
    </row>
    <row r="475" ht="15.75" customHeight="1">
      <c r="O475" s="43"/>
      <c r="CG475" s="44"/>
      <c r="CH475" s="44"/>
      <c r="DA475" s="45"/>
      <c r="DB475" s="45"/>
      <c r="DC475" s="45"/>
      <c r="DD475" s="45"/>
      <c r="DE475" s="45"/>
      <c r="DF475" s="45"/>
      <c r="DG475" s="45"/>
      <c r="DH475" s="45"/>
      <c r="DM475" s="44"/>
      <c r="DN475" s="44"/>
    </row>
    <row r="476" ht="15.75" customHeight="1">
      <c r="O476" s="43"/>
      <c r="CG476" s="44"/>
      <c r="CH476" s="44"/>
      <c r="DA476" s="45"/>
      <c r="DB476" s="45"/>
      <c r="DC476" s="45"/>
      <c r="DD476" s="45"/>
      <c r="DE476" s="45"/>
      <c r="DF476" s="45"/>
      <c r="DG476" s="45"/>
      <c r="DH476" s="45"/>
      <c r="DM476" s="44"/>
      <c r="DN476" s="44"/>
    </row>
    <row r="477" ht="15.75" customHeight="1">
      <c r="O477" s="43"/>
      <c r="CG477" s="44"/>
      <c r="CH477" s="44"/>
      <c r="DA477" s="45"/>
      <c r="DB477" s="45"/>
      <c r="DC477" s="45"/>
      <c r="DD477" s="45"/>
      <c r="DE477" s="45"/>
      <c r="DF477" s="45"/>
      <c r="DG477" s="45"/>
      <c r="DH477" s="45"/>
      <c r="DM477" s="44"/>
      <c r="DN477" s="44"/>
    </row>
    <row r="478" ht="15.75" customHeight="1">
      <c r="O478" s="43"/>
      <c r="CG478" s="44"/>
      <c r="CH478" s="44"/>
      <c r="DA478" s="45"/>
      <c r="DB478" s="45"/>
      <c r="DC478" s="45"/>
      <c r="DD478" s="45"/>
      <c r="DE478" s="45"/>
      <c r="DF478" s="45"/>
      <c r="DG478" s="45"/>
      <c r="DH478" s="45"/>
      <c r="DM478" s="44"/>
      <c r="DN478" s="44"/>
    </row>
    <row r="479" ht="15.75" customHeight="1">
      <c r="O479" s="43"/>
      <c r="CG479" s="44"/>
      <c r="CH479" s="44"/>
      <c r="DA479" s="45"/>
      <c r="DB479" s="45"/>
      <c r="DC479" s="45"/>
      <c r="DD479" s="45"/>
      <c r="DE479" s="45"/>
      <c r="DF479" s="45"/>
      <c r="DG479" s="45"/>
      <c r="DH479" s="45"/>
      <c r="DM479" s="44"/>
      <c r="DN479" s="44"/>
    </row>
    <row r="480" ht="15.75" customHeight="1">
      <c r="O480" s="43"/>
      <c r="CG480" s="44"/>
      <c r="CH480" s="44"/>
      <c r="DA480" s="45"/>
      <c r="DB480" s="45"/>
      <c r="DC480" s="45"/>
      <c r="DD480" s="45"/>
      <c r="DE480" s="45"/>
      <c r="DF480" s="45"/>
      <c r="DG480" s="45"/>
      <c r="DH480" s="45"/>
      <c r="DM480" s="44"/>
      <c r="DN480" s="44"/>
    </row>
    <row r="481" ht="15.75" customHeight="1">
      <c r="O481" s="43"/>
      <c r="CG481" s="44"/>
      <c r="CH481" s="44"/>
      <c r="DA481" s="45"/>
      <c r="DB481" s="45"/>
      <c r="DC481" s="45"/>
      <c r="DD481" s="45"/>
      <c r="DE481" s="45"/>
      <c r="DF481" s="45"/>
      <c r="DG481" s="45"/>
      <c r="DH481" s="45"/>
      <c r="DM481" s="44"/>
      <c r="DN481" s="44"/>
    </row>
    <row r="482" ht="15.75" customHeight="1">
      <c r="O482" s="43"/>
      <c r="CG482" s="44"/>
      <c r="CH482" s="44"/>
      <c r="DA482" s="45"/>
      <c r="DB482" s="45"/>
      <c r="DC482" s="45"/>
      <c r="DD482" s="45"/>
      <c r="DE482" s="45"/>
      <c r="DF482" s="45"/>
      <c r="DG482" s="45"/>
      <c r="DH482" s="45"/>
      <c r="DM482" s="44"/>
      <c r="DN482" s="44"/>
    </row>
    <row r="483" ht="15.75" customHeight="1">
      <c r="O483" s="43"/>
      <c r="CG483" s="44"/>
      <c r="CH483" s="44"/>
      <c r="DA483" s="45"/>
      <c r="DB483" s="45"/>
      <c r="DC483" s="45"/>
      <c r="DD483" s="45"/>
      <c r="DE483" s="45"/>
      <c r="DF483" s="45"/>
      <c r="DG483" s="45"/>
      <c r="DH483" s="45"/>
      <c r="DM483" s="44"/>
      <c r="DN483" s="44"/>
    </row>
    <row r="484" ht="15.75" customHeight="1">
      <c r="O484" s="43"/>
      <c r="CG484" s="44"/>
      <c r="CH484" s="44"/>
      <c r="DA484" s="45"/>
      <c r="DB484" s="45"/>
      <c r="DC484" s="45"/>
      <c r="DD484" s="45"/>
      <c r="DE484" s="45"/>
      <c r="DF484" s="45"/>
      <c r="DG484" s="45"/>
      <c r="DH484" s="45"/>
      <c r="DM484" s="44"/>
      <c r="DN484" s="44"/>
    </row>
    <row r="485" ht="15.75" customHeight="1">
      <c r="O485" s="43"/>
      <c r="CG485" s="44"/>
      <c r="CH485" s="44"/>
      <c r="DA485" s="45"/>
      <c r="DB485" s="45"/>
      <c r="DC485" s="45"/>
      <c r="DD485" s="45"/>
      <c r="DE485" s="45"/>
      <c r="DF485" s="45"/>
      <c r="DG485" s="45"/>
      <c r="DH485" s="45"/>
      <c r="DM485" s="44"/>
      <c r="DN485" s="44"/>
    </row>
    <row r="486" ht="15.75" customHeight="1">
      <c r="O486" s="43"/>
      <c r="CG486" s="44"/>
      <c r="CH486" s="44"/>
      <c r="DA486" s="45"/>
      <c r="DB486" s="45"/>
      <c r="DC486" s="45"/>
      <c r="DD486" s="45"/>
      <c r="DE486" s="45"/>
      <c r="DF486" s="45"/>
      <c r="DG486" s="45"/>
      <c r="DH486" s="45"/>
      <c r="DM486" s="44"/>
      <c r="DN486" s="44"/>
    </row>
    <row r="487" ht="15.75" customHeight="1">
      <c r="O487" s="43"/>
      <c r="CG487" s="44"/>
      <c r="CH487" s="44"/>
      <c r="DA487" s="45"/>
      <c r="DB487" s="45"/>
      <c r="DC487" s="45"/>
      <c r="DD487" s="45"/>
      <c r="DE487" s="45"/>
      <c r="DF487" s="45"/>
      <c r="DG487" s="45"/>
      <c r="DH487" s="45"/>
      <c r="DM487" s="44"/>
      <c r="DN487" s="44"/>
    </row>
    <row r="488" ht="15.75" customHeight="1">
      <c r="O488" s="43"/>
      <c r="CG488" s="44"/>
      <c r="CH488" s="44"/>
      <c r="DA488" s="45"/>
      <c r="DB488" s="45"/>
      <c r="DC488" s="45"/>
      <c r="DD488" s="45"/>
      <c r="DE488" s="45"/>
      <c r="DF488" s="45"/>
      <c r="DG488" s="45"/>
      <c r="DH488" s="45"/>
      <c r="DM488" s="44"/>
      <c r="DN488" s="44"/>
    </row>
    <row r="489" ht="15.75" customHeight="1">
      <c r="O489" s="43"/>
      <c r="CG489" s="44"/>
      <c r="CH489" s="44"/>
      <c r="DA489" s="45"/>
      <c r="DB489" s="45"/>
      <c r="DC489" s="45"/>
      <c r="DD489" s="45"/>
      <c r="DE489" s="45"/>
      <c r="DF489" s="45"/>
      <c r="DG489" s="45"/>
      <c r="DH489" s="45"/>
      <c r="DM489" s="44"/>
      <c r="DN489" s="44"/>
    </row>
    <row r="490" ht="15.75" customHeight="1">
      <c r="O490" s="43"/>
      <c r="CG490" s="44"/>
      <c r="CH490" s="44"/>
      <c r="DA490" s="45"/>
      <c r="DB490" s="45"/>
      <c r="DC490" s="45"/>
      <c r="DD490" s="45"/>
      <c r="DE490" s="45"/>
      <c r="DF490" s="45"/>
      <c r="DG490" s="45"/>
      <c r="DH490" s="45"/>
      <c r="DM490" s="44"/>
      <c r="DN490" s="44"/>
    </row>
    <row r="491" ht="15.75" customHeight="1">
      <c r="O491" s="43"/>
      <c r="CG491" s="44"/>
      <c r="CH491" s="44"/>
      <c r="DA491" s="45"/>
      <c r="DB491" s="45"/>
      <c r="DC491" s="45"/>
      <c r="DD491" s="45"/>
      <c r="DE491" s="45"/>
      <c r="DF491" s="45"/>
      <c r="DG491" s="45"/>
      <c r="DH491" s="45"/>
      <c r="DM491" s="44"/>
      <c r="DN491" s="44"/>
    </row>
    <row r="492" ht="15.75" customHeight="1">
      <c r="O492" s="43"/>
      <c r="CG492" s="44"/>
      <c r="CH492" s="44"/>
      <c r="DA492" s="45"/>
      <c r="DB492" s="45"/>
      <c r="DC492" s="45"/>
      <c r="DD492" s="45"/>
      <c r="DE492" s="45"/>
      <c r="DF492" s="45"/>
      <c r="DG492" s="45"/>
      <c r="DH492" s="45"/>
      <c r="DM492" s="44"/>
      <c r="DN492" s="44"/>
    </row>
    <row r="493" ht="15.75" customHeight="1">
      <c r="O493" s="43"/>
      <c r="CG493" s="44"/>
      <c r="CH493" s="44"/>
      <c r="DA493" s="45"/>
      <c r="DB493" s="45"/>
      <c r="DC493" s="45"/>
      <c r="DD493" s="45"/>
      <c r="DE493" s="45"/>
      <c r="DF493" s="45"/>
      <c r="DG493" s="45"/>
      <c r="DH493" s="45"/>
      <c r="DM493" s="44"/>
      <c r="DN493" s="44"/>
    </row>
    <row r="494" ht="15.75" customHeight="1">
      <c r="O494" s="43"/>
      <c r="CG494" s="44"/>
      <c r="CH494" s="44"/>
      <c r="DA494" s="45"/>
      <c r="DB494" s="45"/>
      <c r="DC494" s="45"/>
      <c r="DD494" s="45"/>
      <c r="DE494" s="45"/>
      <c r="DF494" s="45"/>
      <c r="DG494" s="45"/>
      <c r="DH494" s="45"/>
      <c r="DM494" s="44"/>
      <c r="DN494" s="44"/>
    </row>
    <row r="495" ht="15.75" customHeight="1">
      <c r="O495" s="43"/>
      <c r="CG495" s="44"/>
      <c r="CH495" s="44"/>
      <c r="DA495" s="45"/>
      <c r="DB495" s="45"/>
      <c r="DC495" s="45"/>
      <c r="DD495" s="45"/>
      <c r="DE495" s="45"/>
      <c r="DF495" s="45"/>
      <c r="DG495" s="45"/>
      <c r="DH495" s="45"/>
      <c r="DM495" s="44"/>
      <c r="DN495" s="44"/>
    </row>
    <row r="496" ht="15.75" customHeight="1">
      <c r="O496" s="43"/>
      <c r="CG496" s="44"/>
      <c r="CH496" s="44"/>
      <c r="DA496" s="45"/>
      <c r="DB496" s="45"/>
      <c r="DC496" s="45"/>
      <c r="DD496" s="45"/>
      <c r="DE496" s="45"/>
      <c r="DF496" s="45"/>
      <c r="DG496" s="45"/>
      <c r="DH496" s="45"/>
      <c r="DM496" s="44"/>
      <c r="DN496" s="44"/>
    </row>
    <row r="497" ht="15.75" customHeight="1">
      <c r="O497" s="43"/>
      <c r="CG497" s="44"/>
      <c r="CH497" s="44"/>
      <c r="DA497" s="45"/>
      <c r="DB497" s="45"/>
      <c r="DC497" s="45"/>
      <c r="DD497" s="45"/>
      <c r="DE497" s="45"/>
      <c r="DF497" s="45"/>
      <c r="DG497" s="45"/>
      <c r="DH497" s="45"/>
      <c r="DM497" s="44"/>
      <c r="DN497" s="44"/>
    </row>
    <row r="498" ht="15.75" customHeight="1">
      <c r="O498" s="43"/>
      <c r="CG498" s="44"/>
      <c r="CH498" s="44"/>
      <c r="DA498" s="45"/>
      <c r="DB498" s="45"/>
      <c r="DC498" s="45"/>
      <c r="DD498" s="45"/>
      <c r="DE498" s="45"/>
      <c r="DF498" s="45"/>
      <c r="DG498" s="45"/>
      <c r="DH498" s="45"/>
      <c r="DM498" s="44"/>
      <c r="DN498" s="44"/>
    </row>
    <row r="499" ht="15.75" customHeight="1">
      <c r="O499" s="43"/>
      <c r="CG499" s="44"/>
      <c r="CH499" s="44"/>
      <c r="DA499" s="45"/>
      <c r="DB499" s="45"/>
      <c r="DC499" s="45"/>
      <c r="DD499" s="45"/>
      <c r="DE499" s="45"/>
      <c r="DF499" s="45"/>
      <c r="DG499" s="45"/>
      <c r="DH499" s="45"/>
      <c r="DM499" s="44"/>
      <c r="DN499" s="44"/>
    </row>
    <row r="500" ht="15.75" customHeight="1">
      <c r="O500" s="43"/>
      <c r="CG500" s="44"/>
      <c r="CH500" s="44"/>
      <c r="DA500" s="45"/>
      <c r="DB500" s="45"/>
      <c r="DC500" s="45"/>
      <c r="DD500" s="45"/>
      <c r="DE500" s="45"/>
      <c r="DF500" s="45"/>
      <c r="DG500" s="45"/>
      <c r="DH500" s="45"/>
      <c r="DM500" s="44"/>
      <c r="DN500" s="44"/>
    </row>
    <row r="501" ht="15.75" customHeight="1">
      <c r="O501" s="43"/>
      <c r="CG501" s="44"/>
      <c r="CH501" s="44"/>
      <c r="DA501" s="45"/>
      <c r="DB501" s="45"/>
      <c r="DC501" s="45"/>
      <c r="DD501" s="45"/>
      <c r="DE501" s="45"/>
      <c r="DF501" s="45"/>
      <c r="DG501" s="45"/>
      <c r="DH501" s="45"/>
      <c r="DM501" s="44"/>
      <c r="DN501" s="44"/>
    </row>
    <row r="502" ht="15.75" customHeight="1">
      <c r="O502" s="43"/>
      <c r="CG502" s="44"/>
      <c r="CH502" s="44"/>
      <c r="DA502" s="45"/>
      <c r="DB502" s="45"/>
      <c r="DC502" s="45"/>
      <c r="DD502" s="45"/>
      <c r="DE502" s="45"/>
      <c r="DF502" s="45"/>
      <c r="DG502" s="45"/>
      <c r="DH502" s="45"/>
      <c r="DM502" s="44"/>
      <c r="DN502" s="44"/>
    </row>
    <row r="503" ht="15.75" customHeight="1">
      <c r="O503" s="43"/>
      <c r="CG503" s="44"/>
      <c r="CH503" s="44"/>
      <c r="DA503" s="45"/>
      <c r="DB503" s="45"/>
      <c r="DC503" s="45"/>
      <c r="DD503" s="45"/>
      <c r="DE503" s="45"/>
      <c r="DF503" s="45"/>
      <c r="DG503" s="45"/>
      <c r="DH503" s="45"/>
      <c r="DM503" s="44"/>
      <c r="DN503" s="44"/>
    </row>
    <row r="504" ht="15.75" customHeight="1">
      <c r="O504" s="43"/>
      <c r="CG504" s="44"/>
      <c r="CH504" s="44"/>
      <c r="DA504" s="45"/>
      <c r="DB504" s="45"/>
      <c r="DC504" s="45"/>
      <c r="DD504" s="45"/>
      <c r="DE504" s="45"/>
      <c r="DF504" s="45"/>
      <c r="DG504" s="45"/>
      <c r="DH504" s="45"/>
      <c r="DM504" s="44"/>
      <c r="DN504" s="44"/>
    </row>
    <row r="505" ht="15.75" customHeight="1">
      <c r="O505" s="43"/>
      <c r="CG505" s="44"/>
      <c r="CH505" s="44"/>
      <c r="DA505" s="45"/>
      <c r="DB505" s="45"/>
      <c r="DC505" s="45"/>
      <c r="DD505" s="45"/>
      <c r="DE505" s="45"/>
      <c r="DF505" s="45"/>
      <c r="DG505" s="45"/>
      <c r="DH505" s="45"/>
      <c r="DM505" s="44"/>
      <c r="DN505" s="44"/>
    </row>
    <row r="506" ht="15.75" customHeight="1">
      <c r="O506" s="43"/>
      <c r="CG506" s="44"/>
      <c r="CH506" s="44"/>
      <c r="DA506" s="45"/>
      <c r="DB506" s="45"/>
      <c r="DC506" s="45"/>
      <c r="DD506" s="45"/>
      <c r="DE506" s="45"/>
      <c r="DF506" s="45"/>
      <c r="DG506" s="45"/>
      <c r="DH506" s="45"/>
      <c r="DM506" s="44"/>
      <c r="DN506" s="44"/>
    </row>
    <row r="507" ht="15.75" customHeight="1">
      <c r="O507" s="43"/>
      <c r="CG507" s="44"/>
      <c r="CH507" s="44"/>
      <c r="DA507" s="45"/>
      <c r="DB507" s="45"/>
      <c r="DC507" s="45"/>
      <c r="DD507" s="45"/>
      <c r="DE507" s="45"/>
      <c r="DF507" s="45"/>
      <c r="DG507" s="45"/>
      <c r="DH507" s="45"/>
      <c r="DM507" s="44"/>
      <c r="DN507" s="44"/>
    </row>
    <row r="508" ht="15.75" customHeight="1">
      <c r="O508" s="43"/>
      <c r="CG508" s="44"/>
      <c r="CH508" s="44"/>
      <c r="DA508" s="45"/>
      <c r="DB508" s="45"/>
      <c r="DC508" s="45"/>
      <c r="DD508" s="45"/>
      <c r="DE508" s="45"/>
      <c r="DF508" s="45"/>
      <c r="DG508" s="45"/>
      <c r="DH508" s="45"/>
      <c r="DM508" s="44"/>
      <c r="DN508" s="44"/>
    </row>
    <row r="509" ht="15.75" customHeight="1">
      <c r="O509" s="43"/>
      <c r="CG509" s="44"/>
      <c r="CH509" s="44"/>
      <c r="DA509" s="45"/>
      <c r="DB509" s="45"/>
      <c r="DC509" s="45"/>
      <c r="DD509" s="45"/>
      <c r="DE509" s="45"/>
      <c r="DF509" s="45"/>
      <c r="DG509" s="45"/>
      <c r="DH509" s="45"/>
      <c r="DM509" s="44"/>
      <c r="DN509" s="44"/>
    </row>
    <row r="510" ht="15.75" customHeight="1">
      <c r="O510" s="43"/>
      <c r="CG510" s="44"/>
      <c r="CH510" s="44"/>
      <c r="DA510" s="45"/>
      <c r="DB510" s="45"/>
      <c r="DC510" s="45"/>
      <c r="DD510" s="45"/>
      <c r="DE510" s="45"/>
      <c r="DF510" s="45"/>
      <c r="DG510" s="45"/>
      <c r="DH510" s="45"/>
      <c r="DM510" s="44"/>
      <c r="DN510" s="44"/>
    </row>
    <row r="511" ht="15.75" customHeight="1">
      <c r="O511" s="43"/>
      <c r="CG511" s="44"/>
      <c r="CH511" s="44"/>
      <c r="DA511" s="45"/>
      <c r="DB511" s="45"/>
      <c r="DC511" s="45"/>
      <c r="DD511" s="45"/>
      <c r="DE511" s="45"/>
      <c r="DF511" s="45"/>
      <c r="DG511" s="45"/>
      <c r="DH511" s="45"/>
      <c r="DM511" s="44"/>
      <c r="DN511" s="44"/>
    </row>
    <row r="512" ht="15.75" customHeight="1">
      <c r="O512" s="43"/>
      <c r="CG512" s="44"/>
      <c r="CH512" s="44"/>
      <c r="DA512" s="45"/>
      <c r="DB512" s="45"/>
      <c r="DC512" s="45"/>
      <c r="DD512" s="45"/>
      <c r="DE512" s="45"/>
      <c r="DF512" s="45"/>
      <c r="DG512" s="45"/>
      <c r="DH512" s="45"/>
      <c r="DM512" s="44"/>
      <c r="DN512" s="44"/>
    </row>
    <row r="513" ht="15.75" customHeight="1">
      <c r="O513" s="43"/>
      <c r="CG513" s="44"/>
      <c r="CH513" s="44"/>
      <c r="DA513" s="45"/>
      <c r="DB513" s="45"/>
      <c r="DC513" s="45"/>
      <c r="DD513" s="45"/>
      <c r="DE513" s="45"/>
      <c r="DF513" s="45"/>
      <c r="DG513" s="45"/>
      <c r="DH513" s="45"/>
      <c r="DM513" s="44"/>
      <c r="DN513" s="44"/>
    </row>
    <row r="514" ht="15.75" customHeight="1">
      <c r="O514" s="43"/>
      <c r="CG514" s="44"/>
      <c r="CH514" s="44"/>
      <c r="DA514" s="45"/>
      <c r="DB514" s="45"/>
      <c r="DC514" s="45"/>
      <c r="DD514" s="45"/>
      <c r="DE514" s="45"/>
      <c r="DF514" s="45"/>
      <c r="DG514" s="45"/>
      <c r="DH514" s="45"/>
      <c r="DM514" s="44"/>
      <c r="DN514" s="44"/>
    </row>
    <row r="515" ht="15.75" customHeight="1">
      <c r="O515" s="43"/>
      <c r="CG515" s="44"/>
      <c r="CH515" s="44"/>
      <c r="DA515" s="45"/>
      <c r="DB515" s="45"/>
      <c r="DC515" s="45"/>
      <c r="DD515" s="45"/>
      <c r="DE515" s="45"/>
      <c r="DF515" s="45"/>
      <c r="DG515" s="45"/>
      <c r="DH515" s="45"/>
      <c r="DM515" s="44"/>
      <c r="DN515" s="44"/>
    </row>
    <row r="516" ht="15.75" customHeight="1">
      <c r="O516" s="43"/>
      <c r="CG516" s="44"/>
      <c r="CH516" s="44"/>
      <c r="DA516" s="45"/>
      <c r="DB516" s="45"/>
      <c r="DC516" s="45"/>
      <c r="DD516" s="45"/>
      <c r="DE516" s="45"/>
      <c r="DF516" s="45"/>
      <c r="DG516" s="45"/>
      <c r="DH516" s="45"/>
      <c r="DM516" s="44"/>
      <c r="DN516" s="44"/>
    </row>
    <row r="517" ht="15.75" customHeight="1">
      <c r="O517" s="43"/>
      <c r="CG517" s="44"/>
      <c r="CH517" s="44"/>
      <c r="DA517" s="45"/>
      <c r="DB517" s="45"/>
      <c r="DC517" s="45"/>
      <c r="DD517" s="45"/>
      <c r="DE517" s="45"/>
      <c r="DF517" s="45"/>
      <c r="DG517" s="45"/>
      <c r="DH517" s="45"/>
      <c r="DM517" s="44"/>
      <c r="DN517" s="44"/>
    </row>
    <row r="518" ht="15.75" customHeight="1">
      <c r="O518" s="43"/>
      <c r="CG518" s="44"/>
      <c r="CH518" s="44"/>
      <c r="DA518" s="45"/>
      <c r="DB518" s="45"/>
      <c r="DC518" s="45"/>
      <c r="DD518" s="45"/>
      <c r="DE518" s="45"/>
      <c r="DF518" s="45"/>
      <c r="DG518" s="45"/>
      <c r="DH518" s="45"/>
      <c r="DM518" s="44"/>
      <c r="DN518" s="44"/>
    </row>
    <row r="519" ht="15.75" customHeight="1">
      <c r="O519" s="43"/>
      <c r="CG519" s="44"/>
      <c r="CH519" s="44"/>
      <c r="DA519" s="45"/>
      <c r="DB519" s="45"/>
      <c r="DC519" s="45"/>
      <c r="DD519" s="45"/>
      <c r="DE519" s="45"/>
      <c r="DF519" s="45"/>
      <c r="DG519" s="45"/>
      <c r="DH519" s="45"/>
      <c r="DM519" s="44"/>
      <c r="DN519" s="44"/>
    </row>
    <row r="520" ht="15.75" customHeight="1">
      <c r="O520" s="43"/>
      <c r="CG520" s="44"/>
      <c r="CH520" s="44"/>
      <c r="DA520" s="45"/>
      <c r="DB520" s="45"/>
      <c r="DC520" s="45"/>
      <c r="DD520" s="45"/>
      <c r="DE520" s="45"/>
      <c r="DF520" s="45"/>
      <c r="DG520" s="45"/>
      <c r="DH520" s="45"/>
      <c r="DM520" s="44"/>
      <c r="DN520" s="44"/>
    </row>
    <row r="521" ht="15.75" customHeight="1">
      <c r="O521" s="43"/>
      <c r="CG521" s="44"/>
      <c r="CH521" s="44"/>
      <c r="DA521" s="45"/>
      <c r="DB521" s="45"/>
      <c r="DC521" s="45"/>
      <c r="DD521" s="45"/>
      <c r="DE521" s="45"/>
      <c r="DF521" s="45"/>
      <c r="DG521" s="45"/>
      <c r="DH521" s="45"/>
      <c r="DM521" s="44"/>
      <c r="DN521" s="44"/>
    </row>
    <row r="522" ht="15.75" customHeight="1">
      <c r="O522" s="43"/>
      <c r="CG522" s="44"/>
      <c r="CH522" s="44"/>
      <c r="DA522" s="45"/>
      <c r="DB522" s="45"/>
      <c r="DC522" s="45"/>
      <c r="DD522" s="45"/>
      <c r="DE522" s="45"/>
      <c r="DF522" s="45"/>
      <c r="DG522" s="45"/>
      <c r="DH522" s="45"/>
      <c r="DM522" s="44"/>
      <c r="DN522" s="44"/>
    </row>
    <row r="523" ht="15.75" customHeight="1">
      <c r="O523" s="43"/>
      <c r="CG523" s="44"/>
      <c r="CH523" s="44"/>
      <c r="DA523" s="45"/>
      <c r="DB523" s="45"/>
      <c r="DC523" s="45"/>
      <c r="DD523" s="45"/>
      <c r="DE523" s="45"/>
      <c r="DF523" s="45"/>
      <c r="DG523" s="45"/>
      <c r="DH523" s="45"/>
      <c r="DM523" s="44"/>
      <c r="DN523" s="44"/>
    </row>
    <row r="524" ht="15.75" customHeight="1">
      <c r="O524" s="43"/>
      <c r="CG524" s="44"/>
      <c r="CH524" s="44"/>
      <c r="DA524" s="45"/>
      <c r="DB524" s="45"/>
      <c r="DC524" s="45"/>
      <c r="DD524" s="45"/>
      <c r="DE524" s="45"/>
      <c r="DF524" s="45"/>
      <c r="DG524" s="45"/>
      <c r="DH524" s="45"/>
      <c r="DM524" s="44"/>
      <c r="DN524" s="44"/>
    </row>
    <row r="525" ht="15.75" customHeight="1">
      <c r="O525" s="43"/>
      <c r="CG525" s="44"/>
      <c r="CH525" s="44"/>
      <c r="DA525" s="45"/>
      <c r="DB525" s="45"/>
      <c r="DC525" s="45"/>
      <c r="DD525" s="45"/>
      <c r="DE525" s="45"/>
      <c r="DF525" s="45"/>
      <c r="DG525" s="45"/>
      <c r="DH525" s="45"/>
      <c r="DM525" s="44"/>
      <c r="DN525" s="44"/>
    </row>
    <row r="526" ht="15.75" customHeight="1">
      <c r="O526" s="43"/>
      <c r="CG526" s="44"/>
      <c r="CH526" s="44"/>
      <c r="DA526" s="45"/>
      <c r="DB526" s="45"/>
      <c r="DC526" s="45"/>
      <c r="DD526" s="45"/>
      <c r="DE526" s="45"/>
      <c r="DF526" s="45"/>
      <c r="DG526" s="45"/>
      <c r="DH526" s="45"/>
      <c r="DM526" s="44"/>
      <c r="DN526" s="44"/>
    </row>
    <row r="527" ht="15.75" customHeight="1">
      <c r="O527" s="43"/>
      <c r="CG527" s="44"/>
      <c r="CH527" s="44"/>
      <c r="DA527" s="45"/>
      <c r="DB527" s="45"/>
      <c r="DC527" s="45"/>
      <c r="DD527" s="45"/>
      <c r="DE527" s="45"/>
      <c r="DF527" s="45"/>
      <c r="DG527" s="45"/>
      <c r="DH527" s="45"/>
      <c r="DM527" s="44"/>
      <c r="DN527" s="44"/>
    </row>
    <row r="528" ht="15.75" customHeight="1">
      <c r="O528" s="43"/>
      <c r="CG528" s="44"/>
      <c r="CH528" s="44"/>
      <c r="DA528" s="45"/>
      <c r="DB528" s="45"/>
      <c r="DC528" s="45"/>
      <c r="DD528" s="45"/>
      <c r="DE528" s="45"/>
      <c r="DF528" s="45"/>
      <c r="DG528" s="45"/>
      <c r="DH528" s="45"/>
      <c r="DM528" s="44"/>
      <c r="DN528" s="44"/>
    </row>
    <row r="529" ht="15.75" customHeight="1">
      <c r="O529" s="43"/>
      <c r="CG529" s="44"/>
      <c r="CH529" s="44"/>
      <c r="DA529" s="45"/>
      <c r="DB529" s="45"/>
      <c r="DC529" s="45"/>
      <c r="DD529" s="45"/>
      <c r="DE529" s="45"/>
      <c r="DF529" s="45"/>
      <c r="DG529" s="45"/>
      <c r="DH529" s="45"/>
      <c r="DM529" s="44"/>
      <c r="DN529" s="44"/>
    </row>
    <row r="530" ht="15.75" customHeight="1">
      <c r="O530" s="43"/>
      <c r="CG530" s="44"/>
      <c r="CH530" s="44"/>
      <c r="DA530" s="45"/>
      <c r="DB530" s="45"/>
      <c r="DC530" s="45"/>
      <c r="DD530" s="45"/>
      <c r="DE530" s="45"/>
      <c r="DF530" s="45"/>
      <c r="DG530" s="45"/>
      <c r="DH530" s="45"/>
      <c r="DM530" s="44"/>
      <c r="DN530" s="44"/>
    </row>
    <row r="531" ht="15.75" customHeight="1">
      <c r="O531" s="43"/>
      <c r="CG531" s="44"/>
      <c r="CH531" s="44"/>
      <c r="DA531" s="45"/>
      <c r="DB531" s="45"/>
      <c r="DC531" s="45"/>
      <c r="DD531" s="45"/>
      <c r="DE531" s="45"/>
      <c r="DF531" s="45"/>
      <c r="DG531" s="45"/>
      <c r="DH531" s="45"/>
      <c r="DM531" s="44"/>
      <c r="DN531" s="44"/>
    </row>
    <row r="532" ht="15.75" customHeight="1">
      <c r="O532" s="43"/>
      <c r="CG532" s="44"/>
      <c r="CH532" s="44"/>
      <c r="DA532" s="45"/>
      <c r="DB532" s="45"/>
      <c r="DC532" s="45"/>
      <c r="DD532" s="45"/>
      <c r="DE532" s="45"/>
      <c r="DF532" s="45"/>
      <c r="DG532" s="45"/>
      <c r="DH532" s="45"/>
      <c r="DM532" s="44"/>
      <c r="DN532" s="44"/>
    </row>
    <row r="533" ht="15.75" customHeight="1">
      <c r="O533" s="43"/>
      <c r="CG533" s="44"/>
      <c r="CH533" s="44"/>
      <c r="DA533" s="45"/>
      <c r="DB533" s="45"/>
      <c r="DC533" s="45"/>
      <c r="DD533" s="45"/>
      <c r="DE533" s="45"/>
      <c r="DF533" s="45"/>
      <c r="DG533" s="45"/>
      <c r="DH533" s="45"/>
      <c r="DM533" s="44"/>
      <c r="DN533" s="44"/>
    </row>
    <row r="534" ht="15.75" customHeight="1">
      <c r="O534" s="43"/>
      <c r="CG534" s="44"/>
      <c r="CH534" s="44"/>
      <c r="DA534" s="45"/>
      <c r="DB534" s="45"/>
      <c r="DC534" s="45"/>
      <c r="DD534" s="45"/>
      <c r="DE534" s="45"/>
      <c r="DF534" s="45"/>
      <c r="DG534" s="45"/>
      <c r="DH534" s="45"/>
      <c r="DM534" s="44"/>
      <c r="DN534" s="44"/>
    </row>
    <row r="535" ht="15.75" customHeight="1">
      <c r="O535" s="43"/>
      <c r="CG535" s="44"/>
      <c r="CH535" s="44"/>
      <c r="DA535" s="45"/>
      <c r="DB535" s="45"/>
      <c r="DC535" s="45"/>
      <c r="DD535" s="45"/>
      <c r="DE535" s="45"/>
      <c r="DF535" s="45"/>
      <c r="DG535" s="45"/>
      <c r="DH535" s="45"/>
      <c r="DM535" s="44"/>
      <c r="DN535" s="44"/>
    </row>
    <row r="536" ht="15.75" customHeight="1">
      <c r="O536" s="43"/>
      <c r="CG536" s="44"/>
      <c r="CH536" s="44"/>
      <c r="DA536" s="45"/>
      <c r="DB536" s="45"/>
      <c r="DC536" s="45"/>
      <c r="DD536" s="45"/>
      <c r="DE536" s="45"/>
      <c r="DF536" s="45"/>
      <c r="DG536" s="45"/>
      <c r="DH536" s="45"/>
      <c r="DM536" s="44"/>
      <c r="DN536" s="44"/>
    </row>
    <row r="537" ht="15.75" customHeight="1">
      <c r="O537" s="43"/>
      <c r="CG537" s="44"/>
      <c r="CH537" s="44"/>
      <c r="DA537" s="45"/>
      <c r="DB537" s="45"/>
      <c r="DC537" s="45"/>
      <c r="DD537" s="45"/>
      <c r="DE537" s="45"/>
      <c r="DF537" s="45"/>
      <c r="DG537" s="45"/>
      <c r="DH537" s="45"/>
      <c r="DM537" s="44"/>
      <c r="DN537" s="44"/>
    </row>
    <row r="538" ht="15.75" customHeight="1">
      <c r="O538" s="43"/>
      <c r="CG538" s="44"/>
      <c r="CH538" s="44"/>
      <c r="DA538" s="45"/>
      <c r="DB538" s="45"/>
      <c r="DC538" s="45"/>
      <c r="DD538" s="45"/>
      <c r="DE538" s="45"/>
      <c r="DF538" s="45"/>
      <c r="DG538" s="45"/>
      <c r="DH538" s="45"/>
      <c r="DM538" s="44"/>
      <c r="DN538" s="44"/>
    </row>
    <row r="539" ht="15.75" customHeight="1">
      <c r="O539" s="43"/>
      <c r="CG539" s="44"/>
      <c r="CH539" s="44"/>
      <c r="DA539" s="45"/>
      <c r="DB539" s="45"/>
      <c r="DC539" s="45"/>
      <c r="DD539" s="45"/>
      <c r="DE539" s="45"/>
      <c r="DF539" s="45"/>
      <c r="DG539" s="45"/>
      <c r="DH539" s="45"/>
      <c r="DM539" s="44"/>
      <c r="DN539" s="44"/>
    </row>
    <row r="540" ht="15.75" customHeight="1">
      <c r="O540" s="43"/>
      <c r="CG540" s="44"/>
      <c r="CH540" s="44"/>
      <c r="DA540" s="45"/>
      <c r="DB540" s="45"/>
      <c r="DC540" s="45"/>
      <c r="DD540" s="45"/>
      <c r="DE540" s="45"/>
      <c r="DF540" s="45"/>
      <c r="DG540" s="45"/>
      <c r="DH540" s="45"/>
      <c r="DM540" s="44"/>
      <c r="DN540" s="44"/>
    </row>
    <row r="541" ht="15.75" customHeight="1">
      <c r="O541" s="43"/>
      <c r="CG541" s="44"/>
      <c r="CH541" s="44"/>
      <c r="DA541" s="45"/>
      <c r="DB541" s="45"/>
      <c r="DC541" s="45"/>
      <c r="DD541" s="45"/>
      <c r="DE541" s="45"/>
      <c r="DF541" s="45"/>
      <c r="DG541" s="45"/>
      <c r="DH541" s="45"/>
      <c r="DM541" s="44"/>
      <c r="DN541" s="44"/>
    </row>
    <row r="542" ht="15.75" customHeight="1">
      <c r="O542" s="43"/>
      <c r="CG542" s="44"/>
      <c r="CH542" s="44"/>
      <c r="DA542" s="45"/>
      <c r="DB542" s="45"/>
      <c r="DC542" s="45"/>
      <c r="DD542" s="45"/>
      <c r="DE542" s="45"/>
      <c r="DF542" s="45"/>
      <c r="DG542" s="45"/>
      <c r="DH542" s="45"/>
      <c r="DM542" s="44"/>
      <c r="DN542" s="44"/>
    </row>
    <row r="543" ht="15.75" customHeight="1">
      <c r="O543" s="43"/>
      <c r="CG543" s="44"/>
      <c r="CH543" s="44"/>
      <c r="DA543" s="45"/>
      <c r="DB543" s="45"/>
      <c r="DC543" s="45"/>
      <c r="DD543" s="45"/>
      <c r="DE543" s="45"/>
      <c r="DF543" s="45"/>
      <c r="DG543" s="45"/>
      <c r="DH543" s="45"/>
      <c r="DM543" s="44"/>
      <c r="DN543" s="44"/>
    </row>
    <row r="544" ht="15.75" customHeight="1">
      <c r="O544" s="43"/>
      <c r="CG544" s="44"/>
      <c r="CH544" s="44"/>
      <c r="DA544" s="45"/>
      <c r="DB544" s="45"/>
      <c r="DC544" s="45"/>
      <c r="DD544" s="45"/>
      <c r="DE544" s="45"/>
      <c r="DF544" s="45"/>
      <c r="DG544" s="45"/>
      <c r="DH544" s="45"/>
      <c r="DM544" s="44"/>
      <c r="DN544" s="44"/>
    </row>
    <row r="545" ht="15.75" customHeight="1">
      <c r="O545" s="43"/>
      <c r="CG545" s="44"/>
      <c r="CH545" s="44"/>
      <c r="DA545" s="45"/>
      <c r="DB545" s="45"/>
      <c r="DC545" s="45"/>
      <c r="DD545" s="45"/>
      <c r="DE545" s="45"/>
      <c r="DF545" s="45"/>
      <c r="DG545" s="45"/>
      <c r="DH545" s="45"/>
      <c r="DM545" s="44"/>
      <c r="DN545" s="44"/>
    </row>
    <row r="546" ht="15.75" customHeight="1">
      <c r="O546" s="43"/>
      <c r="CG546" s="44"/>
      <c r="CH546" s="44"/>
      <c r="DA546" s="45"/>
      <c r="DB546" s="45"/>
      <c r="DC546" s="45"/>
      <c r="DD546" s="45"/>
      <c r="DE546" s="45"/>
      <c r="DF546" s="45"/>
      <c r="DG546" s="45"/>
      <c r="DH546" s="45"/>
      <c r="DM546" s="44"/>
      <c r="DN546" s="44"/>
    </row>
    <row r="547" ht="15.75" customHeight="1">
      <c r="O547" s="43"/>
      <c r="CG547" s="44"/>
      <c r="CH547" s="44"/>
      <c r="DA547" s="45"/>
      <c r="DB547" s="45"/>
      <c r="DC547" s="45"/>
      <c r="DD547" s="45"/>
      <c r="DE547" s="45"/>
      <c r="DF547" s="45"/>
      <c r="DG547" s="45"/>
      <c r="DH547" s="45"/>
      <c r="DM547" s="44"/>
      <c r="DN547" s="44"/>
    </row>
    <row r="548" ht="15.75" customHeight="1">
      <c r="O548" s="43"/>
      <c r="CG548" s="44"/>
      <c r="CH548" s="44"/>
      <c r="DA548" s="45"/>
      <c r="DB548" s="45"/>
      <c r="DC548" s="45"/>
      <c r="DD548" s="45"/>
      <c r="DE548" s="45"/>
      <c r="DF548" s="45"/>
      <c r="DG548" s="45"/>
      <c r="DH548" s="45"/>
      <c r="DM548" s="44"/>
      <c r="DN548" s="44"/>
    </row>
    <row r="549" ht="15.75" customHeight="1">
      <c r="O549" s="43"/>
      <c r="CG549" s="44"/>
      <c r="CH549" s="44"/>
      <c r="DA549" s="45"/>
      <c r="DB549" s="45"/>
      <c r="DC549" s="45"/>
      <c r="DD549" s="45"/>
      <c r="DE549" s="45"/>
      <c r="DF549" s="45"/>
      <c r="DG549" s="45"/>
      <c r="DH549" s="45"/>
      <c r="DM549" s="44"/>
      <c r="DN549" s="44"/>
    </row>
    <row r="550" ht="15.75" customHeight="1">
      <c r="O550" s="43"/>
      <c r="CG550" s="44"/>
      <c r="CH550" s="44"/>
      <c r="DA550" s="45"/>
      <c r="DB550" s="45"/>
      <c r="DC550" s="45"/>
      <c r="DD550" s="45"/>
      <c r="DE550" s="45"/>
      <c r="DF550" s="45"/>
      <c r="DG550" s="45"/>
      <c r="DH550" s="45"/>
      <c r="DM550" s="44"/>
      <c r="DN550" s="44"/>
    </row>
    <row r="551" ht="15.75" customHeight="1">
      <c r="O551" s="43"/>
      <c r="CG551" s="44"/>
      <c r="CH551" s="44"/>
      <c r="DA551" s="45"/>
      <c r="DB551" s="45"/>
      <c r="DC551" s="45"/>
      <c r="DD551" s="45"/>
      <c r="DE551" s="45"/>
      <c r="DF551" s="45"/>
      <c r="DG551" s="45"/>
      <c r="DH551" s="45"/>
      <c r="DM551" s="44"/>
      <c r="DN551" s="44"/>
    </row>
    <row r="552" ht="15.75" customHeight="1">
      <c r="O552" s="43"/>
      <c r="CG552" s="44"/>
      <c r="CH552" s="44"/>
      <c r="DA552" s="45"/>
      <c r="DB552" s="45"/>
      <c r="DC552" s="45"/>
      <c r="DD552" s="45"/>
      <c r="DE552" s="45"/>
      <c r="DF552" s="45"/>
      <c r="DG552" s="45"/>
      <c r="DH552" s="45"/>
      <c r="DM552" s="44"/>
      <c r="DN552" s="44"/>
    </row>
    <row r="553" ht="15.75" customHeight="1">
      <c r="O553" s="43"/>
      <c r="CG553" s="44"/>
      <c r="CH553" s="44"/>
      <c r="DA553" s="45"/>
      <c r="DB553" s="45"/>
      <c r="DC553" s="45"/>
      <c r="DD553" s="45"/>
      <c r="DE553" s="45"/>
      <c r="DF553" s="45"/>
      <c r="DG553" s="45"/>
      <c r="DH553" s="45"/>
      <c r="DM553" s="44"/>
      <c r="DN553" s="44"/>
    </row>
    <row r="554" ht="15.75" customHeight="1">
      <c r="O554" s="43"/>
      <c r="CG554" s="44"/>
      <c r="CH554" s="44"/>
      <c r="DA554" s="45"/>
      <c r="DB554" s="45"/>
      <c r="DC554" s="45"/>
      <c r="DD554" s="45"/>
      <c r="DE554" s="45"/>
      <c r="DF554" s="45"/>
      <c r="DG554" s="45"/>
      <c r="DH554" s="45"/>
      <c r="DM554" s="44"/>
      <c r="DN554" s="44"/>
    </row>
    <row r="555" ht="15.75" customHeight="1">
      <c r="O555" s="43"/>
      <c r="CG555" s="44"/>
      <c r="CH555" s="44"/>
      <c r="DA555" s="45"/>
      <c r="DB555" s="45"/>
      <c r="DC555" s="45"/>
      <c r="DD555" s="45"/>
      <c r="DE555" s="45"/>
      <c r="DF555" s="45"/>
      <c r="DG555" s="45"/>
      <c r="DH555" s="45"/>
      <c r="DM555" s="44"/>
      <c r="DN555" s="44"/>
    </row>
    <row r="556" ht="15.75" customHeight="1">
      <c r="O556" s="43"/>
      <c r="CG556" s="44"/>
      <c r="CH556" s="44"/>
      <c r="DA556" s="45"/>
      <c r="DB556" s="45"/>
      <c r="DC556" s="45"/>
      <c r="DD556" s="45"/>
      <c r="DE556" s="45"/>
      <c r="DF556" s="45"/>
      <c r="DG556" s="45"/>
      <c r="DH556" s="45"/>
      <c r="DM556" s="44"/>
      <c r="DN556" s="44"/>
    </row>
    <row r="557" ht="15.75" customHeight="1">
      <c r="O557" s="43"/>
      <c r="CG557" s="44"/>
      <c r="CH557" s="44"/>
      <c r="DA557" s="45"/>
      <c r="DB557" s="45"/>
      <c r="DC557" s="45"/>
      <c r="DD557" s="45"/>
      <c r="DE557" s="45"/>
      <c r="DF557" s="45"/>
      <c r="DG557" s="45"/>
      <c r="DH557" s="45"/>
      <c r="DM557" s="44"/>
      <c r="DN557" s="44"/>
    </row>
    <row r="558" ht="15.75" customHeight="1">
      <c r="O558" s="43"/>
      <c r="CG558" s="44"/>
      <c r="CH558" s="44"/>
      <c r="DA558" s="45"/>
      <c r="DB558" s="45"/>
      <c r="DC558" s="45"/>
      <c r="DD558" s="45"/>
      <c r="DE558" s="45"/>
      <c r="DF558" s="45"/>
      <c r="DG558" s="45"/>
      <c r="DH558" s="45"/>
      <c r="DM558" s="44"/>
      <c r="DN558" s="44"/>
    </row>
    <row r="559" ht="15.75" customHeight="1">
      <c r="O559" s="43"/>
      <c r="CG559" s="44"/>
      <c r="CH559" s="44"/>
      <c r="DA559" s="45"/>
      <c r="DB559" s="45"/>
      <c r="DC559" s="45"/>
      <c r="DD559" s="45"/>
      <c r="DE559" s="45"/>
      <c r="DF559" s="45"/>
      <c r="DG559" s="45"/>
      <c r="DH559" s="45"/>
      <c r="DM559" s="44"/>
      <c r="DN559" s="44"/>
    </row>
    <row r="560" ht="15.75" customHeight="1">
      <c r="O560" s="43"/>
      <c r="CG560" s="44"/>
      <c r="CH560" s="44"/>
      <c r="DA560" s="45"/>
      <c r="DB560" s="45"/>
      <c r="DC560" s="45"/>
      <c r="DD560" s="45"/>
      <c r="DE560" s="45"/>
      <c r="DF560" s="45"/>
      <c r="DG560" s="45"/>
      <c r="DH560" s="45"/>
      <c r="DM560" s="44"/>
      <c r="DN560" s="44"/>
    </row>
    <row r="561" ht="15.75" customHeight="1">
      <c r="O561" s="43"/>
      <c r="CG561" s="44"/>
      <c r="CH561" s="44"/>
      <c r="DA561" s="45"/>
      <c r="DB561" s="45"/>
      <c r="DC561" s="45"/>
      <c r="DD561" s="45"/>
      <c r="DE561" s="45"/>
      <c r="DF561" s="45"/>
      <c r="DG561" s="45"/>
      <c r="DH561" s="45"/>
      <c r="DM561" s="44"/>
      <c r="DN561" s="44"/>
    </row>
    <row r="562" ht="15.75" customHeight="1">
      <c r="O562" s="43"/>
      <c r="CG562" s="44"/>
      <c r="CH562" s="44"/>
      <c r="DA562" s="45"/>
      <c r="DB562" s="45"/>
      <c r="DC562" s="45"/>
      <c r="DD562" s="45"/>
      <c r="DE562" s="45"/>
      <c r="DF562" s="45"/>
      <c r="DG562" s="45"/>
      <c r="DH562" s="45"/>
      <c r="DM562" s="44"/>
      <c r="DN562" s="44"/>
    </row>
    <row r="563" ht="15.75" customHeight="1">
      <c r="O563" s="43"/>
      <c r="CG563" s="44"/>
      <c r="CH563" s="44"/>
      <c r="DA563" s="45"/>
      <c r="DB563" s="45"/>
      <c r="DC563" s="45"/>
      <c r="DD563" s="45"/>
      <c r="DE563" s="45"/>
      <c r="DF563" s="45"/>
      <c r="DG563" s="45"/>
      <c r="DH563" s="45"/>
      <c r="DM563" s="44"/>
      <c r="DN563" s="44"/>
    </row>
    <row r="564" ht="15.75" customHeight="1">
      <c r="O564" s="43"/>
      <c r="CG564" s="44"/>
      <c r="CH564" s="44"/>
      <c r="DA564" s="45"/>
      <c r="DB564" s="45"/>
      <c r="DC564" s="45"/>
      <c r="DD564" s="45"/>
      <c r="DE564" s="45"/>
      <c r="DF564" s="45"/>
      <c r="DG564" s="45"/>
      <c r="DH564" s="45"/>
      <c r="DM564" s="44"/>
      <c r="DN564" s="44"/>
    </row>
    <row r="565" ht="15.75" customHeight="1">
      <c r="O565" s="43"/>
      <c r="CG565" s="44"/>
      <c r="CH565" s="44"/>
      <c r="DA565" s="45"/>
      <c r="DB565" s="45"/>
      <c r="DC565" s="45"/>
      <c r="DD565" s="45"/>
      <c r="DE565" s="45"/>
      <c r="DF565" s="45"/>
      <c r="DG565" s="45"/>
      <c r="DH565" s="45"/>
      <c r="DM565" s="44"/>
      <c r="DN565" s="44"/>
    </row>
    <row r="566" ht="15.75" customHeight="1">
      <c r="O566" s="43"/>
      <c r="CG566" s="44"/>
      <c r="CH566" s="44"/>
      <c r="DA566" s="45"/>
      <c r="DB566" s="45"/>
      <c r="DC566" s="45"/>
      <c r="DD566" s="45"/>
      <c r="DE566" s="45"/>
      <c r="DF566" s="45"/>
      <c r="DG566" s="45"/>
      <c r="DH566" s="45"/>
      <c r="DM566" s="44"/>
      <c r="DN566" s="44"/>
    </row>
    <row r="567" ht="15.75" customHeight="1">
      <c r="O567" s="43"/>
      <c r="CG567" s="44"/>
      <c r="CH567" s="44"/>
      <c r="DA567" s="45"/>
      <c r="DB567" s="45"/>
      <c r="DC567" s="45"/>
      <c r="DD567" s="45"/>
      <c r="DE567" s="45"/>
      <c r="DF567" s="45"/>
      <c r="DG567" s="45"/>
      <c r="DH567" s="45"/>
      <c r="DM567" s="44"/>
      <c r="DN567" s="44"/>
    </row>
    <row r="568" ht="15.75" customHeight="1">
      <c r="O568" s="43"/>
      <c r="CG568" s="44"/>
      <c r="CH568" s="44"/>
      <c r="DA568" s="45"/>
      <c r="DB568" s="45"/>
      <c r="DC568" s="45"/>
      <c r="DD568" s="45"/>
      <c r="DE568" s="45"/>
      <c r="DF568" s="45"/>
      <c r="DG568" s="45"/>
      <c r="DH568" s="45"/>
      <c r="DM568" s="44"/>
      <c r="DN568" s="44"/>
    </row>
    <row r="569" ht="15.75" customHeight="1">
      <c r="O569" s="43"/>
      <c r="CG569" s="44"/>
      <c r="CH569" s="44"/>
      <c r="DA569" s="45"/>
      <c r="DB569" s="45"/>
      <c r="DC569" s="45"/>
      <c r="DD569" s="45"/>
      <c r="DE569" s="45"/>
      <c r="DF569" s="45"/>
      <c r="DG569" s="45"/>
      <c r="DH569" s="45"/>
      <c r="DM569" s="44"/>
      <c r="DN569" s="44"/>
    </row>
    <row r="570" ht="15.75" customHeight="1">
      <c r="O570" s="43"/>
      <c r="CG570" s="44"/>
      <c r="CH570" s="44"/>
      <c r="DA570" s="45"/>
      <c r="DB570" s="45"/>
      <c r="DC570" s="45"/>
      <c r="DD570" s="45"/>
      <c r="DE570" s="45"/>
      <c r="DF570" s="45"/>
      <c r="DG570" s="45"/>
      <c r="DH570" s="45"/>
      <c r="DM570" s="44"/>
      <c r="DN570" s="44"/>
    </row>
    <row r="571" ht="15.75" customHeight="1">
      <c r="O571" s="43"/>
      <c r="CG571" s="44"/>
      <c r="CH571" s="44"/>
      <c r="DA571" s="45"/>
      <c r="DB571" s="45"/>
      <c r="DC571" s="45"/>
      <c r="DD571" s="45"/>
      <c r="DE571" s="45"/>
      <c r="DF571" s="45"/>
      <c r="DG571" s="45"/>
      <c r="DH571" s="45"/>
      <c r="DM571" s="44"/>
      <c r="DN571" s="44"/>
    </row>
    <row r="572" ht="15.75" customHeight="1">
      <c r="O572" s="43"/>
      <c r="CG572" s="44"/>
      <c r="CH572" s="44"/>
      <c r="DA572" s="45"/>
      <c r="DB572" s="45"/>
      <c r="DC572" s="45"/>
      <c r="DD572" s="45"/>
      <c r="DE572" s="45"/>
      <c r="DF572" s="45"/>
      <c r="DG572" s="45"/>
      <c r="DH572" s="45"/>
      <c r="DM572" s="44"/>
      <c r="DN572" s="44"/>
    </row>
    <row r="573" ht="15.75" customHeight="1">
      <c r="O573" s="43"/>
      <c r="CG573" s="44"/>
      <c r="CH573" s="44"/>
      <c r="DA573" s="45"/>
      <c r="DB573" s="45"/>
      <c r="DC573" s="45"/>
      <c r="DD573" s="45"/>
      <c r="DE573" s="45"/>
      <c r="DF573" s="45"/>
      <c r="DG573" s="45"/>
      <c r="DH573" s="45"/>
      <c r="DM573" s="44"/>
      <c r="DN573" s="44"/>
    </row>
    <row r="574" ht="15.75" customHeight="1">
      <c r="O574" s="43"/>
      <c r="CG574" s="44"/>
      <c r="CH574" s="44"/>
      <c r="DA574" s="45"/>
      <c r="DB574" s="45"/>
      <c r="DC574" s="45"/>
      <c r="DD574" s="45"/>
      <c r="DE574" s="45"/>
      <c r="DF574" s="45"/>
      <c r="DG574" s="45"/>
      <c r="DH574" s="45"/>
      <c r="DM574" s="44"/>
      <c r="DN574" s="44"/>
    </row>
    <row r="575" ht="15.75" customHeight="1">
      <c r="O575" s="43"/>
      <c r="CG575" s="44"/>
      <c r="CH575" s="44"/>
      <c r="DA575" s="45"/>
      <c r="DB575" s="45"/>
      <c r="DC575" s="45"/>
      <c r="DD575" s="45"/>
      <c r="DE575" s="45"/>
      <c r="DF575" s="45"/>
      <c r="DG575" s="45"/>
      <c r="DH575" s="45"/>
      <c r="DM575" s="44"/>
      <c r="DN575" s="44"/>
    </row>
    <row r="576" ht="15.75" customHeight="1">
      <c r="O576" s="43"/>
      <c r="CG576" s="44"/>
      <c r="CH576" s="44"/>
      <c r="DA576" s="45"/>
      <c r="DB576" s="45"/>
      <c r="DC576" s="45"/>
      <c r="DD576" s="45"/>
      <c r="DE576" s="45"/>
      <c r="DF576" s="45"/>
      <c r="DG576" s="45"/>
      <c r="DH576" s="45"/>
      <c r="DM576" s="44"/>
      <c r="DN576" s="44"/>
    </row>
    <row r="577" ht="15.75" customHeight="1">
      <c r="O577" s="43"/>
      <c r="CG577" s="44"/>
      <c r="CH577" s="44"/>
      <c r="DA577" s="45"/>
      <c r="DB577" s="45"/>
      <c r="DC577" s="45"/>
      <c r="DD577" s="45"/>
      <c r="DE577" s="45"/>
      <c r="DF577" s="45"/>
      <c r="DG577" s="45"/>
      <c r="DH577" s="45"/>
      <c r="DM577" s="44"/>
      <c r="DN577" s="44"/>
    </row>
    <row r="578" ht="15.75" customHeight="1">
      <c r="O578" s="43"/>
      <c r="CG578" s="44"/>
      <c r="CH578" s="44"/>
      <c r="DA578" s="45"/>
      <c r="DB578" s="45"/>
      <c r="DC578" s="45"/>
      <c r="DD578" s="45"/>
      <c r="DE578" s="45"/>
      <c r="DF578" s="45"/>
      <c r="DG578" s="45"/>
      <c r="DH578" s="45"/>
      <c r="DM578" s="44"/>
      <c r="DN578" s="44"/>
    </row>
    <row r="579" ht="15.75" customHeight="1">
      <c r="O579" s="43"/>
      <c r="CG579" s="44"/>
      <c r="CH579" s="44"/>
      <c r="DA579" s="45"/>
      <c r="DB579" s="45"/>
      <c r="DC579" s="45"/>
      <c r="DD579" s="45"/>
      <c r="DE579" s="45"/>
      <c r="DF579" s="45"/>
      <c r="DG579" s="45"/>
      <c r="DH579" s="45"/>
      <c r="DM579" s="44"/>
      <c r="DN579" s="44"/>
    </row>
    <row r="580" ht="15.75" customHeight="1">
      <c r="O580" s="43"/>
      <c r="CG580" s="44"/>
      <c r="CH580" s="44"/>
      <c r="DA580" s="45"/>
      <c r="DB580" s="45"/>
      <c r="DC580" s="45"/>
      <c r="DD580" s="45"/>
      <c r="DE580" s="45"/>
      <c r="DF580" s="45"/>
      <c r="DG580" s="45"/>
      <c r="DH580" s="45"/>
      <c r="DM580" s="44"/>
      <c r="DN580" s="44"/>
    </row>
    <row r="581" ht="15.75" customHeight="1">
      <c r="O581" s="43"/>
      <c r="CG581" s="44"/>
      <c r="CH581" s="44"/>
      <c r="DA581" s="45"/>
      <c r="DB581" s="45"/>
      <c r="DC581" s="45"/>
      <c r="DD581" s="45"/>
      <c r="DE581" s="45"/>
      <c r="DF581" s="45"/>
      <c r="DG581" s="45"/>
      <c r="DH581" s="45"/>
      <c r="DM581" s="44"/>
      <c r="DN581" s="44"/>
    </row>
    <row r="582" ht="15.75" customHeight="1">
      <c r="O582" s="43"/>
      <c r="CG582" s="44"/>
      <c r="CH582" s="44"/>
      <c r="DA582" s="45"/>
      <c r="DB582" s="45"/>
      <c r="DC582" s="45"/>
      <c r="DD582" s="45"/>
      <c r="DE582" s="45"/>
      <c r="DF582" s="45"/>
      <c r="DG582" s="45"/>
      <c r="DH582" s="45"/>
      <c r="DM582" s="44"/>
      <c r="DN582" s="44"/>
    </row>
    <row r="583" ht="15.75" customHeight="1">
      <c r="O583" s="43"/>
      <c r="CG583" s="44"/>
      <c r="CH583" s="44"/>
      <c r="DA583" s="45"/>
      <c r="DB583" s="45"/>
      <c r="DC583" s="45"/>
      <c r="DD583" s="45"/>
      <c r="DE583" s="45"/>
      <c r="DF583" s="45"/>
      <c r="DG583" s="45"/>
      <c r="DH583" s="45"/>
      <c r="DM583" s="44"/>
      <c r="DN583" s="44"/>
    </row>
    <row r="584" ht="15.75" customHeight="1">
      <c r="O584" s="43"/>
      <c r="CG584" s="44"/>
      <c r="CH584" s="44"/>
      <c r="DA584" s="45"/>
      <c r="DB584" s="45"/>
      <c r="DC584" s="45"/>
      <c r="DD584" s="45"/>
      <c r="DE584" s="45"/>
      <c r="DF584" s="45"/>
      <c r="DG584" s="45"/>
      <c r="DH584" s="45"/>
      <c r="DM584" s="44"/>
      <c r="DN584" s="44"/>
    </row>
    <row r="585" ht="15.75" customHeight="1">
      <c r="O585" s="43"/>
      <c r="CG585" s="44"/>
      <c r="CH585" s="44"/>
      <c r="DA585" s="45"/>
      <c r="DB585" s="45"/>
      <c r="DC585" s="45"/>
      <c r="DD585" s="45"/>
      <c r="DE585" s="45"/>
      <c r="DF585" s="45"/>
      <c r="DG585" s="45"/>
      <c r="DH585" s="45"/>
      <c r="DM585" s="44"/>
      <c r="DN585" s="44"/>
    </row>
    <row r="586" ht="15.75" customHeight="1">
      <c r="O586" s="43"/>
      <c r="CG586" s="44"/>
      <c r="CH586" s="44"/>
      <c r="DA586" s="45"/>
      <c r="DB586" s="45"/>
      <c r="DC586" s="45"/>
      <c r="DD586" s="45"/>
      <c r="DE586" s="45"/>
      <c r="DF586" s="45"/>
      <c r="DG586" s="45"/>
      <c r="DH586" s="45"/>
      <c r="DM586" s="44"/>
      <c r="DN586" s="44"/>
    </row>
    <row r="587" ht="15.75" customHeight="1">
      <c r="O587" s="43"/>
      <c r="CG587" s="44"/>
      <c r="CH587" s="44"/>
      <c r="DA587" s="45"/>
      <c r="DB587" s="45"/>
      <c r="DC587" s="45"/>
      <c r="DD587" s="45"/>
      <c r="DE587" s="45"/>
      <c r="DF587" s="45"/>
      <c r="DG587" s="45"/>
      <c r="DH587" s="45"/>
      <c r="DM587" s="44"/>
      <c r="DN587" s="44"/>
    </row>
    <row r="588" ht="15.75" customHeight="1">
      <c r="O588" s="43"/>
      <c r="CG588" s="44"/>
      <c r="CH588" s="44"/>
      <c r="DA588" s="45"/>
      <c r="DB588" s="45"/>
      <c r="DC588" s="45"/>
      <c r="DD588" s="45"/>
      <c r="DE588" s="45"/>
      <c r="DF588" s="45"/>
      <c r="DG588" s="45"/>
      <c r="DH588" s="45"/>
      <c r="DM588" s="44"/>
      <c r="DN588" s="44"/>
    </row>
    <row r="589" ht="15.75" customHeight="1">
      <c r="O589" s="43"/>
      <c r="CG589" s="44"/>
      <c r="CH589" s="44"/>
      <c r="DA589" s="45"/>
      <c r="DB589" s="45"/>
      <c r="DC589" s="45"/>
      <c r="DD589" s="45"/>
      <c r="DE589" s="45"/>
      <c r="DF589" s="45"/>
      <c r="DG589" s="45"/>
      <c r="DH589" s="45"/>
      <c r="DM589" s="44"/>
      <c r="DN589" s="44"/>
    </row>
    <row r="590" ht="15.75" customHeight="1">
      <c r="O590" s="43"/>
      <c r="CG590" s="44"/>
      <c r="CH590" s="44"/>
      <c r="DA590" s="45"/>
      <c r="DB590" s="45"/>
      <c r="DC590" s="45"/>
      <c r="DD590" s="45"/>
      <c r="DE590" s="45"/>
      <c r="DF590" s="45"/>
      <c r="DG590" s="45"/>
      <c r="DH590" s="45"/>
      <c r="DM590" s="44"/>
      <c r="DN590" s="44"/>
    </row>
    <row r="591" ht="15.75" customHeight="1">
      <c r="O591" s="43"/>
      <c r="CG591" s="44"/>
      <c r="CH591" s="44"/>
      <c r="DA591" s="45"/>
      <c r="DB591" s="45"/>
      <c r="DC591" s="45"/>
      <c r="DD591" s="45"/>
      <c r="DE591" s="45"/>
      <c r="DF591" s="45"/>
      <c r="DG591" s="45"/>
      <c r="DH591" s="45"/>
      <c r="DM591" s="44"/>
      <c r="DN591" s="44"/>
    </row>
    <row r="592" ht="15.75" customHeight="1">
      <c r="O592" s="43"/>
      <c r="CG592" s="44"/>
      <c r="CH592" s="44"/>
      <c r="DA592" s="45"/>
      <c r="DB592" s="45"/>
      <c r="DC592" s="45"/>
      <c r="DD592" s="45"/>
      <c r="DE592" s="45"/>
      <c r="DF592" s="45"/>
      <c r="DG592" s="45"/>
      <c r="DH592" s="45"/>
      <c r="DM592" s="44"/>
      <c r="DN592" s="44"/>
    </row>
    <row r="593" ht="15.75" customHeight="1">
      <c r="O593" s="43"/>
      <c r="CG593" s="44"/>
      <c r="CH593" s="44"/>
      <c r="DA593" s="45"/>
      <c r="DB593" s="45"/>
      <c r="DC593" s="45"/>
      <c r="DD593" s="45"/>
      <c r="DE593" s="45"/>
      <c r="DF593" s="45"/>
      <c r="DG593" s="45"/>
      <c r="DH593" s="45"/>
      <c r="DM593" s="44"/>
      <c r="DN593" s="44"/>
    </row>
    <row r="594" ht="15.75" customHeight="1">
      <c r="O594" s="43"/>
      <c r="CG594" s="44"/>
      <c r="CH594" s="44"/>
      <c r="DA594" s="45"/>
      <c r="DB594" s="45"/>
      <c r="DC594" s="45"/>
      <c r="DD594" s="45"/>
      <c r="DE594" s="45"/>
      <c r="DF594" s="45"/>
      <c r="DG594" s="45"/>
      <c r="DH594" s="45"/>
      <c r="DM594" s="44"/>
      <c r="DN594" s="44"/>
    </row>
    <row r="595" ht="15.75" customHeight="1">
      <c r="O595" s="43"/>
      <c r="CG595" s="44"/>
      <c r="CH595" s="44"/>
      <c r="DA595" s="45"/>
      <c r="DB595" s="45"/>
      <c r="DC595" s="45"/>
      <c r="DD595" s="45"/>
      <c r="DE595" s="45"/>
      <c r="DF595" s="45"/>
      <c r="DG595" s="45"/>
      <c r="DH595" s="45"/>
      <c r="DM595" s="44"/>
      <c r="DN595" s="44"/>
    </row>
    <row r="596" ht="15.75" customHeight="1">
      <c r="O596" s="43"/>
      <c r="CG596" s="44"/>
      <c r="CH596" s="44"/>
      <c r="DA596" s="45"/>
      <c r="DB596" s="45"/>
      <c r="DC596" s="45"/>
      <c r="DD596" s="45"/>
      <c r="DE596" s="45"/>
      <c r="DF596" s="45"/>
      <c r="DG596" s="45"/>
      <c r="DH596" s="45"/>
      <c r="DM596" s="44"/>
      <c r="DN596" s="44"/>
    </row>
    <row r="597" ht="15.75" customHeight="1">
      <c r="O597" s="43"/>
      <c r="CG597" s="44"/>
      <c r="CH597" s="44"/>
      <c r="DA597" s="45"/>
      <c r="DB597" s="45"/>
      <c r="DC597" s="45"/>
      <c r="DD597" s="45"/>
      <c r="DE597" s="45"/>
      <c r="DF597" s="45"/>
      <c r="DG597" s="45"/>
      <c r="DH597" s="45"/>
      <c r="DM597" s="44"/>
      <c r="DN597" s="44"/>
    </row>
    <row r="598" ht="15.75" customHeight="1">
      <c r="O598" s="43"/>
      <c r="CG598" s="44"/>
      <c r="CH598" s="44"/>
      <c r="DA598" s="45"/>
      <c r="DB598" s="45"/>
      <c r="DC598" s="45"/>
      <c r="DD598" s="45"/>
      <c r="DE598" s="45"/>
      <c r="DF598" s="45"/>
      <c r="DG598" s="45"/>
      <c r="DH598" s="45"/>
      <c r="DM598" s="44"/>
      <c r="DN598" s="44"/>
    </row>
    <row r="599" ht="15.75" customHeight="1">
      <c r="O599" s="43"/>
      <c r="CG599" s="44"/>
      <c r="CH599" s="44"/>
      <c r="DA599" s="45"/>
      <c r="DB599" s="45"/>
      <c r="DC599" s="45"/>
      <c r="DD599" s="45"/>
      <c r="DE599" s="45"/>
      <c r="DF599" s="45"/>
      <c r="DG599" s="45"/>
      <c r="DH599" s="45"/>
      <c r="DM599" s="44"/>
      <c r="DN599" s="44"/>
    </row>
    <row r="600" ht="15.75" customHeight="1">
      <c r="O600" s="43"/>
      <c r="CG600" s="44"/>
      <c r="CH600" s="44"/>
      <c r="DA600" s="45"/>
      <c r="DB600" s="45"/>
      <c r="DC600" s="45"/>
      <c r="DD600" s="45"/>
      <c r="DE600" s="45"/>
      <c r="DF600" s="45"/>
      <c r="DG600" s="45"/>
      <c r="DH600" s="45"/>
      <c r="DM600" s="44"/>
      <c r="DN600" s="44"/>
    </row>
    <row r="601" ht="15.75" customHeight="1">
      <c r="O601" s="43"/>
      <c r="CG601" s="44"/>
      <c r="CH601" s="44"/>
      <c r="DA601" s="45"/>
      <c r="DB601" s="45"/>
      <c r="DC601" s="45"/>
      <c r="DD601" s="45"/>
      <c r="DE601" s="45"/>
      <c r="DF601" s="45"/>
      <c r="DG601" s="45"/>
      <c r="DH601" s="45"/>
      <c r="DM601" s="44"/>
      <c r="DN601" s="44"/>
    </row>
    <row r="602" ht="15.75" customHeight="1">
      <c r="O602" s="43"/>
      <c r="CG602" s="44"/>
      <c r="CH602" s="44"/>
      <c r="DA602" s="45"/>
      <c r="DB602" s="45"/>
      <c r="DC602" s="45"/>
      <c r="DD602" s="45"/>
      <c r="DE602" s="45"/>
      <c r="DF602" s="45"/>
      <c r="DG602" s="45"/>
      <c r="DH602" s="45"/>
      <c r="DM602" s="44"/>
      <c r="DN602" s="44"/>
    </row>
    <row r="603" ht="15.75" customHeight="1">
      <c r="O603" s="43"/>
      <c r="CG603" s="44"/>
      <c r="CH603" s="44"/>
      <c r="DA603" s="45"/>
      <c r="DB603" s="45"/>
      <c r="DC603" s="45"/>
      <c r="DD603" s="45"/>
      <c r="DE603" s="45"/>
      <c r="DF603" s="45"/>
      <c r="DG603" s="45"/>
      <c r="DH603" s="45"/>
      <c r="DM603" s="44"/>
      <c r="DN603" s="44"/>
    </row>
    <row r="604" ht="15.75" customHeight="1">
      <c r="O604" s="43"/>
      <c r="CG604" s="44"/>
      <c r="CH604" s="44"/>
      <c r="DA604" s="45"/>
      <c r="DB604" s="45"/>
      <c r="DC604" s="45"/>
      <c r="DD604" s="45"/>
      <c r="DE604" s="45"/>
      <c r="DF604" s="45"/>
      <c r="DG604" s="45"/>
      <c r="DH604" s="45"/>
      <c r="DM604" s="44"/>
      <c r="DN604" s="44"/>
    </row>
    <row r="605" ht="15.75" customHeight="1">
      <c r="O605" s="43"/>
      <c r="CG605" s="44"/>
      <c r="CH605" s="44"/>
      <c r="DA605" s="45"/>
      <c r="DB605" s="45"/>
      <c r="DC605" s="45"/>
      <c r="DD605" s="45"/>
      <c r="DE605" s="45"/>
      <c r="DF605" s="45"/>
      <c r="DG605" s="45"/>
      <c r="DH605" s="45"/>
      <c r="DM605" s="44"/>
      <c r="DN605" s="44"/>
    </row>
    <row r="606" ht="15.75" customHeight="1">
      <c r="O606" s="43"/>
      <c r="CG606" s="44"/>
      <c r="CH606" s="44"/>
      <c r="DA606" s="45"/>
      <c r="DB606" s="45"/>
      <c r="DC606" s="45"/>
      <c r="DD606" s="45"/>
      <c r="DE606" s="45"/>
      <c r="DF606" s="45"/>
      <c r="DG606" s="45"/>
      <c r="DH606" s="45"/>
      <c r="DM606" s="44"/>
      <c r="DN606" s="44"/>
    </row>
    <row r="607" ht="15.75" customHeight="1">
      <c r="O607" s="43"/>
      <c r="CG607" s="44"/>
      <c r="CH607" s="44"/>
      <c r="DA607" s="45"/>
      <c r="DB607" s="45"/>
      <c r="DC607" s="45"/>
      <c r="DD607" s="45"/>
      <c r="DE607" s="45"/>
      <c r="DF607" s="45"/>
      <c r="DG607" s="45"/>
      <c r="DH607" s="45"/>
      <c r="DM607" s="44"/>
      <c r="DN607" s="44"/>
    </row>
    <row r="608" ht="15.75" customHeight="1">
      <c r="O608" s="43"/>
      <c r="CG608" s="44"/>
      <c r="CH608" s="44"/>
      <c r="DA608" s="45"/>
      <c r="DB608" s="45"/>
      <c r="DC608" s="45"/>
      <c r="DD608" s="45"/>
      <c r="DE608" s="45"/>
      <c r="DF608" s="45"/>
      <c r="DG608" s="45"/>
      <c r="DH608" s="45"/>
      <c r="DM608" s="44"/>
      <c r="DN608" s="44"/>
    </row>
    <row r="609" ht="15.75" customHeight="1">
      <c r="O609" s="43"/>
      <c r="CG609" s="44"/>
      <c r="CH609" s="44"/>
      <c r="DA609" s="45"/>
      <c r="DB609" s="45"/>
      <c r="DC609" s="45"/>
      <c r="DD609" s="45"/>
      <c r="DE609" s="45"/>
      <c r="DF609" s="45"/>
      <c r="DG609" s="45"/>
      <c r="DH609" s="45"/>
      <c r="DM609" s="44"/>
      <c r="DN609" s="44"/>
    </row>
    <row r="610" ht="15.75" customHeight="1">
      <c r="O610" s="43"/>
      <c r="CG610" s="44"/>
      <c r="CH610" s="44"/>
      <c r="DA610" s="45"/>
      <c r="DB610" s="45"/>
      <c r="DC610" s="45"/>
      <c r="DD610" s="45"/>
      <c r="DE610" s="45"/>
      <c r="DF610" s="45"/>
      <c r="DG610" s="45"/>
      <c r="DH610" s="45"/>
      <c r="DM610" s="44"/>
      <c r="DN610" s="44"/>
    </row>
    <row r="611" ht="15.75" customHeight="1">
      <c r="O611" s="43"/>
      <c r="CG611" s="44"/>
      <c r="CH611" s="44"/>
      <c r="DA611" s="45"/>
      <c r="DB611" s="45"/>
      <c r="DC611" s="45"/>
      <c r="DD611" s="45"/>
      <c r="DE611" s="45"/>
      <c r="DF611" s="45"/>
      <c r="DG611" s="45"/>
      <c r="DH611" s="45"/>
      <c r="DM611" s="44"/>
      <c r="DN611" s="44"/>
    </row>
    <row r="612" ht="15.75" customHeight="1">
      <c r="O612" s="43"/>
      <c r="CG612" s="44"/>
      <c r="CH612" s="44"/>
      <c r="DA612" s="45"/>
      <c r="DB612" s="45"/>
      <c r="DC612" s="45"/>
      <c r="DD612" s="45"/>
      <c r="DE612" s="45"/>
      <c r="DF612" s="45"/>
      <c r="DG612" s="45"/>
      <c r="DH612" s="45"/>
      <c r="DM612" s="44"/>
      <c r="DN612" s="44"/>
    </row>
    <row r="613" ht="15.75" customHeight="1">
      <c r="O613" s="43"/>
      <c r="CG613" s="44"/>
      <c r="CH613" s="44"/>
      <c r="DA613" s="45"/>
      <c r="DB613" s="45"/>
      <c r="DC613" s="45"/>
      <c r="DD613" s="45"/>
      <c r="DE613" s="45"/>
      <c r="DF613" s="45"/>
      <c r="DG613" s="45"/>
      <c r="DH613" s="45"/>
      <c r="DM613" s="44"/>
      <c r="DN613" s="44"/>
    </row>
    <row r="614" ht="15.75" customHeight="1">
      <c r="O614" s="43"/>
      <c r="CG614" s="44"/>
      <c r="CH614" s="44"/>
      <c r="DA614" s="45"/>
      <c r="DB614" s="45"/>
      <c r="DC614" s="45"/>
      <c r="DD614" s="45"/>
      <c r="DE614" s="45"/>
      <c r="DF614" s="45"/>
      <c r="DG614" s="45"/>
      <c r="DH614" s="45"/>
      <c r="DM614" s="44"/>
      <c r="DN614" s="44"/>
    </row>
    <row r="615" ht="15.75" customHeight="1">
      <c r="O615" s="43"/>
      <c r="CG615" s="44"/>
      <c r="CH615" s="44"/>
      <c r="DA615" s="45"/>
      <c r="DB615" s="45"/>
      <c r="DC615" s="45"/>
      <c r="DD615" s="45"/>
      <c r="DE615" s="45"/>
      <c r="DF615" s="45"/>
      <c r="DG615" s="45"/>
      <c r="DH615" s="45"/>
      <c r="DM615" s="44"/>
      <c r="DN615" s="44"/>
    </row>
    <row r="616" ht="15.75" customHeight="1">
      <c r="O616" s="43"/>
      <c r="CG616" s="44"/>
      <c r="CH616" s="44"/>
      <c r="DA616" s="45"/>
      <c r="DB616" s="45"/>
      <c r="DC616" s="45"/>
      <c r="DD616" s="45"/>
      <c r="DE616" s="45"/>
      <c r="DF616" s="45"/>
      <c r="DG616" s="45"/>
      <c r="DH616" s="45"/>
      <c r="DM616" s="44"/>
      <c r="DN616" s="44"/>
    </row>
    <row r="617" ht="15.75" customHeight="1">
      <c r="O617" s="43"/>
      <c r="CG617" s="44"/>
      <c r="CH617" s="44"/>
      <c r="DA617" s="45"/>
      <c r="DB617" s="45"/>
      <c r="DC617" s="45"/>
      <c r="DD617" s="45"/>
      <c r="DE617" s="45"/>
      <c r="DF617" s="45"/>
      <c r="DG617" s="45"/>
      <c r="DH617" s="45"/>
      <c r="DM617" s="44"/>
      <c r="DN617" s="44"/>
    </row>
    <row r="618" ht="15.75" customHeight="1">
      <c r="O618" s="43"/>
      <c r="CG618" s="44"/>
      <c r="CH618" s="44"/>
      <c r="DA618" s="45"/>
      <c r="DB618" s="45"/>
      <c r="DC618" s="45"/>
      <c r="DD618" s="45"/>
      <c r="DE618" s="45"/>
      <c r="DF618" s="45"/>
      <c r="DG618" s="45"/>
      <c r="DH618" s="45"/>
      <c r="DM618" s="44"/>
      <c r="DN618" s="44"/>
    </row>
    <row r="619" ht="15.75" customHeight="1">
      <c r="O619" s="43"/>
      <c r="CG619" s="44"/>
      <c r="CH619" s="44"/>
      <c r="DA619" s="45"/>
      <c r="DB619" s="45"/>
      <c r="DC619" s="45"/>
      <c r="DD619" s="45"/>
      <c r="DE619" s="45"/>
      <c r="DF619" s="45"/>
      <c r="DG619" s="45"/>
      <c r="DH619" s="45"/>
      <c r="DM619" s="44"/>
      <c r="DN619" s="44"/>
    </row>
    <row r="620" ht="15.75" customHeight="1">
      <c r="O620" s="43"/>
      <c r="CG620" s="44"/>
      <c r="CH620" s="44"/>
      <c r="DA620" s="45"/>
      <c r="DB620" s="45"/>
      <c r="DC620" s="45"/>
      <c r="DD620" s="45"/>
      <c r="DE620" s="45"/>
      <c r="DF620" s="45"/>
      <c r="DG620" s="45"/>
      <c r="DH620" s="45"/>
      <c r="DM620" s="44"/>
      <c r="DN620" s="44"/>
    </row>
    <row r="621" ht="15.75" customHeight="1">
      <c r="O621" s="43"/>
      <c r="CG621" s="44"/>
      <c r="CH621" s="44"/>
      <c r="DA621" s="45"/>
      <c r="DB621" s="45"/>
      <c r="DC621" s="45"/>
      <c r="DD621" s="45"/>
      <c r="DE621" s="45"/>
      <c r="DF621" s="45"/>
      <c r="DG621" s="45"/>
      <c r="DH621" s="45"/>
      <c r="DM621" s="44"/>
      <c r="DN621" s="44"/>
    </row>
    <row r="622" ht="15.75" customHeight="1">
      <c r="O622" s="43"/>
      <c r="CG622" s="44"/>
      <c r="CH622" s="44"/>
      <c r="DA622" s="45"/>
      <c r="DB622" s="45"/>
      <c r="DC622" s="45"/>
      <c r="DD622" s="45"/>
      <c r="DE622" s="45"/>
      <c r="DF622" s="45"/>
      <c r="DG622" s="45"/>
      <c r="DH622" s="45"/>
      <c r="DM622" s="44"/>
      <c r="DN622" s="44"/>
    </row>
    <row r="623" ht="15.75" customHeight="1">
      <c r="O623" s="43"/>
      <c r="CG623" s="44"/>
      <c r="CH623" s="44"/>
      <c r="DA623" s="45"/>
      <c r="DB623" s="45"/>
      <c r="DC623" s="45"/>
      <c r="DD623" s="45"/>
      <c r="DE623" s="45"/>
      <c r="DF623" s="45"/>
      <c r="DG623" s="45"/>
      <c r="DH623" s="45"/>
      <c r="DM623" s="44"/>
      <c r="DN623" s="44"/>
    </row>
    <row r="624" ht="15.75" customHeight="1">
      <c r="O624" s="43"/>
      <c r="CG624" s="44"/>
      <c r="CH624" s="44"/>
      <c r="DA624" s="45"/>
      <c r="DB624" s="45"/>
      <c r="DC624" s="45"/>
      <c r="DD624" s="45"/>
      <c r="DE624" s="45"/>
      <c r="DF624" s="45"/>
      <c r="DG624" s="45"/>
      <c r="DH624" s="45"/>
      <c r="DM624" s="44"/>
      <c r="DN624" s="44"/>
    </row>
    <row r="625" ht="15.75" customHeight="1">
      <c r="O625" s="43"/>
      <c r="CG625" s="44"/>
      <c r="CH625" s="44"/>
      <c r="DA625" s="45"/>
      <c r="DB625" s="45"/>
      <c r="DC625" s="45"/>
      <c r="DD625" s="45"/>
      <c r="DE625" s="45"/>
      <c r="DF625" s="45"/>
      <c r="DG625" s="45"/>
      <c r="DH625" s="45"/>
      <c r="DM625" s="44"/>
      <c r="DN625" s="44"/>
    </row>
    <row r="626" ht="15.75" customHeight="1">
      <c r="O626" s="43"/>
      <c r="CG626" s="44"/>
      <c r="CH626" s="44"/>
      <c r="DA626" s="45"/>
      <c r="DB626" s="45"/>
      <c r="DC626" s="45"/>
      <c r="DD626" s="45"/>
      <c r="DE626" s="45"/>
      <c r="DF626" s="45"/>
      <c r="DG626" s="45"/>
      <c r="DH626" s="45"/>
      <c r="DM626" s="44"/>
      <c r="DN626" s="44"/>
    </row>
    <row r="627" ht="15.75" customHeight="1">
      <c r="O627" s="43"/>
      <c r="CG627" s="44"/>
      <c r="CH627" s="44"/>
      <c r="DA627" s="45"/>
      <c r="DB627" s="45"/>
      <c r="DC627" s="45"/>
      <c r="DD627" s="45"/>
      <c r="DE627" s="45"/>
      <c r="DF627" s="45"/>
      <c r="DG627" s="45"/>
      <c r="DH627" s="45"/>
      <c r="DM627" s="44"/>
      <c r="DN627" s="44"/>
    </row>
    <row r="628" ht="15.75" customHeight="1">
      <c r="O628" s="43"/>
      <c r="CG628" s="44"/>
      <c r="CH628" s="44"/>
      <c r="DA628" s="45"/>
      <c r="DB628" s="45"/>
      <c r="DC628" s="45"/>
      <c r="DD628" s="45"/>
      <c r="DE628" s="45"/>
      <c r="DF628" s="45"/>
      <c r="DG628" s="45"/>
      <c r="DH628" s="45"/>
      <c r="DM628" s="44"/>
      <c r="DN628" s="44"/>
    </row>
    <row r="629" ht="15.75" customHeight="1">
      <c r="O629" s="43"/>
      <c r="CG629" s="44"/>
      <c r="CH629" s="44"/>
      <c r="DA629" s="45"/>
      <c r="DB629" s="45"/>
      <c r="DC629" s="45"/>
      <c r="DD629" s="45"/>
      <c r="DE629" s="45"/>
      <c r="DF629" s="45"/>
      <c r="DG629" s="45"/>
      <c r="DH629" s="45"/>
      <c r="DM629" s="44"/>
      <c r="DN629" s="44"/>
    </row>
    <row r="630" ht="15.75" customHeight="1">
      <c r="O630" s="43"/>
      <c r="CG630" s="44"/>
      <c r="CH630" s="44"/>
      <c r="DA630" s="45"/>
      <c r="DB630" s="45"/>
      <c r="DC630" s="45"/>
      <c r="DD630" s="45"/>
      <c r="DE630" s="45"/>
      <c r="DF630" s="45"/>
      <c r="DG630" s="45"/>
      <c r="DH630" s="45"/>
      <c r="DM630" s="44"/>
      <c r="DN630" s="44"/>
    </row>
    <row r="631" ht="15.75" customHeight="1">
      <c r="O631" s="43"/>
      <c r="CG631" s="44"/>
      <c r="CH631" s="44"/>
      <c r="DA631" s="45"/>
      <c r="DB631" s="45"/>
      <c r="DC631" s="45"/>
      <c r="DD631" s="45"/>
      <c r="DE631" s="45"/>
      <c r="DF631" s="45"/>
      <c r="DG631" s="45"/>
      <c r="DH631" s="45"/>
      <c r="DM631" s="44"/>
      <c r="DN631" s="44"/>
    </row>
    <row r="632" ht="15.75" customHeight="1">
      <c r="O632" s="43"/>
      <c r="CG632" s="44"/>
      <c r="CH632" s="44"/>
      <c r="DA632" s="45"/>
      <c r="DB632" s="45"/>
      <c r="DC632" s="45"/>
      <c r="DD632" s="45"/>
      <c r="DE632" s="45"/>
      <c r="DF632" s="45"/>
      <c r="DG632" s="45"/>
      <c r="DH632" s="45"/>
      <c r="DM632" s="44"/>
      <c r="DN632" s="44"/>
    </row>
    <row r="633" ht="15.75" customHeight="1">
      <c r="O633" s="43"/>
      <c r="CG633" s="44"/>
      <c r="CH633" s="44"/>
      <c r="DA633" s="45"/>
      <c r="DB633" s="45"/>
      <c r="DC633" s="45"/>
      <c r="DD633" s="45"/>
      <c r="DE633" s="45"/>
      <c r="DF633" s="45"/>
      <c r="DG633" s="45"/>
      <c r="DH633" s="45"/>
      <c r="DM633" s="44"/>
      <c r="DN633" s="44"/>
    </row>
    <row r="634" ht="15.75" customHeight="1">
      <c r="O634" s="43"/>
      <c r="CG634" s="44"/>
      <c r="CH634" s="44"/>
      <c r="DA634" s="45"/>
      <c r="DB634" s="45"/>
      <c r="DC634" s="45"/>
      <c r="DD634" s="45"/>
      <c r="DE634" s="45"/>
      <c r="DF634" s="45"/>
      <c r="DG634" s="45"/>
      <c r="DH634" s="45"/>
      <c r="DM634" s="44"/>
      <c r="DN634" s="44"/>
    </row>
    <row r="635" ht="15.75" customHeight="1">
      <c r="O635" s="43"/>
      <c r="CG635" s="44"/>
      <c r="CH635" s="44"/>
      <c r="DA635" s="45"/>
      <c r="DB635" s="45"/>
      <c r="DC635" s="45"/>
      <c r="DD635" s="45"/>
      <c r="DE635" s="45"/>
      <c r="DF635" s="45"/>
      <c r="DG635" s="45"/>
      <c r="DH635" s="45"/>
      <c r="DM635" s="44"/>
      <c r="DN635" s="44"/>
    </row>
    <row r="636" ht="15.75" customHeight="1">
      <c r="O636" s="43"/>
      <c r="CG636" s="44"/>
      <c r="CH636" s="44"/>
      <c r="DA636" s="45"/>
      <c r="DB636" s="45"/>
      <c r="DC636" s="45"/>
      <c r="DD636" s="45"/>
      <c r="DE636" s="45"/>
      <c r="DF636" s="45"/>
      <c r="DG636" s="45"/>
      <c r="DH636" s="45"/>
      <c r="DM636" s="44"/>
      <c r="DN636" s="44"/>
    </row>
    <row r="637" ht="15.75" customHeight="1">
      <c r="O637" s="43"/>
      <c r="CG637" s="44"/>
      <c r="CH637" s="44"/>
      <c r="DA637" s="45"/>
      <c r="DB637" s="45"/>
      <c r="DC637" s="45"/>
      <c r="DD637" s="45"/>
      <c r="DE637" s="45"/>
      <c r="DF637" s="45"/>
      <c r="DG637" s="45"/>
      <c r="DH637" s="45"/>
      <c r="DM637" s="44"/>
      <c r="DN637" s="44"/>
    </row>
    <row r="638" ht="15.75" customHeight="1">
      <c r="O638" s="43"/>
      <c r="CG638" s="44"/>
      <c r="CH638" s="44"/>
      <c r="DA638" s="45"/>
      <c r="DB638" s="45"/>
      <c r="DC638" s="45"/>
      <c r="DD638" s="45"/>
      <c r="DE638" s="45"/>
      <c r="DF638" s="45"/>
      <c r="DG638" s="45"/>
      <c r="DH638" s="45"/>
      <c r="DM638" s="44"/>
      <c r="DN638" s="44"/>
    </row>
    <row r="639" ht="15.75" customHeight="1">
      <c r="O639" s="43"/>
      <c r="CG639" s="44"/>
      <c r="CH639" s="44"/>
      <c r="DA639" s="45"/>
      <c r="DB639" s="45"/>
      <c r="DC639" s="45"/>
      <c r="DD639" s="45"/>
      <c r="DE639" s="45"/>
      <c r="DF639" s="45"/>
      <c r="DG639" s="45"/>
      <c r="DH639" s="45"/>
      <c r="DM639" s="44"/>
      <c r="DN639" s="44"/>
    </row>
    <row r="640" ht="15.75" customHeight="1">
      <c r="O640" s="43"/>
      <c r="CG640" s="44"/>
      <c r="CH640" s="44"/>
      <c r="DA640" s="45"/>
      <c r="DB640" s="45"/>
      <c r="DC640" s="45"/>
      <c r="DD640" s="45"/>
      <c r="DE640" s="45"/>
      <c r="DF640" s="45"/>
      <c r="DG640" s="45"/>
      <c r="DH640" s="45"/>
      <c r="DM640" s="44"/>
      <c r="DN640" s="44"/>
    </row>
    <row r="641" ht="15.75" customHeight="1">
      <c r="O641" s="43"/>
      <c r="CG641" s="44"/>
      <c r="CH641" s="44"/>
      <c r="DA641" s="45"/>
      <c r="DB641" s="45"/>
      <c r="DC641" s="45"/>
      <c r="DD641" s="45"/>
      <c r="DE641" s="45"/>
      <c r="DF641" s="45"/>
      <c r="DG641" s="45"/>
      <c r="DH641" s="45"/>
      <c r="DM641" s="44"/>
      <c r="DN641" s="44"/>
    </row>
    <row r="642" ht="15.75" customHeight="1">
      <c r="O642" s="43"/>
      <c r="CG642" s="44"/>
      <c r="CH642" s="44"/>
      <c r="DA642" s="45"/>
      <c r="DB642" s="45"/>
      <c r="DC642" s="45"/>
      <c r="DD642" s="45"/>
      <c r="DE642" s="45"/>
      <c r="DF642" s="45"/>
      <c r="DG642" s="45"/>
      <c r="DH642" s="45"/>
      <c r="DM642" s="44"/>
      <c r="DN642" s="44"/>
    </row>
    <row r="643" ht="15.75" customHeight="1">
      <c r="O643" s="43"/>
      <c r="CG643" s="44"/>
      <c r="CH643" s="44"/>
      <c r="DA643" s="45"/>
      <c r="DB643" s="45"/>
      <c r="DC643" s="45"/>
      <c r="DD643" s="45"/>
      <c r="DE643" s="45"/>
      <c r="DF643" s="45"/>
      <c r="DG643" s="45"/>
      <c r="DH643" s="45"/>
      <c r="DM643" s="44"/>
      <c r="DN643" s="44"/>
    </row>
    <row r="644" ht="15.75" customHeight="1">
      <c r="O644" s="43"/>
      <c r="CG644" s="44"/>
      <c r="CH644" s="44"/>
      <c r="DA644" s="45"/>
      <c r="DB644" s="45"/>
      <c r="DC644" s="45"/>
      <c r="DD644" s="45"/>
      <c r="DE644" s="45"/>
      <c r="DF644" s="45"/>
      <c r="DG644" s="45"/>
      <c r="DH644" s="45"/>
      <c r="DM644" s="44"/>
      <c r="DN644" s="44"/>
    </row>
    <row r="645" ht="15.75" customHeight="1">
      <c r="O645" s="43"/>
      <c r="CG645" s="44"/>
      <c r="CH645" s="44"/>
      <c r="DA645" s="45"/>
      <c r="DB645" s="45"/>
      <c r="DC645" s="45"/>
      <c r="DD645" s="45"/>
      <c r="DE645" s="45"/>
      <c r="DF645" s="45"/>
      <c r="DG645" s="45"/>
      <c r="DH645" s="45"/>
      <c r="DM645" s="44"/>
      <c r="DN645" s="44"/>
    </row>
    <row r="646" ht="15.75" customHeight="1">
      <c r="O646" s="43"/>
      <c r="CG646" s="44"/>
      <c r="CH646" s="44"/>
      <c r="DA646" s="45"/>
      <c r="DB646" s="45"/>
      <c r="DC646" s="45"/>
      <c r="DD646" s="45"/>
      <c r="DE646" s="45"/>
      <c r="DF646" s="45"/>
      <c r="DG646" s="45"/>
      <c r="DH646" s="45"/>
      <c r="DM646" s="44"/>
      <c r="DN646" s="44"/>
    </row>
    <row r="647" ht="15.75" customHeight="1">
      <c r="O647" s="43"/>
      <c r="CG647" s="44"/>
      <c r="CH647" s="44"/>
      <c r="DA647" s="45"/>
      <c r="DB647" s="45"/>
      <c r="DC647" s="45"/>
      <c r="DD647" s="45"/>
      <c r="DE647" s="45"/>
      <c r="DF647" s="45"/>
      <c r="DG647" s="45"/>
      <c r="DH647" s="45"/>
      <c r="DM647" s="44"/>
      <c r="DN647" s="44"/>
    </row>
    <row r="648" ht="15.75" customHeight="1">
      <c r="O648" s="43"/>
      <c r="CG648" s="44"/>
      <c r="CH648" s="44"/>
      <c r="DA648" s="45"/>
      <c r="DB648" s="45"/>
      <c r="DC648" s="45"/>
      <c r="DD648" s="45"/>
      <c r="DE648" s="45"/>
      <c r="DF648" s="45"/>
      <c r="DG648" s="45"/>
      <c r="DH648" s="45"/>
      <c r="DM648" s="44"/>
      <c r="DN648" s="44"/>
    </row>
    <row r="649" ht="15.75" customHeight="1">
      <c r="O649" s="43"/>
      <c r="CG649" s="44"/>
      <c r="CH649" s="44"/>
      <c r="DA649" s="45"/>
      <c r="DB649" s="45"/>
      <c r="DC649" s="45"/>
      <c r="DD649" s="45"/>
      <c r="DE649" s="45"/>
      <c r="DF649" s="45"/>
      <c r="DG649" s="45"/>
      <c r="DH649" s="45"/>
      <c r="DM649" s="44"/>
      <c r="DN649" s="44"/>
    </row>
    <row r="650" ht="15.75" customHeight="1">
      <c r="O650" s="43"/>
      <c r="CG650" s="44"/>
      <c r="CH650" s="44"/>
      <c r="DA650" s="45"/>
      <c r="DB650" s="45"/>
      <c r="DC650" s="45"/>
      <c r="DD650" s="45"/>
      <c r="DE650" s="45"/>
      <c r="DF650" s="45"/>
      <c r="DG650" s="45"/>
      <c r="DH650" s="45"/>
      <c r="DM650" s="44"/>
      <c r="DN650" s="44"/>
    </row>
    <row r="651" ht="15.75" customHeight="1">
      <c r="O651" s="43"/>
      <c r="CG651" s="44"/>
      <c r="CH651" s="44"/>
      <c r="DA651" s="45"/>
      <c r="DB651" s="45"/>
      <c r="DC651" s="45"/>
      <c r="DD651" s="45"/>
      <c r="DE651" s="45"/>
      <c r="DF651" s="45"/>
      <c r="DG651" s="45"/>
      <c r="DH651" s="45"/>
      <c r="DM651" s="44"/>
      <c r="DN651" s="44"/>
    </row>
    <row r="652" ht="15.75" customHeight="1">
      <c r="O652" s="43"/>
      <c r="CG652" s="44"/>
      <c r="CH652" s="44"/>
      <c r="DA652" s="45"/>
      <c r="DB652" s="45"/>
      <c r="DC652" s="45"/>
      <c r="DD652" s="45"/>
      <c r="DE652" s="45"/>
      <c r="DF652" s="45"/>
      <c r="DG652" s="45"/>
      <c r="DH652" s="45"/>
      <c r="DM652" s="44"/>
      <c r="DN652" s="44"/>
    </row>
    <row r="653" ht="15.75" customHeight="1">
      <c r="O653" s="43"/>
      <c r="CG653" s="44"/>
      <c r="CH653" s="44"/>
      <c r="DA653" s="45"/>
      <c r="DB653" s="45"/>
      <c r="DC653" s="45"/>
      <c r="DD653" s="45"/>
      <c r="DE653" s="45"/>
      <c r="DF653" s="45"/>
      <c r="DG653" s="45"/>
      <c r="DH653" s="45"/>
      <c r="DM653" s="44"/>
      <c r="DN653" s="44"/>
    </row>
    <row r="654" ht="15.75" customHeight="1">
      <c r="O654" s="43"/>
      <c r="CG654" s="44"/>
      <c r="CH654" s="44"/>
      <c r="DA654" s="45"/>
      <c r="DB654" s="45"/>
      <c r="DC654" s="45"/>
      <c r="DD654" s="45"/>
      <c r="DE654" s="45"/>
      <c r="DF654" s="45"/>
      <c r="DG654" s="45"/>
      <c r="DH654" s="45"/>
      <c r="DM654" s="44"/>
      <c r="DN654" s="44"/>
    </row>
    <row r="655" ht="15.75" customHeight="1">
      <c r="O655" s="43"/>
      <c r="CG655" s="44"/>
      <c r="CH655" s="44"/>
      <c r="DA655" s="45"/>
      <c r="DB655" s="45"/>
      <c r="DC655" s="45"/>
      <c r="DD655" s="45"/>
      <c r="DE655" s="45"/>
      <c r="DF655" s="45"/>
      <c r="DG655" s="45"/>
      <c r="DH655" s="45"/>
      <c r="DM655" s="44"/>
      <c r="DN655" s="44"/>
    </row>
    <row r="656" ht="15.75" customHeight="1">
      <c r="O656" s="43"/>
      <c r="CG656" s="44"/>
      <c r="CH656" s="44"/>
      <c r="DA656" s="45"/>
      <c r="DB656" s="45"/>
      <c r="DC656" s="45"/>
      <c r="DD656" s="45"/>
      <c r="DE656" s="45"/>
      <c r="DF656" s="45"/>
      <c r="DG656" s="45"/>
      <c r="DH656" s="45"/>
      <c r="DM656" s="44"/>
      <c r="DN656" s="44"/>
    </row>
    <row r="657" ht="15.75" customHeight="1">
      <c r="O657" s="43"/>
      <c r="CG657" s="44"/>
      <c r="CH657" s="44"/>
      <c r="DA657" s="45"/>
      <c r="DB657" s="45"/>
      <c r="DC657" s="45"/>
      <c r="DD657" s="45"/>
      <c r="DE657" s="45"/>
      <c r="DF657" s="45"/>
      <c r="DG657" s="45"/>
      <c r="DH657" s="45"/>
      <c r="DM657" s="44"/>
      <c r="DN657" s="44"/>
    </row>
    <row r="658" ht="15.75" customHeight="1">
      <c r="O658" s="43"/>
      <c r="CG658" s="44"/>
      <c r="CH658" s="44"/>
      <c r="DA658" s="45"/>
      <c r="DB658" s="45"/>
      <c r="DC658" s="45"/>
      <c r="DD658" s="45"/>
      <c r="DE658" s="45"/>
      <c r="DF658" s="45"/>
      <c r="DG658" s="45"/>
      <c r="DH658" s="45"/>
      <c r="DM658" s="44"/>
      <c r="DN658" s="44"/>
    </row>
    <row r="659" ht="15.75" customHeight="1">
      <c r="O659" s="43"/>
      <c r="CG659" s="44"/>
      <c r="CH659" s="44"/>
      <c r="DA659" s="45"/>
      <c r="DB659" s="45"/>
      <c r="DC659" s="45"/>
      <c r="DD659" s="45"/>
      <c r="DE659" s="45"/>
      <c r="DF659" s="45"/>
      <c r="DG659" s="45"/>
      <c r="DH659" s="45"/>
      <c r="DM659" s="44"/>
      <c r="DN659" s="44"/>
    </row>
    <row r="660" ht="15.75" customHeight="1">
      <c r="O660" s="43"/>
      <c r="CG660" s="44"/>
      <c r="CH660" s="44"/>
      <c r="DA660" s="45"/>
      <c r="DB660" s="45"/>
      <c r="DC660" s="45"/>
      <c r="DD660" s="45"/>
      <c r="DE660" s="45"/>
      <c r="DF660" s="45"/>
      <c r="DG660" s="45"/>
      <c r="DH660" s="45"/>
      <c r="DM660" s="44"/>
      <c r="DN660" s="44"/>
    </row>
    <row r="661" ht="15.75" customHeight="1">
      <c r="O661" s="43"/>
      <c r="CG661" s="44"/>
      <c r="CH661" s="44"/>
      <c r="DA661" s="45"/>
      <c r="DB661" s="45"/>
      <c r="DC661" s="45"/>
      <c r="DD661" s="45"/>
      <c r="DE661" s="45"/>
      <c r="DF661" s="45"/>
      <c r="DG661" s="45"/>
      <c r="DH661" s="45"/>
      <c r="DM661" s="44"/>
      <c r="DN661" s="44"/>
    </row>
    <row r="662" ht="15.75" customHeight="1">
      <c r="O662" s="43"/>
      <c r="CG662" s="44"/>
      <c r="CH662" s="44"/>
      <c r="DA662" s="45"/>
      <c r="DB662" s="45"/>
      <c r="DC662" s="45"/>
      <c r="DD662" s="45"/>
      <c r="DE662" s="45"/>
      <c r="DF662" s="45"/>
      <c r="DG662" s="45"/>
      <c r="DH662" s="45"/>
      <c r="DM662" s="44"/>
      <c r="DN662" s="44"/>
    </row>
    <row r="663" ht="15.75" customHeight="1">
      <c r="O663" s="43"/>
      <c r="CG663" s="44"/>
      <c r="CH663" s="44"/>
      <c r="DA663" s="45"/>
      <c r="DB663" s="45"/>
      <c r="DC663" s="45"/>
      <c r="DD663" s="45"/>
      <c r="DE663" s="45"/>
      <c r="DF663" s="45"/>
      <c r="DG663" s="45"/>
      <c r="DH663" s="45"/>
      <c r="DM663" s="44"/>
      <c r="DN663" s="44"/>
    </row>
    <row r="664" ht="15.75" customHeight="1">
      <c r="O664" s="43"/>
      <c r="CG664" s="44"/>
      <c r="CH664" s="44"/>
      <c r="DA664" s="45"/>
      <c r="DB664" s="45"/>
      <c r="DC664" s="45"/>
      <c r="DD664" s="45"/>
      <c r="DE664" s="45"/>
      <c r="DF664" s="45"/>
      <c r="DG664" s="45"/>
      <c r="DH664" s="45"/>
      <c r="DM664" s="44"/>
      <c r="DN664" s="44"/>
    </row>
    <row r="665" ht="15.75" customHeight="1">
      <c r="O665" s="43"/>
      <c r="CG665" s="44"/>
      <c r="CH665" s="44"/>
      <c r="DA665" s="45"/>
      <c r="DB665" s="45"/>
      <c r="DC665" s="45"/>
      <c r="DD665" s="45"/>
      <c r="DE665" s="45"/>
      <c r="DF665" s="45"/>
      <c r="DG665" s="45"/>
      <c r="DH665" s="45"/>
      <c r="DM665" s="44"/>
      <c r="DN665" s="44"/>
    </row>
    <row r="666" ht="15.75" customHeight="1">
      <c r="O666" s="43"/>
      <c r="CG666" s="44"/>
      <c r="CH666" s="44"/>
      <c r="DA666" s="45"/>
      <c r="DB666" s="45"/>
      <c r="DC666" s="45"/>
      <c r="DD666" s="45"/>
      <c r="DE666" s="45"/>
      <c r="DF666" s="45"/>
      <c r="DG666" s="45"/>
      <c r="DH666" s="45"/>
      <c r="DM666" s="44"/>
      <c r="DN666" s="44"/>
    </row>
    <row r="667" ht="15.75" customHeight="1">
      <c r="O667" s="43"/>
      <c r="CG667" s="44"/>
      <c r="CH667" s="44"/>
      <c r="DA667" s="45"/>
      <c r="DB667" s="45"/>
      <c r="DC667" s="45"/>
      <c r="DD667" s="45"/>
      <c r="DE667" s="45"/>
      <c r="DF667" s="45"/>
      <c r="DG667" s="45"/>
      <c r="DH667" s="45"/>
      <c r="DM667" s="44"/>
      <c r="DN667" s="44"/>
    </row>
    <row r="668" ht="15.75" customHeight="1">
      <c r="O668" s="43"/>
      <c r="CG668" s="44"/>
      <c r="CH668" s="44"/>
      <c r="DA668" s="45"/>
      <c r="DB668" s="45"/>
      <c r="DC668" s="45"/>
      <c r="DD668" s="45"/>
      <c r="DE668" s="45"/>
      <c r="DF668" s="45"/>
      <c r="DG668" s="45"/>
      <c r="DH668" s="45"/>
      <c r="DM668" s="44"/>
      <c r="DN668" s="44"/>
    </row>
    <row r="669" ht="15.75" customHeight="1">
      <c r="O669" s="43"/>
      <c r="CG669" s="44"/>
      <c r="CH669" s="44"/>
      <c r="DA669" s="45"/>
      <c r="DB669" s="45"/>
      <c r="DC669" s="45"/>
      <c r="DD669" s="45"/>
      <c r="DE669" s="45"/>
      <c r="DF669" s="45"/>
      <c r="DG669" s="45"/>
      <c r="DH669" s="45"/>
      <c r="DM669" s="44"/>
      <c r="DN669" s="44"/>
    </row>
    <row r="670" ht="15.75" customHeight="1">
      <c r="O670" s="43"/>
      <c r="CG670" s="44"/>
      <c r="CH670" s="44"/>
      <c r="DA670" s="45"/>
      <c r="DB670" s="45"/>
      <c r="DC670" s="45"/>
      <c r="DD670" s="45"/>
      <c r="DE670" s="45"/>
      <c r="DF670" s="45"/>
      <c r="DG670" s="45"/>
      <c r="DH670" s="45"/>
      <c r="DM670" s="44"/>
      <c r="DN670" s="44"/>
    </row>
    <row r="671" ht="15.75" customHeight="1">
      <c r="O671" s="43"/>
      <c r="CG671" s="44"/>
      <c r="CH671" s="44"/>
      <c r="DA671" s="45"/>
      <c r="DB671" s="45"/>
      <c r="DC671" s="45"/>
      <c r="DD671" s="45"/>
      <c r="DE671" s="45"/>
      <c r="DF671" s="45"/>
      <c r="DG671" s="45"/>
      <c r="DH671" s="45"/>
      <c r="DM671" s="44"/>
      <c r="DN671" s="44"/>
    </row>
    <row r="672" ht="15.75" customHeight="1">
      <c r="O672" s="43"/>
      <c r="CG672" s="44"/>
      <c r="CH672" s="44"/>
      <c r="DA672" s="45"/>
      <c r="DB672" s="45"/>
      <c r="DC672" s="45"/>
      <c r="DD672" s="45"/>
      <c r="DE672" s="45"/>
      <c r="DF672" s="45"/>
      <c r="DG672" s="45"/>
      <c r="DH672" s="45"/>
      <c r="DM672" s="44"/>
      <c r="DN672" s="44"/>
    </row>
    <row r="673" ht="15.75" customHeight="1">
      <c r="O673" s="43"/>
      <c r="CG673" s="44"/>
      <c r="CH673" s="44"/>
      <c r="DA673" s="45"/>
      <c r="DB673" s="45"/>
      <c r="DC673" s="45"/>
      <c r="DD673" s="45"/>
      <c r="DE673" s="45"/>
      <c r="DF673" s="45"/>
      <c r="DG673" s="45"/>
      <c r="DH673" s="45"/>
      <c r="DM673" s="44"/>
      <c r="DN673" s="44"/>
    </row>
    <row r="674" ht="15.75" customHeight="1">
      <c r="O674" s="43"/>
      <c r="CG674" s="44"/>
      <c r="CH674" s="44"/>
      <c r="DA674" s="45"/>
      <c r="DB674" s="45"/>
      <c r="DC674" s="45"/>
      <c r="DD674" s="45"/>
      <c r="DE674" s="45"/>
      <c r="DF674" s="45"/>
      <c r="DG674" s="45"/>
      <c r="DH674" s="45"/>
      <c r="DM674" s="44"/>
      <c r="DN674" s="44"/>
    </row>
    <row r="675" ht="15.75" customHeight="1">
      <c r="O675" s="43"/>
      <c r="CG675" s="44"/>
      <c r="CH675" s="44"/>
      <c r="DA675" s="45"/>
      <c r="DB675" s="45"/>
      <c r="DC675" s="45"/>
      <c r="DD675" s="45"/>
      <c r="DE675" s="45"/>
      <c r="DF675" s="45"/>
      <c r="DG675" s="45"/>
      <c r="DH675" s="45"/>
      <c r="DM675" s="44"/>
      <c r="DN675" s="44"/>
    </row>
    <row r="676" ht="15.75" customHeight="1">
      <c r="O676" s="43"/>
      <c r="CG676" s="44"/>
      <c r="CH676" s="44"/>
      <c r="DA676" s="45"/>
      <c r="DB676" s="45"/>
      <c r="DC676" s="45"/>
      <c r="DD676" s="45"/>
      <c r="DE676" s="45"/>
      <c r="DF676" s="45"/>
      <c r="DG676" s="45"/>
      <c r="DH676" s="45"/>
      <c r="DM676" s="44"/>
      <c r="DN676" s="44"/>
    </row>
    <row r="677" ht="15.75" customHeight="1">
      <c r="O677" s="43"/>
      <c r="CG677" s="44"/>
      <c r="CH677" s="44"/>
      <c r="DA677" s="45"/>
      <c r="DB677" s="45"/>
      <c r="DC677" s="45"/>
      <c r="DD677" s="45"/>
      <c r="DE677" s="45"/>
      <c r="DF677" s="45"/>
      <c r="DG677" s="45"/>
      <c r="DH677" s="45"/>
      <c r="DM677" s="44"/>
      <c r="DN677" s="44"/>
    </row>
    <row r="678" ht="15.75" customHeight="1">
      <c r="O678" s="43"/>
      <c r="CG678" s="44"/>
      <c r="CH678" s="44"/>
      <c r="DA678" s="45"/>
      <c r="DB678" s="45"/>
      <c r="DC678" s="45"/>
      <c r="DD678" s="45"/>
      <c r="DE678" s="45"/>
      <c r="DF678" s="45"/>
      <c r="DG678" s="45"/>
      <c r="DH678" s="45"/>
      <c r="DM678" s="44"/>
      <c r="DN678" s="44"/>
    </row>
    <row r="679" ht="15.75" customHeight="1">
      <c r="O679" s="43"/>
      <c r="CG679" s="44"/>
      <c r="CH679" s="44"/>
      <c r="DA679" s="45"/>
      <c r="DB679" s="45"/>
      <c r="DC679" s="45"/>
      <c r="DD679" s="45"/>
      <c r="DE679" s="45"/>
      <c r="DF679" s="45"/>
      <c r="DG679" s="45"/>
      <c r="DH679" s="45"/>
      <c r="DM679" s="44"/>
      <c r="DN679" s="44"/>
    </row>
    <row r="680" ht="15.75" customHeight="1">
      <c r="O680" s="43"/>
      <c r="CG680" s="44"/>
      <c r="CH680" s="44"/>
      <c r="DA680" s="45"/>
      <c r="DB680" s="45"/>
      <c r="DC680" s="45"/>
      <c r="DD680" s="45"/>
      <c r="DE680" s="45"/>
      <c r="DF680" s="45"/>
      <c r="DG680" s="45"/>
      <c r="DH680" s="45"/>
      <c r="DM680" s="44"/>
      <c r="DN680" s="44"/>
    </row>
    <row r="681" ht="15.75" customHeight="1">
      <c r="O681" s="43"/>
      <c r="CG681" s="44"/>
      <c r="CH681" s="44"/>
      <c r="DA681" s="45"/>
      <c r="DB681" s="45"/>
      <c r="DC681" s="45"/>
      <c r="DD681" s="45"/>
      <c r="DE681" s="45"/>
      <c r="DF681" s="45"/>
      <c r="DG681" s="45"/>
      <c r="DH681" s="45"/>
      <c r="DM681" s="44"/>
      <c r="DN681" s="44"/>
    </row>
    <row r="682" ht="15.75" customHeight="1">
      <c r="O682" s="43"/>
      <c r="CG682" s="44"/>
      <c r="CH682" s="44"/>
      <c r="DA682" s="45"/>
      <c r="DB682" s="45"/>
      <c r="DC682" s="45"/>
      <c r="DD682" s="45"/>
      <c r="DE682" s="45"/>
      <c r="DF682" s="45"/>
      <c r="DG682" s="45"/>
      <c r="DH682" s="45"/>
      <c r="DM682" s="44"/>
      <c r="DN682" s="44"/>
    </row>
    <row r="683" ht="15.75" customHeight="1">
      <c r="O683" s="43"/>
      <c r="CG683" s="44"/>
      <c r="CH683" s="44"/>
      <c r="DA683" s="45"/>
      <c r="DB683" s="45"/>
      <c r="DC683" s="45"/>
      <c r="DD683" s="45"/>
      <c r="DE683" s="45"/>
      <c r="DF683" s="45"/>
      <c r="DG683" s="45"/>
      <c r="DH683" s="45"/>
      <c r="DM683" s="44"/>
      <c r="DN683" s="44"/>
    </row>
    <row r="684" ht="15.75" customHeight="1">
      <c r="O684" s="43"/>
      <c r="CG684" s="44"/>
      <c r="CH684" s="44"/>
      <c r="DA684" s="45"/>
      <c r="DB684" s="45"/>
      <c r="DC684" s="45"/>
      <c r="DD684" s="45"/>
      <c r="DE684" s="45"/>
      <c r="DF684" s="45"/>
      <c r="DG684" s="45"/>
      <c r="DH684" s="45"/>
      <c r="DM684" s="44"/>
      <c r="DN684" s="44"/>
    </row>
    <row r="685" ht="15.75" customHeight="1">
      <c r="O685" s="43"/>
      <c r="CG685" s="44"/>
      <c r="CH685" s="44"/>
      <c r="DA685" s="45"/>
      <c r="DB685" s="45"/>
      <c r="DC685" s="45"/>
      <c r="DD685" s="45"/>
      <c r="DE685" s="45"/>
      <c r="DF685" s="45"/>
      <c r="DG685" s="45"/>
      <c r="DH685" s="45"/>
      <c r="DM685" s="44"/>
      <c r="DN685" s="44"/>
    </row>
    <row r="686" ht="15.75" customHeight="1">
      <c r="O686" s="43"/>
      <c r="CG686" s="44"/>
      <c r="CH686" s="44"/>
      <c r="DA686" s="45"/>
      <c r="DB686" s="45"/>
      <c r="DC686" s="45"/>
      <c r="DD686" s="45"/>
      <c r="DE686" s="45"/>
      <c r="DF686" s="45"/>
      <c r="DG686" s="45"/>
      <c r="DH686" s="45"/>
      <c r="DM686" s="44"/>
      <c r="DN686" s="44"/>
    </row>
    <row r="687" ht="15.75" customHeight="1">
      <c r="O687" s="43"/>
      <c r="CG687" s="44"/>
      <c r="CH687" s="44"/>
      <c r="DA687" s="45"/>
      <c r="DB687" s="45"/>
      <c r="DC687" s="45"/>
      <c r="DD687" s="45"/>
      <c r="DE687" s="45"/>
      <c r="DF687" s="45"/>
      <c r="DG687" s="45"/>
      <c r="DH687" s="45"/>
      <c r="DM687" s="44"/>
      <c r="DN687" s="44"/>
    </row>
    <row r="688" ht="15.75" customHeight="1">
      <c r="O688" s="43"/>
      <c r="CG688" s="44"/>
      <c r="CH688" s="44"/>
      <c r="DA688" s="45"/>
      <c r="DB688" s="45"/>
      <c r="DC688" s="45"/>
      <c r="DD688" s="45"/>
      <c r="DE688" s="45"/>
      <c r="DF688" s="45"/>
      <c r="DG688" s="45"/>
      <c r="DH688" s="45"/>
      <c r="DM688" s="44"/>
      <c r="DN688" s="44"/>
    </row>
    <row r="689" ht="15.75" customHeight="1">
      <c r="O689" s="43"/>
      <c r="CG689" s="44"/>
      <c r="CH689" s="44"/>
      <c r="DA689" s="45"/>
      <c r="DB689" s="45"/>
      <c r="DC689" s="45"/>
      <c r="DD689" s="45"/>
      <c r="DE689" s="45"/>
      <c r="DF689" s="45"/>
      <c r="DG689" s="45"/>
      <c r="DH689" s="45"/>
      <c r="DM689" s="44"/>
      <c r="DN689" s="44"/>
    </row>
    <row r="690" ht="15.75" customHeight="1">
      <c r="O690" s="43"/>
      <c r="CG690" s="44"/>
      <c r="CH690" s="44"/>
      <c r="DA690" s="45"/>
      <c r="DB690" s="45"/>
      <c r="DC690" s="45"/>
      <c r="DD690" s="45"/>
      <c r="DE690" s="45"/>
      <c r="DF690" s="45"/>
      <c r="DG690" s="45"/>
      <c r="DH690" s="45"/>
      <c r="DM690" s="44"/>
      <c r="DN690" s="44"/>
    </row>
    <row r="691" ht="15.75" customHeight="1">
      <c r="O691" s="43"/>
      <c r="CG691" s="44"/>
      <c r="CH691" s="44"/>
      <c r="DA691" s="45"/>
      <c r="DB691" s="45"/>
      <c r="DC691" s="45"/>
      <c r="DD691" s="45"/>
      <c r="DE691" s="45"/>
      <c r="DF691" s="45"/>
      <c r="DG691" s="45"/>
      <c r="DH691" s="45"/>
      <c r="DM691" s="44"/>
      <c r="DN691" s="44"/>
    </row>
    <row r="692" ht="15.75" customHeight="1">
      <c r="O692" s="43"/>
      <c r="CG692" s="44"/>
      <c r="CH692" s="44"/>
      <c r="DA692" s="45"/>
      <c r="DB692" s="45"/>
      <c r="DC692" s="45"/>
      <c r="DD692" s="45"/>
      <c r="DE692" s="45"/>
      <c r="DF692" s="45"/>
      <c r="DG692" s="45"/>
      <c r="DH692" s="45"/>
      <c r="DM692" s="44"/>
      <c r="DN692" s="44"/>
    </row>
    <row r="693" ht="15.75" customHeight="1">
      <c r="O693" s="43"/>
      <c r="CG693" s="44"/>
      <c r="CH693" s="44"/>
      <c r="DA693" s="45"/>
      <c r="DB693" s="45"/>
      <c r="DC693" s="45"/>
      <c r="DD693" s="45"/>
      <c r="DE693" s="45"/>
      <c r="DF693" s="45"/>
      <c r="DG693" s="45"/>
      <c r="DH693" s="45"/>
      <c r="DM693" s="44"/>
      <c r="DN693" s="44"/>
    </row>
    <row r="694" ht="15.75" customHeight="1">
      <c r="O694" s="43"/>
      <c r="CG694" s="44"/>
      <c r="CH694" s="44"/>
      <c r="DA694" s="45"/>
      <c r="DB694" s="45"/>
      <c r="DC694" s="45"/>
      <c r="DD694" s="45"/>
      <c r="DE694" s="45"/>
      <c r="DF694" s="45"/>
      <c r="DG694" s="45"/>
      <c r="DH694" s="45"/>
      <c r="DM694" s="44"/>
      <c r="DN694" s="44"/>
    </row>
    <row r="695" ht="15.75" customHeight="1">
      <c r="O695" s="43"/>
      <c r="CG695" s="44"/>
      <c r="CH695" s="44"/>
      <c r="DA695" s="45"/>
      <c r="DB695" s="45"/>
      <c r="DC695" s="45"/>
      <c r="DD695" s="45"/>
      <c r="DE695" s="45"/>
      <c r="DF695" s="45"/>
      <c r="DG695" s="45"/>
      <c r="DH695" s="45"/>
      <c r="DM695" s="44"/>
      <c r="DN695" s="44"/>
    </row>
    <row r="696" ht="15.75" customHeight="1">
      <c r="O696" s="43"/>
      <c r="CG696" s="44"/>
      <c r="CH696" s="44"/>
      <c r="DA696" s="45"/>
      <c r="DB696" s="45"/>
      <c r="DC696" s="45"/>
      <c r="DD696" s="45"/>
      <c r="DE696" s="45"/>
      <c r="DF696" s="45"/>
      <c r="DG696" s="45"/>
      <c r="DH696" s="45"/>
      <c r="DM696" s="44"/>
      <c r="DN696" s="44"/>
    </row>
    <row r="697" ht="15.75" customHeight="1">
      <c r="O697" s="43"/>
      <c r="CG697" s="44"/>
      <c r="CH697" s="44"/>
      <c r="DA697" s="45"/>
      <c r="DB697" s="45"/>
      <c r="DC697" s="45"/>
      <c r="DD697" s="45"/>
      <c r="DE697" s="45"/>
      <c r="DF697" s="45"/>
      <c r="DG697" s="45"/>
      <c r="DH697" s="45"/>
      <c r="DM697" s="44"/>
      <c r="DN697" s="44"/>
    </row>
    <row r="698" ht="15.75" customHeight="1">
      <c r="O698" s="43"/>
      <c r="CG698" s="44"/>
      <c r="CH698" s="44"/>
      <c r="DA698" s="45"/>
      <c r="DB698" s="45"/>
      <c r="DC698" s="45"/>
      <c r="DD698" s="45"/>
      <c r="DE698" s="45"/>
      <c r="DF698" s="45"/>
      <c r="DG698" s="45"/>
      <c r="DH698" s="45"/>
      <c r="DM698" s="44"/>
      <c r="DN698" s="44"/>
    </row>
    <row r="699" ht="15.75" customHeight="1">
      <c r="O699" s="43"/>
      <c r="CG699" s="44"/>
      <c r="CH699" s="44"/>
      <c r="DA699" s="45"/>
      <c r="DB699" s="45"/>
      <c r="DC699" s="45"/>
      <c r="DD699" s="45"/>
      <c r="DE699" s="45"/>
      <c r="DF699" s="45"/>
      <c r="DG699" s="45"/>
      <c r="DH699" s="45"/>
      <c r="DM699" s="44"/>
      <c r="DN699" s="44"/>
    </row>
    <row r="700" ht="15.75" customHeight="1">
      <c r="O700" s="43"/>
      <c r="CG700" s="44"/>
      <c r="CH700" s="44"/>
      <c r="DA700" s="45"/>
      <c r="DB700" s="45"/>
      <c r="DC700" s="45"/>
      <c r="DD700" s="45"/>
      <c r="DE700" s="45"/>
      <c r="DF700" s="45"/>
      <c r="DG700" s="45"/>
      <c r="DH700" s="45"/>
      <c r="DM700" s="44"/>
      <c r="DN700" s="44"/>
    </row>
    <row r="701" ht="15.75" customHeight="1">
      <c r="O701" s="43"/>
      <c r="CG701" s="44"/>
      <c r="CH701" s="44"/>
      <c r="DA701" s="45"/>
      <c r="DB701" s="45"/>
      <c r="DC701" s="45"/>
      <c r="DD701" s="45"/>
      <c r="DE701" s="45"/>
      <c r="DF701" s="45"/>
      <c r="DG701" s="45"/>
      <c r="DH701" s="45"/>
      <c r="DM701" s="44"/>
      <c r="DN701" s="44"/>
    </row>
    <row r="702" ht="15.75" customHeight="1">
      <c r="O702" s="43"/>
      <c r="CG702" s="44"/>
      <c r="CH702" s="44"/>
      <c r="DA702" s="45"/>
      <c r="DB702" s="45"/>
      <c r="DC702" s="45"/>
      <c r="DD702" s="45"/>
      <c r="DE702" s="45"/>
      <c r="DF702" s="45"/>
      <c r="DG702" s="45"/>
      <c r="DH702" s="45"/>
      <c r="DM702" s="44"/>
      <c r="DN702" s="44"/>
    </row>
    <row r="703" ht="15.75" customHeight="1">
      <c r="O703" s="43"/>
      <c r="CG703" s="44"/>
      <c r="CH703" s="44"/>
      <c r="DA703" s="45"/>
      <c r="DB703" s="45"/>
      <c r="DC703" s="45"/>
      <c r="DD703" s="45"/>
      <c r="DE703" s="45"/>
      <c r="DF703" s="45"/>
      <c r="DG703" s="45"/>
      <c r="DH703" s="45"/>
      <c r="DM703" s="44"/>
      <c r="DN703" s="44"/>
    </row>
    <row r="704" ht="15.75" customHeight="1">
      <c r="O704" s="43"/>
      <c r="CG704" s="44"/>
      <c r="CH704" s="44"/>
      <c r="DA704" s="45"/>
      <c r="DB704" s="45"/>
      <c r="DC704" s="45"/>
      <c r="DD704" s="45"/>
      <c r="DE704" s="45"/>
      <c r="DF704" s="45"/>
      <c r="DG704" s="45"/>
      <c r="DH704" s="45"/>
      <c r="DM704" s="44"/>
      <c r="DN704" s="44"/>
    </row>
    <row r="705" ht="15.75" customHeight="1">
      <c r="O705" s="43"/>
      <c r="CG705" s="44"/>
      <c r="CH705" s="44"/>
      <c r="DA705" s="45"/>
      <c r="DB705" s="45"/>
      <c r="DC705" s="45"/>
      <c r="DD705" s="45"/>
      <c r="DE705" s="45"/>
      <c r="DF705" s="45"/>
      <c r="DG705" s="45"/>
      <c r="DH705" s="45"/>
      <c r="DM705" s="44"/>
      <c r="DN705" s="44"/>
    </row>
    <row r="706" ht="15.75" customHeight="1">
      <c r="O706" s="43"/>
      <c r="CG706" s="44"/>
      <c r="CH706" s="44"/>
      <c r="DA706" s="45"/>
      <c r="DB706" s="45"/>
      <c r="DC706" s="45"/>
      <c r="DD706" s="45"/>
      <c r="DE706" s="45"/>
      <c r="DF706" s="45"/>
      <c r="DG706" s="45"/>
      <c r="DH706" s="45"/>
      <c r="DM706" s="44"/>
      <c r="DN706" s="44"/>
    </row>
    <row r="707" ht="15.75" customHeight="1">
      <c r="O707" s="43"/>
      <c r="CG707" s="44"/>
      <c r="CH707" s="44"/>
      <c r="DA707" s="45"/>
      <c r="DB707" s="45"/>
      <c r="DC707" s="45"/>
      <c r="DD707" s="45"/>
      <c r="DE707" s="45"/>
      <c r="DF707" s="45"/>
      <c r="DG707" s="45"/>
      <c r="DH707" s="45"/>
      <c r="DM707" s="44"/>
      <c r="DN707" s="44"/>
    </row>
    <row r="708" ht="15.75" customHeight="1">
      <c r="O708" s="43"/>
      <c r="CG708" s="44"/>
      <c r="CH708" s="44"/>
      <c r="DA708" s="45"/>
      <c r="DB708" s="45"/>
      <c r="DC708" s="45"/>
      <c r="DD708" s="45"/>
      <c r="DE708" s="45"/>
      <c r="DF708" s="45"/>
      <c r="DG708" s="45"/>
      <c r="DH708" s="45"/>
      <c r="DM708" s="44"/>
      <c r="DN708" s="44"/>
    </row>
    <row r="709" ht="15.75" customHeight="1">
      <c r="O709" s="43"/>
      <c r="CG709" s="44"/>
      <c r="CH709" s="44"/>
      <c r="DA709" s="45"/>
      <c r="DB709" s="45"/>
      <c r="DC709" s="45"/>
      <c r="DD709" s="45"/>
      <c r="DE709" s="45"/>
      <c r="DF709" s="45"/>
      <c r="DG709" s="45"/>
      <c r="DH709" s="45"/>
      <c r="DM709" s="44"/>
      <c r="DN709" s="44"/>
    </row>
    <row r="710" ht="15.75" customHeight="1">
      <c r="O710" s="43"/>
      <c r="CG710" s="44"/>
      <c r="CH710" s="44"/>
      <c r="DA710" s="45"/>
      <c r="DB710" s="45"/>
      <c r="DC710" s="45"/>
      <c r="DD710" s="45"/>
      <c r="DE710" s="45"/>
      <c r="DF710" s="45"/>
      <c r="DG710" s="45"/>
      <c r="DH710" s="45"/>
      <c r="DM710" s="44"/>
      <c r="DN710" s="44"/>
    </row>
    <row r="711" ht="15.75" customHeight="1">
      <c r="O711" s="43"/>
      <c r="CG711" s="44"/>
      <c r="CH711" s="44"/>
      <c r="DA711" s="45"/>
      <c r="DB711" s="45"/>
      <c r="DC711" s="45"/>
      <c r="DD711" s="45"/>
      <c r="DE711" s="45"/>
      <c r="DF711" s="45"/>
      <c r="DG711" s="45"/>
      <c r="DH711" s="45"/>
      <c r="DM711" s="44"/>
      <c r="DN711" s="44"/>
    </row>
    <row r="712" ht="15.75" customHeight="1">
      <c r="O712" s="43"/>
      <c r="CG712" s="44"/>
      <c r="CH712" s="44"/>
      <c r="DA712" s="45"/>
      <c r="DB712" s="45"/>
      <c r="DC712" s="45"/>
      <c r="DD712" s="45"/>
      <c r="DE712" s="45"/>
      <c r="DF712" s="45"/>
      <c r="DG712" s="45"/>
      <c r="DH712" s="45"/>
      <c r="DM712" s="44"/>
      <c r="DN712" s="44"/>
    </row>
    <row r="713" ht="15.75" customHeight="1">
      <c r="O713" s="43"/>
      <c r="CG713" s="44"/>
      <c r="CH713" s="44"/>
      <c r="DA713" s="45"/>
      <c r="DB713" s="45"/>
      <c r="DC713" s="45"/>
      <c r="DD713" s="45"/>
      <c r="DE713" s="45"/>
      <c r="DF713" s="45"/>
      <c r="DG713" s="45"/>
      <c r="DH713" s="45"/>
      <c r="DM713" s="44"/>
      <c r="DN713" s="44"/>
    </row>
    <row r="714" ht="15.75" customHeight="1">
      <c r="O714" s="43"/>
      <c r="CG714" s="44"/>
      <c r="CH714" s="44"/>
      <c r="DA714" s="45"/>
      <c r="DB714" s="45"/>
      <c r="DC714" s="45"/>
      <c r="DD714" s="45"/>
      <c r="DE714" s="45"/>
      <c r="DF714" s="45"/>
      <c r="DG714" s="45"/>
      <c r="DH714" s="45"/>
      <c r="DM714" s="44"/>
      <c r="DN714" s="44"/>
    </row>
    <row r="715" ht="15.75" customHeight="1">
      <c r="O715" s="43"/>
      <c r="CG715" s="44"/>
      <c r="CH715" s="44"/>
      <c r="DA715" s="45"/>
      <c r="DB715" s="45"/>
      <c r="DC715" s="45"/>
      <c r="DD715" s="45"/>
      <c r="DE715" s="45"/>
      <c r="DF715" s="45"/>
      <c r="DG715" s="45"/>
      <c r="DH715" s="45"/>
      <c r="DM715" s="44"/>
      <c r="DN715" s="44"/>
    </row>
    <row r="716" ht="15.75" customHeight="1">
      <c r="O716" s="43"/>
      <c r="CG716" s="44"/>
      <c r="CH716" s="44"/>
      <c r="DA716" s="45"/>
      <c r="DB716" s="45"/>
      <c r="DC716" s="45"/>
      <c r="DD716" s="45"/>
      <c r="DE716" s="45"/>
      <c r="DF716" s="45"/>
      <c r="DG716" s="45"/>
      <c r="DH716" s="45"/>
      <c r="DM716" s="44"/>
      <c r="DN716" s="44"/>
    </row>
    <row r="717" ht="15.75" customHeight="1">
      <c r="O717" s="43"/>
      <c r="CG717" s="44"/>
      <c r="CH717" s="44"/>
      <c r="DA717" s="45"/>
      <c r="DB717" s="45"/>
      <c r="DC717" s="45"/>
      <c r="DD717" s="45"/>
      <c r="DE717" s="45"/>
      <c r="DF717" s="45"/>
      <c r="DG717" s="45"/>
      <c r="DH717" s="45"/>
      <c r="DM717" s="44"/>
      <c r="DN717" s="44"/>
    </row>
    <row r="718" ht="15.75" customHeight="1">
      <c r="O718" s="43"/>
      <c r="CG718" s="44"/>
      <c r="CH718" s="44"/>
      <c r="DA718" s="45"/>
      <c r="DB718" s="45"/>
      <c r="DC718" s="45"/>
      <c r="DD718" s="45"/>
      <c r="DE718" s="45"/>
      <c r="DF718" s="45"/>
      <c r="DG718" s="45"/>
      <c r="DH718" s="45"/>
      <c r="DM718" s="44"/>
      <c r="DN718" s="44"/>
    </row>
    <row r="719" ht="15.75" customHeight="1">
      <c r="O719" s="43"/>
      <c r="CG719" s="44"/>
      <c r="CH719" s="44"/>
      <c r="DA719" s="45"/>
      <c r="DB719" s="45"/>
      <c r="DC719" s="45"/>
      <c r="DD719" s="45"/>
      <c r="DE719" s="45"/>
      <c r="DF719" s="45"/>
      <c r="DG719" s="45"/>
      <c r="DH719" s="45"/>
      <c r="DM719" s="44"/>
      <c r="DN719" s="44"/>
    </row>
    <row r="720" ht="15.75" customHeight="1">
      <c r="O720" s="43"/>
      <c r="CG720" s="44"/>
      <c r="CH720" s="44"/>
      <c r="DA720" s="45"/>
      <c r="DB720" s="45"/>
      <c r="DC720" s="45"/>
      <c r="DD720" s="45"/>
      <c r="DE720" s="45"/>
      <c r="DF720" s="45"/>
      <c r="DG720" s="45"/>
      <c r="DH720" s="45"/>
      <c r="DM720" s="44"/>
      <c r="DN720" s="44"/>
    </row>
    <row r="721" ht="15.75" customHeight="1">
      <c r="O721" s="43"/>
      <c r="CG721" s="44"/>
      <c r="CH721" s="44"/>
      <c r="DA721" s="45"/>
      <c r="DB721" s="45"/>
      <c r="DC721" s="45"/>
      <c r="DD721" s="45"/>
      <c r="DE721" s="45"/>
      <c r="DF721" s="45"/>
      <c r="DG721" s="45"/>
      <c r="DH721" s="45"/>
      <c r="DM721" s="44"/>
      <c r="DN721" s="44"/>
    </row>
    <row r="722" ht="15.75" customHeight="1">
      <c r="O722" s="43"/>
      <c r="CG722" s="44"/>
      <c r="CH722" s="44"/>
      <c r="DA722" s="45"/>
      <c r="DB722" s="45"/>
      <c r="DC722" s="45"/>
      <c r="DD722" s="45"/>
      <c r="DE722" s="45"/>
      <c r="DF722" s="45"/>
      <c r="DG722" s="45"/>
      <c r="DH722" s="45"/>
      <c r="DM722" s="44"/>
      <c r="DN722" s="44"/>
    </row>
    <row r="723" ht="15.75" customHeight="1">
      <c r="O723" s="43"/>
      <c r="CG723" s="44"/>
      <c r="CH723" s="44"/>
      <c r="DA723" s="45"/>
      <c r="DB723" s="45"/>
      <c r="DC723" s="45"/>
      <c r="DD723" s="45"/>
      <c r="DE723" s="45"/>
      <c r="DF723" s="45"/>
      <c r="DG723" s="45"/>
      <c r="DH723" s="45"/>
      <c r="DM723" s="44"/>
      <c r="DN723" s="44"/>
    </row>
    <row r="724" ht="15.75" customHeight="1">
      <c r="O724" s="43"/>
      <c r="CG724" s="44"/>
      <c r="CH724" s="44"/>
      <c r="DA724" s="45"/>
      <c r="DB724" s="45"/>
      <c r="DC724" s="45"/>
      <c r="DD724" s="45"/>
      <c r="DE724" s="45"/>
      <c r="DF724" s="45"/>
      <c r="DG724" s="45"/>
      <c r="DH724" s="45"/>
      <c r="DM724" s="44"/>
      <c r="DN724" s="44"/>
    </row>
    <row r="725" ht="15.75" customHeight="1">
      <c r="O725" s="43"/>
      <c r="CG725" s="44"/>
      <c r="CH725" s="44"/>
      <c r="DA725" s="45"/>
      <c r="DB725" s="45"/>
      <c r="DC725" s="45"/>
      <c r="DD725" s="45"/>
      <c r="DE725" s="45"/>
      <c r="DF725" s="45"/>
      <c r="DG725" s="45"/>
      <c r="DH725" s="45"/>
      <c r="DM725" s="44"/>
      <c r="DN725" s="44"/>
    </row>
    <row r="726" ht="15.75" customHeight="1">
      <c r="O726" s="43"/>
      <c r="CG726" s="44"/>
      <c r="CH726" s="44"/>
      <c r="DA726" s="45"/>
      <c r="DB726" s="45"/>
      <c r="DC726" s="45"/>
      <c r="DD726" s="45"/>
      <c r="DE726" s="45"/>
      <c r="DF726" s="45"/>
      <c r="DG726" s="45"/>
      <c r="DH726" s="45"/>
      <c r="DM726" s="44"/>
      <c r="DN726" s="44"/>
    </row>
    <row r="727" ht="15.75" customHeight="1">
      <c r="O727" s="43"/>
      <c r="CG727" s="44"/>
      <c r="CH727" s="44"/>
      <c r="DA727" s="45"/>
      <c r="DB727" s="45"/>
      <c r="DC727" s="45"/>
      <c r="DD727" s="45"/>
      <c r="DE727" s="45"/>
      <c r="DF727" s="45"/>
      <c r="DG727" s="45"/>
      <c r="DH727" s="45"/>
      <c r="DM727" s="44"/>
      <c r="DN727" s="44"/>
    </row>
    <row r="728" ht="15.75" customHeight="1">
      <c r="O728" s="43"/>
      <c r="CG728" s="44"/>
      <c r="CH728" s="44"/>
      <c r="DA728" s="45"/>
      <c r="DB728" s="45"/>
      <c r="DC728" s="45"/>
      <c r="DD728" s="45"/>
      <c r="DE728" s="45"/>
      <c r="DF728" s="45"/>
      <c r="DG728" s="45"/>
      <c r="DH728" s="45"/>
      <c r="DM728" s="44"/>
      <c r="DN728" s="44"/>
    </row>
    <row r="729" ht="15.75" customHeight="1">
      <c r="O729" s="43"/>
      <c r="CG729" s="44"/>
      <c r="CH729" s="44"/>
      <c r="DA729" s="45"/>
      <c r="DB729" s="45"/>
      <c r="DC729" s="45"/>
      <c r="DD729" s="45"/>
      <c r="DE729" s="45"/>
      <c r="DF729" s="45"/>
      <c r="DG729" s="45"/>
      <c r="DH729" s="45"/>
      <c r="DM729" s="44"/>
      <c r="DN729" s="44"/>
    </row>
    <row r="730" ht="15.75" customHeight="1">
      <c r="O730" s="43"/>
      <c r="CG730" s="44"/>
      <c r="CH730" s="44"/>
      <c r="DA730" s="45"/>
      <c r="DB730" s="45"/>
      <c r="DC730" s="45"/>
      <c r="DD730" s="45"/>
      <c r="DE730" s="45"/>
      <c r="DF730" s="45"/>
      <c r="DG730" s="45"/>
      <c r="DH730" s="45"/>
      <c r="DM730" s="44"/>
      <c r="DN730" s="44"/>
    </row>
    <row r="731" ht="15.75" customHeight="1">
      <c r="O731" s="43"/>
      <c r="CG731" s="44"/>
      <c r="CH731" s="44"/>
      <c r="DA731" s="45"/>
      <c r="DB731" s="45"/>
      <c r="DC731" s="45"/>
      <c r="DD731" s="45"/>
      <c r="DE731" s="45"/>
      <c r="DF731" s="45"/>
      <c r="DG731" s="45"/>
      <c r="DH731" s="45"/>
      <c r="DM731" s="44"/>
      <c r="DN731" s="44"/>
    </row>
    <row r="732" ht="15.75" customHeight="1">
      <c r="O732" s="43"/>
      <c r="CG732" s="44"/>
      <c r="CH732" s="44"/>
      <c r="DA732" s="45"/>
      <c r="DB732" s="45"/>
      <c r="DC732" s="45"/>
      <c r="DD732" s="45"/>
      <c r="DE732" s="45"/>
      <c r="DF732" s="45"/>
      <c r="DG732" s="45"/>
      <c r="DH732" s="45"/>
      <c r="DM732" s="44"/>
      <c r="DN732" s="44"/>
    </row>
    <row r="733" ht="15.75" customHeight="1">
      <c r="O733" s="43"/>
      <c r="CG733" s="44"/>
      <c r="CH733" s="44"/>
      <c r="DA733" s="45"/>
      <c r="DB733" s="45"/>
      <c r="DC733" s="45"/>
      <c r="DD733" s="45"/>
      <c r="DE733" s="45"/>
      <c r="DF733" s="45"/>
      <c r="DG733" s="45"/>
      <c r="DH733" s="45"/>
      <c r="DM733" s="44"/>
      <c r="DN733" s="44"/>
    </row>
    <row r="734" ht="15.75" customHeight="1">
      <c r="O734" s="43"/>
      <c r="CG734" s="44"/>
      <c r="CH734" s="44"/>
      <c r="DA734" s="45"/>
      <c r="DB734" s="45"/>
      <c r="DC734" s="45"/>
      <c r="DD734" s="45"/>
      <c r="DE734" s="45"/>
      <c r="DF734" s="45"/>
      <c r="DG734" s="45"/>
      <c r="DH734" s="45"/>
      <c r="DM734" s="44"/>
      <c r="DN734" s="44"/>
    </row>
    <row r="735" ht="15.75" customHeight="1">
      <c r="O735" s="43"/>
      <c r="CG735" s="44"/>
      <c r="CH735" s="44"/>
      <c r="DA735" s="45"/>
      <c r="DB735" s="45"/>
      <c r="DC735" s="45"/>
      <c r="DD735" s="45"/>
      <c r="DE735" s="45"/>
      <c r="DF735" s="45"/>
      <c r="DG735" s="45"/>
      <c r="DH735" s="45"/>
      <c r="DM735" s="44"/>
      <c r="DN735" s="44"/>
    </row>
    <row r="736" ht="15.75" customHeight="1">
      <c r="O736" s="43"/>
      <c r="CG736" s="44"/>
      <c r="CH736" s="44"/>
      <c r="DA736" s="45"/>
      <c r="DB736" s="45"/>
      <c r="DC736" s="45"/>
      <c r="DD736" s="45"/>
      <c r="DE736" s="45"/>
      <c r="DF736" s="45"/>
      <c r="DG736" s="45"/>
      <c r="DH736" s="45"/>
      <c r="DM736" s="44"/>
      <c r="DN736" s="44"/>
    </row>
    <row r="737" ht="15.75" customHeight="1">
      <c r="O737" s="43"/>
      <c r="CG737" s="44"/>
      <c r="CH737" s="44"/>
      <c r="DA737" s="45"/>
      <c r="DB737" s="45"/>
      <c r="DC737" s="45"/>
      <c r="DD737" s="45"/>
      <c r="DE737" s="45"/>
      <c r="DF737" s="45"/>
      <c r="DG737" s="45"/>
      <c r="DH737" s="45"/>
      <c r="DM737" s="44"/>
      <c r="DN737" s="44"/>
    </row>
    <row r="738" ht="15.75" customHeight="1">
      <c r="O738" s="43"/>
      <c r="CG738" s="44"/>
      <c r="CH738" s="44"/>
      <c r="DA738" s="45"/>
      <c r="DB738" s="45"/>
      <c r="DC738" s="45"/>
      <c r="DD738" s="45"/>
      <c r="DE738" s="45"/>
      <c r="DF738" s="45"/>
      <c r="DG738" s="45"/>
      <c r="DH738" s="45"/>
      <c r="DM738" s="44"/>
      <c r="DN738" s="44"/>
    </row>
    <row r="739" ht="15.75" customHeight="1">
      <c r="O739" s="43"/>
      <c r="CG739" s="44"/>
      <c r="CH739" s="44"/>
      <c r="DA739" s="45"/>
      <c r="DB739" s="45"/>
      <c r="DC739" s="45"/>
      <c r="DD739" s="45"/>
      <c r="DE739" s="45"/>
      <c r="DF739" s="45"/>
      <c r="DG739" s="45"/>
      <c r="DH739" s="45"/>
      <c r="DM739" s="44"/>
      <c r="DN739" s="44"/>
    </row>
    <row r="740" ht="15.75" customHeight="1">
      <c r="O740" s="43"/>
      <c r="CG740" s="44"/>
      <c r="CH740" s="44"/>
      <c r="DA740" s="45"/>
      <c r="DB740" s="45"/>
      <c r="DC740" s="45"/>
      <c r="DD740" s="45"/>
      <c r="DE740" s="45"/>
      <c r="DF740" s="45"/>
      <c r="DG740" s="45"/>
      <c r="DH740" s="45"/>
      <c r="DM740" s="44"/>
      <c r="DN740" s="44"/>
    </row>
    <row r="741" ht="15.75" customHeight="1">
      <c r="O741" s="43"/>
      <c r="CG741" s="44"/>
      <c r="CH741" s="44"/>
      <c r="DA741" s="45"/>
      <c r="DB741" s="45"/>
      <c r="DC741" s="45"/>
      <c r="DD741" s="45"/>
      <c r="DE741" s="45"/>
      <c r="DF741" s="45"/>
      <c r="DG741" s="45"/>
      <c r="DH741" s="45"/>
      <c r="DM741" s="44"/>
      <c r="DN741" s="44"/>
    </row>
    <row r="742" ht="15.75" customHeight="1">
      <c r="O742" s="43"/>
      <c r="CG742" s="44"/>
      <c r="CH742" s="44"/>
      <c r="DA742" s="45"/>
      <c r="DB742" s="45"/>
      <c r="DC742" s="45"/>
      <c r="DD742" s="45"/>
      <c r="DE742" s="45"/>
      <c r="DF742" s="45"/>
      <c r="DG742" s="45"/>
      <c r="DH742" s="45"/>
      <c r="DM742" s="44"/>
      <c r="DN742" s="44"/>
    </row>
    <row r="743" ht="15.75" customHeight="1">
      <c r="O743" s="43"/>
      <c r="CG743" s="44"/>
      <c r="CH743" s="44"/>
      <c r="DA743" s="45"/>
      <c r="DB743" s="45"/>
      <c r="DC743" s="45"/>
      <c r="DD743" s="45"/>
      <c r="DE743" s="45"/>
      <c r="DF743" s="45"/>
      <c r="DG743" s="45"/>
      <c r="DH743" s="45"/>
      <c r="DM743" s="44"/>
      <c r="DN743" s="44"/>
    </row>
    <row r="744" ht="15.75" customHeight="1">
      <c r="O744" s="43"/>
      <c r="CG744" s="44"/>
      <c r="CH744" s="44"/>
      <c r="DA744" s="45"/>
      <c r="DB744" s="45"/>
      <c r="DC744" s="45"/>
      <c r="DD744" s="45"/>
      <c r="DE744" s="45"/>
      <c r="DF744" s="45"/>
      <c r="DG744" s="45"/>
      <c r="DH744" s="45"/>
      <c r="DM744" s="44"/>
      <c r="DN744" s="44"/>
    </row>
    <row r="745" ht="15.75" customHeight="1">
      <c r="O745" s="43"/>
      <c r="CG745" s="44"/>
      <c r="CH745" s="44"/>
      <c r="DA745" s="45"/>
      <c r="DB745" s="45"/>
      <c r="DC745" s="45"/>
      <c r="DD745" s="45"/>
      <c r="DE745" s="45"/>
      <c r="DF745" s="45"/>
      <c r="DG745" s="45"/>
      <c r="DH745" s="45"/>
      <c r="DM745" s="44"/>
      <c r="DN745" s="44"/>
    </row>
    <row r="746" ht="15.75" customHeight="1">
      <c r="O746" s="43"/>
      <c r="CG746" s="44"/>
      <c r="CH746" s="44"/>
      <c r="DA746" s="45"/>
      <c r="DB746" s="45"/>
      <c r="DC746" s="45"/>
      <c r="DD746" s="45"/>
      <c r="DE746" s="45"/>
      <c r="DF746" s="45"/>
      <c r="DG746" s="45"/>
      <c r="DH746" s="45"/>
      <c r="DM746" s="44"/>
      <c r="DN746" s="44"/>
    </row>
    <row r="747" ht="15.75" customHeight="1">
      <c r="O747" s="43"/>
      <c r="CG747" s="44"/>
      <c r="CH747" s="44"/>
      <c r="DA747" s="45"/>
      <c r="DB747" s="45"/>
      <c r="DC747" s="45"/>
      <c r="DD747" s="45"/>
      <c r="DE747" s="45"/>
      <c r="DF747" s="45"/>
      <c r="DG747" s="45"/>
      <c r="DH747" s="45"/>
      <c r="DM747" s="44"/>
      <c r="DN747" s="44"/>
    </row>
    <row r="748" ht="15.75" customHeight="1">
      <c r="O748" s="43"/>
      <c r="CG748" s="44"/>
      <c r="CH748" s="44"/>
      <c r="DA748" s="45"/>
      <c r="DB748" s="45"/>
      <c r="DC748" s="45"/>
      <c r="DD748" s="45"/>
      <c r="DE748" s="45"/>
      <c r="DF748" s="45"/>
      <c r="DG748" s="45"/>
      <c r="DH748" s="45"/>
      <c r="DM748" s="44"/>
      <c r="DN748" s="44"/>
    </row>
    <row r="749" ht="15.75" customHeight="1">
      <c r="O749" s="43"/>
      <c r="CG749" s="44"/>
      <c r="CH749" s="44"/>
      <c r="DA749" s="45"/>
      <c r="DB749" s="45"/>
      <c r="DC749" s="45"/>
      <c r="DD749" s="45"/>
      <c r="DE749" s="45"/>
      <c r="DF749" s="45"/>
      <c r="DG749" s="45"/>
      <c r="DH749" s="45"/>
      <c r="DM749" s="44"/>
      <c r="DN749" s="44"/>
    </row>
    <row r="750" ht="15.75" customHeight="1">
      <c r="O750" s="43"/>
      <c r="CG750" s="44"/>
      <c r="CH750" s="44"/>
      <c r="DA750" s="45"/>
      <c r="DB750" s="45"/>
      <c r="DC750" s="45"/>
      <c r="DD750" s="45"/>
      <c r="DE750" s="45"/>
      <c r="DF750" s="45"/>
      <c r="DG750" s="45"/>
      <c r="DH750" s="45"/>
      <c r="DM750" s="44"/>
      <c r="DN750" s="44"/>
    </row>
    <row r="751" ht="15.75" customHeight="1">
      <c r="O751" s="43"/>
      <c r="CG751" s="44"/>
      <c r="CH751" s="44"/>
      <c r="DA751" s="45"/>
      <c r="DB751" s="45"/>
      <c r="DC751" s="45"/>
      <c r="DD751" s="45"/>
      <c r="DE751" s="45"/>
      <c r="DF751" s="45"/>
      <c r="DG751" s="45"/>
      <c r="DH751" s="45"/>
      <c r="DM751" s="44"/>
      <c r="DN751" s="44"/>
    </row>
    <row r="752" ht="15.75" customHeight="1">
      <c r="O752" s="43"/>
      <c r="CG752" s="44"/>
      <c r="CH752" s="44"/>
      <c r="DA752" s="45"/>
      <c r="DB752" s="45"/>
      <c r="DC752" s="45"/>
      <c r="DD752" s="45"/>
      <c r="DE752" s="45"/>
      <c r="DF752" s="45"/>
      <c r="DG752" s="45"/>
      <c r="DH752" s="45"/>
      <c r="DM752" s="44"/>
      <c r="DN752" s="44"/>
    </row>
    <row r="753" ht="15.75" customHeight="1">
      <c r="O753" s="43"/>
      <c r="CG753" s="44"/>
      <c r="CH753" s="44"/>
      <c r="DA753" s="45"/>
      <c r="DB753" s="45"/>
      <c r="DC753" s="45"/>
      <c r="DD753" s="45"/>
      <c r="DE753" s="45"/>
      <c r="DF753" s="45"/>
      <c r="DG753" s="45"/>
      <c r="DH753" s="45"/>
      <c r="DM753" s="44"/>
      <c r="DN753" s="44"/>
    </row>
    <row r="754" ht="15.75" customHeight="1">
      <c r="O754" s="43"/>
      <c r="CG754" s="44"/>
      <c r="CH754" s="44"/>
      <c r="DA754" s="45"/>
      <c r="DB754" s="45"/>
      <c r="DC754" s="45"/>
      <c r="DD754" s="45"/>
      <c r="DE754" s="45"/>
      <c r="DF754" s="45"/>
      <c r="DG754" s="45"/>
      <c r="DH754" s="45"/>
      <c r="DM754" s="44"/>
      <c r="DN754" s="44"/>
    </row>
    <row r="755" ht="15.75" customHeight="1">
      <c r="O755" s="43"/>
      <c r="CG755" s="44"/>
      <c r="CH755" s="44"/>
      <c r="DA755" s="45"/>
      <c r="DB755" s="45"/>
      <c r="DC755" s="45"/>
      <c r="DD755" s="45"/>
      <c r="DE755" s="45"/>
      <c r="DF755" s="45"/>
      <c r="DG755" s="45"/>
      <c r="DH755" s="45"/>
      <c r="DM755" s="44"/>
      <c r="DN755" s="44"/>
    </row>
    <row r="756" ht="15.75" customHeight="1">
      <c r="O756" s="43"/>
      <c r="CG756" s="44"/>
      <c r="CH756" s="44"/>
      <c r="DA756" s="45"/>
      <c r="DB756" s="45"/>
      <c r="DC756" s="45"/>
      <c r="DD756" s="45"/>
      <c r="DE756" s="45"/>
      <c r="DF756" s="45"/>
      <c r="DG756" s="45"/>
      <c r="DH756" s="45"/>
      <c r="DM756" s="44"/>
      <c r="DN756" s="44"/>
    </row>
    <row r="757" ht="15.75" customHeight="1">
      <c r="O757" s="43"/>
      <c r="CG757" s="44"/>
      <c r="CH757" s="44"/>
      <c r="DA757" s="45"/>
      <c r="DB757" s="45"/>
      <c r="DC757" s="45"/>
      <c r="DD757" s="45"/>
      <c r="DE757" s="45"/>
      <c r="DF757" s="45"/>
      <c r="DG757" s="45"/>
      <c r="DH757" s="45"/>
      <c r="DM757" s="44"/>
      <c r="DN757" s="44"/>
    </row>
    <row r="758" ht="15.75" customHeight="1">
      <c r="O758" s="43"/>
      <c r="CG758" s="44"/>
      <c r="CH758" s="44"/>
      <c r="DA758" s="45"/>
      <c r="DB758" s="45"/>
      <c r="DC758" s="45"/>
      <c r="DD758" s="45"/>
      <c r="DE758" s="45"/>
      <c r="DF758" s="45"/>
      <c r="DG758" s="45"/>
      <c r="DH758" s="45"/>
      <c r="DM758" s="44"/>
      <c r="DN758" s="44"/>
    </row>
    <row r="759" ht="15.75" customHeight="1">
      <c r="O759" s="43"/>
      <c r="CG759" s="44"/>
      <c r="CH759" s="44"/>
      <c r="DA759" s="45"/>
      <c r="DB759" s="45"/>
      <c r="DC759" s="45"/>
      <c r="DD759" s="45"/>
      <c r="DE759" s="45"/>
      <c r="DF759" s="45"/>
      <c r="DG759" s="45"/>
      <c r="DH759" s="45"/>
      <c r="DM759" s="44"/>
      <c r="DN759" s="44"/>
    </row>
    <row r="760" ht="15.75" customHeight="1">
      <c r="O760" s="43"/>
      <c r="CG760" s="44"/>
      <c r="CH760" s="44"/>
      <c r="DA760" s="45"/>
      <c r="DB760" s="45"/>
      <c r="DC760" s="45"/>
      <c r="DD760" s="45"/>
      <c r="DE760" s="45"/>
      <c r="DF760" s="45"/>
      <c r="DG760" s="45"/>
      <c r="DH760" s="45"/>
      <c r="DM760" s="44"/>
      <c r="DN760" s="44"/>
    </row>
    <row r="761" ht="15.75" customHeight="1">
      <c r="O761" s="43"/>
      <c r="CG761" s="44"/>
      <c r="CH761" s="44"/>
      <c r="DA761" s="45"/>
      <c r="DB761" s="45"/>
      <c r="DC761" s="45"/>
      <c r="DD761" s="45"/>
      <c r="DE761" s="45"/>
      <c r="DF761" s="45"/>
      <c r="DG761" s="45"/>
      <c r="DH761" s="45"/>
      <c r="DM761" s="44"/>
      <c r="DN761" s="44"/>
    </row>
    <row r="762" ht="15.75" customHeight="1">
      <c r="O762" s="43"/>
      <c r="CG762" s="44"/>
      <c r="CH762" s="44"/>
      <c r="DA762" s="45"/>
      <c r="DB762" s="45"/>
      <c r="DC762" s="45"/>
      <c r="DD762" s="45"/>
      <c r="DE762" s="45"/>
      <c r="DF762" s="45"/>
      <c r="DG762" s="45"/>
      <c r="DH762" s="45"/>
      <c r="DM762" s="44"/>
      <c r="DN762" s="44"/>
    </row>
    <row r="763" ht="15.75" customHeight="1">
      <c r="O763" s="43"/>
      <c r="CG763" s="44"/>
      <c r="CH763" s="44"/>
      <c r="DA763" s="45"/>
      <c r="DB763" s="45"/>
      <c r="DC763" s="45"/>
      <c r="DD763" s="45"/>
      <c r="DE763" s="45"/>
      <c r="DF763" s="45"/>
      <c r="DG763" s="45"/>
      <c r="DH763" s="45"/>
      <c r="DM763" s="44"/>
      <c r="DN763" s="44"/>
    </row>
    <row r="764" ht="15.75" customHeight="1">
      <c r="O764" s="43"/>
      <c r="CG764" s="44"/>
      <c r="CH764" s="44"/>
      <c r="DA764" s="45"/>
      <c r="DB764" s="45"/>
      <c r="DC764" s="45"/>
      <c r="DD764" s="45"/>
      <c r="DE764" s="45"/>
      <c r="DF764" s="45"/>
      <c r="DG764" s="45"/>
      <c r="DH764" s="45"/>
      <c r="DM764" s="44"/>
      <c r="DN764" s="44"/>
    </row>
    <row r="765" ht="15.75" customHeight="1">
      <c r="O765" s="43"/>
      <c r="CG765" s="44"/>
      <c r="CH765" s="44"/>
      <c r="DA765" s="45"/>
      <c r="DB765" s="45"/>
      <c r="DC765" s="45"/>
      <c r="DD765" s="45"/>
      <c r="DE765" s="45"/>
      <c r="DF765" s="45"/>
      <c r="DG765" s="45"/>
      <c r="DH765" s="45"/>
      <c r="DM765" s="44"/>
      <c r="DN765" s="44"/>
    </row>
    <row r="766" ht="15.75" customHeight="1">
      <c r="O766" s="43"/>
      <c r="CG766" s="44"/>
      <c r="CH766" s="44"/>
      <c r="DA766" s="45"/>
      <c r="DB766" s="45"/>
      <c r="DC766" s="45"/>
      <c r="DD766" s="45"/>
      <c r="DE766" s="45"/>
      <c r="DF766" s="45"/>
      <c r="DG766" s="45"/>
      <c r="DH766" s="45"/>
      <c r="DM766" s="44"/>
      <c r="DN766" s="44"/>
    </row>
    <row r="767" ht="15.75" customHeight="1">
      <c r="O767" s="43"/>
      <c r="CG767" s="44"/>
      <c r="CH767" s="44"/>
      <c r="DA767" s="45"/>
      <c r="DB767" s="45"/>
      <c r="DC767" s="45"/>
      <c r="DD767" s="45"/>
      <c r="DE767" s="45"/>
      <c r="DF767" s="45"/>
      <c r="DG767" s="45"/>
      <c r="DH767" s="45"/>
      <c r="DM767" s="44"/>
      <c r="DN767" s="44"/>
    </row>
    <row r="768" ht="15.75" customHeight="1">
      <c r="O768" s="43"/>
      <c r="CG768" s="44"/>
      <c r="CH768" s="44"/>
      <c r="DA768" s="45"/>
      <c r="DB768" s="45"/>
      <c r="DC768" s="45"/>
      <c r="DD768" s="45"/>
      <c r="DE768" s="45"/>
      <c r="DF768" s="45"/>
      <c r="DG768" s="45"/>
      <c r="DH768" s="45"/>
      <c r="DM768" s="44"/>
      <c r="DN768" s="44"/>
    </row>
    <row r="769" ht="15.75" customHeight="1">
      <c r="O769" s="43"/>
      <c r="CG769" s="44"/>
      <c r="CH769" s="44"/>
      <c r="DA769" s="45"/>
      <c r="DB769" s="45"/>
      <c r="DC769" s="45"/>
      <c r="DD769" s="45"/>
      <c r="DE769" s="45"/>
      <c r="DF769" s="45"/>
      <c r="DG769" s="45"/>
      <c r="DH769" s="45"/>
      <c r="DM769" s="44"/>
      <c r="DN769" s="44"/>
    </row>
    <row r="770" ht="15.75" customHeight="1">
      <c r="O770" s="43"/>
      <c r="CG770" s="44"/>
      <c r="CH770" s="44"/>
      <c r="DA770" s="45"/>
      <c r="DB770" s="45"/>
      <c r="DC770" s="45"/>
      <c r="DD770" s="45"/>
      <c r="DE770" s="45"/>
      <c r="DF770" s="45"/>
      <c r="DG770" s="45"/>
      <c r="DH770" s="45"/>
      <c r="DM770" s="44"/>
      <c r="DN770" s="44"/>
    </row>
    <row r="771" ht="15.75" customHeight="1">
      <c r="O771" s="43"/>
      <c r="CG771" s="44"/>
      <c r="CH771" s="44"/>
      <c r="DA771" s="45"/>
      <c r="DB771" s="45"/>
      <c r="DC771" s="45"/>
      <c r="DD771" s="45"/>
      <c r="DE771" s="45"/>
      <c r="DF771" s="45"/>
      <c r="DG771" s="45"/>
      <c r="DH771" s="45"/>
      <c r="DM771" s="44"/>
      <c r="DN771" s="44"/>
    </row>
    <row r="772" ht="15.75" customHeight="1">
      <c r="O772" s="43"/>
      <c r="CG772" s="44"/>
      <c r="CH772" s="44"/>
      <c r="DA772" s="45"/>
      <c r="DB772" s="45"/>
      <c r="DC772" s="45"/>
      <c r="DD772" s="45"/>
      <c r="DE772" s="45"/>
      <c r="DF772" s="45"/>
      <c r="DG772" s="45"/>
      <c r="DH772" s="45"/>
      <c r="DM772" s="44"/>
      <c r="DN772" s="44"/>
    </row>
    <row r="773" ht="15.75" customHeight="1">
      <c r="O773" s="43"/>
      <c r="CG773" s="44"/>
      <c r="CH773" s="44"/>
      <c r="DA773" s="45"/>
      <c r="DB773" s="45"/>
      <c r="DC773" s="45"/>
      <c r="DD773" s="45"/>
      <c r="DE773" s="45"/>
      <c r="DF773" s="45"/>
      <c r="DG773" s="45"/>
      <c r="DH773" s="45"/>
      <c r="DM773" s="44"/>
      <c r="DN773" s="44"/>
    </row>
    <row r="774" ht="15.75" customHeight="1">
      <c r="O774" s="43"/>
      <c r="CG774" s="44"/>
      <c r="CH774" s="44"/>
      <c r="DA774" s="45"/>
      <c r="DB774" s="45"/>
      <c r="DC774" s="45"/>
      <c r="DD774" s="45"/>
      <c r="DE774" s="45"/>
      <c r="DF774" s="45"/>
      <c r="DG774" s="45"/>
      <c r="DH774" s="45"/>
      <c r="DM774" s="44"/>
      <c r="DN774" s="44"/>
    </row>
    <row r="775" ht="15.75" customHeight="1">
      <c r="O775" s="43"/>
      <c r="CG775" s="44"/>
      <c r="CH775" s="44"/>
      <c r="DA775" s="45"/>
      <c r="DB775" s="45"/>
      <c r="DC775" s="45"/>
      <c r="DD775" s="45"/>
      <c r="DE775" s="45"/>
      <c r="DF775" s="45"/>
      <c r="DG775" s="45"/>
      <c r="DH775" s="45"/>
      <c r="DM775" s="44"/>
      <c r="DN775" s="44"/>
    </row>
    <row r="776" ht="15.75" customHeight="1">
      <c r="O776" s="43"/>
      <c r="CG776" s="44"/>
      <c r="CH776" s="44"/>
      <c r="DA776" s="45"/>
      <c r="DB776" s="45"/>
      <c r="DC776" s="45"/>
      <c r="DD776" s="45"/>
      <c r="DE776" s="45"/>
      <c r="DF776" s="45"/>
      <c r="DG776" s="45"/>
      <c r="DH776" s="45"/>
      <c r="DM776" s="44"/>
      <c r="DN776" s="44"/>
    </row>
    <row r="777" ht="15.75" customHeight="1">
      <c r="O777" s="43"/>
      <c r="CG777" s="44"/>
      <c r="CH777" s="44"/>
      <c r="DA777" s="45"/>
      <c r="DB777" s="45"/>
      <c r="DC777" s="45"/>
      <c r="DD777" s="45"/>
      <c r="DE777" s="45"/>
      <c r="DF777" s="45"/>
      <c r="DG777" s="45"/>
      <c r="DH777" s="45"/>
      <c r="DM777" s="44"/>
      <c r="DN777" s="44"/>
    </row>
    <row r="778" ht="15.75" customHeight="1">
      <c r="O778" s="43"/>
      <c r="CG778" s="44"/>
      <c r="CH778" s="44"/>
      <c r="DA778" s="45"/>
      <c r="DB778" s="45"/>
      <c r="DC778" s="45"/>
      <c r="DD778" s="45"/>
      <c r="DE778" s="45"/>
      <c r="DF778" s="45"/>
      <c r="DG778" s="45"/>
      <c r="DH778" s="45"/>
      <c r="DM778" s="44"/>
      <c r="DN778" s="44"/>
    </row>
    <row r="779" ht="15.75" customHeight="1">
      <c r="O779" s="43"/>
      <c r="CG779" s="44"/>
      <c r="CH779" s="44"/>
      <c r="DA779" s="45"/>
      <c r="DB779" s="45"/>
      <c r="DC779" s="45"/>
      <c r="DD779" s="45"/>
      <c r="DE779" s="45"/>
      <c r="DF779" s="45"/>
      <c r="DG779" s="45"/>
      <c r="DH779" s="45"/>
      <c r="DM779" s="44"/>
      <c r="DN779" s="44"/>
    </row>
    <row r="780" ht="15.75" customHeight="1">
      <c r="O780" s="43"/>
      <c r="CG780" s="44"/>
      <c r="CH780" s="44"/>
      <c r="DA780" s="45"/>
      <c r="DB780" s="45"/>
      <c r="DC780" s="45"/>
      <c r="DD780" s="45"/>
      <c r="DE780" s="45"/>
      <c r="DF780" s="45"/>
      <c r="DG780" s="45"/>
      <c r="DH780" s="45"/>
      <c r="DM780" s="44"/>
      <c r="DN780" s="44"/>
    </row>
    <row r="781" ht="15.75" customHeight="1">
      <c r="O781" s="43"/>
      <c r="CG781" s="44"/>
      <c r="CH781" s="44"/>
      <c r="DA781" s="45"/>
      <c r="DB781" s="45"/>
      <c r="DC781" s="45"/>
      <c r="DD781" s="45"/>
      <c r="DE781" s="45"/>
      <c r="DF781" s="45"/>
      <c r="DG781" s="45"/>
      <c r="DH781" s="45"/>
      <c r="DM781" s="44"/>
      <c r="DN781" s="44"/>
    </row>
    <row r="782" ht="15.75" customHeight="1">
      <c r="O782" s="43"/>
      <c r="CG782" s="44"/>
      <c r="CH782" s="44"/>
      <c r="DA782" s="45"/>
      <c r="DB782" s="45"/>
      <c r="DC782" s="45"/>
      <c r="DD782" s="45"/>
      <c r="DE782" s="45"/>
      <c r="DF782" s="45"/>
      <c r="DG782" s="45"/>
      <c r="DH782" s="45"/>
      <c r="DM782" s="44"/>
      <c r="DN782" s="44"/>
    </row>
    <row r="783" ht="15.75" customHeight="1">
      <c r="O783" s="43"/>
      <c r="CG783" s="44"/>
      <c r="CH783" s="44"/>
      <c r="DA783" s="45"/>
      <c r="DB783" s="45"/>
      <c r="DC783" s="45"/>
      <c r="DD783" s="45"/>
      <c r="DE783" s="45"/>
      <c r="DF783" s="45"/>
      <c r="DG783" s="45"/>
      <c r="DH783" s="45"/>
      <c r="DM783" s="44"/>
      <c r="DN783" s="44"/>
    </row>
    <row r="784" ht="15.75" customHeight="1">
      <c r="O784" s="43"/>
      <c r="CG784" s="44"/>
      <c r="CH784" s="44"/>
      <c r="DA784" s="45"/>
      <c r="DB784" s="45"/>
      <c r="DC784" s="45"/>
      <c r="DD784" s="45"/>
      <c r="DE784" s="45"/>
      <c r="DF784" s="45"/>
      <c r="DG784" s="45"/>
      <c r="DH784" s="45"/>
      <c r="DM784" s="44"/>
      <c r="DN784" s="44"/>
    </row>
    <row r="785" ht="15.75" customHeight="1">
      <c r="O785" s="43"/>
      <c r="CG785" s="44"/>
      <c r="CH785" s="44"/>
      <c r="DA785" s="45"/>
      <c r="DB785" s="45"/>
      <c r="DC785" s="45"/>
      <c r="DD785" s="45"/>
      <c r="DE785" s="45"/>
      <c r="DF785" s="45"/>
      <c r="DG785" s="45"/>
      <c r="DH785" s="45"/>
      <c r="DM785" s="44"/>
      <c r="DN785" s="44"/>
    </row>
    <row r="786" ht="15.75" customHeight="1">
      <c r="O786" s="43"/>
      <c r="CG786" s="44"/>
      <c r="CH786" s="44"/>
      <c r="DA786" s="45"/>
      <c r="DB786" s="45"/>
      <c r="DC786" s="45"/>
      <c r="DD786" s="45"/>
      <c r="DE786" s="45"/>
      <c r="DF786" s="45"/>
      <c r="DG786" s="45"/>
      <c r="DH786" s="45"/>
      <c r="DM786" s="44"/>
      <c r="DN786" s="44"/>
    </row>
    <row r="787" ht="15.75" customHeight="1">
      <c r="O787" s="43"/>
      <c r="CG787" s="44"/>
      <c r="CH787" s="44"/>
      <c r="DA787" s="45"/>
      <c r="DB787" s="45"/>
      <c r="DC787" s="45"/>
      <c r="DD787" s="45"/>
      <c r="DE787" s="45"/>
      <c r="DF787" s="45"/>
      <c r="DG787" s="45"/>
      <c r="DH787" s="45"/>
      <c r="DM787" s="44"/>
      <c r="DN787" s="44"/>
    </row>
    <row r="788" ht="15.75" customHeight="1">
      <c r="O788" s="43"/>
      <c r="CG788" s="44"/>
      <c r="CH788" s="44"/>
      <c r="DA788" s="45"/>
      <c r="DB788" s="45"/>
      <c r="DC788" s="45"/>
      <c r="DD788" s="45"/>
      <c r="DE788" s="45"/>
      <c r="DF788" s="45"/>
      <c r="DG788" s="45"/>
      <c r="DH788" s="45"/>
      <c r="DM788" s="44"/>
      <c r="DN788" s="44"/>
    </row>
    <row r="789" ht="15.75" customHeight="1">
      <c r="O789" s="43"/>
      <c r="CG789" s="44"/>
      <c r="CH789" s="44"/>
      <c r="DA789" s="45"/>
      <c r="DB789" s="45"/>
      <c r="DC789" s="45"/>
      <c r="DD789" s="45"/>
      <c r="DE789" s="45"/>
      <c r="DF789" s="45"/>
      <c r="DG789" s="45"/>
      <c r="DH789" s="45"/>
      <c r="DM789" s="44"/>
      <c r="DN789" s="44"/>
    </row>
    <row r="790" ht="15.75" customHeight="1">
      <c r="O790" s="43"/>
      <c r="CG790" s="44"/>
      <c r="CH790" s="44"/>
      <c r="DA790" s="45"/>
      <c r="DB790" s="45"/>
      <c r="DC790" s="45"/>
      <c r="DD790" s="45"/>
      <c r="DE790" s="45"/>
      <c r="DF790" s="45"/>
      <c r="DG790" s="45"/>
      <c r="DH790" s="45"/>
      <c r="DM790" s="44"/>
      <c r="DN790" s="44"/>
    </row>
    <row r="791" ht="15.75" customHeight="1">
      <c r="O791" s="43"/>
      <c r="CG791" s="44"/>
      <c r="CH791" s="44"/>
      <c r="DA791" s="45"/>
      <c r="DB791" s="45"/>
      <c r="DC791" s="45"/>
      <c r="DD791" s="45"/>
      <c r="DE791" s="45"/>
      <c r="DF791" s="45"/>
      <c r="DG791" s="45"/>
      <c r="DH791" s="45"/>
      <c r="DM791" s="44"/>
      <c r="DN791" s="44"/>
    </row>
    <row r="792" ht="15.75" customHeight="1">
      <c r="O792" s="43"/>
      <c r="CG792" s="44"/>
      <c r="CH792" s="44"/>
      <c r="DA792" s="45"/>
      <c r="DB792" s="45"/>
      <c r="DC792" s="45"/>
      <c r="DD792" s="45"/>
      <c r="DE792" s="45"/>
      <c r="DF792" s="45"/>
      <c r="DG792" s="45"/>
      <c r="DH792" s="45"/>
      <c r="DM792" s="44"/>
      <c r="DN792" s="44"/>
    </row>
    <row r="793" ht="15.75" customHeight="1">
      <c r="O793" s="43"/>
      <c r="CG793" s="44"/>
      <c r="CH793" s="44"/>
      <c r="DA793" s="45"/>
      <c r="DB793" s="45"/>
      <c r="DC793" s="45"/>
      <c r="DD793" s="45"/>
      <c r="DE793" s="45"/>
      <c r="DF793" s="45"/>
      <c r="DG793" s="45"/>
      <c r="DH793" s="45"/>
      <c r="DM793" s="44"/>
      <c r="DN793" s="44"/>
    </row>
    <row r="794" ht="15.75" customHeight="1">
      <c r="O794" s="43"/>
      <c r="CG794" s="44"/>
      <c r="CH794" s="44"/>
      <c r="DA794" s="45"/>
      <c r="DB794" s="45"/>
      <c r="DC794" s="45"/>
      <c r="DD794" s="45"/>
      <c r="DE794" s="45"/>
      <c r="DF794" s="45"/>
      <c r="DG794" s="45"/>
      <c r="DH794" s="45"/>
      <c r="DM794" s="44"/>
      <c r="DN794" s="44"/>
    </row>
    <row r="795" ht="15.75" customHeight="1">
      <c r="O795" s="43"/>
      <c r="CG795" s="44"/>
      <c r="CH795" s="44"/>
      <c r="DA795" s="45"/>
      <c r="DB795" s="45"/>
      <c r="DC795" s="45"/>
      <c r="DD795" s="45"/>
      <c r="DE795" s="45"/>
      <c r="DF795" s="45"/>
      <c r="DG795" s="45"/>
      <c r="DH795" s="45"/>
      <c r="DM795" s="44"/>
      <c r="DN795" s="44"/>
    </row>
    <row r="796" ht="15.75" customHeight="1">
      <c r="O796" s="43"/>
      <c r="CG796" s="44"/>
      <c r="CH796" s="44"/>
      <c r="DA796" s="45"/>
      <c r="DB796" s="45"/>
      <c r="DC796" s="45"/>
      <c r="DD796" s="45"/>
      <c r="DE796" s="45"/>
      <c r="DF796" s="45"/>
      <c r="DG796" s="45"/>
      <c r="DH796" s="45"/>
      <c r="DM796" s="44"/>
      <c r="DN796" s="44"/>
    </row>
    <row r="797" ht="15.75" customHeight="1">
      <c r="O797" s="43"/>
      <c r="CG797" s="44"/>
      <c r="CH797" s="44"/>
      <c r="DA797" s="45"/>
      <c r="DB797" s="45"/>
      <c r="DC797" s="45"/>
      <c r="DD797" s="45"/>
      <c r="DE797" s="45"/>
      <c r="DF797" s="45"/>
      <c r="DG797" s="45"/>
      <c r="DH797" s="45"/>
      <c r="DM797" s="44"/>
      <c r="DN797" s="44"/>
    </row>
    <row r="798" ht="15.75" customHeight="1">
      <c r="O798" s="43"/>
      <c r="CG798" s="44"/>
      <c r="CH798" s="44"/>
      <c r="DA798" s="45"/>
      <c r="DB798" s="45"/>
      <c r="DC798" s="45"/>
      <c r="DD798" s="45"/>
      <c r="DE798" s="45"/>
      <c r="DF798" s="45"/>
      <c r="DG798" s="45"/>
      <c r="DH798" s="45"/>
      <c r="DM798" s="44"/>
      <c r="DN798" s="44"/>
    </row>
    <row r="799" ht="15.75" customHeight="1">
      <c r="O799" s="43"/>
      <c r="CG799" s="44"/>
      <c r="CH799" s="44"/>
      <c r="DA799" s="45"/>
      <c r="DB799" s="45"/>
      <c r="DC799" s="45"/>
      <c r="DD799" s="45"/>
      <c r="DE799" s="45"/>
      <c r="DF799" s="45"/>
      <c r="DG799" s="45"/>
      <c r="DH799" s="45"/>
      <c r="DM799" s="44"/>
      <c r="DN799" s="44"/>
    </row>
    <row r="800" ht="15.75" customHeight="1">
      <c r="O800" s="43"/>
      <c r="CG800" s="44"/>
      <c r="CH800" s="44"/>
      <c r="DA800" s="45"/>
      <c r="DB800" s="45"/>
      <c r="DC800" s="45"/>
      <c r="DD800" s="45"/>
      <c r="DE800" s="45"/>
      <c r="DF800" s="45"/>
      <c r="DG800" s="45"/>
      <c r="DH800" s="45"/>
      <c r="DM800" s="44"/>
      <c r="DN800" s="44"/>
    </row>
    <row r="801" ht="15.75" customHeight="1">
      <c r="O801" s="43"/>
      <c r="CG801" s="44"/>
      <c r="CH801" s="44"/>
      <c r="DA801" s="45"/>
      <c r="DB801" s="45"/>
      <c r="DC801" s="45"/>
      <c r="DD801" s="45"/>
      <c r="DE801" s="45"/>
      <c r="DF801" s="45"/>
      <c r="DG801" s="45"/>
      <c r="DH801" s="45"/>
      <c r="DM801" s="44"/>
      <c r="DN801" s="44"/>
    </row>
    <row r="802" ht="15.75" customHeight="1">
      <c r="O802" s="43"/>
      <c r="CG802" s="44"/>
      <c r="CH802" s="44"/>
      <c r="DA802" s="45"/>
      <c r="DB802" s="45"/>
      <c r="DC802" s="45"/>
      <c r="DD802" s="45"/>
      <c r="DE802" s="45"/>
      <c r="DF802" s="45"/>
      <c r="DG802" s="45"/>
      <c r="DH802" s="45"/>
      <c r="DM802" s="44"/>
      <c r="DN802" s="44"/>
    </row>
    <row r="803" ht="15.75" customHeight="1">
      <c r="O803" s="43"/>
      <c r="CG803" s="44"/>
      <c r="CH803" s="44"/>
      <c r="DA803" s="45"/>
      <c r="DB803" s="45"/>
      <c r="DC803" s="45"/>
      <c r="DD803" s="45"/>
      <c r="DE803" s="45"/>
      <c r="DF803" s="45"/>
      <c r="DG803" s="45"/>
      <c r="DH803" s="45"/>
      <c r="DM803" s="44"/>
      <c r="DN803" s="44"/>
    </row>
    <row r="804" ht="15.75" customHeight="1">
      <c r="O804" s="43"/>
      <c r="CG804" s="44"/>
      <c r="CH804" s="44"/>
      <c r="DA804" s="45"/>
      <c r="DB804" s="45"/>
      <c r="DC804" s="45"/>
      <c r="DD804" s="45"/>
      <c r="DE804" s="45"/>
      <c r="DF804" s="45"/>
      <c r="DG804" s="45"/>
      <c r="DH804" s="45"/>
      <c r="DM804" s="44"/>
      <c r="DN804" s="44"/>
    </row>
    <row r="805" ht="15.75" customHeight="1">
      <c r="O805" s="43"/>
      <c r="CG805" s="44"/>
      <c r="CH805" s="44"/>
      <c r="DA805" s="45"/>
      <c r="DB805" s="45"/>
      <c r="DC805" s="45"/>
      <c r="DD805" s="45"/>
      <c r="DE805" s="45"/>
      <c r="DF805" s="45"/>
      <c r="DG805" s="45"/>
      <c r="DH805" s="45"/>
      <c r="DM805" s="44"/>
      <c r="DN805" s="44"/>
    </row>
    <row r="806" ht="15.75" customHeight="1">
      <c r="O806" s="43"/>
      <c r="CG806" s="44"/>
      <c r="CH806" s="44"/>
      <c r="DA806" s="45"/>
      <c r="DB806" s="45"/>
      <c r="DC806" s="45"/>
      <c r="DD806" s="45"/>
      <c r="DE806" s="45"/>
      <c r="DF806" s="45"/>
      <c r="DG806" s="45"/>
      <c r="DH806" s="45"/>
      <c r="DM806" s="44"/>
      <c r="DN806" s="44"/>
    </row>
    <row r="807" ht="15.75" customHeight="1">
      <c r="O807" s="43"/>
      <c r="CG807" s="44"/>
      <c r="CH807" s="44"/>
      <c r="DA807" s="45"/>
      <c r="DB807" s="45"/>
      <c r="DC807" s="45"/>
      <c r="DD807" s="45"/>
      <c r="DE807" s="45"/>
      <c r="DF807" s="45"/>
      <c r="DG807" s="45"/>
      <c r="DH807" s="45"/>
      <c r="DM807" s="44"/>
      <c r="DN807" s="44"/>
    </row>
    <row r="808" ht="15.75" customHeight="1">
      <c r="O808" s="43"/>
      <c r="CG808" s="44"/>
      <c r="CH808" s="44"/>
      <c r="DA808" s="45"/>
      <c r="DB808" s="45"/>
      <c r="DC808" s="45"/>
      <c r="DD808" s="45"/>
      <c r="DE808" s="45"/>
      <c r="DF808" s="45"/>
      <c r="DG808" s="45"/>
      <c r="DH808" s="45"/>
      <c r="DM808" s="44"/>
      <c r="DN808" s="44"/>
    </row>
    <row r="809" ht="15.75" customHeight="1">
      <c r="O809" s="43"/>
      <c r="CG809" s="44"/>
      <c r="CH809" s="44"/>
      <c r="DA809" s="45"/>
      <c r="DB809" s="45"/>
      <c r="DC809" s="45"/>
      <c r="DD809" s="45"/>
      <c r="DE809" s="45"/>
      <c r="DF809" s="45"/>
      <c r="DG809" s="45"/>
      <c r="DH809" s="45"/>
      <c r="DM809" s="44"/>
      <c r="DN809" s="44"/>
    </row>
    <row r="810" ht="15.75" customHeight="1">
      <c r="O810" s="43"/>
      <c r="CG810" s="44"/>
      <c r="CH810" s="44"/>
      <c r="DA810" s="45"/>
      <c r="DB810" s="45"/>
      <c r="DC810" s="45"/>
      <c r="DD810" s="45"/>
      <c r="DE810" s="45"/>
      <c r="DF810" s="45"/>
      <c r="DG810" s="45"/>
      <c r="DH810" s="45"/>
      <c r="DM810" s="44"/>
      <c r="DN810" s="44"/>
    </row>
    <row r="811" ht="15.75" customHeight="1">
      <c r="O811" s="43"/>
      <c r="CG811" s="44"/>
      <c r="CH811" s="44"/>
      <c r="DA811" s="45"/>
      <c r="DB811" s="45"/>
      <c r="DC811" s="45"/>
      <c r="DD811" s="45"/>
      <c r="DE811" s="45"/>
      <c r="DF811" s="45"/>
      <c r="DG811" s="45"/>
      <c r="DH811" s="45"/>
      <c r="DM811" s="44"/>
      <c r="DN811" s="44"/>
    </row>
    <row r="812" ht="15.75" customHeight="1">
      <c r="O812" s="43"/>
      <c r="CG812" s="44"/>
      <c r="CH812" s="44"/>
      <c r="DA812" s="45"/>
      <c r="DB812" s="45"/>
      <c r="DC812" s="45"/>
      <c r="DD812" s="45"/>
      <c r="DE812" s="45"/>
      <c r="DF812" s="45"/>
      <c r="DG812" s="45"/>
      <c r="DH812" s="45"/>
      <c r="DM812" s="44"/>
      <c r="DN812" s="44"/>
    </row>
    <row r="813" ht="15.75" customHeight="1">
      <c r="O813" s="43"/>
      <c r="CG813" s="44"/>
      <c r="CH813" s="44"/>
      <c r="DA813" s="45"/>
      <c r="DB813" s="45"/>
      <c r="DC813" s="45"/>
      <c r="DD813" s="45"/>
      <c r="DE813" s="45"/>
      <c r="DF813" s="45"/>
      <c r="DG813" s="45"/>
      <c r="DH813" s="45"/>
      <c r="DM813" s="44"/>
      <c r="DN813" s="44"/>
    </row>
    <row r="814" ht="15.75" customHeight="1">
      <c r="O814" s="43"/>
      <c r="CG814" s="44"/>
      <c r="CH814" s="44"/>
      <c r="DA814" s="45"/>
      <c r="DB814" s="45"/>
      <c r="DC814" s="45"/>
      <c r="DD814" s="45"/>
      <c r="DE814" s="45"/>
      <c r="DF814" s="45"/>
      <c r="DG814" s="45"/>
      <c r="DH814" s="45"/>
      <c r="DM814" s="44"/>
      <c r="DN814" s="44"/>
    </row>
    <row r="815" ht="15.75" customHeight="1">
      <c r="O815" s="43"/>
      <c r="CG815" s="44"/>
      <c r="CH815" s="44"/>
      <c r="DA815" s="45"/>
      <c r="DB815" s="45"/>
      <c r="DC815" s="45"/>
      <c r="DD815" s="45"/>
      <c r="DE815" s="45"/>
      <c r="DF815" s="45"/>
      <c r="DG815" s="45"/>
      <c r="DH815" s="45"/>
      <c r="DM815" s="44"/>
      <c r="DN815" s="44"/>
    </row>
    <row r="816" ht="15.75" customHeight="1">
      <c r="O816" s="43"/>
      <c r="CG816" s="44"/>
      <c r="CH816" s="44"/>
      <c r="DA816" s="45"/>
      <c r="DB816" s="45"/>
      <c r="DC816" s="45"/>
      <c r="DD816" s="45"/>
      <c r="DE816" s="45"/>
      <c r="DF816" s="45"/>
      <c r="DG816" s="45"/>
      <c r="DH816" s="45"/>
      <c r="DM816" s="44"/>
      <c r="DN816" s="44"/>
    </row>
    <row r="817" ht="15.75" customHeight="1">
      <c r="O817" s="43"/>
      <c r="CG817" s="44"/>
      <c r="CH817" s="44"/>
      <c r="DA817" s="45"/>
      <c r="DB817" s="45"/>
      <c r="DC817" s="45"/>
      <c r="DD817" s="45"/>
      <c r="DE817" s="45"/>
      <c r="DF817" s="45"/>
      <c r="DG817" s="45"/>
      <c r="DH817" s="45"/>
      <c r="DM817" s="44"/>
      <c r="DN817" s="44"/>
    </row>
    <row r="818" ht="15.75" customHeight="1">
      <c r="O818" s="43"/>
      <c r="CG818" s="44"/>
      <c r="CH818" s="44"/>
      <c r="DA818" s="45"/>
      <c r="DB818" s="45"/>
      <c r="DC818" s="45"/>
      <c r="DD818" s="45"/>
      <c r="DE818" s="45"/>
      <c r="DF818" s="45"/>
      <c r="DG818" s="45"/>
      <c r="DH818" s="45"/>
      <c r="DM818" s="44"/>
      <c r="DN818" s="44"/>
    </row>
    <row r="819" ht="15.75" customHeight="1">
      <c r="O819" s="43"/>
      <c r="CG819" s="44"/>
      <c r="CH819" s="44"/>
      <c r="DA819" s="45"/>
      <c r="DB819" s="45"/>
      <c r="DC819" s="45"/>
      <c r="DD819" s="45"/>
      <c r="DE819" s="45"/>
      <c r="DF819" s="45"/>
      <c r="DG819" s="45"/>
      <c r="DH819" s="45"/>
      <c r="DM819" s="44"/>
      <c r="DN819" s="44"/>
    </row>
    <row r="820" ht="15.75" customHeight="1">
      <c r="O820" s="43"/>
      <c r="CG820" s="44"/>
      <c r="CH820" s="44"/>
      <c r="DA820" s="45"/>
      <c r="DB820" s="45"/>
      <c r="DC820" s="45"/>
      <c r="DD820" s="45"/>
      <c r="DE820" s="45"/>
      <c r="DF820" s="45"/>
      <c r="DG820" s="45"/>
      <c r="DH820" s="45"/>
      <c r="DM820" s="44"/>
      <c r="DN820" s="44"/>
    </row>
    <row r="821" ht="15.75" customHeight="1">
      <c r="O821" s="43"/>
      <c r="CG821" s="44"/>
      <c r="CH821" s="44"/>
      <c r="DA821" s="45"/>
      <c r="DB821" s="45"/>
      <c r="DC821" s="45"/>
      <c r="DD821" s="45"/>
      <c r="DE821" s="45"/>
      <c r="DF821" s="45"/>
      <c r="DG821" s="45"/>
      <c r="DH821" s="45"/>
      <c r="DM821" s="44"/>
      <c r="DN821" s="44"/>
    </row>
    <row r="822" ht="15.75" customHeight="1">
      <c r="O822" s="43"/>
      <c r="CG822" s="44"/>
      <c r="CH822" s="44"/>
      <c r="DA822" s="45"/>
      <c r="DB822" s="45"/>
      <c r="DC822" s="45"/>
      <c r="DD822" s="45"/>
      <c r="DE822" s="45"/>
      <c r="DF822" s="45"/>
      <c r="DG822" s="45"/>
      <c r="DH822" s="45"/>
      <c r="DM822" s="44"/>
      <c r="DN822" s="44"/>
    </row>
    <row r="823" ht="15.75" customHeight="1">
      <c r="O823" s="43"/>
      <c r="CG823" s="44"/>
      <c r="CH823" s="44"/>
      <c r="DA823" s="45"/>
      <c r="DB823" s="45"/>
      <c r="DC823" s="45"/>
      <c r="DD823" s="45"/>
      <c r="DE823" s="45"/>
      <c r="DF823" s="45"/>
      <c r="DG823" s="45"/>
      <c r="DH823" s="45"/>
      <c r="DM823" s="44"/>
      <c r="DN823" s="44"/>
    </row>
    <row r="824" ht="15.75" customHeight="1">
      <c r="O824" s="43"/>
      <c r="CG824" s="44"/>
      <c r="CH824" s="44"/>
      <c r="DA824" s="45"/>
      <c r="DB824" s="45"/>
      <c r="DC824" s="45"/>
      <c r="DD824" s="45"/>
      <c r="DE824" s="45"/>
      <c r="DF824" s="45"/>
      <c r="DG824" s="45"/>
      <c r="DH824" s="45"/>
      <c r="DM824" s="44"/>
      <c r="DN824" s="44"/>
    </row>
    <row r="825" ht="15.75" customHeight="1">
      <c r="O825" s="43"/>
      <c r="CG825" s="44"/>
      <c r="CH825" s="44"/>
      <c r="DA825" s="45"/>
      <c r="DB825" s="45"/>
      <c r="DC825" s="45"/>
      <c r="DD825" s="45"/>
      <c r="DE825" s="45"/>
      <c r="DF825" s="45"/>
      <c r="DG825" s="45"/>
      <c r="DH825" s="45"/>
      <c r="DM825" s="44"/>
      <c r="DN825" s="44"/>
    </row>
    <row r="826" ht="15.75" customHeight="1">
      <c r="O826" s="43"/>
      <c r="CG826" s="44"/>
      <c r="CH826" s="44"/>
      <c r="DA826" s="45"/>
      <c r="DB826" s="45"/>
      <c r="DC826" s="45"/>
      <c r="DD826" s="45"/>
      <c r="DE826" s="45"/>
      <c r="DF826" s="45"/>
      <c r="DG826" s="45"/>
      <c r="DH826" s="45"/>
      <c r="DM826" s="44"/>
      <c r="DN826" s="44"/>
    </row>
    <row r="827" ht="15.75" customHeight="1">
      <c r="O827" s="43"/>
      <c r="CG827" s="44"/>
      <c r="CH827" s="44"/>
      <c r="DA827" s="45"/>
      <c r="DB827" s="45"/>
      <c r="DC827" s="45"/>
      <c r="DD827" s="45"/>
      <c r="DE827" s="45"/>
      <c r="DF827" s="45"/>
      <c r="DG827" s="45"/>
      <c r="DH827" s="45"/>
      <c r="DM827" s="44"/>
      <c r="DN827" s="44"/>
    </row>
    <row r="828" ht="15.75" customHeight="1">
      <c r="O828" s="43"/>
      <c r="CG828" s="44"/>
      <c r="CH828" s="44"/>
      <c r="DA828" s="45"/>
      <c r="DB828" s="45"/>
      <c r="DC828" s="45"/>
      <c r="DD828" s="45"/>
      <c r="DE828" s="45"/>
      <c r="DF828" s="45"/>
      <c r="DG828" s="45"/>
      <c r="DH828" s="45"/>
      <c r="DM828" s="44"/>
      <c r="DN828" s="44"/>
    </row>
    <row r="829" ht="15.75" customHeight="1">
      <c r="O829" s="43"/>
      <c r="CG829" s="44"/>
      <c r="CH829" s="44"/>
      <c r="DA829" s="45"/>
      <c r="DB829" s="45"/>
      <c r="DC829" s="45"/>
      <c r="DD829" s="45"/>
      <c r="DE829" s="45"/>
      <c r="DF829" s="45"/>
      <c r="DG829" s="45"/>
      <c r="DH829" s="45"/>
      <c r="DM829" s="44"/>
      <c r="DN829" s="44"/>
    </row>
    <row r="830" ht="15.75" customHeight="1">
      <c r="O830" s="43"/>
      <c r="CG830" s="44"/>
      <c r="CH830" s="44"/>
      <c r="DA830" s="45"/>
      <c r="DB830" s="45"/>
      <c r="DC830" s="45"/>
      <c r="DD830" s="45"/>
      <c r="DE830" s="45"/>
      <c r="DF830" s="45"/>
      <c r="DG830" s="45"/>
      <c r="DH830" s="45"/>
      <c r="DM830" s="44"/>
      <c r="DN830" s="44"/>
    </row>
    <row r="831" ht="15.75" customHeight="1">
      <c r="O831" s="43"/>
      <c r="CG831" s="44"/>
      <c r="CH831" s="44"/>
      <c r="DA831" s="45"/>
      <c r="DB831" s="45"/>
      <c r="DC831" s="45"/>
      <c r="DD831" s="45"/>
      <c r="DE831" s="45"/>
      <c r="DF831" s="45"/>
      <c r="DG831" s="45"/>
      <c r="DH831" s="45"/>
      <c r="DM831" s="44"/>
      <c r="DN831" s="44"/>
    </row>
    <row r="832" ht="15.75" customHeight="1">
      <c r="O832" s="43"/>
      <c r="CG832" s="44"/>
      <c r="CH832" s="44"/>
      <c r="DA832" s="45"/>
      <c r="DB832" s="45"/>
      <c r="DC832" s="45"/>
      <c r="DD832" s="45"/>
      <c r="DE832" s="45"/>
      <c r="DF832" s="45"/>
      <c r="DG832" s="45"/>
      <c r="DH832" s="45"/>
      <c r="DM832" s="44"/>
      <c r="DN832" s="44"/>
    </row>
    <row r="833" ht="15.75" customHeight="1">
      <c r="O833" s="43"/>
      <c r="CG833" s="44"/>
      <c r="CH833" s="44"/>
      <c r="DA833" s="45"/>
      <c r="DB833" s="45"/>
      <c r="DC833" s="45"/>
      <c r="DD833" s="45"/>
      <c r="DE833" s="45"/>
      <c r="DF833" s="45"/>
      <c r="DG833" s="45"/>
      <c r="DH833" s="45"/>
      <c r="DM833" s="44"/>
      <c r="DN833" s="44"/>
    </row>
    <row r="834" ht="15.75" customHeight="1">
      <c r="O834" s="43"/>
      <c r="CG834" s="44"/>
      <c r="CH834" s="44"/>
      <c r="DA834" s="45"/>
      <c r="DB834" s="45"/>
      <c r="DC834" s="45"/>
      <c r="DD834" s="45"/>
      <c r="DE834" s="45"/>
      <c r="DF834" s="45"/>
      <c r="DG834" s="45"/>
      <c r="DH834" s="45"/>
      <c r="DM834" s="44"/>
      <c r="DN834" s="44"/>
    </row>
    <row r="835" ht="15.75" customHeight="1">
      <c r="O835" s="43"/>
      <c r="CG835" s="44"/>
      <c r="CH835" s="44"/>
      <c r="DA835" s="45"/>
      <c r="DB835" s="45"/>
      <c r="DC835" s="45"/>
      <c r="DD835" s="45"/>
      <c r="DE835" s="45"/>
      <c r="DF835" s="45"/>
      <c r="DG835" s="45"/>
      <c r="DH835" s="45"/>
      <c r="DM835" s="44"/>
      <c r="DN835" s="44"/>
    </row>
    <row r="836" ht="15.75" customHeight="1">
      <c r="O836" s="43"/>
      <c r="CG836" s="44"/>
      <c r="CH836" s="44"/>
      <c r="DA836" s="45"/>
      <c r="DB836" s="45"/>
      <c r="DC836" s="45"/>
      <c r="DD836" s="45"/>
      <c r="DE836" s="45"/>
      <c r="DF836" s="45"/>
      <c r="DG836" s="45"/>
      <c r="DH836" s="45"/>
      <c r="DM836" s="44"/>
      <c r="DN836" s="44"/>
    </row>
    <row r="837" ht="15.75" customHeight="1">
      <c r="O837" s="43"/>
      <c r="CG837" s="44"/>
      <c r="CH837" s="44"/>
      <c r="DA837" s="45"/>
      <c r="DB837" s="45"/>
      <c r="DC837" s="45"/>
      <c r="DD837" s="45"/>
      <c r="DE837" s="45"/>
      <c r="DF837" s="45"/>
      <c r="DG837" s="45"/>
      <c r="DH837" s="45"/>
      <c r="DM837" s="44"/>
      <c r="DN837" s="44"/>
    </row>
    <row r="838" ht="15.75" customHeight="1">
      <c r="O838" s="43"/>
      <c r="CG838" s="44"/>
      <c r="CH838" s="44"/>
      <c r="DA838" s="45"/>
      <c r="DB838" s="45"/>
      <c r="DC838" s="45"/>
      <c r="DD838" s="45"/>
      <c r="DE838" s="45"/>
      <c r="DF838" s="45"/>
      <c r="DG838" s="45"/>
      <c r="DH838" s="45"/>
      <c r="DM838" s="44"/>
      <c r="DN838" s="44"/>
    </row>
    <row r="839" ht="15.75" customHeight="1">
      <c r="O839" s="43"/>
      <c r="CG839" s="44"/>
      <c r="CH839" s="44"/>
      <c r="DA839" s="45"/>
      <c r="DB839" s="45"/>
      <c r="DC839" s="45"/>
      <c r="DD839" s="45"/>
      <c r="DE839" s="45"/>
      <c r="DF839" s="45"/>
      <c r="DG839" s="45"/>
      <c r="DH839" s="45"/>
      <c r="DM839" s="44"/>
      <c r="DN839" s="44"/>
    </row>
    <row r="840" ht="15.75" customHeight="1">
      <c r="O840" s="43"/>
      <c r="CG840" s="44"/>
      <c r="CH840" s="44"/>
      <c r="DA840" s="45"/>
      <c r="DB840" s="45"/>
      <c r="DC840" s="45"/>
      <c r="DD840" s="45"/>
      <c r="DE840" s="45"/>
      <c r="DF840" s="45"/>
      <c r="DG840" s="45"/>
      <c r="DH840" s="45"/>
      <c r="DM840" s="44"/>
      <c r="DN840" s="44"/>
    </row>
    <row r="841" ht="15.75" customHeight="1">
      <c r="O841" s="43"/>
      <c r="CG841" s="44"/>
      <c r="CH841" s="44"/>
      <c r="DA841" s="45"/>
      <c r="DB841" s="45"/>
      <c r="DC841" s="45"/>
      <c r="DD841" s="45"/>
      <c r="DE841" s="45"/>
      <c r="DF841" s="45"/>
      <c r="DG841" s="45"/>
      <c r="DH841" s="45"/>
      <c r="DM841" s="44"/>
      <c r="DN841" s="44"/>
    </row>
    <row r="842" ht="15.75" customHeight="1">
      <c r="O842" s="43"/>
      <c r="CG842" s="44"/>
      <c r="CH842" s="44"/>
      <c r="DA842" s="45"/>
      <c r="DB842" s="45"/>
      <c r="DC842" s="45"/>
      <c r="DD842" s="45"/>
      <c r="DE842" s="45"/>
      <c r="DF842" s="45"/>
      <c r="DG842" s="45"/>
      <c r="DH842" s="45"/>
      <c r="DM842" s="44"/>
      <c r="DN842" s="44"/>
    </row>
    <row r="843" ht="15.75" customHeight="1">
      <c r="O843" s="43"/>
      <c r="CG843" s="44"/>
      <c r="CH843" s="44"/>
      <c r="DA843" s="45"/>
      <c r="DB843" s="45"/>
      <c r="DC843" s="45"/>
      <c r="DD843" s="45"/>
      <c r="DE843" s="45"/>
      <c r="DF843" s="45"/>
      <c r="DG843" s="45"/>
      <c r="DH843" s="45"/>
      <c r="DM843" s="44"/>
      <c r="DN843" s="44"/>
    </row>
    <row r="844" ht="15.75" customHeight="1">
      <c r="O844" s="43"/>
      <c r="CG844" s="44"/>
      <c r="CH844" s="44"/>
      <c r="DA844" s="45"/>
      <c r="DB844" s="45"/>
      <c r="DC844" s="45"/>
      <c r="DD844" s="45"/>
      <c r="DE844" s="45"/>
      <c r="DF844" s="45"/>
      <c r="DG844" s="45"/>
      <c r="DH844" s="45"/>
      <c r="DM844" s="44"/>
      <c r="DN844" s="44"/>
    </row>
    <row r="845" ht="15.75" customHeight="1">
      <c r="O845" s="43"/>
      <c r="CG845" s="44"/>
      <c r="CH845" s="44"/>
      <c r="DA845" s="45"/>
      <c r="DB845" s="45"/>
      <c r="DC845" s="45"/>
      <c r="DD845" s="45"/>
      <c r="DE845" s="45"/>
      <c r="DF845" s="45"/>
      <c r="DG845" s="45"/>
      <c r="DH845" s="45"/>
      <c r="DM845" s="44"/>
      <c r="DN845" s="44"/>
    </row>
    <row r="846" ht="15.75" customHeight="1">
      <c r="O846" s="43"/>
      <c r="CG846" s="44"/>
      <c r="CH846" s="44"/>
      <c r="DA846" s="45"/>
      <c r="DB846" s="45"/>
      <c r="DC846" s="45"/>
      <c r="DD846" s="45"/>
      <c r="DE846" s="45"/>
      <c r="DF846" s="45"/>
      <c r="DG846" s="45"/>
      <c r="DH846" s="45"/>
      <c r="DM846" s="44"/>
      <c r="DN846" s="44"/>
    </row>
    <row r="847" ht="15.75" customHeight="1">
      <c r="O847" s="43"/>
      <c r="CG847" s="44"/>
      <c r="CH847" s="44"/>
      <c r="DA847" s="45"/>
      <c r="DB847" s="45"/>
      <c r="DC847" s="45"/>
      <c r="DD847" s="45"/>
      <c r="DE847" s="45"/>
      <c r="DF847" s="45"/>
      <c r="DG847" s="45"/>
      <c r="DH847" s="45"/>
      <c r="DM847" s="44"/>
      <c r="DN847" s="44"/>
    </row>
    <row r="848" ht="15.75" customHeight="1">
      <c r="O848" s="43"/>
      <c r="CG848" s="44"/>
      <c r="CH848" s="44"/>
      <c r="DA848" s="45"/>
      <c r="DB848" s="45"/>
      <c r="DC848" s="45"/>
      <c r="DD848" s="45"/>
      <c r="DE848" s="45"/>
      <c r="DF848" s="45"/>
      <c r="DG848" s="45"/>
      <c r="DH848" s="45"/>
      <c r="DM848" s="44"/>
      <c r="DN848" s="44"/>
    </row>
    <row r="849" ht="15.75" customHeight="1">
      <c r="O849" s="43"/>
      <c r="CG849" s="44"/>
      <c r="CH849" s="44"/>
      <c r="DA849" s="45"/>
      <c r="DB849" s="45"/>
      <c r="DC849" s="45"/>
      <c r="DD849" s="45"/>
      <c r="DE849" s="45"/>
      <c r="DF849" s="45"/>
      <c r="DG849" s="45"/>
      <c r="DH849" s="45"/>
      <c r="DM849" s="44"/>
      <c r="DN849" s="44"/>
    </row>
    <row r="850" ht="15.75" customHeight="1">
      <c r="O850" s="43"/>
      <c r="CG850" s="44"/>
      <c r="CH850" s="44"/>
      <c r="DA850" s="45"/>
      <c r="DB850" s="45"/>
      <c r="DC850" s="45"/>
      <c r="DD850" s="45"/>
      <c r="DE850" s="45"/>
      <c r="DF850" s="45"/>
      <c r="DG850" s="45"/>
      <c r="DH850" s="45"/>
      <c r="DM850" s="44"/>
      <c r="DN850" s="44"/>
    </row>
    <row r="851" ht="15.75" customHeight="1">
      <c r="O851" s="43"/>
      <c r="CG851" s="44"/>
      <c r="CH851" s="44"/>
      <c r="DA851" s="45"/>
      <c r="DB851" s="45"/>
      <c r="DC851" s="45"/>
      <c r="DD851" s="45"/>
      <c r="DE851" s="45"/>
      <c r="DF851" s="45"/>
      <c r="DG851" s="45"/>
      <c r="DH851" s="45"/>
      <c r="DM851" s="44"/>
      <c r="DN851" s="44"/>
    </row>
    <row r="852" ht="15.75" customHeight="1">
      <c r="O852" s="43"/>
      <c r="CG852" s="44"/>
      <c r="CH852" s="44"/>
      <c r="DA852" s="45"/>
      <c r="DB852" s="45"/>
      <c r="DC852" s="45"/>
      <c r="DD852" s="45"/>
      <c r="DE852" s="45"/>
      <c r="DF852" s="45"/>
      <c r="DG852" s="45"/>
      <c r="DH852" s="45"/>
      <c r="DM852" s="44"/>
      <c r="DN852" s="44"/>
    </row>
    <row r="853" ht="15.75" customHeight="1">
      <c r="O853" s="43"/>
      <c r="CG853" s="44"/>
      <c r="CH853" s="44"/>
      <c r="DA853" s="45"/>
      <c r="DB853" s="45"/>
      <c r="DC853" s="45"/>
      <c r="DD853" s="45"/>
      <c r="DE853" s="45"/>
      <c r="DF853" s="45"/>
      <c r="DG853" s="45"/>
      <c r="DH853" s="45"/>
      <c r="DM853" s="44"/>
      <c r="DN853" s="44"/>
    </row>
    <row r="854" ht="15.75" customHeight="1">
      <c r="O854" s="43"/>
      <c r="CG854" s="44"/>
      <c r="CH854" s="44"/>
      <c r="DA854" s="45"/>
      <c r="DB854" s="45"/>
      <c r="DC854" s="45"/>
      <c r="DD854" s="45"/>
      <c r="DE854" s="45"/>
      <c r="DF854" s="45"/>
      <c r="DG854" s="45"/>
      <c r="DH854" s="45"/>
      <c r="DM854" s="44"/>
      <c r="DN854" s="44"/>
    </row>
    <row r="855" ht="15.75" customHeight="1">
      <c r="O855" s="43"/>
      <c r="CG855" s="44"/>
      <c r="CH855" s="44"/>
      <c r="DA855" s="45"/>
      <c r="DB855" s="45"/>
      <c r="DC855" s="45"/>
      <c r="DD855" s="45"/>
      <c r="DE855" s="45"/>
      <c r="DF855" s="45"/>
      <c r="DG855" s="45"/>
      <c r="DH855" s="45"/>
      <c r="DM855" s="44"/>
      <c r="DN855" s="44"/>
    </row>
    <row r="856" ht="15.75" customHeight="1">
      <c r="O856" s="43"/>
      <c r="CG856" s="44"/>
      <c r="CH856" s="44"/>
      <c r="DA856" s="45"/>
      <c r="DB856" s="45"/>
      <c r="DC856" s="45"/>
      <c r="DD856" s="45"/>
      <c r="DE856" s="45"/>
      <c r="DF856" s="45"/>
      <c r="DG856" s="45"/>
      <c r="DH856" s="45"/>
      <c r="DM856" s="44"/>
      <c r="DN856" s="44"/>
    </row>
    <row r="857" ht="15.75" customHeight="1">
      <c r="O857" s="43"/>
      <c r="CG857" s="44"/>
      <c r="CH857" s="44"/>
      <c r="DA857" s="45"/>
      <c r="DB857" s="45"/>
      <c r="DC857" s="45"/>
      <c r="DD857" s="45"/>
      <c r="DE857" s="45"/>
      <c r="DF857" s="45"/>
      <c r="DG857" s="45"/>
      <c r="DH857" s="45"/>
      <c r="DM857" s="44"/>
      <c r="DN857" s="44"/>
    </row>
    <row r="858" ht="15.75" customHeight="1">
      <c r="O858" s="43"/>
      <c r="CG858" s="44"/>
      <c r="CH858" s="44"/>
      <c r="DA858" s="45"/>
      <c r="DB858" s="45"/>
      <c r="DC858" s="45"/>
      <c r="DD858" s="45"/>
      <c r="DE858" s="45"/>
      <c r="DF858" s="45"/>
      <c r="DG858" s="45"/>
      <c r="DH858" s="45"/>
      <c r="DM858" s="44"/>
      <c r="DN858" s="44"/>
    </row>
    <row r="859" ht="15.75" customHeight="1">
      <c r="O859" s="43"/>
      <c r="CG859" s="44"/>
      <c r="CH859" s="44"/>
      <c r="DA859" s="45"/>
      <c r="DB859" s="45"/>
      <c r="DC859" s="45"/>
      <c r="DD859" s="45"/>
      <c r="DE859" s="45"/>
      <c r="DF859" s="45"/>
      <c r="DG859" s="45"/>
      <c r="DH859" s="45"/>
      <c r="DM859" s="44"/>
      <c r="DN859" s="44"/>
    </row>
    <row r="860" ht="15.75" customHeight="1">
      <c r="O860" s="43"/>
      <c r="CG860" s="44"/>
      <c r="CH860" s="44"/>
      <c r="DA860" s="45"/>
      <c r="DB860" s="45"/>
      <c r="DC860" s="45"/>
      <c r="DD860" s="45"/>
      <c r="DE860" s="45"/>
      <c r="DF860" s="45"/>
      <c r="DG860" s="45"/>
      <c r="DH860" s="45"/>
      <c r="DM860" s="44"/>
      <c r="DN860" s="44"/>
    </row>
    <row r="861" ht="15.75" customHeight="1">
      <c r="O861" s="43"/>
      <c r="CG861" s="44"/>
      <c r="CH861" s="44"/>
      <c r="DA861" s="45"/>
      <c r="DB861" s="45"/>
      <c r="DC861" s="45"/>
      <c r="DD861" s="45"/>
      <c r="DE861" s="45"/>
      <c r="DF861" s="45"/>
      <c r="DG861" s="45"/>
      <c r="DH861" s="45"/>
      <c r="DM861" s="44"/>
      <c r="DN861" s="44"/>
    </row>
    <row r="862" ht="15.75" customHeight="1">
      <c r="O862" s="43"/>
      <c r="CG862" s="44"/>
      <c r="CH862" s="44"/>
      <c r="DA862" s="45"/>
      <c r="DB862" s="45"/>
      <c r="DC862" s="45"/>
      <c r="DD862" s="45"/>
      <c r="DE862" s="45"/>
      <c r="DF862" s="45"/>
      <c r="DG862" s="45"/>
      <c r="DH862" s="45"/>
      <c r="DM862" s="44"/>
      <c r="DN862" s="44"/>
    </row>
    <row r="863" ht="15.75" customHeight="1">
      <c r="O863" s="43"/>
      <c r="CG863" s="44"/>
      <c r="CH863" s="44"/>
      <c r="DA863" s="45"/>
      <c r="DB863" s="45"/>
      <c r="DC863" s="45"/>
      <c r="DD863" s="45"/>
      <c r="DE863" s="45"/>
      <c r="DF863" s="45"/>
      <c r="DG863" s="45"/>
      <c r="DH863" s="45"/>
      <c r="DM863" s="44"/>
      <c r="DN863" s="44"/>
    </row>
    <row r="864" ht="15.75" customHeight="1">
      <c r="O864" s="43"/>
      <c r="CG864" s="44"/>
      <c r="CH864" s="44"/>
      <c r="DA864" s="45"/>
      <c r="DB864" s="45"/>
      <c r="DC864" s="45"/>
      <c r="DD864" s="45"/>
      <c r="DE864" s="45"/>
      <c r="DF864" s="45"/>
      <c r="DG864" s="45"/>
      <c r="DH864" s="45"/>
      <c r="DM864" s="44"/>
      <c r="DN864" s="44"/>
    </row>
    <row r="865" ht="15.75" customHeight="1">
      <c r="O865" s="43"/>
      <c r="CG865" s="44"/>
      <c r="CH865" s="44"/>
      <c r="DA865" s="45"/>
      <c r="DB865" s="45"/>
      <c r="DC865" s="45"/>
      <c r="DD865" s="45"/>
      <c r="DE865" s="45"/>
      <c r="DF865" s="45"/>
      <c r="DG865" s="45"/>
      <c r="DH865" s="45"/>
      <c r="DM865" s="44"/>
      <c r="DN865" s="44"/>
    </row>
    <row r="866" ht="15.75" customHeight="1">
      <c r="O866" s="43"/>
      <c r="CG866" s="44"/>
      <c r="CH866" s="44"/>
      <c r="DA866" s="45"/>
      <c r="DB866" s="45"/>
      <c r="DC866" s="45"/>
      <c r="DD866" s="45"/>
      <c r="DE866" s="45"/>
      <c r="DF866" s="45"/>
      <c r="DG866" s="45"/>
      <c r="DH866" s="45"/>
      <c r="DM866" s="44"/>
      <c r="DN866" s="44"/>
    </row>
    <row r="867" ht="15.75" customHeight="1">
      <c r="O867" s="43"/>
      <c r="CG867" s="44"/>
      <c r="CH867" s="44"/>
      <c r="DA867" s="45"/>
      <c r="DB867" s="45"/>
      <c r="DC867" s="45"/>
      <c r="DD867" s="45"/>
      <c r="DE867" s="45"/>
      <c r="DF867" s="45"/>
      <c r="DG867" s="45"/>
      <c r="DH867" s="45"/>
      <c r="DM867" s="44"/>
      <c r="DN867" s="44"/>
    </row>
    <row r="868" ht="15.75" customHeight="1">
      <c r="O868" s="43"/>
      <c r="CG868" s="44"/>
      <c r="CH868" s="44"/>
      <c r="DA868" s="45"/>
      <c r="DB868" s="45"/>
      <c r="DC868" s="45"/>
      <c r="DD868" s="45"/>
      <c r="DE868" s="45"/>
      <c r="DF868" s="45"/>
      <c r="DG868" s="45"/>
      <c r="DH868" s="45"/>
      <c r="DM868" s="44"/>
      <c r="DN868" s="44"/>
    </row>
    <row r="869" ht="15.75" customHeight="1">
      <c r="O869" s="43"/>
      <c r="CG869" s="44"/>
      <c r="CH869" s="44"/>
      <c r="DA869" s="45"/>
      <c r="DB869" s="45"/>
      <c r="DC869" s="45"/>
      <c r="DD869" s="45"/>
      <c r="DE869" s="45"/>
      <c r="DF869" s="45"/>
      <c r="DG869" s="45"/>
      <c r="DH869" s="45"/>
      <c r="DM869" s="44"/>
      <c r="DN869" s="44"/>
    </row>
    <row r="870" ht="15.75" customHeight="1">
      <c r="O870" s="43"/>
      <c r="CG870" s="44"/>
      <c r="CH870" s="44"/>
      <c r="DA870" s="45"/>
      <c r="DB870" s="45"/>
      <c r="DC870" s="45"/>
      <c r="DD870" s="45"/>
      <c r="DE870" s="45"/>
      <c r="DF870" s="45"/>
      <c r="DG870" s="45"/>
      <c r="DH870" s="45"/>
      <c r="DM870" s="44"/>
      <c r="DN870" s="44"/>
    </row>
    <row r="871" ht="15.75" customHeight="1">
      <c r="O871" s="43"/>
      <c r="CG871" s="44"/>
      <c r="CH871" s="44"/>
      <c r="DA871" s="45"/>
      <c r="DB871" s="45"/>
      <c r="DC871" s="45"/>
      <c r="DD871" s="45"/>
      <c r="DE871" s="45"/>
      <c r="DF871" s="45"/>
      <c r="DG871" s="45"/>
      <c r="DH871" s="45"/>
      <c r="DM871" s="44"/>
      <c r="DN871" s="44"/>
    </row>
    <row r="872" ht="15.75" customHeight="1">
      <c r="O872" s="43"/>
      <c r="CG872" s="44"/>
      <c r="CH872" s="44"/>
      <c r="DA872" s="45"/>
      <c r="DB872" s="45"/>
      <c r="DC872" s="45"/>
      <c r="DD872" s="45"/>
      <c r="DE872" s="45"/>
      <c r="DF872" s="45"/>
      <c r="DG872" s="45"/>
      <c r="DH872" s="45"/>
      <c r="DM872" s="44"/>
      <c r="DN872" s="44"/>
    </row>
    <row r="873" ht="15.75" customHeight="1">
      <c r="O873" s="43"/>
      <c r="CG873" s="44"/>
      <c r="CH873" s="44"/>
      <c r="DA873" s="45"/>
      <c r="DB873" s="45"/>
      <c r="DC873" s="45"/>
      <c r="DD873" s="45"/>
      <c r="DE873" s="45"/>
      <c r="DF873" s="45"/>
      <c r="DG873" s="45"/>
      <c r="DH873" s="45"/>
      <c r="DM873" s="44"/>
      <c r="DN873" s="44"/>
    </row>
    <row r="874" ht="15.75" customHeight="1">
      <c r="O874" s="43"/>
      <c r="CG874" s="44"/>
      <c r="CH874" s="44"/>
      <c r="DA874" s="45"/>
      <c r="DB874" s="45"/>
      <c r="DC874" s="45"/>
      <c r="DD874" s="45"/>
      <c r="DE874" s="45"/>
      <c r="DF874" s="45"/>
      <c r="DG874" s="45"/>
      <c r="DH874" s="45"/>
      <c r="DM874" s="44"/>
      <c r="DN874" s="44"/>
    </row>
    <row r="875" ht="15.75" customHeight="1">
      <c r="O875" s="43"/>
      <c r="CG875" s="44"/>
      <c r="CH875" s="44"/>
      <c r="DA875" s="45"/>
      <c r="DB875" s="45"/>
      <c r="DC875" s="45"/>
      <c r="DD875" s="45"/>
      <c r="DE875" s="45"/>
      <c r="DF875" s="45"/>
      <c r="DG875" s="45"/>
      <c r="DH875" s="45"/>
      <c r="DM875" s="44"/>
      <c r="DN875" s="44"/>
    </row>
    <row r="876" ht="15.75" customHeight="1">
      <c r="O876" s="43"/>
      <c r="CG876" s="44"/>
      <c r="CH876" s="44"/>
      <c r="DA876" s="45"/>
      <c r="DB876" s="45"/>
      <c r="DC876" s="45"/>
      <c r="DD876" s="45"/>
      <c r="DE876" s="45"/>
      <c r="DF876" s="45"/>
      <c r="DG876" s="45"/>
      <c r="DH876" s="45"/>
      <c r="DM876" s="44"/>
      <c r="DN876" s="44"/>
    </row>
    <row r="877" ht="15.75" customHeight="1">
      <c r="O877" s="43"/>
      <c r="CG877" s="44"/>
      <c r="CH877" s="44"/>
      <c r="DA877" s="45"/>
      <c r="DB877" s="45"/>
      <c r="DC877" s="45"/>
      <c r="DD877" s="45"/>
      <c r="DE877" s="45"/>
      <c r="DF877" s="45"/>
      <c r="DG877" s="45"/>
      <c r="DH877" s="45"/>
      <c r="DM877" s="44"/>
      <c r="DN877" s="44"/>
    </row>
    <row r="878" ht="15.75" customHeight="1">
      <c r="O878" s="43"/>
      <c r="CG878" s="44"/>
      <c r="CH878" s="44"/>
      <c r="DA878" s="45"/>
      <c r="DB878" s="45"/>
      <c r="DC878" s="45"/>
      <c r="DD878" s="45"/>
      <c r="DE878" s="45"/>
      <c r="DF878" s="45"/>
      <c r="DG878" s="45"/>
      <c r="DH878" s="45"/>
      <c r="DM878" s="44"/>
      <c r="DN878" s="44"/>
    </row>
    <row r="879" ht="15.75" customHeight="1">
      <c r="O879" s="43"/>
      <c r="CG879" s="44"/>
      <c r="CH879" s="44"/>
      <c r="DA879" s="45"/>
      <c r="DB879" s="45"/>
      <c r="DC879" s="45"/>
      <c r="DD879" s="45"/>
      <c r="DE879" s="45"/>
      <c r="DF879" s="45"/>
      <c r="DG879" s="45"/>
      <c r="DH879" s="45"/>
      <c r="DM879" s="44"/>
      <c r="DN879" s="44"/>
    </row>
    <row r="880" ht="15.75" customHeight="1">
      <c r="O880" s="43"/>
      <c r="CG880" s="44"/>
      <c r="CH880" s="44"/>
      <c r="DA880" s="45"/>
      <c r="DB880" s="45"/>
      <c r="DC880" s="45"/>
      <c r="DD880" s="45"/>
      <c r="DE880" s="45"/>
      <c r="DF880" s="45"/>
      <c r="DG880" s="45"/>
      <c r="DH880" s="45"/>
      <c r="DM880" s="44"/>
      <c r="DN880" s="44"/>
    </row>
    <row r="881" ht="15.75" customHeight="1">
      <c r="O881" s="43"/>
      <c r="CG881" s="44"/>
      <c r="CH881" s="44"/>
      <c r="DA881" s="45"/>
      <c r="DB881" s="45"/>
      <c r="DC881" s="45"/>
      <c r="DD881" s="45"/>
      <c r="DE881" s="45"/>
      <c r="DF881" s="45"/>
      <c r="DG881" s="45"/>
      <c r="DH881" s="45"/>
      <c r="DM881" s="44"/>
      <c r="DN881" s="44"/>
    </row>
    <row r="882" ht="15.75" customHeight="1">
      <c r="O882" s="43"/>
      <c r="CG882" s="44"/>
      <c r="CH882" s="44"/>
      <c r="DA882" s="45"/>
      <c r="DB882" s="45"/>
      <c r="DC882" s="45"/>
      <c r="DD882" s="45"/>
      <c r="DE882" s="45"/>
      <c r="DF882" s="45"/>
      <c r="DG882" s="45"/>
      <c r="DH882" s="45"/>
      <c r="DM882" s="44"/>
      <c r="DN882" s="44"/>
    </row>
    <row r="883" ht="15.75" customHeight="1">
      <c r="O883" s="43"/>
      <c r="CG883" s="44"/>
      <c r="CH883" s="44"/>
      <c r="DA883" s="45"/>
      <c r="DB883" s="45"/>
      <c r="DC883" s="45"/>
      <c r="DD883" s="45"/>
      <c r="DE883" s="45"/>
      <c r="DF883" s="45"/>
      <c r="DG883" s="45"/>
      <c r="DH883" s="45"/>
      <c r="DM883" s="44"/>
      <c r="DN883" s="44"/>
    </row>
    <row r="884" ht="15.75" customHeight="1">
      <c r="O884" s="43"/>
      <c r="CG884" s="44"/>
      <c r="CH884" s="44"/>
      <c r="DA884" s="45"/>
      <c r="DB884" s="45"/>
      <c r="DC884" s="45"/>
      <c r="DD884" s="45"/>
      <c r="DE884" s="45"/>
      <c r="DF884" s="45"/>
      <c r="DG884" s="45"/>
      <c r="DH884" s="45"/>
      <c r="DM884" s="44"/>
      <c r="DN884" s="44"/>
    </row>
    <row r="885" ht="15.75" customHeight="1">
      <c r="O885" s="43"/>
      <c r="CG885" s="44"/>
      <c r="CH885" s="44"/>
      <c r="DA885" s="45"/>
      <c r="DB885" s="45"/>
      <c r="DC885" s="45"/>
      <c r="DD885" s="45"/>
      <c r="DE885" s="45"/>
      <c r="DF885" s="45"/>
      <c r="DG885" s="45"/>
      <c r="DH885" s="45"/>
      <c r="DM885" s="44"/>
      <c r="DN885" s="44"/>
    </row>
    <row r="886" ht="15.75" customHeight="1">
      <c r="O886" s="43"/>
      <c r="CG886" s="44"/>
      <c r="CH886" s="44"/>
      <c r="DA886" s="45"/>
      <c r="DB886" s="45"/>
      <c r="DC886" s="45"/>
      <c r="DD886" s="45"/>
      <c r="DE886" s="45"/>
      <c r="DF886" s="45"/>
      <c r="DG886" s="45"/>
      <c r="DH886" s="45"/>
      <c r="DM886" s="44"/>
      <c r="DN886" s="44"/>
    </row>
    <row r="887" ht="15.75" customHeight="1">
      <c r="O887" s="43"/>
      <c r="CG887" s="44"/>
      <c r="CH887" s="44"/>
      <c r="DA887" s="45"/>
      <c r="DB887" s="45"/>
      <c r="DC887" s="45"/>
      <c r="DD887" s="45"/>
      <c r="DE887" s="45"/>
      <c r="DF887" s="45"/>
      <c r="DG887" s="45"/>
      <c r="DH887" s="45"/>
      <c r="DM887" s="44"/>
      <c r="DN887" s="44"/>
    </row>
    <row r="888" ht="15.75" customHeight="1">
      <c r="O888" s="43"/>
      <c r="CG888" s="44"/>
      <c r="CH888" s="44"/>
      <c r="DA888" s="45"/>
      <c r="DB888" s="45"/>
      <c r="DC888" s="45"/>
      <c r="DD888" s="45"/>
      <c r="DE888" s="45"/>
      <c r="DF888" s="45"/>
      <c r="DG888" s="45"/>
      <c r="DH888" s="45"/>
      <c r="DM888" s="44"/>
      <c r="DN888" s="44"/>
    </row>
    <row r="889" ht="15.75" customHeight="1">
      <c r="O889" s="43"/>
      <c r="CG889" s="44"/>
      <c r="CH889" s="44"/>
      <c r="DA889" s="45"/>
      <c r="DB889" s="45"/>
      <c r="DC889" s="45"/>
      <c r="DD889" s="45"/>
      <c r="DE889" s="45"/>
      <c r="DF889" s="45"/>
      <c r="DG889" s="45"/>
      <c r="DH889" s="45"/>
      <c r="DM889" s="44"/>
      <c r="DN889" s="44"/>
    </row>
    <row r="890" ht="15.75" customHeight="1">
      <c r="O890" s="43"/>
      <c r="CG890" s="44"/>
      <c r="CH890" s="44"/>
      <c r="DA890" s="45"/>
      <c r="DB890" s="45"/>
      <c r="DC890" s="45"/>
      <c r="DD890" s="45"/>
      <c r="DE890" s="45"/>
      <c r="DF890" s="45"/>
      <c r="DG890" s="45"/>
      <c r="DH890" s="45"/>
      <c r="DM890" s="44"/>
      <c r="DN890" s="44"/>
    </row>
    <row r="891" ht="15.75" customHeight="1">
      <c r="O891" s="43"/>
      <c r="CG891" s="44"/>
      <c r="CH891" s="44"/>
      <c r="DA891" s="45"/>
      <c r="DB891" s="45"/>
      <c r="DC891" s="45"/>
      <c r="DD891" s="45"/>
      <c r="DE891" s="45"/>
      <c r="DF891" s="45"/>
      <c r="DG891" s="45"/>
      <c r="DH891" s="45"/>
      <c r="DM891" s="44"/>
      <c r="DN891" s="44"/>
    </row>
    <row r="892" ht="15.75" customHeight="1">
      <c r="O892" s="43"/>
      <c r="CG892" s="44"/>
      <c r="CH892" s="44"/>
      <c r="DA892" s="45"/>
      <c r="DB892" s="45"/>
      <c r="DC892" s="45"/>
      <c r="DD892" s="45"/>
      <c r="DE892" s="45"/>
      <c r="DF892" s="45"/>
      <c r="DG892" s="45"/>
      <c r="DH892" s="45"/>
      <c r="DM892" s="44"/>
      <c r="DN892" s="44"/>
    </row>
    <row r="893" ht="15.75" customHeight="1">
      <c r="O893" s="43"/>
      <c r="CG893" s="44"/>
      <c r="CH893" s="44"/>
      <c r="DA893" s="45"/>
      <c r="DB893" s="45"/>
      <c r="DC893" s="45"/>
      <c r="DD893" s="45"/>
      <c r="DE893" s="45"/>
      <c r="DF893" s="45"/>
      <c r="DG893" s="45"/>
      <c r="DH893" s="45"/>
      <c r="DM893" s="44"/>
      <c r="DN893" s="44"/>
    </row>
    <row r="894" ht="15.75" customHeight="1">
      <c r="O894" s="43"/>
      <c r="CG894" s="44"/>
      <c r="CH894" s="44"/>
      <c r="DA894" s="45"/>
      <c r="DB894" s="45"/>
      <c r="DC894" s="45"/>
      <c r="DD894" s="45"/>
      <c r="DE894" s="45"/>
      <c r="DF894" s="45"/>
      <c r="DG894" s="45"/>
      <c r="DH894" s="45"/>
      <c r="DM894" s="44"/>
      <c r="DN894" s="44"/>
    </row>
    <row r="895" ht="15.75" customHeight="1">
      <c r="O895" s="43"/>
      <c r="CG895" s="44"/>
      <c r="CH895" s="44"/>
      <c r="DA895" s="45"/>
      <c r="DB895" s="45"/>
      <c r="DC895" s="45"/>
      <c r="DD895" s="45"/>
      <c r="DE895" s="45"/>
      <c r="DF895" s="45"/>
      <c r="DG895" s="45"/>
      <c r="DH895" s="45"/>
      <c r="DM895" s="44"/>
      <c r="DN895" s="44"/>
    </row>
    <row r="896" ht="15.75" customHeight="1">
      <c r="O896" s="43"/>
      <c r="CG896" s="44"/>
      <c r="CH896" s="44"/>
      <c r="DA896" s="45"/>
      <c r="DB896" s="45"/>
      <c r="DC896" s="45"/>
      <c r="DD896" s="45"/>
      <c r="DE896" s="45"/>
      <c r="DF896" s="45"/>
      <c r="DG896" s="45"/>
      <c r="DH896" s="45"/>
      <c r="DM896" s="44"/>
      <c r="DN896" s="44"/>
    </row>
    <row r="897" ht="15.75" customHeight="1">
      <c r="O897" s="43"/>
      <c r="CG897" s="44"/>
      <c r="CH897" s="44"/>
      <c r="DA897" s="45"/>
      <c r="DB897" s="45"/>
      <c r="DC897" s="45"/>
      <c r="DD897" s="45"/>
      <c r="DE897" s="45"/>
      <c r="DF897" s="45"/>
      <c r="DG897" s="45"/>
      <c r="DH897" s="45"/>
      <c r="DM897" s="44"/>
      <c r="DN897" s="44"/>
    </row>
    <row r="898" ht="15.75" customHeight="1">
      <c r="O898" s="43"/>
      <c r="CG898" s="44"/>
      <c r="CH898" s="44"/>
      <c r="DA898" s="45"/>
      <c r="DB898" s="45"/>
      <c r="DC898" s="45"/>
      <c r="DD898" s="45"/>
      <c r="DE898" s="45"/>
      <c r="DF898" s="45"/>
      <c r="DG898" s="45"/>
      <c r="DH898" s="45"/>
      <c r="DM898" s="44"/>
      <c r="DN898" s="44"/>
    </row>
    <row r="899" ht="15.75" customHeight="1">
      <c r="O899" s="43"/>
      <c r="CG899" s="44"/>
      <c r="CH899" s="44"/>
      <c r="DA899" s="45"/>
      <c r="DB899" s="45"/>
      <c r="DC899" s="45"/>
      <c r="DD899" s="45"/>
      <c r="DE899" s="45"/>
      <c r="DF899" s="45"/>
      <c r="DG899" s="45"/>
      <c r="DH899" s="45"/>
      <c r="DM899" s="44"/>
      <c r="DN899" s="44"/>
    </row>
    <row r="900" ht="15.75" customHeight="1">
      <c r="O900" s="43"/>
      <c r="CG900" s="44"/>
      <c r="CH900" s="44"/>
      <c r="DA900" s="45"/>
      <c r="DB900" s="45"/>
      <c r="DC900" s="45"/>
      <c r="DD900" s="45"/>
      <c r="DE900" s="45"/>
      <c r="DF900" s="45"/>
      <c r="DG900" s="45"/>
      <c r="DH900" s="45"/>
      <c r="DM900" s="44"/>
      <c r="DN900" s="44"/>
    </row>
    <row r="901" ht="15.75" customHeight="1">
      <c r="O901" s="43"/>
      <c r="CG901" s="44"/>
      <c r="CH901" s="44"/>
      <c r="DA901" s="45"/>
      <c r="DB901" s="45"/>
      <c r="DC901" s="45"/>
      <c r="DD901" s="45"/>
      <c r="DE901" s="45"/>
      <c r="DF901" s="45"/>
      <c r="DG901" s="45"/>
      <c r="DH901" s="45"/>
      <c r="DM901" s="44"/>
      <c r="DN901" s="44"/>
    </row>
    <row r="902" ht="15.75" customHeight="1">
      <c r="O902" s="43"/>
      <c r="CG902" s="44"/>
      <c r="CH902" s="44"/>
      <c r="DA902" s="45"/>
      <c r="DB902" s="45"/>
      <c r="DC902" s="45"/>
      <c r="DD902" s="45"/>
      <c r="DE902" s="45"/>
      <c r="DF902" s="45"/>
      <c r="DG902" s="45"/>
      <c r="DH902" s="45"/>
      <c r="DM902" s="44"/>
      <c r="DN902" s="44"/>
    </row>
    <row r="903" ht="15.75" customHeight="1">
      <c r="O903" s="43"/>
      <c r="CG903" s="44"/>
      <c r="CH903" s="44"/>
      <c r="DA903" s="45"/>
      <c r="DB903" s="45"/>
      <c r="DC903" s="45"/>
      <c r="DD903" s="45"/>
      <c r="DE903" s="45"/>
      <c r="DF903" s="45"/>
      <c r="DG903" s="45"/>
      <c r="DH903" s="45"/>
      <c r="DM903" s="44"/>
      <c r="DN903" s="44"/>
    </row>
    <row r="904" ht="15.75" customHeight="1">
      <c r="O904" s="43"/>
      <c r="CG904" s="44"/>
      <c r="CH904" s="44"/>
      <c r="DA904" s="45"/>
      <c r="DB904" s="45"/>
      <c r="DC904" s="45"/>
      <c r="DD904" s="45"/>
      <c r="DE904" s="45"/>
      <c r="DF904" s="45"/>
      <c r="DG904" s="45"/>
      <c r="DH904" s="45"/>
      <c r="DM904" s="44"/>
      <c r="DN904" s="44"/>
    </row>
    <row r="905" ht="15.75" customHeight="1">
      <c r="O905" s="43"/>
      <c r="CG905" s="44"/>
      <c r="CH905" s="44"/>
      <c r="DA905" s="45"/>
      <c r="DB905" s="45"/>
      <c r="DC905" s="45"/>
      <c r="DD905" s="45"/>
      <c r="DE905" s="45"/>
      <c r="DF905" s="45"/>
      <c r="DG905" s="45"/>
      <c r="DH905" s="45"/>
      <c r="DM905" s="44"/>
      <c r="DN905" s="44"/>
    </row>
    <row r="906" ht="15.75" customHeight="1">
      <c r="O906" s="43"/>
      <c r="CG906" s="44"/>
      <c r="CH906" s="44"/>
      <c r="DA906" s="45"/>
      <c r="DB906" s="45"/>
      <c r="DC906" s="45"/>
      <c r="DD906" s="45"/>
      <c r="DE906" s="45"/>
      <c r="DF906" s="45"/>
      <c r="DG906" s="45"/>
      <c r="DH906" s="45"/>
      <c r="DM906" s="44"/>
      <c r="DN906" s="44"/>
    </row>
    <row r="907" ht="15.75" customHeight="1">
      <c r="O907" s="43"/>
      <c r="CG907" s="44"/>
      <c r="CH907" s="44"/>
      <c r="DA907" s="45"/>
      <c r="DB907" s="45"/>
      <c r="DC907" s="45"/>
      <c r="DD907" s="45"/>
      <c r="DE907" s="45"/>
      <c r="DF907" s="45"/>
      <c r="DG907" s="45"/>
      <c r="DH907" s="45"/>
      <c r="DM907" s="44"/>
      <c r="DN907" s="44"/>
    </row>
    <row r="908" ht="15.75" customHeight="1">
      <c r="O908" s="43"/>
      <c r="CG908" s="44"/>
      <c r="CH908" s="44"/>
      <c r="DA908" s="45"/>
      <c r="DB908" s="45"/>
      <c r="DC908" s="45"/>
      <c r="DD908" s="45"/>
      <c r="DE908" s="45"/>
      <c r="DF908" s="45"/>
      <c r="DG908" s="45"/>
      <c r="DH908" s="45"/>
      <c r="DM908" s="44"/>
      <c r="DN908" s="44"/>
    </row>
    <row r="909" ht="15.75" customHeight="1">
      <c r="O909" s="43"/>
      <c r="CG909" s="44"/>
      <c r="CH909" s="44"/>
      <c r="DA909" s="45"/>
      <c r="DB909" s="45"/>
      <c r="DC909" s="45"/>
      <c r="DD909" s="45"/>
      <c r="DE909" s="45"/>
      <c r="DF909" s="45"/>
      <c r="DG909" s="45"/>
      <c r="DH909" s="45"/>
      <c r="DM909" s="44"/>
      <c r="DN909" s="44"/>
    </row>
    <row r="910" ht="15.75" customHeight="1">
      <c r="O910" s="43"/>
      <c r="CG910" s="44"/>
      <c r="CH910" s="44"/>
      <c r="DA910" s="45"/>
      <c r="DB910" s="45"/>
      <c r="DC910" s="45"/>
      <c r="DD910" s="45"/>
      <c r="DE910" s="45"/>
      <c r="DF910" s="45"/>
      <c r="DG910" s="45"/>
      <c r="DH910" s="45"/>
      <c r="DM910" s="44"/>
      <c r="DN910" s="44"/>
    </row>
    <row r="911" ht="15.75" customHeight="1">
      <c r="O911" s="43"/>
      <c r="CG911" s="44"/>
      <c r="CH911" s="44"/>
      <c r="DA911" s="45"/>
      <c r="DB911" s="45"/>
      <c r="DC911" s="45"/>
      <c r="DD911" s="45"/>
      <c r="DE911" s="45"/>
      <c r="DF911" s="45"/>
      <c r="DG911" s="45"/>
      <c r="DH911" s="45"/>
      <c r="DM911" s="44"/>
      <c r="DN911" s="44"/>
    </row>
    <row r="912" ht="15.75" customHeight="1">
      <c r="O912" s="43"/>
      <c r="CG912" s="44"/>
      <c r="CH912" s="44"/>
      <c r="DA912" s="45"/>
      <c r="DB912" s="45"/>
      <c r="DC912" s="45"/>
      <c r="DD912" s="45"/>
      <c r="DE912" s="45"/>
      <c r="DF912" s="45"/>
      <c r="DG912" s="45"/>
      <c r="DH912" s="45"/>
      <c r="DM912" s="44"/>
      <c r="DN912" s="44"/>
    </row>
    <row r="913" ht="15.75" customHeight="1">
      <c r="O913" s="43"/>
      <c r="CG913" s="44"/>
      <c r="CH913" s="44"/>
      <c r="DA913" s="45"/>
      <c r="DB913" s="45"/>
      <c r="DC913" s="45"/>
      <c r="DD913" s="45"/>
      <c r="DE913" s="45"/>
      <c r="DF913" s="45"/>
      <c r="DG913" s="45"/>
      <c r="DH913" s="45"/>
      <c r="DM913" s="44"/>
      <c r="DN913" s="44"/>
    </row>
    <row r="914" ht="15.75" customHeight="1">
      <c r="O914" s="43"/>
      <c r="CG914" s="44"/>
      <c r="CH914" s="44"/>
      <c r="DA914" s="45"/>
      <c r="DB914" s="45"/>
      <c r="DC914" s="45"/>
      <c r="DD914" s="45"/>
      <c r="DE914" s="45"/>
      <c r="DF914" s="45"/>
      <c r="DG914" s="45"/>
      <c r="DH914" s="45"/>
      <c r="DM914" s="44"/>
      <c r="DN914" s="44"/>
    </row>
    <row r="915" ht="15.75" customHeight="1">
      <c r="O915" s="43"/>
      <c r="CG915" s="44"/>
      <c r="CH915" s="44"/>
      <c r="DA915" s="45"/>
      <c r="DB915" s="45"/>
      <c r="DC915" s="45"/>
      <c r="DD915" s="45"/>
      <c r="DE915" s="45"/>
      <c r="DF915" s="45"/>
      <c r="DG915" s="45"/>
      <c r="DH915" s="45"/>
      <c r="DM915" s="44"/>
      <c r="DN915" s="44"/>
    </row>
    <row r="916" ht="15.75" customHeight="1">
      <c r="O916" s="43"/>
      <c r="CG916" s="44"/>
      <c r="CH916" s="44"/>
      <c r="DA916" s="45"/>
      <c r="DB916" s="45"/>
      <c r="DC916" s="45"/>
      <c r="DD916" s="45"/>
      <c r="DE916" s="45"/>
      <c r="DF916" s="45"/>
      <c r="DG916" s="45"/>
      <c r="DH916" s="45"/>
      <c r="DM916" s="44"/>
      <c r="DN916" s="44"/>
    </row>
    <row r="917" ht="15.75" customHeight="1">
      <c r="O917" s="43"/>
      <c r="CG917" s="44"/>
      <c r="CH917" s="44"/>
      <c r="DA917" s="45"/>
      <c r="DB917" s="45"/>
      <c r="DC917" s="45"/>
      <c r="DD917" s="45"/>
      <c r="DE917" s="45"/>
      <c r="DF917" s="45"/>
      <c r="DG917" s="45"/>
      <c r="DH917" s="45"/>
      <c r="DM917" s="44"/>
      <c r="DN917" s="44"/>
    </row>
    <row r="918" ht="15.75" customHeight="1">
      <c r="O918" s="43"/>
      <c r="CG918" s="44"/>
      <c r="CH918" s="44"/>
      <c r="DA918" s="45"/>
      <c r="DB918" s="45"/>
      <c r="DC918" s="45"/>
      <c r="DD918" s="45"/>
      <c r="DE918" s="45"/>
      <c r="DF918" s="45"/>
      <c r="DG918" s="45"/>
      <c r="DH918" s="45"/>
      <c r="DM918" s="44"/>
      <c r="DN918" s="44"/>
    </row>
    <row r="919" ht="15.75" customHeight="1">
      <c r="O919" s="43"/>
      <c r="CG919" s="44"/>
      <c r="CH919" s="44"/>
      <c r="DA919" s="45"/>
      <c r="DB919" s="45"/>
      <c r="DC919" s="45"/>
      <c r="DD919" s="45"/>
      <c r="DE919" s="45"/>
      <c r="DF919" s="45"/>
      <c r="DG919" s="45"/>
      <c r="DH919" s="45"/>
      <c r="DM919" s="44"/>
      <c r="DN919" s="44"/>
    </row>
    <row r="920" ht="15.75" customHeight="1">
      <c r="O920" s="43"/>
      <c r="CG920" s="44"/>
      <c r="CH920" s="44"/>
      <c r="DA920" s="45"/>
      <c r="DB920" s="45"/>
      <c r="DC920" s="45"/>
      <c r="DD920" s="45"/>
      <c r="DE920" s="45"/>
      <c r="DF920" s="45"/>
      <c r="DG920" s="45"/>
      <c r="DH920" s="45"/>
      <c r="DM920" s="44"/>
      <c r="DN920" s="44"/>
    </row>
    <row r="921" ht="15.75" customHeight="1">
      <c r="O921" s="43"/>
      <c r="CG921" s="44"/>
      <c r="CH921" s="44"/>
      <c r="DA921" s="45"/>
      <c r="DB921" s="45"/>
      <c r="DC921" s="45"/>
      <c r="DD921" s="45"/>
      <c r="DE921" s="45"/>
      <c r="DF921" s="45"/>
      <c r="DG921" s="45"/>
      <c r="DH921" s="45"/>
      <c r="DM921" s="44"/>
      <c r="DN921" s="44"/>
    </row>
    <row r="922" ht="15.75" customHeight="1">
      <c r="O922" s="43"/>
      <c r="CG922" s="44"/>
      <c r="CH922" s="44"/>
      <c r="DA922" s="45"/>
      <c r="DB922" s="45"/>
      <c r="DC922" s="45"/>
      <c r="DD922" s="45"/>
      <c r="DE922" s="45"/>
      <c r="DF922" s="45"/>
      <c r="DG922" s="45"/>
      <c r="DH922" s="45"/>
      <c r="DM922" s="44"/>
      <c r="DN922" s="44"/>
    </row>
    <row r="923" ht="15.75" customHeight="1">
      <c r="O923" s="43"/>
      <c r="CG923" s="44"/>
      <c r="CH923" s="44"/>
      <c r="DA923" s="45"/>
      <c r="DB923" s="45"/>
      <c r="DC923" s="45"/>
      <c r="DD923" s="45"/>
      <c r="DE923" s="45"/>
      <c r="DF923" s="45"/>
      <c r="DG923" s="45"/>
      <c r="DH923" s="45"/>
      <c r="DM923" s="44"/>
      <c r="DN923" s="44"/>
    </row>
    <row r="924" ht="15.75" customHeight="1">
      <c r="O924" s="43"/>
      <c r="CG924" s="44"/>
      <c r="CH924" s="44"/>
      <c r="DA924" s="45"/>
      <c r="DB924" s="45"/>
      <c r="DC924" s="45"/>
      <c r="DD924" s="45"/>
      <c r="DE924" s="45"/>
      <c r="DF924" s="45"/>
      <c r="DG924" s="45"/>
      <c r="DH924" s="45"/>
      <c r="DM924" s="44"/>
      <c r="DN924" s="44"/>
    </row>
    <row r="925" ht="15.75" customHeight="1">
      <c r="O925" s="43"/>
      <c r="CG925" s="44"/>
      <c r="CH925" s="44"/>
      <c r="DA925" s="45"/>
      <c r="DB925" s="45"/>
      <c r="DC925" s="45"/>
      <c r="DD925" s="45"/>
      <c r="DE925" s="45"/>
      <c r="DF925" s="45"/>
      <c r="DG925" s="45"/>
      <c r="DH925" s="45"/>
      <c r="DM925" s="44"/>
      <c r="DN925" s="44"/>
    </row>
    <row r="926" ht="15.75" customHeight="1">
      <c r="O926" s="43"/>
      <c r="CG926" s="44"/>
      <c r="CH926" s="44"/>
      <c r="DA926" s="45"/>
      <c r="DB926" s="45"/>
      <c r="DC926" s="45"/>
      <c r="DD926" s="45"/>
      <c r="DE926" s="45"/>
      <c r="DF926" s="45"/>
      <c r="DG926" s="45"/>
      <c r="DH926" s="45"/>
      <c r="DM926" s="44"/>
      <c r="DN926" s="44"/>
    </row>
    <row r="927" ht="15.75" customHeight="1">
      <c r="O927" s="43"/>
      <c r="CG927" s="44"/>
      <c r="CH927" s="44"/>
      <c r="DA927" s="45"/>
      <c r="DB927" s="45"/>
      <c r="DC927" s="45"/>
      <c r="DD927" s="45"/>
      <c r="DE927" s="45"/>
      <c r="DF927" s="45"/>
      <c r="DG927" s="45"/>
      <c r="DH927" s="45"/>
      <c r="DM927" s="44"/>
      <c r="DN927" s="44"/>
    </row>
    <row r="928" ht="15.75" customHeight="1">
      <c r="O928" s="43"/>
      <c r="CG928" s="44"/>
      <c r="CH928" s="44"/>
      <c r="DA928" s="45"/>
      <c r="DB928" s="45"/>
      <c r="DC928" s="45"/>
      <c r="DD928" s="45"/>
      <c r="DE928" s="45"/>
      <c r="DF928" s="45"/>
      <c r="DG928" s="45"/>
      <c r="DH928" s="45"/>
      <c r="DM928" s="44"/>
      <c r="DN928" s="44"/>
    </row>
    <row r="929" ht="15.75" customHeight="1">
      <c r="O929" s="43"/>
      <c r="CG929" s="44"/>
      <c r="CH929" s="44"/>
      <c r="DA929" s="45"/>
      <c r="DB929" s="45"/>
      <c r="DC929" s="45"/>
      <c r="DD929" s="45"/>
      <c r="DE929" s="45"/>
      <c r="DF929" s="45"/>
      <c r="DG929" s="45"/>
      <c r="DH929" s="45"/>
      <c r="DM929" s="44"/>
      <c r="DN929" s="44"/>
    </row>
    <row r="930" ht="15.75" customHeight="1">
      <c r="O930" s="43"/>
      <c r="CG930" s="44"/>
      <c r="CH930" s="44"/>
      <c r="DA930" s="45"/>
      <c r="DB930" s="45"/>
      <c r="DC930" s="45"/>
      <c r="DD930" s="45"/>
      <c r="DE930" s="45"/>
      <c r="DF930" s="45"/>
      <c r="DG930" s="45"/>
      <c r="DH930" s="45"/>
      <c r="DM930" s="44"/>
      <c r="DN930" s="44"/>
    </row>
    <row r="931" ht="15.75" customHeight="1">
      <c r="O931" s="43"/>
      <c r="CG931" s="44"/>
      <c r="CH931" s="44"/>
      <c r="DA931" s="45"/>
      <c r="DB931" s="45"/>
      <c r="DC931" s="45"/>
      <c r="DD931" s="45"/>
      <c r="DE931" s="45"/>
      <c r="DF931" s="45"/>
      <c r="DG931" s="45"/>
      <c r="DH931" s="45"/>
      <c r="DM931" s="44"/>
      <c r="DN931" s="44"/>
    </row>
    <row r="932" ht="15.75" customHeight="1">
      <c r="O932" s="43"/>
      <c r="CG932" s="44"/>
      <c r="CH932" s="44"/>
      <c r="DA932" s="45"/>
      <c r="DB932" s="45"/>
      <c r="DC932" s="45"/>
      <c r="DD932" s="45"/>
      <c r="DE932" s="45"/>
      <c r="DF932" s="45"/>
      <c r="DG932" s="45"/>
      <c r="DH932" s="45"/>
      <c r="DM932" s="44"/>
      <c r="DN932" s="44"/>
    </row>
    <row r="933" ht="15.75" customHeight="1">
      <c r="O933" s="43"/>
      <c r="CG933" s="44"/>
      <c r="CH933" s="44"/>
      <c r="DA933" s="45"/>
      <c r="DB933" s="45"/>
      <c r="DC933" s="45"/>
      <c r="DD933" s="45"/>
      <c r="DE933" s="45"/>
      <c r="DF933" s="45"/>
      <c r="DG933" s="45"/>
      <c r="DH933" s="45"/>
      <c r="DM933" s="44"/>
      <c r="DN933" s="44"/>
    </row>
    <row r="934" ht="15.75" customHeight="1">
      <c r="O934" s="43"/>
      <c r="CG934" s="44"/>
      <c r="CH934" s="44"/>
      <c r="DA934" s="45"/>
      <c r="DB934" s="45"/>
      <c r="DC934" s="45"/>
      <c r="DD934" s="45"/>
      <c r="DE934" s="45"/>
      <c r="DF934" s="45"/>
      <c r="DG934" s="45"/>
      <c r="DH934" s="45"/>
      <c r="DM934" s="44"/>
      <c r="DN934" s="44"/>
    </row>
    <row r="935" ht="15.75" customHeight="1">
      <c r="O935" s="43"/>
      <c r="CG935" s="44"/>
      <c r="CH935" s="44"/>
      <c r="DA935" s="45"/>
      <c r="DB935" s="45"/>
      <c r="DC935" s="45"/>
      <c r="DD935" s="45"/>
      <c r="DE935" s="45"/>
      <c r="DF935" s="45"/>
      <c r="DG935" s="45"/>
      <c r="DH935" s="45"/>
      <c r="DM935" s="44"/>
      <c r="DN935" s="44"/>
    </row>
    <row r="936" ht="15.75" customHeight="1">
      <c r="O936" s="43"/>
      <c r="CG936" s="44"/>
      <c r="CH936" s="44"/>
      <c r="DA936" s="45"/>
      <c r="DB936" s="45"/>
      <c r="DC936" s="45"/>
      <c r="DD936" s="45"/>
      <c r="DE936" s="45"/>
      <c r="DF936" s="45"/>
      <c r="DG936" s="45"/>
      <c r="DH936" s="45"/>
      <c r="DM936" s="44"/>
      <c r="DN936" s="44"/>
    </row>
    <row r="937" ht="15.75" customHeight="1">
      <c r="O937" s="43"/>
      <c r="CG937" s="44"/>
      <c r="CH937" s="44"/>
      <c r="DA937" s="45"/>
      <c r="DB937" s="45"/>
      <c r="DC937" s="45"/>
      <c r="DD937" s="45"/>
      <c r="DE937" s="45"/>
      <c r="DF937" s="45"/>
      <c r="DG937" s="45"/>
      <c r="DH937" s="45"/>
      <c r="DM937" s="44"/>
      <c r="DN937" s="44"/>
    </row>
    <row r="938" ht="15.75" customHeight="1">
      <c r="O938" s="43"/>
      <c r="CG938" s="44"/>
      <c r="CH938" s="44"/>
      <c r="DA938" s="45"/>
      <c r="DB938" s="45"/>
      <c r="DC938" s="45"/>
      <c r="DD938" s="45"/>
      <c r="DE938" s="45"/>
      <c r="DF938" s="45"/>
      <c r="DG938" s="45"/>
      <c r="DH938" s="45"/>
      <c r="DM938" s="44"/>
      <c r="DN938" s="44"/>
    </row>
    <row r="939" ht="15.75" customHeight="1">
      <c r="O939" s="43"/>
      <c r="CG939" s="44"/>
      <c r="CH939" s="44"/>
      <c r="DA939" s="45"/>
      <c r="DB939" s="45"/>
      <c r="DC939" s="45"/>
      <c r="DD939" s="45"/>
      <c r="DE939" s="45"/>
      <c r="DF939" s="45"/>
      <c r="DG939" s="45"/>
      <c r="DH939" s="45"/>
      <c r="DM939" s="44"/>
      <c r="DN939" s="44"/>
    </row>
    <row r="940" ht="15.75" customHeight="1">
      <c r="O940" s="43"/>
      <c r="CG940" s="44"/>
      <c r="CH940" s="44"/>
      <c r="DA940" s="45"/>
      <c r="DB940" s="45"/>
      <c r="DC940" s="45"/>
      <c r="DD940" s="45"/>
      <c r="DE940" s="45"/>
      <c r="DF940" s="45"/>
      <c r="DG940" s="45"/>
      <c r="DH940" s="45"/>
      <c r="DM940" s="44"/>
      <c r="DN940" s="44"/>
    </row>
    <row r="941" ht="15.75" customHeight="1">
      <c r="O941" s="43"/>
      <c r="CG941" s="44"/>
      <c r="CH941" s="44"/>
      <c r="DA941" s="45"/>
      <c r="DB941" s="45"/>
      <c r="DC941" s="45"/>
      <c r="DD941" s="45"/>
      <c r="DE941" s="45"/>
      <c r="DF941" s="45"/>
      <c r="DG941" s="45"/>
      <c r="DH941" s="45"/>
      <c r="DM941" s="44"/>
      <c r="DN941" s="44"/>
    </row>
    <row r="942" ht="15.75" customHeight="1">
      <c r="O942" s="43"/>
      <c r="CG942" s="44"/>
      <c r="CH942" s="44"/>
      <c r="DA942" s="45"/>
      <c r="DB942" s="45"/>
      <c r="DC942" s="45"/>
      <c r="DD942" s="45"/>
      <c r="DE942" s="45"/>
      <c r="DF942" s="45"/>
      <c r="DG942" s="45"/>
      <c r="DH942" s="45"/>
      <c r="DM942" s="44"/>
      <c r="DN942" s="44"/>
    </row>
    <row r="943" ht="15.75" customHeight="1">
      <c r="O943" s="43"/>
      <c r="CG943" s="44"/>
      <c r="CH943" s="44"/>
      <c r="DA943" s="45"/>
      <c r="DB943" s="45"/>
      <c r="DC943" s="45"/>
      <c r="DD943" s="45"/>
      <c r="DE943" s="45"/>
      <c r="DF943" s="45"/>
      <c r="DG943" s="45"/>
      <c r="DH943" s="45"/>
      <c r="DM943" s="44"/>
      <c r="DN943" s="44"/>
    </row>
    <row r="944" ht="15.75" customHeight="1">
      <c r="O944" s="43"/>
      <c r="CG944" s="44"/>
      <c r="CH944" s="44"/>
      <c r="DA944" s="45"/>
      <c r="DB944" s="45"/>
      <c r="DC944" s="45"/>
      <c r="DD944" s="45"/>
      <c r="DE944" s="45"/>
      <c r="DF944" s="45"/>
      <c r="DG944" s="45"/>
      <c r="DH944" s="45"/>
      <c r="DM944" s="44"/>
      <c r="DN944" s="44"/>
    </row>
    <row r="945" ht="15.75" customHeight="1">
      <c r="O945" s="43"/>
      <c r="CG945" s="44"/>
      <c r="CH945" s="44"/>
      <c r="DA945" s="45"/>
      <c r="DB945" s="45"/>
      <c r="DC945" s="45"/>
      <c r="DD945" s="45"/>
      <c r="DE945" s="45"/>
      <c r="DF945" s="45"/>
      <c r="DG945" s="45"/>
      <c r="DH945" s="45"/>
      <c r="DM945" s="44"/>
      <c r="DN945" s="44"/>
    </row>
    <row r="946" ht="15.75" customHeight="1">
      <c r="O946" s="43"/>
      <c r="CG946" s="44"/>
      <c r="CH946" s="44"/>
      <c r="DA946" s="45"/>
      <c r="DB946" s="45"/>
      <c r="DC946" s="45"/>
      <c r="DD946" s="45"/>
      <c r="DE946" s="45"/>
      <c r="DF946" s="45"/>
      <c r="DG946" s="45"/>
      <c r="DH946" s="45"/>
      <c r="DM946" s="44"/>
      <c r="DN946" s="44"/>
    </row>
    <row r="947" ht="15.75" customHeight="1">
      <c r="O947" s="43"/>
      <c r="CG947" s="44"/>
      <c r="CH947" s="44"/>
      <c r="DA947" s="45"/>
      <c r="DB947" s="45"/>
      <c r="DC947" s="45"/>
      <c r="DD947" s="45"/>
      <c r="DE947" s="45"/>
      <c r="DF947" s="45"/>
      <c r="DG947" s="45"/>
      <c r="DH947" s="45"/>
      <c r="DM947" s="44"/>
      <c r="DN947" s="44"/>
    </row>
    <row r="948" ht="15.75" customHeight="1">
      <c r="O948" s="43"/>
      <c r="CG948" s="44"/>
      <c r="CH948" s="44"/>
      <c r="DA948" s="45"/>
      <c r="DB948" s="45"/>
      <c r="DC948" s="45"/>
      <c r="DD948" s="45"/>
      <c r="DE948" s="45"/>
      <c r="DF948" s="45"/>
      <c r="DG948" s="45"/>
      <c r="DH948" s="45"/>
      <c r="DM948" s="44"/>
      <c r="DN948" s="44"/>
    </row>
    <row r="949" ht="15.75" customHeight="1">
      <c r="O949" s="43"/>
      <c r="CG949" s="44"/>
      <c r="CH949" s="44"/>
      <c r="DA949" s="45"/>
      <c r="DB949" s="45"/>
      <c r="DC949" s="45"/>
      <c r="DD949" s="45"/>
      <c r="DE949" s="45"/>
      <c r="DF949" s="45"/>
      <c r="DG949" s="45"/>
      <c r="DH949" s="45"/>
      <c r="DM949" s="44"/>
      <c r="DN949" s="44"/>
    </row>
    <row r="950" ht="15.75" customHeight="1">
      <c r="O950" s="43"/>
      <c r="CG950" s="44"/>
      <c r="CH950" s="44"/>
      <c r="DA950" s="45"/>
      <c r="DB950" s="45"/>
      <c r="DC950" s="45"/>
      <c r="DD950" s="45"/>
      <c r="DE950" s="45"/>
      <c r="DF950" s="45"/>
      <c r="DG950" s="45"/>
      <c r="DH950" s="45"/>
      <c r="DM950" s="44"/>
      <c r="DN950" s="44"/>
    </row>
    <row r="951" ht="15.75" customHeight="1">
      <c r="O951" s="43"/>
      <c r="CG951" s="44"/>
      <c r="CH951" s="44"/>
      <c r="DA951" s="45"/>
      <c r="DB951" s="45"/>
      <c r="DC951" s="45"/>
      <c r="DD951" s="45"/>
      <c r="DE951" s="45"/>
      <c r="DF951" s="45"/>
      <c r="DG951" s="45"/>
      <c r="DH951" s="45"/>
      <c r="DM951" s="44"/>
      <c r="DN951" s="44"/>
    </row>
    <row r="952" ht="15.75" customHeight="1">
      <c r="O952" s="43"/>
      <c r="CG952" s="44"/>
      <c r="CH952" s="44"/>
      <c r="DA952" s="45"/>
      <c r="DB952" s="45"/>
      <c r="DC952" s="45"/>
      <c r="DD952" s="45"/>
      <c r="DE952" s="45"/>
      <c r="DF952" s="45"/>
      <c r="DG952" s="45"/>
      <c r="DH952" s="45"/>
      <c r="DM952" s="44"/>
      <c r="DN952" s="44"/>
    </row>
    <row r="953" ht="15.75" customHeight="1">
      <c r="O953" s="43"/>
      <c r="CG953" s="44"/>
      <c r="CH953" s="44"/>
      <c r="DA953" s="45"/>
      <c r="DB953" s="45"/>
      <c r="DC953" s="45"/>
      <c r="DD953" s="45"/>
      <c r="DE953" s="45"/>
      <c r="DF953" s="45"/>
      <c r="DG953" s="45"/>
      <c r="DH953" s="45"/>
      <c r="DM953" s="44"/>
      <c r="DN953" s="44"/>
    </row>
    <row r="954" ht="15.75" customHeight="1">
      <c r="O954" s="43"/>
      <c r="CG954" s="44"/>
      <c r="CH954" s="44"/>
      <c r="DA954" s="45"/>
      <c r="DB954" s="45"/>
      <c r="DC954" s="45"/>
      <c r="DD954" s="45"/>
      <c r="DE954" s="45"/>
      <c r="DF954" s="45"/>
      <c r="DG954" s="45"/>
      <c r="DH954" s="45"/>
      <c r="DM954" s="44"/>
      <c r="DN954" s="44"/>
    </row>
    <row r="955" ht="15.75" customHeight="1">
      <c r="O955" s="43"/>
      <c r="CG955" s="44"/>
      <c r="CH955" s="44"/>
      <c r="DA955" s="45"/>
      <c r="DB955" s="45"/>
      <c r="DC955" s="45"/>
      <c r="DD955" s="45"/>
      <c r="DE955" s="45"/>
      <c r="DF955" s="45"/>
      <c r="DG955" s="45"/>
      <c r="DH955" s="45"/>
      <c r="DM955" s="44"/>
      <c r="DN955" s="44"/>
    </row>
    <row r="956" ht="15.75" customHeight="1">
      <c r="O956" s="43"/>
      <c r="CG956" s="44"/>
      <c r="CH956" s="44"/>
      <c r="DA956" s="45"/>
      <c r="DB956" s="45"/>
      <c r="DC956" s="45"/>
      <c r="DD956" s="45"/>
      <c r="DE956" s="45"/>
      <c r="DF956" s="45"/>
      <c r="DG956" s="45"/>
      <c r="DH956" s="45"/>
      <c r="DM956" s="44"/>
      <c r="DN956" s="44"/>
    </row>
    <row r="957" ht="15.75" customHeight="1">
      <c r="O957" s="43"/>
      <c r="CG957" s="44"/>
      <c r="CH957" s="44"/>
      <c r="DA957" s="45"/>
      <c r="DB957" s="45"/>
      <c r="DC957" s="45"/>
      <c r="DD957" s="45"/>
      <c r="DE957" s="45"/>
      <c r="DF957" s="45"/>
      <c r="DG957" s="45"/>
      <c r="DH957" s="45"/>
      <c r="DM957" s="44"/>
      <c r="DN957" s="44"/>
    </row>
    <row r="958" ht="15.75" customHeight="1">
      <c r="O958" s="43"/>
      <c r="CG958" s="44"/>
      <c r="CH958" s="44"/>
      <c r="DA958" s="45"/>
      <c r="DB958" s="45"/>
      <c r="DC958" s="45"/>
      <c r="DD958" s="45"/>
      <c r="DE958" s="45"/>
      <c r="DF958" s="45"/>
      <c r="DG958" s="45"/>
      <c r="DH958" s="45"/>
      <c r="DM958" s="44"/>
      <c r="DN958" s="44"/>
    </row>
    <row r="959" ht="15.75" customHeight="1">
      <c r="O959" s="43"/>
      <c r="CG959" s="44"/>
      <c r="CH959" s="44"/>
      <c r="DA959" s="45"/>
      <c r="DB959" s="45"/>
      <c r="DC959" s="45"/>
      <c r="DD959" s="45"/>
      <c r="DE959" s="45"/>
      <c r="DF959" s="45"/>
      <c r="DG959" s="45"/>
      <c r="DH959" s="45"/>
      <c r="DM959" s="44"/>
      <c r="DN959" s="44"/>
    </row>
    <row r="960" ht="15.75" customHeight="1">
      <c r="O960" s="43"/>
      <c r="CG960" s="44"/>
      <c r="CH960" s="44"/>
      <c r="DA960" s="45"/>
      <c r="DB960" s="45"/>
      <c r="DC960" s="45"/>
      <c r="DD960" s="45"/>
      <c r="DE960" s="45"/>
      <c r="DF960" s="45"/>
      <c r="DG960" s="45"/>
      <c r="DH960" s="45"/>
      <c r="DM960" s="44"/>
      <c r="DN960" s="44"/>
    </row>
    <row r="961" ht="15.75" customHeight="1">
      <c r="O961" s="43"/>
      <c r="CG961" s="44"/>
      <c r="CH961" s="44"/>
      <c r="DA961" s="45"/>
      <c r="DB961" s="45"/>
      <c r="DC961" s="45"/>
      <c r="DD961" s="45"/>
      <c r="DE961" s="45"/>
      <c r="DF961" s="45"/>
      <c r="DG961" s="45"/>
      <c r="DH961" s="45"/>
      <c r="DM961" s="44"/>
      <c r="DN961" s="44"/>
    </row>
    <row r="962" ht="15.75" customHeight="1">
      <c r="O962" s="46"/>
      <c r="CG962" s="44"/>
      <c r="CH962" s="44"/>
      <c r="DA962" s="45"/>
      <c r="DB962" s="45"/>
      <c r="DC962" s="45"/>
      <c r="DD962" s="45"/>
      <c r="DE962" s="45"/>
      <c r="DF962" s="45"/>
      <c r="DG962" s="45"/>
      <c r="DH962" s="45"/>
      <c r="DM962" s="44"/>
      <c r="DN962" s="44"/>
    </row>
    <row r="963" ht="15.75" customHeight="1">
      <c r="O963" s="46"/>
      <c r="CG963" s="44"/>
      <c r="CH963" s="44"/>
      <c r="DA963" s="45"/>
      <c r="DB963" s="45"/>
      <c r="DC963" s="45"/>
      <c r="DD963" s="45"/>
      <c r="DE963" s="45"/>
      <c r="DF963" s="45"/>
      <c r="DG963" s="45"/>
      <c r="DH963" s="45"/>
      <c r="DM963" s="44"/>
      <c r="DN963" s="44"/>
    </row>
    <row r="964" ht="15.75" customHeight="1">
      <c r="O964" s="46"/>
      <c r="CG964" s="44"/>
      <c r="CH964" s="44"/>
      <c r="DA964" s="45"/>
      <c r="DB964" s="45"/>
      <c r="DC964" s="45"/>
      <c r="DD964" s="45"/>
      <c r="DE964" s="45"/>
      <c r="DF964" s="45"/>
      <c r="DG964" s="45"/>
      <c r="DH964" s="45"/>
      <c r="DM964" s="44"/>
      <c r="DN964" s="44"/>
    </row>
    <row r="965" ht="15.75" customHeight="1">
      <c r="O965" s="46"/>
      <c r="CG965" s="44"/>
      <c r="CH965" s="44"/>
      <c r="DA965" s="45"/>
      <c r="DB965" s="45"/>
      <c r="DC965" s="45"/>
      <c r="DD965" s="45"/>
      <c r="DE965" s="45"/>
      <c r="DF965" s="45"/>
      <c r="DG965" s="45"/>
      <c r="DH965" s="45"/>
      <c r="DM965" s="44"/>
      <c r="DN965" s="44"/>
    </row>
    <row r="966" ht="15.75" customHeight="1">
      <c r="O966" s="46"/>
      <c r="CG966" s="44"/>
      <c r="CH966" s="44"/>
      <c r="DA966" s="45"/>
      <c r="DB966" s="45"/>
      <c r="DC966" s="45"/>
      <c r="DD966" s="45"/>
      <c r="DE966" s="45"/>
      <c r="DF966" s="45"/>
      <c r="DG966" s="45"/>
      <c r="DH966" s="45"/>
      <c r="DM966" s="44"/>
      <c r="DN966" s="44"/>
    </row>
    <row r="967" ht="15.75" customHeight="1">
      <c r="O967" s="46"/>
      <c r="CG967" s="44"/>
      <c r="CH967" s="44"/>
      <c r="DA967" s="45"/>
      <c r="DB967" s="45"/>
      <c r="DC967" s="45"/>
      <c r="DD967" s="45"/>
      <c r="DE967" s="45"/>
      <c r="DF967" s="45"/>
      <c r="DG967" s="45"/>
      <c r="DH967" s="45"/>
      <c r="DM967" s="44"/>
      <c r="DN967" s="44"/>
    </row>
    <row r="968" ht="15.75" customHeight="1">
      <c r="O968" s="46"/>
      <c r="CG968" s="44"/>
      <c r="CH968" s="44"/>
      <c r="DA968" s="45"/>
      <c r="DB968" s="45"/>
      <c r="DC968" s="45"/>
      <c r="DD968" s="45"/>
      <c r="DE968" s="45"/>
      <c r="DF968" s="45"/>
      <c r="DG968" s="45"/>
      <c r="DH968" s="45"/>
      <c r="DM968" s="44"/>
      <c r="DN968" s="44"/>
    </row>
    <row r="969" ht="15.75" customHeight="1">
      <c r="O969" s="46"/>
      <c r="CG969" s="44"/>
      <c r="CH969" s="44"/>
      <c r="DA969" s="45"/>
      <c r="DB969" s="45"/>
      <c r="DC969" s="45"/>
      <c r="DD969" s="45"/>
      <c r="DE969" s="45"/>
      <c r="DF969" s="45"/>
      <c r="DG969" s="45"/>
      <c r="DH969" s="45"/>
      <c r="DM969" s="44"/>
      <c r="DN969" s="44"/>
    </row>
    <row r="970" ht="15.75" customHeight="1">
      <c r="O970" s="46"/>
      <c r="CG970" s="44"/>
      <c r="CH970" s="44"/>
      <c r="DA970" s="45"/>
      <c r="DB970" s="45"/>
      <c r="DC970" s="45"/>
      <c r="DD970" s="45"/>
      <c r="DE970" s="45"/>
      <c r="DF970" s="45"/>
      <c r="DG970" s="45"/>
      <c r="DH970" s="45"/>
      <c r="DM970" s="44"/>
      <c r="DN970" s="44"/>
    </row>
    <row r="971" ht="15.75" customHeight="1">
      <c r="O971" s="46"/>
      <c r="CG971" s="44"/>
      <c r="CH971" s="44"/>
      <c r="DA971" s="45"/>
      <c r="DB971" s="45"/>
      <c r="DC971" s="45"/>
      <c r="DD971" s="45"/>
      <c r="DE971" s="45"/>
      <c r="DF971" s="45"/>
      <c r="DG971" s="45"/>
      <c r="DH971" s="45"/>
      <c r="DM971" s="44"/>
      <c r="DN971" s="44"/>
    </row>
    <row r="972" ht="15.75" customHeight="1">
      <c r="O972" s="46"/>
      <c r="CG972" s="44"/>
      <c r="CH972" s="44"/>
      <c r="DA972" s="45"/>
      <c r="DB972" s="45"/>
      <c r="DC972" s="45"/>
      <c r="DD972" s="45"/>
      <c r="DE972" s="45"/>
      <c r="DF972" s="45"/>
      <c r="DG972" s="45"/>
      <c r="DH972" s="45"/>
      <c r="DM972" s="44"/>
      <c r="DN972" s="44"/>
    </row>
    <row r="973" ht="15.75" customHeight="1">
      <c r="O973" s="46"/>
      <c r="CG973" s="44"/>
      <c r="CH973" s="44"/>
      <c r="DA973" s="45"/>
      <c r="DB973" s="45"/>
      <c r="DC973" s="45"/>
      <c r="DD973" s="45"/>
      <c r="DE973" s="45"/>
      <c r="DF973" s="45"/>
      <c r="DG973" s="45"/>
      <c r="DH973" s="45"/>
      <c r="DM973" s="44"/>
      <c r="DN973" s="44"/>
    </row>
    <row r="974" ht="15.75" customHeight="1">
      <c r="O974" s="46"/>
      <c r="CG974" s="44"/>
      <c r="CH974" s="44"/>
      <c r="DA974" s="45"/>
      <c r="DB974" s="45"/>
      <c r="DC974" s="45"/>
      <c r="DD974" s="45"/>
      <c r="DE974" s="45"/>
      <c r="DF974" s="45"/>
      <c r="DG974" s="45"/>
      <c r="DH974" s="45"/>
      <c r="DM974" s="44"/>
      <c r="DN974" s="44"/>
    </row>
    <row r="975" ht="15.75" customHeight="1">
      <c r="O975" s="46"/>
      <c r="CG975" s="44"/>
      <c r="CH975" s="44"/>
      <c r="DA975" s="45"/>
      <c r="DB975" s="45"/>
      <c r="DC975" s="45"/>
      <c r="DD975" s="45"/>
      <c r="DE975" s="45"/>
      <c r="DF975" s="45"/>
      <c r="DG975" s="45"/>
      <c r="DH975" s="45"/>
      <c r="DM975" s="44"/>
      <c r="DN975" s="44"/>
    </row>
    <row r="976" ht="15.75" customHeight="1">
      <c r="O976" s="46"/>
      <c r="CG976" s="44"/>
      <c r="CH976" s="44"/>
      <c r="DA976" s="45"/>
      <c r="DB976" s="45"/>
      <c r="DC976" s="45"/>
      <c r="DD976" s="45"/>
      <c r="DE976" s="45"/>
      <c r="DF976" s="45"/>
      <c r="DG976" s="45"/>
      <c r="DH976" s="45"/>
      <c r="DM976" s="44"/>
      <c r="DN976" s="44"/>
    </row>
    <row r="977" ht="15.75" customHeight="1">
      <c r="O977" s="46"/>
      <c r="CG977" s="44"/>
      <c r="CH977" s="44"/>
      <c r="DA977" s="45"/>
      <c r="DB977" s="45"/>
      <c r="DC977" s="45"/>
      <c r="DD977" s="45"/>
      <c r="DE977" s="45"/>
      <c r="DF977" s="45"/>
      <c r="DG977" s="45"/>
      <c r="DH977" s="45"/>
      <c r="DM977" s="44"/>
      <c r="DN977" s="44"/>
    </row>
    <row r="978" ht="15.75" customHeight="1">
      <c r="O978" s="46"/>
      <c r="CG978" s="44"/>
      <c r="CH978" s="44"/>
      <c r="DA978" s="45"/>
      <c r="DB978" s="45"/>
      <c r="DC978" s="45"/>
      <c r="DD978" s="45"/>
      <c r="DE978" s="45"/>
      <c r="DF978" s="45"/>
      <c r="DG978" s="45"/>
      <c r="DH978" s="45"/>
      <c r="DM978" s="44"/>
      <c r="DN978" s="44"/>
    </row>
    <row r="979" ht="15.75" customHeight="1">
      <c r="O979" s="46"/>
      <c r="CG979" s="44"/>
      <c r="CH979" s="44"/>
      <c r="DA979" s="45"/>
      <c r="DB979" s="45"/>
      <c r="DC979" s="45"/>
      <c r="DD979" s="45"/>
      <c r="DE979" s="45"/>
      <c r="DF979" s="45"/>
      <c r="DG979" s="45"/>
      <c r="DH979" s="45"/>
      <c r="DM979" s="44"/>
      <c r="DN979" s="44"/>
    </row>
    <row r="980" ht="15.75" customHeight="1">
      <c r="O980" s="46"/>
      <c r="CG980" s="44"/>
      <c r="CH980" s="44"/>
      <c r="DA980" s="45"/>
      <c r="DB980" s="45"/>
      <c r="DC980" s="45"/>
      <c r="DD980" s="45"/>
      <c r="DE980" s="45"/>
      <c r="DF980" s="45"/>
      <c r="DG980" s="45"/>
      <c r="DH980" s="45"/>
      <c r="DM980" s="44"/>
      <c r="DN980" s="44"/>
    </row>
    <row r="981" ht="15.75" customHeight="1">
      <c r="O981" s="46"/>
      <c r="CG981" s="44"/>
      <c r="CH981" s="44"/>
      <c r="DA981" s="45"/>
      <c r="DB981" s="45"/>
      <c r="DC981" s="45"/>
      <c r="DD981" s="45"/>
      <c r="DE981" s="45"/>
      <c r="DF981" s="45"/>
      <c r="DG981" s="45"/>
      <c r="DH981" s="45"/>
      <c r="DM981" s="44"/>
      <c r="DN981" s="44"/>
    </row>
    <row r="982" ht="15.75" customHeight="1">
      <c r="O982" s="46"/>
      <c r="CG982" s="44"/>
      <c r="CH982" s="44"/>
      <c r="DA982" s="45"/>
      <c r="DB982" s="45"/>
      <c r="DC982" s="45"/>
      <c r="DD982" s="45"/>
      <c r="DE982" s="45"/>
      <c r="DF982" s="45"/>
      <c r="DG982" s="45"/>
      <c r="DH982" s="45"/>
      <c r="DM982" s="44"/>
      <c r="DN982" s="44"/>
    </row>
    <row r="983" ht="15.75" customHeight="1">
      <c r="O983" s="46"/>
      <c r="CG983" s="44"/>
      <c r="CH983" s="44"/>
      <c r="DA983" s="45"/>
      <c r="DB983" s="45"/>
      <c r="DC983" s="45"/>
      <c r="DD983" s="45"/>
      <c r="DE983" s="45"/>
      <c r="DF983" s="45"/>
      <c r="DG983" s="45"/>
      <c r="DH983" s="45"/>
      <c r="DM983" s="44"/>
      <c r="DN983" s="44"/>
    </row>
    <row r="984" ht="15.75" customHeight="1">
      <c r="O984" s="46"/>
      <c r="CG984" s="44"/>
      <c r="CH984" s="44"/>
      <c r="DA984" s="45"/>
      <c r="DB984" s="45"/>
      <c r="DC984" s="45"/>
      <c r="DD984" s="45"/>
      <c r="DE984" s="45"/>
      <c r="DF984" s="45"/>
      <c r="DG984" s="45"/>
      <c r="DH984" s="45"/>
      <c r="DM984" s="44"/>
      <c r="DN984" s="44"/>
    </row>
    <row r="985" ht="15.75" customHeight="1">
      <c r="O985" s="46"/>
      <c r="CG985" s="44"/>
      <c r="CH985" s="44"/>
      <c r="DA985" s="45"/>
      <c r="DB985" s="45"/>
      <c r="DC985" s="45"/>
      <c r="DD985" s="45"/>
      <c r="DE985" s="45"/>
      <c r="DF985" s="45"/>
      <c r="DG985" s="45"/>
      <c r="DH985" s="45"/>
      <c r="DM985" s="44"/>
      <c r="DN985" s="44"/>
    </row>
    <row r="986" ht="15.75" customHeight="1">
      <c r="O986" s="46"/>
      <c r="CG986" s="44"/>
      <c r="CH986" s="44"/>
      <c r="DA986" s="45"/>
      <c r="DB986" s="45"/>
      <c r="DC986" s="45"/>
      <c r="DD986" s="45"/>
      <c r="DE986" s="45"/>
      <c r="DF986" s="45"/>
      <c r="DG986" s="45"/>
      <c r="DH986" s="45"/>
      <c r="DM986" s="44"/>
      <c r="DN986" s="44"/>
    </row>
    <row r="987" ht="15.75" customHeight="1">
      <c r="O987" s="46"/>
      <c r="CG987" s="44"/>
      <c r="CH987" s="44"/>
      <c r="DA987" s="45"/>
      <c r="DB987" s="45"/>
      <c r="DC987" s="45"/>
      <c r="DD987" s="45"/>
      <c r="DE987" s="45"/>
      <c r="DF987" s="45"/>
      <c r="DG987" s="45"/>
      <c r="DH987" s="45"/>
      <c r="DM987" s="44"/>
      <c r="DN987" s="44"/>
    </row>
    <row r="988" ht="15.75" customHeight="1">
      <c r="O988" s="46"/>
      <c r="CG988" s="44"/>
      <c r="CH988" s="44"/>
      <c r="DA988" s="45"/>
      <c r="DB988" s="45"/>
      <c r="DC988" s="45"/>
      <c r="DD988" s="45"/>
      <c r="DE988" s="45"/>
      <c r="DF988" s="45"/>
      <c r="DG988" s="45"/>
      <c r="DH988" s="45"/>
      <c r="DM988" s="44"/>
      <c r="DN988" s="44"/>
    </row>
    <row r="989" ht="15.75" customHeight="1">
      <c r="O989" s="46"/>
      <c r="CG989" s="44"/>
      <c r="CH989" s="44"/>
      <c r="DA989" s="45"/>
      <c r="DB989" s="45"/>
      <c r="DC989" s="45"/>
      <c r="DD989" s="45"/>
      <c r="DE989" s="45"/>
      <c r="DF989" s="45"/>
      <c r="DG989" s="45"/>
      <c r="DH989" s="45"/>
      <c r="DM989" s="44"/>
      <c r="DN989" s="44"/>
    </row>
    <row r="990" ht="15.75" customHeight="1">
      <c r="O990" s="46"/>
      <c r="CG990" s="44"/>
      <c r="CH990" s="44"/>
      <c r="DA990" s="45"/>
      <c r="DB990" s="45"/>
      <c r="DC990" s="45"/>
      <c r="DD990" s="45"/>
      <c r="DE990" s="45"/>
      <c r="DF990" s="45"/>
      <c r="DG990" s="45"/>
      <c r="DH990" s="45"/>
      <c r="DM990" s="44"/>
      <c r="DN990" s="44"/>
    </row>
    <row r="991" ht="15.75" customHeight="1">
      <c r="O991" s="46"/>
      <c r="CG991" s="44"/>
      <c r="CH991" s="44"/>
      <c r="DA991" s="45"/>
      <c r="DB991" s="45"/>
      <c r="DC991" s="45"/>
      <c r="DD991" s="45"/>
      <c r="DE991" s="45"/>
      <c r="DF991" s="45"/>
      <c r="DG991" s="45"/>
      <c r="DH991" s="45"/>
      <c r="DM991" s="44"/>
      <c r="DN991" s="44"/>
    </row>
    <row r="992" ht="15.75" customHeight="1">
      <c r="O992" s="46"/>
      <c r="CG992" s="44"/>
      <c r="CH992" s="44"/>
      <c r="DA992" s="45"/>
      <c r="DB992" s="45"/>
      <c r="DC992" s="45"/>
      <c r="DD992" s="45"/>
      <c r="DE992" s="45"/>
      <c r="DF992" s="45"/>
      <c r="DG992" s="45"/>
      <c r="DH992" s="45"/>
      <c r="DM992" s="44"/>
      <c r="DN992" s="44"/>
    </row>
    <row r="993" ht="15.75" customHeight="1">
      <c r="O993" s="46"/>
      <c r="CG993" s="44"/>
      <c r="CH993" s="44"/>
      <c r="DA993" s="45"/>
      <c r="DB993" s="45"/>
      <c r="DC993" s="45"/>
      <c r="DD993" s="45"/>
      <c r="DE993" s="45"/>
      <c r="DF993" s="45"/>
      <c r="DG993" s="45"/>
      <c r="DH993" s="45"/>
      <c r="DM993" s="44"/>
      <c r="DN993" s="44"/>
    </row>
    <row r="994" ht="15.75" customHeight="1">
      <c r="O994" s="46"/>
      <c r="CG994" s="44"/>
      <c r="CH994" s="44"/>
      <c r="DA994" s="45"/>
      <c r="DB994" s="45"/>
      <c r="DC994" s="45"/>
      <c r="DD994" s="45"/>
      <c r="DE994" s="45"/>
      <c r="DF994" s="45"/>
      <c r="DG994" s="45"/>
      <c r="DH994" s="45"/>
      <c r="DM994" s="44"/>
      <c r="DN994" s="44"/>
    </row>
    <row r="995" ht="15.75" customHeight="1">
      <c r="O995" s="46"/>
      <c r="CG995" s="44"/>
      <c r="CH995" s="44"/>
      <c r="DA995" s="45"/>
      <c r="DB995" s="45"/>
      <c r="DC995" s="45"/>
      <c r="DD995" s="45"/>
      <c r="DE995" s="45"/>
      <c r="DF995" s="45"/>
      <c r="DG995" s="45"/>
      <c r="DH995" s="45"/>
      <c r="DM995" s="44"/>
      <c r="DN995" s="44"/>
    </row>
    <row r="996" ht="15.75" customHeight="1">
      <c r="O996" s="46"/>
      <c r="CG996" s="44"/>
      <c r="CH996" s="44"/>
      <c r="DA996" s="45"/>
      <c r="DB996" s="45"/>
      <c r="DC996" s="45"/>
      <c r="DD996" s="45"/>
      <c r="DE996" s="45"/>
      <c r="DF996" s="45"/>
      <c r="DG996" s="45"/>
      <c r="DH996" s="45"/>
      <c r="DM996" s="44"/>
      <c r="DN996" s="44"/>
    </row>
    <row r="997" ht="15.75" customHeight="1">
      <c r="O997" s="46"/>
      <c r="CG997" s="44"/>
      <c r="CH997" s="44"/>
      <c r="DA997" s="45"/>
      <c r="DB997" s="45"/>
      <c r="DC997" s="45"/>
      <c r="DD997" s="45"/>
      <c r="DE997" s="45"/>
      <c r="DF997" s="45"/>
      <c r="DG997" s="45"/>
      <c r="DH997" s="45"/>
      <c r="DM997" s="44"/>
      <c r="DN997" s="44"/>
    </row>
    <row r="998" ht="15.75" customHeight="1">
      <c r="O998" s="46"/>
      <c r="CG998" s="44"/>
      <c r="CH998" s="44"/>
      <c r="DA998" s="45"/>
      <c r="DB998" s="45"/>
      <c r="DC998" s="45"/>
      <c r="DD998" s="45"/>
      <c r="DE998" s="45"/>
      <c r="DF998" s="45"/>
      <c r="DG998" s="45"/>
      <c r="DH998" s="45"/>
      <c r="DM998" s="44"/>
      <c r="DN998" s="44"/>
    </row>
    <row r="999" ht="15.75" customHeight="1">
      <c r="O999" s="46"/>
      <c r="CG999" s="44"/>
      <c r="CH999" s="44"/>
      <c r="DA999" s="45"/>
      <c r="DB999" s="45"/>
      <c r="DC999" s="45"/>
      <c r="DD999" s="45"/>
      <c r="DE999" s="45"/>
      <c r="DF999" s="45"/>
      <c r="DG999" s="45"/>
      <c r="DH999" s="45"/>
      <c r="DM999" s="44"/>
      <c r="DN999" s="44"/>
    </row>
    <row r="1000" ht="15.75" customHeight="1">
      <c r="O1000" s="46"/>
      <c r="CG1000" s="44"/>
      <c r="CH1000" s="44"/>
      <c r="DA1000" s="45"/>
      <c r="DB1000" s="45"/>
      <c r="DC1000" s="45"/>
      <c r="DD1000" s="45"/>
      <c r="DE1000" s="45"/>
      <c r="DF1000" s="45"/>
      <c r="DG1000" s="45"/>
      <c r="DH1000" s="45"/>
      <c r="DM1000" s="44"/>
      <c r="DN1000" s="44"/>
    </row>
  </sheetData>
  <autoFilter ref="$A$1:$DX$10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17.0"/>
    <col customWidth="1" min="4" max="4" width="9.25"/>
    <col customWidth="1" min="5" max="5" width="7.88"/>
    <col customWidth="1" min="6" max="6" width="28.63"/>
    <col customWidth="1" min="7" max="7" width="11.0"/>
    <col customWidth="1" min="8" max="8" width="45.13"/>
    <col customWidth="1" min="9" max="9" width="11.0"/>
    <col customWidth="1" min="10" max="10" width="51.0"/>
    <col customWidth="1" min="11" max="11" width="11.0"/>
  </cols>
  <sheetData>
    <row r="1">
      <c r="A1" s="1" t="s">
        <v>0</v>
      </c>
      <c r="B1" s="1" t="s">
        <v>1</v>
      </c>
      <c r="C1" s="47" t="s">
        <v>2</v>
      </c>
      <c r="D1" s="47" t="s">
        <v>5</v>
      </c>
      <c r="E1" s="48" t="s">
        <v>429</v>
      </c>
      <c r="F1" s="48" t="s">
        <v>430</v>
      </c>
      <c r="G1" s="48" t="s">
        <v>14</v>
      </c>
      <c r="H1" s="48" t="s">
        <v>431</v>
      </c>
      <c r="I1" s="48" t="s">
        <v>14</v>
      </c>
      <c r="J1" s="48" t="s">
        <v>432</v>
      </c>
      <c r="K1" s="48" t="s">
        <v>14</v>
      </c>
    </row>
    <row r="2">
      <c r="A2" s="11">
        <v>1588.0</v>
      </c>
      <c r="B2" s="11" t="s">
        <v>42</v>
      </c>
      <c r="C2" s="49" t="s">
        <v>433</v>
      </c>
      <c r="D2" s="30" t="s">
        <v>109</v>
      </c>
      <c r="E2" s="50" t="s">
        <v>434</v>
      </c>
      <c r="F2" s="51" t="s">
        <v>435</v>
      </c>
      <c r="G2" s="52" t="b">
        <v>1</v>
      </c>
      <c r="H2" s="51" t="s">
        <v>436</v>
      </c>
      <c r="I2" s="53" t="b">
        <v>1</v>
      </c>
      <c r="J2" s="51" t="s">
        <v>437</v>
      </c>
      <c r="K2" s="53" t="b">
        <v>0</v>
      </c>
    </row>
    <row r="3">
      <c r="A3" s="11">
        <v>1588.0</v>
      </c>
      <c r="B3" s="11" t="s">
        <v>42</v>
      </c>
      <c r="C3" s="49" t="s">
        <v>438</v>
      </c>
      <c r="D3" s="30" t="s">
        <v>439</v>
      </c>
      <c r="E3" s="50" t="s">
        <v>440</v>
      </c>
      <c r="F3" s="51" t="s">
        <v>441</v>
      </c>
      <c r="G3" s="52" t="b">
        <v>1</v>
      </c>
      <c r="H3" s="51" t="s">
        <v>442</v>
      </c>
      <c r="I3" s="53" t="b">
        <v>1</v>
      </c>
      <c r="J3" s="51" t="s">
        <v>443</v>
      </c>
      <c r="K3" s="53" t="b">
        <v>0</v>
      </c>
    </row>
    <row r="4">
      <c r="A4" s="11">
        <v>1588.0</v>
      </c>
      <c r="B4" s="11" t="s">
        <v>42</v>
      </c>
      <c r="C4" s="49" t="s">
        <v>444</v>
      </c>
      <c r="D4" s="30" t="s">
        <v>45</v>
      </c>
      <c r="E4" s="50" t="s">
        <v>445</v>
      </c>
      <c r="F4" s="51" t="s">
        <v>446</v>
      </c>
      <c r="G4" s="52" t="b">
        <v>1</v>
      </c>
      <c r="H4" s="51" t="s">
        <v>447</v>
      </c>
      <c r="I4" s="53" t="b">
        <v>1</v>
      </c>
      <c r="J4" s="51" t="s">
        <v>448</v>
      </c>
      <c r="K4" s="53" t="b">
        <v>0</v>
      </c>
    </row>
    <row r="5">
      <c r="A5" s="11">
        <v>1588.0</v>
      </c>
      <c r="B5" s="11" t="s">
        <v>42</v>
      </c>
      <c r="C5" s="49" t="s">
        <v>449</v>
      </c>
      <c r="D5" s="30" t="s">
        <v>269</v>
      </c>
      <c r="E5" s="50" t="s">
        <v>450</v>
      </c>
      <c r="F5" s="51" t="s">
        <v>451</v>
      </c>
      <c r="G5" s="52" t="b">
        <v>1</v>
      </c>
      <c r="H5" s="51" t="s">
        <v>452</v>
      </c>
      <c r="I5" s="53" t="b">
        <v>1</v>
      </c>
      <c r="J5" s="51" t="s">
        <v>453</v>
      </c>
      <c r="K5" s="53" t="b">
        <v>0</v>
      </c>
    </row>
    <row r="6">
      <c r="A6" s="11">
        <v>1588.0</v>
      </c>
      <c r="B6" s="11" t="s">
        <v>42</v>
      </c>
      <c r="C6" s="49" t="s">
        <v>454</v>
      </c>
      <c r="D6" s="30" t="s">
        <v>425</v>
      </c>
      <c r="E6" s="50" t="s">
        <v>455</v>
      </c>
      <c r="F6" s="51" t="s">
        <v>456</v>
      </c>
      <c r="G6" s="52" t="b">
        <v>1</v>
      </c>
      <c r="H6" s="51" t="s">
        <v>457</v>
      </c>
      <c r="I6" s="53" t="b">
        <v>1</v>
      </c>
      <c r="J6" s="51" t="s">
        <v>458</v>
      </c>
      <c r="K6" s="53" t="b">
        <v>0</v>
      </c>
    </row>
    <row r="7">
      <c r="A7" s="11">
        <v>1588.0</v>
      </c>
      <c r="B7" s="11" t="s">
        <v>42</v>
      </c>
      <c r="C7" s="49" t="s">
        <v>459</v>
      </c>
      <c r="D7" s="30" t="s">
        <v>293</v>
      </c>
      <c r="E7" s="50" t="s">
        <v>460</v>
      </c>
      <c r="F7" s="51" t="s">
        <v>461</v>
      </c>
      <c r="G7" s="52" t="b">
        <v>1</v>
      </c>
      <c r="H7" s="51" t="s">
        <v>462</v>
      </c>
      <c r="I7" s="53" t="b">
        <v>1</v>
      </c>
      <c r="J7" s="51" t="s">
        <v>463</v>
      </c>
      <c r="K7" s="53" t="b">
        <v>0</v>
      </c>
    </row>
    <row r="8">
      <c r="A8" s="11">
        <v>1588.0</v>
      </c>
      <c r="B8" s="11" t="s">
        <v>42</v>
      </c>
      <c r="C8" s="49" t="s">
        <v>464</v>
      </c>
      <c r="D8" s="30" t="s">
        <v>45</v>
      </c>
      <c r="E8" s="50" t="s">
        <v>465</v>
      </c>
      <c r="F8" s="51" t="s">
        <v>466</v>
      </c>
      <c r="G8" s="52" t="b">
        <v>1</v>
      </c>
      <c r="H8" s="51" t="s">
        <v>467</v>
      </c>
      <c r="I8" s="53" t="b">
        <v>1</v>
      </c>
      <c r="J8" s="51" t="s">
        <v>468</v>
      </c>
      <c r="K8" s="53" t="b">
        <v>0</v>
      </c>
    </row>
    <row r="9">
      <c r="A9" s="11">
        <v>1588.0</v>
      </c>
      <c r="B9" s="11" t="s">
        <v>42</v>
      </c>
      <c r="C9" s="49" t="s">
        <v>469</v>
      </c>
      <c r="D9" s="30" t="s">
        <v>45</v>
      </c>
      <c r="E9" s="50" t="s">
        <v>470</v>
      </c>
      <c r="F9" s="51" t="s">
        <v>471</v>
      </c>
      <c r="G9" s="52" t="b">
        <v>1</v>
      </c>
      <c r="H9" s="51" t="s">
        <v>472</v>
      </c>
      <c r="I9" s="53" t="b">
        <v>1</v>
      </c>
      <c r="J9" s="51" t="s">
        <v>473</v>
      </c>
      <c r="K9" s="53" t="b">
        <v>0</v>
      </c>
    </row>
    <row r="10">
      <c r="A10" s="11">
        <v>1588.0</v>
      </c>
      <c r="B10" s="11" t="s">
        <v>42</v>
      </c>
      <c r="C10" s="49" t="s">
        <v>474</v>
      </c>
      <c r="D10" s="30" t="s">
        <v>439</v>
      </c>
      <c r="E10" s="50" t="s">
        <v>475</v>
      </c>
      <c r="F10" s="51" t="s">
        <v>476</v>
      </c>
      <c r="G10" s="52" t="b">
        <v>1</v>
      </c>
      <c r="H10" s="51" t="s">
        <v>477</v>
      </c>
      <c r="I10" s="53" t="b">
        <v>1</v>
      </c>
      <c r="J10" s="51" t="s">
        <v>478</v>
      </c>
      <c r="K10" s="53" t="b">
        <v>0</v>
      </c>
    </row>
    <row r="11">
      <c r="A11" s="11">
        <v>1588.0</v>
      </c>
      <c r="B11" s="11" t="s">
        <v>42</v>
      </c>
      <c r="C11" s="49" t="s">
        <v>479</v>
      </c>
      <c r="D11" s="30" t="s">
        <v>109</v>
      </c>
      <c r="E11" s="50" t="s">
        <v>480</v>
      </c>
      <c r="F11" s="51" t="s">
        <v>481</v>
      </c>
      <c r="G11" s="52" t="b">
        <v>1</v>
      </c>
      <c r="H11" s="51" t="s">
        <v>482</v>
      </c>
      <c r="I11" s="53" t="b">
        <v>1</v>
      </c>
      <c r="J11" s="51" t="s">
        <v>483</v>
      </c>
      <c r="K11" s="53" t="b">
        <v>0</v>
      </c>
    </row>
    <row r="12">
      <c r="A12" s="11">
        <v>1588.0</v>
      </c>
      <c r="B12" s="11" t="s">
        <v>42</v>
      </c>
      <c r="C12" s="49" t="s">
        <v>484</v>
      </c>
      <c r="D12" s="30" t="s">
        <v>269</v>
      </c>
      <c r="E12" s="50" t="s">
        <v>485</v>
      </c>
      <c r="F12" s="51" t="s">
        <v>486</v>
      </c>
      <c r="G12" s="52" t="b">
        <v>1</v>
      </c>
      <c r="H12" s="51" t="s">
        <v>487</v>
      </c>
      <c r="I12" s="53" t="b">
        <v>1</v>
      </c>
      <c r="J12" s="51" t="s">
        <v>488</v>
      </c>
      <c r="K12" s="53" t="b">
        <v>0</v>
      </c>
    </row>
    <row r="13">
      <c r="A13" s="11">
        <v>1588.0</v>
      </c>
      <c r="B13" s="11" t="s">
        <v>42</v>
      </c>
      <c r="C13" s="49" t="s">
        <v>489</v>
      </c>
      <c r="D13" s="30" t="s">
        <v>425</v>
      </c>
      <c r="E13" s="50" t="s">
        <v>490</v>
      </c>
      <c r="F13" s="51" t="s">
        <v>491</v>
      </c>
      <c r="G13" s="52" t="b">
        <v>1</v>
      </c>
      <c r="H13" s="51" t="s">
        <v>492</v>
      </c>
      <c r="I13" s="53" t="b">
        <v>1</v>
      </c>
      <c r="J13" s="51" t="s">
        <v>493</v>
      </c>
      <c r="K13" s="53" t="b">
        <v>0</v>
      </c>
    </row>
    <row r="14">
      <c r="A14" s="11">
        <v>1588.0</v>
      </c>
      <c r="B14" s="11" t="s">
        <v>42</v>
      </c>
      <c r="C14" s="49" t="s">
        <v>494</v>
      </c>
      <c r="D14" s="30" t="s">
        <v>293</v>
      </c>
      <c r="E14" s="50" t="s">
        <v>495</v>
      </c>
      <c r="F14" s="51" t="s">
        <v>496</v>
      </c>
      <c r="G14" s="52" t="b">
        <v>1</v>
      </c>
      <c r="H14" s="51" t="s">
        <v>497</v>
      </c>
      <c r="I14" s="53" t="b">
        <v>1</v>
      </c>
      <c r="J14" s="51" t="s">
        <v>498</v>
      </c>
      <c r="K14" s="53" t="b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26.63"/>
    <col customWidth="1" min="46" max="46" width="11.5"/>
    <col customWidth="1" min="47" max="47" width="9.0"/>
    <col customWidth="1" min="48" max="48" width="11.38"/>
    <col customWidth="1" min="49" max="49" width="26.25"/>
    <col customWidth="1" min="50" max="52" width="11.38"/>
    <col customWidth="1" min="53" max="53" width="21.75"/>
    <col customWidth="1" min="54" max="54" width="11.5"/>
    <col customWidth="1" min="55" max="61" width="26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499</v>
      </c>
      <c r="H1" s="2" t="s">
        <v>7</v>
      </c>
      <c r="I1" s="2" t="s">
        <v>500</v>
      </c>
      <c r="J1" s="2" t="s">
        <v>14</v>
      </c>
      <c r="K1" s="2" t="s">
        <v>9</v>
      </c>
      <c r="L1" s="2" t="s">
        <v>10</v>
      </c>
      <c r="M1" s="2" t="s">
        <v>501</v>
      </c>
      <c r="N1" s="2" t="s">
        <v>7</v>
      </c>
      <c r="O1" s="2" t="s">
        <v>9</v>
      </c>
      <c r="P1" s="2" t="s">
        <v>10</v>
      </c>
      <c r="Q1" s="2" t="s">
        <v>502</v>
      </c>
      <c r="R1" s="2" t="s">
        <v>14</v>
      </c>
      <c r="S1" s="2" t="s">
        <v>9</v>
      </c>
      <c r="T1" s="2" t="s">
        <v>10</v>
      </c>
      <c r="U1" s="2" t="s">
        <v>503</v>
      </c>
      <c r="V1" s="2" t="s">
        <v>14</v>
      </c>
      <c r="W1" s="2" t="s">
        <v>504</v>
      </c>
      <c r="X1" s="2" t="s">
        <v>505</v>
      </c>
      <c r="Y1" s="2" t="s">
        <v>506</v>
      </c>
      <c r="Z1" s="2" t="s">
        <v>14</v>
      </c>
      <c r="AA1" s="2" t="s">
        <v>504</v>
      </c>
      <c r="AB1" s="2" t="s">
        <v>10</v>
      </c>
      <c r="AC1" s="2" t="s">
        <v>507</v>
      </c>
      <c r="AD1" s="2" t="s">
        <v>14</v>
      </c>
      <c r="AE1" s="2" t="s">
        <v>9</v>
      </c>
      <c r="AF1" s="2" t="s">
        <v>505</v>
      </c>
      <c r="AG1" s="2" t="s">
        <v>508</v>
      </c>
      <c r="AH1" s="2" t="s">
        <v>14</v>
      </c>
      <c r="AI1" s="2" t="s">
        <v>9</v>
      </c>
      <c r="AJ1" s="2" t="s">
        <v>10</v>
      </c>
      <c r="AK1" s="2" t="s">
        <v>509</v>
      </c>
      <c r="AL1" s="2" t="s">
        <v>14</v>
      </c>
      <c r="AM1" s="2" t="s">
        <v>9</v>
      </c>
      <c r="AN1" s="2" t="s">
        <v>10</v>
      </c>
      <c r="AO1" s="2" t="s">
        <v>510</v>
      </c>
      <c r="AP1" s="2" t="s">
        <v>14</v>
      </c>
      <c r="AQ1" s="2" t="s">
        <v>9</v>
      </c>
      <c r="AR1" s="2" t="s">
        <v>10</v>
      </c>
      <c r="AS1" s="2" t="s">
        <v>511</v>
      </c>
      <c r="AT1" s="2" t="s">
        <v>14</v>
      </c>
      <c r="AU1" s="2" t="s">
        <v>504</v>
      </c>
      <c r="AV1" s="2" t="s">
        <v>10</v>
      </c>
      <c r="AW1" s="6" t="s">
        <v>512</v>
      </c>
      <c r="AX1" s="2" t="s">
        <v>14</v>
      </c>
      <c r="AY1" s="2" t="s">
        <v>504</v>
      </c>
      <c r="AZ1" s="2" t="s">
        <v>10</v>
      </c>
      <c r="BA1" s="54" t="s">
        <v>513</v>
      </c>
      <c r="BB1" s="54" t="s">
        <v>14</v>
      </c>
      <c r="BC1" s="55"/>
      <c r="BD1" s="55"/>
      <c r="BE1" s="55"/>
      <c r="BF1" s="55"/>
      <c r="BG1" s="55"/>
      <c r="BH1" s="55"/>
      <c r="BI1" s="55"/>
    </row>
    <row r="2" ht="15.75" customHeight="1">
      <c r="A2" s="11">
        <v>1588.0</v>
      </c>
      <c r="B2" s="11" t="s">
        <v>514</v>
      </c>
      <c r="C2" s="12" t="str">
        <f t="shared" ref="C2:C25" si="1">CONCATENATE(D2,"_",F2)</f>
        <v>TK-101_ETHANOL</v>
      </c>
      <c r="D2" s="13" t="s">
        <v>43</v>
      </c>
      <c r="E2" s="14" t="s">
        <v>44</v>
      </c>
      <c r="F2" s="13" t="s">
        <v>45</v>
      </c>
      <c r="G2" s="16" t="s">
        <v>515</v>
      </c>
      <c r="H2" s="19">
        <v>0.0</v>
      </c>
      <c r="I2" s="16" t="s">
        <v>516</v>
      </c>
      <c r="J2" s="19">
        <v>0.0</v>
      </c>
      <c r="K2" s="20" t="str">
        <f t="shared" ref="K2:K16" si="2">MID(I2,13,9)</f>
        <v>VIB TK101</v>
      </c>
      <c r="L2" s="21" t="s">
        <v>53</v>
      </c>
      <c r="M2" s="16" t="s">
        <v>517</v>
      </c>
      <c r="N2" s="19">
        <v>0.0</v>
      </c>
      <c r="O2" s="20" t="str">
        <f t="shared" ref="O2:O16" si="3">MID(M2,13,9)</f>
        <v>RDR TK101</v>
      </c>
      <c r="P2" s="21" t="s">
        <v>57</v>
      </c>
      <c r="Q2" s="16" t="s">
        <v>518</v>
      </c>
      <c r="R2" s="19">
        <v>0.0</v>
      </c>
      <c r="S2" s="20" t="str">
        <f t="shared" ref="S2:S14" si="4">MID(Q2,5,8)</f>
        <v>ROSOV-01</v>
      </c>
      <c r="T2" s="21" t="s">
        <v>61</v>
      </c>
      <c r="U2" s="16"/>
      <c r="V2" s="16"/>
      <c r="W2" s="23"/>
      <c r="X2" s="23"/>
      <c r="Y2" s="24" t="s">
        <v>519</v>
      </c>
      <c r="Z2" s="25">
        <v>0.0</v>
      </c>
      <c r="AA2" s="20" t="str">
        <f t="shared" ref="AA2:AA14" si="5">MID(Y2,5,8)</f>
        <v>ROSOV-02</v>
      </c>
      <c r="AB2" s="21" t="s">
        <v>65</v>
      </c>
      <c r="AC2" s="16"/>
      <c r="AD2" s="16"/>
      <c r="AE2" s="23"/>
      <c r="AF2" s="23"/>
      <c r="AG2" s="24" t="s">
        <v>520</v>
      </c>
      <c r="AH2" s="25">
        <v>0.0</v>
      </c>
      <c r="AI2" s="20" t="str">
        <f t="shared" ref="AI2:AI16" si="6">MID(AG2,5,7)</f>
        <v>DBBV-01</v>
      </c>
      <c r="AJ2" s="21" t="s">
        <v>69</v>
      </c>
      <c r="AK2" s="24" t="s">
        <v>521</v>
      </c>
      <c r="AL2" s="25">
        <v>0.0</v>
      </c>
      <c r="AM2" s="20" t="str">
        <f t="shared" ref="AM2:AM16" si="7">MID(AK2,5,7)</f>
        <v>DBBV-03</v>
      </c>
      <c r="AN2" s="21" t="s">
        <v>72</v>
      </c>
      <c r="AO2" s="16"/>
      <c r="AP2" s="16"/>
      <c r="AQ2" s="23"/>
      <c r="AR2" s="23"/>
      <c r="AS2" s="24" t="s">
        <v>522</v>
      </c>
      <c r="AT2" s="25">
        <v>0.0</v>
      </c>
      <c r="AU2" s="20" t="str">
        <f t="shared" ref="AU2:AU16" si="8">MID(AS2,5,7)</f>
        <v>DBBV-02</v>
      </c>
      <c r="AV2" s="21" t="s">
        <v>75</v>
      </c>
      <c r="AW2" s="24" t="s">
        <v>523</v>
      </c>
      <c r="AX2" s="25">
        <v>0.0</v>
      </c>
      <c r="AY2" s="20" t="str">
        <f t="shared" ref="AY2:AY8" si="9">MID(AW2,5,7)</f>
        <v>DBBV-04</v>
      </c>
      <c r="AZ2" s="21" t="s">
        <v>78</v>
      </c>
      <c r="BA2" s="4"/>
      <c r="BB2" s="4"/>
    </row>
    <row r="3" ht="15.75" customHeight="1">
      <c r="A3" s="11">
        <v>1588.0</v>
      </c>
      <c r="B3" s="11" t="s">
        <v>514</v>
      </c>
      <c r="C3" s="12" t="str">
        <f t="shared" si="1"/>
        <v>TK-102_SLOP</v>
      </c>
      <c r="D3" s="30" t="s">
        <v>80</v>
      </c>
      <c r="E3" s="31" t="s">
        <v>44</v>
      </c>
      <c r="F3" s="30" t="s">
        <v>81</v>
      </c>
      <c r="G3" s="16" t="s">
        <v>524</v>
      </c>
      <c r="H3" s="19">
        <v>0.0</v>
      </c>
      <c r="I3" s="16" t="s">
        <v>525</v>
      </c>
      <c r="J3" s="19">
        <v>0.0</v>
      </c>
      <c r="K3" s="20" t="str">
        <f t="shared" si="2"/>
        <v>VIB TK102</v>
      </c>
      <c r="L3" s="21" t="s">
        <v>53</v>
      </c>
      <c r="M3" s="16" t="s">
        <v>526</v>
      </c>
      <c r="N3" s="19">
        <v>0.0</v>
      </c>
      <c r="O3" s="20" t="str">
        <f t="shared" si="3"/>
        <v>RDR TK102</v>
      </c>
      <c r="P3" s="21" t="s">
        <v>57</v>
      </c>
      <c r="Q3" s="16"/>
      <c r="R3" s="16"/>
      <c r="S3" s="20" t="str">
        <f t="shared" si="4"/>
        <v/>
      </c>
      <c r="T3" s="4"/>
      <c r="U3" s="16" t="s">
        <v>527</v>
      </c>
      <c r="V3" s="19">
        <v>0.0</v>
      </c>
      <c r="W3" s="20" t="str">
        <f t="shared" ref="W3:W16" si="10">MID(U3,5,8)</f>
        <v>ROSOV-04</v>
      </c>
      <c r="X3" s="21" t="s">
        <v>93</v>
      </c>
      <c r="Y3" s="16"/>
      <c r="Z3" s="16"/>
      <c r="AA3" s="20" t="str">
        <f t="shared" si="5"/>
        <v/>
      </c>
      <c r="AB3" s="4"/>
      <c r="AC3" s="24" t="s">
        <v>528</v>
      </c>
      <c r="AD3" s="25">
        <v>0.0</v>
      </c>
      <c r="AE3" s="20" t="str">
        <f t="shared" ref="AE3:AE16" si="11">MID(AC3,5,8)</f>
        <v>ROSOV-03</v>
      </c>
      <c r="AF3" s="22" t="s">
        <v>97</v>
      </c>
      <c r="AG3" s="24" t="s">
        <v>529</v>
      </c>
      <c r="AH3" s="25">
        <v>0.0</v>
      </c>
      <c r="AI3" s="20" t="str">
        <f t="shared" si="6"/>
        <v>DBBV-05</v>
      </c>
      <c r="AJ3" s="21" t="s">
        <v>69</v>
      </c>
      <c r="AK3" s="24" t="s">
        <v>530</v>
      </c>
      <c r="AL3" s="25">
        <v>0.0</v>
      </c>
      <c r="AM3" s="20" t="str">
        <f t="shared" si="7"/>
        <v>DBBV-07</v>
      </c>
      <c r="AN3" s="21" t="s">
        <v>72</v>
      </c>
      <c r="AO3" s="16"/>
      <c r="AP3" s="16"/>
      <c r="AQ3" s="3"/>
      <c r="AR3" s="3"/>
      <c r="AS3" s="24" t="s">
        <v>531</v>
      </c>
      <c r="AT3" s="25">
        <v>0.0</v>
      </c>
      <c r="AU3" s="20" t="str">
        <f t="shared" si="8"/>
        <v>DBBV-06</v>
      </c>
      <c r="AV3" s="21" t="s">
        <v>75</v>
      </c>
      <c r="AW3" s="24" t="s">
        <v>532</v>
      </c>
      <c r="AX3" s="25">
        <v>0.0</v>
      </c>
      <c r="AY3" s="20" t="str">
        <f t="shared" si="9"/>
        <v>DBBV-08</v>
      </c>
      <c r="AZ3" s="21" t="s">
        <v>78</v>
      </c>
    </row>
    <row r="4" ht="15.75" customHeight="1">
      <c r="A4" s="11">
        <v>1588.0</v>
      </c>
      <c r="B4" s="11" t="s">
        <v>514</v>
      </c>
      <c r="C4" s="12" t="str">
        <f t="shared" si="1"/>
        <v>TK-103_BS VI HSD</v>
      </c>
      <c r="D4" s="30" t="s">
        <v>108</v>
      </c>
      <c r="E4" s="31" t="s">
        <v>44</v>
      </c>
      <c r="F4" s="30" t="s">
        <v>109</v>
      </c>
      <c r="G4" s="16" t="s">
        <v>533</v>
      </c>
      <c r="H4" s="19">
        <v>0.0</v>
      </c>
      <c r="I4" s="16" t="s">
        <v>534</v>
      </c>
      <c r="J4" s="19">
        <v>0.0</v>
      </c>
      <c r="K4" s="20" t="str">
        <f t="shared" si="2"/>
        <v>VIB TK103</v>
      </c>
      <c r="L4" s="21" t="s">
        <v>53</v>
      </c>
      <c r="M4" s="16" t="s">
        <v>535</v>
      </c>
      <c r="N4" s="19">
        <v>0.0</v>
      </c>
      <c r="O4" s="20" t="str">
        <f t="shared" si="3"/>
        <v>RDR TK103</v>
      </c>
      <c r="P4" s="21" t="s">
        <v>57</v>
      </c>
      <c r="Q4" s="16"/>
      <c r="R4" s="16"/>
      <c r="S4" s="20" t="str">
        <f t="shared" si="4"/>
        <v/>
      </c>
      <c r="T4" s="4"/>
      <c r="U4" s="16" t="s">
        <v>536</v>
      </c>
      <c r="V4" s="19">
        <v>0.0</v>
      </c>
      <c r="W4" s="20" t="str">
        <f t="shared" si="10"/>
        <v>ROSOV-06</v>
      </c>
      <c r="X4" s="21" t="s">
        <v>93</v>
      </c>
      <c r="Y4" s="16"/>
      <c r="Z4" s="16"/>
      <c r="AA4" s="20" t="str">
        <f t="shared" si="5"/>
        <v/>
      </c>
      <c r="AB4" s="4"/>
      <c r="AC4" s="24" t="s">
        <v>537</v>
      </c>
      <c r="AD4" s="25">
        <v>0.0</v>
      </c>
      <c r="AE4" s="20" t="str">
        <f t="shared" si="11"/>
        <v>ROSOV-05</v>
      </c>
      <c r="AF4" s="22" t="s">
        <v>97</v>
      </c>
      <c r="AG4" s="24" t="s">
        <v>538</v>
      </c>
      <c r="AH4" s="25">
        <v>0.0</v>
      </c>
      <c r="AI4" s="20" t="str">
        <f t="shared" si="6"/>
        <v>DBBV-09</v>
      </c>
      <c r="AJ4" s="21" t="s">
        <v>69</v>
      </c>
      <c r="AK4" s="24" t="s">
        <v>539</v>
      </c>
      <c r="AL4" s="25">
        <v>0.0</v>
      </c>
      <c r="AM4" s="20" t="str">
        <f t="shared" si="7"/>
        <v>DBBV-11</v>
      </c>
      <c r="AN4" s="21" t="s">
        <v>72</v>
      </c>
      <c r="AO4" s="16"/>
      <c r="AP4" s="16"/>
      <c r="AQ4" s="3"/>
      <c r="AR4" s="3"/>
      <c r="AS4" s="24" t="s">
        <v>540</v>
      </c>
      <c r="AT4" s="25">
        <v>0.0</v>
      </c>
      <c r="AU4" s="20" t="str">
        <f t="shared" si="8"/>
        <v>DBBV-10</v>
      </c>
      <c r="AV4" s="21" t="s">
        <v>75</v>
      </c>
      <c r="AW4" s="24" t="s">
        <v>541</v>
      </c>
      <c r="AX4" s="25">
        <v>0.0</v>
      </c>
      <c r="AY4" s="20" t="str">
        <f t="shared" si="9"/>
        <v>DBBV-12</v>
      </c>
      <c r="AZ4" s="21" t="s">
        <v>78</v>
      </c>
    </row>
    <row r="5" ht="15.75" customHeight="1">
      <c r="A5" s="11">
        <v>1588.0</v>
      </c>
      <c r="B5" s="11" t="s">
        <v>514</v>
      </c>
      <c r="C5" s="12" t="str">
        <f t="shared" si="1"/>
        <v>TK-104_ETHANOL</v>
      </c>
      <c r="D5" s="30" t="s">
        <v>132</v>
      </c>
      <c r="E5" s="31" t="s">
        <v>44</v>
      </c>
      <c r="F5" s="30" t="s">
        <v>45</v>
      </c>
      <c r="G5" s="16" t="s">
        <v>542</v>
      </c>
      <c r="H5" s="19">
        <v>0.0</v>
      </c>
      <c r="I5" s="16" t="s">
        <v>543</v>
      </c>
      <c r="J5" s="19">
        <v>0.0</v>
      </c>
      <c r="K5" s="20" t="str">
        <f t="shared" si="2"/>
        <v>VIB TK104</v>
      </c>
      <c r="L5" s="21" t="s">
        <v>53</v>
      </c>
      <c r="M5" s="16" t="s">
        <v>544</v>
      </c>
      <c r="N5" s="19">
        <v>0.0</v>
      </c>
      <c r="O5" s="20" t="str">
        <f t="shared" si="3"/>
        <v>RDR TK104</v>
      </c>
      <c r="P5" s="21" t="s">
        <v>57</v>
      </c>
      <c r="Q5" s="16" t="s">
        <v>545</v>
      </c>
      <c r="R5" s="19">
        <v>0.0</v>
      </c>
      <c r="S5" s="20" t="str">
        <f t="shared" si="4"/>
        <v>ROSOV-07</v>
      </c>
      <c r="T5" s="21" t="s">
        <v>61</v>
      </c>
      <c r="U5" s="16"/>
      <c r="V5" s="16"/>
      <c r="W5" s="20" t="str">
        <f t="shared" si="10"/>
        <v/>
      </c>
      <c r="X5" s="4"/>
      <c r="Y5" s="24" t="s">
        <v>546</v>
      </c>
      <c r="Z5" s="25">
        <v>0.0</v>
      </c>
      <c r="AA5" s="20" t="str">
        <f t="shared" si="5"/>
        <v>ROSOV-08</v>
      </c>
      <c r="AB5" s="21" t="s">
        <v>65</v>
      </c>
      <c r="AC5" s="16"/>
      <c r="AD5" s="16"/>
      <c r="AE5" s="20" t="str">
        <f t="shared" si="11"/>
        <v/>
      </c>
      <c r="AF5" s="4"/>
      <c r="AG5" s="24" t="s">
        <v>547</v>
      </c>
      <c r="AH5" s="25">
        <v>0.0</v>
      </c>
      <c r="AI5" s="20" t="str">
        <f t="shared" si="6"/>
        <v>DBBV-13</v>
      </c>
      <c r="AJ5" s="21" t="s">
        <v>69</v>
      </c>
      <c r="AK5" s="24" t="s">
        <v>548</v>
      </c>
      <c r="AL5" s="25">
        <v>0.0</v>
      </c>
      <c r="AM5" s="20" t="str">
        <f t="shared" si="7"/>
        <v>DBBV-15</v>
      </c>
      <c r="AN5" s="21" t="s">
        <v>72</v>
      </c>
      <c r="AO5" s="16"/>
      <c r="AP5" s="16"/>
      <c r="AQ5" s="3"/>
      <c r="AR5" s="3"/>
      <c r="AS5" s="24" t="s">
        <v>549</v>
      </c>
      <c r="AT5" s="25">
        <v>0.0</v>
      </c>
      <c r="AU5" s="20" t="str">
        <f t="shared" si="8"/>
        <v>DBBV-14</v>
      </c>
      <c r="AV5" s="21" t="s">
        <v>75</v>
      </c>
      <c r="AW5" s="24" t="s">
        <v>550</v>
      </c>
      <c r="AX5" s="25">
        <v>0.0</v>
      </c>
      <c r="AY5" s="20" t="str">
        <f t="shared" si="9"/>
        <v>DBBV-16</v>
      </c>
      <c r="AZ5" s="21" t="s">
        <v>78</v>
      </c>
    </row>
    <row r="6" ht="15.75" customHeight="1">
      <c r="A6" s="11">
        <v>1588.0</v>
      </c>
      <c r="B6" s="11" t="s">
        <v>514</v>
      </c>
      <c r="C6" s="12" t="str">
        <f t="shared" si="1"/>
        <v>TK-105_LOW RON MS</v>
      </c>
      <c r="D6" s="30" t="s">
        <v>155</v>
      </c>
      <c r="E6" s="31" t="s">
        <v>44</v>
      </c>
      <c r="F6" s="30" t="s">
        <v>156</v>
      </c>
      <c r="G6" s="16" t="s">
        <v>551</v>
      </c>
      <c r="H6" s="19">
        <v>0.0</v>
      </c>
      <c r="I6" s="16" t="s">
        <v>552</v>
      </c>
      <c r="J6" s="19">
        <v>0.0</v>
      </c>
      <c r="K6" s="20" t="str">
        <f t="shared" si="2"/>
        <v>VIB TK105</v>
      </c>
      <c r="L6" s="21" t="s">
        <v>53</v>
      </c>
      <c r="M6" s="16" t="s">
        <v>553</v>
      </c>
      <c r="N6" s="19">
        <v>0.0</v>
      </c>
      <c r="O6" s="20" t="str">
        <f t="shared" si="3"/>
        <v>RDR TK105</v>
      </c>
      <c r="P6" s="21" t="s">
        <v>57</v>
      </c>
      <c r="Q6" s="16"/>
      <c r="R6" s="16"/>
      <c r="S6" s="20" t="str">
        <f t="shared" si="4"/>
        <v/>
      </c>
      <c r="T6" s="4"/>
      <c r="U6" s="16" t="s">
        <v>554</v>
      </c>
      <c r="V6" s="19">
        <v>0.0</v>
      </c>
      <c r="W6" s="20" t="str">
        <f t="shared" si="10"/>
        <v>ROSOV-10</v>
      </c>
      <c r="X6" s="21" t="s">
        <v>93</v>
      </c>
      <c r="Y6" s="16"/>
      <c r="Z6" s="16"/>
      <c r="AA6" s="20" t="str">
        <f t="shared" si="5"/>
        <v/>
      </c>
      <c r="AB6" s="4"/>
      <c r="AC6" s="24" t="s">
        <v>555</v>
      </c>
      <c r="AD6" s="25">
        <v>0.0</v>
      </c>
      <c r="AE6" s="20" t="str">
        <f t="shared" si="11"/>
        <v>ROSOV-09</v>
      </c>
      <c r="AF6" s="22" t="s">
        <v>97</v>
      </c>
      <c r="AG6" s="24" t="s">
        <v>556</v>
      </c>
      <c r="AH6" s="25">
        <v>0.0</v>
      </c>
      <c r="AI6" s="20" t="str">
        <f t="shared" si="6"/>
        <v>DBBV-17</v>
      </c>
      <c r="AJ6" s="21" t="s">
        <v>69</v>
      </c>
      <c r="AK6" s="24" t="s">
        <v>557</v>
      </c>
      <c r="AL6" s="25">
        <v>0.0</v>
      </c>
      <c r="AM6" s="20" t="str">
        <f t="shared" si="7"/>
        <v>DBBV-19</v>
      </c>
      <c r="AN6" s="21" t="s">
        <v>72</v>
      </c>
      <c r="AO6" s="16"/>
      <c r="AP6" s="16"/>
      <c r="AQ6" s="3"/>
      <c r="AR6" s="3"/>
      <c r="AS6" s="24" t="s">
        <v>558</v>
      </c>
      <c r="AT6" s="25">
        <v>0.0</v>
      </c>
      <c r="AU6" s="20" t="str">
        <f t="shared" si="8"/>
        <v>DBBV-18</v>
      </c>
      <c r="AV6" s="21" t="s">
        <v>75</v>
      </c>
      <c r="AW6" s="24" t="s">
        <v>559</v>
      </c>
      <c r="AX6" s="25">
        <v>0.0</v>
      </c>
      <c r="AY6" s="20" t="str">
        <f t="shared" si="9"/>
        <v>DBBV-20</v>
      </c>
      <c r="AZ6" s="21" t="s">
        <v>78</v>
      </c>
    </row>
    <row r="7" ht="15.75" customHeight="1">
      <c r="A7" s="11">
        <v>1588.0</v>
      </c>
      <c r="B7" s="11" t="s">
        <v>514</v>
      </c>
      <c r="C7" s="12" t="str">
        <f t="shared" si="1"/>
        <v>TK-106_LOW RON MS</v>
      </c>
      <c r="D7" s="30" t="s">
        <v>179</v>
      </c>
      <c r="E7" s="31" t="s">
        <v>44</v>
      </c>
      <c r="F7" s="30" t="s">
        <v>156</v>
      </c>
      <c r="G7" s="16" t="s">
        <v>560</v>
      </c>
      <c r="H7" s="19">
        <v>0.0</v>
      </c>
      <c r="I7" s="16" t="s">
        <v>561</v>
      </c>
      <c r="J7" s="19">
        <v>0.0</v>
      </c>
      <c r="K7" s="20" t="str">
        <f t="shared" si="2"/>
        <v>VIB TK106</v>
      </c>
      <c r="L7" s="21" t="s">
        <v>53</v>
      </c>
      <c r="M7" s="16" t="s">
        <v>562</v>
      </c>
      <c r="N7" s="19">
        <v>0.0</v>
      </c>
      <c r="O7" s="20" t="str">
        <f t="shared" si="3"/>
        <v>RDR TK106</v>
      </c>
      <c r="P7" s="21" t="s">
        <v>57</v>
      </c>
      <c r="Q7" s="16"/>
      <c r="R7" s="16"/>
      <c r="S7" s="20" t="str">
        <f t="shared" si="4"/>
        <v/>
      </c>
      <c r="T7" s="4"/>
      <c r="U7" s="16" t="s">
        <v>563</v>
      </c>
      <c r="V7" s="19">
        <v>0.0</v>
      </c>
      <c r="W7" s="20" t="str">
        <f t="shared" si="10"/>
        <v>ROSOV-12</v>
      </c>
      <c r="X7" s="21" t="s">
        <v>93</v>
      </c>
      <c r="Y7" s="16"/>
      <c r="Z7" s="16"/>
      <c r="AA7" s="20" t="str">
        <f t="shared" si="5"/>
        <v/>
      </c>
      <c r="AB7" s="4"/>
      <c r="AC7" s="24" t="s">
        <v>564</v>
      </c>
      <c r="AD7" s="25">
        <v>0.0</v>
      </c>
      <c r="AE7" s="20" t="str">
        <f t="shared" si="11"/>
        <v>ROSOV-11</v>
      </c>
      <c r="AF7" s="22" t="s">
        <v>97</v>
      </c>
      <c r="AG7" s="24" t="s">
        <v>565</v>
      </c>
      <c r="AH7" s="25">
        <v>0.0</v>
      </c>
      <c r="AI7" s="20" t="str">
        <f t="shared" si="6"/>
        <v>DBBV-21</v>
      </c>
      <c r="AJ7" s="21" t="s">
        <v>69</v>
      </c>
      <c r="AK7" s="24" t="s">
        <v>566</v>
      </c>
      <c r="AL7" s="25">
        <v>0.0</v>
      </c>
      <c r="AM7" s="20" t="str">
        <f t="shared" si="7"/>
        <v>DBBV-23</v>
      </c>
      <c r="AN7" s="21" t="s">
        <v>72</v>
      </c>
      <c r="AO7" s="16"/>
      <c r="AP7" s="16"/>
      <c r="AQ7" s="3"/>
      <c r="AR7" s="3"/>
      <c r="AS7" s="24" t="s">
        <v>567</v>
      </c>
      <c r="AT7" s="25">
        <v>0.0</v>
      </c>
      <c r="AU7" s="20" t="str">
        <f t="shared" si="8"/>
        <v>DBBV-22</v>
      </c>
      <c r="AV7" s="21" t="s">
        <v>75</v>
      </c>
      <c r="AW7" s="24" t="s">
        <v>568</v>
      </c>
      <c r="AX7" s="25">
        <v>0.0</v>
      </c>
      <c r="AY7" s="20" t="str">
        <f t="shared" si="9"/>
        <v>DBBV-24</v>
      </c>
      <c r="AZ7" s="21" t="s">
        <v>78</v>
      </c>
    </row>
    <row r="8" ht="15.75" customHeight="1">
      <c r="A8" s="11">
        <v>1588.0</v>
      </c>
      <c r="B8" s="11" t="s">
        <v>514</v>
      </c>
      <c r="C8" s="12" t="str">
        <f t="shared" si="1"/>
        <v>TK-107_BS VI HSD</v>
      </c>
      <c r="D8" s="30" t="s">
        <v>202</v>
      </c>
      <c r="E8" s="31" t="s">
        <v>44</v>
      </c>
      <c r="F8" s="30" t="s">
        <v>109</v>
      </c>
      <c r="G8" s="16" t="s">
        <v>569</v>
      </c>
      <c r="H8" s="19">
        <v>0.0</v>
      </c>
      <c r="I8" s="16" t="s">
        <v>570</v>
      </c>
      <c r="J8" s="19">
        <v>0.0</v>
      </c>
      <c r="K8" s="20" t="str">
        <f t="shared" si="2"/>
        <v>VIB TK107</v>
      </c>
      <c r="L8" s="21" t="s">
        <v>53</v>
      </c>
      <c r="M8" s="16" t="s">
        <v>571</v>
      </c>
      <c r="N8" s="19">
        <v>0.0</v>
      </c>
      <c r="O8" s="20" t="str">
        <f t="shared" si="3"/>
        <v>RDR TK107</v>
      </c>
      <c r="P8" s="21" t="s">
        <v>57</v>
      </c>
      <c r="Q8" s="16"/>
      <c r="R8" s="16"/>
      <c r="S8" s="20" t="str">
        <f t="shared" si="4"/>
        <v/>
      </c>
      <c r="T8" s="4"/>
      <c r="U8" s="16" t="s">
        <v>572</v>
      </c>
      <c r="V8" s="19">
        <v>0.0</v>
      </c>
      <c r="W8" s="20" t="str">
        <f t="shared" si="10"/>
        <v>ROSOV-14</v>
      </c>
      <c r="X8" s="21" t="s">
        <v>93</v>
      </c>
      <c r="Y8" s="16"/>
      <c r="Z8" s="16"/>
      <c r="AA8" s="20" t="str">
        <f t="shared" si="5"/>
        <v/>
      </c>
      <c r="AB8" s="4"/>
      <c r="AC8" s="24" t="s">
        <v>573</v>
      </c>
      <c r="AD8" s="25">
        <v>0.0</v>
      </c>
      <c r="AE8" s="20" t="str">
        <f t="shared" si="11"/>
        <v>ROSOV-13</v>
      </c>
      <c r="AF8" s="22" t="s">
        <v>97</v>
      </c>
      <c r="AG8" s="24" t="s">
        <v>574</v>
      </c>
      <c r="AH8" s="25">
        <v>0.0</v>
      </c>
      <c r="AI8" s="20" t="str">
        <f t="shared" si="6"/>
        <v>DBBV-25</v>
      </c>
      <c r="AJ8" s="21" t="s">
        <v>69</v>
      </c>
      <c r="AK8" s="3"/>
      <c r="AL8" s="3"/>
      <c r="AM8" s="20" t="str">
        <f t="shared" si="7"/>
        <v/>
      </c>
      <c r="AN8" s="21" t="s">
        <v>72</v>
      </c>
      <c r="AO8" s="24" t="s">
        <v>575</v>
      </c>
      <c r="AP8" s="25">
        <v>0.0</v>
      </c>
      <c r="AQ8" s="20" t="str">
        <f t="shared" ref="AQ8:AQ16" si="12">MID(AO8,5,7)</f>
        <v>DBBV-27</v>
      </c>
      <c r="AR8" s="21" t="s">
        <v>224</v>
      </c>
      <c r="AS8" s="24" t="s">
        <v>576</v>
      </c>
      <c r="AT8" s="25">
        <v>0.0</v>
      </c>
      <c r="AU8" s="20" t="str">
        <f t="shared" si="8"/>
        <v>DBBV-26</v>
      </c>
      <c r="AV8" s="21" t="s">
        <v>75</v>
      </c>
      <c r="AW8" s="24" t="s">
        <v>577</v>
      </c>
      <c r="AX8" s="25">
        <v>0.0</v>
      </c>
      <c r="AY8" s="20" t="str">
        <f t="shared" si="9"/>
        <v>DBBV-28</v>
      </c>
      <c r="AZ8" s="21" t="s">
        <v>78</v>
      </c>
    </row>
    <row r="9" ht="15.75" customHeight="1">
      <c r="A9" s="11">
        <v>1588.0</v>
      </c>
      <c r="B9" s="11" t="s">
        <v>514</v>
      </c>
      <c r="C9" s="12" t="str">
        <f t="shared" si="1"/>
        <v>TK-108_BS VI HSD</v>
      </c>
      <c r="D9" s="30" t="s">
        <v>226</v>
      </c>
      <c r="E9" s="31" t="s">
        <v>44</v>
      </c>
      <c r="F9" s="30" t="s">
        <v>109</v>
      </c>
      <c r="G9" s="16" t="s">
        <v>578</v>
      </c>
      <c r="H9" s="19">
        <v>0.0</v>
      </c>
      <c r="I9" s="16" t="s">
        <v>579</v>
      </c>
      <c r="J9" s="19">
        <v>0.0</v>
      </c>
      <c r="K9" s="20" t="str">
        <f t="shared" si="2"/>
        <v>VIB TK108</v>
      </c>
      <c r="L9" s="21" t="s">
        <v>53</v>
      </c>
      <c r="M9" s="16" t="s">
        <v>580</v>
      </c>
      <c r="N9" s="19">
        <v>0.0</v>
      </c>
      <c r="O9" s="20" t="str">
        <f t="shared" si="3"/>
        <v>RDR TK108</v>
      </c>
      <c r="P9" s="21" t="s">
        <v>57</v>
      </c>
      <c r="Q9" s="16"/>
      <c r="R9" s="16"/>
      <c r="S9" s="20" t="str">
        <f t="shared" si="4"/>
        <v/>
      </c>
      <c r="T9" s="4"/>
      <c r="U9" s="16" t="s">
        <v>581</v>
      </c>
      <c r="V9" s="19">
        <v>0.0</v>
      </c>
      <c r="W9" s="20" t="str">
        <f t="shared" si="10"/>
        <v>ROSOV-16</v>
      </c>
      <c r="X9" s="21" t="s">
        <v>93</v>
      </c>
      <c r="Y9" s="16"/>
      <c r="Z9" s="16"/>
      <c r="AA9" s="20" t="str">
        <f t="shared" si="5"/>
        <v/>
      </c>
      <c r="AB9" s="4"/>
      <c r="AC9" s="24" t="s">
        <v>582</v>
      </c>
      <c r="AD9" s="25">
        <v>0.0</v>
      </c>
      <c r="AE9" s="20" t="str">
        <f t="shared" si="11"/>
        <v>ROSOV-15</v>
      </c>
      <c r="AF9" s="22" t="s">
        <v>97</v>
      </c>
      <c r="AG9" s="16"/>
      <c r="AH9" s="16"/>
      <c r="AI9" s="20" t="str">
        <f t="shared" si="6"/>
        <v/>
      </c>
      <c r="AJ9" s="21"/>
      <c r="AK9" s="24" t="s">
        <v>583</v>
      </c>
      <c r="AL9" s="25">
        <v>0.0</v>
      </c>
      <c r="AM9" s="20" t="str">
        <f t="shared" si="7"/>
        <v>DBBV-32</v>
      </c>
      <c r="AN9" s="21" t="s">
        <v>72</v>
      </c>
      <c r="AO9" s="24" t="s">
        <v>584</v>
      </c>
      <c r="AP9" s="25">
        <v>0.0</v>
      </c>
      <c r="AQ9" s="20" t="str">
        <f t="shared" si="12"/>
        <v>DBBV-31</v>
      </c>
      <c r="AR9" s="21" t="s">
        <v>224</v>
      </c>
      <c r="AS9" s="16"/>
      <c r="AT9" s="16"/>
      <c r="AU9" s="20" t="str">
        <f t="shared" si="8"/>
        <v/>
      </c>
      <c r="AV9" s="21"/>
      <c r="AW9" s="3"/>
      <c r="AX9" s="3"/>
      <c r="AY9" s="46"/>
      <c r="AZ9" s="46"/>
    </row>
    <row r="10" ht="15.75" customHeight="1">
      <c r="A10" s="11">
        <v>1588.0</v>
      </c>
      <c r="B10" s="11" t="s">
        <v>514</v>
      </c>
      <c r="C10" s="12" t="str">
        <f t="shared" si="1"/>
        <v>TK-109_BS VI HSD</v>
      </c>
      <c r="D10" s="30" t="s">
        <v>245</v>
      </c>
      <c r="E10" s="31" t="s">
        <v>44</v>
      </c>
      <c r="F10" s="30" t="s">
        <v>109</v>
      </c>
      <c r="G10" s="16" t="s">
        <v>585</v>
      </c>
      <c r="H10" s="19">
        <v>0.0</v>
      </c>
      <c r="I10" s="16" t="s">
        <v>586</v>
      </c>
      <c r="J10" s="19">
        <v>0.0</v>
      </c>
      <c r="K10" s="20" t="str">
        <f t="shared" si="2"/>
        <v>VIB TK109</v>
      </c>
      <c r="L10" s="21" t="s">
        <v>53</v>
      </c>
      <c r="M10" s="16" t="s">
        <v>587</v>
      </c>
      <c r="N10" s="19">
        <v>0.0</v>
      </c>
      <c r="O10" s="20" t="str">
        <f t="shared" si="3"/>
        <v>RDR TK109</v>
      </c>
      <c r="P10" s="21" t="s">
        <v>57</v>
      </c>
      <c r="Q10" s="16"/>
      <c r="R10" s="16"/>
      <c r="S10" s="20" t="str">
        <f t="shared" si="4"/>
        <v/>
      </c>
      <c r="T10" s="4"/>
      <c r="U10" s="16" t="s">
        <v>588</v>
      </c>
      <c r="V10" s="19">
        <v>0.0</v>
      </c>
      <c r="W10" s="20" t="str">
        <f t="shared" si="10"/>
        <v>ROSOV-19</v>
      </c>
      <c r="X10" s="21" t="s">
        <v>93</v>
      </c>
      <c r="Y10" s="16"/>
      <c r="Z10" s="16"/>
      <c r="AA10" s="20" t="str">
        <f t="shared" si="5"/>
        <v/>
      </c>
      <c r="AB10" s="4"/>
      <c r="AC10" s="24" t="s">
        <v>589</v>
      </c>
      <c r="AD10" s="25">
        <v>0.0</v>
      </c>
      <c r="AE10" s="20" t="str">
        <f t="shared" si="11"/>
        <v>ROSOV-18</v>
      </c>
      <c r="AF10" s="22" t="s">
        <v>97</v>
      </c>
      <c r="AG10" s="24" t="s">
        <v>590</v>
      </c>
      <c r="AH10" s="25">
        <v>0.0</v>
      </c>
      <c r="AI10" s="20" t="str">
        <f t="shared" si="6"/>
        <v>DBBV-33</v>
      </c>
      <c r="AJ10" s="21" t="s">
        <v>69</v>
      </c>
      <c r="AK10" s="24" t="s">
        <v>591</v>
      </c>
      <c r="AL10" s="25">
        <v>0.0</v>
      </c>
      <c r="AM10" s="20" t="str">
        <f t="shared" si="7"/>
        <v>DBBV-36</v>
      </c>
      <c r="AN10" s="21" t="s">
        <v>72</v>
      </c>
      <c r="AO10" s="24" t="s">
        <v>592</v>
      </c>
      <c r="AP10" s="25">
        <v>0.0</v>
      </c>
      <c r="AQ10" s="20" t="str">
        <f t="shared" si="12"/>
        <v>DBBV-35</v>
      </c>
      <c r="AR10" s="21" t="s">
        <v>224</v>
      </c>
      <c r="AS10" s="24" t="s">
        <v>593</v>
      </c>
      <c r="AT10" s="25">
        <v>0.0</v>
      </c>
      <c r="AU10" s="20" t="str">
        <f t="shared" si="8"/>
        <v>DBBV-34</v>
      </c>
      <c r="AV10" s="21" t="s">
        <v>75</v>
      </c>
      <c r="AW10" s="3"/>
      <c r="AX10" s="3"/>
      <c r="AY10" s="46"/>
      <c r="AZ10" s="46"/>
    </row>
    <row r="11" ht="15.75" customHeight="1">
      <c r="A11" s="11">
        <v>1588.0</v>
      </c>
      <c r="B11" s="11" t="s">
        <v>514</v>
      </c>
      <c r="C11" s="12" t="str">
        <f t="shared" si="1"/>
        <v>TK-110_SKO</v>
      </c>
      <c r="D11" s="30" t="s">
        <v>268</v>
      </c>
      <c r="E11" s="31" t="s">
        <v>44</v>
      </c>
      <c r="F11" s="30" t="s">
        <v>269</v>
      </c>
      <c r="G11" s="16" t="s">
        <v>594</v>
      </c>
      <c r="H11" s="19">
        <v>0.0</v>
      </c>
      <c r="I11" s="16" t="s">
        <v>595</v>
      </c>
      <c r="J11" s="19">
        <v>0.0</v>
      </c>
      <c r="K11" s="20" t="str">
        <f t="shared" si="2"/>
        <v>VIB TK110</v>
      </c>
      <c r="L11" s="21" t="s">
        <v>53</v>
      </c>
      <c r="M11" s="16" t="s">
        <v>596</v>
      </c>
      <c r="N11" s="19">
        <v>0.0</v>
      </c>
      <c r="O11" s="20" t="str">
        <f t="shared" si="3"/>
        <v>RDR TK110</v>
      </c>
      <c r="P11" s="21" t="s">
        <v>57</v>
      </c>
      <c r="Q11" s="16"/>
      <c r="R11" s="16"/>
      <c r="S11" s="20" t="str">
        <f t="shared" si="4"/>
        <v/>
      </c>
      <c r="T11" s="4"/>
      <c r="U11" s="16"/>
      <c r="V11" s="16"/>
      <c r="W11" s="20" t="str">
        <f t="shared" si="10"/>
        <v/>
      </c>
      <c r="X11" s="4"/>
      <c r="Y11" s="24" t="s">
        <v>597</v>
      </c>
      <c r="Z11" s="25">
        <v>0.0</v>
      </c>
      <c r="AA11" s="20" t="str">
        <f t="shared" si="5"/>
        <v>ROSOV-22</v>
      </c>
      <c r="AB11" s="21" t="s">
        <v>65</v>
      </c>
      <c r="AC11" s="24" t="s">
        <v>598</v>
      </c>
      <c r="AD11" s="25">
        <v>0.0</v>
      </c>
      <c r="AE11" s="20" t="str">
        <f t="shared" si="11"/>
        <v>ROSOV-21</v>
      </c>
      <c r="AF11" s="22" t="s">
        <v>97</v>
      </c>
      <c r="AG11" s="24" t="s">
        <v>599</v>
      </c>
      <c r="AH11" s="25">
        <v>0.0</v>
      </c>
      <c r="AI11" s="20" t="str">
        <f t="shared" si="6"/>
        <v>DBBV-37</v>
      </c>
      <c r="AJ11" s="21" t="s">
        <v>69</v>
      </c>
      <c r="AK11" s="24" t="s">
        <v>600</v>
      </c>
      <c r="AL11" s="25">
        <v>0.0</v>
      </c>
      <c r="AM11" s="20" t="str">
        <f t="shared" si="7"/>
        <v>DBBV-40</v>
      </c>
      <c r="AN11" s="21" t="s">
        <v>72</v>
      </c>
      <c r="AO11" s="24" t="s">
        <v>601</v>
      </c>
      <c r="AP11" s="25">
        <v>0.0</v>
      </c>
      <c r="AQ11" s="20" t="str">
        <f t="shared" si="12"/>
        <v>DBBV-39</v>
      </c>
      <c r="AR11" s="21" t="s">
        <v>224</v>
      </c>
      <c r="AS11" s="24" t="s">
        <v>602</v>
      </c>
      <c r="AT11" s="25">
        <v>0.0</v>
      </c>
      <c r="AU11" s="20" t="str">
        <f t="shared" si="8"/>
        <v>DBBV-38</v>
      </c>
      <c r="AV11" s="21" t="s">
        <v>75</v>
      </c>
      <c r="AW11" s="3"/>
      <c r="AX11" s="3"/>
      <c r="AY11" s="46"/>
      <c r="AZ11" s="46"/>
    </row>
    <row r="12" ht="15.75" customHeight="1">
      <c r="A12" s="11">
        <v>1588.0</v>
      </c>
      <c r="B12" s="11" t="s">
        <v>514</v>
      </c>
      <c r="C12" s="12" t="str">
        <f t="shared" si="1"/>
        <v>TK-111_ATF</v>
      </c>
      <c r="D12" s="30" t="s">
        <v>292</v>
      </c>
      <c r="E12" s="31" t="s">
        <v>44</v>
      </c>
      <c r="F12" s="30" t="s">
        <v>293</v>
      </c>
      <c r="G12" s="16" t="s">
        <v>603</v>
      </c>
      <c r="H12" s="19">
        <v>0.0</v>
      </c>
      <c r="I12" s="16" t="s">
        <v>604</v>
      </c>
      <c r="J12" s="19">
        <v>0.0</v>
      </c>
      <c r="K12" s="20" t="str">
        <f t="shared" si="2"/>
        <v>VIB TK111</v>
      </c>
      <c r="L12" s="21" t="s">
        <v>53</v>
      </c>
      <c r="M12" s="16" t="s">
        <v>605</v>
      </c>
      <c r="N12" s="19">
        <v>0.0</v>
      </c>
      <c r="O12" s="20" t="str">
        <f t="shared" si="3"/>
        <v>RDR TK111</v>
      </c>
      <c r="P12" s="21" t="s">
        <v>57</v>
      </c>
      <c r="Q12" s="16"/>
      <c r="R12" s="16"/>
      <c r="S12" s="20" t="str">
        <f t="shared" si="4"/>
        <v/>
      </c>
      <c r="T12" s="4"/>
      <c r="U12" s="16"/>
      <c r="V12" s="16"/>
      <c r="W12" s="20" t="str">
        <f t="shared" si="10"/>
        <v/>
      </c>
      <c r="X12" s="4"/>
      <c r="Y12" s="24" t="s">
        <v>606</v>
      </c>
      <c r="Z12" s="25">
        <v>0.0</v>
      </c>
      <c r="AA12" s="20" t="str">
        <f t="shared" si="5"/>
        <v>ROSOV-23</v>
      </c>
      <c r="AB12" s="21" t="s">
        <v>65</v>
      </c>
      <c r="AC12" s="24" t="s">
        <v>607</v>
      </c>
      <c r="AD12" s="25">
        <v>0.0</v>
      </c>
      <c r="AE12" s="20" t="str">
        <f t="shared" si="11"/>
        <v>ROSOV-34</v>
      </c>
      <c r="AF12" s="22" t="s">
        <v>97</v>
      </c>
      <c r="AG12" s="24" t="s">
        <v>608</v>
      </c>
      <c r="AH12" s="25">
        <v>0.0</v>
      </c>
      <c r="AI12" s="20" t="str">
        <f t="shared" si="6"/>
        <v>DBBV-41</v>
      </c>
      <c r="AJ12" s="21" t="s">
        <v>69</v>
      </c>
      <c r="AK12" s="24" t="s">
        <v>609</v>
      </c>
      <c r="AL12" s="25">
        <v>0.0</v>
      </c>
      <c r="AM12" s="20" t="str">
        <f t="shared" si="7"/>
        <v>DBBV-44</v>
      </c>
      <c r="AN12" s="21" t="s">
        <v>72</v>
      </c>
      <c r="AO12" s="24" t="s">
        <v>610</v>
      </c>
      <c r="AP12" s="25">
        <v>0.0</v>
      </c>
      <c r="AQ12" s="20" t="str">
        <f t="shared" si="12"/>
        <v>DBBV-43</v>
      </c>
      <c r="AR12" s="21" t="s">
        <v>224</v>
      </c>
      <c r="AS12" s="24" t="s">
        <v>611</v>
      </c>
      <c r="AT12" s="25">
        <v>0.0</v>
      </c>
      <c r="AU12" s="20" t="str">
        <f t="shared" si="8"/>
        <v>DBBV-42</v>
      </c>
      <c r="AV12" s="21" t="s">
        <v>75</v>
      </c>
      <c r="AW12" s="3"/>
      <c r="AX12" s="3"/>
      <c r="AY12" s="46"/>
      <c r="AZ12" s="46"/>
    </row>
    <row r="13" ht="15.75" customHeight="1">
      <c r="A13" s="11">
        <v>1588.0</v>
      </c>
      <c r="B13" s="11" t="s">
        <v>514</v>
      </c>
      <c r="C13" s="12" t="str">
        <f t="shared" si="1"/>
        <v>TK-112_ETHANOL</v>
      </c>
      <c r="D13" s="30" t="s">
        <v>316</v>
      </c>
      <c r="E13" s="31" t="s">
        <v>44</v>
      </c>
      <c r="F13" s="30" t="s">
        <v>45</v>
      </c>
      <c r="G13" s="16" t="s">
        <v>612</v>
      </c>
      <c r="H13" s="19">
        <v>0.0</v>
      </c>
      <c r="I13" s="16" t="s">
        <v>613</v>
      </c>
      <c r="J13" s="19">
        <v>0.0</v>
      </c>
      <c r="K13" s="20" t="str">
        <f t="shared" si="2"/>
        <v>VIB TK112</v>
      </c>
      <c r="L13" s="21" t="s">
        <v>53</v>
      </c>
      <c r="M13" s="16" t="s">
        <v>614</v>
      </c>
      <c r="N13" s="19">
        <v>0.0</v>
      </c>
      <c r="O13" s="20" t="str">
        <f t="shared" si="3"/>
        <v>RDR TK112</v>
      </c>
      <c r="P13" s="21" t="s">
        <v>57</v>
      </c>
      <c r="Q13" s="16" t="s">
        <v>615</v>
      </c>
      <c r="R13" s="19">
        <v>0.0</v>
      </c>
      <c r="S13" s="20" t="str">
        <f t="shared" si="4"/>
        <v>ROSOV-25</v>
      </c>
      <c r="T13" s="21" t="s">
        <v>61</v>
      </c>
      <c r="U13" s="16"/>
      <c r="V13" s="16"/>
      <c r="W13" s="20" t="str">
        <f t="shared" si="10"/>
        <v/>
      </c>
      <c r="X13" s="4"/>
      <c r="Y13" s="24" t="s">
        <v>616</v>
      </c>
      <c r="Z13" s="25">
        <v>0.0</v>
      </c>
      <c r="AA13" s="20" t="str">
        <f t="shared" si="5"/>
        <v>ROSOV-24</v>
      </c>
      <c r="AB13" s="21" t="s">
        <v>65</v>
      </c>
      <c r="AC13" s="16"/>
      <c r="AD13" s="16"/>
      <c r="AE13" s="20" t="str">
        <f t="shared" si="11"/>
        <v/>
      </c>
      <c r="AF13" s="22"/>
      <c r="AG13" s="24" t="s">
        <v>617</v>
      </c>
      <c r="AH13" s="25">
        <v>0.0</v>
      </c>
      <c r="AI13" s="20" t="str">
        <f t="shared" si="6"/>
        <v>DBBV-45</v>
      </c>
      <c r="AJ13" s="21" t="s">
        <v>69</v>
      </c>
      <c r="AK13" s="24" t="s">
        <v>618</v>
      </c>
      <c r="AL13" s="25">
        <v>0.0</v>
      </c>
      <c r="AM13" s="20" t="str">
        <f t="shared" si="7"/>
        <v>DBBV-48</v>
      </c>
      <c r="AN13" s="21" t="s">
        <v>72</v>
      </c>
      <c r="AO13" s="24" t="s">
        <v>619</v>
      </c>
      <c r="AP13" s="25">
        <v>0.0</v>
      </c>
      <c r="AQ13" s="20" t="str">
        <f t="shared" si="12"/>
        <v>DBBV-47</v>
      </c>
      <c r="AR13" s="21" t="s">
        <v>224</v>
      </c>
      <c r="AS13" s="24" t="s">
        <v>620</v>
      </c>
      <c r="AT13" s="25">
        <v>0.0</v>
      </c>
      <c r="AU13" s="20" t="str">
        <f t="shared" si="8"/>
        <v>DBBV-46</v>
      </c>
      <c r="AV13" s="21" t="s">
        <v>75</v>
      </c>
      <c r="AW13" s="3"/>
      <c r="AX13" s="3"/>
      <c r="AY13" s="46"/>
      <c r="AZ13" s="46"/>
    </row>
    <row r="14" ht="15.75" customHeight="1">
      <c r="A14" s="11">
        <v>1588.0</v>
      </c>
      <c r="B14" s="11" t="s">
        <v>514</v>
      </c>
      <c r="C14" s="12" t="str">
        <f t="shared" si="1"/>
        <v>TK-113_ETHANOL</v>
      </c>
      <c r="D14" s="30" t="s">
        <v>339</v>
      </c>
      <c r="E14" s="31" t="s">
        <v>44</v>
      </c>
      <c r="F14" s="30" t="s">
        <v>45</v>
      </c>
      <c r="G14" s="16" t="s">
        <v>621</v>
      </c>
      <c r="H14" s="19">
        <v>0.0</v>
      </c>
      <c r="I14" s="16" t="s">
        <v>622</v>
      </c>
      <c r="J14" s="19">
        <v>0.0</v>
      </c>
      <c r="K14" s="20" t="str">
        <f t="shared" si="2"/>
        <v>VIB TK113</v>
      </c>
      <c r="L14" s="21" t="s">
        <v>53</v>
      </c>
      <c r="M14" s="16" t="s">
        <v>623</v>
      </c>
      <c r="N14" s="19">
        <v>0.0</v>
      </c>
      <c r="O14" s="20" t="str">
        <f t="shared" si="3"/>
        <v>RDR TK113</v>
      </c>
      <c r="P14" s="21" t="s">
        <v>57</v>
      </c>
      <c r="Q14" s="16" t="s">
        <v>624</v>
      </c>
      <c r="R14" s="19">
        <v>0.0</v>
      </c>
      <c r="S14" s="20" t="str">
        <f t="shared" si="4"/>
        <v>ROSOV-27</v>
      </c>
      <c r="T14" s="21" t="s">
        <v>61</v>
      </c>
      <c r="U14" s="16"/>
      <c r="V14" s="16"/>
      <c r="W14" s="20" t="str">
        <f t="shared" si="10"/>
        <v/>
      </c>
      <c r="X14" s="4"/>
      <c r="Y14" s="24" t="s">
        <v>625</v>
      </c>
      <c r="Z14" s="25">
        <v>0.0</v>
      </c>
      <c r="AA14" s="20" t="str">
        <f t="shared" si="5"/>
        <v>ROSOV-28</v>
      </c>
      <c r="AB14" s="21" t="s">
        <v>65</v>
      </c>
      <c r="AC14" s="16"/>
      <c r="AD14" s="16"/>
      <c r="AE14" s="20" t="str">
        <f t="shared" si="11"/>
        <v/>
      </c>
      <c r="AF14" s="22"/>
      <c r="AG14" s="24" t="s">
        <v>626</v>
      </c>
      <c r="AH14" s="25">
        <v>0.0</v>
      </c>
      <c r="AI14" s="20" t="str">
        <f t="shared" si="6"/>
        <v>DBBV-49</v>
      </c>
      <c r="AJ14" s="21" t="s">
        <v>69</v>
      </c>
      <c r="AK14" s="24" t="s">
        <v>627</v>
      </c>
      <c r="AL14" s="25">
        <v>0.0</v>
      </c>
      <c r="AM14" s="20" t="str">
        <f t="shared" si="7"/>
        <v>DBBV-52</v>
      </c>
      <c r="AN14" s="21" t="s">
        <v>72</v>
      </c>
      <c r="AO14" s="24" t="s">
        <v>628</v>
      </c>
      <c r="AP14" s="25">
        <v>0.0</v>
      </c>
      <c r="AQ14" s="20" t="str">
        <f t="shared" si="12"/>
        <v>DBBV-51</v>
      </c>
      <c r="AR14" s="21" t="s">
        <v>224</v>
      </c>
      <c r="AS14" s="24" t="s">
        <v>629</v>
      </c>
      <c r="AT14" s="25">
        <v>0.0</v>
      </c>
      <c r="AU14" s="20" t="str">
        <f t="shared" si="8"/>
        <v>DBBV-50</v>
      </c>
      <c r="AV14" s="21" t="s">
        <v>75</v>
      </c>
      <c r="AW14" s="3"/>
      <c r="AX14" s="3"/>
      <c r="AY14" s="46"/>
      <c r="AZ14" s="46"/>
    </row>
    <row r="15" ht="15.75" customHeight="1">
      <c r="A15" s="11">
        <v>1588.0</v>
      </c>
      <c r="B15" s="11" t="s">
        <v>514</v>
      </c>
      <c r="C15" s="12" t="str">
        <f t="shared" si="1"/>
        <v>TK-114_LOW RON MS</v>
      </c>
      <c r="D15" s="30" t="s">
        <v>362</v>
      </c>
      <c r="E15" s="31" t="s">
        <v>44</v>
      </c>
      <c r="F15" s="30" t="s">
        <v>156</v>
      </c>
      <c r="G15" s="16" t="s">
        <v>630</v>
      </c>
      <c r="H15" s="19">
        <v>0.0</v>
      </c>
      <c r="I15" s="16" t="s">
        <v>631</v>
      </c>
      <c r="J15" s="19">
        <v>0.0</v>
      </c>
      <c r="K15" s="20" t="str">
        <f t="shared" si="2"/>
        <v>VIB TK114</v>
      </c>
      <c r="L15" s="21" t="s">
        <v>53</v>
      </c>
      <c r="M15" s="16" t="s">
        <v>632</v>
      </c>
      <c r="N15" s="19">
        <v>0.0</v>
      </c>
      <c r="O15" s="20" t="str">
        <f t="shared" si="3"/>
        <v>RDR TK114</v>
      </c>
      <c r="P15" s="21" t="s">
        <v>57</v>
      </c>
      <c r="Q15" s="3"/>
      <c r="R15" s="3"/>
      <c r="S15" s="3"/>
      <c r="T15" s="3"/>
      <c r="U15" s="16" t="s">
        <v>633</v>
      </c>
      <c r="V15" s="19">
        <v>0.0</v>
      </c>
      <c r="W15" s="20" t="str">
        <f t="shared" si="10"/>
        <v>ROSOV-31</v>
      </c>
      <c r="X15" s="21" t="s">
        <v>93</v>
      </c>
      <c r="Y15" s="3"/>
      <c r="Z15" s="3"/>
      <c r="AA15" s="3"/>
      <c r="AB15" s="3"/>
      <c r="AC15" s="24" t="s">
        <v>634</v>
      </c>
      <c r="AD15" s="25">
        <v>0.0</v>
      </c>
      <c r="AE15" s="20" t="str">
        <f t="shared" si="11"/>
        <v>ROSOV-30</v>
      </c>
      <c r="AF15" s="22" t="s">
        <v>97</v>
      </c>
      <c r="AG15" s="24" t="s">
        <v>635</v>
      </c>
      <c r="AH15" s="25">
        <v>0.0</v>
      </c>
      <c r="AI15" s="20" t="str">
        <f t="shared" si="6"/>
        <v>DBBV-53</v>
      </c>
      <c r="AJ15" s="21" t="s">
        <v>69</v>
      </c>
      <c r="AK15" s="24" t="s">
        <v>636</v>
      </c>
      <c r="AL15" s="25">
        <v>0.0</v>
      </c>
      <c r="AM15" s="20" t="str">
        <f t="shared" si="7"/>
        <v>DBBV-56</v>
      </c>
      <c r="AN15" s="21" t="s">
        <v>72</v>
      </c>
      <c r="AO15" s="24" t="s">
        <v>637</v>
      </c>
      <c r="AP15" s="25">
        <v>0.0</v>
      </c>
      <c r="AQ15" s="20" t="str">
        <f t="shared" si="12"/>
        <v>DBBV-55</v>
      </c>
      <c r="AR15" s="21" t="s">
        <v>224</v>
      </c>
      <c r="AS15" s="24" t="s">
        <v>638</v>
      </c>
      <c r="AT15" s="25">
        <v>0.0</v>
      </c>
      <c r="AU15" s="20" t="str">
        <f t="shared" si="8"/>
        <v>DBBV-54</v>
      </c>
      <c r="AV15" s="21" t="s">
        <v>75</v>
      </c>
      <c r="AW15" s="3"/>
      <c r="AX15" s="3"/>
      <c r="AY15" s="46"/>
      <c r="AZ15" s="46"/>
    </row>
    <row r="16" ht="15.75" customHeight="1">
      <c r="A16" s="11">
        <v>1588.0</v>
      </c>
      <c r="B16" s="11" t="s">
        <v>514</v>
      </c>
      <c r="C16" s="12" t="str">
        <f t="shared" si="1"/>
        <v>TK-115_BS VI HSD</v>
      </c>
      <c r="D16" s="30" t="s">
        <v>385</v>
      </c>
      <c r="E16" s="31" t="s">
        <v>44</v>
      </c>
      <c r="F16" s="30" t="s">
        <v>109</v>
      </c>
      <c r="G16" s="16" t="s">
        <v>639</v>
      </c>
      <c r="H16" s="19">
        <v>0.0</v>
      </c>
      <c r="I16" s="16" t="s">
        <v>640</v>
      </c>
      <c r="J16" s="19">
        <v>0.0</v>
      </c>
      <c r="K16" s="20" t="str">
        <f t="shared" si="2"/>
        <v>VIB TK115</v>
      </c>
      <c r="L16" s="21" t="s">
        <v>53</v>
      </c>
      <c r="M16" s="16" t="s">
        <v>641</v>
      </c>
      <c r="N16" s="19">
        <v>0.0</v>
      </c>
      <c r="O16" s="20" t="str">
        <f t="shared" si="3"/>
        <v>RDR TK115</v>
      </c>
      <c r="P16" s="21" t="s">
        <v>57</v>
      </c>
      <c r="Q16" s="3"/>
      <c r="R16" s="3"/>
      <c r="S16" s="3"/>
      <c r="T16" s="3"/>
      <c r="U16" s="16" t="s">
        <v>642</v>
      </c>
      <c r="V16" s="19">
        <v>0.0</v>
      </c>
      <c r="W16" s="20" t="str">
        <f t="shared" si="10"/>
        <v>ROSOV-33</v>
      </c>
      <c r="X16" s="21" t="s">
        <v>93</v>
      </c>
      <c r="Y16" s="3"/>
      <c r="Z16" s="3"/>
      <c r="AA16" s="3"/>
      <c r="AB16" s="3"/>
      <c r="AC16" s="24" t="s">
        <v>643</v>
      </c>
      <c r="AD16" s="25">
        <v>0.0</v>
      </c>
      <c r="AE16" s="20" t="str">
        <f t="shared" si="11"/>
        <v>ROSOV-32</v>
      </c>
      <c r="AF16" s="22" t="s">
        <v>97</v>
      </c>
      <c r="AG16" s="24" t="s">
        <v>644</v>
      </c>
      <c r="AH16" s="25">
        <v>0.0</v>
      </c>
      <c r="AI16" s="20" t="str">
        <f t="shared" si="6"/>
        <v>DBBV-57</v>
      </c>
      <c r="AJ16" s="21" t="s">
        <v>69</v>
      </c>
      <c r="AK16" s="24" t="s">
        <v>645</v>
      </c>
      <c r="AL16" s="25">
        <v>0.0</v>
      </c>
      <c r="AM16" s="20" t="str">
        <f t="shared" si="7"/>
        <v>DBBV-60</v>
      </c>
      <c r="AN16" s="21" t="s">
        <v>72</v>
      </c>
      <c r="AO16" s="24" t="s">
        <v>646</v>
      </c>
      <c r="AP16" s="25">
        <v>0.0</v>
      </c>
      <c r="AQ16" s="20" t="str">
        <f t="shared" si="12"/>
        <v>DBBV-59</v>
      </c>
      <c r="AR16" s="21" t="s">
        <v>224</v>
      </c>
      <c r="AS16" s="24" t="s">
        <v>647</v>
      </c>
      <c r="AT16" s="25">
        <v>0.0</v>
      </c>
      <c r="AU16" s="20" t="str">
        <f t="shared" si="8"/>
        <v>DBBV-58</v>
      </c>
      <c r="AV16" s="21" t="s">
        <v>75</v>
      </c>
      <c r="AW16" s="3"/>
      <c r="AX16" s="3"/>
      <c r="AY16" s="46"/>
      <c r="AZ16" s="46"/>
    </row>
    <row r="17" ht="15.75" customHeight="1">
      <c r="A17" s="11">
        <v>1588.0</v>
      </c>
      <c r="B17" s="11" t="s">
        <v>514</v>
      </c>
      <c r="C17" s="12" t="str">
        <f t="shared" si="1"/>
        <v>TK-124_WATER</v>
      </c>
      <c r="D17" s="30" t="s">
        <v>408</v>
      </c>
      <c r="E17" s="31" t="s">
        <v>44</v>
      </c>
      <c r="F17" s="30" t="s">
        <v>409</v>
      </c>
      <c r="G17" s="16"/>
      <c r="H17" s="16"/>
      <c r="I17" s="4"/>
      <c r="J17" s="4"/>
      <c r="K17" s="4"/>
      <c r="L17" s="4"/>
      <c r="M17" s="4"/>
      <c r="N17" s="4"/>
      <c r="O17" s="4"/>
      <c r="P17" s="4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46"/>
      <c r="AZ17" s="46"/>
    </row>
    <row r="18" ht="15.75" customHeight="1">
      <c r="A18" s="11">
        <v>1588.0</v>
      </c>
      <c r="B18" s="11" t="s">
        <v>514</v>
      </c>
      <c r="C18" s="12" t="str">
        <f t="shared" si="1"/>
        <v>TK-125_WATER</v>
      </c>
      <c r="D18" s="30" t="s">
        <v>411</v>
      </c>
      <c r="E18" s="31" t="s">
        <v>44</v>
      </c>
      <c r="F18" s="30" t="s">
        <v>409</v>
      </c>
      <c r="G18" s="16"/>
      <c r="H18" s="16"/>
      <c r="I18" s="4"/>
      <c r="J18" s="4"/>
      <c r="K18" s="4"/>
      <c r="L18" s="4"/>
      <c r="M18" s="4"/>
      <c r="N18" s="4"/>
      <c r="O18" s="4"/>
      <c r="P18" s="4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46"/>
      <c r="AZ18" s="46"/>
    </row>
    <row r="19" ht="15.75" customHeight="1">
      <c r="A19" s="11">
        <v>1588.0</v>
      </c>
      <c r="B19" s="11" t="s">
        <v>514</v>
      </c>
      <c r="C19" s="12" t="str">
        <f t="shared" si="1"/>
        <v>TK-130_ETHANOL</v>
      </c>
      <c r="D19" s="30" t="s">
        <v>413</v>
      </c>
      <c r="E19" s="31" t="s">
        <v>414</v>
      </c>
      <c r="F19" s="30" t="s">
        <v>45</v>
      </c>
      <c r="G19" s="16" t="s">
        <v>648</v>
      </c>
      <c r="H19" s="19">
        <v>0.0</v>
      </c>
      <c r="I19" s="4"/>
      <c r="J19" s="4"/>
      <c r="K19" s="4"/>
      <c r="L19" s="4"/>
      <c r="M19" s="4"/>
      <c r="N19" s="4"/>
      <c r="O19" s="4"/>
      <c r="P19" s="4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46"/>
      <c r="AZ19" s="46"/>
    </row>
    <row r="20" ht="15.75" customHeight="1">
      <c r="A20" s="11">
        <v>1588.0</v>
      </c>
      <c r="B20" s="11" t="s">
        <v>514</v>
      </c>
      <c r="C20" s="12" t="str">
        <f t="shared" si="1"/>
        <v>TK-131_ETHANOL</v>
      </c>
      <c r="D20" s="30" t="s">
        <v>416</v>
      </c>
      <c r="E20" s="31" t="s">
        <v>414</v>
      </c>
      <c r="F20" s="30" t="s">
        <v>45</v>
      </c>
      <c r="G20" s="16" t="s">
        <v>649</v>
      </c>
      <c r="H20" s="19">
        <v>0.0</v>
      </c>
      <c r="I20" s="4"/>
      <c r="J20" s="4"/>
      <c r="K20" s="4"/>
      <c r="L20" s="4"/>
      <c r="M20" s="4"/>
      <c r="N20" s="4"/>
      <c r="O20" s="4"/>
      <c r="P20" s="4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46"/>
      <c r="AZ20" s="46"/>
    </row>
    <row r="21" ht="15.75" customHeight="1">
      <c r="A21" s="11">
        <v>1588.0</v>
      </c>
      <c r="B21" s="11" t="s">
        <v>514</v>
      </c>
      <c r="C21" s="12" t="str">
        <f t="shared" si="1"/>
        <v>TK-132_LOW RON MS</v>
      </c>
      <c r="D21" s="30" t="s">
        <v>418</v>
      </c>
      <c r="E21" s="31" t="s">
        <v>414</v>
      </c>
      <c r="F21" s="30" t="s">
        <v>156</v>
      </c>
      <c r="G21" s="16" t="s">
        <v>650</v>
      </c>
      <c r="H21" s="19">
        <v>0.0</v>
      </c>
      <c r="I21" s="4"/>
      <c r="J21" s="4"/>
      <c r="K21" s="4"/>
      <c r="L21" s="4"/>
      <c r="M21" s="4"/>
      <c r="N21" s="4"/>
      <c r="O21" s="4"/>
      <c r="P21" s="4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46"/>
      <c r="AZ21" s="46"/>
    </row>
    <row r="22" ht="15.75" customHeight="1">
      <c r="A22" s="11">
        <v>1588.0</v>
      </c>
      <c r="B22" s="11" t="s">
        <v>514</v>
      </c>
      <c r="C22" s="12" t="str">
        <f t="shared" si="1"/>
        <v>TK-133_BS VI HSD</v>
      </c>
      <c r="D22" s="30" t="s">
        <v>420</v>
      </c>
      <c r="E22" s="31" t="s">
        <v>414</v>
      </c>
      <c r="F22" s="30" t="s">
        <v>109</v>
      </c>
      <c r="G22" s="16" t="s">
        <v>651</v>
      </c>
      <c r="H22" s="19">
        <v>0.0</v>
      </c>
      <c r="I22" s="4"/>
      <c r="J22" s="4"/>
      <c r="K22" s="4"/>
      <c r="L22" s="4"/>
      <c r="M22" s="4"/>
      <c r="N22" s="4"/>
      <c r="O22" s="4"/>
      <c r="P22" s="4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46"/>
      <c r="AZ22" s="46"/>
    </row>
    <row r="23" ht="15.75" customHeight="1">
      <c r="A23" s="11">
        <v>1588.0</v>
      </c>
      <c r="B23" s="11" t="s">
        <v>514</v>
      </c>
      <c r="C23" s="12" t="str">
        <f t="shared" si="1"/>
        <v>TK-134_SKO</v>
      </c>
      <c r="D23" s="30" t="s">
        <v>422</v>
      </c>
      <c r="E23" s="31" t="s">
        <v>414</v>
      </c>
      <c r="F23" s="30" t="s">
        <v>269</v>
      </c>
      <c r="G23" s="16" t="s">
        <v>652</v>
      </c>
      <c r="H23" s="19">
        <v>0.0</v>
      </c>
      <c r="I23" s="4"/>
      <c r="J23" s="4"/>
      <c r="K23" s="4"/>
      <c r="L23" s="4"/>
      <c r="M23" s="4"/>
      <c r="N23" s="4"/>
      <c r="O23" s="4"/>
      <c r="P23" s="4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46"/>
      <c r="AZ23" s="46"/>
    </row>
    <row r="24" ht="15.75" customHeight="1">
      <c r="A24" s="11">
        <v>1588.0</v>
      </c>
      <c r="B24" s="11" t="s">
        <v>514</v>
      </c>
      <c r="C24" s="12" t="str">
        <f t="shared" si="1"/>
        <v>TK-135_BIOHSD</v>
      </c>
      <c r="D24" s="30" t="s">
        <v>424</v>
      </c>
      <c r="E24" s="31" t="s">
        <v>414</v>
      </c>
      <c r="F24" s="30" t="s">
        <v>425</v>
      </c>
      <c r="G24" s="16" t="s">
        <v>653</v>
      </c>
      <c r="H24" s="19">
        <v>0.0</v>
      </c>
      <c r="I24" s="4"/>
      <c r="J24" s="4"/>
      <c r="K24" s="4"/>
      <c r="L24" s="4"/>
      <c r="M24" s="4"/>
      <c r="N24" s="4"/>
      <c r="O24" s="4"/>
      <c r="P24" s="4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46"/>
      <c r="AZ24" s="46"/>
    </row>
    <row r="25" ht="15.75" customHeight="1">
      <c r="A25" s="11">
        <v>1588.0</v>
      </c>
      <c r="B25" s="11" t="s">
        <v>514</v>
      </c>
      <c r="C25" s="12" t="str">
        <f t="shared" si="1"/>
        <v>TK-136_ATF</v>
      </c>
      <c r="D25" s="30" t="s">
        <v>427</v>
      </c>
      <c r="E25" s="31" t="s">
        <v>414</v>
      </c>
      <c r="F25" s="30" t="s">
        <v>293</v>
      </c>
      <c r="G25" s="16" t="s">
        <v>654</v>
      </c>
      <c r="H25" s="19">
        <v>0.0</v>
      </c>
      <c r="I25" s="4"/>
      <c r="J25" s="4"/>
      <c r="K25" s="4"/>
      <c r="L25" s="4"/>
      <c r="M25" s="4"/>
      <c r="N25" s="4"/>
      <c r="O25" s="4"/>
      <c r="P25" s="4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46"/>
      <c r="AZ25" s="46"/>
    </row>
    <row r="26" ht="15.75" customHeight="1">
      <c r="G26" s="40"/>
      <c r="H26" s="40"/>
      <c r="I26" s="39"/>
      <c r="J26" s="39"/>
      <c r="K26" s="39"/>
      <c r="L26" s="39"/>
      <c r="M26" s="39"/>
      <c r="N26" s="39"/>
      <c r="O26" s="39"/>
      <c r="P26" s="39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6"/>
      <c r="AX26" s="46"/>
      <c r="AY26" s="46"/>
      <c r="AZ26" s="46"/>
    </row>
    <row r="27" ht="15.75" customHeight="1">
      <c r="G27" s="43"/>
      <c r="H27" s="43"/>
      <c r="I27" s="39"/>
      <c r="J27" s="39"/>
      <c r="K27" s="39"/>
      <c r="L27" s="39"/>
      <c r="M27" s="39"/>
      <c r="N27" s="39"/>
      <c r="O27" s="39"/>
      <c r="P27" s="39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6"/>
      <c r="AX27" s="46"/>
      <c r="AY27" s="46"/>
      <c r="AZ27" s="46"/>
    </row>
    <row r="28" ht="15.75" customHeight="1">
      <c r="G28" s="43"/>
      <c r="H28" s="43"/>
      <c r="I28" s="39"/>
      <c r="J28" s="39"/>
      <c r="K28" s="39"/>
      <c r="L28" s="39"/>
      <c r="M28" s="39"/>
      <c r="N28" s="39"/>
      <c r="O28" s="39"/>
      <c r="P28" s="39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6"/>
      <c r="AX28" s="46"/>
      <c r="AY28" s="46"/>
      <c r="AZ28" s="46"/>
    </row>
    <row r="29" ht="15.75" customHeight="1">
      <c r="G29" s="43"/>
      <c r="H29" s="43"/>
      <c r="I29" s="39"/>
      <c r="J29" s="39"/>
      <c r="K29" s="39"/>
      <c r="L29" s="39"/>
      <c r="M29" s="39"/>
      <c r="N29" s="39"/>
      <c r="O29" s="39"/>
      <c r="P29" s="39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6"/>
      <c r="AX29" s="46"/>
      <c r="AY29" s="46"/>
      <c r="AZ29" s="46"/>
    </row>
    <row r="30" ht="15.75" customHeight="1">
      <c r="G30" s="43"/>
      <c r="H30" s="43"/>
      <c r="I30" s="39"/>
      <c r="J30" s="39"/>
      <c r="K30" s="39"/>
      <c r="L30" s="39"/>
      <c r="M30" s="39"/>
      <c r="N30" s="39"/>
      <c r="O30" s="39"/>
      <c r="P30" s="39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6"/>
      <c r="AX30" s="46"/>
      <c r="AY30" s="46"/>
      <c r="AZ30" s="46"/>
    </row>
    <row r="31" ht="15.75" customHeight="1">
      <c r="G31" s="43"/>
      <c r="H31" s="43"/>
      <c r="I31" s="39"/>
      <c r="J31" s="39"/>
      <c r="K31" s="39"/>
      <c r="L31" s="39"/>
      <c r="M31" s="39"/>
      <c r="N31" s="39"/>
      <c r="O31" s="39"/>
      <c r="P31" s="39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6"/>
      <c r="AX31" s="46"/>
      <c r="AY31" s="46"/>
      <c r="AZ31" s="46"/>
    </row>
    <row r="32" ht="15.75" customHeight="1">
      <c r="G32" s="43"/>
      <c r="H32" s="43"/>
      <c r="I32" s="39"/>
      <c r="J32" s="39"/>
      <c r="K32" s="39"/>
      <c r="L32" s="39"/>
      <c r="M32" s="39"/>
      <c r="N32" s="39"/>
      <c r="O32" s="39"/>
      <c r="P32" s="39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6"/>
      <c r="AX32" s="46"/>
      <c r="AY32" s="46"/>
      <c r="AZ32" s="46"/>
    </row>
    <row r="33" ht="15.75" customHeight="1">
      <c r="G33" s="43"/>
      <c r="H33" s="43"/>
      <c r="I33" s="39"/>
      <c r="J33" s="39"/>
      <c r="K33" s="39"/>
      <c r="L33" s="39"/>
      <c r="M33" s="39"/>
      <c r="N33" s="39"/>
      <c r="O33" s="39"/>
      <c r="P33" s="39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6"/>
      <c r="AX33" s="46"/>
      <c r="AY33" s="46"/>
      <c r="AZ33" s="46"/>
    </row>
    <row r="34" ht="15.75" customHeight="1">
      <c r="G34" s="43"/>
      <c r="H34" s="43"/>
      <c r="I34" s="39"/>
      <c r="J34" s="39"/>
      <c r="K34" s="39"/>
      <c r="L34" s="39"/>
      <c r="M34" s="39"/>
      <c r="N34" s="39"/>
      <c r="O34" s="39"/>
      <c r="P34" s="39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6"/>
      <c r="AX34" s="46"/>
      <c r="AY34" s="46"/>
      <c r="AZ34" s="46"/>
    </row>
    <row r="35" ht="15.75" customHeight="1">
      <c r="G35" s="43"/>
      <c r="H35" s="43"/>
      <c r="I35" s="39"/>
      <c r="J35" s="39"/>
      <c r="K35" s="39"/>
      <c r="L35" s="39"/>
      <c r="M35" s="39"/>
      <c r="N35" s="39"/>
      <c r="O35" s="39"/>
      <c r="P35" s="39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6"/>
      <c r="AX35" s="46"/>
      <c r="AY35" s="46"/>
      <c r="AZ35" s="46"/>
    </row>
    <row r="36" ht="15.75" customHeight="1">
      <c r="G36" s="43"/>
      <c r="H36" s="43"/>
      <c r="I36" s="56" t="s">
        <v>655</v>
      </c>
      <c r="J36" s="39"/>
      <c r="K36" s="39"/>
      <c r="L36" s="39"/>
      <c r="M36" s="39"/>
      <c r="N36" s="39"/>
      <c r="O36" s="39"/>
      <c r="P36" s="39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6"/>
      <c r="AX36" s="46"/>
      <c r="AY36" s="46"/>
      <c r="AZ36" s="46"/>
    </row>
    <row r="37" ht="15.75" customHeight="1">
      <c r="G37" s="43"/>
      <c r="H37" s="43"/>
      <c r="I37" s="39"/>
      <c r="J37" s="39"/>
      <c r="K37" s="39"/>
      <c r="L37" s="39"/>
      <c r="M37" s="39"/>
      <c r="N37" s="39"/>
      <c r="O37" s="39"/>
      <c r="P37" s="39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6"/>
      <c r="AX37" s="46"/>
      <c r="AY37" s="46"/>
      <c r="AZ37" s="46"/>
    </row>
    <row r="38" ht="15.75" customHeight="1">
      <c r="G38" s="43"/>
      <c r="H38" s="43"/>
      <c r="I38" s="39"/>
      <c r="J38" s="39"/>
      <c r="K38" s="39"/>
      <c r="L38" s="39"/>
      <c r="M38" s="39"/>
      <c r="N38" s="39"/>
      <c r="O38" s="39"/>
      <c r="P38" s="39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6"/>
      <c r="AX38" s="46"/>
      <c r="AY38" s="46"/>
      <c r="AZ38" s="46"/>
    </row>
    <row r="39" ht="15.75" customHeight="1">
      <c r="G39" s="43"/>
      <c r="H39" s="43"/>
      <c r="I39" s="39"/>
      <c r="J39" s="39"/>
      <c r="K39" s="39"/>
      <c r="L39" s="39"/>
      <c r="M39" s="39"/>
      <c r="N39" s="39"/>
      <c r="O39" s="39"/>
      <c r="P39" s="39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6"/>
      <c r="AX39" s="46"/>
      <c r="AY39" s="46"/>
      <c r="AZ39" s="46"/>
    </row>
    <row r="40" ht="15.75" customHeight="1">
      <c r="G40" s="43"/>
      <c r="H40" s="43"/>
      <c r="I40" s="39"/>
      <c r="J40" s="39"/>
      <c r="K40" s="39"/>
      <c r="L40" s="39"/>
      <c r="M40" s="39"/>
      <c r="N40" s="39"/>
      <c r="O40" s="39"/>
      <c r="P40" s="39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6"/>
      <c r="AX40" s="46"/>
      <c r="AY40" s="46"/>
      <c r="AZ40" s="46"/>
    </row>
    <row r="41" ht="15.75" customHeight="1">
      <c r="G41" s="43"/>
      <c r="H41" s="43"/>
      <c r="I41" s="39"/>
      <c r="J41" s="39"/>
      <c r="K41" s="39"/>
      <c r="L41" s="39"/>
      <c r="M41" s="39"/>
      <c r="N41" s="39"/>
      <c r="O41" s="39"/>
      <c r="P41" s="39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6"/>
      <c r="AX41" s="46"/>
      <c r="AY41" s="46"/>
      <c r="AZ41" s="46"/>
    </row>
    <row r="42" ht="15.75" customHeight="1">
      <c r="G42" s="43"/>
      <c r="H42" s="43"/>
      <c r="I42" s="39"/>
      <c r="J42" s="39"/>
      <c r="K42" s="39"/>
      <c r="L42" s="39"/>
      <c r="M42" s="39"/>
      <c r="N42" s="39"/>
      <c r="O42" s="39"/>
      <c r="P42" s="39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6"/>
      <c r="AX42" s="46"/>
      <c r="AY42" s="46"/>
      <c r="AZ42" s="46"/>
    </row>
    <row r="43" ht="15.75" customHeight="1">
      <c r="G43" s="43"/>
      <c r="H43" s="43"/>
      <c r="I43" s="39"/>
      <c r="J43" s="39"/>
      <c r="K43" s="39"/>
      <c r="L43" s="39"/>
      <c r="M43" s="39"/>
      <c r="N43" s="39"/>
      <c r="O43" s="39"/>
      <c r="P43" s="39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6"/>
      <c r="AX43" s="46"/>
      <c r="AY43" s="46"/>
      <c r="AZ43" s="46"/>
    </row>
    <row r="44" ht="15.75" customHeight="1">
      <c r="G44" s="43"/>
      <c r="H44" s="43"/>
      <c r="I44" s="39"/>
      <c r="J44" s="39"/>
      <c r="K44" s="39"/>
      <c r="L44" s="39"/>
      <c r="M44" s="39"/>
      <c r="N44" s="39"/>
      <c r="O44" s="39"/>
      <c r="P44" s="39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6"/>
      <c r="AX44" s="46"/>
      <c r="AY44" s="46"/>
      <c r="AZ44" s="46"/>
    </row>
    <row r="45" ht="15.75" customHeight="1">
      <c r="G45" s="43"/>
      <c r="H45" s="43"/>
      <c r="I45" s="39"/>
      <c r="J45" s="39"/>
      <c r="K45" s="39"/>
      <c r="L45" s="39"/>
      <c r="M45" s="39"/>
      <c r="N45" s="39"/>
      <c r="O45" s="39"/>
      <c r="P45" s="39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6"/>
      <c r="AX45" s="46"/>
      <c r="AY45" s="46"/>
      <c r="AZ45" s="46"/>
    </row>
    <row r="46" ht="15.75" customHeight="1">
      <c r="G46" s="43"/>
      <c r="H46" s="43"/>
      <c r="I46" s="39"/>
      <c r="J46" s="39"/>
      <c r="K46" s="39"/>
      <c r="L46" s="39"/>
      <c r="M46" s="39"/>
      <c r="N46" s="39"/>
      <c r="O46" s="39"/>
      <c r="P46" s="39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6"/>
      <c r="AX46" s="46"/>
      <c r="AY46" s="46"/>
      <c r="AZ46" s="46"/>
    </row>
    <row r="47" ht="15.75" customHeight="1">
      <c r="G47" s="43"/>
      <c r="H47" s="43"/>
      <c r="I47" s="39"/>
      <c r="J47" s="39"/>
      <c r="K47" s="39"/>
      <c r="L47" s="39"/>
      <c r="M47" s="39"/>
      <c r="N47" s="39"/>
      <c r="O47" s="39"/>
      <c r="P47" s="39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6"/>
      <c r="AX47" s="46"/>
      <c r="AY47" s="46"/>
      <c r="AZ47" s="46"/>
    </row>
    <row r="48" ht="15.75" customHeight="1">
      <c r="G48" s="43"/>
      <c r="H48" s="43"/>
      <c r="I48" s="39"/>
      <c r="J48" s="39"/>
      <c r="K48" s="39"/>
      <c r="L48" s="39"/>
      <c r="M48" s="39"/>
      <c r="N48" s="39"/>
      <c r="O48" s="39"/>
      <c r="P48" s="39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6"/>
      <c r="AX48" s="46"/>
      <c r="AY48" s="46"/>
      <c r="AZ48" s="46"/>
    </row>
    <row r="49" ht="15.75" customHeight="1">
      <c r="G49" s="43"/>
      <c r="H49" s="43"/>
      <c r="I49" s="39"/>
      <c r="J49" s="39"/>
      <c r="K49" s="39"/>
      <c r="L49" s="39"/>
      <c r="M49" s="39"/>
      <c r="N49" s="39"/>
      <c r="O49" s="39"/>
      <c r="P49" s="39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6"/>
      <c r="AX49" s="46"/>
      <c r="AY49" s="46"/>
      <c r="AZ49" s="46"/>
    </row>
    <row r="50" ht="15.75" customHeight="1">
      <c r="G50" s="43"/>
      <c r="H50" s="43"/>
      <c r="I50" s="39"/>
      <c r="J50" s="39"/>
      <c r="K50" s="39"/>
      <c r="L50" s="39"/>
      <c r="M50" s="39"/>
      <c r="N50" s="39"/>
      <c r="O50" s="39"/>
      <c r="P50" s="39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6"/>
      <c r="AX50" s="46"/>
      <c r="AY50" s="46"/>
      <c r="AZ50" s="46"/>
    </row>
    <row r="51" ht="15.75" customHeight="1">
      <c r="G51" s="43"/>
      <c r="H51" s="43"/>
      <c r="I51" s="39"/>
      <c r="J51" s="39"/>
      <c r="K51" s="39"/>
      <c r="L51" s="39"/>
      <c r="M51" s="39"/>
      <c r="N51" s="39"/>
      <c r="O51" s="39"/>
      <c r="P51" s="39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6"/>
      <c r="AX51" s="46"/>
      <c r="AY51" s="46"/>
      <c r="AZ51" s="46"/>
    </row>
    <row r="52" ht="15.75" customHeight="1">
      <c r="G52" s="43"/>
      <c r="H52" s="43"/>
      <c r="I52" s="39"/>
      <c r="J52" s="39"/>
      <c r="K52" s="39"/>
      <c r="L52" s="39"/>
      <c r="M52" s="39"/>
      <c r="N52" s="39"/>
      <c r="O52" s="39"/>
      <c r="P52" s="39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6"/>
      <c r="AX52" s="46"/>
      <c r="AY52" s="46"/>
      <c r="AZ52" s="46"/>
    </row>
    <row r="53" ht="15.75" customHeight="1">
      <c r="G53" s="43"/>
      <c r="H53" s="43"/>
      <c r="I53" s="39"/>
      <c r="J53" s="39"/>
      <c r="K53" s="39"/>
      <c r="L53" s="39"/>
      <c r="M53" s="39"/>
      <c r="N53" s="39"/>
      <c r="O53" s="39"/>
      <c r="P53" s="39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6"/>
      <c r="AX53" s="46"/>
      <c r="AY53" s="46"/>
      <c r="AZ53" s="46"/>
    </row>
    <row r="54" ht="15.75" customHeight="1">
      <c r="G54" s="43"/>
      <c r="H54" s="43"/>
      <c r="I54" s="39"/>
      <c r="J54" s="39"/>
      <c r="K54" s="39"/>
      <c r="L54" s="39"/>
      <c r="M54" s="39"/>
      <c r="N54" s="39"/>
      <c r="O54" s="39"/>
      <c r="P54" s="39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6"/>
      <c r="AX54" s="46"/>
      <c r="AY54" s="46"/>
      <c r="AZ54" s="46"/>
    </row>
    <row r="55" ht="15.75" customHeight="1">
      <c r="G55" s="43"/>
      <c r="H55" s="43"/>
      <c r="I55" s="39"/>
      <c r="J55" s="39"/>
      <c r="K55" s="39"/>
      <c r="L55" s="39"/>
      <c r="M55" s="39"/>
      <c r="N55" s="39"/>
      <c r="O55" s="39"/>
      <c r="P55" s="39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6"/>
      <c r="AX55" s="46"/>
      <c r="AY55" s="46"/>
      <c r="AZ55" s="46"/>
    </row>
    <row r="56" ht="15.75" customHeight="1">
      <c r="G56" s="43"/>
      <c r="H56" s="43"/>
      <c r="I56" s="39"/>
      <c r="J56" s="39"/>
      <c r="K56" s="39"/>
      <c r="L56" s="39"/>
      <c r="M56" s="39"/>
      <c r="N56" s="39"/>
      <c r="O56" s="39"/>
      <c r="P56" s="39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6"/>
      <c r="AX56" s="46"/>
      <c r="AY56" s="46"/>
      <c r="AZ56" s="46"/>
    </row>
    <row r="57" ht="15.75" customHeight="1">
      <c r="G57" s="43"/>
      <c r="H57" s="43"/>
      <c r="I57" s="39"/>
      <c r="J57" s="39"/>
      <c r="K57" s="39"/>
      <c r="L57" s="39"/>
      <c r="M57" s="39"/>
      <c r="N57" s="39"/>
      <c r="O57" s="39"/>
      <c r="P57" s="39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6"/>
      <c r="AX57" s="46"/>
      <c r="AY57" s="46"/>
      <c r="AZ57" s="46"/>
    </row>
    <row r="58" ht="15.75" customHeight="1">
      <c r="G58" s="43"/>
      <c r="H58" s="43"/>
      <c r="I58" s="39"/>
      <c r="J58" s="39"/>
      <c r="K58" s="39"/>
      <c r="L58" s="39"/>
      <c r="M58" s="39"/>
      <c r="N58" s="39"/>
      <c r="O58" s="39"/>
      <c r="P58" s="39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6"/>
      <c r="AX58" s="46"/>
      <c r="AY58" s="46"/>
      <c r="AZ58" s="46"/>
    </row>
    <row r="59" ht="15.75" customHeight="1">
      <c r="G59" s="43"/>
      <c r="H59" s="43"/>
      <c r="I59" s="39"/>
      <c r="J59" s="39"/>
      <c r="K59" s="39"/>
      <c r="L59" s="39"/>
      <c r="M59" s="39"/>
      <c r="N59" s="39"/>
      <c r="O59" s="39"/>
      <c r="P59" s="39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6"/>
      <c r="AX59" s="46"/>
      <c r="AY59" s="46"/>
      <c r="AZ59" s="46"/>
    </row>
    <row r="60" ht="15.75" customHeight="1">
      <c r="G60" s="43"/>
      <c r="H60" s="43"/>
      <c r="I60" s="39"/>
      <c r="J60" s="39"/>
      <c r="K60" s="39"/>
      <c r="L60" s="39"/>
      <c r="M60" s="39"/>
      <c r="N60" s="39"/>
      <c r="O60" s="39"/>
      <c r="P60" s="39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6"/>
      <c r="AX60" s="46"/>
      <c r="AY60" s="46"/>
      <c r="AZ60" s="46"/>
    </row>
    <row r="61" ht="15.75" customHeight="1">
      <c r="G61" s="43"/>
      <c r="H61" s="43"/>
      <c r="I61" s="39"/>
      <c r="J61" s="39"/>
      <c r="K61" s="39"/>
      <c r="L61" s="39"/>
      <c r="M61" s="39"/>
      <c r="N61" s="39"/>
      <c r="O61" s="39"/>
      <c r="P61" s="39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6"/>
      <c r="AX61" s="46"/>
      <c r="AY61" s="46"/>
      <c r="AZ61" s="46"/>
    </row>
    <row r="62" ht="15.75" customHeight="1">
      <c r="G62" s="43"/>
      <c r="H62" s="43"/>
      <c r="I62" s="39"/>
      <c r="J62" s="39"/>
      <c r="K62" s="39"/>
      <c r="L62" s="39"/>
      <c r="M62" s="39"/>
      <c r="N62" s="39"/>
      <c r="O62" s="39"/>
      <c r="P62" s="39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6"/>
      <c r="AX62" s="46"/>
      <c r="AY62" s="46"/>
      <c r="AZ62" s="46"/>
    </row>
    <row r="63" ht="15.75" customHeight="1">
      <c r="G63" s="43"/>
      <c r="H63" s="43"/>
      <c r="I63" s="39"/>
      <c r="J63" s="39"/>
      <c r="K63" s="39"/>
      <c r="L63" s="39"/>
      <c r="M63" s="39"/>
      <c r="N63" s="39"/>
      <c r="O63" s="39"/>
      <c r="P63" s="39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6"/>
      <c r="AX63" s="46"/>
      <c r="AY63" s="46"/>
      <c r="AZ63" s="46"/>
    </row>
    <row r="64" ht="15.75" customHeight="1">
      <c r="G64" s="43"/>
      <c r="H64" s="43"/>
      <c r="I64" s="39"/>
      <c r="J64" s="39"/>
      <c r="K64" s="39"/>
      <c r="L64" s="39"/>
      <c r="M64" s="39"/>
      <c r="N64" s="39"/>
      <c r="O64" s="39"/>
      <c r="P64" s="39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6"/>
      <c r="AX64" s="46"/>
      <c r="AY64" s="46"/>
      <c r="AZ64" s="46"/>
    </row>
    <row r="65" ht="15.75" customHeight="1">
      <c r="G65" s="43"/>
      <c r="H65" s="43"/>
      <c r="I65" s="39"/>
      <c r="J65" s="39"/>
      <c r="K65" s="39"/>
      <c r="L65" s="39"/>
      <c r="M65" s="39"/>
      <c r="N65" s="39"/>
      <c r="O65" s="39"/>
      <c r="P65" s="39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6"/>
      <c r="AX65" s="46"/>
      <c r="AY65" s="46"/>
      <c r="AZ65" s="46"/>
    </row>
    <row r="66" ht="15.75" customHeight="1">
      <c r="G66" s="43"/>
      <c r="H66" s="43"/>
      <c r="I66" s="39"/>
      <c r="J66" s="39"/>
      <c r="K66" s="39"/>
      <c r="L66" s="39"/>
      <c r="M66" s="39"/>
      <c r="N66" s="39"/>
      <c r="O66" s="39"/>
      <c r="P66" s="39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6"/>
      <c r="AX66" s="46"/>
      <c r="AY66" s="46"/>
      <c r="AZ66" s="46"/>
    </row>
    <row r="67" ht="15.75" customHeight="1">
      <c r="G67" s="43"/>
      <c r="H67" s="43"/>
      <c r="I67" s="39"/>
      <c r="J67" s="39"/>
      <c r="K67" s="39"/>
      <c r="L67" s="39"/>
      <c r="M67" s="39"/>
      <c r="N67" s="39"/>
      <c r="O67" s="39"/>
      <c r="P67" s="39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6"/>
      <c r="AX67" s="46"/>
      <c r="AY67" s="46"/>
      <c r="AZ67" s="46"/>
    </row>
    <row r="68" ht="15.75" customHeight="1">
      <c r="G68" s="43"/>
      <c r="H68" s="43"/>
      <c r="I68" s="39"/>
      <c r="J68" s="39"/>
      <c r="K68" s="39"/>
      <c r="L68" s="39"/>
      <c r="M68" s="39"/>
      <c r="N68" s="39"/>
      <c r="O68" s="39"/>
      <c r="P68" s="39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6"/>
      <c r="AX68" s="46"/>
      <c r="AY68" s="46"/>
      <c r="AZ68" s="46"/>
    </row>
    <row r="69" ht="15.75" customHeight="1">
      <c r="G69" s="43"/>
      <c r="H69" s="43"/>
      <c r="I69" s="39"/>
      <c r="J69" s="39"/>
      <c r="K69" s="39"/>
      <c r="L69" s="39"/>
      <c r="M69" s="39"/>
      <c r="N69" s="39"/>
      <c r="O69" s="39"/>
      <c r="P69" s="39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6"/>
      <c r="AX69" s="46"/>
      <c r="AY69" s="46"/>
      <c r="AZ69" s="46"/>
    </row>
    <row r="70" ht="15.75" customHeight="1">
      <c r="G70" s="43"/>
      <c r="H70" s="43"/>
      <c r="I70" s="39"/>
      <c r="J70" s="39"/>
      <c r="K70" s="39"/>
      <c r="L70" s="39"/>
      <c r="M70" s="39"/>
      <c r="N70" s="39"/>
      <c r="O70" s="39"/>
      <c r="P70" s="39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6"/>
      <c r="AX70" s="46"/>
      <c r="AY70" s="46"/>
      <c r="AZ70" s="46"/>
    </row>
    <row r="71" ht="15.75" customHeight="1">
      <c r="G71" s="43"/>
      <c r="H71" s="43"/>
      <c r="I71" s="39"/>
      <c r="J71" s="39"/>
      <c r="K71" s="39"/>
      <c r="L71" s="39"/>
      <c r="M71" s="39"/>
      <c r="N71" s="39"/>
      <c r="O71" s="39"/>
      <c r="P71" s="39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6"/>
      <c r="AX71" s="46"/>
      <c r="AY71" s="46"/>
      <c r="AZ71" s="46"/>
    </row>
    <row r="72" ht="15.75" customHeight="1">
      <c r="G72" s="43"/>
      <c r="H72" s="43"/>
      <c r="I72" s="39"/>
      <c r="J72" s="39"/>
      <c r="K72" s="39"/>
      <c r="L72" s="39"/>
      <c r="M72" s="39"/>
      <c r="N72" s="39"/>
      <c r="O72" s="39"/>
      <c r="P72" s="39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6"/>
      <c r="AX72" s="46"/>
      <c r="AY72" s="46"/>
      <c r="AZ72" s="46"/>
    </row>
    <row r="73" ht="15.75" customHeight="1">
      <c r="G73" s="43"/>
      <c r="H73" s="43"/>
      <c r="I73" s="39"/>
      <c r="J73" s="39"/>
      <c r="K73" s="39"/>
      <c r="L73" s="39"/>
      <c r="M73" s="39"/>
      <c r="N73" s="39"/>
      <c r="O73" s="39"/>
      <c r="P73" s="39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6"/>
      <c r="AX73" s="46"/>
      <c r="AY73" s="46"/>
      <c r="AZ73" s="46"/>
    </row>
    <row r="74" ht="15.75" customHeight="1">
      <c r="G74" s="43"/>
      <c r="H74" s="43"/>
      <c r="I74" s="39"/>
      <c r="J74" s="39"/>
      <c r="K74" s="39"/>
      <c r="L74" s="39"/>
      <c r="M74" s="39"/>
      <c r="N74" s="39"/>
      <c r="O74" s="39"/>
      <c r="P74" s="39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6"/>
      <c r="AX74" s="46"/>
      <c r="AY74" s="46"/>
      <c r="AZ74" s="46"/>
    </row>
    <row r="75" ht="15.75" customHeight="1">
      <c r="G75" s="43"/>
      <c r="H75" s="43"/>
      <c r="I75" s="39"/>
      <c r="J75" s="39"/>
      <c r="K75" s="39"/>
      <c r="L75" s="39"/>
      <c r="M75" s="39"/>
      <c r="N75" s="39"/>
      <c r="O75" s="39"/>
      <c r="P75" s="39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6"/>
      <c r="AX75" s="46"/>
      <c r="AY75" s="46"/>
      <c r="AZ75" s="46"/>
    </row>
    <row r="76" ht="15.75" customHeight="1">
      <c r="G76" s="43"/>
      <c r="H76" s="43"/>
      <c r="I76" s="39"/>
      <c r="J76" s="39"/>
      <c r="K76" s="39"/>
      <c r="L76" s="39"/>
      <c r="M76" s="39"/>
      <c r="N76" s="39"/>
      <c r="O76" s="39"/>
      <c r="P76" s="39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6"/>
      <c r="AX76" s="46"/>
      <c r="AY76" s="46"/>
      <c r="AZ76" s="46"/>
    </row>
    <row r="77" ht="15.75" customHeight="1">
      <c r="G77" s="43"/>
      <c r="H77" s="43"/>
      <c r="I77" s="39"/>
      <c r="J77" s="39"/>
      <c r="K77" s="39"/>
      <c r="L77" s="39"/>
      <c r="M77" s="39"/>
      <c r="N77" s="39"/>
      <c r="O77" s="39"/>
      <c r="P77" s="39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6"/>
      <c r="AX77" s="46"/>
      <c r="AY77" s="46"/>
      <c r="AZ77" s="46"/>
    </row>
    <row r="78" ht="15.75" customHeight="1">
      <c r="G78" s="43"/>
      <c r="H78" s="43"/>
      <c r="I78" s="39"/>
      <c r="J78" s="39"/>
      <c r="K78" s="39"/>
      <c r="L78" s="39"/>
      <c r="M78" s="39"/>
      <c r="N78" s="39"/>
      <c r="O78" s="39"/>
      <c r="P78" s="39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6"/>
      <c r="AX78" s="46"/>
      <c r="AY78" s="46"/>
      <c r="AZ78" s="46"/>
    </row>
    <row r="79" ht="15.75" customHeight="1">
      <c r="G79" s="43"/>
      <c r="H79" s="43"/>
      <c r="I79" s="39"/>
      <c r="J79" s="39"/>
      <c r="K79" s="39"/>
      <c r="L79" s="39"/>
      <c r="M79" s="39"/>
      <c r="N79" s="39"/>
      <c r="O79" s="39"/>
      <c r="P79" s="39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6"/>
      <c r="AX79" s="46"/>
      <c r="AY79" s="46"/>
      <c r="AZ79" s="46"/>
    </row>
    <row r="80" ht="15.75" customHeight="1">
      <c r="G80" s="43"/>
      <c r="H80" s="43"/>
      <c r="I80" s="39"/>
      <c r="J80" s="39"/>
      <c r="K80" s="39"/>
      <c r="L80" s="39"/>
      <c r="M80" s="39"/>
      <c r="N80" s="39"/>
      <c r="O80" s="39"/>
      <c r="P80" s="39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6"/>
      <c r="AX80" s="46"/>
      <c r="AY80" s="46"/>
      <c r="AZ80" s="46"/>
    </row>
    <row r="81" ht="15.75" customHeight="1">
      <c r="G81" s="43"/>
      <c r="H81" s="43"/>
      <c r="I81" s="39"/>
      <c r="J81" s="39"/>
      <c r="K81" s="39"/>
      <c r="L81" s="39"/>
      <c r="M81" s="39"/>
      <c r="N81" s="39"/>
      <c r="O81" s="39"/>
      <c r="P81" s="39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6"/>
      <c r="AX81" s="46"/>
      <c r="AY81" s="46"/>
      <c r="AZ81" s="46"/>
    </row>
    <row r="82" ht="15.75" customHeight="1">
      <c r="G82" s="43"/>
      <c r="H82" s="43"/>
      <c r="I82" s="39"/>
      <c r="J82" s="39"/>
      <c r="K82" s="39"/>
      <c r="L82" s="39"/>
      <c r="M82" s="39"/>
      <c r="N82" s="39"/>
      <c r="O82" s="39"/>
      <c r="P82" s="39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6"/>
      <c r="AX82" s="46"/>
      <c r="AY82" s="46"/>
      <c r="AZ82" s="46"/>
    </row>
    <row r="83" ht="15.75" customHeight="1">
      <c r="G83" s="43"/>
      <c r="H83" s="43"/>
      <c r="I83" s="39"/>
      <c r="J83" s="39"/>
      <c r="K83" s="39"/>
      <c r="L83" s="39"/>
      <c r="M83" s="39"/>
      <c r="N83" s="39"/>
      <c r="O83" s="39"/>
      <c r="P83" s="39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6"/>
      <c r="AX83" s="46"/>
      <c r="AY83" s="46"/>
      <c r="AZ83" s="46"/>
    </row>
    <row r="84" ht="15.75" customHeight="1">
      <c r="G84" s="43"/>
      <c r="H84" s="43"/>
      <c r="I84" s="39"/>
      <c r="J84" s="39"/>
      <c r="K84" s="39"/>
      <c r="L84" s="39"/>
      <c r="M84" s="39"/>
      <c r="N84" s="39"/>
      <c r="O84" s="39"/>
      <c r="P84" s="39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6"/>
      <c r="AX84" s="46"/>
      <c r="AY84" s="46"/>
      <c r="AZ84" s="46"/>
    </row>
    <row r="85" ht="15.75" customHeight="1">
      <c r="G85" s="43"/>
      <c r="H85" s="43"/>
      <c r="I85" s="39"/>
      <c r="J85" s="39"/>
      <c r="K85" s="39"/>
      <c r="L85" s="39"/>
      <c r="M85" s="39"/>
      <c r="N85" s="39"/>
      <c r="O85" s="39"/>
      <c r="P85" s="39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6"/>
      <c r="AX85" s="46"/>
      <c r="AY85" s="46"/>
      <c r="AZ85" s="46"/>
    </row>
    <row r="86" ht="15.75" customHeight="1">
      <c r="G86" s="43"/>
      <c r="H86" s="43"/>
      <c r="I86" s="39"/>
      <c r="J86" s="39"/>
      <c r="K86" s="39"/>
      <c r="L86" s="39"/>
      <c r="M86" s="39"/>
      <c r="N86" s="39"/>
      <c r="O86" s="39"/>
      <c r="P86" s="39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6"/>
      <c r="AX86" s="46"/>
      <c r="AY86" s="46"/>
      <c r="AZ86" s="46"/>
    </row>
    <row r="87" ht="15.75" customHeight="1">
      <c r="G87" s="43"/>
      <c r="H87" s="43"/>
      <c r="I87" s="39"/>
      <c r="J87" s="39"/>
      <c r="K87" s="39"/>
      <c r="L87" s="39"/>
      <c r="M87" s="39"/>
      <c r="N87" s="39"/>
      <c r="O87" s="39"/>
      <c r="P87" s="39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6"/>
      <c r="AX87" s="46"/>
      <c r="AY87" s="46"/>
      <c r="AZ87" s="46"/>
    </row>
    <row r="88" ht="15.75" customHeight="1">
      <c r="G88" s="43"/>
      <c r="H88" s="43"/>
      <c r="I88" s="39"/>
      <c r="J88" s="39"/>
      <c r="K88" s="39"/>
      <c r="L88" s="39"/>
      <c r="M88" s="39"/>
      <c r="N88" s="39"/>
      <c r="O88" s="39"/>
      <c r="P88" s="39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6"/>
      <c r="AX88" s="46"/>
      <c r="AY88" s="46"/>
      <c r="AZ88" s="46"/>
    </row>
    <row r="89" ht="15.75" customHeight="1">
      <c r="G89" s="43"/>
      <c r="H89" s="43"/>
      <c r="I89" s="39"/>
      <c r="J89" s="39"/>
      <c r="K89" s="39"/>
      <c r="L89" s="39"/>
      <c r="M89" s="39"/>
      <c r="N89" s="39"/>
      <c r="O89" s="39"/>
      <c r="P89" s="39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6"/>
      <c r="AX89" s="46"/>
      <c r="AY89" s="46"/>
      <c r="AZ89" s="46"/>
    </row>
    <row r="90" ht="15.75" customHeight="1">
      <c r="G90" s="43"/>
      <c r="H90" s="43"/>
      <c r="I90" s="39"/>
      <c r="J90" s="39"/>
      <c r="K90" s="39"/>
      <c r="L90" s="39"/>
      <c r="M90" s="39"/>
      <c r="N90" s="39"/>
      <c r="O90" s="39"/>
      <c r="P90" s="39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6"/>
      <c r="AX90" s="46"/>
      <c r="AY90" s="46"/>
      <c r="AZ90" s="46"/>
    </row>
    <row r="91" ht="15.75" customHeight="1">
      <c r="G91" s="43"/>
      <c r="H91" s="43"/>
      <c r="I91" s="39"/>
      <c r="J91" s="39"/>
      <c r="K91" s="39"/>
      <c r="L91" s="39"/>
      <c r="M91" s="39"/>
      <c r="N91" s="39"/>
      <c r="O91" s="39"/>
      <c r="P91" s="39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6"/>
      <c r="AX91" s="46"/>
      <c r="AY91" s="46"/>
      <c r="AZ91" s="46"/>
    </row>
    <row r="92" ht="15.75" customHeight="1">
      <c r="G92" s="43"/>
      <c r="H92" s="43"/>
      <c r="I92" s="39"/>
      <c r="J92" s="39"/>
      <c r="K92" s="39"/>
      <c r="L92" s="39"/>
      <c r="M92" s="39"/>
      <c r="N92" s="39"/>
      <c r="O92" s="39"/>
      <c r="P92" s="39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6"/>
      <c r="AX92" s="46"/>
      <c r="AY92" s="46"/>
      <c r="AZ92" s="46"/>
    </row>
    <row r="93" ht="15.75" customHeight="1">
      <c r="G93" s="43"/>
      <c r="H93" s="43"/>
      <c r="I93" s="39"/>
      <c r="J93" s="39"/>
      <c r="K93" s="39"/>
      <c r="L93" s="39"/>
      <c r="M93" s="39"/>
      <c r="N93" s="39"/>
      <c r="O93" s="39"/>
      <c r="P93" s="39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6"/>
      <c r="AX93" s="46"/>
      <c r="AY93" s="46"/>
      <c r="AZ93" s="46"/>
    </row>
    <row r="94" ht="15.75" customHeight="1">
      <c r="G94" s="43"/>
      <c r="H94" s="43"/>
      <c r="I94" s="39"/>
      <c r="J94" s="39"/>
      <c r="K94" s="39"/>
      <c r="L94" s="39"/>
      <c r="M94" s="39"/>
      <c r="N94" s="39"/>
      <c r="O94" s="39"/>
      <c r="P94" s="39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6"/>
      <c r="AX94" s="46"/>
      <c r="AY94" s="46"/>
      <c r="AZ94" s="46"/>
    </row>
    <row r="95" ht="15.75" customHeight="1">
      <c r="G95" s="43"/>
      <c r="H95" s="43"/>
      <c r="I95" s="39"/>
      <c r="J95" s="39"/>
      <c r="K95" s="39"/>
      <c r="L95" s="39"/>
      <c r="M95" s="39"/>
      <c r="N95" s="39"/>
      <c r="O95" s="39"/>
      <c r="P95" s="39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6"/>
      <c r="AX95" s="46"/>
      <c r="AY95" s="46"/>
      <c r="AZ95" s="46"/>
    </row>
    <row r="96" ht="15.75" customHeight="1">
      <c r="G96" s="43"/>
      <c r="H96" s="43"/>
      <c r="I96" s="39"/>
      <c r="J96" s="39"/>
      <c r="K96" s="39"/>
      <c r="L96" s="39"/>
      <c r="M96" s="39"/>
      <c r="N96" s="39"/>
      <c r="O96" s="39"/>
      <c r="P96" s="39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6"/>
      <c r="AX96" s="46"/>
      <c r="AY96" s="46"/>
      <c r="AZ96" s="46"/>
    </row>
    <row r="97" ht="15.75" customHeight="1">
      <c r="G97" s="43"/>
      <c r="H97" s="43"/>
      <c r="I97" s="39"/>
      <c r="J97" s="39"/>
      <c r="K97" s="39"/>
      <c r="L97" s="39"/>
      <c r="M97" s="39"/>
      <c r="N97" s="39"/>
      <c r="O97" s="39"/>
      <c r="P97" s="39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6"/>
      <c r="AX97" s="46"/>
      <c r="AY97" s="46"/>
      <c r="AZ97" s="46"/>
    </row>
    <row r="98" ht="15.75" customHeight="1">
      <c r="G98" s="43"/>
      <c r="H98" s="43"/>
      <c r="I98" s="39"/>
      <c r="J98" s="39"/>
      <c r="K98" s="39"/>
      <c r="L98" s="39"/>
      <c r="M98" s="39"/>
      <c r="N98" s="39"/>
      <c r="O98" s="39"/>
      <c r="P98" s="39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6"/>
      <c r="AX98" s="46"/>
      <c r="AY98" s="46"/>
      <c r="AZ98" s="46"/>
    </row>
    <row r="99" ht="15.75" customHeight="1">
      <c r="G99" s="43"/>
      <c r="H99" s="43"/>
      <c r="I99" s="39"/>
      <c r="J99" s="39"/>
      <c r="K99" s="39"/>
      <c r="L99" s="39"/>
      <c r="M99" s="39"/>
      <c r="N99" s="39"/>
      <c r="O99" s="39"/>
      <c r="P99" s="39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6"/>
      <c r="AX99" s="46"/>
      <c r="AY99" s="46"/>
      <c r="AZ99" s="46"/>
    </row>
    <row r="100" ht="15.75" customHeight="1">
      <c r="G100" s="43"/>
      <c r="H100" s="43"/>
      <c r="I100" s="39"/>
      <c r="J100" s="39"/>
      <c r="K100" s="39"/>
      <c r="L100" s="39"/>
      <c r="M100" s="39"/>
      <c r="N100" s="39"/>
      <c r="O100" s="39"/>
      <c r="P100" s="39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6"/>
      <c r="AX100" s="46"/>
      <c r="AY100" s="46"/>
      <c r="AZ100" s="46"/>
    </row>
    <row r="101" ht="15.75" customHeight="1">
      <c r="G101" s="43"/>
      <c r="H101" s="43"/>
      <c r="I101" s="39"/>
      <c r="J101" s="39"/>
      <c r="K101" s="39"/>
      <c r="L101" s="39"/>
      <c r="M101" s="39"/>
      <c r="N101" s="39"/>
      <c r="O101" s="39"/>
      <c r="P101" s="39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6"/>
      <c r="AX101" s="46"/>
      <c r="AY101" s="46"/>
      <c r="AZ101" s="46"/>
    </row>
    <row r="102" ht="15.75" customHeight="1">
      <c r="G102" s="43"/>
      <c r="H102" s="43"/>
      <c r="I102" s="39"/>
      <c r="J102" s="39"/>
      <c r="K102" s="39"/>
      <c r="L102" s="39"/>
      <c r="M102" s="39"/>
      <c r="N102" s="39"/>
      <c r="O102" s="39"/>
      <c r="P102" s="39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6"/>
      <c r="AX102" s="46"/>
      <c r="AY102" s="46"/>
      <c r="AZ102" s="46"/>
    </row>
    <row r="103" ht="15.75" customHeight="1">
      <c r="G103" s="43"/>
      <c r="H103" s="43"/>
      <c r="I103" s="39"/>
      <c r="J103" s="39"/>
      <c r="K103" s="39"/>
      <c r="L103" s="39"/>
      <c r="M103" s="39"/>
      <c r="N103" s="39"/>
      <c r="O103" s="39"/>
      <c r="P103" s="39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6"/>
      <c r="AX103" s="46"/>
      <c r="AY103" s="46"/>
      <c r="AZ103" s="46"/>
    </row>
    <row r="104" ht="15.75" customHeight="1">
      <c r="G104" s="43"/>
      <c r="H104" s="43"/>
      <c r="I104" s="39"/>
      <c r="J104" s="39"/>
      <c r="K104" s="39"/>
      <c r="L104" s="39"/>
      <c r="M104" s="39"/>
      <c r="N104" s="39"/>
      <c r="O104" s="39"/>
      <c r="P104" s="39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6"/>
      <c r="AX104" s="46"/>
      <c r="AY104" s="46"/>
      <c r="AZ104" s="46"/>
    </row>
    <row r="105" ht="15.75" customHeight="1">
      <c r="G105" s="43"/>
      <c r="H105" s="43"/>
      <c r="I105" s="39"/>
      <c r="J105" s="39"/>
      <c r="K105" s="39"/>
      <c r="L105" s="39"/>
      <c r="M105" s="39"/>
      <c r="N105" s="39"/>
      <c r="O105" s="39"/>
      <c r="P105" s="39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6"/>
      <c r="AX105" s="46"/>
      <c r="AY105" s="46"/>
      <c r="AZ105" s="46"/>
    </row>
    <row r="106" ht="15.75" customHeight="1">
      <c r="G106" s="43"/>
      <c r="H106" s="43"/>
      <c r="I106" s="39"/>
      <c r="J106" s="39"/>
      <c r="K106" s="39"/>
      <c r="L106" s="39"/>
      <c r="M106" s="39"/>
      <c r="N106" s="39"/>
      <c r="O106" s="39"/>
      <c r="P106" s="39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6"/>
      <c r="AX106" s="46"/>
      <c r="AY106" s="46"/>
      <c r="AZ106" s="46"/>
    </row>
    <row r="107" ht="15.75" customHeight="1">
      <c r="G107" s="43"/>
      <c r="H107" s="43"/>
      <c r="I107" s="39"/>
      <c r="J107" s="39"/>
      <c r="K107" s="39"/>
      <c r="L107" s="39"/>
      <c r="M107" s="39"/>
      <c r="N107" s="39"/>
      <c r="O107" s="39"/>
      <c r="P107" s="39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6"/>
      <c r="AX107" s="46"/>
      <c r="AY107" s="46"/>
      <c r="AZ107" s="46"/>
    </row>
    <row r="108" ht="15.75" customHeight="1">
      <c r="G108" s="43"/>
      <c r="H108" s="43"/>
      <c r="I108" s="39"/>
      <c r="J108" s="39"/>
      <c r="K108" s="39"/>
      <c r="L108" s="39"/>
      <c r="M108" s="39"/>
      <c r="N108" s="39"/>
      <c r="O108" s="39"/>
      <c r="P108" s="39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6"/>
      <c r="AX108" s="46"/>
      <c r="AY108" s="46"/>
      <c r="AZ108" s="46"/>
    </row>
    <row r="109" ht="15.75" customHeight="1">
      <c r="G109" s="43"/>
      <c r="H109" s="43"/>
      <c r="I109" s="39"/>
      <c r="J109" s="39"/>
      <c r="K109" s="39"/>
      <c r="L109" s="39"/>
      <c r="M109" s="39"/>
      <c r="N109" s="39"/>
      <c r="O109" s="39"/>
      <c r="P109" s="39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6"/>
      <c r="AX109" s="46"/>
      <c r="AY109" s="46"/>
      <c r="AZ109" s="46"/>
    </row>
    <row r="110" ht="15.75" customHeight="1">
      <c r="G110" s="43"/>
      <c r="H110" s="43"/>
      <c r="I110" s="39"/>
      <c r="J110" s="39"/>
      <c r="K110" s="39"/>
      <c r="L110" s="39"/>
      <c r="M110" s="39"/>
      <c r="N110" s="39"/>
      <c r="O110" s="39"/>
      <c r="P110" s="39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6"/>
      <c r="AX110" s="46"/>
      <c r="AY110" s="46"/>
      <c r="AZ110" s="46"/>
    </row>
    <row r="111" ht="15.75" customHeight="1">
      <c r="G111" s="43"/>
      <c r="H111" s="43"/>
      <c r="I111" s="39"/>
      <c r="J111" s="39"/>
      <c r="K111" s="39"/>
      <c r="L111" s="39"/>
      <c r="M111" s="39"/>
      <c r="N111" s="39"/>
      <c r="O111" s="39"/>
      <c r="P111" s="39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6"/>
      <c r="AX111" s="46"/>
      <c r="AY111" s="46"/>
      <c r="AZ111" s="46"/>
    </row>
    <row r="112" ht="15.75" customHeight="1">
      <c r="G112" s="43"/>
      <c r="H112" s="43"/>
      <c r="I112" s="39"/>
      <c r="J112" s="39"/>
      <c r="K112" s="39"/>
      <c r="L112" s="39"/>
      <c r="M112" s="39"/>
      <c r="N112" s="39"/>
      <c r="O112" s="39"/>
      <c r="P112" s="39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6"/>
      <c r="AX112" s="46"/>
      <c r="AY112" s="46"/>
      <c r="AZ112" s="46"/>
    </row>
    <row r="113" ht="15.75" customHeight="1">
      <c r="G113" s="43"/>
      <c r="H113" s="43"/>
      <c r="I113" s="39"/>
      <c r="J113" s="39"/>
      <c r="K113" s="39"/>
      <c r="L113" s="39"/>
      <c r="M113" s="39"/>
      <c r="N113" s="39"/>
      <c r="O113" s="39"/>
      <c r="P113" s="39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6"/>
      <c r="AX113" s="46"/>
      <c r="AY113" s="46"/>
      <c r="AZ113" s="46"/>
    </row>
    <row r="114" ht="15.75" customHeight="1">
      <c r="G114" s="43"/>
      <c r="H114" s="43"/>
      <c r="I114" s="39"/>
      <c r="J114" s="39"/>
      <c r="K114" s="39"/>
      <c r="L114" s="39"/>
      <c r="M114" s="39"/>
      <c r="N114" s="39"/>
      <c r="O114" s="39"/>
      <c r="P114" s="39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6"/>
      <c r="AX114" s="46"/>
      <c r="AY114" s="46"/>
      <c r="AZ114" s="46"/>
    </row>
    <row r="115" ht="15.75" customHeight="1">
      <c r="G115" s="43"/>
      <c r="H115" s="43"/>
      <c r="I115" s="39"/>
      <c r="J115" s="39"/>
      <c r="K115" s="39"/>
      <c r="L115" s="39"/>
      <c r="M115" s="39"/>
      <c r="N115" s="39"/>
      <c r="O115" s="39"/>
      <c r="P115" s="39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6"/>
      <c r="AX115" s="46"/>
      <c r="AY115" s="46"/>
      <c r="AZ115" s="46"/>
    </row>
    <row r="116" ht="15.75" customHeight="1">
      <c r="G116" s="43"/>
      <c r="H116" s="43"/>
      <c r="I116" s="39"/>
      <c r="J116" s="39"/>
      <c r="K116" s="39"/>
      <c r="L116" s="39"/>
      <c r="M116" s="39"/>
      <c r="N116" s="39"/>
      <c r="O116" s="39"/>
      <c r="P116" s="39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6"/>
      <c r="AX116" s="46"/>
      <c r="AY116" s="46"/>
      <c r="AZ116" s="46"/>
    </row>
    <row r="117" ht="15.75" customHeight="1">
      <c r="G117" s="43"/>
      <c r="H117" s="43"/>
      <c r="I117" s="39"/>
      <c r="J117" s="39"/>
      <c r="K117" s="39"/>
      <c r="L117" s="39"/>
      <c r="M117" s="39"/>
      <c r="N117" s="39"/>
      <c r="O117" s="39"/>
      <c r="P117" s="39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6"/>
      <c r="AX117" s="46"/>
      <c r="AY117" s="46"/>
      <c r="AZ117" s="46"/>
    </row>
    <row r="118" ht="15.75" customHeight="1">
      <c r="G118" s="43"/>
      <c r="H118" s="43"/>
      <c r="I118" s="39"/>
      <c r="J118" s="39"/>
      <c r="K118" s="39"/>
      <c r="L118" s="39"/>
      <c r="M118" s="39"/>
      <c r="N118" s="39"/>
      <c r="O118" s="39"/>
      <c r="P118" s="39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6"/>
      <c r="AX118" s="46"/>
      <c r="AY118" s="46"/>
      <c r="AZ118" s="46"/>
    </row>
    <row r="119" ht="15.75" customHeight="1">
      <c r="G119" s="43"/>
      <c r="H119" s="43"/>
      <c r="I119" s="39"/>
      <c r="J119" s="39"/>
      <c r="K119" s="39"/>
      <c r="L119" s="39"/>
      <c r="M119" s="39"/>
      <c r="N119" s="39"/>
      <c r="O119" s="39"/>
      <c r="P119" s="39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6"/>
      <c r="AX119" s="46"/>
      <c r="AY119" s="46"/>
      <c r="AZ119" s="46"/>
    </row>
    <row r="120" ht="15.75" customHeight="1">
      <c r="G120" s="43"/>
      <c r="H120" s="43"/>
      <c r="I120" s="39"/>
      <c r="J120" s="39"/>
      <c r="K120" s="39"/>
      <c r="L120" s="39"/>
      <c r="M120" s="39"/>
      <c r="N120" s="39"/>
      <c r="O120" s="39"/>
      <c r="P120" s="39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6"/>
      <c r="AX120" s="46"/>
      <c r="AY120" s="46"/>
      <c r="AZ120" s="46"/>
    </row>
    <row r="121" ht="15.75" customHeight="1">
      <c r="G121" s="43"/>
      <c r="H121" s="43"/>
      <c r="I121" s="39"/>
      <c r="J121" s="39"/>
      <c r="K121" s="39"/>
      <c r="L121" s="39"/>
      <c r="M121" s="39"/>
      <c r="N121" s="39"/>
      <c r="O121" s="39"/>
      <c r="P121" s="39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6"/>
      <c r="AX121" s="46"/>
      <c r="AY121" s="46"/>
      <c r="AZ121" s="46"/>
    </row>
    <row r="122" ht="15.75" customHeight="1">
      <c r="G122" s="43"/>
      <c r="H122" s="43"/>
      <c r="I122" s="39"/>
      <c r="J122" s="39"/>
      <c r="K122" s="39"/>
      <c r="L122" s="39"/>
      <c r="M122" s="39"/>
      <c r="N122" s="39"/>
      <c r="O122" s="39"/>
      <c r="P122" s="39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6"/>
      <c r="AX122" s="46"/>
      <c r="AY122" s="46"/>
      <c r="AZ122" s="46"/>
    </row>
    <row r="123" ht="15.75" customHeight="1">
      <c r="G123" s="43"/>
      <c r="H123" s="43"/>
      <c r="I123" s="39"/>
      <c r="J123" s="39"/>
      <c r="K123" s="39"/>
      <c r="L123" s="39"/>
      <c r="M123" s="39"/>
      <c r="N123" s="39"/>
      <c r="O123" s="39"/>
      <c r="P123" s="39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6"/>
      <c r="AX123" s="46"/>
      <c r="AY123" s="46"/>
      <c r="AZ123" s="46"/>
    </row>
    <row r="124" ht="15.75" customHeight="1">
      <c r="G124" s="43"/>
      <c r="H124" s="43"/>
      <c r="I124" s="39"/>
      <c r="J124" s="39"/>
      <c r="K124" s="39"/>
      <c r="L124" s="39"/>
      <c r="M124" s="39"/>
      <c r="N124" s="39"/>
      <c r="O124" s="39"/>
      <c r="P124" s="39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6"/>
      <c r="AX124" s="46"/>
      <c r="AY124" s="46"/>
      <c r="AZ124" s="46"/>
    </row>
    <row r="125" ht="15.75" customHeight="1">
      <c r="G125" s="43"/>
      <c r="H125" s="43"/>
      <c r="I125" s="39"/>
      <c r="J125" s="39"/>
      <c r="K125" s="39"/>
      <c r="L125" s="39"/>
      <c r="M125" s="39"/>
      <c r="N125" s="39"/>
      <c r="O125" s="39"/>
      <c r="P125" s="39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6"/>
      <c r="AX125" s="46"/>
      <c r="AY125" s="46"/>
      <c r="AZ125" s="46"/>
    </row>
    <row r="126" ht="15.75" customHeight="1">
      <c r="G126" s="43"/>
      <c r="H126" s="43"/>
      <c r="I126" s="39"/>
      <c r="J126" s="39"/>
      <c r="K126" s="39"/>
      <c r="L126" s="39"/>
      <c r="M126" s="39"/>
      <c r="N126" s="39"/>
      <c r="O126" s="39"/>
      <c r="P126" s="39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6"/>
      <c r="AX126" s="46"/>
      <c r="AY126" s="46"/>
      <c r="AZ126" s="46"/>
    </row>
    <row r="127" ht="15.75" customHeight="1">
      <c r="G127" s="43"/>
      <c r="H127" s="43"/>
      <c r="I127" s="39"/>
      <c r="J127" s="39"/>
      <c r="K127" s="39"/>
      <c r="L127" s="39"/>
      <c r="M127" s="39"/>
      <c r="N127" s="39"/>
      <c r="O127" s="39"/>
      <c r="P127" s="39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6"/>
      <c r="AX127" s="46"/>
      <c r="AY127" s="46"/>
      <c r="AZ127" s="46"/>
    </row>
    <row r="128" ht="15.75" customHeight="1">
      <c r="G128" s="43"/>
      <c r="H128" s="43"/>
      <c r="I128" s="39"/>
      <c r="J128" s="39"/>
      <c r="K128" s="39"/>
      <c r="L128" s="39"/>
      <c r="M128" s="39"/>
      <c r="N128" s="39"/>
      <c r="O128" s="39"/>
      <c r="P128" s="39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6"/>
      <c r="AX128" s="46"/>
      <c r="AY128" s="46"/>
      <c r="AZ128" s="46"/>
    </row>
    <row r="129" ht="15.75" customHeight="1">
      <c r="G129" s="43"/>
      <c r="H129" s="43"/>
      <c r="I129" s="39"/>
      <c r="J129" s="39"/>
      <c r="K129" s="39"/>
      <c r="L129" s="39"/>
      <c r="M129" s="39"/>
      <c r="N129" s="39"/>
      <c r="O129" s="39"/>
      <c r="P129" s="39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6"/>
      <c r="AX129" s="46"/>
      <c r="AY129" s="46"/>
      <c r="AZ129" s="46"/>
    </row>
    <row r="130" ht="15.75" customHeight="1">
      <c r="G130" s="43"/>
      <c r="H130" s="43"/>
      <c r="I130" s="39"/>
      <c r="J130" s="39"/>
      <c r="K130" s="39"/>
      <c r="L130" s="39"/>
      <c r="M130" s="39"/>
      <c r="N130" s="39"/>
      <c r="O130" s="39"/>
      <c r="P130" s="39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6"/>
      <c r="AX130" s="46"/>
      <c r="AY130" s="46"/>
      <c r="AZ130" s="46"/>
    </row>
    <row r="131" ht="15.75" customHeight="1">
      <c r="G131" s="43"/>
      <c r="H131" s="43"/>
      <c r="I131" s="39"/>
      <c r="J131" s="39"/>
      <c r="K131" s="39"/>
      <c r="L131" s="39"/>
      <c r="M131" s="39"/>
      <c r="N131" s="39"/>
      <c r="O131" s="39"/>
      <c r="P131" s="39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6"/>
      <c r="AX131" s="46"/>
      <c r="AY131" s="46"/>
      <c r="AZ131" s="46"/>
    </row>
    <row r="132" ht="15.75" customHeight="1">
      <c r="G132" s="43"/>
      <c r="H132" s="43"/>
      <c r="I132" s="39"/>
      <c r="J132" s="39"/>
      <c r="K132" s="39"/>
      <c r="L132" s="39"/>
      <c r="M132" s="39"/>
      <c r="N132" s="39"/>
      <c r="O132" s="39"/>
      <c r="P132" s="39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6"/>
      <c r="AX132" s="46"/>
      <c r="AY132" s="46"/>
      <c r="AZ132" s="46"/>
    </row>
    <row r="133" ht="15.75" customHeight="1">
      <c r="G133" s="43"/>
      <c r="H133" s="43"/>
      <c r="I133" s="39"/>
      <c r="J133" s="39"/>
      <c r="K133" s="39"/>
      <c r="L133" s="39"/>
      <c r="M133" s="39"/>
      <c r="N133" s="39"/>
      <c r="O133" s="39"/>
      <c r="P133" s="39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6"/>
      <c r="AX133" s="46"/>
      <c r="AY133" s="46"/>
      <c r="AZ133" s="46"/>
    </row>
    <row r="134" ht="15.75" customHeight="1">
      <c r="G134" s="43"/>
      <c r="H134" s="43"/>
      <c r="I134" s="39"/>
      <c r="J134" s="39"/>
      <c r="K134" s="39"/>
      <c r="L134" s="39"/>
      <c r="M134" s="39"/>
      <c r="N134" s="39"/>
      <c r="O134" s="39"/>
      <c r="P134" s="39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6"/>
      <c r="AX134" s="46"/>
      <c r="AY134" s="46"/>
      <c r="AZ134" s="46"/>
    </row>
    <row r="135" ht="15.75" customHeight="1">
      <c r="G135" s="43"/>
      <c r="H135" s="43"/>
      <c r="I135" s="39"/>
      <c r="J135" s="39"/>
      <c r="K135" s="39"/>
      <c r="L135" s="39"/>
      <c r="M135" s="39"/>
      <c r="N135" s="39"/>
      <c r="O135" s="39"/>
      <c r="P135" s="39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6"/>
      <c r="AX135" s="46"/>
      <c r="AY135" s="46"/>
      <c r="AZ135" s="46"/>
    </row>
    <row r="136" ht="15.75" customHeight="1">
      <c r="G136" s="43"/>
      <c r="H136" s="43"/>
      <c r="I136" s="39"/>
      <c r="J136" s="39"/>
      <c r="K136" s="39"/>
      <c r="L136" s="39"/>
      <c r="M136" s="39"/>
      <c r="N136" s="39"/>
      <c r="O136" s="39"/>
      <c r="P136" s="39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6"/>
      <c r="AX136" s="46"/>
      <c r="AY136" s="46"/>
      <c r="AZ136" s="46"/>
    </row>
    <row r="137" ht="15.75" customHeight="1">
      <c r="G137" s="43"/>
      <c r="H137" s="43"/>
      <c r="I137" s="39"/>
      <c r="J137" s="39"/>
      <c r="K137" s="39"/>
      <c r="L137" s="39"/>
      <c r="M137" s="39"/>
      <c r="N137" s="39"/>
      <c r="O137" s="39"/>
      <c r="P137" s="39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6"/>
      <c r="AX137" s="46"/>
      <c r="AY137" s="46"/>
      <c r="AZ137" s="46"/>
    </row>
    <row r="138" ht="15.75" customHeight="1">
      <c r="G138" s="43"/>
      <c r="H138" s="43"/>
      <c r="I138" s="39"/>
      <c r="J138" s="39"/>
      <c r="K138" s="39"/>
      <c r="L138" s="39"/>
      <c r="M138" s="39"/>
      <c r="N138" s="39"/>
      <c r="O138" s="39"/>
      <c r="P138" s="39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6"/>
      <c r="AX138" s="46"/>
      <c r="AY138" s="46"/>
      <c r="AZ138" s="46"/>
    </row>
    <row r="139" ht="15.75" customHeight="1">
      <c r="G139" s="43"/>
      <c r="H139" s="43"/>
      <c r="I139" s="39"/>
      <c r="J139" s="39"/>
      <c r="K139" s="39"/>
      <c r="L139" s="39"/>
      <c r="M139" s="39"/>
      <c r="N139" s="39"/>
      <c r="O139" s="39"/>
      <c r="P139" s="39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6"/>
      <c r="AX139" s="46"/>
      <c r="AY139" s="46"/>
      <c r="AZ139" s="46"/>
    </row>
    <row r="140" ht="15.75" customHeight="1">
      <c r="G140" s="43"/>
      <c r="H140" s="43"/>
      <c r="I140" s="39"/>
      <c r="J140" s="39"/>
      <c r="K140" s="39"/>
      <c r="L140" s="39"/>
      <c r="M140" s="39"/>
      <c r="N140" s="39"/>
      <c r="O140" s="39"/>
      <c r="P140" s="39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6"/>
      <c r="AX140" s="46"/>
      <c r="AY140" s="46"/>
      <c r="AZ140" s="46"/>
    </row>
    <row r="141" ht="15.75" customHeight="1">
      <c r="G141" s="43"/>
      <c r="H141" s="43"/>
      <c r="I141" s="39"/>
      <c r="J141" s="39"/>
      <c r="K141" s="39"/>
      <c r="L141" s="39"/>
      <c r="M141" s="39"/>
      <c r="N141" s="39"/>
      <c r="O141" s="39"/>
      <c r="P141" s="39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6"/>
      <c r="AX141" s="46"/>
      <c r="AY141" s="46"/>
      <c r="AZ141" s="46"/>
    </row>
    <row r="142" ht="15.75" customHeight="1">
      <c r="G142" s="43"/>
      <c r="H142" s="43"/>
      <c r="I142" s="39"/>
      <c r="J142" s="39"/>
      <c r="K142" s="39"/>
      <c r="L142" s="39"/>
      <c r="M142" s="39"/>
      <c r="N142" s="39"/>
      <c r="O142" s="39"/>
      <c r="P142" s="39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6"/>
      <c r="AX142" s="46"/>
      <c r="AY142" s="46"/>
      <c r="AZ142" s="46"/>
    </row>
    <row r="143" ht="15.75" customHeight="1">
      <c r="G143" s="43"/>
      <c r="H143" s="43"/>
      <c r="I143" s="39"/>
      <c r="J143" s="39"/>
      <c r="K143" s="39"/>
      <c r="L143" s="39"/>
      <c r="M143" s="39"/>
      <c r="N143" s="39"/>
      <c r="O143" s="39"/>
      <c r="P143" s="39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6"/>
      <c r="AX143" s="46"/>
      <c r="AY143" s="46"/>
      <c r="AZ143" s="46"/>
    </row>
    <row r="144" ht="15.75" customHeight="1">
      <c r="G144" s="43"/>
      <c r="H144" s="43"/>
      <c r="I144" s="39"/>
      <c r="J144" s="39"/>
      <c r="K144" s="39"/>
      <c r="L144" s="39"/>
      <c r="M144" s="39"/>
      <c r="N144" s="39"/>
      <c r="O144" s="39"/>
      <c r="P144" s="39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6"/>
      <c r="AX144" s="46"/>
      <c r="AY144" s="46"/>
      <c r="AZ144" s="46"/>
    </row>
    <row r="145" ht="15.75" customHeight="1">
      <c r="G145" s="43"/>
      <c r="H145" s="43"/>
      <c r="I145" s="39"/>
      <c r="J145" s="39"/>
      <c r="K145" s="39"/>
      <c r="L145" s="39"/>
      <c r="M145" s="39"/>
      <c r="N145" s="39"/>
      <c r="O145" s="39"/>
      <c r="P145" s="39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6"/>
      <c r="AX145" s="46"/>
      <c r="AY145" s="46"/>
      <c r="AZ145" s="46"/>
    </row>
    <row r="146" ht="15.75" customHeight="1">
      <c r="G146" s="43"/>
      <c r="H146" s="43"/>
      <c r="I146" s="39"/>
      <c r="J146" s="39"/>
      <c r="K146" s="39"/>
      <c r="L146" s="39"/>
      <c r="M146" s="39"/>
      <c r="N146" s="39"/>
      <c r="O146" s="39"/>
      <c r="P146" s="39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6"/>
      <c r="AX146" s="46"/>
      <c r="AY146" s="46"/>
      <c r="AZ146" s="46"/>
    </row>
    <row r="147" ht="15.75" customHeight="1">
      <c r="G147" s="43"/>
      <c r="H147" s="43"/>
      <c r="I147" s="39"/>
      <c r="J147" s="39"/>
      <c r="K147" s="39"/>
      <c r="L147" s="39"/>
      <c r="M147" s="39"/>
      <c r="N147" s="39"/>
      <c r="O147" s="39"/>
      <c r="P147" s="39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6"/>
      <c r="AX147" s="46"/>
      <c r="AY147" s="46"/>
      <c r="AZ147" s="46"/>
    </row>
    <row r="148" ht="15.75" customHeight="1">
      <c r="G148" s="43"/>
      <c r="H148" s="43"/>
      <c r="I148" s="39"/>
      <c r="J148" s="39"/>
      <c r="K148" s="39"/>
      <c r="L148" s="39"/>
      <c r="M148" s="39"/>
      <c r="N148" s="39"/>
      <c r="O148" s="39"/>
      <c r="P148" s="39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6"/>
      <c r="AX148" s="46"/>
      <c r="AY148" s="46"/>
      <c r="AZ148" s="46"/>
    </row>
    <row r="149" ht="15.75" customHeight="1">
      <c r="G149" s="43"/>
      <c r="H149" s="43"/>
      <c r="I149" s="39"/>
      <c r="J149" s="39"/>
      <c r="K149" s="39"/>
      <c r="L149" s="39"/>
      <c r="M149" s="39"/>
      <c r="N149" s="39"/>
      <c r="O149" s="39"/>
      <c r="P149" s="39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6"/>
      <c r="AX149" s="46"/>
      <c r="AY149" s="46"/>
      <c r="AZ149" s="46"/>
    </row>
    <row r="150" ht="15.75" customHeight="1">
      <c r="G150" s="43"/>
      <c r="H150" s="43"/>
      <c r="I150" s="39"/>
      <c r="J150" s="39"/>
      <c r="K150" s="39"/>
      <c r="L150" s="39"/>
      <c r="M150" s="39"/>
      <c r="N150" s="39"/>
      <c r="O150" s="39"/>
      <c r="P150" s="39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6"/>
      <c r="AX150" s="46"/>
      <c r="AY150" s="46"/>
      <c r="AZ150" s="46"/>
    </row>
    <row r="151" ht="15.75" customHeight="1">
      <c r="G151" s="43"/>
      <c r="H151" s="43"/>
      <c r="I151" s="39"/>
      <c r="J151" s="39"/>
      <c r="K151" s="39"/>
      <c r="L151" s="39"/>
      <c r="M151" s="39"/>
      <c r="N151" s="39"/>
      <c r="O151" s="39"/>
      <c r="P151" s="39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6"/>
      <c r="AX151" s="46"/>
      <c r="AY151" s="46"/>
      <c r="AZ151" s="46"/>
    </row>
    <row r="152" ht="15.75" customHeight="1">
      <c r="G152" s="43"/>
      <c r="H152" s="43"/>
      <c r="I152" s="39"/>
      <c r="J152" s="39"/>
      <c r="K152" s="39"/>
      <c r="L152" s="39"/>
      <c r="M152" s="39"/>
      <c r="N152" s="39"/>
      <c r="O152" s="39"/>
      <c r="P152" s="39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6"/>
      <c r="AX152" s="46"/>
      <c r="AY152" s="46"/>
      <c r="AZ152" s="46"/>
    </row>
    <row r="153" ht="15.75" customHeight="1">
      <c r="G153" s="43"/>
      <c r="H153" s="43"/>
      <c r="I153" s="39"/>
      <c r="J153" s="39"/>
      <c r="K153" s="39"/>
      <c r="L153" s="39"/>
      <c r="M153" s="39"/>
      <c r="N153" s="39"/>
      <c r="O153" s="39"/>
      <c r="P153" s="39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6"/>
      <c r="AX153" s="46"/>
      <c r="AY153" s="46"/>
      <c r="AZ153" s="46"/>
    </row>
    <row r="154" ht="15.75" customHeight="1">
      <c r="G154" s="43"/>
      <c r="H154" s="43"/>
      <c r="I154" s="39"/>
      <c r="J154" s="39"/>
      <c r="K154" s="39"/>
      <c r="L154" s="39"/>
      <c r="M154" s="39"/>
      <c r="N154" s="39"/>
      <c r="O154" s="39"/>
      <c r="P154" s="39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6"/>
      <c r="AX154" s="46"/>
      <c r="AY154" s="46"/>
      <c r="AZ154" s="46"/>
    </row>
    <row r="155" ht="15.75" customHeight="1">
      <c r="G155" s="43"/>
      <c r="H155" s="43"/>
      <c r="I155" s="39"/>
      <c r="J155" s="39"/>
      <c r="K155" s="39"/>
      <c r="L155" s="39"/>
      <c r="M155" s="39"/>
      <c r="N155" s="39"/>
      <c r="O155" s="39"/>
      <c r="P155" s="39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6"/>
      <c r="AX155" s="46"/>
      <c r="AY155" s="46"/>
      <c r="AZ155" s="46"/>
    </row>
    <row r="156" ht="15.75" customHeight="1">
      <c r="G156" s="43"/>
      <c r="H156" s="43"/>
      <c r="I156" s="39"/>
      <c r="J156" s="39"/>
      <c r="K156" s="39"/>
      <c r="L156" s="39"/>
      <c r="M156" s="39"/>
      <c r="N156" s="39"/>
      <c r="O156" s="39"/>
      <c r="P156" s="39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6"/>
      <c r="AX156" s="46"/>
      <c r="AY156" s="46"/>
      <c r="AZ156" s="46"/>
    </row>
    <row r="157" ht="15.75" customHeight="1">
      <c r="G157" s="43"/>
      <c r="H157" s="43"/>
      <c r="I157" s="39"/>
      <c r="J157" s="39"/>
      <c r="K157" s="39"/>
      <c r="L157" s="39"/>
      <c r="M157" s="39"/>
      <c r="N157" s="39"/>
      <c r="O157" s="39"/>
      <c r="P157" s="39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6"/>
      <c r="AX157" s="46"/>
      <c r="AY157" s="46"/>
      <c r="AZ157" s="46"/>
    </row>
    <row r="158" ht="15.75" customHeight="1">
      <c r="G158" s="43"/>
      <c r="H158" s="43"/>
      <c r="I158" s="39"/>
      <c r="J158" s="39"/>
      <c r="K158" s="39"/>
      <c r="L158" s="39"/>
      <c r="M158" s="39"/>
      <c r="N158" s="39"/>
      <c r="O158" s="39"/>
      <c r="P158" s="39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6"/>
      <c r="AX158" s="46"/>
      <c r="AY158" s="46"/>
      <c r="AZ158" s="46"/>
    </row>
    <row r="159" ht="15.75" customHeight="1">
      <c r="G159" s="43"/>
      <c r="H159" s="43"/>
      <c r="I159" s="39"/>
      <c r="J159" s="39"/>
      <c r="K159" s="39"/>
      <c r="L159" s="39"/>
      <c r="M159" s="39"/>
      <c r="N159" s="39"/>
      <c r="O159" s="39"/>
      <c r="P159" s="39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6"/>
      <c r="AX159" s="46"/>
      <c r="AY159" s="46"/>
      <c r="AZ159" s="46"/>
    </row>
    <row r="160" ht="15.75" customHeight="1">
      <c r="G160" s="43"/>
      <c r="H160" s="43"/>
      <c r="I160" s="39"/>
      <c r="J160" s="39"/>
      <c r="K160" s="39"/>
      <c r="L160" s="39"/>
      <c r="M160" s="39"/>
      <c r="N160" s="39"/>
      <c r="O160" s="39"/>
      <c r="P160" s="39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6"/>
      <c r="AX160" s="46"/>
      <c r="AY160" s="46"/>
      <c r="AZ160" s="46"/>
    </row>
    <row r="161" ht="15.75" customHeight="1">
      <c r="G161" s="43"/>
      <c r="H161" s="43"/>
      <c r="I161" s="39"/>
      <c r="J161" s="39"/>
      <c r="K161" s="39"/>
      <c r="L161" s="39"/>
      <c r="M161" s="39"/>
      <c r="N161" s="39"/>
      <c r="O161" s="39"/>
      <c r="P161" s="39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6"/>
      <c r="AX161" s="46"/>
      <c r="AY161" s="46"/>
      <c r="AZ161" s="46"/>
    </row>
    <row r="162" ht="15.75" customHeight="1">
      <c r="G162" s="43"/>
      <c r="H162" s="43"/>
      <c r="I162" s="39"/>
      <c r="J162" s="39"/>
      <c r="K162" s="39"/>
      <c r="L162" s="39"/>
      <c r="M162" s="39"/>
      <c r="N162" s="39"/>
      <c r="O162" s="39"/>
      <c r="P162" s="39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6"/>
      <c r="AX162" s="46"/>
      <c r="AY162" s="46"/>
      <c r="AZ162" s="46"/>
    </row>
    <row r="163" ht="15.75" customHeight="1">
      <c r="G163" s="43"/>
      <c r="H163" s="43"/>
      <c r="I163" s="39"/>
      <c r="J163" s="39"/>
      <c r="K163" s="39"/>
      <c r="L163" s="39"/>
      <c r="M163" s="39"/>
      <c r="N163" s="39"/>
      <c r="O163" s="39"/>
      <c r="P163" s="39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6"/>
      <c r="AX163" s="46"/>
      <c r="AY163" s="46"/>
      <c r="AZ163" s="46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7" max="7" width="12.13"/>
    <col customWidth="1" min="8" max="8" width="19.13"/>
    <col customWidth="1" min="10" max="10" width="27.0"/>
    <col customWidth="1" min="12" max="12" width="36.88"/>
  </cols>
  <sheetData>
    <row r="1" ht="40.5" customHeight="1">
      <c r="A1" s="57" t="s">
        <v>0</v>
      </c>
      <c r="B1" s="57" t="s">
        <v>1</v>
      </c>
      <c r="C1" s="57" t="s">
        <v>2</v>
      </c>
      <c r="D1" s="57" t="s">
        <v>656</v>
      </c>
      <c r="E1" s="57" t="s">
        <v>657</v>
      </c>
      <c r="F1" s="57" t="s">
        <v>658</v>
      </c>
      <c r="G1" s="1" t="s">
        <v>659</v>
      </c>
      <c r="H1" s="58" t="s">
        <v>660</v>
      </c>
      <c r="I1" s="59" t="s">
        <v>661</v>
      </c>
      <c r="J1" s="58" t="s">
        <v>662</v>
      </c>
      <c r="K1" s="59" t="s">
        <v>663</v>
      </c>
      <c r="L1" s="60" t="s">
        <v>664</v>
      </c>
      <c r="M1" s="61" t="s">
        <v>14</v>
      </c>
    </row>
    <row r="2" ht="15.75" customHeight="1">
      <c r="A2" s="11">
        <v>1588.0</v>
      </c>
      <c r="B2" s="11" t="s">
        <v>42</v>
      </c>
      <c r="C2" s="12" t="str">
        <f t="shared" ref="C2:C37" si="1">CONCATENATE(D2,"_",E2,"_",G2)</f>
        <v>ADTV-PMP-01_POWER_DISPATCH</v>
      </c>
      <c r="D2" s="13" t="s">
        <v>665</v>
      </c>
      <c r="E2" s="13" t="s">
        <v>666</v>
      </c>
      <c r="F2" s="13" t="s">
        <v>667</v>
      </c>
      <c r="G2" s="14" t="s">
        <v>668</v>
      </c>
      <c r="H2" s="41" t="s">
        <v>669</v>
      </c>
      <c r="I2" s="62">
        <v>0.0</v>
      </c>
      <c r="J2" s="41" t="s">
        <v>670</v>
      </c>
      <c r="K2" s="63">
        <v>1.0</v>
      </c>
      <c r="L2" s="41" t="s">
        <v>671</v>
      </c>
      <c r="M2" s="62">
        <v>0.0</v>
      </c>
    </row>
    <row r="3" ht="15.75" customHeight="1">
      <c r="A3" s="11">
        <v>1588.0</v>
      </c>
      <c r="B3" s="11" t="s">
        <v>42</v>
      </c>
      <c r="C3" s="12" t="str">
        <f t="shared" si="1"/>
        <v>ADTV-PMP-02_POWER_DISPATCH</v>
      </c>
      <c r="D3" s="13" t="s">
        <v>672</v>
      </c>
      <c r="E3" s="13" t="s">
        <v>666</v>
      </c>
      <c r="F3" s="13" t="s">
        <v>667</v>
      </c>
      <c r="G3" s="14" t="s">
        <v>668</v>
      </c>
      <c r="H3" s="41" t="s">
        <v>673</v>
      </c>
      <c r="I3" s="62">
        <v>0.0</v>
      </c>
      <c r="J3" s="41" t="s">
        <v>674</v>
      </c>
      <c r="K3" s="63">
        <v>1.0</v>
      </c>
      <c r="L3" s="44" t="s">
        <v>675</v>
      </c>
      <c r="M3" s="62">
        <v>0.0</v>
      </c>
    </row>
    <row r="4" ht="15.75" customHeight="1">
      <c r="A4" s="11">
        <v>1588.0</v>
      </c>
      <c r="B4" s="11" t="s">
        <v>42</v>
      </c>
      <c r="C4" s="12" t="str">
        <f t="shared" si="1"/>
        <v>ADTV-PMP-03_TURBO_DISPATCH</v>
      </c>
      <c r="D4" s="13" t="s">
        <v>676</v>
      </c>
      <c r="E4" s="13" t="s">
        <v>677</v>
      </c>
      <c r="F4" s="13" t="s">
        <v>667</v>
      </c>
      <c r="G4" s="14" t="s">
        <v>668</v>
      </c>
      <c r="H4" s="41" t="s">
        <v>678</v>
      </c>
      <c r="I4" s="62">
        <v>0.0</v>
      </c>
      <c r="J4" s="41" t="s">
        <v>679</v>
      </c>
      <c r="K4" s="63">
        <v>1.0</v>
      </c>
      <c r="L4" s="44" t="s">
        <v>680</v>
      </c>
      <c r="M4" s="62">
        <v>0.0</v>
      </c>
    </row>
    <row r="5" ht="15.75" customHeight="1">
      <c r="A5" s="11">
        <v>1588.0</v>
      </c>
      <c r="B5" s="11" t="s">
        <v>42</v>
      </c>
      <c r="C5" s="12" t="str">
        <f t="shared" si="1"/>
        <v>ADTV-PMP-04_TURBO_DISPATCH</v>
      </c>
      <c r="D5" s="13" t="s">
        <v>681</v>
      </c>
      <c r="E5" s="13" t="s">
        <v>677</v>
      </c>
      <c r="F5" s="13" t="s">
        <v>667</v>
      </c>
      <c r="G5" s="14" t="s">
        <v>668</v>
      </c>
      <c r="H5" s="41" t="s">
        <v>682</v>
      </c>
      <c r="I5" s="62">
        <v>0.0</v>
      </c>
      <c r="J5" s="41" t="s">
        <v>683</v>
      </c>
      <c r="K5" s="63">
        <v>1.0</v>
      </c>
      <c r="L5" s="44" t="s">
        <v>684</v>
      </c>
      <c r="M5" s="62">
        <v>0.0</v>
      </c>
    </row>
    <row r="6" ht="15.75" customHeight="1">
      <c r="A6" s="11">
        <v>1588.0</v>
      </c>
      <c r="B6" s="11" t="s">
        <v>42</v>
      </c>
      <c r="C6" s="12" t="str">
        <f t="shared" si="1"/>
        <v>PMP-01_BS VI HSD_DISPATCH</v>
      </c>
      <c r="D6" s="13" t="s">
        <v>685</v>
      </c>
      <c r="E6" s="13" t="s">
        <v>109</v>
      </c>
      <c r="F6" s="13" t="s">
        <v>667</v>
      </c>
      <c r="G6" s="14" t="s">
        <v>668</v>
      </c>
      <c r="H6" s="41" t="s">
        <v>686</v>
      </c>
      <c r="I6" s="62">
        <v>0.0</v>
      </c>
      <c r="J6" s="41" t="s">
        <v>687</v>
      </c>
      <c r="K6" s="63">
        <v>1.0</v>
      </c>
      <c r="L6" s="44" t="s">
        <v>688</v>
      </c>
      <c r="M6" s="62">
        <v>0.0</v>
      </c>
    </row>
    <row r="7" ht="15.75" customHeight="1">
      <c r="A7" s="11">
        <v>1588.0</v>
      </c>
      <c r="B7" s="11" t="s">
        <v>42</v>
      </c>
      <c r="C7" s="12" t="str">
        <f t="shared" si="1"/>
        <v>PMP-02_BS VI HSD_DISPATCH</v>
      </c>
      <c r="D7" s="13" t="s">
        <v>689</v>
      </c>
      <c r="E7" s="13" t="s">
        <v>109</v>
      </c>
      <c r="F7" s="13" t="s">
        <v>667</v>
      </c>
      <c r="G7" s="14" t="s">
        <v>668</v>
      </c>
      <c r="H7" s="41" t="s">
        <v>690</v>
      </c>
      <c r="I7" s="62">
        <v>0.0</v>
      </c>
      <c r="J7" s="41" t="s">
        <v>691</v>
      </c>
      <c r="K7" s="63">
        <v>1.0</v>
      </c>
      <c r="L7" s="44" t="s">
        <v>692</v>
      </c>
      <c r="M7" s="62">
        <v>0.0</v>
      </c>
    </row>
    <row r="8" ht="15.75" customHeight="1">
      <c r="A8" s="11">
        <v>1588.0</v>
      </c>
      <c r="B8" s="11" t="s">
        <v>42</v>
      </c>
      <c r="C8" s="12" t="str">
        <f t="shared" si="1"/>
        <v>PMP-03_BS VI HSD_DISPATCH</v>
      </c>
      <c r="D8" s="13" t="s">
        <v>693</v>
      </c>
      <c r="E8" s="13" t="s">
        <v>109</v>
      </c>
      <c r="F8" s="13" t="s">
        <v>667</v>
      </c>
      <c r="G8" s="14" t="s">
        <v>668</v>
      </c>
      <c r="H8" s="41" t="s">
        <v>694</v>
      </c>
      <c r="I8" s="62">
        <v>0.0</v>
      </c>
      <c r="J8" s="41" t="s">
        <v>695</v>
      </c>
      <c r="K8" s="63">
        <v>1.0</v>
      </c>
      <c r="L8" s="44" t="s">
        <v>696</v>
      </c>
      <c r="M8" s="62">
        <v>0.0</v>
      </c>
    </row>
    <row r="9" ht="15.75" customHeight="1">
      <c r="A9" s="11">
        <v>1588.0</v>
      </c>
      <c r="B9" s="11" t="s">
        <v>42</v>
      </c>
      <c r="C9" s="12" t="str">
        <f t="shared" si="1"/>
        <v>PMP-04_BS VI HSD_DISPATCH</v>
      </c>
      <c r="D9" s="13" t="s">
        <v>697</v>
      </c>
      <c r="E9" s="13" t="s">
        <v>109</v>
      </c>
      <c r="F9" s="13" t="s">
        <v>667</v>
      </c>
      <c r="G9" s="14" t="s">
        <v>668</v>
      </c>
      <c r="H9" s="41" t="s">
        <v>698</v>
      </c>
      <c r="I9" s="62">
        <v>0.0</v>
      </c>
      <c r="J9" s="41" t="s">
        <v>699</v>
      </c>
      <c r="K9" s="63">
        <v>1.0</v>
      </c>
      <c r="L9" s="44" t="s">
        <v>700</v>
      </c>
      <c r="M9" s="62">
        <v>0.0</v>
      </c>
    </row>
    <row r="10" ht="15.75" customHeight="1">
      <c r="A10" s="11">
        <v>1588.0</v>
      </c>
      <c r="B10" s="11" t="s">
        <v>42</v>
      </c>
      <c r="C10" s="12" t="str">
        <f t="shared" si="1"/>
        <v>PMP-05_BS VI HSD_DISPATCH</v>
      </c>
      <c r="D10" s="13" t="s">
        <v>701</v>
      </c>
      <c r="E10" s="13" t="s">
        <v>109</v>
      </c>
      <c r="F10" s="13" t="s">
        <v>667</v>
      </c>
      <c r="G10" s="14" t="s">
        <v>668</v>
      </c>
      <c r="H10" s="41" t="s">
        <v>702</v>
      </c>
      <c r="I10" s="62">
        <v>0.0</v>
      </c>
      <c r="J10" s="41" t="s">
        <v>703</v>
      </c>
      <c r="K10" s="63">
        <v>1.0</v>
      </c>
      <c r="L10" s="44" t="s">
        <v>704</v>
      </c>
      <c r="M10" s="62">
        <v>0.0</v>
      </c>
    </row>
    <row r="11" ht="15.75" customHeight="1">
      <c r="A11" s="11">
        <v>1588.0</v>
      </c>
      <c r="B11" s="11" t="s">
        <v>42</v>
      </c>
      <c r="C11" s="12" t="str">
        <f t="shared" si="1"/>
        <v>PMP-06_BS VI HSD_DISPATCH</v>
      </c>
      <c r="D11" s="13" t="s">
        <v>705</v>
      </c>
      <c r="E11" s="13" t="s">
        <v>109</v>
      </c>
      <c r="F11" s="13" t="s">
        <v>667</v>
      </c>
      <c r="G11" s="14" t="s">
        <v>668</v>
      </c>
      <c r="H11" s="41" t="s">
        <v>706</v>
      </c>
      <c r="I11" s="62">
        <v>0.0</v>
      </c>
      <c r="J11" s="41" t="s">
        <v>707</v>
      </c>
      <c r="K11" s="63">
        <v>1.0</v>
      </c>
      <c r="L11" s="44" t="s">
        <v>708</v>
      </c>
      <c r="M11" s="62">
        <v>0.0</v>
      </c>
    </row>
    <row r="12" ht="15.75" customHeight="1">
      <c r="A12" s="11">
        <v>1588.0</v>
      </c>
      <c r="B12" s="11" t="s">
        <v>42</v>
      </c>
      <c r="C12" s="12" t="str">
        <f t="shared" si="1"/>
        <v>PMP-07_BS VI HSD_DISPATCH</v>
      </c>
      <c r="D12" s="13" t="s">
        <v>709</v>
      </c>
      <c r="E12" s="13" t="s">
        <v>109</v>
      </c>
      <c r="F12" s="13" t="s">
        <v>667</v>
      </c>
      <c r="G12" s="14" t="s">
        <v>668</v>
      </c>
      <c r="H12" s="41" t="s">
        <v>710</v>
      </c>
      <c r="I12" s="62">
        <v>0.0</v>
      </c>
      <c r="J12" s="41" t="s">
        <v>711</v>
      </c>
      <c r="K12" s="63">
        <v>1.0</v>
      </c>
      <c r="L12" s="44" t="s">
        <v>712</v>
      </c>
      <c r="M12" s="62">
        <v>0.0</v>
      </c>
    </row>
    <row r="13" ht="15.75" customHeight="1">
      <c r="A13" s="11">
        <v>1588.0</v>
      </c>
      <c r="B13" s="11" t="s">
        <v>42</v>
      </c>
      <c r="C13" s="12" t="str">
        <f t="shared" si="1"/>
        <v>PMP-08_BS VI MS_DISPATCH</v>
      </c>
      <c r="D13" s="13" t="s">
        <v>713</v>
      </c>
      <c r="E13" s="13" t="s">
        <v>439</v>
      </c>
      <c r="F13" s="13" t="s">
        <v>667</v>
      </c>
      <c r="G13" s="14" t="s">
        <v>668</v>
      </c>
      <c r="H13" s="41" t="s">
        <v>714</v>
      </c>
      <c r="I13" s="62">
        <v>0.0</v>
      </c>
      <c r="J13" s="41" t="s">
        <v>715</v>
      </c>
      <c r="K13" s="63">
        <v>1.0</v>
      </c>
      <c r="L13" s="44" t="s">
        <v>716</v>
      </c>
      <c r="M13" s="62">
        <v>0.0</v>
      </c>
    </row>
    <row r="14" ht="15.75" customHeight="1">
      <c r="A14" s="11">
        <v>1588.0</v>
      </c>
      <c r="B14" s="11" t="s">
        <v>42</v>
      </c>
      <c r="C14" s="12" t="str">
        <f t="shared" si="1"/>
        <v>PMP-09_BS VI MS_DISPATCH</v>
      </c>
      <c r="D14" s="13" t="s">
        <v>717</v>
      </c>
      <c r="E14" s="13" t="s">
        <v>439</v>
      </c>
      <c r="F14" s="13" t="s">
        <v>667</v>
      </c>
      <c r="G14" s="14" t="s">
        <v>668</v>
      </c>
      <c r="H14" s="41" t="s">
        <v>718</v>
      </c>
      <c r="I14" s="62">
        <v>0.0</v>
      </c>
      <c r="J14" s="41" t="s">
        <v>719</v>
      </c>
      <c r="K14" s="63">
        <v>1.0</v>
      </c>
      <c r="L14" s="44" t="s">
        <v>720</v>
      </c>
      <c r="M14" s="62">
        <v>0.0</v>
      </c>
    </row>
    <row r="15" ht="15.75" customHeight="1">
      <c r="A15" s="11">
        <v>1588.0</v>
      </c>
      <c r="B15" s="11" t="s">
        <v>42</v>
      </c>
      <c r="C15" s="12" t="str">
        <f t="shared" si="1"/>
        <v>PMP-10_BS VI MS_DISPATCH</v>
      </c>
      <c r="D15" s="13" t="s">
        <v>721</v>
      </c>
      <c r="E15" s="13" t="s">
        <v>439</v>
      </c>
      <c r="F15" s="13" t="s">
        <v>667</v>
      </c>
      <c r="G15" s="14" t="s">
        <v>668</v>
      </c>
      <c r="H15" s="41" t="s">
        <v>722</v>
      </c>
      <c r="I15" s="62">
        <v>0.0</v>
      </c>
      <c r="J15" s="41" t="s">
        <v>723</v>
      </c>
      <c r="K15" s="63">
        <v>1.0</v>
      </c>
      <c r="L15" s="44" t="s">
        <v>724</v>
      </c>
      <c r="M15" s="62">
        <v>0.0</v>
      </c>
    </row>
    <row r="16" ht="15.75" customHeight="1">
      <c r="A16" s="11">
        <v>1588.0</v>
      </c>
      <c r="B16" s="11" t="s">
        <v>42</v>
      </c>
      <c r="C16" s="12" t="str">
        <f t="shared" si="1"/>
        <v>PMP-11_BS VI MS_DISPATCH</v>
      </c>
      <c r="D16" s="13" t="s">
        <v>725</v>
      </c>
      <c r="E16" s="13" t="s">
        <v>439</v>
      </c>
      <c r="F16" s="13" t="s">
        <v>667</v>
      </c>
      <c r="G16" s="14" t="s">
        <v>668</v>
      </c>
      <c r="H16" s="41" t="s">
        <v>726</v>
      </c>
      <c r="I16" s="62">
        <v>0.0</v>
      </c>
      <c r="J16" s="41" t="s">
        <v>727</v>
      </c>
      <c r="K16" s="63">
        <v>1.0</v>
      </c>
      <c r="L16" s="44" t="s">
        <v>728</v>
      </c>
      <c r="M16" s="62">
        <v>0.0</v>
      </c>
    </row>
    <row r="17" ht="15.75" customHeight="1">
      <c r="A17" s="11">
        <v>1588.0</v>
      </c>
      <c r="B17" s="11" t="s">
        <v>42</v>
      </c>
      <c r="C17" s="12" t="str">
        <f t="shared" si="1"/>
        <v>PMP-12_BS VI MS_DISPATCH</v>
      </c>
      <c r="D17" s="13" t="s">
        <v>729</v>
      </c>
      <c r="E17" s="13" t="s">
        <v>439</v>
      </c>
      <c r="F17" s="13" t="s">
        <v>667</v>
      </c>
      <c r="G17" s="14" t="s">
        <v>668</v>
      </c>
      <c r="H17" s="41" t="s">
        <v>730</v>
      </c>
      <c r="I17" s="62">
        <v>0.0</v>
      </c>
      <c r="J17" s="41" t="s">
        <v>731</v>
      </c>
      <c r="K17" s="63">
        <v>1.0</v>
      </c>
      <c r="L17" s="44" t="s">
        <v>732</v>
      </c>
      <c r="M17" s="62">
        <v>0.0</v>
      </c>
    </row>
    <row r="18" ht="15.75" customHeight="1">
      <c r="A18" s="11">
        <v>1588.0</v>
      </c>
      <c r="B18" s="11" t="s">
        <v>42</v>
      </c>
      <c r="C18" s="12" t="str">
        <f t="shared" si="1"/>
        <v>PMP-13_SKO_DISPATCH</v>
      </c>
      <c r="D18" s="13" t="s">
        <v>733</v>
      </c>
      <c r="E18" s="13" t="s">
        <v>269</v>
      </c>
      <c r="F18" s="13" t="s">
        <v>667</v>
      </c>
      <c r="G18" s="14" t="s">
        <v>668</v>
      </c>
      <c r="H18" s="41" t="s">
        <v>734</v>
      </c>
      <c r="I18" s="62">
        <v>0.0</v>
      </c>
      <c r="J18" s="41" t="s">
        <v>735</v>
      </c>
      <c r="K18" s="63">
        <v>1.0</v>
      </c>
      <c r="L18" s="44" t="s">
        <v>736</v>
      </c>
      <c r="M18" s="62">
        <v>0.0</v>
      </c>
    </row>
    <row r="19" ht="15.75" customHeight="1">
      <c r="A19" s="11">
        <v>1588.0</v>
      </c>
      <c r="B19" s="11" t="s">
        <v>42</v>
      </c>
      <c r="C19" s="12" t="str">
        <f t="shared" si="1"/>
        <v>PMP-14_SKO_DISPATCH</v>
      </c>
      <c r="D19" s="13" t="s">
        <v>737</v>
      </c>
      <c r="E19" s="13" t="s">
        <v>269</v>
      </c>
      <c r="F19" s="13" t="s">
        <v>667</v>
      </c>
      <c r="G19" s="14" t="s">
        <v>668</v>
      </c>
      <c r="H19" s="41" t="s">
        <v>738</v>
      </c>
      <c r="I19" s="62">
        <v>0.0</v>
      </c>
      <c r="J19" s="41" t="s">
        <v>739</v>
      </c>
      <c r="K19" s="63">
        <v>1.0</v>
      </c>
      <c r="L19" s="44" t="s">
        <v>740</v>
      </c>
      <c r="M19" s="62">
        <v>0.0</v>
      </c>
    </row>
    <row r="20" ht="15.75" customHeight="1">
      <c r="A20" s="11">
        <v>1588.0</v>
      </c>
      <c r="B20" s="11" t="s">
        <v>42</v>
      </c>
      <c r="C20" s="12" t="str">
        <f t="shared" si="1"/>
        <v>PMP-15_ETHANOL_DISPATCH</v>
      </c>
      <c r="D20" s="13" t="s">
        <v>741</v>
      </c>
      <c r="E20" s="13" t="s">
        <v>45</v>
      </c>
      <c r="F20" s="13" t="s">
        <v>667</v>
      </c>
      <c r="G20" s="14" t="s">
        <v>668</v>
      </c>
      <c r="H20" s="41" t="s">
        <v>742</v>
      </c>
      <c r="I20" s="62">
        <v>0.0</v>
      </c>
      <c r="J20" s="41" t="s">
        <v>743</v>
      </c>
      <c r="K20" s="63">
        <v>1.0</v>
      </c>
      <c r="L20" s="44" t="s">
        <v>744</v>
      </c>
      <c r="M20" s="62">
        <v>0.0</v>
      </c>
    </row>
    <row r="21" ht="15.75" customHeight="1">
      <c r="A21" s="11">
        <v>1588.0</v>
      </c>
      <c r="B21" s="11" t="s">
        <v>42</v>
      </c>
      <c r="C21" s="12" t="str">
        <f t="shared" si="1"/>
        <v>PMP-16_ETHANOL_DISPATCH</v>
      </c>
      <c r="D21" s="13" t="s">
        <v>745</v>
      </c>
      <c r="E21" s="13" t="s">
        <v>45</v>
      </c>
      <c r="F21" s="13" t="s">
        <v>667</v>
      </c>
      <c r="G21" s="14" t="s">
        <v>668</v>
      </c>
      <c r="H21" s="41" t="s">
        <v>746</v>
      </c>
      <c r="I21" s="62">
        <v>0.0</v>
      </c>
      <c r="J21" s="41" t="s">
        <v>747</v>
      </c>
      <c r="K21" s="63">
        <v>1.0</v>
      </c>
      <c r="L21" s="44" t="s">
        <v>748</v>
      </c>
      <c r="M21" s="62">
        <v>0.0</v>
      </c>
    </row>
    <row r="22" ht="15.75" customHeight="1">
      <c r="A22" s="11">
        <v>1588.0</v>
      </c>
      <c r="B22" s="11" t="s">
        <v>42</v>
      </c>
      <c r="C22" s="12" t="str">
        <f t="shared" si="1"/>
        <v>PMP-17_ETHANOL_DISPATCH</v>
      </c>
      <c r="D22" s="13" t="s">
        <v>749</v>
      </c>
      <c r="E22" s="13" t="s">
        <v>45</v>
      </c>
      <c r="F22" s="13" t="s">
        <v>667</v>
      </c>
      <c r="G22" s="14" t="s">
        <v>668</v>
      </c>
      <c r="H22" s="41" t="s">
        <v>750</v>
      </c>
      <c r="I22" s="62">
        <v>0.0</v>
      </c>
      <c r="J22" s="41" t="s">
        <v>751</v>
      </c>
      <c r="K22" s="63">
        <v>1.0</v>
      </c>
      <c r="L22" s="44" t="s">
        <v>752</v>
      </c>
      <c r="M22" s="62">
        <v>0.0</v>
      </c>
    </row>
    <row r="23" ht="15.75" customHeight="1">
      <c r="A23" s="11">
        <v>1588.0</v>
      </c>
      <c r="B23" s="11" t="s">
        <v>42</v>
      </c>
      <c r="C23" s="12" t="str">
        <f t="shared" si="1"/>
        <v>PMP-18_ATF_DISPATCH</v>
      </c>
      <c r="D23" s="13" t="s">
        <v>753</v>
      </c>
      <c r="E23" s="13" t="s">
        <v>293</v>
      </c>
      <c r="F23" s="13" t="s">
        <v>667</v>
      </c>
      <c r="G23" s="14" t="s">
        <v>668</v>
      </c>
      <c r="H23" s="41" t="s">
        <v>754</v>
      </c>
      <c r="I23" s="62">
        <v>0.0</v>
      </c>
      <c r="J23" s="41" t="s">
        <v>755</v>
      </c>
      <c r="K23" s="63">
        <v>1.0</v>
      </c>
      <c r="L23" s="44" t="s">
        <v>756</v>
      </c>
      <c r="M23" s="62">
        <v>0.0</v>
      </c>
    </row>
    <row r="24" ht="15.75" customHeight="1">
      <c r="A24" s="11">
        <v>1588.0</v>
      </c>
      <c r="B24" s="11" t="s">
        <v>42</v>
      </c>
      <c r="C24" s="12" t="str">
        <f t="shared" si="1"/>
        <v>PMP-19_ATF_DISPATCH</v>
      </c>
      <c r="D24" s="13" t="s">
        <v>757</v>
      </c>
      <c r="E24" s="13" t="s">
        <v>293</v>
      </c>
      <c r="F24" s="13" t="s">
        <v>667</v>
      </c>
      <c r="G24" s="14" t="s">
        <v>668</v>
      </c>
      <c r="H24" s="41" t="s">
        <v>758</v>
      </c>
      <c r="I24" s="62">
        <v>0.0</v>
      </c>
      <c r="J24" s="41" t="s">
        <v>759</v>
      </c>
      <c r="K24" s="63">
        <v>1.0</v>
      </c>
      <c r="L24" s="44" t="s">
        <v>760</v>
      </c>
      <c r="M24" s="62">
        <v>0.0</v>
      </c>
    </row>
    <row r="25" ht="15.75" customHeight="1">
      <c r="A25" s="11">
        <v>1588.0</v>
      </c>
      <c r="B25" s="11" t="s">
        <v>42</v>
      </c>
      <c r="C25" s="12" t="str">
        <f t="shared" si="1"/>
        <v>PMP-20_ATF_DISPATCH</v>
      </c>
      <c r="D25" s="13" t="s">
        <v>761</v>
      </c>
      <c r="E25" s="13" t="s">
        <v>293</v>
      </c>
      <c r="F25" s="13" t="s">
        <v>667</v>
      </c>
      <c r="G25" s="14" t="s">
        <v>668</v>
      </c>
      <c r="H25" s="41" t="s">
        <v>762</v>
      </c>
      <c r="I25" s="62">
        <v>0.0</v>
      </c>
      <c r="J25" s="41" t="s">
        <v>763</v>
      </c>
      <c r="K25" s="63">
        <v>1.0</v>
      </c>
      <c r="L25" s="44" t="s">
        <v>764</v>
      </c>
      <c r="M25" s="62">
        <v>0.0</v>
      </c>
    </row>
    <row r="26" ht="15.75" customHeight="1">
      <c r="A26" s="11">
        <v>1588.0</v>
      </c>
      <c r="B26" s="11" t="s">
        <v>42</v>
      </c>
      <c r="C26" s="12" t="str">
        <f t="shared" si="1"/>
        <v>PMP-21_ETHANOL_RECEIPT</v>
      </c>
      <c r="D26" s="13" t="s">
        <v>765</v>
      </c>
      <c r="E26" s="13" t="s">
        <v>45</v>
      </c>
      <c r="F26" s="13" t="s">
        <v>667</v>
      </c>
      <c r="G26" s="14" t="s">
        <v>766</v>
      </c>
      <c r="H26" s="41" t="s">
        <v>767</v>
      </c>
      <c r="I26" s="62">
        <v>0.0</v>
      </c>
      <c r="J26" s="41" t="s">
        <v>768</v>
      </c>
      <c r="K26" s="63">
        <v>1.0</v>
      </c>
      <c r="L26" s="44" t="s">
        <v>769</v>
      </c>
      <c r="M26" s="62">
        <v>0.0</v>
      </c>
    </row>
    <row r="27" ht="15.75" customHeight="1">
      <c r="A27" s="11">
        <v>1588.0</v>
      </c>
      <c r="B27" s="11" t="s">
        <v>42</v>
      </c>
      <c r="C27" s="12" t="str">
        <f t="shared" si="1"/>
        <v>PMP-22_ETHANOL_RECEIPT</v>
      </c>
      <c r="D27" s="13" t="s">
        <v>770</v>
      </c>
      <c r="E27" s="13" t="s">
        <v>45</v>
      </c>
      <c r="F27" s="13" t="s">
        <v>667</v>
      </c>
      <c r="G27" s="14" t="s">
        <v>766</v>
      </c>
      <c r="H27" s="41" t="s">
        <v>771</v>
      </c>
      <c r="I27" s="62">
        <v>0.0</v>
      </c>
      <c r="J27" s="41" t="s">
        <v>772</v>
      </c>
      <c r="K27" s="63">
        <v>1.0</v>
      </c>
      <c r="L27" s="44" t="s">
        <v>773</v>
      </c>
      <c r="M27" s="62">
        <v>0.0</v>
      </c>
    </row>
    <row r="28" ht="15.75" customHeight="1">
      <c r="A28" s="11">
        <v>1588.0</v>
      </c>
      <c r="B28" s="11" t="s">
        <v>42</v>
      </c>
      <c r="C28" s="12" t="str">
        <f t="shared" si="1"/>
        <v>PMP-23_ETHANOL_RECEIPT</v>
      </c>
      <c r="D28" s="13" t="s">
        <v>774</v>
      </c>
      <c r="E28" s="13" t="s">
        <v>45</v>
      </c>
      <c r="F28" s="13" t="s">
        <v>667</v>
      </c>
      <c r="G28" s="14" t="s">
        <v>766</v>
      </c>
      <c r="H28" s="41" t="s">
        <v>775</v>
      </c>
      <c r="I28" s="62">
        <v>0.0</v>
      </c>
      <c r="J28" s="41" t="s">
        <v>776</v>
      </c>
      <c r="K28" s="63">
        <v>1.0</v>
      </c>
      <c r="L28" s="44" t="s">
        <v>777</v>
      </c>
      <c r="M28" s="62">
        <v>0.0</v>
      </c>
    </row>
    <row r="29" ht="15.75" customHeight="1">
      <c r="A29" s="11">
        <v>1588.0</v>
      </c>
      <c r="B29" s="11" t="s">
        <v>42</v>
      </c>
      <c r="C29" s="12" t="str">
        <f t="shared" si="1"/>
        <v>PMP-24_BS VI HSD_DISPATCH</v>
      </c>
      <c r="D29" s="13" t="s">
        <v>778</v>
      </c>
      <c r="E29" s="13" t="s">
        <v>109</v>
      </c>
      <c r="F29" s="13" t="s">
        <v>667</v>
      </c>
      <c r="G29" s="14" t="s">
        <v>668</v>
      </c>
      <c r="H29" s="41" t="s">
        <v>779</v>
      </c>
      <c r="I29" s="62">
        <v>0.0</v>
      </c>
      <c r="J29" s="41" t="s">
        <v>780</v>
      </c>
      <c r="K29" s="63">
        <v>1.0</v>
      </c>
      <c r="L29" s="44" t="s">
        <v>781</v>
      </c>
      <c r="M29" s="62">
        <v>0.0</v>
      </c>
    </row>
    <row r="30" ht="15.75" customHeight="1">
      <c r="A30" s="11">
        <v>1588.0</v>
      </c>
      <c r="B30" s="11" t="s">
        <v>42</v>
      </c>
      <c r="C30" s="12" t="str">
        <f t="shared" si="1"/>
        <v>PMP-25_BS VI MS_DISPATCH</v>
      </c>
      <c r="D30" s="13" t="s">
        <v>782</v>
      </c>
      <c r="E30" s="13" t="s">
        <v>439</v>
      </c>
      <c r="F30" s="13" t="s">
        <v>667</v>
      </c>
      <c r="G30" s="14" t="s">
        <v>668</v>
      </c>
      <c r="H30" s="41" t="s">
        <v>783</v>
      </c>
      <c r="I30" s="62">
        <v>0.0</v>
      </c>
      <c r="J30" s="41" t="s">
        <v>784</v>
      </c>
      <c r="K30" s="63">
        <v>1.0</v>
      </c>
      <c r="L30" s="44" t="s">
        <v>785</v>
      </c>
      <c r="M30" s="62">
        <v>0.0</v>
      </c>
    </row>
    <row r="31" ht="15.75" customHeight="1">
      <c r="A31" s="11">
        <v>1588.0</v>
      </c>
      <c r="B31" s="11" t="s">
        <v>42</v>
      </c>
      <c r="C31" s="12" t="str">
        <f t="shared" si="1"/>
        <v>PMP-26_SKO_DISPATCH</v>
      </c>
      <c r="D31" s="13" t="s">
        <v>786</v>
      </c>
      <c r="E31" s="13" t="s">
        <v>269</v>
      </c>
      <c r="F31" s="13" t="s">
        <v>667</v>
      </c>
      <c r="G31" s="14" t="s">
        <v>668</v>
      </c>
      <c r="H31" s="41" t="s">
        <v>787</v>
      </c>
      <c r="I31" s="62">
        <v>0.0</v>
      </c>
      <c r="J31" s="41" t="s">
        <v>788</v>
      </c>
      <c r="K31" s="63">
        <v>1.0</v>
      </c>
      <c r="L31" s="44" t="s">
        <v>789</v>
      </c>
      <c r="M31" s="62">
        <v>0.0</v>
      </c>
    </row>
    <row r="32" ht="15.75" customHeight="1">
      <c r="A32" s="11">
        <v>1588.0</v>
      </c>
      <c r="B32" s="11" t="s">
        <v>42</v>
      </c>
      <c r="C32" s="12" t="str">
        <f t="shared" si="1"/>
        <v>PMP-27_ETHANOL_RECEIPT</v>
      </c>
      <c r="D32" s="13" t="s">
        <v>790</v>
      </c>
      <c r="E32" s="13" t="s">
        <v>45</v>
      </c>
      <c r="F32" s="13" t="s">
        <v>667</v>
      </c>
      <c r="G32" s="14" t="s">
        <v>766</v>
      </c>
      <c r="H32" s="41" t="s">
        <v>791</v>
      </c>
      <c r="I32" s="62">
        <v>0.0</v>
      </c>
      <c r="J32" s="41" t="s">
        <v>792</v>
      </c>
      <c r="K32" s="63">
        <v>1.0</v>
      </c>
      <c r="L32" s="44" t="s">
        <v>793</v>
      </c>
      <c r="M32" s="62">
        <v>0.0</v>
      </c>
    </row>
    <row r="33" ht="15.75" customHeight="1">
      <c r="A33" s="11">
        <v>1588.0</v>
      </c>
      <c r="B33" s="11" t="s">
        <v>42</v>
      </c>
      <c r="C33" s="12" t="str">
        <f t="shared" si="1"/>
        <v>PMP-28_ATF_DISPATCH</v>
      </c>
      <c r="D33" s="13" t="s">
        <v>794</v>
      </c>
      <c r="E33" s="13" t="s">
        <v>293</v>
      </c>
      <c r="F33" s="13" t="s">
        <v>667</v>
      </c>
      <c r="G33" s="14" t="s">
        <v>668</v>
      </c>
      <c r="H33" s="41" t="s">
        <v>795</v>
      </c>
      <c r="I33" s="62">
        <v>0.0</v>
      </c>
      <c r="J33" s="41" t="s">
        <v>796</v>
      </c>
      <c r="K33" s="63">
        <v>1.0</v>
      </c>
      <c r="L33" s="44" t="s">
        <v>797</v>
      </c>
      <c r="M33" s="62">
        <v>0.0</v>
      </c>
    </row>
    <row r="34" ht="15.75" customHeight="1">
      <c r="A34" s="11">
        <v>1588.0</v>
      </c>
      <c r="B34" s="11" t="s">
        <v>42</v>
      </c>
      <c r="C34" s="12" t="str">
        <f t="shared" si="1"/>
        <v>PMP-29_BS VI HSD_DISPATCH</v>
      </c>
      <c r="D34" s="13" t="s">
        <v>798</v>
      </c>
      <c r="E34" s="13" t="s">
        <v>109</v>
      </c>
      <c r="F34" s="13" t="s">
        <v>667</v>
      </c>
      <c r="G34" s="14" t="s">
        <v>668</v>
      </c>
      <c r="H34" s="41" t="s">
        <v>799</v>
      </c>
      <c r="I34" s="62">
        <v>0.0</v>
      </c>
      <c r="J34" s="41" t="s">
        <v>800</v>
      </c>
      <c r="K34" s="63">
        <v>1.0</v>
      </c>
      <c r="L34" s="44" t="s">
        <v>801</v>
      </c>
      <c r="M34" s="62">
        <v>0.0</v>
      </c>
    </row>
    <row r="35" ht="15.75" customHeight="1">
      <c r="A35" s="11">
        <v>1588.0</v>
      </c>
      <c r="B35" s="11" t="s">
        <v>42</v>
      </c>
      <c r="C35" s="12" t="str">
        <f t="shared" si="1"/>
        <v>PMP-30_BS VI HSD_DISPATCH</v>
      </c>
      <c r="D35" s="13" t="s">
        <v>802</v>
      </c>
      <c r="E35" s="13" t="s">
        <v>109</v>
      </c>
      <c r="F35" s="13" t="s">
        <v>667</v>
      </c>
      <c r="G35" s="14" t="s">
        <v>668</v>
      </c>
      <c r="H35" s="41" t="s">
        <v>803</v>
      </c>
      <c r="I35" s="62">
        <v>0.0</v>
      </c>
      <c r="J35" s="41" t="s">
        <v>804</v>
      </c>
      <c r="K35" s="63">
        <v>1.0</v>
      </c>
      <c r="L35" s="44" t="s">
        <v>805</v>
      </c>
      <c r="M35" s="62">
        <v>0.0</v>
      </c>
    </row>
    <row r="36" ht="15.75" customHeight="1">
      <c r="A36" s="11">
        <v>1588.0</v>
      </c>
      <c r="B36" s="11" t="s">
        <v>42</v>
      </c>
      <c r="C36" s="12" t="str">
        <f t="shared" si="1"/>
        <v>PMP-31_BS VI MS_DISPATCH</v>
      </c>
      <c r="D36" s="13" t="s">
        <v>806</v>
      </c>
      <c r="E36" s="13" t="s">
        <v>439</v>
      </c>
      <c r="F36" s="13" t="s">
        <v>667</v>
      </c>
      <c r="G36" s="14" t="s">
        <v>668</v>
      </c>
      <c r="H36" s="41" t="s">
        <v>807</v>
      </c>
      <c r="I36" s="62">
        <v>0.0</v>
      </c>
      <c r="J36" s="41" t="s">
        <v>808</v>
      </c>
      <c r="K36" s="63">
        <v>1.0</v>
      </c>
      <c r="L36" s="44" t="s">
        <v>809</v>
      </c>
      <c r="M36" s="62">
        <v>0.0</v>
      </c>
    </row>
    <row r="37" ht="15.75" customHeight="1">
      <c r="A37" s="11">
        <v>1588.0</v>
      </c>
      <c r="B37" s="11" t="s">
        <v>42</v>
      </c>
      <c r="C37" s="12" t="str">
        <f t="shared" si="1"/>
        <v>PMP-32_BS VI HSD_DISPATCH</v>
      </c>
      <c r="D37" s="13" t="s">
        <v>810</v>
      </c>
      <c r="E37" s="13" t="s">
        <v>109</v>
      </c>
      <c r="F37" s="13" t="s">
        <v>667</v>
      </c>
      <c r="G37" s="14" t="s">
        <v>668</v>
      </c>
      <c r="H37" s="41" t="s">
        <v>811</v>
      </c>
      <c r="I37" s="62">
        <v>0.0</v>
      </c>
      <c r="J37" s="41" t="s">
        <v>812</v>
      </c>
      <c r="K37" s="63">
        <v>1.0</v>
      </c>
      <c r="L37" s="44" t="s">
        <v>813</v>
      </c>
      <c r="M37" s="62">
        <v>0.0</v>
      </c>
    </row>
    <row r="38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</row>
    <row r="39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</row>
    <row r="4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</row>
    <row r="41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41.88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27.0"/>
    <col customWidth="1" min="11" max="11" width="21.63"/>
    <col customWidth="1" min="12" max="12" width="41.75"/>
    <col customWidth="1" min="13" max="13" width="11.5"/>
    <col customWidth="1" min="14" max="14" width="16.88"/>
    <col customWidth="1" min="15" max="15" width="18.75"/>
    <col customWidth="1" min="16" max="16" width="16.88"/>
    <col customWidth="1" min="17" max="17" width="18.75"/>
    <col customWidth="1" min="18" max="18" width="16.88"/>
    <col customWidth="1" min="19" max="23" width="18.75"/>
    <col customWidth="1" min="24" max="24" width="16.88"/>
    <col customWidth="1" min="25" max="29" width="21.0"/>
    <col customWidth="1" min="30" max="31" width="17.75"/>
    <col customWidth="1" min="32" max="33" width="21.5"/>
    <col customWidth="1" min="34" max="34" width="36.88"/>
    <col customWidth="1" min="35" max="35" width="20.75"/>
  </cols>
  <sheetData>
    <row r="1">
      <c r="A1" s="64" t="s">
        <v>0</v>
      </c>
      <c r="B1" s="64" t="s">
        <v>1</v>
      </c>
      <c r="C1" s="64" t="s">
        <v>2</v>
      </c>
      <c r="D1" s="64" t="s">
        <v>656</v>
      </c>
      <c r="E1" s="64" t="s">
        <v>657</v>
      </c>
      <c r="F1" s="64" t="s">
        <v>658</v>
      </c>
      <c r="G1" s="64" t="s">
        <v>814</v>
      </c>
      <c r="H1" s="65" t="s">
        <v>660</v>
      </c>
      <c r="I1" s="65" t="s">
        <v>7</v>
      </c>
      <c r="J1" s="65" t="s">
        <v>662</v>
      </c>
      <c r="K1" s="65" t="s">
        <v>7</v>
      </c>
      <c r="L1" s="65" t="s">
        <v>815</v>
      </c>
      <c r="M1" s="65" t="s">
        <v>7</v>
      </c>
      <c r="N1" s="65" t="s">
        <v>816</v>
      </c>
      <c r="O1" s="65" t="s">
        <v>7</v>
      </c>
      <c r="P1" s="65" t="s">
        <v>817</v>
      </c>
      <c r="Q1" s="65" t="s">
        <v>7</v>
      </c>
      <c r="R1" s="65" t="s">
        <v>818</v>
      </c>
      <c r="S1" s="65" t="s">
        <v>7</v>
      </c>
      <c r="T1" s="66" t="s">
        <v>819</v>
      </c>
      <c r="U1" s="65" t="s">
        <v>7</v>
      </c>
      <c r="V1" s="66" t="s">
        <v>820</v>
      </c>
      <c r="W1" s="65" t="s">
        <v>7</v>
      </c>
      <c r="X1" s="65" t="s">
        <v>821</v>
      </c>
      <c r="Y1" s="65" t="s">
        <v>7</v>
      </c>
      <c r="Z1" s="66" t="s">
        <v>822</v>
      </c>
      <c r="AA1" s="65" t="s">
        <v>7</v>
      </c>
      <c r="AB1" s="66" t="s">
        <v>823</v>
      </c>
      <c r="AC1" s="65" t="s">
        <v>7</v>
      </c>
      <c r="AD1" s="65" t="s">
        <v>824</v>
      </c>
      <c r="AE1" s="65" t="s">
        <v>7</v>
      </c>
      <c r="AF1" s="65" t="s">
        <v>825</v>
      </c>
      <c r="AG1" s="65" t="s">
        <v>7</v>
      </c>
      <c r="AH1" s="65" t="s">
        <v>826</v>
      </c>
      <c r="AI1" s="65" t="s">
        <v>7</v>
      </c>
    </row>
    <row r="2" ht="15.75" customHeight="1">
      <c r="A2" s="11">
        <v>1588.0</v>
      </c>
      <c r="B2" s="11" t="s">
        <v>42</v>
      </c>
      <c r="C2" s="12" t="str">
        <f t="shared" ref="C2:C12" si="1">CONCATENATE(D2,"_",E2,"_",G2)</f>
        <v>FWP-01_Water_DISPATCH</v>
      </c>
      <c r="D2" s="13" t="s">
        <v>827</v>
      </c>
      <c r="E2" s="67" t="s">
        <v>828</v>
      </c>
      <c r="F2" s="12" t="s">
        <v>829</v>
      </c>
      <c r="G2" s="14" t="s">
        <v>668</v>
      </c>
      <c r="H2" s="68" t="s">
        <v>830</v>
      </c>
      <c r="I2" s="69">
        <v>0.0</v>
      </c>
      <c r="J2" s="68" t="s">
        <v>831</v>
      </c>
      <c r="K2" s="69">
        <v>1.0</v>
      </c>
      <c r="L2" s="14" t="s">
        <v>832</v>
      </c>
      <c r="M2" s="69">
        <v>0.0</v>
      </c>
      <c r="N2" s="14" t="s">
        <v>833</v>
      </c>
      <c r="O2" s="69">
        <v>0.0</v>
      </c>
      <c r="P2" s="14" t="s">
        <v>834</v>
      </c>
      <c r="Q2" s="69">
        <v>0.0</v>
      </c>
      <c r="R2" s="14" t="s">
        <v>835</v>
      </c>
      <c r="S2" s="69">
        <v>0.0</v>
      </c>
      <c r="T2" s="14" t="s">
        <v>836</v>
      </c>
      <c r="U2" s="69">
        <v>0.0</v>
      </c>
      <c r="V2" s="14" t="s">
        <v>837</v>
      </c>
      <c r="W2" s="69">
        <v>0.0</v>
      </c>
      <c r="X2" s="12"/>
      <c r="Y2" s="12"/>
      <c r="Z2" s="14" t="s">
        <v>838</v>
      </c>
      <c r="AA2" s="69">
        <v>0.0</v>
      </c>
      <c r="AB2" s="14" t="s">
        <v>839</v>
      </c>
      <c r="AC2" s="69">
        <v>0.0</v>
      </c>
      <c r="AD2" s="14" t="s">
        <v>840</v>
      </c>
      <c r="AE2" s="69">
        <v>0.0</v>
      </c>
      <c r="AF2" s="12"/>
      <c r="AG2" s="12"/>
      <c r="AH2" s="14" t="s">
        <v>841</v>
      </c>
      <c r="AI2" s="69">
        <v>0.0</v>
      </c>
    </row>
    <row r="3" ht="15.75" customHeight="1">
      <c r="A3" s="11">
        <v>1588.0</v>
      </c>
      <c r="B3" s="11" t="s">
        <v>42</v>
      </c>
      <c r="C3" s="12" t="str">
        <f t="shared" si="1"/>
        <v>FWP-02_Water_DISPATCH</v>
      </c>
      <c r="D3" s="30" t="s">
        <v>842</v>
      </c>
      <c r="E3" s="67" t="s">
        <v>828</v>
      </c>
      <c r="F3" s="12" t="s">
        <v>829</v>
      </c>
      <c r="G3" s="14" t="s">
        <v>668</v>
      </c>
      <c r="H3" s="70" t="s">
        <v>843</v>
      </c>
      <c r="I3" s="69">
        <v>0.0</v>
      </c>
      <c r="J3" s="70" t="s">
        <v>844</v>
      </c>
      <c r="K3" s="69">
        <v>1.0</v>
      </c>
      <c r="L3" s="31" t="s">
        <v>845</v>
      </c>
      <c r="M3" s="69">
        <v>0.0</v>
      </c>
      <c r="N3" s="31" t="s">
        <v>846</v>
      </c>
      <c r="O3" s="69">
        <v>0.0</v>
      </c>
      <c r="P3" s="31" t="s">
        <v>847</v>
      </c>
      <c r="Q3" s="69">
        <v>0.0</v>
      </c>
      <c r="R3" s="31" t="s">
        <v>848</v>
      </c>
      <c r="S3" s="69">
        <v>0.0</v>
      </c>
      <c r="T3" s="31" t="s">
        <v>849</v>
      </c>
      <c r="U3" s="69">
        <v>0.0</v>
      </c>
      <c r="V3" s="31" t="s">
        <v>850</v>
      </c>
      <c r="W3" s="69">
        <v>0.0</v>
      </c>
      <c r="X3" s="71"/>
      <c r="Y3" s="71"/>
      <c r="Z3" s="31" t="s">
        <v>851</v>
      </c>
      <c r="AA3" s="69">
        <v>0.0</v>
      </c>
      <c r="AB3" s="31" t="s">
        <v>852</v>
      </c>
      <c r="AC3" s="69">
        <v>0.0</v>
      </c>
      <c r="AD3" s="31" t="s">
        <v>853</v>
      </c>
      <c r="AE3" s="69">
        <v>0.0</v>
      </c>
      <c r="AF3" s="71"/>
      <c r="AG3" s="71"/>
      <c r="AH3" s="31" t="s">
        <v>854</v>
      </c>
      <c r="AI3" s="69">
        <v>0.0</v>
      </c>
    </row>
    <row r="4" ht="15.75" customHeight="1">
      <c r="A4" s="11">
        <v>1588.0</v>
      </c>
      <c r="B4" s="11" t="s">
        <v>42</v>
      </c>
      <c r="C4" s="12" t="str">
        <f t="shared" si="1"/>
        <v>FWP-03_Water_DISPATCH</v>
      </c>
      <c r="D4" s="30" t="s">
        <v>855</v>
      </c>
      <c r="E4" s="67" t="s">
        <v>828</v>
      </c>
      <c r="F4" s="12" t="s">
        <v>829</v>
      </c>
      <c r="G4" s="14" t="s">
        <v>668</v>
      </c>
      <c r="H4" s="70" t="s">
        <v>856</v>
      </c>
      <c r="I4" s="69">
        <v>0.0</v>
      </c>
      <c r="J4" s="70" t="s">
        <v>857</v>
      </c>
      <c r="K4" s="69">
        <v>1.0</v>
      </c>
      <c r="L4" s="31" t="s">
        <v>858</v>
      </c>
      <c r="M4" s="69">
        <v>0.0</v>
      </c>
      <c r="N4" s="31" t="s">
        <v>859</v>
      </c>
      <c r="O4" s="69">
        <v>0.0</v>
      </c>
      <c r="P4" s="31" t="s">
        <v>860</v>
      </c>
      <c r="Q4" s="69">
        <v>0.0</v>
      </c>
      <c r="R4" s="31" t="s">
        <v>861</v>
      </c>
      <c r="S4" s="69">
        <v>0.0</v>
      </c>
      <c r="T4" s="31" t="s">
        <v>862</v>
      </c>
      <c r="U4" s="69">
        <v>0.0</v>
      </c>
      <c r="V4" s="31" t="s">
        <v>863</v>
      </c>
      <c r="W4" s="69">
        <v>0.0</v>
      </c>
      <c r="X4" s="71"/>
      <c r="Y4" s="71"/>
      <c r="Z4" s="31" t="s">
        <v>864</v>
      </c>
      <c r="AA4" s="69">
        <v>0.0</v>
      </c>
      <c r="AB4" s="31" t="s">
        <v>865</v>
      </c>
      <c r="AC4" s="69">
        <v>0.0</v>
      </c>
      <c r="AD4" s="31" t="s">
        <v>866</v>
      </c>
      <c r="AE4" s="69">
        <v>0.0</v>
      </c>
      <c r="AF4" s="71"/>
      <c r="AG4" s="71"/>
      <c r="AH4" s="31" t="s">
        <v>867</v>
      </c>
      <c r="AI4" s="69">
        <v>0.0</v>
      </c>
    </row>
    <row r="5" ht="15.75" customHeight="1">
      <c r="A5" s="11">
        <v>1588.0</v>
      </c>
      <c r="B5" s="11" t="s">
        <v>42</v>
      </c>
      <c r="C5" s="12" t="str">
        <f t="shared" si="1"/>
        <v>FWP-04_Water_DISPATCH</v>
      </c>
      <c r="D5" s="30" t="s">
        <v>868</v>
      </c>
      <c r="E5" s="67" t="s">
        <v>828</v>
      </c>
      <c r="F5" s="12" t="s">
        <v>829</v>
      </c>
      <c r="G5" s="14" t="s">
        <v>668</v>
      </c>
      <c r="H5" s="70" t="s">
        <v>869</v>
      </c>
      <c r="I5" s="69">
        <v>0.0</v>
      </c>
      <c r="J5" s="70" t="s">
        <v>870</v>
      </c>
      <c r="K5" s="69">
        <v>1.0</v>
      </c>
      <c r="L5" s="31" t="s">
        <v>871</v>
      </c>
      <c r="M5" s="69">
        <v>0.0</v>
      </c>
      <c r="N5" s="31" t="s">
        <v>872</v>
      </c>
      <c r="O5" s="69">
        <v>0.0</v>
      </c>
      <c r="P5" s="31" t="s">
        <v>873</v>
      </c>
      <c r="Q5" s="69">
        <v>0.0</v>
      </c>
      <c r="R5" s="31" t="s">
        <v>874</v>
      </c>
      <c r="S5" s="69">
        <v>0.0</v>
      </c>
      <c r="T5" s="31" t="s">
        <v>875</v>
      </c>
      <c r="U5" s="69">
        <v>0.0</v>
      </c>
      <c r="V5" s="31" t="s">
        <v>876</v>
      </c>
      <c r="W5" s="69">
        <v>0.0</v>
      </c>
      <c r="X5" s="71"/>
      <c r="Y5" s="71"/>
      <c r="Z5" s="31" t="s">
        <v>877</v>
      </c>
      <c r="AA5" s="69">
        <v>0.0</v>
      </c>
      <c r="AB5" s="31" t="s">
        <v>878</v>
      </c>
      <c r="AC5" s="69">
        <v>0.0</v>
      </c>
      <c r="AD5" s="31" t="s">
        <v>879</v>
      </c>
      <c r="AE5" s="69">
        <v>0.0</v>
      </c>
      <c r="AF5" s="71"/>
      <c r="AG5" s="71"/>
      <c r="AH5" s="31" t="s">
        <v>880</v>
      </c>
      <c r="AI5" s="69">
        <v>0.0</v>
      </c>
    </row>
    <row r="6" ht="15.75" customHeight="1">
      <c r="A6" s="11">
        <v>1588.0</v>
      </c>
      <c r="B6" s="11" t="s">
        <v>42</v>
      </c>
      <c r="C6" s="12" t="str">
        <f t="shared" si="1"/>
        <v>FWP-05_Water_DISPATCH</v>
      </c>
      <c r="D6" s="30" t="s">
        <v>881</v>
      </c>
      <c r="E6" s="67" t="s">
        <v>828</v>
      </c>
      <c r="F6" s="12" t="s">
        <v>829</v>
      </c>
      <c r="G6" s="14" t="s">
        <v>668</v>
      </c>
      <c r="H6" s="70" t="s">
        <v>882</v>
      </c>
      <c r="I6" s="69">
        <v>0.0</v>
      </c>
      <c r="J6" s="70" t="s">
        <v>883</v>
      </c>
      <c r="K6" s="69">
        <v>1.0</v>
      </c>
      <c r="L6" s="31" t="s">
        <v>884</v>
      </c>
      <c r="M6" s="69">
        <v>0.0</v>
      </c>
      <c r="N6" s="31" t="s">
        <v>885</v>
      </c>
      <c r="O6" s="69">
        <v>0.0</v>
      </c>
      <c r="P6" s="31" t="s">
        <v>886</v>
      </c>
      <c r="Q6" s="69">
        <v>0.0</v>
      </c>
      <c r="R6" s="31" t="s">
        <v>887</v>
      </c>
      <c r="S6" s="69">
        <v>0.0</v>
      </c>
      <c r="T6" s="31" t="s">
        <v>888</v>
      </c>
      <c r="U6" s="69">
        <v>0.0</v>
      </c>
      <c r="V6" s="31" t="s">
        <v>889</v>
      </c>
      <c r="W6" s="69">
        <v>0.0</v>
      </c>
      <c r="X6" s="71"/>
      <c r="Y6" s="71"/>
      <c r="Z6" s="31" t="s">
        <v>890</v>
      </c>
      <c r="AA6" s="69">
        <v>0.0</v>
      </c>
      <c r="AB6" s="31" t="s">
        <v>891</v>
      </c>
      <c r="AC6" s="69">
        <v>0.0</v>
      </c>
      <c r="AD6" s="31" t="s">
        <v>892</v>
      </c>
      <c r="AE6" s="69">
        <v>0.0</v>
      </c>
      <c r="AF6" s="71"/>
      <c r="AG6" s="71"/>
      <c r="AH6" s="31" t="s">
        <v>893</v>
      </c>
      <c r="AI6" s="69">
        <v>0.0</v>
      </c>
    </row>
    <row r="7" ht="15.75" customHeight="1">
      <c r="A7" s="11">
        <v>1588.0</v>
      </c>
      <c r="B7" s="11" t="s">
        <v>42</v>
      </c>
      <c r="C7" s="12" t="str">
        <f t="shared" si="1"/>
        <v>FWP-06_Water_DISPATCH</v>
      </c>
      <c r="D7" s="30" t="s">
        <v>894</v>
      </c>
      <c r="E7" s="67" t="s">
        <v>828</v>
      </c>
      <c r="F7" s="12" t="s">
        <v>829</v>
      </c>
      <c r="G7" s="14" t="s">
        <v>668</v>
      </c>
      <c r="H7" s="70" t="s">
        <v>895</v>
      </c>
      <c r="I7" s="69">
        <v>0.0</v>
      </c>
      <c r="J7" s="70" t="s">
        <v>896</v>
      </c>
      <c r="K7" s="69">
        <v>1.0</v>
      </c>
      <c r="L7" s="31" t="s">
        <v>897</v>
      </c>
      <c r="M7" s="69">
        <v>0.0</v>
      </c>
      <c r="N7" s="31" t="s">
        <v>898</v>
      </c>
      <c r="O7" s="69">
        <v>0.0</v>
      </c>
      <c r="P7" s="31" t="s">
        <v>899</v>
      </c>
      <c r="Q7" s="69">
        <v>0.0</v>
      </c>
      <c r="R7" s="31" t="s">
        <v>900</v>
      </c>
      <c r="S7" s="69">
        <v>0.0</v>
      </c>
      <c r="T7" s="31" t="s">
        <v>901</v>
      </c>
      <c r="U7" s="69">
        <v>0.0</v>
      </c>
      <c r="V7" s="31" t="s">
        <v>902</v>
      </c>
      <c r="W7" s="69">
        <v>0.0</v>
      </c>
      <c r="X7" s="71"/>
      <c r="Y7" s="71"/>
      <c r="Z7" s="31" t="s">
        <v>903</v>
      </c>
      <c r="AA7" s="69">
        <v>0.0</v>
      </c>
      <c r="AB7" s="31" t="s">
        <v>904</v>
      </c>
      <c r="AC7" s="69">
        <v>0.0</v>
      </c>
      <c r="AD7" s="31" t="s">
        <v>905</v>
      </c>
      <c r="AE7" s="69">
        <v>0.0</v>
      </c>
      <c r="AF7" s="71"/>
      <c r="AG7" s="71"/>
      <c r="AH7" s="31" t="s">
        <v>906</v>
      </c>
      <c r="AI7" s="69">
        <v>0.0</v>
      </c>
    </row>
    <row r="8" ht="15.75" customHeight="1">
      <c r="A8" s="11">
        <v>1588.0</v>
      </c>
      <c r="B8" s="11" t="s">
        <v>42</v>
      </c>
      <c r="C8" s="12" t="str">
        <f t="shared" si="1"/>
        <v>FWP-07_Water_DISPATCH</v>
      </c>
      <c r="D8" s="30" t="s">
        <v>907</v>
      </c>
      <c r="E8" s="67" t="s">
        <v>828</v>
      </c>
      <c r="F8" s="12" t="s">
        <v>829</v>
      </c>
      <c r="G8" s="14" t="s">
        <v>668</v>
      </c>
      <c r="H8" s="70" t="s">
        <v>908</v>
      </c>
      <c r="I8" s="69">
        <v>0.0</v>
      </c>
      <c r="J8" s="70" t="s">
        <v>909</v>
      </c>
      <c r="K8" s="69">
        <v>1.0</v>
      </c>
      <c r="L8" s="31" t="s">
        <v>910</v>
      </c>
      <c r="M8" s="69">
        <v>0.0</v>
      </c>
      <c r="N8" s="31" t="s">
        <v>911</v>
      </c>
      <c r="O8" s="69">
        <v>0.0</v>
      </c>
      <c r="P8" s="31" t="s">
        <v>912</v>
      </c>
      <c r="Q8" s="69">
        <v>0.0</v>
      </c>
      <c r="R8" s="31" t="s">
        <v>913</v>
      </c>
      <c r="S8" s="69">
        <v>0.0</v>
      </c>
      <c r="T8" s="31" t="s">
        <v>914</v>
      </c>
      <c r="U8" s="69">
        <v>0.0</v>
      </c>
      <c r="V8" s="31" t="s">
        <v>915</v>
      </c>
      <c r="W8" s="69">
        <v>0.0</v>
      </c>
      <c r="X8" s="71"/>
      <c r="Y8" s="71"/>
      <c r="Z8" s="31" t="s">
        <v>916</v>
      </c>
      <c r="AA8" s="69">
        <v>0.0</v>
      </c>
      <c r="AB8" s="31" t="s">
        <v>917</v>
      </c>
      <c r="AC8" s="69">
        <v>0.0</v>
      </c>
      <c r="AD8" s="31" t="s">
        <v>918</v>
      </c>
      <c r="AE8" s="69">
        <v>0.0</v>
      </c>
      <c r="AF8" s="71"/>
      <c r="AG8" s="71"/>
      <c r="AH8" s="31" t="s">
        <v>919</v>
      </c>
      <c r="AI8" s="69">
        <v>0.0</v>
      </c>
    </row>
    <row r="9" ht="15.75" customHeight="1">
      <c r="A9" s="11">
        <v>1588.0</v>
      </c>
      <c r="B9" s="11" t="s">
        <v>42</v>
      </c>
      <c r="C9" s="12" t="str">
        <f t="shared" si="1"/>
        <v>JCY-01_Water_DISPATCH</v>
      </c>
      <c r="D9" s="30" t="s">
        <v>920</v>
      </c>
      <c r="E9" s="67" t="s">
        <v>828</v>
      </c>
      <c r="F9" s="12" t="s">
        <v>829</v>
      </c>
      <c r="G9" s="14" t="s">
        <v>668</v>
      </c>
      <c r="H9" s="70" t="s">
        <v>921</v>
      </c>
      <c r="I9" s="69">
        <v>0.0</v>
      </c>
      <c r="J9" s="70" t="s">
        <v>922</v>
      </c>
      <c r="K9" s="69">
        <v>1.0</v>
      </c>
      <c r="L9" s="31" t="s">
        <v>923</v>
      </c>
      <c r="M9" s="69">
        <v>0.0</v>
      </c>
      <c r="N9" s="31" t="s">
        <v>924</v>
      </c>
      <c r="O9" s="69">
        <v>0.0</v>
      </c>
      <c r="P9" s="71"/>
      <c r="Q9" s="71"/>
      <c r="R9" s="71"/>
      <c r="S9" s="71"/>
      <c r="T9" s="71"/>
      <c r="U9" s="71"/>
      <c r="V9" s="71"/>
      <c r="W9" s="71"/>
      <c r="X9" s="31" t="s">
        <v>925</v>
      </c>
      <c r="Y9" s="69">
        <v>0.0</v>
      </c>
      <c r="Z9" s="31"/>
      <c r="AA9" s="31"/>
      <c r="AB9" s="31"/>
      <c r="AC9" s="31"/>
      <c r="AD9" s="31" t="s">
        <v>926</v>
      </c>
      <c r="AE9" s="69">
        <v>0.0</v>
      </c>
      <c r="AF9" s="71"/>
      <c r="AG9" s="71"/>
      <c r="AH9" s="71"/>
      <c r="AI9" s="71"/>
    </row>
    <row r="10" ht="15.75" customHeight="1">
      <c r="A10" s="11">
        <v>1588.0</v>
      </c>
      <c r="B10" s="11" t="s">
        <v>42</v>
      </c>
      <c r="C10" s="12" t="str">
        <f t="shared" si="1"/>
        <v>JCY-02_Water_DISPATCH</v>
      </c>
      <c r="D10" s="30" t="s">
        <v>927</v>
      </c>
      <c r="E10" s="67" t="s">
        <v>828</v>
      </c>
      <c r="F10" s="12" t="s">
        <v>829</v>
      </c>
      <c r="G10" s="14" t="s">
        <v>668</v>
      </c>
      <c r="H10" s="70" t="s">
        <v>928</v>
      </c>
      <c r="I10" s="69">
        <v>0.0</v>
      </c>
      <c r="J10" s="70" t="s">
        <v>929</v>
      </c>
      <c r="K10" s="69">
        <v>1.0</v>
      </c>
      <c r="L10" s="31" t="s">
        <v>930</v>
      </c>
      <c r="M10" s="69">
        <v>0.0</v>
      </c>
      <c r="N10" s="31" t="s">
        <v>931</v>
      </c>
      <c r="O10" s="69">
        <v>0.0</v>
      </c>
      <c r="P10" s="71"/>
      <c r="Q10" s="71"/>
      <c r="R10" s="71"/>
      <c r="S10" s="71"/>
      <c r="T10" s="71"/>
      <c r="U10" s="71"/>
      <c r="V10" s="71"/>
      <c r="W10" s="71"/>
      <c r="X10" s="31" t="s">
        <v>932</v>
      </c>
      <c r="Y10" s="69">
        <v>0.0</v>
      </c>
      <c r="Z10" s="31"/>
      <c r="AA10" s="31"/>
      <c r="AB10" s="31"/>
      <c r="AC10" s="31"/>
      <c r="AD10" s="31" t="s">
        <v>933</v>
      </c>
      <c r="AE10" s="69">
        <v>0.0</v>
      </c>
      <c r="AF10" s="71"/>
      <c r="AG10" s="71"/>
      <c r="AH10" s="71"/>
      <c r="AI10" s="71"/>
    </row>
    <row r="11" ht="15.75" customHeight="1">
      <c r="A11" s="11">
        <v>1588.0</v>
      </c>
      <c r="B11" s="11" t="s">
        <v>42</v>
      </c>
      <c r="C11" s="12" t="str">
        <f t="shared" si="1"/>
        <v>Farthest Point PT_WP_DISPATCH</v>
      </c>
      <c r="D11" s="72" t="s">
        <v>934</v>
      </c>
      <c r="E11" s="72" t="s">
        <v>935</v>
      </c>
      <c r="F11" s="20" t="s">
        <v>936</v>
      </c>
      <c r="G11" s="72" t="s">
        <v>668</v>
      </c>
      <c r="H11" s="71"/>
      <c r="I11" s="71"/>
      <c r="J11" s="71"/>
      <c r="K11" s="71"/>
      <c r="L11" s="70" t="s">
        <v>937</v>
      </c>
      <c r="M11" s="69">
        <v>0.0</v>
      </c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</row>
    <row r="12" ht="15.75" customHeight="1">
      <c r="A12" s="11">
        <v>1588.0</v>
      </c>
      <c r="B12" s="11" t="s">
        <v>42</v>
      </c>
      <c r="C12" s="12" t="str">
        <f t="shared" si="1"/>
        <v>Nearest Point PT_WP_DISPATCH</v>
      </c>
      <c r="D12" s="72" t="s">
        <v>938</v>
      </c>
      <c r="E12" s="72" t="s">
        <v>935</v>
      </c>
      <c r="F12" s="20" t="s">
        <v>936</v>
      </c>
      <c r="G12" s="72" t="s">
        <v>668</v>
      </c>
      <c r="H12" s="71"/>
      <c r="I12" s="71"/>
      <c r="J12" s="71"/>
      <c r="K12" s="71"/>
      <c r="L12" s="70" t="s">
        <v>939</v>
      </c>
      <c r="M12" s="69">
        <v>0.0</v>
      </c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</row>
    <row r="13" ht="15.75" customHeight="1">
      <c r="F13" s="73"/>
    </row>
    <row r="14" ht="15.75" customHeight="1">
      <c r="F14" s="73"/>
    </row>
    <row r="15" ht="15.75" customHeight="1">
      <c r="F15" s="73"/>
    </row>
    <row r="16" ht="15.75" customHeight="1">
      <c r="F16" s="73"/>
    </row>
    <row r="17" ht="15.75" customHeight="1">
      <c r="F17" s="73"/>
    </row>
    <row r="18" ht="15.75" customHeight="1">
      <c r="F18" s="73"/>
    </row>
    <row r="19" ht="15.75" customHeight="1">
      <c r="F19" s="73"/>
    </row>
    <row r="20" ht="15.75" customHeight="1">
      <c r="F20" s="73"/>
    </row>
    <row r="21" ht="15.75" customHeight="1">
      <c r="F21" s="73"/>
    </row>
    <row r="22" ht="15.75" customHeight="1">
      <c r="F22" s="73"/>
    </row>
    <row r="23" ht="15.75" customHeight="1">
      <c r="F23" s="73"/>
    </row>
    <row r="24" ht="15.75" customHeight="1">
      <c r="F24" s="73"/>
    </row>
    <row r="25" ht="15.75" customHeight="1">
      <c r="F25" s="73"/>
    </row>
    <row r="26" ht="15.75" customHeight="1">
      <c r="F26" s="73"/>
    </row>
    <row r="27" ht="15.75" customHeight="1">
      <c r="F27" s="73"/>
    </row>
    <row r="28" ht="15.75" customHeight="1">
      <c r="F28" s="73"/>
    </row>
    <row r="29" ht="15.75" customHeight="1">
      <c r="F29" s="73"/>
    </row>
    <row r="30" ht="15.75" customHeight="1">
      <c r="F30" s="73"/>
    </row>
    <row r="31" ht="15.75" customHeight="1">
      <c r="F31" s="73"/>
    </row>
    <row r="32" ht="15.75" customHeight="1">
      <c r="F32" s="73"/>
    </row>
    <row r="33" ht="15.75" customHeight="1">
      <c r="F33" s="73"/>
    </row>
    <row r="34" ht="15.75" customHeight="1">
      <c r="F34" s="73"/>
    </row>
    <row r="35" ht="15.75" customHeight="1">
      <c r="F35" s="73"/>
    </row>
    <row r="36" ht="15.75" customHeight="1">
      <c r="F36" s="73"/>
    </row>
    <row r="37" ht="15.75" customHeight="1">
      <c r="F37" s="73"/>
    </row>
    <row r="38" ht="15.75" customHeight="1">
      <c r="F38" s="73"/>
    </row>
    <row r="39" ht="15.75" customHeight="1">
      <c r="F39" s="73"/>
    </row>
    <row r="40" ht="15.75" customHeight="1">
      <c r="F40" s="73"/>
    </row>
    <row r="41" ht="15.75" customHeight="1">
      <c r="F41" s="73"/>
    </row>
    <row r="42" ht="15.75" customHeight="1">
      <c r="F42" s="73"/>
    </row>
    <row r="43" ht="15.75" customHeight="1">
      <c r="F43" s="73"/>
    </row>
    <row r="44" ht="15.75" customHeight="1">
      <c r="F44" s="73"/>
    </row>
    <row r="45" ht="15.75" customHeight="1">
      <c r="F45" s="73"/>
    </row>
    <row r="46" ht="15.75" customHeight="1">
      <c r="F46" s="73"/>
    </row>
    <row r="47" ht="15.75" customHeight="1">
      <c r="F47" s="73"/>
    </row>
    <row r="48" ht="15.75" customHeight="1">
      <c r="F48" s="73"/>
    </row>
    <row r="49" ht="15.75" customHeight="1">
      <c r="F49" s="73"/>
    </row>
    <row r="50" ht="15.75" customHeight="1">
      <c r="F50" s="73"/>
    </row>
    <row r="51" ht="15.75" customHeight="1">
      <c r="F51" s="73"/>
    </row>
    <row r="52" ht="15.75" customHeight="1">
      <c r="F52" s="73"/>
    </row>
    <row r="53" ht="15.75" customHeight="1">
      <c r="F53" s="73"/>
    </row>
    <row r="54" ht="15.75" customHeight="1">
      <c r="F54" s="73"/>
    </row>
    <row r="55" ht="15.75" customHeight="1">
      <c r="F55" s="73"/>
    </row>
    <row r="56" ht="15.75" customHeight="1">
      <c r="F56" s="73"/>
    </row>
    <row r="57" ht="15.75" customHeight="1">
      <c r="F57" s="73"/>
    </row>
    <row r="58" ht="15.75" customHeight="1">
      <c r="F58" s="73"/>
    </row>
    <row r="59" ht="15.75" customHeight="1">
      <c r="F59" s="73"/>
    </row>
    <row r="60" ht="15.75" customHeight="1">
      <c r="F60" s="73"/>
    </row>
    <row r="61" ht="15.75" customHeight="1">
      <c r="F61" s="73"/>
    </row>
    <row r="62" ht="15.75" customHeight="1">
      <c r="F62" s="73"/>
    </row>
    <row r="63" ht="15.75" customHeight="1">
      <c r="F63" s="73"/>
    </row>
    <row r="64" ht="15.75" customHeight="1">
      <c r="F64" s="73"/>
    </row>
    <row r="65" ht="15.75" customHeight="1">
      <c r="F65" s="73"/>
    </row>
    <row r="66" ht="15.75" customHeight="1">
      <c r="F66" s="73"/>
    </row>
    <row r="67" ht="15.75" customHeight="1">
      <c r="F67" s="73"/>
    </row>
    <row r="68" ht="15.75" customHeight="1">
      <c r="F68" s="73"/>
    </row>
    <row r="69" ht="15.75" customHeight="1">
      <c r="F69" s="73"/>
    </row>
    <row r="70" ht="15.75" customHeight="1">
      <c r="F70" s="73"/>
    </row>
    <row r="71" ht="15.75" customHeight="1">
      <c r="F71" s="73"/>
    </row>
    <row r="72" ht="15.75" customHeight="1">
      <c r="F72" s="73"/>
    </row>
    <row r="73" ht="15.75" customHeight="1">
      <c r="F73" s="73"/>
    </row>
    <row r="74" ht="15.75" customHeight="1">
      <c r="F74" s="73"/>
    </row>
    <row r="75" ht="15.75" customHeight="1">
      <c r="F75" s="73"/>
    </row>
    <row r="76" ht="15.75" customHeight="1">
      <c r="F76" s="73"/>
    </row>
    <row r="77" ht="15.75" customHeight="1">
      <c r="F77" s="73"/>
    </row>
    <row r="78" ht="15.75" customHeight="1">
      <c r="F78" s="73"/>
    </row>
    <row r="79" ht="15.75" customHeight="1">
      <c r="F79" s="73"/>
    </row>
    <row r="80" ht="15.75" customHeight="1">
      <c r="F80" s="73"/>
    </row>
    <row r="81" ht="15.75" customHeight="1">
      <c r="F81" s="73"/>
    </row>
    <row r="82" ht="15.75" customHeight="1">
      <c r="F82" s="73"/>
    </row>
    <row r="83" ht="15.75" customHeight="1">
      <c r="F83" s="73"/>
    </row>
    <row r="84" ht="15.75" customHeight="1">
      <c r="F84" s="73"/>
    </row>
    <row r="85" ht="15.75" customHeight="1">
      <c r="F85" s="73"/>
    </row>
    <row r="86" ht="15.75" customHeight="1">
      <c r="F86" s="73"/>
    </row>
    <row r="87" ht="15.75" customHeight="1">
      <c r="F87" s="73"/>
    </row>
    <row r="88" ht="15.75" customHeight="1">
      <c r="F88" s="73"/>
    </row>
    <row r="89" ht="15.75" customHeight="1">
      <c r="F89" s="73"/>
    </row>
    <row r="90" ht="15.75" customHeight="1">
      <c r="F90" s="73"/>
    </row>
    <row r="91" ht="15.75" customHeight="1">
      <c r="F91" s="73"/>
    </row>
    <row r="92" ht="15.75" customHeight="1">
      <c r="F92" s="73"/>
    </row>
    <row r="93" ht="15.75" customHeight="1">
      <c r="F93" s="73"/>
    </row>
    <row r="94" ht="15.75" customHeight="1">
      <c r="F94" s="73"/>
    </row>
    <row r="95" ht="15.75" customHeight="1">
      <c r="F95" s="73"/>
    </row>
    <row r="96" ht="15.75" customHeight="1">
      <c r="F96" s="73"/>
    </row>
    <row r="97" ht="15.75" customHeight="1">
      <c r="F97" s="73"/>
    </row>
    <row r="98" ht="15.75" customHeight="1">
      <c r="F98" s="73"/>
    </row>
    <row r="99" ht="15.75" customHeight="1">
      <c r="F99" s="73"/>
    </row>
    <row r="100" ht="15.75" customHeight="1">
      <c r="F100" s="73"/>
    </row>
    <row r="101" ht="15.75" customHeight="1">
      <c r="F101" s="73"/>
    </row>
    <row r="102" ht="15.75" customHeight="1">
      <c r="F102" s="73"/>
    </row>
    <row r="103" ht="15.75" customHeight="1">
      <c r="F103" s="73"/>
    </row>
    <row r="104" ht="15.75" customHeight="1">
      <c r="F104" s="73"/>
    </row>
    <row r="105" ht="15.75" customHeight="1">
      <c r="F105" s="73"/>
    </row>
    <row r="106" ht="15.75" customHeight="1">
      <c r="F106" s="73"/>
    </row>
    <row r="107" ht="15.75" customHeight="1">
      <c r="F107" s="73"/>
    </row>
    <row r="108" ht="15.75" customHeight="1">
      <c r="F108" s="73"/>
    </row>
    <row r="109" ht="15.75" customHeight="1">
      <c r="F109" s="73"/>
    </row>
    <row r="110" ht="15.75" customHeight="1">
      <c r="F110" s="73"/>
    </row>
    <row r="111" ht="15.75" customHeight="1">
      <c r="F111" s="73"/>
    </row>
    <row r="112" ht="15.75" customHeight="1">
      <c r="F112" s="73"/>
    </row>
    <row r="113" ht="15.75" customHeight="1">
      <c r="F113" s="73"/>
    </row>
    <row r="114" ht="15.75" customHeight="1">
      <c r="F114" s="73"/>
    </row>
    <row r="115" ht="15.75" customHeight="1">
      <c r="F115" s="73"/>
    </row>
    <row r="116" ht="15.75" customHeight="1">
      <c r="F116" s="73"/>
    </row>
    <row r="117" ht="15.75" customHeight="1">
      <c r="F117" s="73"/>
    </row>
    <row r="118" ht="15.75" customHeight="1">
      <c r="F118" s="73"/>
    </row>
    <row r="119" ht="15.75" customHeight="1">
      <c r="F119" s="73"/>
    </row>
    <row r="120" ht="15.75" customHeight="1">
      <c r="F120" s="73"/>
    </row>
    <row r="121" ht="15.75" customHeight="1">
      <c r="F121" s="73"/>
    </row>
    <row r="122" ht="15.75" customHeight="1">
      <c r="F122" s="73"/>
    </row>
    <row r="123" ht="15.75" customHeight="1">
      <c r="F123" s="73"/>
    </row>
    <row r="124" ht="15.75" customHeight="1">
      <c r="F124" s="73"/>
    </row>
    <row r="125" ht="15.75" customHeight="1">
      <c r="F125" s="73"/>
    </row>
    <row r="126" ht="15.75" customHeight="1">
      <c r="F126" s="73"/>
    </row>
    <row r="127" ht="15.75" customHeight="1">
      <c r="F127" s="73"/>
    </row>
    <row r="128" ht="15.75" customHeight="1">
      <c r="F128" s="73"/>
    </row>
    <row r="129" ht="15.75" customHeight="1">
      <c r="F129" s="73"/>
    </row>
    <row r="130" ht="15.75" customHeight="1">
      <c r="F130" s="73"/>
    </row>
    <row r="131" ht="15.75" customHeight="1">
      <c r="F131" s="73"/>
    </row>
    <row r="132" ht="15.75" customHeight="1">
      <c r="F132" s="73"/>
    </row>
    <row r="133" ht="15.75" customHeight="1">
      <c r="F133" s="73"/>
    </row>
    <row r="134" ht="15.75" customHeight="1">
      <c r="F134" s="73"/>
    </row>
    <row r="135" ht="15.75" customHeight="1">
      <c r="F135" s="73"/>
    </row>
    <row r="136" ht="15.75" customHeight="1">
      <c r="F136" s="73"/>
    </row>
    <row r="137" ht="15.75" customHeight="1">
      <c r="F137" s="73"/>
    </row>
    <row r="138" ht="15.75" customHeight="1">
      <c r="F138" s="73"/>
    </row>
    <row r="139" ht="15.75" customHeight="1">
      <c r="F139" s="73"/>
    </row>
    <row r="140" ht="15.75" customHeight="1">
      <c r="F140" s="73"/>
    </row>
    <row r="141" ht="15.75" customHeight="1">
      <c r="F141" s="73"/>
    </row>
    <row r="142" ht="15.75" customHeight="1">
      <c r="F142" s="73"/>
    </row>
    <row r="143" ht="15.75" customHeight="1">
      <c r="F143" s="73"/>
    </row>
    <row r="144" ht="15.75" customHeight="1">
      <c r="F144" s="73"/>
    </row>
    <row r="145" ht="15.75" customHeight="1">
      <c r="F145" s="73"/>
    </row>
    <row r="146" ht="15.75" customHeight="1">
      <c r="F146" s="73"/>
    </row>
    <row r="147" ht="15.75" customHeight="1">
      <c r="F147" s="73"/>
    </row>
    <row r="148" ht="15.75" customHeight="1">
      <c r="F148" s="73"/>
    </row>
    <row r="149" ht="15.75" customHeight="1">
      <c r="F149" s="73"/>
    </row>
    <row r="150" ht="15.75" customHeight="1">
      <c r="F150" s="73"/>
    </row>
    <row r="151" ht="15.75" customHeight="1">
      <c r="F151" s="73"/>
    </row>
    <row r="152" ht="15.75" customHeight="1">
      <c r="F152" s="73"/>
    </row>
    <row r="153" ht="15.75" customHeight="1">
      <c r="F153" s="73"/>
    </row>
    <row r="154" ht="15.75" customHeight="1">
      <c r="F154" s="73"/>
    </row>
    <row r="155" ht="15.75" customHeight="1">
      <c r="F155" s="73"/>
    </row>
    <row r="156" ht="15.75" customHeight="1">
      <c r="F156" s="73"/>
    </row>
    <row r="157" ht="15.75" customHeight="1">
      <c r="F157" s="73"/>
    </row>
    <row r="158" ht="15.75" customHeight="1">
      <c r="F158" s="73"/>
    </row>
    <row r="159" ht="15.75" customHeight="1">
      <c r="F159" s="73"/>
    </row>
    <row r="160" ht="15.75" customHeight="1">
      <c r="F160" s="73"/>
    </row>
    <row r="161" ht="15.75" customHeight="1">
      <c r="F161" s="73"/>
    </row>
    <row r="162" ht="15.75" customHeight="1">
      <c r="F162" s="73"/>
    </row>
    <row r="163" ht="15.75" customHeight="1">
      <c r="F163" s="73"/>
    </row>
    <row r="164" ht="15.75" customHeight="1">
      <c r="F164" s="73"/>
    </row>
    <row r="165" ht="15.75" customHeight="1">
      <c r="F165" s="73"/>
    </row>
    <row r="166" ht="15.75" customHeight="1">
      <c r="F166" s="73"/>
    </row>
    <row r="167" ht="15.75" customHeight="1">
      <c r="F167" s="73"/>
    </row>
    <row r="168" ht="15.75" customHeight="1">
      <c r="F168" s="73"/>
    </row>
    <row r="169" ht="15.75" customHeight="1">
      <c r="F169" s="73"/>
    </row>
    <row r="170" ht="15.75" customHeight="1">
      <c r="F170" s="73"/>
    </row>
    <row r="171" ht="15.75" customHeight="1">
      <c r="F171" s="73"/>
    </row>
    <row r="172" ht="15.75" customHeight="1">
      <c r="F172" s="73"/>
    </row>
    <row r="173" ht="15.75" customHeight="1">
      <c r="F173" s="73"/>
    </row>
    <row r="174" ht="15.75" customHeight="1">
      <c r="F174" s="73"/>
    </row>
    <row r="175" ht="15.75" customHeight="1">
      <c r="F175" s="73"/>
    </row>
    <row r="176" ht="15.75" customHeight="1">
      <c r="F176" s="73"/>
    </row>
    <row r="177" ht="15.75" customHeight="1">
      <c r="F177" s="73"/>
    </row>
    <row r="178" ht="15.75" customHeight="1">
      <c r="F178" s="73"/>
    </row>
    <row r="179" ht="15.75" customHeight="1">
      <c r="F179" s="73"/>
    </row>
    <row r="180" ht="15.75" customHeight="1">
      <c r="F180" s="73"/>
    </row>
    <row r="181" ht="15.75" customHeight="1">
      <c r="F181" s="73"/>
    </row>
    <row r="182" ht="15.75" customHeight="1">
      <c r="F182" s="73"/>
    </row>
    <row r="183" ht="15.75" customHeight="1">
      <c r="F183" s="73"/>
    </row>
    <row r="184" ht="15.75" customHeight="1">
      <c r="F184" s="73"/>
    </row>
    <row r="185" ht="15.75" customHeight="1">
      <c r="F185" s="73"/>
    </row>
    <row r="186" ht="15.75" customHeight="1">
      <c r="F186" s="73"/>
    </row>
    <row r="187" ht="15.75" customHeight="1">
      <c r="F187" s="73"/>
    </row>
    <row r="188" ht="15.75" customHeight="1">
      <c r="F188" s="73"/>
    </row>
    <row r="189" ht="15.75" customHeight="1">
      <c r="F189" s="73"/>
    </row>
    <row r="190" ht="15.75" customHeight="1">
      <c r="F190" s="73"/>
    </row>
    <row r="191" ht="15.75" customHeight="1">
      <c r="F191" s="73"/>
    </row>
    <row r="192" ht="15.75" customHeight="1">
      <c r="F192" s="73"/>
    </row>
    <row r="193" ht="15.75" customHeight="1">
      <c r="F193" s="73"/>
    </row>
    <row r="194" ht="15.75" customHeight="1">
      <c r="F194" s="73"/>
    </row>
    <row r="195" ht="15.75" customHeight="1">
      <c r="F195" s="73"/>
    </row>
    <row r="196" ht="15.75" customHeight="1">
      <c r="F196" s="73"/>
    </row>
    <row r="197" ht="15.75" customHeight="1">
      <c r="F197" s="73"/>
    </row>
    <row r="198" ht="15.75" customHeight="1">
      <c r="F198" s="73"/>
    </row>
    <row r="199" ht="15.75" customHeight="1">
      <c r="F199" s="73"/>
    </row>
    <row r="200" ht="15.75" customHeight="1">
      <c r="F200" s="73"/>
    </row>
    <row r="201" ht="15.75" customHeight="1">
      <c r="F201" s="73"/>
    </row>
    <row r="202" ht="15.75" customHeight="1">
      <c r="F202" s="73"/>
    </row>
    <row r="203" ht="15.75" customHeight="1">
      <c r="F203" s="73"/>
    </row>
    <row r="204" ht="15.75" customHeight="1">
      <c r="F204" s="73"/>
    </row>
    <row r="205" ht="15.75" customHeight="1">
      <c r="F205" s="73"/>
    </row>
    <row r="206" ht="15.75" customHeight="1">
      <c r="F206" s="73"/>
    </row>
    <row r="207" ht="15.75" customHeight="1">
      <c r="F207" s="73"/>
    </row>
    <row r="208" ht="15.75" customHeight="1">
      <c r="F208" s="73"/>
    </row>
    <row r="209" ht="15.75" customHeight="1">
      <c r="F209" s="73"/>
    </row>
    <row r="210" ht="15.75" customHeight="1">
      <c r="F210" s="73"/>
    </row>
    <row r="211" ht="15.75" customHeight="1">
      <c r="F211" s="73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74" t="s">
        <v>0</v>
      </c>
      <c r="B1" s="74" t="s">
        <v>1</v>
      </c>
      <c r="C1" s="57" t="s">
        <v>2</v>
      </c>
      <c r="D1" s="57" t="s">
        <v>940</v>
      </c>
      <c r="E1" s="57" t="s">
        <v>1</v>
      </c>
      <c r="F1" s="58" t="s">
        <v>941</v>
      </c>
      <c r="G1" s="59" t="s">
        <v>14</v>
      </c>
      <c r="H1" s="58" t="s">
        <v>942</v>
      </c>
      <c r="I1" s="59" t="s">
        <v>943</v>
      </c>
      <c r="J1" s="58" t="s">
        <v>944</v>
      </c>
      <c r="K1" s="59" t="s">
        <v>14</v>
      </c>
      <c r="L1" s="58" t="s">
        <v>945</v>
      </c>
      <c r="M1" s="59" t="s">
        <v>14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ht="15.75" customHeight="1">
      <c r="A2" s="11">
        <v>1588.0</v>
      </c>
      <c r="B2" s="11" t="s">
        <v>42</v>
      </c>
      <c r="C2" s="12" t="str">
        <f t="shared" ref="C2:C5" si="1">CONCATENATE(D2,"_",E2)</f>
        <v>UPS-01_Control Room</v>
      </c>
      <c r="D2" s="75" t="s">
        <v>946</v>
      </c>
      <c r="E2" s="76" t="s">
        <v>947</v>
      </c>
      <c r="F2" s="12"/>
      <c r="G2" s="12"/>
      <c r="H2" s="14" t="s">
        <v>948</v>
      </c>
      <c r="I2" s="69">
        <v>0.0</v>
      </c>
      <c r="J2" s="14" t="s">
        <v>949</v>
      </c>
      <c r="K2" s="69">
        <v>0.0</v>
      </c>
      <c r="L2" s="14" t="s">
        <v>950</v>
      </c>
      <c r="M2" s="69">
        <v>0.0</v>
      </c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 ht="15.75" customHeight="1">
      <c r="A3" s="11">
        <v>1588.0</v>
      </c>
      <c r="B3" s="11" t="s">
        <v>42</v>
      </c>
      <c r="C3" s="12" t="str">
        <f t="shared" si="1"/>
        <v>UPS-02_Control Room</v>
      </c>
      <c r="D3" s="77" t="s">
        <v>951</v>
      </c>
      <c r="E3" s="76" t="s">
        <v>947</v>
      </c>
      <c r="F3" s="4"/>
      <c r="G3" s="4"/>
      <c r="H3" s="14" t="s">
        <v>952</v>
      </c>
      <c r="I3" s="69">
        <v>0.0</v>
      </c>
      <c r="J3" s="14" t="s">
        <v>953</v>
      </c>
      <c r="K3" s="69">
        <v>0.0</v>
      </c>
      <c r="L3" s="14" t="s">
        <v>954</v>
      </c>
      <c r="M3" s="69">
        <v>0.0</v>
      </c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ht="15.75" customHeight="1">
      <c r="A4" s="11">
        <v>1588.0</v>
      </c>
      <c r="B4" s="11" t="s">
        <v>42</v>
      </c>
      <c r="C4" s="12" t="str">
        <f t="shared" si="1"/>
        <v>UPS-03_Control Room</v>
      </c>
      <c r="D4" s="77" t="s">
        <v>955</v>
      </c>
      <c r="E4" s="76" t="s">
        <v>947</v>
      </c>
      <c r="F4" s="4"/>
      <c r="G4" s="4"/>
      <c r="H4" s="4"/>
      <c r="I4" s="4"/>
      <c r="J4" s="14" t="s">
        <v>956</v>
      </c>
      <c r="K4" s="69">
        <v>0.0</v>
      </c>
      <c r="L4" s="14" t="s">
        <v>957</v>
      </c>
      <c r="M4" s="69">
        <v>0.0</v>
      </c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ht="15.75" customHeight="1">
      <c r="A5" s="11">
        <v>1588.0</v>
      </c>
      <c r="B5" s="11" t="s">
        <v>42</v>
      </c>
      <c r="C5" s="12" t="str">
        <f t="shared" si="1"/>
        <v>UPS-04_Control Room</v>
      </c>
      <c r="D5" s="77" t="s">
        <v>958</v>
      </c>
      <c r="E5" s="76" t="s">
        <v>947</v>
      </c>
      <c r="F5" s="4"/>
      <c r="G5" s="4"/>
      <c r="H5" s="4"/>
      <c r="I5" s="4"/>
      <c r="J5" s="14" t="s">
        <v>959</v>
      </c>
      <c r="K5" s="69">
        <v>0.0</v>
      </c>
      <c r="L5" s="14" t="s">
        <v>960</v>
      </c>
      <c r="M5" s="69">
        <v>0.0</v>
      </c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ht="15.75" customHeight="1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ht="15.75" customHeight="1">
      <c r="A7" s="39"/>
      <c r="B7" s="39"/>
      <c r="C7" s="39"/>
      <c r="D7" s="39"/>
      <c r="E7" s="56"/>
      <c r="F7" s="56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ht="15.75" customHeight="1">
      <c r="A8" s="39"/>
      <c r="B8" s="39"/>
      <c r="C8" s="39"/>
      <c r="D8" s="39"/>
      <c r="E8" s="56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ht="15.75" customHeight="1">
      <c r="A9" s="39"/>
      <c r="B9" s="39"/>
      <c r="C9" s="39"/>
      <c r="D9" s="39"/>
      <c r="E9" s="56"/>
      <c r="F9" s="56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ht="15.75" customHeight="1">
      <c r="A10" s="39"/>
      <c r="B10" s="39"/>
      <c r="C10" s="39"/>
      <c r="D10" s="39"/>
      <c r="E10" s="56"/>
      <c r="F10" s="56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ht="15.75" customHeight="1">
      <c r="A11" s="39"/>
      <c r="B11" s="39"/>
      <c r="C11" s="39"/>
      <c r="D11" s="39"/>
      <c r="E11" s="56"/>
      <c r="F11" s="56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ht="15.75" customHeight="1">
      <c r="A12" s="39"/>
      <c r="B12" s="39"/>
      <c r="C12" s="39"/>
      <c r="D12" s="39"/>
      <c r="E12" s="56"/>
      <c r="F12" s="56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ht="15.75" customHeight="1">
      <c r="A13" s="39"/>
      <c r="B13" s="39"/>
      <c r="C13" s="39"/>
      <c r="D13" s="39"/>
      <c r="E13" s="56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ht="15.75" customHeight="1">
      <c r="A14" s="39"/>
      <c r="B14" s="39"/>
      <c r="C14" s="39"/>
      <c r="D14" s="39"/>
      <c r="E14" s="56"/>
      <c r="F14" s="56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ht="15.75" customHeight="1">
      <c r="A15" s="39"/>
      <c r="B15" s="39"/>
      <c r="C15" s="39"/>
      <c r="D15" s="39"/>
      <c r="E15" s="56"/>
      <c r="F15" s="56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ht="15.75" customHeight="1">
      <c r="A16" s="39"/>
      <c r="B16" s="39"/>
      <c r="C16" s="39"/>
      <c r="D16" s="39"/>
      <c r="E16" s="56"/>
      <c r="F16" s="56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ht="15.75" customHeight="1">
      <c r="A17" s="39"/>
      <c r="B17" s="39"/>
      <c r="C17" s="39"/>
      <c r="D17" s="39"/>
      <c r="E17" s="56"/>
      <c r="F17" s="56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ht="15.75" customHeight="1">
      <c r="A18" s="39"/>
      <c r="B18" s="39"/>
      <c r="C18" s="39"/>
      <c r="D18" s="39"/>
      <c r="E18" s="56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ht="15.75" customHeight="1">
      <c r="A19" s="39"/>
      <c r="B19" s="39"/>
      <c r="C19" s="39"/>
      <c r="D19" s="39"/>
      <c r="E19" s="56"/>
      <c r="F19" s="56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ht="15.75" customHeight="1">
      <c r="A20" s="39"/>
      <c r="B20" s="39"/>
      <c r="C20" s="39"/>
      <c r="D20" s="39"/>
      <c r="E20" s="56"/>
      <c r="F20" s="56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ht="15.75" customHeight="1">
      <c r="A21" s="39"/>
      <c r="B21" s="39"/>
      <c r="C21" s="39"/>
      <c r="D21" s="39"/>
      <c r="E21" s="56"/>
      <c r="F21" s="56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ht="15.75" customHeight="1">
      <c r="A22" s="39"/>
      <c r="B22" s="39"/>
      <c r="C22" s="39"/>
      <c r="D22" s="39"/>
      <c r="E22" s="56"/>
      <c r="F22" s="56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ht="15.75" customHeight="1">
      <c r="A23" s="39"/>
      <c r="B23" s="39"/>
      <c r="C23" s="39"/>
      <c r="D23" s="39"/>
      <c r="E23" s="56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ht="15.75" customHeight="1">
      <c r="A24" s="39"/>
      <c r="B24" s="39"/>
      <c r="C24" s="39"/>
      <c r="D24" s="39"/>
      <c r="E24" s="56"/>
      <c r="F24" s="56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ht="15.75" customHeight="1">
      <c r="A25" s="39"/>
      <c r="B25" s="39"/>
      <c r="C25" s="39"/>
      <c r="D25" s="39"/>
      <c r="E25" s="56"/>
      <c r="F25" s="56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ht="15.75" customHeight="1">
      <c r="A26" s="39"/>
      <c r="B26" s="39"/>
      <c r="C26" s="39"/>
      <c r="D26" s="39"/>
      <c r="E26" s="56"/>
      <c r="F26" s="56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ht="15.75" customHeight="1">
      <c r="A27" s="39"/>
      <c r="B27" s="39"/>
      <c r="C27" s="39"/>
      <c r="D27" s="39"/>
      <c r="E27" s="56"/>
      <c r="F27" s="56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ht="15.75" customHeight="1">
      <c r="A28" s="39"/>
      <c r="B28" s="39"/>
      <c r="C28" s="39"/>
      <c r="D28" s="39"/>
      <c r="E28" s="56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ht="15.75" customHeight="1">
      <c r="A29" s="39"/>
      <c r="B29" s="39"/>
      <c r="C29" s="39"/>
      <c r="D29" s="39"/>
      <c r="E29" s="56"/>
      <c r="F29" s="56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ht="15.75" customHeight="1">
      <c r="A30" s="39"/>
      <c r="B30" s="39"/>
      <c r="C30" s="39"/>
      <c r="D30" s="39"/>
      <c r="E30" s="56"/>
      <c r="F30" s="56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ht="15.75" customHeight="1">
      <c r="A31" s="39"/>
      <c r="B31" s="39"/>
      <c r="C31" s="39"/>
      <c r="D31" s="39"/>
      <c r="E31" s="56"/>
      <c r="F31" s="56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ht="15.75" customHeight="1">
      <c r="A32" s="39"/>
      <c r="B32" s="39"/>
      <c r="C32" s="39"/>
      <c r="D32" s="39"/>
      <c r="E32" s="56"/>
      <c r="F32" s="56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ht="15.75" customHeight="1">
      <c r="A33" s="39"/>
      <c r="B33" s="39"/>
      <c r="C33" s="39"/>
      <c r="D33" s="39"/>
      <c r="E33" s="56"/>
      <c r="F33" s="56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ht="15.75" customHeight="1">
      <c r="A34" s="39"/>
      <c r="B34" s="39"/>
      <c r="C34" s="39"/>
      <c r="D34" s="39"/>
      <c r="E34" s="56"/>
      <c r="F34" s="56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ht="15.75" customHeight="1">
      <c r="A35" s="39"/>
      <c r="B35" s="39"/>
      <c r="C35" s="39"/>
      <c r="D35" s="39"/>
      <c r="E35" s="56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ht="15.75" customHeight="1">
      <c r="A36" s="39"/>
      <c r="B36" s="39"/>
      <c r="C36" s="39"/>
      <c r="D36" s="39"/>
      <c r="E36" s="56"/>
      <c r="F36" s="56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ht="15.75" customHeight="1">
      <c r="A37" s="39"/>
      <c r="B37" s="39"/>
      <c r="C37" s="39"/>
      <c r="D37" s="39"/>
      <c r="E37" s="56"/>
      <c r="F37" s="56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ht="15.75" customHeight="1">
      <c r="A38" s="39"/>
      <c r="B38" s="39"/>
      <c r="C38" s="39"/>
      <c r="D38" s="39"/>
      <c r="E38" s="56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ht="15.75" customHeight="1">
      <c r="A39" s="39"/>
      <c r="B39" s="39"/>
      <c r="C39" s="39"/>
      <c r="D39" s="39"/>
      <c r="E39" s="56"/>
      <c r="F39" s="56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ht="15.75" customHeight="1">
      <c r="A40" s="39"/>
      <c r="B40" s="39"/>
      <c r="C40" s="39"/>
      <c r="D40" s="39"/>
      <c r="E40" s="56"/>
      <c r="F40" s="56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ht="15.75" customHeight="1">
      <c r="A41" s="39"/>
      <c r="B41" s="39"/>
      <c r="C41" s="39"/>
      <c r="D41" s="39"/>
      <c r="E41" s="56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ht="15.75" customHeight="1">
      <c r="A42" s="39"/>
      <c r="B42" s="39"/>
      <c r="C42" s="39"/>
      <c r="D42" s="39"/>
      <c r="E42" s="56"/>
      <c r="F42" s="56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ht="15.75" customHeight="1">
      <c r="A43" s="39"/>
      <c r="B43" s="39"/>
      <c r="C43" s="39"/>
      <c r="D43" s="39"/>
      <c r="E43" s="56"/>
      <c r="F43" s="56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ht="15.75" customHeight="1">
      <c r="A44" s="39"/>
      <c r="B44" s="39"/>
      <c r="C44" s="39"/>
      <c r="D44" s="39"/>
      <c r="E44" s="56"/>
      <c r="F44" s="56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29.5"/>
    <col customWidth="1" min="15" max="17" width="11.38"/>
    <col customWidth="1" min="18" max="18" width="29.5"/>
    <col customWidth="1" min="19" max="21" width="11.38"/>
    <col customWidth="1" min="22" max="22" width="32.25"/>
    <col customWidth="1" min="23" max="23" width="11.63"/>
    <col customWidth="1" min="24" max="24" width="9.0"/>
    <col customWidth="1" min="25" max="25" width="11.38"/>
    <col customWidth="1" min="26" max="26" width="15.0"/>
    <col customWidth="1" min="27" max="27" width="11.63"/>
    <col customWidth="1" min="28" max="28" width="9.0"/>
    <col customWidth="1" min="29" max="29" width="11.38"/>
    <col customWidth="1" min="30" max="30" width="20.75"/>
    <col customWidth="1" min="31" max="31" width="12.38"/>
    <col customWidth="1" min="32" max="32" width="9.0"/>
    <col customWidth="1" min="33" max="33" width="11.38"/>
    <col customWidth="1" min="34" max="34" width="20.75"/>
    <col customWidth="1" min="35" max="35" width="12.38"/>
    <col customWidth="1" min="36" max="36" width="9.0"/>
    <col customWidth="1" min="37" max="37" width="11.38"/>
  </cols>
  <sheetData>
    <row r="1">
      <c r="A1" s="74" t="s">
        <v>0</v>
      </c>
      <c r="B1" s="74" t="s">
        <v>1</v>
      </c>
      <c r="C1" s="57" t="s">
        <v>2</v>
      </c>
      <c r="D1" s="57" t="s">
        <v>961</v>
      </c>
      <c r="E1" s="57" t="s">
        <v>1</v>
      </c>
      <c r="F1" s="58" t="s">
        <v>962</v>
      </c>
      <c r="G1" s="59" t="s">
        <v>14</v>
      </c>
      <c r="H1" s="58" t="s">
        <v>9</v>
      </c>
      <c r="I1" s="58" t="s">
        <v>505</v>
      </c>
      <c r="J1" s="58" t="s">
        <v>963</v>
      </c>
      <c r="K1" s="59" t="s">
        <v>14</v>
      </c>
      <c r="L1" s="58" t="s">
        <v>9</v>
      </c>
      <c r="M1" s="58" t="s">
        <v>10</v>
      </c>
      <c r="N1" s="78" t="s">
        <v>964</v>
      </c>
      <c r="O1" s="59" t="s">
        <v>14</v>
      </c>
      <c r="P1" s="58" t="s">
        <v>9</v>
      </c>
      <c r="Q1" s="58" t="s">
        <v>10</v>
      </c>
      <c r="R1" s="78" t="s">
        <v>965</v>
      </c>
      <c r="S1" s="59" t="s">
        <v>14</v>
      </c>
      <c r="T1" s="58" t="s">
        <v>9</v>
      </c>
      <c r="U1" s="58" t="s">
        <v>10</v>
      </c>
      <c r="V1" s="58" t="s">
        <v>966</v>
      </c>
      <c r="W1" s="59" t="s">
        <v>14</v>
      </c>
      <c r="X1" s="58" t="s">
        <v>504</v>
      </c>
      <c r="Y1" s="58" t="s">
        <v>10</v>
      </c>
      <c r="Z1" s="58" t="s">
        <v>967</v>
      </c>
      <c r="AA1" s="59" t="s">
        <v>14</v>
      </c>
      <c r="AB1" s="58" t="s">
        <v>9</v>
      </c>
      <c r="AC1" s="58" t="s">
        <v>968</v>
      </c>
      <c r="AD1" s="58" t="s">
        <v>969</v>
      </c>
      <c r="AE1" s="59" t="s">
        <v>14</v>
      </c>
      <c r="AF1" s="58" t="s">
        <v>504</v>
      </c>
      <c r="AG1" s="58" t="s">
        <v>10</v>
      </c>
      <c r="AH1" s="58" t="s">
        <v>970</v>
      </c>
      <c r="AI1" s="59" t="s">
        <v>14</v>
      </c>
      <c r="AJ1" s="58" t="s">
        <v>9</v>
      </c>
      <c r="AK1" s="58" t="s">
        <v>10</v>
      </c>
    </row>
    <row r="2" ht="15.75" customHeight="1">
      <c r="A2" s="11">
        <v>1588.0</v>
      </c>
      <c r="B2" s="11" t="s">
        <v>42</v>
      </c>
      <c r="C2" s="12" t="str">
        <f t="shared" ref="C2:C3" si="1">CONCATENATE(D2,"_",E2)</f>
        <v>GEPLC_Process PLC</v>
      </c>
      <c r="D2" s="12" t="s">
        <v>971</v>
      </c>
      <c r="E2" s="76" t="s">
        <v>972</v>
      </c>
      <c r="F2" s="14" t="s">
        <v>973</v>
      </c>
      <c r="G2" s="69">
        <v>1.0</v>
      </c>
      <c r="H2" s="20" t="s">
        <v>974</v>
      </c>
      <c r="I2" s="20" t="s">
        <v>975</v>
      </c>
      <c r="J2" s="14" t="s">
        <v>976</v>
      </c>
      <c r="K2" s="69">
        <v>1.0</v>
      </c>
      <c r="L2" s="20" t="s">
        <v>974</v>
      </c>
      <c r="M2" s="21" t="s">
        <v>977</v>
      </c>
      <c r="N2" s="12"/>
      <c r="O2" s="12"/>
      <c r="P2" s="12"/>
      <c r="Q2" s="12"/>
      <c r="R2" s="12"/>
      <c r="S2" s="12"/>
      <c r="T2" s="12"/>
      <c r="U2" s="12"/>
      <c r="V2" s="14"/>
      <c r="W2" s="14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</row>
    <row r="3" ht="15.75" customHeight="1">
      <c r="A3" s="11">
        <v>1588.0</v>
      </c>
      <c r="B3" s="11" t="s">
        <v>42</v>
      </c>
      <c r="C3" s="12" t="str">
        <f t="shared" si="1"/>
        <v>SFT PLC_Safety PLC</v>
      </c>
      <c r="D3" s="20" t="s">
        <v>978</v>
      </c>
      <c r="E3" s="79" t="s">
        <v>979</v>
      </c>
      <c r="F3" s="14" t="s">
        <v>980</v>
      </c>
      <c r="G3" s="69">
        <v>1.0</v>
      </c>
      <c r="H3" s="20" t="s">
        <v>981</v>
      </c>
      <c r="I3" s="20" t="s">
        <v>975</v>
      </c>
      <c r="J3" s="14" t="s">
        <v>982</v>
      </c>
      <c r="K3" s="69">
        <v>1.0</v>
      </c>
      <c r="L3" s="20" t="s">
        <v>981</v>
      </c>
      <c r="M3" s="21" t="s">
        <v>977</v>
      </c>
      <c r="N3" s="14" t="s">
        <v>983</v>
      </c>
      <c r="O3" s="69">
        <v>1.0</v>
      </c>
      <c r="P3" s="20" t="s">
        <v>981</v>
      </c>
      <c r="Q3" s="21" t="s">
        <v>984</v>
      </c>
      <c r="R3" s="14" t="s">
        <v>985</v>
      </c>
      <c r="S3" s="69">
        <v>1.0</v>
      </c>
      <c r="T3" s="20" t="s">
        <v>981</v>
      </c>
      <c r="U3" s="21" t="s">
        <v>986</v>
      </c>
      <c r="V3" s="80" t="s">
        <v>987</v>
      </c>
      <c r="W3" s="81">
        <v>0.0</v>
      </c>
      <c r="X3" s="20" t="s">
        <v>981</v>
      </c>
      <c r="Y3" s="20" t="s">
        <v>975</v>
      </c>
      <c r="Z3" s="80" t="s">
        <v>988</v>
      </c>
      <c r="AA3" s="69">
        <v>0.0</v>
      </c>
      <c r="AB3" s="20" t="s">
        <v>981</v>
      </c>
      <c r="AC3" s="21" t="s">
        <v>977</v>
      </c>
      <c r="AD3" s="14" t="s">
        <v>989</v>
      </c>
      <c r="AE3" s="69">
        <v>0.0</v>
      </c>
      <c r="AF3" s="20" t="s">
        <v>981</v>
      </c>
      <c r="AG3" s="20" t="s">
        <v>975</v>
      </c>
      <c r="AH3" s="14" t="s">
        <v>990</v>
      </c>
      <c r="AI3" s="69">
        <v>0.0</v>
      </c>
      <c r="AJ3" s="20" t="s">
        <v>981</v>
      </c>
      <c r="AK3" s="21" t="s">
        <v>977</v>
      </c>
    </row>
    <row r="4" ht="15.75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</row>
    <row r="5" ht="15.7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</row>
    <row r="6" ht="15.75" customHeight="1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</row>
    <row r="7" ht="15.7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</row>
    <row r="8" ht="15.75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</row>
    <row r="9" ht="15.75" customHeight="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</row>
    <row r="10" ht="15.75" customHeight="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</row>
    <row r="11" ht="15.75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ht="15.7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</row>
    <row r="13" ht="15.75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</row>
    <row r="14" ht="15.75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</row>
    <row r="15" ht="15.75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</row>
    <row r="16" ht="15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</row>
    <row r="17" ht="15.7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</row>
    <row r="18" ht="15.7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</row>
    <row r="19" ht="15.7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</row>
    <row r="20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</row>
    <row r="21" ht="1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</row>
    <row r="22" ht="15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</row>
    <row r="23" ht="15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</row>
    <row r="24" ht="1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</row>
    <row r="25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</row>
    <row r="26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</row>
    <row r="27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</row>
    <row r="28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</row>
    <row r="29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</row>
    <row r="30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</row>
    <row r="31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</row>
    <row r="32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</row>
    <row r="33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</row>
    <row r="34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</row>
    <row r="35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</row>
    <row r="3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</row>
    <row r="37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</row>
    <row r="38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</row>
    <row r="39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</row>
    <row r="4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</row>
    <row r="41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38.75"/>
    <col customWidth="1" min="4" max="4" width="7.25"/>
    <col customWidth="1" min="5" max="5" width="10.88"/>
    <col customWidth="1" min="6" max="6" width="21.25"/>
    <col customWidth="1" min="7" max="7" width="35.88"/>
    <col customWidth="1" min="8" max="8" width="11.5"/>
    <col customWidth="1" min="9" max="9" width="35.88"/>
    <col customWidth="1" min="10" max="10" width="11.5"/>
    <col customWidth="1" min="11" max="11" width="32.13"/>
    <col customWidth="1" min="12" max="12" width="11.5"/>
    <col customWidth="1" min="13" max="13" width="37.13"/>
    <col customWidth="1" min="14" max="14" width="11.5"/>
    <col customWidth="1" min="15" max="15" width="29.0"/>
    <col customWidth="1" min="16" max="16" width="11.5"/>
    <col customWidth="1" min="17" max="17" width="37.25"/>
    <col customWidth="1" min="18" max="18" width="10.88"/>
  </cols>
  <sheetData>
    <row r="1">
      <c r="A1" s="74" t="s">
        <v>0</v>
      </c>
      <c r="B1" s="74" t="s">
        <v>1</v>
      </c>
      <c r="C1" s="57" t="s">
        <v>2</v>
      </c>
      <c r="D1" s="57" t="s">
        <v>991</v>
      </c>
      <c r="E1" s="57" t="s">
        <v>992</v>
      </c>
      <c r="F1" s="57" t="s">
        <v>1</v>
      </c>
      <c r="G1" s="58" t="s">
        <v>993</v>
      </c>
      <c r="H1" s="59" t="s">
        <v>14</v>
      </c>
      <c r="I1" s="58" t="s">
        <v>994</v>
      </c>
      <c r="J1" s="59" t="s">
        <v>14</v>
      </c>
      <c r="K1" s="58" t="s">
        <v>995</v>
      </c>
      <c r="L1" s="59" t="s">
        <v>14</v>
      </c>
      <c r="M1" s="58" t="s">
        <v>996</v>
      </c>
      <c r="N1" s="59" t="s">
        <v>14</v>
      </c>
      <c r="O1" s="58" t="s">
        <v>997</v>
      </c>
      <c r="P1" s="59" t="s">
        <v>14</v>
      </c>
      <c r="Q1" s="82" t="s">
        <v>998</v>
      </c>
      <c r="R1" s="20" t="s">
        <v>7</v>
      </c>
    </row>
    <row r="2">
      <c r="A2" s="11">
        <v>1588.0</v>
      </c>
      <c r="B2" s="11" t="s">
        <v>42</v>
      </c>
      <c r="C2" s="68" t="str">
        <f t="shared" ref="C2:C15" si="1">CONCATENATE(D2,"_",E2,"_",F2)</f>
        <v>HDS_01_OPEN PATH_OLD PUMP HOUSE</v>
      </c>
      <c r="D2" s="83" t="s">
        <v>999</v>
      </c>
      <c r="E2" s="84" t="s">
        <v>1000</v>
      </c>
      <c r="F2" s="13" t="s">
        <v>1001</v>
      </c>
      <c r="G2" s="68" t="s">
        <v>1002</v>
      </c>
      <c r="H2" s="85">
        <v>0.0</v>
      </c>
      <c r="I2" s="68" t="s">
        <v>1003</v>
      </c>
      <c r="J2" s="85">
        <v>0.0</v>
      </c>
      <c r="K2" s="68" t="s">
        <v>1004</v>
      </c>
      <c r="L2" s="85">
        <v>0.0</v>
      </c>
      <c r="M2" s="68" t="s">
        <v>1005</v>
      </c>
      <c r="N2" s="85">
        <v>0.0</v>
      </c>
      <c r="O2" s="68" t="s">
        <v>1006</v>
      </c>
      <c r="P2" s="85">
        <v>0.0</v>
      </c>
      <c r="Q2" s="86" t="s">
        <v>1007</v>
      </c>
      <c r="R2" s="85">
        <v>0.0</v>
      </c>
    </row>
    <row r="3">
      <c r="A3" s="11">
        <v>1588.0</v>
      </c>
      <c r="B3" s="11" t="s">
        <v>42</v>
      </c>
      <c r="C3" s="68" t="str">
        <f t="shared" si="1"/>
        <v>HDS_02_OPEN PATH_OMC MANIFOLD AREA</v>
      </c>
      <c r="D3" s="87" t="s">
        <v>1008</v>
      </c>
      <c r="E3" s="84" t="s">
        <v>1000</v>
      </c>
      <c r="F3" s="30" t="s">
        <v>1009</v>
      </c>
      <c r="G3" s="70" t="s">
        <v>1010</v>
      </c>
      <c r="H3" s="85">
        <v>0.0</v>
      </c>
      <c r="I3" s="70" t="s">
        <v>1011</v>
      </c>
      <c r="J3" s="85">
        <v>0.0</v>
      </c>
      <c r="K3" s="70" t="s">
        <v>1012</v>
      </c>
      <c r="L3" s="85">
        <v>0.0</v>
      </c>
      <c r="M3" s="70" t="s">
        <v>1013</v>
      </c>
      <c r="N3" s="85">
        <v>0.0</v>
      </c>
      <c r="O3" s="70" t="s">
        <v>1014</v>
      </c>
      <c r="P3" s="85">
        <v>0.0</v>
      </c>
      <c r="Q3" s="86" t="s">
        <v>1007</v>
      </c>
      <c r="R3" s="85">
        <v>0.0</v>
      </c>
    </row>
    <row r="4">
      <c r="A4" s="11">
        <v>1588.0</v>
      </c>
      <c r="B4" s="11" t="s">
        <v>42</v>
      </c>
      <c r="C4" s="68" t="str">
        <f t="shared" si="1"/>
        <v>HDS_03_OPEN PATH_TANK-101/113-OPENPATH</v>
      </c>
      <c r="D4" s="87" t="s">
        <v>1015</v>
      </c>
      <c r="E4" s="84" t="s">
        <v>1000</v>
      </c>
      <c r="F4" s="30" t="s">
        <v>1016</v>
      </c>
      <c r="G4" s="70" t="s">
        <v>1017</v>
      </c>
      <c r="H4" s="85">
        <v>0.0</v>
      </c>
      <c r="I4" s="70" t="s">
        <v>1018</v>
      </c>
      <c r="J4" s="85">
        <v>0.0</v>
      </c>
      <c r="K4" s="70" t="s">
        <v>1019</v>
      </c>
      <c r="L4" s="85">
        <v>0.0</v>
      </c>
      <c r="M4" s="70" t="s">
        <v>1020</v>
      </c>
      <c r="N4" s="85">
        <v>0.0</v>
      </c>
      <c r="O4" s="70" t="s">
        <v>1021</v>
      </c>
      <c r="P4" s="85">
        <v>0.0</v>
      </c>
      <c r="Q4" s="86" t="s">
        <v>1007</v>
      </c>
      <c r="R4" s="85">
        <v>0.0</v>
      </c>
    </row>
    <row r="5">
      <c r="A5" s="11">
        <v>1588.0</v>
      </c>
      <c r="B5" s="11" t="s">
        <v>42</v>
      </c>
      <c r="C5" s="68" t="str">
        <f t="shared" si="1"/>
        <v>HDS_04_OPEN PATH_TANK-105/114-OPENPATH</v>
      </c>
      <c r="D5" s="87" t="s">
        <v>1022</v>
      </c>
      <c r="E5" s="84" t="s">
        <v>1000</v>
      </c>
      <c r="F5" s="30" t="s">
        <v>1023</v>
      </c>
      <c r="G5" s="70" t="s">
        <v>1024</v>
      </c>
      <c r="H5" s="85">
        <v>0.0</v>
      </c>
      <c r="I5" s="70" t="s">
        <v>1025</v>
      </c>
      <c r="J5" s="85">
        <v>0.0</v>
      </c>
      <c r="K5" s="70" t="s">
        <v>1026</v>
      </c>
      <c r="L5" s="85">
        <v>0.0</v>
      </c>
      <c r="M5" s="70" t="s">
        <v>1027</v>
      </c>
      <c r="N5" s="85">
        <v>0.0</v>
      </c>
      <c r="O5" s="70" t="s">
        <v>1028</v>
      </c>
      <c r="P5" s="85">
        <v>0.0</v>
      </c>
      <c r="Q5" s="86" t="s">
        <v>1007</v>
      </c>
      <c r="R5" s="85">
        <v>0.0</v>
      </c>
    </row>
    <row r="6">
      <c r="A6" s="11">
        <v>1588.0</v>
      </c>
      <c r="B6" s="11" t="s">
        <v>42</v>
      </c>
      <c r="C6" s="68" t="str">
        <f t="shared" si="1"/>
        <v>HDS_05_POINT TYPE_TANK-106-POINT TYPE</v>
      </c>
      <c r="D6" s="87" t="s">
        <v>1029</v>
      </c>
      <c r="E6" s="84" t="s">
        <v>1030</v>
      </c>
      <c r="F6" s="30" t="s">
        <v>1031</v>
      </c>
      <c r="G6" s="70" t="s">
        <v>1032</v>
      </c>
      <c r="H6" s="85">
        <v>0.0</v>
      </c>
      <c r="I6" s="70" t="s">
        <v>1033</v>
      </c>
      <c r="J6" s="85">
        <v>0.0</v>
      </c>
      <c r="K6" s="70" t="s">
        <v>1034</v>
      </c>
      <c r="L6" s="85">
        <v>0.0</v>
      </c>
      <c r="M6" s="70" t="s">
        <v>1035</v>
      </c>
      <c r="N6" s="85">
        <v>0.0</v>
      </c>
      <c r="O6" s="70" t="s">
        <v>1036</v>
      </c>
      <c r="P6" s="85">
        <v>0.0</v>
      </c>
      <c r="Q6" s="86" t="s">
        <v>1007</v>
      </c>
      <c r="R6" s="85">
        <v>0.0</v>
      </c>
    </row>
    <row r="7">
      <c r="A7" s="11">
        <v>1588.0</v>
      </c>
      <c r="B7" s="11" t="s">
        <v>42</v>
      </c>
      <c r="C7" s="68" t="str">
        <f t="shared" si="1"/>
        <v>HDS_06_POINT TYPE_OLD PUMP HOUSE</v>
      </c>
      <c r="D7" s="87" t="s">
        <v>1037</v>
      </c>
      <c r="E7" s="84" t="s">
        <v>1030</v>
      </c>
      <c r="F7" s="30" t="s">
        <v>1001</v>
      </c>
      <c r="G7" s="70" t="s">
        <v>1038</v>
      </c>
      <c r="H7" s="85">
        <v>0.0</v>
      </c>
      <c r="I7" s="70" t="s">
        <v>1039</v>
      </c>
      <c r="J7" s="85">
        <v>0.0</v>
      </c>
      <c r="K7" s="70" t="s">
        <v>1040</v>
      </c>
      <c r="L7" s="85">
        <v>0.0</v>
      </c>
      <c r="M7" s="70" t="s">
        <v>1041</v>
      </c>
      <c r="N7" s="85">
        <v>0.0</v>
      </c>
      <c r="O7" s="70" t="s">
        <v>1042</v>
      </c>
      <c r="P7" s="85">
        <v>0.0</v>
      </c>
      <c r="Q7" s="86" t="s">
        <v>1007</v>
      </c>
      <c r="R7" s="85">
        <v>0.0</v>
      </c>
    </row>
    <row r="8">
      <c r="A8" s="11">
        <v>1588.0</v>
      </c>
      <c r="B8" s="11" t="s">
        <v>42</v>
      </c>
      <c r="C8" s="68" t="str">
        <f t="shared" si="1"/>
        <v>HDS_07_POINT TYPE_TK-103 POINT TYPE</v>
      </c>
      <c r="D8" s="87" t="s">
        <v>1043</v>
      </c>
      <c r="E8" s="84" t="s">
        <v>1030</v>
      </c>
      <c r="F8" s="30" t="s">
        <v>1044</v>
      </c>
      <c r="G8" s="70" t="s">
        <v>1045</v>
      </c>
      <c r="H8" s="85">
        <v>0.0</v>
      </c>
      <c r="I8" s="70" t="s">
        <v>1046</v>
      </c>
      <c r="J8" s="85">
        <v>0.0</v>
      </c>
      <c r="K8" s="70" t="s">
        <v>1047</v>
      </c>
      <c r="L8" s="85">
        <v>0.0</v>
      </c>
      <c r="M8" s="70" t="s">
        <v>1048</v>
      </c>
      <c r="N8" s="85">
        <v>0.0</v>
      </c>
      <c r="O8" s="70" t="s">
        <v>1049</v>
      </c>
      <c r="P8" s="85">
        <v>0.0</v>
      </c>
      <c r="Q8" s="86" t="s">
        <v>1007</v>
      </c>
      <c r="R8" s="85">
        <v>0.0</v>
      </c>
    </row>
    <row r="9">
      <c r="A9" s="11">
        <v>1588.0</v>
      </c>
      <c r="B9" s="11" t="s">
        <v>42</v>
      </c>
      <c r="C9" s="68" t="str">
        <f t="shared" si="1"/>
        <v>HDS_22_OPEN PATH_OLD PUMP HOUSE</v>
      </c>
      <c r="D9" s="87" t="s">
        <v>1050</v>
      </c>
      <c r="E9" s="84" t="s">
        <v>1000</v>
      </c>
      <c r="F9" s="30" t="s">
        <v>1001</v>
      </c>
      <c r="G9" s="70" t="s">
        <v>1051</v>
      </c>
      <c r="H9" s="85">
        <v>0.0</v>
      </c>
      <c r="I9" s="70" t="s">
        <v>1052</v>
      </c>
      <c r="J9" s="85">
        <v>0.0</v>
      </c>
      <c r="K9" s="70" t="s">
        <v>1053</v>
      </c>
      <c r="L9" s="85">
        <v>0.0</v>
      </c>
      <c r="M9" s="70" t="s">
        <v>1054</v>
      </c>
      <c r="N9" s="85">
        <v>0.0</v>
      </c>
      <c r="O9" s="70" t="s">
        <v>1055</v>
      </c>
      <c r="P9" s="85">
        <v>0.0</v>
      </c>
      <c r="Q9" s="86" t="s">
        <v>1007</v>
      </c>
      <c r="R9" s="85">
        <v>0.0</v>
      </c>
    </row>
    <row r="10">
      <c r="A10" s="11">
        <v>1588.0</v>
      </c>
      <c r="B10" s="11" t="s">
        <v>42</v>
      </c>
      <c r="C10" s="68" t="str">
        <f t="shared" si="1"/>
        <v>HDS_23_OPEN PATH_TK-101/104-OPEN PATH</v>
      </c>
      <c r="D10" s="87" t="s">
        <v>1056</v>
      </c>
      <c r="E10" s="84" t="s">
        <v>1000</v>
      </c>
      <c r="F10" s="30" t="s">
        <v>1057</v>
      </c>
      <c r="G10" s="70" t="s">
        <v>1058</v>
      </c>
      <c r="H10" s="85">
        <v>0.0</v>
      </c>
      <c r="I10" s="70" t="s">
        <v>1059</v>
      </c>
      <c r="J10" s="85">
        <v>0.0</v>
      </c>
      <c r="K10" s="70" t="s">
        <v>1060</v>
      </c>
      <c r="L10" s="85">
        <v>0.0</v>
      </c>
      <c r="M10" s="70" t="s">
        <v>1061</v>
      </c>
      <c r="N10" s="85">
        <v>0.0</v>
      </c>
      <c r="O10" s="70" t="s">
        <v>1062</v>
      </c>
      <c r="P10" s="85">
        <v>0.0</v>
      </c>
      <c r="Q10" s="86" t="s">
        <v>1007</v>
      </c>
      <c r="R10" s="85">
        <v>0.0</v>
      </c>
    </row>
    <row r="11">
      <c r="A11" s="11">
        <v>1588.0</v>
      </c>
      <c r="B11" s="11" t="s">
        <v>42</v>
      </c>
      <c r="C11" s="68" t="str">
        <f t="shared" si="1"/>
        <v>HDS_24_OPEN PATH_NEW PH1-OPENPATH</v>
      </c>
      <c r="D11" s="87" t="s">
        <v>1063</v>
      </c>
      <c r="E11" s="84" t="s">
        <v>1000</v>
      </c>
      <c r="F11" s="30" t="s">
        <v>1064</v>
      </c>
      <c r="G11" s="70" t="s">
        <v>1065</v>
      </c>
      <c r="H11" s="85">
        <v>0.0</v>
      </c>
      <c r="I11" s="70" t="s">
        <v>1066</v>
      </c>
      <c r="J11" s="85">
        <v>0.0</v>
      </c>
      <c r="K11" s="70" t="s">
        <v>1067</v>
      </c>
      <c r="L11" s="85">
        <v>0.0</v>
      </c>
      <c r="M11" s="70" t="s">
        <v>1068</v>
      </c>
      <c r="N11" s="85">
        <v>0.0</v>
      </c>
      <c r="O11" s="70" t="s">
        <v>1069</v>
      </c>
      <c r="P11" s="85">
        <v>0.0</v>
      </c>
      <c r="Q11" s="86" t="s">
        <v>1007</v>
      </c>
      <c r="R11" s="85">
        <v>0.0</v>
      </c>
    </row>
    <row r="12">
      <c r="A12" s="11">
        <v>1588.0</v>
      </c>
      <c r="B12" s="11" t="s">
        <v>42</v>
      </c>
      <c r="C12" s="68" t="str">
        <f t="shared" si="1"/>
        <v>HDS_25_OPEN PATH_NEW PH2-OPENPATH</v>
      </c>
      <c r="D12" s="87" t="s">
        <v>1070</v>
      </c>
      <c r="E12" s="84" t="s">
        <v>1000</v>
      </c>
      <c r="F12" s="30" t="s">
        <v>1071</v>
      </c>
      <c r="G12" s="70" t="s">
        <v>1072</v>
      </c>
      <c r="H12" s="85">
        <v>0.0</v>
      </c>
      <c r="I12" s="70" t="s">
        <v>1073</v>
      </c>
      <c r="J12" s="85">
        <v>0.0</v>
      </c>
      <c r="K12" s="70" t="s">
        <v>1074</v>
      </c>
      <c r="L12" s="85">
        <v>0.0</v>
      </c>
      <c r="M12" s="70" t="s">
        <v>1075</v>
      </c>
      <c r="N12" s="85">
        <v>0.0</v>
      </c>
      <c r="O12" s="70" t="s">
        <v>1076</v>
      </c>
      <c r="P12" s="85">
        <v>0.0</v>
      </c>
      <c r="Q12" s="86" t="s">
        <v>1007</v>
      </c>
      <c r="R12" s="85">
        <v>0.0</v>
      </c>
    </row>
    <row r="13">
      <c r="A13" s="11">
        <v>1588.0</v>
      </c>
      <c r="B13" s="11" t="s">
        <v>42</v>
      </c>
      <c r="C13" s="68" t="str">
        <f t="shared" si="1"/>
        <v>HDS_26_POINT TYPE_NEW PH2-POINT-TYPE-1</v>
      </c>
      <c r="D13" s="87" t="s">
        <v>1077</v>
      </c>
      <c r="E13" s="84" t="s">
        <v>1030</v>
      </c>
      <c r="F13" s="30" t="s">
        <v>1078</v>
      </c>
      <c r="G13" s="70" t="s">
        <v>1079</v>
      </c>
      <c r="H13" s="85">
        <v>0.0</v>
      </c>
      <c r="I13" s="70" t="s">
        <v>1080</v>
      </c>
      <c r="J13" s="85">
        <v>0.0</v>
      </c>
      <c r="K13" s="70" t="s">
        <v>1081</v>
      </c>
      <c r="L13" s="85">
        <v>0.0</v>
      </c>
      <c r="M13" s="70" t="s">
        <v>1082</v>
      </c>
      <c r="N13" s="85">
        <v>0.0</v>
      </c>
      <c r="O13" s="70" t="s">
        <v>1083</v>
      </c>
      <c r="P13" s="85">
        <v>0.0</v>
      </c>
      <c r="Q13" s="86" t="s">
        <v>1007</v>
      </c>
      <c r="R13" s="85">
        <v>0.0</v>
      </c>
    </row>
    <row r="14">
      <c r="A14" s="11">
        <v>1588.0</v>
      </c>
      <c r="B14" s="11" t="s">
        <v>42</v>
      </c>
      <c r="C14" s="68" t="str">
        <f t="shared" si="1"/>
        <v>HDS_27_POINT TYPE_NEW PH2-POINT-TYPE-2</v>
      </c>
      <c r="D14" s="87" t="s">
        <v>1084</v>
      </c>
      <c r="E14" s="84" t="s">
        <v>1030</v>
      </c>
      <c r="F14" s="30" t="s">
        <v>1085</v>
      </c>
      <c r="G14" s="70" t="s">
        <v>1086</v>
      </c>
      <c r="H14" s="85">
        <v>0.0</v>
      </c>
      <c r="I14" s="70" t="s">
        <v>1087</v>
      </c>
      <c r="J14" s="85">
        <v>0.0</v>
      </c>
      <c r="K14" s="70" t="s">
        <v>1088</v>
      </c>
      <c r="L14" s="85">
        <v>0.0</v>
      </c>
      <c r="M14" s="70" t="s">
        <v>1089</v>
      </c>
      <c r="N14" s="85">
        <v>0.0</v>
      </c>
      <c r="O14" s="70" t="s">
        <v>1090</v>
      </c>
      <c r="P14" s="85">
        <v>0.0</v>
      </c>
      <c r="Q14" s="86" t="s">
        <v>1007</v>
      </c>
      <c r="R14" s="85">
        <v>0.0</v>
      </c>
    </row>
    <row r="15">
      <c r="A15" s="11">
        <v>1588.0</v>
      </c>
      <c r="B15" s="11" t="s">
        <v>42</v>
      </c>
      <c r="C15" s="68" t="str">
        <f t="shared" si="1"/>
        <v>HDS_28_POINT TYPE_ETP AREA-POINT-TYPE</v>
      </c>
      <c r="D15" s="87" t="s">
        <v>1091</v>
      </c>
      <c r="E15" s="84" t="s">
        <v>1030</v>
      </c>
      <c r="F15" s="30" t="s">
        <v>1092</v>
      </c>
      <c r="G15" s="70" t="s">
        <v>1093</v>
      </c>
      <c r="H15" s="85">
        <v>0.0</v>
      </c>
      <c r="I15" s="70" t="s">
        <v>1094</v>
      </c>
      <c r="J15" s="85">
        <v>0.0</v>
      </c>
      <c r="K15" s="70" t="s">
        <v>1095</v>
      </c>
      <c r="L15" s="85">
        <v>0.0</v>
      </c>
      <c r="M15" s="70" t="s">
        <v>1096</v>
      </c>
      <c r="N15" s="85">
        <v>0.0</v>
      </c>
      <c r="O15" s="70" t="s">
        <v>1097</v>
      </c>
      <c r="P15" s="85">
        <v>0.0</v>
      </c>
      <c r="Q15" s="86" t="s">
        <v>1007</v>
      </c>
      <c r="R15" s="85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7.63"/>
    <col customWidth="1" min="5" max="5" width="11.5"/>
    <col customWidth="1" min="6" max="6" width="44.0"/>
  </cols>
  <sheetData>
    <row r="1" ht="15.75" customHeight="1">
      <c r="A1" s="57" t="s">
        <v>0</v>
      </c>
      <c r="B1" s="57" t="s">
        <v>1</v>
      </c>
      <c r="C1" s="57" t="s">
        <v>1098</v>
      </c>
      <c r="D1" s="58" t="s">
        <v>1099</v>
      </c>
      <c r="E1" s="59" t="s">
        <v>14</v>
      </c>
      <c r="F1" s="88" t="s">
        <v>1100</v>
      </c>
      <c r="G1" s="4" t="s">
        <v>7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5.75" customHeight="1">
      <c r="A2" s="11">
        <v>1588.0</v>
      </c>
      <c r="B2" s="11" t="s">
        <v>42</v>
      </c>
      <c r="C2" s="13" t="s">
        <v>1101</v>
      </c>
      <c r="D2" s="14" t="s">
        <v>1102</v>
      </c>
      <c r="E2" s="69">
        <v>0.0</v>
      </c>
      <c r="F2" s="15" t="s">
        <v>1103</v>
      </c>
      <c r="G2" s="69">
        <v>0.0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>
      <c r="A3" s="11">
        <v>1588.0</v>
      </c>
      <c r="B3" s="11" t="s">
        <v>42</v>
      </c>
      <c r="C3" s="13" t="s">
        <v>1104</v>
      </c>
      <c r="D3" s="14" t="s">
        <v>1105</v>
      </c>
      <c r="E3" s="69">
        <v>0.0</v>
      </c>
      <c r="F3" s="15" t="s">
        <v>1103</v>
      </c>
      <c r="G3" s="69">
        <v>0.0</v>
      </c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11">
        <v>1588.0</v>
      </c>
      <c r="B4" s="11" t="s">
        <v>42</v>
      </c>
      <c r="C4" s="13" t="s">
        <v>1106</v>
      </c>
      <c r="D4" s="14" t="s">
        <v>1107</v>
      </c>
      <c r="E4" s="69">
        <v>0.0</v>
      </c>
      <c r="F4" s="15" t="s">
        <v>1103</v>
      </c>
      <c r="G4" s="69">
        <v>0.0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11">
        <v>1588.0</v>
      </c>
      <c r="B5" s="11" t="s">
        <v>42</v>
      </c>
      <c r="C5" s="13" t="s">
        <v>1108</v>
      </c>
      <c r="D5" s="14" t="s">
        <v>1109</v>
      </c>
      <c r="E5" s="69">
        <v>0.0</v>
      </c>
      <c r="F5" s="15" t="s">
        <v>1103</v>
      </c>
      <c r="G5" s="69">
        <v>0.0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>
      <c r="A6" s="11">
        <v>1588.0</v>
      </c>
      <c r="B6" s="11" t="s">
        <v>42</v>
      </c>
      <c r="C6" s="13" t="s">
        <v>1110</v>
      </c>
      <c r="D6" s="14" t="s">
        <v>1111</v>
      </c>
      <c r="E6" s="69">
        <v>0.0</v>
      </c>
      <c r="F6" s="15" t="s">
        <v>1103</v>
      </c>
      <c r="G6" s="69">
        <v>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75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75" customHeight="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7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5.75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5.75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5.75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5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5.7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5.7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5.7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8.13"/>
  </cols>
  <sheetData>
    <row r="1" ht="15.75" customHeight="1">
      <c r="A1" s="57" t="s">
        <v>0</v>
      </c>
      <c r="B1" s="57" t="s">
        <v>1</v>
      </c>
      <c r="C1" s="57" t="s">
        <v>1112</v>
      </c>
      <c r="D1" s="58" t="s">
        <v>1113</v>
      </c>
      <c r="E1" s="59" t="s">
        <v>7</v>
      </c>
      <c r="F1" s="58" t="s">
        <v>1114</v>
      </c>
      <c r="G1" s="59" t="s">
        <v>7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ht="15.75" customHeight="1">
      <c r="A2" s="11">
        <v>1588.0</v>
      </c>
      <c r="B2" s="11" t="s">
        <v>42</v>
      </c>
      <c r="C2" s="14" t="s">
        <v>1115</v>
      </c>
      <c r="D2" s="68" t="s">
        <v>1116</v>
      </c>
      <c r="E2" s="69">
        <v>1.0</v>
      </c>
      <c r="F2" s="68" t="s">
        <v>1117</v>
      </c>
      <c r="G2" s="69">
        <v>1.0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ht="15.75" customHeight="1">
      <c r="A3" s="11">
        <v>1588.0</v>
      </c>
      <c r="B3" s="11" t="s">
        <v>42</v>
      </c>
      <c r="C3" s="14" t="s">
        <v>1118</v>
      </c>
      <c r="D3" s="68" t="s">
        <v>1119</v>
      </c>
      <c r="E3" s="69">
        <v>1.0</v>
      </c>
      <c r="F3" s="68" t="s">
        <v>1120</v>
      </c>
      <c r="G3" s="69">
        <v>1.0</v>
      </c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</row>
    <row r="4" ht="15.75" customHeight="1">
      <c r="A4" s="11">
        <v>1588.0</v>
      </c>
      <c r="B4" s="11" t="s">
        <v>42</v>
      </c>
      <c r="C4" s="14" t="s">
        <v>1121</v>
      </c>
      <c r="D4" s="68" t="s">
        <v>1122</v>
      </c>
      <c r="E4" s="69">
        <v>1.0</v>
      </c>
      <c r="F4" s="68" t="s">
        <v>1123</v>
      </c>
      <c r="G4" s="69">
        <v>1.0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</row>
    <row r="5" ht="15.75" customHeight="1">
      <c r="A5" s="11">
        <v>1588.0</v>
      </c>
      <c r="B5" s="11" t="s">
        <v>42</v>
      </c>
      <c r="C5" s="14" t="s">
        <v>1124</v>
      </c>
      <c r="D5" s="68" t="s">
        <v>1125</v>
      </c>
      <c r="E5" s="69">
        <v>1.0</v>
      </c>
      <c r="F5" s="68" t="s">
        <v>1126</v>
      </c>
      <c r="G5" s="69">
        <v>1.0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</row>
    <row r="6" ht="15.75" customHeight="1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</row>
    <row r="7" ht="15.7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</row>
    <row r="8" ht="15.75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</row>
    <row r="9" ht="15.75" customHeight="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</row>
    <row r="10" ht="15.75" customHeight="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</row>
    <row r="11" ht="15.75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</row>
    <row r="12" ht="15.7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</row>
    <row r="13" ht="15.75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</row>
    <row r="14" ht="15.75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</row>
    <row r="15" ht="15.75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</row>
    <row r="16" ht="15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</row>
    <row r="17" ht="15.7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</row>
    <row r="18" ht="15.7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</row>
    <row r="19" ht="15.7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</row>
    <row r="20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</row>
    <row r="21" ht="1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</row>
    <row r="22" ht="15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</row>
    <row r="23" ht="15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</row>
    <row r="24" ht="1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</row>
    <row r="25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</row>
    <row r="26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</row>
    <row r="27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</row>
    <row r="28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</row>
    <row r="29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</row>
    <row r="30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</row>
    <row r="31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</row>
    <row r="32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</row>
    <row r="33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</row>
    <row r="34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</row>
    <row r="35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</row>
    <row r="3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</row>
    <row r="37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</row>
    <row r="38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</row>
    <row r="39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</row>
    <row r="4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</row>
    <row r="41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57" t="s">
        <v>0</v>
      </c>
      <c r="B1" s="57" t="s">
        <v>1</v>
      </c>
      <c r="C1" s="57" t="s">
        <v>2</v>
      </c>
      <c r="D1" s="57" t="s">
        <v>1127</v>
      </c>
      <c r="E1" s="57" t="s">
        <v>1128</v>
      </c>
      <c r="F1" s="58" t="s">
        <v>1129</v>
      </c>
      <c r="G1" s="59" t="s">
        <v>14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ht="15.75" customHeight="1">
      <c r="A2" s="11">
        <v>1588.0</v>
      </c>
      <c r="B2" s="11" t="s">
        <v>42</v>
      </c>
      <c r="C2" s="12" t="str">
        <f t="shared" ref="C2:C9" si="1">CONCATENATE(D2,"_",E2)</f>
        <v>HTR1_HOOTER_FIELD_1</v>
      </c>
      <c r="D2" s="11" t="s">
        <v>1130</v>
      </c>
      <c r="E2" s="13" t="s">
        <v>1131</v>
      </c>
      <c r="F2" s="68" t="s">
        <v>1132</v>
      </c>
      <c r="G2" s="69">
        <v>0.0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 ht="15.75" customHeight="1">
      <c r="A3" s="11">
        <v>1588.0</v>
      </c>
      <c r="B3" s="11" t="s">
        <v>42</v>
      </c>
      <c r="C3" s="12" t="str">
        <f t="shared" si="1"/>
        <v>HTR2_HOOTER_FIELD_2</v>
      </c>
      <c r="D3" s="11" t="s">
        <v>1133</v>
      </c>
      <c r="E3" s="13" t="s">
        <v>1134</v>
      </c>
      <c r="F3" s="68" t="s">
        <v>1135</v>
      </c>
      <c r="G3" s="69">
        <v>0.0</v>
      </c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ht="15.75" customHeight="1">
      <c r="A4" s="11">
        <v>1588.0</v>
      </c>
      <c r="B4" s="11" t="s">
        <v>42</v>
      </c>
      <c r="C4" s="12" t="str">
        <f t="shared" si="1"/>
        <v>HTR3_HOOTER_FIELD_3</v>
      </c>
      <c r="D4" s="11" t="s">
        <v>1136</v>
      </c>
      <c r="E4" s="13" t="s">
        <v>1137</v>
      </c>
      <c r="F4" s="68" t="s">
        <v>1138</v>
      </c>
      <c r="G4" s="69">
        <v>0.0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ht="15.75" customHeight="1">
      <c r="A5" s="11">
        <v>1588.0</v>
      </c>
      <c r="B5" s="11" t="s">
        <v>42</v>
      </c>
      <c r="C5" s="12" t="str">
        <f t="shared" si="1"/>
        <v>HTR4_HOOTER_FIELD_4</v>
      </c>
      <c r="D5" s="11" t="s">
        <v>1139</v>
      </c>
      <c r="E5" s="13" t="s">
        <v>1140</v>
      </c>
      <c r="F5" s="68" t="s">
        <v>1141</v>
      </c>
      <c r="G5" s="69">
        <v>0.0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ht="15.75" customHeight="1">
      <c r="A6" s="11">
        <v>1588.0</v>
      </c>
      <c r="B6" s="11" t="s">
        <v>42</v>
      </c>
      <c r="C6" s="12" t="str">
        <f t="shared" si="1"/>
        <v>HTR5_HOOTER_FIELD_5</v>
      </c>
      <c r="D6" s="11" t="s">
        <v>1142</v>
      </c>
      <c r="E6" s="13" t="s">
        <v>1143</v>
      </c>
      <c r="F6" s="68" t="s">
        <v>1144</v>
      </c>
      <c r="G6" s="69">
        <v>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ht="15.75" customHeight="1">
      <c r="A7" s="11">
        <v>1588.0</v>
      </c>
      <c r="B7" s="11" t="s">
        <v>42</v>
      </c>
      <c r="C7" s="12" t="str">
        <f t="shared" si="1"/>
        <v>HTR6_HOOTER_FIELD_6</v>
      </c>
      <c r="D7" s="11" t="s">
        <v>1145</v>
      </c>
      <c r="E7" s="13" t="s">
        <v>1146</v>
      </c>
      <c r="F7" s="68" t="s">
        <v>1147</v>
      </c>
      <c r="G7" s="69">
        <v>0.0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ht="15.75" customHeight="1">
      <c r="A8" s="11">
        <v>1588.0</v>
      </c>
      <c r="B8" s="11" t="s">
        <v>42</v>
      </c>
      <c r="C8" s="12" t="str">
        <f t="shared" si="1"/>
        <v>HTR7_HOOTER_FOR_SECURITY_ROOM</v>
      </c>
      <c r="D8" s="11" t="s">
        <v>1148</v>
      </c>
      <c r="E8" s="13" t="s">
        <v>1149</v>
      </c>
      <c r="F8" s="68" t="s">
        <v>1150</v>
      </c>
      <c r="G8" s="69">
        <v>0.0</v>
      </c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ht="15.75" customHeight="1">
      <c r="A9" s="11">
        <v>1588.0</v>
      </c>
      <c r="B9" s="11" t="s">
        <v>42</v>
      </c>
      <c r="C9" s="12" t="str">
        <f t="shared" si="1"/>
        <v>HTR8_HOOTER_RESET_STATUS</v>
      </c>
      <c r="D9" s="11" t="s">
        <v>1151</v>
      </c>
      <c r="E9" s="13" t="s">
        <v>1152</v>
      </c>
      <c r="F9" s="68" t="s">
        <v>1153</v>
      </c>
      <c r="G9" s="69">
        <v>0.0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ht="15.75" customHeight="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ht="15.75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ht="15.7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ht="15.75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ht="15.75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ht="15.75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ht="15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ht="15.7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ht="15.7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ht="15.7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ht="1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ht="15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ht="15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ht="1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8.75"/>
    <col customWidth="1" min="4" max="4" width="6.88"/>
    <col customWidth="1" min="5" max="5" width="11.25"/>
    <col customWidth="1" min="6" max="6" width="9.0"/>
    <col customWidth="1" min="7" max="7" width="27.75"/>
    <col customWidth="1" min="8" max="8" width="11.5"/>
    <col customWidth="1" min="9" max="9" width="36.25"/>
    <col customWidth="1" min="10" max="10" width="11.5"/>
    <col customWidth="1" min="11" max="11" width="14.75"/>
    <col customWidth="1" min="12" max="12" width="11.5"/>
    <col customWidth="1" min="13" max="13" width="16.5"/>
    <col customWidth="1" min="14" max="14" width="11.5"/>
    <col customWidth="1" min="15" max="15" width="25.75"/>
    <col customWidth="1" min="16" max="16" width="11.5"/>
    <col customWidth="1" min="17" max="17" width="24.63"/>
    <col customWidth="1" min="18" max="18" width="11.5"/>
    <col customWidth="1" min="19" max="19" width="21.63"/>
    <col customWidth="1" min="20" max="20" width="11.5"/>
    <col customWidth="1" min="21" max="21" width="13.75"/>
    <col customWidth="1" min="22" max="22" width="11.5"/>
    <col customWidth="1" min="23" max="23" width="23.5"/>
    <col customWidth="1" min="24" max="24" width="11.5"/>
    <col customWidth="1" min="25" max="25" width="12.5"/>
    <col customWidth="1" min="26" max="26" width="11.5"/>
    <col customWidth="1" min="27" max="27" width="29.25"/>
    <col customWidth="1" min="28" max="28" width="11.5"/>
    <col customWidth="1" min="29" max="29" width="27.63"/>
    <col customWidth="1" min="30" max="30" width="11.5"/>
    <col customWidth="1" min="31" max="31" width="24.5"/>
    <col customWidth="1" min="32" max="32" width="11.5"/>
  </cols>
  <sheetData>
    <row r="1">
      <c r="A1" s="89" t="s">
        <v>0</v>
      </c>
      <c r="B1" s="89" t="s">
        <v>1</v>
      </c>
      <c r="C1" s="89" t="s">
        <v>2</v>
      </c>
      <c r="D1" s="89" t="s">
        <v>1154</v>
      </c>
      <c r="E1" s="89" t="s">
        <v>1155</v>
      </c>
      <c r="F1" s="89" t="s">
        <v>1</v>
      </c>
      <c r="G1" s="90" t="s">
        <v>1156</v>
      </c>
      <c r="H1" s="91" t="s">
        <v>14</v>
      </c>
      <c r="I1" s="90" t="s">
        <v>1157</v>
      </c>
      <c r="J1" s="91" t="s">
        <v>14</v>
      </c>
      <c r="K1" s="92" t="s">
        <v>1158</v>
      </c>
      <c r="L1" s="91" t="s">
        <v>14</v>
      </c>
      <c r="M1" s="92" t="s">
        <v>1159</v>
      </c>
      <c r="N1" s="91" t="s">
        <v>14</v>
      </c>
      <c r="O1" s="92" t="s">
        <v>1160</v>
      </c>
      <c r="P1" s="91" t="s">
        <v>14</v>
      </c>
      <c r="Q1" s="92" t="s">
        <v>1161</v>
      </c>
      <c r="R1" s="91" t="s">
        <v>14</v>
      </c>
      <c r="S1" s="92" t="s">
        <v>1162</v>
      </c>
      <c r="T1" s="91" t="s">
        <v>14</v>
      </c>
      <c r="U1" s="92" t="s">
        <v>1163</v>
      </c>
      <c r="V1" s="91" t="s">
        <v>14</v>
      </c>
      <c r="W1" s="92" t="s">
        <v>1164</v>
      </c>
      <c r="X1" s="91" t="s">
        <v>14</v>
      </c>
      <c r="Y1" s="92" t="s">
        <v>1165</v>
      </c>
      <c r="Z1" s="91" t="s">
        <v>14</v>
      </c>
      <c r="AA1" s="92" t="s">
        <v>1166</v>
      </c>
      <c r="AB1" s="91" t="s">
        <v>14</v>
      </c>
      <c r="AC1" s="92" t="s">
        <v>1167</v>
      </c>
      <c r="AD1" s="91" t="s">
        <v>14</v>
      </c>
      <c r="AE1" s="92" t="s">
        <v>1168</v>
      </c>
      <c r="AF1" s="91" t="s">
        <v>14</v>
      </c>
    </row>
    <row r="2" ht="15.75" customHeight="1">
      <c r="A2" s="11">
        <v>1588.0</v>
      </c>
      <c r="B2" s="11" t="s">
        <v>42</v>
      </c>
      <c r="C2" s="12" t="str">
        <f t="shared" ref="C2:C31" si="1">CONCATENATE(D2,"_",F2)</f>
        <v>ESD-18_456</v>
      </c>
      <c r="D2" s="13" t="s">
        <v>1169</v>
      </c>
      <c r="E2" s="13" t="s">
        <v>1170</v>
      </c>
      <c r="F2" s="13">
        <v>456.0</v>
      </c>
      <c r="G2" s="68" t="s">
        <v>1171</v>
      </c>
      <c r="H2" s="69">
        <v>0.0</v>
      </c>
      <c r="I2" s="68" t="s">
        <v>1172</v>
      </c>
      <c r="J2" s="69">
        <v>0.0</v>
      </c>
      <c r="K2" s="15" t="s">
        <v>1173</v>
      </c>
      <c r="L2" s="69">
        <v>0.0</v>
      </c>
      <c r="M2" s="15" t="s">
        <v>1174</v>
      </c>
      <c r="N2" s="69">
        <v>0.0</v>
      </c>
      <c r="O2" s="15" t="s">
        <v>1175</v>
      </c>
      <c r="P2" s="69">
        <v>0.0</v>
      </c>
      <c r="Q2" s="15" t="s">
        <v>1176</v>
      </c>
      <c r="R2" s="69">
        <v>0.0</v>
      </c>
      <c r="S2" s="15" t="s">
        <v>1177</v>
      </c>
      <c r="T2" s="69">
        <v>0.0</v>
      </c>
      <c r="U2" s="15" t="s">
        <v>1178</v>
      </c>
      <c r="V2" s="69">
        <v>0.0</v>
      </c>
      <c r="W2" s="15" t="s">
        <v>1179</v>
      </c>
      <c r="X2" s="69">
        <v>0.0</v>
      </c>
      <c r="Y2" s="15" t="s">
        <v>1180</v>
      </c>
      <c r="Z2" s="69">
        <v>0.0</v>
      </c>
      <c r="AA2" s="15" t="s">
        <v>1181</v>
      </c>
      <c r="AB2" s="69">
        <v>0.0</v>
      </c>
      <c r="AC2" s="15" t="s">
        <v>1182</v>
      </c>
      <c r="AD2" s="69">
        <v>0.0</v>
      </c>
      <c r="AE2" s="15"/>
      <c r="AF2" s="14"/>
    </row>
    <row r="3" ht="15.75" customHeight="1">
      <c r="A3" s="11">
        <v>1588.0</v>
      </c>
      <c r="B3" s="11" t="s">
        <v>42</v>
      </c>
      <c r="C3" s="12" t="str">
        <f t="shared" si="1"/>
        <v>ESD-19_CONTROL ROOM</v>
      </c>
      <c r="D3" s="13" t="s">
        <v>1183</v>
      </c>
      <c r="E3" s="13" t="s">
        <v>1184</v>
      </c>
      <c r="F3" s="13" t="s">
        <v>1185</v>
      </c>
      <c r="G3" s="68" t="s">
        <v>1186</v>
      </c>
      <c r="H3" s="69">
        <v>0.0</v>
      </c>
      <c r="I3" s="68" t="s">
        <v>1187</v>
      </c>
      <c r="J3" s="69">
        <v>0.0</v>
      </c>
      <c r="K3" s="15" t="s">
        <v>1173</v>
      </c>
      <c r="L3" s="69">
        <v>0.0</v>
      </c>
      <c r="M3" s="15" t="s">
        <v>1174</v>
      </c>
      <c r="N3" s="69">
        <v>0.0</v>
      </c>
      <c r="O3" s="15" t="s">
        <v>1175</v>
      </c>
      <c r="P3" s="69">
        <v>0.0</v>
      </c>
      <c r="Q3" s="15" t="s">
        <v>1176</v>
      </c>
      <c r="R3" s="69">
        <v>0.0</v>
      </c>
      <c r="S3" s="15" t="s">
        <v>1177</v>
      </c>
      <c r="T3" s="69">
        <v>0.0</v>
      </c>
      <c r="U3" s="15" t="s">
        <v>1178</v>
      </c>
      <c r="V3" s="69">
        <v>0.0</v>
      </c>
      <c r="W3" s="15" t="s">
        <v>1179</v>
      </c>
      <c r="X3" s="69">
        <v>0.0</v>
      </c>
      <c r="Y3" s="15" t="s">
        <v>1180</v>
      </c>
      <c r="Z3" s="69">
        <v>0.0</v>
      </c>
      <c r="AA3" s="15" t="s">
        <v>1181</v>
      </c>
      <c r="AB3" s="69">
        <v>0.0</v>
      </c>
      <c r="AC3" s="15" t="s">
        <v>1182</v>
      </c>
      <c r="AD3" s="69">
        <v>0.0</v>
      </c>
      <c r="AE3" s="4"/>
      <c r="AF3" s="4"/>
    </row>
    <row r="4" ht="15.75" customHeight="1">
      <c r="A4" s="11">
        <v>1588.0</v>
      </c>
      <c r="B4" s="11" t="s">
        <v>42</v>
      </c>
      <c r="C4" s="12" t="str">
        <f t="shared" si="1"/>
        <v>ESD-20_TLF-1 WALKWAY</v>
      </c>
      <c r="D4" s="13" t="s">
        <v>1188</v>
      </c>
      <c r="E4" s="13" t="s">
        <v>1169</v>
      </c>
      <c r="F4" s="13" t="s">
        <v>1189</v>
      </c>
      <c r="G4" s="68" t="s">
        <v>1190</v>
      </c>
      <c r="H4" s="69">
        <v>0.0</v>
      </c>
      <c r="I4" s="68" t="s">
        <v>1191</v>
      </c>
      <c r="J4" s="69">
        <v>0.0</v>
      </c>
      <c r="K4" s="15" t="s">
        <v>1173</v>
      </c>
      <c r="L4" s="69">
        <v>0.0</v>
      </c>
      <c r="M4" s="15" t="s">
        <v>1174</v>
      </c>
      <c r="N4" s="69">
        <v>0.0</v>
      </c>
      <c r="O4" s="15" t="s">
        <v>1175</v>
      </c>
      <c r="P4" s="69">
        <v>0.0</v>
      </c>
      <c r="Q4" s="15" t="s">
        <v>1176</v>
      </c>
      <c r="R4" s="69">
        <v>0.0</v>
      </c>
      <c r="S4" s="15" t="s">
        <v>1177</v>
      </c>
      <c r="T4" s="69">
        <v>0.0</v>
      </c>
      <c r="U4" s="15" t="s">
        <v>1178</v>
      </c>
      <c r="V4" s="69">
        <v>0.0</v>
      </c>
      <c r="W4" s="15" t="s">
        <v>1179</v>
      </c>
      <c r="X4" s="69">
        <v>0.0</v>
      </c>
      <c r="Y4" s="15" t="s">
        <v>1180</v>
      </c>
      <c r="Z4" s="69">
        <v>0.0</v>
      </c>
      <c r="AA4" s="15" t="s">
        <v>1181</v>
      </c>
      <c r="AB4" s="69">
        <v>0.0</v>
      </c>
      <c r="AC4" s="15" t="s">
        <v>1182</v>
      </c>
      <c r="AD4" s="69">
        <v>0.0</v>
      </c>
      <c r="AE4" s="4"/>
      <c r="AF4" s="4"/>
    </row>
    <row r="5" ht="15.75" customHeight="1">
      <c r="A5" s="11">
        <v>1588.0</v>
      </c>
      <c r="B5" s="11" t="s">
        <v>42</v>
      </c>
      <c r="C5" s="12" t="str">
        <f t="shared" si="1"/>
        <v>ESD-21_TLF-1 BAY 05</v>
      </c>
      <c r="D5" s="13" t="s">
        <v>1192</v>
      </c>
      <c r="E5" s="13" t="s">
        <v>1183</v>
      </c>
      <c r="F5" s="13" t="s">
        <v>1193</v>
      </c>
      <c r="G5" s="68" t="s">
        <v>1194</v>
      </c>
      <c r="H5" s="69">
        <v>0.0</v>
      </c>
      <c r="I5" s="68" t="s">
        <v>1195</v>
      </c>
      <c r="J5" s="69">
        <v>0.0</v>
      </c>
      <c r="K5" s="15" t="s">
        <v>1173</v>
      </c>
      <c r="L5" s="69">
        <v>0.0</v>
      </c>
      <c r="M5" s="15" t="s">
        <v>1174</v>
      </c>
      <c r="N5" s="69">
        <v>0.0</v>
      </c>
      <c r="O5" s="15" t="s">
        <v>1175</v>
      </c>
      <c r="P5" s="69">
        <v>0.0</v>
      </c>
      <c r="Q5" s="15" t="s">
        <v>1176</v>
      </c>
      <c r="R5" s="69">
        <v>0.0</v>
      </c>
      <c r="S5" s="15" t="s">
        <v>1177</v>
      </c>
      <c r="T5" s="69">
        <v>0.0</v>
      </c>
      <c r="U5" s="15" t="s">
        <v>1178</v>
      </c>
      <c r="V5" s="69">
        <v>0.0</v>
      </c>
      <c r="W5" s="15" t="s">
        <v>1179</v>
      </c>
      <c r="X5" s="69">
        <v>0.0</v>
      </c>
      <c r="Y5" s="15" t="s">
        <v>1180</v>
      </c>
      <c r="Z5" s="69">
        <v>0.0</v>
      </c>
      <c r="AA5" s="15" t="s">
        <v>1181</v>
      </c>
      <c r="AB5" s="69">
        <v>0.0</v>
      </c>
      <c r="AC5" s="15" t="s">
        <v>1182</v>
      </c>
      <c r="AD5" s="69">
        <v>0.0</v>
      </c>
      <c r="AE5" s="4"/>
      <c r="AF5" s="4"/>
    </row>
    <row r="6" ht="15.75" customHeight="1">
      <c r="A6" s="11">
        <v>1588.0</v>
      </c>
      <c r="B6" s="11" t="s">
        <v>42</v>
      </c>
      <c r="C6" s="12" t="str">
        <f t="shared" si="1"/>
        <v>ESD-22_TLF-2 BAY 12</v>
      </c>
      <c r="D6" s="13" t="s">
        <v>1196</v>
      </c>
      <c r="E6" s="13" t="s">
        <v>1192</v>
      </c>
      <c r="F6" s="13" t="s">
        <v>1197</v>
      </c>
      <c r="G6" s="68" t="s">
        <v>1198</v>
      </c>
      <c r="H6" s="69">
        <v>0.0</v>
      </c>
      <c r="I6" s="68" t="s">
        <v>1199</v>
      </c>
      <c r="J6" s="69">
        <v>0.0</v>
      </c>
      <c r="K6" s="15" t="s">
        <v>1173</v>
      </c>
      <c r="L6" s="69">
        <v>0.0</v>
      </c>
      <c r="M6" s="15" t="s">
        <v>1174</v>
      </c>
      <c r="N6" s="69">
        <v>0.0</v>
      </c>
      <c r="O6" s="15" t="s">
        <v>1175</v>
      </c>
      <c r="P6" s="69">
        <v>0.0</v>
      </c>
      <c r="Q6" s="15" t="s">
        <v>1176</v>
      </c>
      <c r="R6" s="69">
        <v>0.0</v>
      </c>
      <c r="S6" s="15" t="s">
        <v>1177</v>
      </c>
      <c r="T6" s="69">
        <v>0.0</v>
      </c>
      <c r="U6" s="15" t="s">
        <v>1178</v>
      </c>
      <c r="V6" s="69">
        <v>0.0</v>
      </c>
      <c r="W6" s="15" t="s">
        <v>1179</v>
      </c>
      <c r="X6" s="69">
        <v>0.0</v>
      </c>
      <c r="Y6" s="15" t="s">
        <v>1180</v>
      </c>
      <c r="Z6" s="69">
        <v>0.0</v>
      </c>
      <c r="AA6" s="15" t="s">
        <v>1181</v>
      </c>
      <c r="AB6" s="69">
        <v>0.0</v>
      </c>
      <c r="AC6" s="15" t="s">
        <v>1182</v>
      </c>
      <c r="AD6" s="69">
        <v>0.0</v>
      </c>
      <c r="AE6" s="4"/>
      <c r="AF6" s="4"/>
    </row>
    <row r="7" ht="15.75" customHeight="1">
      <c r="A7" s="11">
        <v>1588.0</v>
      </c>
      <c r="B7" s="11" t="s">
        <v>42</v>
      </c>
      <c r="C7" s="12" t="str">
        <f t="shared" si="1"/>
        <v>ESD-23_TLF-2 WALKWAY</v>
      </c>
      <c r="D7" s="13" t="s">
        <v>1200</v>
      </c>
      <c r="E7" s="13" t="s">
        <v>1188</v>
      </c>
      <c r="F7" s="13" t="s">
        <v>1201</v>
      </c>
      <c r="G7" s="68" t="s">
        <v>1202</v>
      </c>
      <c r="H7" s="69">
        <v>0.0</v>
      </c>
      <c r="I7" s="68" t="s">
        <v>1203</v>
      </c>
      <c r="J7" s="69">
        <v>0.0</v>
      </c>
      <c r="K7" s="15" t="s">
        <v>1173</v>
      </c>
      <c r="L7" s="69">
        <v>0.0</v>
      </c>
      <c r="M7" s="15" t="s">
        <v>1174</v>
      </c>
      <c r="N7" s="69">
        <v>0.0</v>
      </c>
      <c r="O7" s="15" t="s">
        <v>1175</v>
      </c>
      <c r="P7" s="69">
        <v>0.0</v>
      </c>
      <c r="Q7" s="15" t="s">
        <v>1176</v>
      </c>
      <c r="R7" s="69">
        <v>0.0</v>
      </c>
      <c r="S7" s="15" t="s">
        <v>1177</v>
      </c>
      <c r="T7" s="69">
        <v>0.0</v>
      </c>
      <c r="U7" s="15" t="s">
        <v>1178</v>
      </c>
      <c r="V7" s="69">
        <v>0.0</v>
      </c>
      <c r="W7" s="15" t="s">
        <v>1179</v>
      </c>
      <c r="X7" s="69">
        <v>0.0</v>
      </c>
      <c r="Y7" s="15" t="s">
        <v>1180</v>
      </c>
      <c r="Z7" s="69">
        <v>0.0</v>
      </c>
      <c r="AA7" s="15" t="s">
        <v>1181</v>
      </c>
      <c r="AB7" s="69">
        <v>0.0</v>
      </c>
      <c r="AC7" s="15" t="s">
        <v>1182</v>
      </c>
      <c r="AD7" s="69">
        <v>0.0</v>
      </c>
      <c r="AE7" s="4"/>
      <c r="AF7" s="4"/>
    </row>
    <row r="8" ht="15.75" customHeight="1">
      <c r="A8" s="11">
        <v>1588.0</v>
      </c>
      <c r="B8" s="11" t="s">
        <v>42</v>
      </c>
      <c r="C8" s="12" t="str">
        <f t="shared" si="1"/>
        <v>ESD-24_NEW PUMP HOUSE 2</v>
      </c>
      <c r="D8" s="13" t="s">
        <v>1204</v>
      </c>
      <c r="E8" s="13" t="s">
        <v>1204</v>
      </c>
      <c r="F8" s="13" t="s">
        <v>1205</v>
      </c>
      <c r="G8" s="68" t="s">
        <v>1206</v>
      </c>
      <c r="H8" s="69">
        <v>0.0</v>
      </c>
      <c r="I8" s="68" t="s">
        <v>1207</v>
      </c>
      <c r="J8" s="69">
        <v>0.0</v>
      </c>
      <c r="K8" s="15" t="s">
        <v>1173</v>
      </c>
      <c r="L8" s="69">
        <v>0.0</v>
      </c>
      <c r="M8" s="15" t="s">
        <v>1174</v>
      </c>
      <c r="N8" s="69">
        <v>0.0</v>
      </c>
      <c r="O8" s="15" t="s">
        <v>1175</v>
      </c>
      <c r="P8" s="69">
        <v>0.0</v>
      </c>
      <c r="Q8" s="15" t="s">
        <v>1176</v>
      </c>
      <c r="R8" s="69">
        <v>0.0</v>
      </c>
      <c r="S8" s="15" t="s">
        <v>1177</v>
      </c>
      <c r="T8" s="69">
        <v>0.0</v>
      </c>
      <c r="U8" s="15" t="s">
        <v>1178</v>
      </c>
      <c r="V8" s="69">
        <v>0.0</v>
      </c>
      <c r="W8" s="15" t="s">
        <v>1179</v>
      </c>
      <c r="X8" s="69">
        <v>0.0</v>
      </c>
      <c r="Y8" s="15" t="s">
        <v>1180</v>
      </c>
      <c r="Z8" s="69">
        <v>0.0</v>
      </c>
      <c r="AA8" s="15" t="s">
        <v>1181</v>
      </c>
      <c r="AB8" s="69">
        <v>0.0</v>
      </c>
      <c r="AC8" s="15" t="s">
        <v>1182</v>
      </c>
      <c r="AD8" s="69">
        <v>0.0</v>
      </c>
      <c r="AE8" s="4"/>
      <c r="AF8" s="4"/>
    </row>
    <row r="9" ht="15.75" customHeight="1">
      <c r="A9" s="11">
        <v>1588.0</v>
      </c>
      <c r="B9" s="11" t="s">
        <v>42</v>
      </c>
      <c r="C9" s="12" t="str">
        <f t="shared" si="1"/>
        <v>ESD-25_NEW PUMP HOUSE 1</v>
      </c>
      <c r="D9" s="13" t="s">
        <v>1208</v>
      </c>
      <c r="E9" s="13" t="s">
        <v>1208</v>
      </c>
      <c r="F9" s="13" t="s">
        <v>1209</v>
      </c>
      <c r="G9" s="68" t="s">
        <v>1210</v>
      </c>
      <c r="H9" s="69">
        <v>0.0</v>
      </c>
      <c r="I9" s="68" t="s">
        <v>1211</v>
      </c>
      <c r="J9" s="69">
        <v>0.0</v>
      </c>
      <c r="K9" s="15" t="s">
        <v>1173</v>
      </c>
      <c r="L9" s="69">
        <v>0.0</v>
      </c>
      <c r="M9" s="15" t="s">
        <v>1174</v>
      </c>
      <c r="N9" s="69">
        <v>0.0</v>
      </c>
      <c r="O9" s="15" t="s">
        <v>1175</v>
      </c>
      <c r="P9" s="69">
        <v>0.0</v>
      </c>
      <c r="Q9" s="15" t="s">
        <v>1176</v>
      </c>
      <c r="R9" s="69">
        <v>0.0</v>
      </c>
      <c r="S9" s="15" t="s">
        <v>1177</v>
      </c>
      <c r="T9" s="69">
        <v>0.0</v>
      </c>
      <c r="U9" s="15" t="s">
        <v>1178</v>
      </c>
      <c r="V9" s="69">
        <v>0.0</v>
      </c>
      <c r="W9" s="15" t="s">
        <v>1179</v>
      </c>
      <c r="X9" s="69">
        <v>0.0</v>
      </c>
      <c r="Y9" s="15" t="s">
        <v>1180</v>
      </c>
      <c r="Z9" s="69">
        <v>0.0</v>
      </c>
      <c r="AA9" s="15" t="s">
        <v>1181</v>
      </c>
      <c r="AB9" s="69">
        <v>0.0</v>
      </c>
      <c r="AC9" s="15" t="s">
        <v>1182</v>
      </c>
      <c r="AD9" s="69">
        <v>0.0</v>
      </c>
      <c r="AE9" s="4"/>
      <c r="AF9" s="4"/>
    </row>
    <row r="10" ht="15.75" customHeight="1">
      <c r="A10" s="11">
        <v>1588.0</v>
      </c>
      <c r="B10" s="11" t="s">
        <v>42</v>
      </c>
      <c r="C10" s="12" t="str">
        <f t="shared" si="1"/>
        <v>ESD-26_NEW UG TANK FARM</v>
      </c>
      <c r="D10" s="13" t="s">
        <v>1212</v>
      </c>
      <c r="E10" s="13" t="s">
        <v>1212</v>
      </c>
      <c r="F10" s="13" t="s">
        <v>1213</v>
      </c>
      <c r="G10" s="68" t="s">
        <v>1214</v>
      </c>
      <c r="H10" s="69">
        <v>0.0</v>
      </c>
      <c r="I10" s="68" t="s">
        <v>1215</v>
      </c>
      <c r="J10" s="69">
        <v>0.0</v>
      </c>
      <c r="K10" s="15" t="s">
        <v>1173</v>
      </c>
      <c r="L10" s="69">
        <v>0.0</v>
      </c>
      <c r="M10" s="15" t="s">
        <v>1174</v>
      </c>
      <c r="N10" s="69">
        <v>0.0</v>
      </c>
      <c r="O10" s="15" t="s">
        <v>1175</v>
      </c>
      <c r="P10" s="69">
        <v>0.0</v>
      </c>
      <c r="Q10" s="15" t="s">
        <v>1176</v>
      </c>
      <c r="R10" s="69">
        <v>0.0</v>
      </c>
      <c r="S10" s="15" t="s">
        <v>1177</v>
      </c>
      <c r="T10" s="69">
        <v>0.0</v>
      </c>
      <c r="U10" s="15" t="s">
        <v>1178</v>
      </c>
      <c r="V10" s="69">
        <v>0.0</v>
      </c>
      <c r="W10" s="15" t="s">
        <v>1179</v>
      </c>
      <c r="X10" s="69">
        <v>0.0</v>
      </c>
      <c r="Y10" s="15" t="s">
        <v>1180</v>
      </c>
      <c r="Z10" s="69">
        <v>0.0</v>
      </c>
      <c r="AA10" s="15" t="s">
        <v>1181</v>
      </c>
      <c r="AB10" s="69">
        <v>0.0</v>
      </c>
      <c r="AC10" s="15" t="s">
        <v>1182</v>
      </c>
      <c r="AD10" s="69">
        <v>0.0</v>
      </c>
      <c r="AE10" s="4"/>
      <c r="AF10" s="4"/>
    </row>
    <row r="11" ht="15.75" customHeight="1">
      <c r="A11" s="11">
        <v>1588.0</v>
      </c>
      <c r="B11" s="11" t="s">
        <v>42</v>
      </c>
      <c r="C11" s="12" t="str">
        <f t="shared" si="1"/>
        <v>ESD-27_TLF-3 WALKWAY</v>
      </c>
      <c r="D11" s="13" t="s">
        <v>1216</v>
      </c>
      <c r="E11" s="13" t="s">
        <v>1196</v>
      </c>
      <c r="F11" s="13" t="s">
        <v>1217</v>
      </c>
      <c r="G11" s="68" t="s">
        <v>1218</v>
      </c>
      <c r="H11" s="69">
        <v>0.0</v>
      </c>
      <c r="I11" s="68" t="s">
        <v>1219</v>
      </c>
      <c r="J11" s="69">
        <v>0.0</v>
      </c>
      <c r="K11" s="15" t="s">
        <v>1173</v>
      </c>
      <c r="L11" s="69">
        <v>0.0</v>
      </c>
      <c r="M11" s="15" t="s">
        <v>1174</v>
      </c>
      <c r="N11" s="69">
        <v>0.0</v>
      </c>
      <c r="O11" s="15" t="s">
        <v>1175</v>
      </c>
      <c r="P11" s="69">
        <v>0.0</v>
      </c>
      <c r="Q11" s="15" t="s">
        <v>1176</v>
      </c>
      <c r="R11" s="69">
        <v>0.0</v>
      </c>
      <c r="S11" s="15" t="s">
        <v>1177</v>
      </c>
      <c r="T11" s="69">
        <v>0.0</v>
      </c>
      <c r="U11" s="15" t="s">
        <v>1178</v>
      </c>
      <c r="V11" s="69">
        <v>0.0</v>
      </c>
      <c r="W11" s="15" t="s">
        <v>1179</v>
      </c>
      <c r="X11" s="69">
        <v>0.0</v>
      </c>
      <c r="Y11" s="15" t="s">
        <v>1180</v>
      </c>
      <c r="Z11" s="69">
        <v>0.0</v>
      </c>
      <c r="AA11" s="15" t="s">
        <v>1181</v>
      </c>
      <c r="AB11" s="69">
        <v>0.0</v>
      </c>
      <c r="AC11" s="15" t="s">
        <v>1182</v>
      </c>
      <c r="AD11" s="69">
        <v>0.0</v>
      </c>
      <c r="AE11" s="4"/>
      <c r="AF11" s="4"/>
    </row>
    <row r="12" ht="15.75" customHeight="1">
      <c r="A12" s="11">
        <v>1588.0</v>
      </c>
      <c r="B12" s="11" t="s">
        <v>42</v>
      </c>
      <c r="C12" s="12" t="str">
        <f t="shared" si="1"/>
        <v>ESD-28_TLF-3 BAY 18</v>
      </c>
      <c r="D12" s="13" t="s">
        <v>1220</v>
      </c>
      <c r="E12" s="13" t="s">
        <v>1200</v>
      </c>
      <c r="F12" s="13" t="s">
        <v>1221</v>
      </c>
      <c r="G12" s="68" t="s">
        <v>1222</v>
      </c>
      <c r="H12" s="69">
        <v>0.0</v>
      </c>
      <c r="I12" s="68" t="s">
        <v>1223</v>
      </c>
      <c r="J12" s="69">
        <v>0.0</v>
      </c>
      <c r="K12" s="15" t="s">
        <v>1173</v>
      </c>
      <c r="L12" s="69">
        <v>0.0</v>
      </c>
      <c r="M12" s="15" t="s">
        <v>1174</v>
      </c>
      <c r="N12" s="69">
        <v>0.0</v>
      </c>
      <c r="O12" s="15" t="s">
        <v>1175</v>
      </c>
      <c r="P12" s="69">
        <v>0.0</v>
      </c>
      <c r="Q12" s="15" t="s">
        <v>1176</v>
      </c>
      <c r="R12" s="69">
        <v>0.0</v>
      </c>
      <c r="S12" s="15" t="s">
        <v>1177</v>
      </c>
      <c r="T12" s="69">
        <v>0.0</v>
      </c>
      <c r="U12" s="15" t="s">
        <v>1178</v>
      </c>
      <c r="V12" s="69">
        <v>0.0</v>
      </c>
      <c r="W12" s="15" t="s">
        <v>1179</v>
      </c>
      <c r="X12" s="69">
        <v>0.0</v>
      </c>
      <c r="Y12" s="15" t="s">
        <v>1180</v>
      </c>
      <c r="Z12" s="69">
        <v>0.0</v>
      </c>
      <c r="AA12" s="15" t="s">
        <v>1181</v>
      </c>
      <c r="AB12" s="69">
        <v>0.0</v>
      </c>
      <c r="AC12" s="15" t="s">
        <v>1182</v>
      </c>
      <c r="AD12" s="69">
        <v>0.0</v>
      </c>
      <c r="AE12" s="4"/>
      <c r="AF12" s="4"/>
    </row>
    <row r="13" ht="15.75" customHeight="1">
      <c r="A13" s="11">
        <v>1588.0</v>
      </c>
      <c r="B13" s="11" t="s">
        <v>42</v>
      </c>
      <c r="C13" s="12" t="str">
        <f t="shared" si="1"/>
        <v>ESD-401_OLD PUMP HOUSE</v>
      </c>
      <c r="D13" s="13" t="s">
        <v>1224</v>
      </c>
      <c r="E13" s="13" t="s">
        <v>1225</v>
      </c>
      <c r="F13" s="13" t="s">
        <v>1001</v>
      </c>
      <c r="G13" s="68" t="s">
        <v>1226</v>
      </c>
      <c r="H13" s="69">
        <v>0.0</v>
      </c>
      <c r="I13" s="68" t="s">
        <v>1227</v>
      </c>
      <c r="J13" s="69">
        <v>0.0</v>
      </c>
      <c r="K13" s="15" t="s">
        <v>1173</v>
      </c>
      <c r="L13" s="69">
        <v>0.0</v>
      </c>
      <c r="M13" s="15" t="s">
        <v>1174</v>
      </c>
      <c r="N13" s="69">
        <v>0.0</v>
      </c>
      <c r="O13" s="15" t="s">
        <v>1175</v>
      </c>
      <c r="P13" s="69">
        <v>0.0</v>
      </c>
      <c r="Q13" s="15" t="s">
        <v>1176</v>
      </c>
      <c r="R13" s="69">
        <v>0.0</v>
      </c>
      <c r="S13" s="15" t="s">
        <v>1177</v>
      </c>
      <c r="T13" s="69">
        <v>0.0</v>
      </c>
      <c r="U13" s="15" t="s">
        <v>1178</v>
      </c>
      <c r="V13" s="69">
        <v>0.0</v>
      </c>
      <c r="W13" s="15" t="s">
        <v>1179</v>
      </c>
      <c r="X13" s="69">
        <v>0.0</v>
      </c>
      <c r="Y13" s="15" t="s">
        <v>1180</v>
      </c>
      <c r="Z13" s="69">
        <v>0.0</v>
      </c>
      <c r="AA13" s="15" t="s">
        <v>1181</v>
      </c>
      <c r="AB13" s="69">
        <v>0.0</v>
      </c>
      <c r="AC13" s="15" t="s">
        <v>1182</v>
      </c>
      <c r="AD13" s="69">
        <v>0.0</v>
      </c>
      <c r="AE13" s="4"/>
      <c r="AF13" s="4"/>
    </row>
    <row r="14" ht="15.75" customHeight="1">
      <c r="A14" s="11">
        <v>1588.0</v>
      </c>
      <c r="B14" s="11" t="s">
        <v>42</v>
      </c>
      <c r="C14" s="12" t="str">
        <f t="shared" si="1"/>
        <v>ESD-404_TT OUT GATE</v>
      </c>
      <c r="D14" s="13" t="s">
        <v>1228</v>
      </c>
      <c r="E14" s="13" t="s">
        <v>1229</v>
      </c>
      <c r="F14" s="13" t="s">
        <v>1230</v>
      </c>
      <c r="G14" s="68" t="s">
        <v>1231</v>
      </c>
      <c r="H14" s="69">
        <v>0.0</v>
      </c>
      <c r="I14" s="68" t="s">
        <v>1232</v>
      </c>
      <c r="J14" s="69">
        <v>0.0</v>
      </c>
      <c r="K14" s="15" t="s">
        <v>1173</v>
      </c>
      <c r="L14" s="69">
        <v>0.0</v>
      </c>
      <c r="M14" s="15" t="s">
        <v>1174</v>
      </c>
      <c r="N14" s="69">
        <v>0.0</v>
      </c>
      <c r="O14" s="15" t="s">
        <v>1175</v>
      </c>
      <c r="P14" s="69">
        <v>0.0</v>
      </c>
      <c r="Q14" s="15" t="s">
        <v>1176</v>
      </c>
      <c r="R14" s="69">
        <v>0.0</v>
      </c>
      <c r="S14" s="15" t="s">
        <v>1177</v>
      </c>
      <c r="T14" s="69">
        <v>0.0</v>
      </c>
      <c r="U14" s="15" t="s">
        <v>1178</v>
      </c>
      <c r="V14" s="69">
        <v>0.0</v>
      </c>
      <c r="W14" s="15" t="s">
        <v>1179</v>
      </c>
      <c r="X14" s="69">
        <v>0.0</v>
      </c>
      <c r="Y14" s="15" t="s">
        <v>1180</v>
      </c>
      <c r="Z14" s="69">
        <v>0.0</v>
      </c>
      <c r="AA14" s="15" t="s">
        <v>1181</v>
      </c>
      <c r="AB14" s="69">
        <v>0.0</v>
      </c>
      <c r="AC14" s="15" t="s">
        <v>1182</v>
      </c>
      <c r="AD14" s="69">
        <v>0.0</v>
      </c>
      <c r="AE14" s="4"/>
      <c r="AF14" s="4"/>
    </row>
    <row r="15" ht="15.75" customHeight="1">
      <c r="A15" s="11">
        <v>1588.0</v>
      </c>
      <c r="B15" s="11" t="s">
        <v>42</v>
      </c>
      <c r="C15" s="12" t="str">
        <f t="shared" si="1"/>
        <v>ESD-405_QC LAB</v>
      </c>
      <c r="D15" s="13" t="s">
        <v>1233</v>
      </c>
      <c r="E15" s="13" t="s">
        <v>1234</v>
      </c>
      <c r="F15" s="13" t="s">
        <v>1235</v>
      </c>
      <c r="G15" s="68" t="s">
        <v>1236</v>
      </c>
      <c r="H15" s="69">
        <v>0.0</v>
      </c>
      <c r="I15" s="68" t="s">
        <v>1237</v>
      </c>
      <c r="J15" s="69">
        <v>0.0</v>
      </c>
      <c r="K15" s="15" t="s">
        <v>1173</v>
      </c>
      <c r="L15" s="69">
        <v>0.0</v>
      </c>
      <c r="M15" s="15" t="s">
        <v>1174</v>
      </c>
      <c r="N15" s="69">
        <v>0.0</v>
      </c>
      <c r="O15" s="15" t="s">
        <v>1175</v>
      </c>
      <c r="P15" s="69">
        <v>0.0</v>
      </c>
      <c r="Q15" s="15" t="s">
        <v>1176</v>
      </c>
      <c r="R15" s="69">
        <v>0.0</v>
      </c>
      <c r="S15" s="15" t="s">
        <v>1177</v>
      </c>
      <c r="T15" s="69">
        <v>0.0</v>
      </c>
      <c r="U15" s="15" t="s">
        <v>1178</v>
      </c>
      <c r="V15" s="69">
        <v>0.0</v>
      </c>
      <c r="W15" s="15" t="s">
        <v>1179</v>
      </c>
      <c r="X15" s="69">
        <v>0.0</v>
      </c>
      <c r="Y15" s="15" t="s">
        <v>1180</v>
      </c>
      <c r="Z15" s="69">
        <v>0.0</v>
      </c>
      <c r="AA15" s="15" t="s">
        <v>1181</v>
      </c>
      <c r="AB15" s="69">
        <v>0.0</v>
      </c>
      <c r="AC15" s="15" t="s">
        <v>1182</v>
      </c>
      <c r="AD15" s="69">
        <v>0.0</v>
      </c>
      <c r="AE15" s="4"/>
      <c r="AF15" s="4"/>
    </row>
    <row r="16" ht="15.75" customHeight="1">
      <c r="A16" s="11">
        <v>1588.0</v>
      </c>
      <c r="B16" s="11" t="s">
        <v>42</v>
      </c>
      <c r="C16" s="12" t="str">
        <f t="shared" si="1"/>
        <v>ESD-406_NEAR MPSPL PATHWAY</v>
      </c>
      <c r="D16" s="13" t="s">
        <v>1238</v>
      </c>
      <c r="E16" s="13" t="s">
        <v>1239</v>
      </c>
      <c r="F16" s="13" t="s">
        <v>1240</v>
      </c>
      <c r="G16" s="68" t="s">
        <v>1241</v>
      </c>
      <c r="H16" s="69">
        <v>0.0</v>
      </c>
      <c r="I16" s="68" t="s">
        <v>1242</v>
      </c>
      <c r="J16" s="69">
        <v>0.0</v>
      </c>
      <c r="K16" s="15" t="s">
        <v>1173</v>
      </c>
      <c r="L16" s="69">
        <v>0.0</v>
      </c>
      <c r="M16" s="15" t="s">
        <v>1174</v>
      </c>
      <c r="N16" s="69">
        <v>0.0</v>
      </c>
      <c r="O16" s="15" t="s">
        <v>1175</v>
      </c>
      <c r="P16" s="69">
        <v>0.0</v>
      </c>
      <c r="Q16" s="15" t="s">
        <v>1176</v>
      </c>
      <c r="R16" s="69">
        <v>0.0</v>
      </c>
      <c r="S16" s="15" t="s">
        <v>1177</v>
      </c>
      <c r="T16" s="69">
        <v>0.0</v>
      </c>
      <c r="U16" s="15" t="s">
        <v>1178</v>
      </c>
      <c r="V16" s="69">
        <v>0.0</v>
      </c>
      <c r="W16" s="15" t="s">
        <v>1179</v>
      </c>
      <c r="X16" s="69">
        <v>0.0</v>
      </c>
      <c r="Y16" s="15" t="s">
        <v>1180</v>
      </c>
      <c r="Z16" s="69">
        <v>0.0</v>
      </c>
      <c r="AA16" s="15" t="s">
        <v>1181</v>
      </c>
      <c r="AB16" s="69">
        <v>0.0</v>
      </c>
      <c r="AC16" s="15" t="s">
        <v>1182</v>
      </c>
      <c r="AD16" s="69">
        <v>0.0</v>
      </c>
      <c r="AE16" s="4"/>
      <c r="AF16" s="4"/>
    </row>
    <row r="17" ht="15.75" customHeight="1">
      <c r="A17" s="11">
        <v>1588.0</v>
      </c>
      <c r="B17" s="11" t="s">
        <v>42</v>
      </c>
      <c r="C17" s="12" t="str">
        <f t="shared" si="1"/>
        <v>ESD-407_NEAR OLD MCC</v>
      </c>
      <c r="D17" s="13" t="s">
        <v>1243</v>
      </c>
      <c r="E17" s="13" t="s">
        <v>1244</v>
      </c>
      <c r="F17" s="13" t="s">
        <v>1245</v>
      </c>
      <c r="G17" s="68" t="s">
        <v>1246</v>
      </c>
      <c r="H17" s="69">
        <v>0.0</v>
      </c>
      <c r="I17" s="68" t="s">
        <v>1247</v>
      </c>
      <c r="J17" s="69">
        <v>0.0</v>
      </c>
      <c r="K17" s="15" t="s">
        <v>1173</v>
      </c>
      <c r="L17" s="69">
        <v>0.0</v>
      </c>
      <c r="M17" s="15" t="s">
        <v>1174</v>
      </c>
      <c r="N17" s="69">
        <v>0.0</v>
      </c>
      <c r="O17" s="15" t="s">
        <v>1175</v>
      </c>
      <c r="P17" s="69">
        <v>0.0</v>
      </c>
      <c r="Q17" s="15" t="s">
        <v>1176</v>
      </c>
      <c r="R17" s="69">
        <v>0.0</v>
      </c>
      <c r="S17" s="15" t="s">
        <v>1177</v>
      </c>
      <c r="T17" s="69">
        <v>0.0</v>
      </c>
      <c r="U17" s="15" t="s">
        <v>1178</v>
      </c>
      <c r="V17" s="69">
        <v>0.0</v>
      </c>
      <c r="W17" s="15" t="s">
        <v>1179</v>
      </c>
      <c r="X17" s="69">
        <v>0.0</v>
      </c>
      <c r="Y17" s="15" t="s">
        <v>1180</v>
      </c>
      <c r="Z17" s="69">
        <v>0.0</v>
      </c>
      <c r="AA17" s="15" t="s">
        <v>1181</v>
      </c>
      <c r="AB17" s="69">
        <v>0.0</v>
      </c>
      <c r="AC17" s="15" t="s">
        <v>1182</v>
      </c>
      <c r="AD17" s="69">
        <v>0.0</v>
      </c>
      <c r="AE17" s="4"/>
      <c r="AF17" s="4"/>
    </row>
    <row r="18" ht="15.75" customHeight="1">
      <c r="A18" s="11">
        <v>1588.0</v>
      </c>
      <c r="B18" s="11" t="s">
        <v>42</v>
      </c>
      <c r="C18" s="12" t="str">
        <f t="shared" si="1"/>
        <v>ESD-408_MPSPL PUMP HOUSE</v>
      </c>
      <c r="D18" s="13" t="s">
        <v>1248</v>
      </c>
      <c r="E18" s="13" t="s">
        <v>1249</v>
      </c>
      <c r="F18" s="13" t="s">
        <v>1250</v>
      </c>
      <c r="G18" s="68" t="s">
        <v>1251</v>
      </c>
      <c r="H18" s="69">
        <v>0.0</v>
      </c>
      <c r="I18" s="68" t="s">
        <v>1252</v>
      </c>
      <c r="J18" s="69">
        <v>0.0</v>
      </c>
      <c r="K18" s="15" t="s">
        <v>1173</v>
      </c>
      <c r="L18" s="69">
        <v>0.0</v>
      </c>
      <c r="M18" s="15" t="s">
        <v>1174</v>
      </c>
      <c r="N18" s="69">
        <v>0.0</v>
      </c>
      <c r="O18" s="15" t="s">
        <v>1175</v>
      </c>
      <c r="P18" s="69">
        <v>0.0</v>
      </c>
      <c r="Q18" s="15" t="s">
        <v>1176</v>
      </c>
      <c r="R18" s="69">
        <v>0.0</v>
      </c>
      <c r="S18" s="15" t="s">
        <v>1177</v>
      </c>
      <c r="T18" s="69">
        <v>0.0</v>
      </c>
      <c r="U18" s="15" t="s">
        <v>1178</v>
      </c>
      <c r="V18" s="69">
        <v>0.0</v>
      </c>
      <c r="W18" s="15" t="s">
        <v>1179</v>
      </c>
      <c r="X18" s="69">
        <v>0.0</v>
      </c>
      <c r="Y18" s="15" t="s">
        <v>1180</v>
      </c>
      <c r="Z18" s="69">
        <v>0.0</v>
      </c>
      <c r="AA18" s="15" t="s">
        <v>1181</v>
      </c>
      <c r="AB18" s="69">
        <v>0.0</v>
      </c>
      <c r="AC18" s="15" t="s">
        <v>1182</v>
      </c>
      <c r="AD18" s="69">
        <v>0.0</v>
      </c>
      <c r="AE18" s="4"/>
      <c r="AF18" s="4"/>
    </row>
    <row r="19" ht="15.75" customHeight="1">
      <c r="A19" s="11">
        <v>1588.0</v>
      </c>
      <c r="B19" s="11" t="s">
        <v>42</v>
      </c>
      <c r="C19" s="12" t="str">
        <f t="shared" si="1"/>
        <v>ESD-410_NEAR TK-108</v>
      </c>
      <c r="D19" s="13" t="s">
        <v>1253</v>
      </c>
      <c r="E19" s="13" t="s">
        <v>1254</v>
      </c>
      <c r="F19" s="13" t="s">
        <v>1255</v>
      </c>
      <c r="G19" s="68" t="s">
        <v>1256</v>
      </c>
      <c r="H19" s="69">
        <v>0.0</v>
      </c>
      <c r="I19" s="68" t="s">
        <v>1257</v>
      </c>
      <c r="J19" s="69">
        <v>0.0</v>
      </c>
      <c r="K19" s="15" t="s">
        <v>1173</v>
      </c>
      <c r="L19" s="69">
        <v>0.0</v>
      </c>
      <c r="M19" s="15" t="s">
        <v>1174</v>
      </c>
      <c r="N19" s="69">
        <v>0.0</v>
      </c>
      <c r="O19" s="15" t="s">
        <v>1175</v>
      </c>
      <c r="P19" s="69">
        <v>0.0</v>
      </c>
      <c r="Q19" s="15" t="s">
        <v>1176</v>
      </c>
      <c r="R19" s="69">
        <v>0.0</v>
      </c>
      <c r="S19" s="15" t="s">
        <v>1177</v>
      </c>
      <c r="T19" s="69">
        <v>0.0</v>
      </c>
      <c r="U19" s="15" t="s">
        <v>1178</v>
      </c>
      <c r="V19" s="69">
        <v>0.0</v>
      </c>
      <c r="W19" s="15" t="s">
        <v>1179</v>
      </c>
      <c r="X19" s="69">
        <v>0.0</v>
      </c>
      <c r="Y19" s="15" t="s">
        <v>1180</v>
      </c>
      <c r="Z19" s="69">
        <v>0.0</v>
      </c>
      <c r="AA19" s="15" t="s">
        <v>1181</v>
      </c>
      <c r="AB19" s="69">
        <v>0.0</v>
      </c>
      <c r="AC19" s="15" t="s">
        <v>1182</v>
      </c>
      <c r="AD19" s="69">
        <v>0.0</v>
      </c>
      <c r="AE19" s="4"/>
      <c r="AF19" s="4"/>
    </row>
    <row r="20" ht="15.75" customHeight="1">
      <c r="A20" s="11">
        <v>1588.0</v>
      </c>
      <c r="B20" s="11" t="s">
        <v>42</v>
      </c>
      <c r="C20" s="12" t="str">
        <f t="shared" si="1"/>
        <v>ESD-411_NEAR TK-113</v>
      </c>
      <c r="D20" s="13" t="s">
        <v>1258</v>
      </c>
      <c r="E20" s="13" t="s">
        <v>1259</v>
      </c>
      <c r="F20" s="13" t="s">
        <v>1260</v>
      </c>
      <c r="G20" s="68" t="s">
        <v>1261</v>
      </c>
      <c r="H20" s="69">
        <v>0.0</v>
      </c>
      <c r="I20" s="68" t="s">
        <v>1262</v>
      </c>
      <c r="J20" s="69">
        <v>0.0</v>
      </c>
      <c r="K20" s="15" t="s">
        <v>1173</v>
      </c>
      <c r="L20" s="69">
        <v>0.0</v>
      </c>
      <c r="M20" s="15" t="s">
        <v>1174</v>
      </c>
      <c r="N20" s="69">
        <v>0.0</v>
      </c>
      <c r="O20" s="15" t="s">
        <v>1175</v>
      </c>
      <c r="P20" s="69">
        <v>0.0</v>
      </c>
      <c r="Q20" s="15" t="s">
        <v>1176</v>
      </c>
      <c r="R20" s="69">
        <v>0.0</v>
      </c>
      <c r="S20" s="15" t="s">
        <v>1177</v>
      </c>
      <c r="T20" s="69">
        <v>0.0</v>
      </c>
      <c r="U20" s="15" t="s">
        <v>1178</v>
      </c>
      <c r="V20" s="69">
        <v>0.0</v>
      </c>
      <c r="W20" s="15" t="s">
        <v>1179</v>
      </c>
      <c r="X20" s="69">
        <v>0.0</v>
      </c>
      <c r="Y20" s="15" t="s">
        <v>1180</v>
      </c>
      <c r="Z20" s="69">
        <v>0.0</v>
      </c>
      <c r="AA20" s="15" t="s">
        <v>1181</v>
      </c>
      <c r="AB20" s="69">
        <v>0.0</v>
      </c>
      <c r="AC20" s="15" t="s">
        <v>1182</v>
      </c>
      <c r="AD20" s="69">
        <v>0.0</v>
      </c>
      <c r="AE20" s="4"/>
      <c r="AF20" s="4"/>
    </row>
    <row r="21" ht="15.75" customHeight="1">
      <c r="A21" s="11">
        <v>1588.0</v>
      </c>
      <c r="B21" s="11" t="s">
        <v>42</v>
      </c>
      <c r="C21" s="12" t="str">
        <f t="shared" si="1"/>
        <v>ESD-412_NEAR TK-103</v>
      </c>
      <c r="D21" s="13" t="s">
        <v>1263</v>
      </c>
      <c r="E21" s="13" t="s">
        <v>1264</v>
      </c>
      <c r="F21" s="13" t="s">
        <v>1265</v>
      </c>
      <c r="G21" s="68" t="s">
        <v>1266</v>
      </c>
      <c r="H21" s="69">
        <v>0.0</v>
      </c>
      <c r="I21" s="68" t="s">
        <v>1267</v>
      </c>
      <c r="J21" s="69">
        <v>0.0</v>
      </c>
      <c r="K21" s="15" t="s">
        <v>1173</v>
      </c>
      <c r="L21" s="69">
        <v>0.0</v>
      </c>
      <c r="M21" s="15" t="s">
        <v>1174</v>
      </c>
      <c r="N21" s="69">
        <v>0.0</v>
      </c>
      <c r="O21" s="15" t="s">
        <v>1175</v>
      </c>
      <c r="P21" s="69">
        <v>0.0</v>
      </c>
      <c r="Q21" s="15" t="s">
        <v>1176</v>
      </c>
      <c r="R21" s="69">
        <v>0.0</v>
      </c>
      <c r="S21" s="15" t="s">
        <v>1177</v>
      </c>
      <c r="T21" s="69">
        <v>0.0</v>
      </c>
      <c r="U21" s="15" t="s">
        <v>1178</v>
      </c>
      <c r="V21" s="69">
        <v>0.0</v>
      </c>
      <c r="W21" s="15" t="s">
        <v>1179</v>
      </c>
      <c r="X21" s="69">
        <v>0.0</v>
      </c>
      <c r="Y21" s="15" t="s">
        <v>1180</v>
      </c>
      <c r="Z21" s="69">
        <v>0.0</v>
      </c>
      <c r="AA21" s="15" t="s">
        <v>1181</v>
      </c>
      <c r="AB21" s="69">
        <v>0.0</v>
      </c>
      <c r="AC21" s="15" t="s">
        <v>1182</v>
      </c>
      <c r="AD21" s="69">
        <v>0.0</v>
      </c>
      <c r="AE21" s="4"/>
      <c r="AF21" s="4"/>
    </row>
    <row r="22" ht="15.75" customHeight="1">
      <c r="A22" s="11">
        <v>1588.0</v>
      </c>
      <c r="B22" s="11" t="s">
        <v>42</v>
      </c>
      <c r="C22" s="12" t="str">
        <f t="shared" si="1"/>
        <v>ESD-413_NEAR TK-101</v>
      </c>
      <c r="D22" s="13" t="s">
        <v>1268</v>
      </c>
      <c r="E22" s="13" t="s">
        <v>1269</v>
      </c>
      <c r="F22" s="13" t="s">
        <v>1270</v>
      </c>
      <c r="G22" s="68" t="s">
        <v>1271</v>
      </c>
      <c r="H22" s="69">
        <v>0.0</v>
      </c>
      <c r="I22" s="68" t="s">
        <v>1272</v>
      </c>
      <c r="J22" s="69">
        <v>0.0</v>
      </c>
      <c r="K22" s="15" t="s">
        <v>1173</v>
      </c>
      <c r="L22" s="69">
        <v>0.0</v>
      </c>
      <c r="M22" s="15" t="s">
        <v>1174</v>
      </c>
      <c r="N22" s="69">
        <v>0.0</v>
      </c>
      <c r="O22" s="15" t="s">
        <v>1175</v>
      </c>
      <c r="P22" s="69">
        <v>0.0</v>
      </c>
      <c r="Q22" s="15" t="s">
        <v>1176</v>
      </c>
      <c r="R22" s="69">
        <v>0.0</v>
      </c>
      <c r="S22" s="15" t="s">
        <v>1177</v>
      </c>
      <c r="T22" s="69">
        <v>0.0</v>
      </c>
      <c r="U22" s="15" t="s">
        <v>1178</v>
      </c>
      <c r="V22" s="69">
        <v>0.0</v>
      </c>
      <c r="W22" s="15" t="s">
        <v>1179</v>
      </c>
      <c r="X22" s="69">
        <v>0.0</v>
      </c>
      <c r="Y22" s="15" t="s">
        <v>1180</v>
      </c>
      <c r="Z22" s="69">
        <v>0.0</v>
      </c>
      <c r="AA22" s="15" t="s">
        <v>1181</v>
      </c>
      <c r="AB22" s="69">
        <v>0.0</v>
      </c>
      <c r="AC22" s="15" t="s">
        <v>1182</v>
      </c>
      <c r="AD22" s="69">
        <v>0.0</v>
      </c>
      <c r="AE22" s="4"/>
      <c r="AF22" s="4"/>
    </row>
    <row r="23" ht="15.75" customHeight="1">
      <c r="A23" s="11">
        <v>1588.0</v>
      </c>
      <c r="B23" s="11" t="s">
        <v>42</v>
      </c>
      <c r="C23" s="12" t="str">
        <f t="shared" si="1"/>
        <v>ESD-414_NEAR TK-115</v>
      </c>
      <c r="D23" s="13" t="s">
        <v>1273</v>
      </c>
      <c r="E23" s="13" t="s">
        <v>1274</v>
      </c>
      <c r="F23" s="13" t="s">
        <v>1275</v>
      </c>
      <c r="G23" s="68" t="s">
        <v>1276</v>
      </c>
      <c r="H23" s="69">
        <v>0.0</v>
      </c>
      <c r="I23" s="68" t="s">
        <v>1277</v>
      </c>
      <c r="J23" s="69">
        <v>0.0</v>
      </c>
      <c r="K23" s="15" t="s">
        <v>1173</v>
      </c>
      <c r="L23" s="69">
        <v>0.0</v>
      </c>
      <c r="M23" s="15" t="s">
        <v>1174</v>
      </c>
      <c r="N23" s="69">
        <v>0.0</v>
      </c>
      <c r="O23" s="15" t="s">
        <v>1175</v>
      </c>
      <c r="P23" s="69">
        <v>0.0</v>
      </c>
      <c r="Q23" s="15" t="s">
        <v>1176</v>
      </c>
      <c r="R23" s="69">
        <v>0.0</v>
      </c>
      <c r="S23" s="15" t="s">
        <v>1177</v>
      </c>
      <c r="T23" s="69">
        <v>0.0</v>
      </c>
      <c r="U23" s="15" t="s">
        <v>1178</v>
      </c>
      <c r="V23" s="69">
        <v>0.0</v>
      </c>
      <c r="W23" s="15" t="s">
        <v>1179</v>
      </c>
      <c r="X23" s="69">
        <v>0.0</v>
      </c>
      <c r="Y23" s="15" t="s">
        <v>1180</v>
      </c>
      <c r="Z23" s="69">
        <v>0.0</v>
      </c>
      <c r="AA23" s="15" t="s">
        <v>1181</v>
      </c>
      <c r="AB23" s="69">
        <v>0.0</v>
      </c>
      <c r="AC23" s="15" t="s">
        <v>1182</v>
      </c>
      <c r="AD23" s="69">
        <v>0.0</v>
      </c>
      <c r="AE23" s="4"/>
      <c r="AF23" s="4"/>
    </row>
    <row r="24" ht="15.75" customHeight="1">
      <c r="A24" s="11">
        <v>1588.0</v>
      </c>
      <c r="B24" s="11" t="s">
        <v>42</v>
      </c>
      <c r="C24" s="12" t="str">
        <f t="shared" si="1"/>
        <v>ESD-415_NEAR SCRAP YARD</v>
      </c>
      <c r="D24" s="13" t="s">
        <v>1278</v>
      </c>
      <c r="E24" s="13" t="s">
        <v>1279</v>
      </c>
      <c r="F24" s="13" t="s">
        <v>1280</v>
      </c>
      <c r="G24" s="68" t="s">
        <v>1281</v>
      </c>
      <c r="H24" s="69">
        <v>0.0</v>
      </c>
      <c r="I24" s="68" t="s">
        <v>1282</v>
      </c>
      <c r="J24" s="69">
        <v>0.0</v>
      </c>
      <c r="K24" s="15" t="s">
        <v>1173</v>
      </c>
      <c r="L24" s="69">
        <v>0.0</v>
      </c>
      <c r="M24" s="15" t="s">
        <v>1174</v>
      </c>
      <c r="N24" s="69">
        <v>0.0</v>
      </c>
      <c r="O24" s="15" t="s">
        <v>1175</v>
      </c>
      <c r="P24" s="69">
        <v>0.0</v>
      </c>
      <c r="Q24" s="15" t="s">
        <v>1176</v>
      </c>
      <c r="R24" s="69">
        <v>0.0</v>
      </c>
      <c r="S24" s="15" t="s">
        <v>1177</v>
      </c>
      <c r="T24" s="69">
        <v>0.0</v>
      </c>
      <c r="U24" s="15" t="s">
        <v>1178</v>
      </c>
      <c r="V24" s="69">
        <v>0.0</v>
      </c>
      <c r="W24" s="15" t="s">
        <v>1179</v>
      </c>
      <c r="X24" s="69">
        <v>0.0</v>
      </c>
      <c r="Y24" s="15" t="s">
        <v>1180</v>
      </c>
      <c r="Z24" s="69">
        <v>0.0</v>
      </c>
      <c r="AA24" s="15" t="s">
        <v>1181</v>
      </c>
      <c r="AB24" s="69">
        <v>0.0</v>
      </c>
      <c r="AC24" s="15" t="s">
        <v>1182</v>
      </c>
      <c r="AD24" s="69">
        <v>0.0</v>
      </c>
      <c r="AE24" s="4"/>
      <c r="AF24" s="4"/>
    </row>
    <row r="25" ht="15.75" customHeight="1">
      <c r="A25" s="11">
        <v>1588.0</v>
      </c>
      <c r="B25" s="11" t="s">
        <v>42</v>
      </c>
      <c r="C25" s="12" t="str">
        <f t="shared" si="1"/>
        <v>ESD-417_TT IN GATE</v>
      </c>
      <c r="D25" s="13" t="s">
        <v>1283</v>
      </c>
      <c r="E25" s="13" t="s">
        <v>1284</v>
      </c>
      <c r="F25" s="13" t="s">
        <v>1285</v>
      </c>
      <c r="G25" s="68" t="s">
        <v>1286</v>
      </c>
      <c r="H25" s="69">
        <v>0.0</v>
      </c>
      <c r="I25" s="68" t="s">
        <v>1287</v>
      </c>
      <c r="J25" s="69">
        <v>0.0</v>
      </c>
      <c r="K25" s="15" t="s">
        <v>1173</v>
      </c>
      <c r="L25" s="69">
        <v>0.0</v>
      </c>
      <c r="M25" s="15" t="s">
        <v>1174</v>
      </c>
      <c r="N25" s="69">
        <v>0.0</v>
      </c>
      <c r="O25" s="15" t="s">
        <v>1175</v>
      </c>
      <c r="P25" s="69">
        <v>0.0</v>
      </c>
      <c r="Q25" s="15" t="s">
        <v>1176</v>
      </c>
      <c r="R25" s="69">
        <v>0.0</v>
      </c>
      <c r="S25" s="15" t="s">
        <v>1177</v>
      </c>
      <c r="T25" s="69">
        <v>0.0</v>
      </c>
      <c r="U25" s="15" t="s">
        <v>1178</v>
      </c>
      <c r="V25" s="69">
        <v>0.0</v>
      </c>
      <c r="W25" s="15" t="s">
        <v>1179</v>
      </c>
      <c r="X25" s="69">
        <v>0.0</v>
      </c>
      <c r="Y25" s="15" t="s">
        <v>1180</v>
      </c>
      <c r="Z25" s="69">
        <v>0.0</v>
      </c>
      <c r="AA25" s="15" t="s">
        <v>1181</v>
      </c>
      <c r="AB25" s="69">
        <v>0.0</v>
      </c>
      <c r="AC25" s="15" t="s">
        <v>1182</v>
      </c>
      <c r="AD25" s="69">
        <v>0.0</v>
      </c>
      <c r="AE25" s="4"/>
      <c r="AF25" s="4"/>
    </row>
    <row r="26" ht="15.75" customHeight="1">
      <c r="A26" s="11">
        <v>1588.0</v>
      </c>
      <c r="B26" s="11" t="s">
        <v>42</v>
      </c>
      <c r="C26" s="12" t="str">
        <f t="shared" si="1"/>
        <v>ESD-501_ADMIN BUILDING</v>
      </c>
      <c r="D26" s="13" t="s">
        <v>1288</v>
      </c>
      <c r="E26" s="13" t="s">
        <v>1289</v>
      </c>
      <c r="F26" s="13" t="s">
        <v>1290</v>
      </c>
      <c r="G26" s="68" t="s">
        <v>1291</v>
      </c>
      <c r="H26" s="69">
        <v>0.0</v>
      </c>
      <c r="I26" s="68" t="s">
        <v>1292</v>
      </c>
      <c r="J26" s="69">
        <v>0.0</v>
      </c>
      <c r="K26" s="15" t="s">
        <v>1173</v>
      </c>
      <c r="L26" s="69">
        <v>0.0</v>
      </c>
      <c r="M26" s="15" t="s">
        <v>1174</v>
      </c>
      <c r="N26" s="69">
        <v>0.0</v>
      </c>
      <c r="O26" s="15" t="s">
        <v>1175</v>
      </c>
      <c r="P26" s="69">
        <v>0.0</v>
      </c>
      <c r="Q26" s="15" t="s">
        <v>1176</v>
      </c>
      <c r="R26" s="69">
        <v>0.0</v>
      </c>
      <c r="S26" s="15" t="s">
        <v>1177</v>
      </c>
      <c r="T26" s="69">
        <v>0.0</v>
      </c>
      <c r="U26" s="15" t="s">
        <v>1178</v>
      </c>
      <c r="V26" s="69">
        <v>0.0</v>
      </c>
      <c r="W26" s="15" t="s">
        <v>1179</v>
      </c>
      <c r="X26" s="69">
        <v>0.0</v>
      </c>
      <c r="Y26" s="15" t="s">
        <v>1180</v>
      </c>
      <c r="Z26" s="69">
        <v>0.0</v>
      </c>
      <c r="AA26" s="15" t="s">
        <v>1181</v>
      </c>
      <c r="AB26" s="69">
        <v>0.0</v>
      </c>
      <c r="AC26" s="15" t="s">
        <v>1182</v>
      </c>
      <c r="AD26" s="69">
        <v>0.0</v>
      </c>
      <c r="AE26" s="4"/>
      <c r="AF26" s="4"/>
    </row>
    <row r="27" ht="15.75" customHeight="1">
      <c r="A27" s="11">
        <v>1588.0</v>
      </c>
      <c r="B27" s="11" t="s">
        <v>42</v>
      </c>
      <c r="C27" s="12" t="str">
        <f t="shared" si="1"/>
        <v>ESD-502_VISITOR ENTRY GATE</v>
      </c>
      <c r="D27" s="13" t="s">
        <v>1293</v>
      </c>
      <c r="E27" s="13" t="s">
        <v>1294</v>
      </c>
      <c r="F27" s="13" t="s">
        <v>1295</v>
      </c>
      <c r="G27" s="68" t="s">
        <v>1296</v>
      </c>
      <c r="H27" s="69">
        <v>0.0</v>
      </c>
      <c r="I27" s="68" t="s">
        <v>1297</v>
      </c>
      <c r="J27" s="69">
        <v>0.0</v>
      </c>
      <c r="K27" s="15" t="s">
        <v>1173</v>
      </c>
      <c r="L27" s="69">
        <v>0.0</v>
      </c>
      <c r="M27" s="15" t="s">
        <v>1174</v>
      </c>
      <c r="N27" s="69">
        <v>0.0</v>
      </c>
      <c r="O27" s="15" t="s">
        <v>1175</v>
      </c>
      <c r="P27" s="69">
        <v>0.0</v>
      </c>
      <c r="Q27" s="15" t="s">
        <v>1176</v>
      </c>
      <c r="R27" s="69">
        <v>0.0</v>
      </c>
      <c r="S27" s="15" t="s">
        <v>1177</v>
      </c>
      <c r="T27" s="69">
        <v>0.0</v>
      </c>
      <c r="U27" s="15" t="s">
        <v>1178</v>
      </c>
      <c r="V27" s="69">
        <v>0.0</v>
      </c>
      <c r="W27" s="15" t="s">
        <v>1179</v>
      </c>
      <c r="X27" s="69">
        <v>0.0</v>
      </c>
      <c r="Y27" s="15" t="s">
        <v>1180</v>
      </c>
      <c r="Z27" s="69">
        <v>0.0</v>
      </c>
      <c r="AA27" s="15" t="s">
        <v>1181</v>
      </c>
      <c r="AB27" s="69">
        <v>0.0</v>
      </c>
      <c r="AC27" s="15" t="s">
        <v>1182</v>
      </c>
      <c r="AD27" s="69">
        <v>0.0</v>
      </c>
      <c r="AE27" s="4"/>
      <c r="AF27" s="4"/>
    </row>
    <row r="28" ht="15.75" customHeight="1">
      <c r="A28" s="11">
        <v>1588.0</v>
      </c>
      <c r="B28" s="11" t="s">
        <v>42</v>
      </c>
      <c r="C28" s="12" t="str">
        <f t="shared" si="1"/>
        <v>ESD-503_LIC ROOM</v>
      </c>
      <c r="D28" s="13" t="s">
        <v>1298</v>
      </c>
      <c r="E28" s="13" t="s">
        <v>1299</v>
      </c>
      <c r="F28" s="13" t="s">
        <v>1300</v>
      </c>
      <c r="G28" s="68" t="s">
        <v>1301</v>
      </c>
      <c r="H28" s="69">
        <v>0.0</v>
      </c>
      <c r="I28" s="68" t="s">
        <v>1302</v>
      </c>
      <c r="J28" s="69">
        <v>0.0</v>
      </c>
      <c r="K28" s="15" t="s">
        <v>1173</v>
      </c>
      <c r="L28" s="69">
        <v>0.0</v>
      </c>
      <c r="M28" s="15" t="s">
        <v>1174</v>
      </c>
      <c r="N28" s="69">
        <v>0.0</v>
      </c>
      <c r="O28" s="15" t="s">
        <v>1175</v>
      </c>
      <c r="P28" s="69">
        <v>0.0</v>
      </c>
      <c r="Q28" s="15" t="s">
        <v>1176</v>
      </c>
      <c r="R28" s="69">
        <v>0.0</v>
      </c>
      <c r="S28" s="15" t="s">
        <v>1177</v>
      </c>
      <c r="T28" s="69">
        <v>0.0</v>
      </c>
      <c r="U28" s="15" t="s">
        <v>1178</v>
      </c>
      <c r="V28" s="69">
        <v>0.0</v>
      </c>
      <c r="W28" s="15" t="s">
        <v>1179</v>
      </c>
      <c r="X28" s="69">
        <v>0.0</v>
      </c>
      <c r="Y28" s="15" t="s">
        <v>1180</v>
      </c>
      <c r="Z28" s="69">
        <v>0.0</v>
      </c>
      <c r="AA28" s="15" t="s">
        <v>1181</v>
      </c>
      <c r="AB28" s="69">
        <v>0.0</v>
      </c>
      <c r="AC28" s="15" t="s">
        <v>1182</v>
      </c>
      <c r="AD28" s="69">
        <v>0.0</v>
      </c>
      <c r="AE28" s="4"/>
      <c r="AF28" s="4"/>
    </row>
    <row r="29" ht="15.75" customHeight="1">
      <c r="A29" s="11">
        <v>1588.0</v>
      </c>
      <c r="B29" s="11" t="s">
        <v>42</v>
      </c>
      <c r="C29" s="12" t="str">
        <f t="shared" si="1"/>
        <v>ESD-CENTRAL_CENTRAL ESD</v>
      </c>
      <c r="D29" s="13" t="s">
        <v>1303</v>
      </c>
      <c r="E29" s="13" t="s">
        <v>1303</v>
      </c>
      <c r="F29" s="13" t="s">
        <v>1304</v>
      </c>
      <c r="G29" s="68" t="s">
        <v>1305</v>
      </c>
      <c r="H29" s="69">
        <v>0.0</v>
      </c>
      <c r="I29" s="68"/>
      <c r="J29" s="14"/>
      <c r="K29" s="15" t="s">
        <v>1173</v>
      </c>
      <c r="L29" s="69">
        <v>0.0</v>
      </c>
      <c r="M29" s="15" t="s">
        <v>1174</v>
      </c>
      <c r="N29" s="69">
        <v>0.0</v>
      </c>
      <c r="O29" s="15" t="s">
        <v>1175</v>
      </c>
      <c r="P29" s="69">
        <v>0.0</v>
      </c>
      <c r="Q29" s="15" t="s">
        <v>1176</v>
      </c>
      <c r="R29" s="69">
        <v>0.0</v>
      </c>
      <c r="S29" s="15" t="s">
        <v>1177</v>
      </c>
      <c r="T29" s="69">
        <v>0.0</v>
      </c>
      <c r="U29" s="15" t="s">
        <v>1178</v>
      </c>
      <c r="V29" s="69">
        <v>0.0</v>
      </c>
      <c r="W29" s="15" t="s">
        <v>1179</v>
      </c>
      <c r="X29" s="69">
        <v>0.0</v>
      </c>
      <c r="Y29" s="15" t="s">
        <v>1180</v>
      </c>
      <c r="Z29" s="69">
        <v>0.0</v>
      </c>
      <c r="AA29" s="15" t="s">
        <v>1181</v>
      </c>
      <c r="AB29" s="69">
        <v>0.0</v>
      </c>
      <c r="AC29" s="15" t="s">
        <v>1182</v>
      </c>
      <c r="AD29" s="69">
        <v>0.0</v>
      </c>
      <c r="AE29" s="4"/>
      <c r="AF29" s="4"/>
    </row>
    <row r="30" ht="15.75" customHeight="1">
      <c r="A30" s="11">
        <v>1588.0</v>
      </c>
      <c r="B30" s="11" t="s">
        <v>42</v>
      </c>
      <c r="C30" s="12" t="str">
        <f t="shared" si="1"/>
        <v>ESD-PIPELINE_PIPELINE ESD</v>
      </c>
      <c r="D30" s="13" t="s">
        <v>1306</v>
      </c>
      <c r="E30" s="13" t="s">
        <v>1306</v>
      </c>
      <c r="F30" s="13" t="s">
        <v>1307</v>
      </c>
      <c r="G30" s="68" t="s">
        <v>1308</v>
      </c>
      <c r="H30" s="69">
        <v>0.0</v>
      </c>
      <c r="I30" s="68" t="s">
        <v>1309</v>
      </c>
      <c r="J30" s="69">
        <v>0.0</v>
      </c>
      <c r="K30" s="15" t="s">
        <v>1173</v>
      </c>
      <c r="L30" s="69">
        <v>0.0</v>
      </c>
      <c r="M30" s="15" t="s">
        <v>1174</v>
      </c>
      <c r="N30" s="69">
        <v>0.0</v>
      </c>
      <c r="O30" s="15" t="s">
        <v>1175</v>
      </c>
      <c r="P30" s="69">
        <v>0.0</v>
      </c>
      <c r="Q30" s="15" t="s">
        <v>1176</v>
      </c>
      <c r="R30" s="69">
        <v>0.0</v>
      </c>
      <c r="S30" s="15" t="s">
        <v>1177</v>
      </c>
      <c r="T30" s="69">
        <v>0.0</v>
      </c>
      <c r="U30" s="15" t="s">
        <v>1178</v>
      </c>
      <c r="V30" s="69">
        <v>0.0</v>
      </c>
      <c r="W30" s="15" t="s">
        <v>1179</v>
      </c>
      <c r="X30" s="69">
        <v>0.0</v>
      </c>
      <c r="Y30" s="15" t="s">
        <v>1180</v>
      </c>
      <c r="Z30" s="69">
        <v>0.0</v>
      </c>
      <c r="AA30" s="15" t="s">
        <v>1181</v>
      </c>
      <c r="AB30" s="69">
        <v>0.0</v>
      </c>
      <c r="AC30" s="15" t="s">
        <v>1182</v>
      </c>
      <c r="AD30" s="69">
        <v>0.0</v>
      </c>
      <c r="AE30" s="4"/>
      <c r="AF30" s="4"/>
    </row>
    <row r="31" ht="15.75" customHeight="1">
      <c r="A31" s="11">
        <v>1588.0</v>
      </c>
      <c r="B31" s="11" t="s">
        <v>42</v>
      </c>
      <c r="C31" s="12" t="str">
        <f t="shared" si="1"/>
        <v>ESD-SOFT_SOFT ESD</v>
      </c>
      <c r="D31" s="13" t="s">
        <v>1310</v>
      </c>
      <c r="E31" s="13" t="s">
        <v>1310</v>
      </c>
      <c r="F31" s="13" t="s">
        <v>1311</v>
      </c>
      <c r="G31" s="68" t="s">
        <v>1312</v>
      </c>
      <c r="H31" s="69">
        <v>0.0</v>
      </c>
      <c r="I31" s="68"/>
      <c r="J31" s="14"/>
      <c r="K31" s="15" t="s">
        <v>1173</v>
      </c>
      <c r="L31" s="69">
        <v>0.0</v>
      </c>
      <c r="M31" s="15" t="s">
        <v>1174</v>
      </c>
      <c r="N31" s="69">
        <v>0.0</v>
      </c>
      <c r="O31" s="15" t="s">
        <v>1175</v>
      </c>
      <c r="P31" s="69">
        <v>0.0</v>
      </c>
      <c r="Q31" s="15" t="s">
        <v>1176</v>
      </c>
      <c r="R31" s="69">
        <v>0.0</v>
      </c>
      <c r="S31" s="15" t="s">
        <v>1177</v>
      </c>
      <c r="T31" s="69">
        <v>0.0</v>
      </c>
      <c r="U31" s="15" t="s">
        <v>1178</v>
      </c>
      <c r="V31" s="69">
        <v>0.0</v>
      </c>
      <c r="W31" s="15" t="s">
        <v>1179</v>
      </c>
      <c r="X31" s="69">
        <v>0.0</v>
      </c>
      <c r="Y31" s="15" t="s">
        <v>1180</v>
      </c>
      <c r="Z31" s="69">
        <v>0.0</v>
      </c>
      <c r="AA31" s="15" t="s">
        <v>1181</v>
      </c>
      <c r="AB31" s="69">
        <v>0.0</v>
      </c>
      <c r="AC31" s="15" t="s">
        <v>1182</v>
      </c>
      <c r="AD31" s="69">
        <v>0.0</v>
      </c>
      <c r="AE31" s="4"/>
      <c r="AF31" s="4"/>
    </row>
    <row r="32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</row>
    <row r="33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</row>
    <row r="34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</row>
    <row r="35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</row>
    <row r="3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</row>
    <row r="37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</row>
    <row r="38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</row>
    <row r="39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</row>
    <row r="4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</row>
    <row r="41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1313</v>
      </c>
      <c r="E1" s="1" t="s">
        <v>1314</v>
      </c>
      <c r="F1" s="1" t="s">
        <v>1315</v>
      </c>
      <c r="G1" s="1" t="s">
        <v>5</v>
      </c>
      <c r="H1" s="58" t="s">
        <v>1316</v>
      </c>
      <c r="I1" s="58" t="s">
        <v>7</v>
      </c>
      <c r="J1" s="58" t="s">
        <v>1317</v>
      </c>
      <c r="K1" s="58" t="s">
        <v>7</v>
      </c>
      <c r="L1" s="60" t="s">
        <v>1318</v>
      </c>
      <c r="M1" s="60" t="s">
        <v>7</v>
      </c>
      <c r="N1" s="58" t="s">
        <v>1319</v>
      </c>
      <c r="O1" s="58" t="s">
        <v>7</v>
      </c>
      <c r="P1" s="60" t="s">
        <v>1320</v>
      </c>
      <c r="Q1" s="60" t="s">
        <v>7</v>
      </c>
      <c r="R1" s="58" t="s">
        <v>1321</v>
      </c>
      <c r="S1" s="58" t="s">
        <v>7</v>
      </c>
      <c r="T1" s="60" t="s">
        <v>1322</v>
      </c>
      <c r="U1" s="60" t="s">
        <v>7</v>
      </c>
      <c r="V1" s="58" t="s">
        <v>1323</v>
      </c>
      <c r="W1" s="58" t="s">
        <v>7</v>
      </c>
      <c r="X1" s="58" t="s">
        <v>1324</v>
      </c>
      <c r="Y1" s="58" t="s">
        <v>7</v>
      </c>
      <c r="Z1" s="58" t="s">
        <v>1325</v>
      </c>
      <c r="AA1" s="58" t="s">
        <v>7</v>
      </c>
      <c r="AB1" s="58" t="s">
        <v>1326</v>
      </c>
      <c r="AC1" s="58" t="s">
        <v>7</v>
      </c>
      <c r="AD1" s="58" t="s">
        <v>1327</v>
      </c>
      <c r="AE1" s="58" t="s">
        <v>7</v>
      </c>
      <c r="AF1" s="58" t="s">
        <v>1328</v>
      </c>
      <c r="AG1" s="58" t="s">
        <v>7</v>
      </c>
      <c r="AH1" s="93" t="s">
        <v>1329</v>
      </c>
      <c r="AI1" s="94" t="s">
        <v>7</v>
      </c>
      <c r="AJ1" s="59" t="s">
        <v>1330</v>
      </c>
      <c r="AK1" s="59" t="s">
        <v>7</v>
      </c>
      <c r="AL1" s="61" t="s">
        <v>1331</v>
      </c>
      <c r="AM1" s="61" t="s">
        <v>7</v>
      </c>
      <c r="AN1" s="58" t="s">
        <v>1332</v>
      </c>
      <c r="AO1" s="58" t="s">
        <v>14</v>
      </c>
      <c r="AP1" s="58" t="s">
        <v>1333</v>
      </c>
      <c r="AQ1" s="58" t="s">
        <v>7</v>
      </c>
      <c r="AR1" s="60" t="s">
        <v>1334</v>
      </c>
      <c r="AS1" s="60" t="s">
        <v>7</v>
      </c>
    </row>
    <row r="2" ht="15.75" customHeight="1">
      <c r="A2" s="11">
        <v>1588.0</v>
      </c>
      <c r="B2" s="11" t="s">
        <v>42</v>
      </c>
      <c r="C2" s="12" t="str">
        <f t="shared" ref="C2:C41" si="1">CONCATENATE(D2,"_",F2,"_",G2)</f>
        <v>LP 01_BC-01A_ATF</v>
      </c>
      <c r="D2" s="14" t="s">
        <v>1335</v>
      </c>
      <c r="E2" s="14" t="s">
        <v>1336</v>
      </c>
      <c r="F2" s="13" t="s">
        <v>1337</v>
      </c>
      <c r="G2" s="13" t="s">
        <v>293</v>
      </c>
      <c r="H2" s="68" t="s">
        <v>1338</v>
      </c>
      <c r="I2" s="69">
        <v>0.0</v>
      </c>
      <c r="J2" s="68" t="s">
        <v>1339</v>
      </c>
      <c r="K2" s="69">
        <v>0.0</v>
      </c>
      <c r="L2" s="68"/>
      <c r="M2" s="68"/>
      <c r="N2" s="68" t="s">
        <v>1340</v>
      </c>
      <c r="O2" s="69">
        <v>0.0</v>
      </c>
      <c r="P2" s="68"/>
      <c r="Q2" s="68"/>
      <c r="R2" s="68" t="s">
        <v>1341</v>
      </c>
      <c r="S2" s="69">
        <v>0.0</v>
      </c>
      <c r="T2" s="68"/>
      <c r="U2" s="68"/>
      <c r="V2" s="68" t="s">
        <v>1342</v>
      </c>
      <c r="W2" s="69">
        <v>0.0</v>
      </c>
      <c r="X2" s="68" t="s">
        <v>1343</v>
      </c>
      <c r="Y2" s="69">
        <v>0.0</v>
      </c>
      <c r="Z2" s="68" t="s">
        <v>1344</v>
      </c>
      <c r="AA2" s="69">
        <v>0.0</v>
      </c>
      <c r="AB2" s="68" t="s">
        <v>1345</v>
      </c>
      <c r="AC2" s="69">
        <v>0.0</v>
      </c>
      <c r="AD2" s="68" t="s">
        <v>1346</v>
      </c>
      <c r="AE2" s="69">
        <v>0.0</v>
      </c>
      <c r="AF2" s="68" t="s">
        <v>1347</v>
      </c>
      <c r="AG2" s="69">
        <v>0.0</v>
      </c>
      <c r="AH2" s="68" t="s">
        <v>1348</v>
      </c>
      <c r="AI2" s="69">
        <v>0.0</v>
      </c>
      <c r="AJ2" s="68" t="s">
        <v>1349</v>
      </c>
      <c r="AK2" s="69">
        <v>0.0</v>
      </c>
      <c r="AL2" s="68"/>
      <c r="AM2" s="68"/>
      <c r="AN2" s="68" t="s">
        <v>1350</v>
      </c>
      <c r="AO2" s="69">
        <v>0.0</v>
      </c>
      <c r="AP2" s="68" t="s">
        <v>1351</v>
      </c>
      <c r="AQ2" s="69">
        <v>0.0</v>
      </c>
      <c r="AR2" s="68"/>
      <c r="AS2" s="68"/>
    </row>
    <row r="3" ht="15.75" customHeight="1">
      <c r="A3" s="11">
        <v>1588.0</v>
      </c>
      <c r="B3" s="11" t="s">
        <v>42</v>
      </c>
      <c r="C3" s="12" t="str">
        <f t="shared" si="1"/>
        <v>LP 02_BC-01B_ATF</v>
      </c>
      <c r="D3" s="14" t="s">
        <v>1352</v>
      </c>
      <c r="E3" s="14" t="s">
        <v>1336</v>
      </c>
      <c r="F3" s="13" t="s">
        <v>1353</v>
      </c>
      <c r="G3" s="13" t="s">
        <v>293</v>
      </c>
      <c r="H3" s="68" t="s">
        <v>1354</v>
      </c>
      <c r="I3" s="69">
        <v>0.0</v>
      </c>
      <c r="J3" s="68" t="s">
        <v>1355</v>
      </c>
      <c r="K3" s="69">
        <v>0.0</v>
      </c>
      <c r="L3" s="68"/>
      <c r="M3" s="68"/>
      <c r="N3" s="68" t="s">
        <v>1356</v>
      </c>
      <c r="O3" s="69">
        <v>0.0</v>
      </c>
      <c r="P3" s="68"/>
      <c r="Q3" s="68"/>
      <c r="R3" s="68" t="s">
        <v>1357</v>
      </c>
      <c r="S3" s="69">
        <v>0.0</v>
      </c>
      <c r="T3" s="68"/>
      <c r="U3" s="68"/>
      <c r="V3" s="68" t="s">
        <v>1358</v>
      </c>
      <c r="W3" s="69">
        <v>0.0</v>
      </c>
      <c r="X3" s="68" t="s">
        <v>1359</v>
      </c>
      <c r="Y3" s="69">
        <v>0.0</v>
      </c>
      <c r="Z3" s="68" t="s">
        <v>1360</v>
      </c>
      <c r="AA3" s="69">
        <v>0.0</v>
      </c>
      <c r="AB3" s="68" t="s">
        <v>1361</v>
      </c>
      <c r="AC3" s="69">
        <v>0.0</v>
      </c>
      <c r="AD3" s="68" t="s">
        <v>1362</v>
      </c>
      <c r="AE3" s="69">
        <v>0.0</v>
      </c>
      <c r="AF3" s="68" t="s">
        <v>1363</v>
      </c>
      <c r="AG3" s="69">
        <v>0.0</v>
      </c>
      <c r="AH3" s="68" t="s">
        <v>1364</v>
      </c>
      <c r="AI3" s="69">
        <v>0.0</v>
      </c>
      <c r="AJ3" s="68" t="s">
        <v>1365</v>
      </c>
      <c r="AK3" s="69">
        <v>0.0</v>
      </c>
      <c r="AL3" s="68"/>
      <c r="AM3" s="68"/>
      <c r="AN3" s="68" t="s">
        <v>1366</v>
      </c>
      <c r="AO3" s="69">
        <v>0.0</v>
      </c>
      <c r="AP3" s="68" t="s">
        <v>1367</v>
      </c>
      <c r="AQ3" s="69">
        <v>0.0</v>
      </c>
      <c r="AR3" s="68"/>
      <c r="AS3" s="68"/>
    </row>
    <row r="4" ht="15.75" customHeight="1">
      <c r="A4" s="11">
        <v>1588.0</v>
      </c>
      <c r="B4" s="11" t="s">
        <v>42</v>
      </c>
      <c r="C4" s="12" t="str">
        <f t="shared" si="1"/>
        <v>LP 03_BC-02A_SKO</v>
      </c>
      <c r="D4" s="14" t="s">
        <v>1368</v>
      </c>
      <c r="E4" s="14" t="s">
        <v>1336</v>
      </c>
      <c r="F4" s="13" t="s">
        <v>1369</v>
      </c>
      <c r="G4" s="13" t="s">
        <v>269</v>
      </c>
      <c r="H4" s="68" t="s">
        <v>1370</v>
      </c>
      <c r="I4" s="69">
        <v>0.0</v>
      </c>
      <c r="J4" s="68" t="s">
        <v>1371</v>
      </c>
      <c r="K4" s="69">
        <v>0.0</v>
      </c>
      <c r="L4" s="68"/>
      <c r="M4" s="68"/>
      <c r="N4" s="68" t="s">
        <v>1372</v>
      </c>
      <c r="O4" s="69">
        <v>0.0</v>
      </c>
      <c r="P4" s="68"/>
      <c r="Q4" s="68"/>
      <c r="R4" s="68" t="s">
        <v>1373</v>
      </c>
      <c r="S4" s="69">
        <v>0.0</v>
      </c>
      <c r="T4" s="68"/>
      <c r="U4" s="68"/>
      <c r="V4" s="68" t="s">
        <v>1374</v>
      </c>
      <c r="W4" s="69">
        <v>0.0</v>
      </c>
      <c r="X4" s="68" t="s">
        <v>1375</v>
      </c>
      <c r="Y4" s="69">
        <v>0.0</v>
      </c>
      <c r="Z4" s="68" t="s">
        <v>1376</v>
      </c>
      <c r="AA4" s="69">
        <v>0.0</v>
      </c>
      <c r="AB4" s="68" t="s">
        <v>1377</v>
      </c>
      <c r="AC4" s="69">
        <v>0.0</v>
      </c>
      <c r="AD4" s="68" t="s">
        <v>1378</v>
      </c>
      <c r="AE4" s="69">
        <v>0.0</v>
      </c>
      <c r="AF4" s="68" t="s">
        <v>1379</v>
      </c>
      <c r="AG4" s="69">
        <v>0.0</v>
      </c>
      <c r="AH4" s="68" t="s">
        <v>1380</v>
      </c>
      <c r="AI4" s="69">
        <v>0.0</v>
      </c>
      <c r="AJ4" s="68" t="s">
        <v>1381</v>
      </c>
      <c r="AK4" s="69">
        <v>0.0</v>
      </c>
      <c r="AL4" s="68"/>
      <c r="AM4" s="68"/>
      <c r="AN4" s="68" t="s">
        <v>1382</v>
      </c>
      <c r="AO4" s="69">
        <v>0.0</v>
      </c>
      <c r="AP4" s="68" t="s">
        <v>1383</v>
      </c>
      <c r="AQ4" s="69">
        <v>0.0</v>
      </c>
      <c r="AR4" s="68"/>
      <c r="AS4" s="68"/>
    </row>
    <row r="5" ht="15.75" customHeight="1">
      <c r="A5" s="11">
        <v>1588.0</v>
      </c>
      <c r="B5" s="11" t="s">
        <v>42</v>
      </c>
      <c r="C5" s="12" t="str">
        <f t="shared" si="1"/>
        <v>LP 04_BC-02B_SKO</v>
      </c>
      <c r="D5" s="14" t="s">
        <v>1384</v>
      </c>
      <c r="E5" s="14" t="s">
        <v>1336</v>
      </c>
      <c r="F5" s="13" t="s">
        <v>1385</v>
      </c>
      <c r="G5" s="13" t="s">
        <v>269</v>
      </c>
      <c r="H5" s="68" t="s">
        <v>1386</v>
      </c>
      <c r="I5" s="69">
        <v>0.0</v>
      </c>
      <c r="J5" s="68" t="s">
        <v>1387</v>
      </c>
      <c r="K5" s="69">
        <v>0.0</v>
      </c>
      <c r="L5" s="68"/>
      <c r="M5" s="68"/>
      <c r="N5" s="68" t="s">
        <v>1388</v>
      </c>
      <c r="O5" s="69">
        <v>0.0</v>
      </c>
      <c r="P5" s="68"/>
      <c r="Q5" s="68"/>
      <c r="R5" s="68" t="s">
        <v>1389</v>
      </c>
      <c r="S5" s="69">
        <v>0.0</v>
      </c>
      <c r="T5" s="68"/>
      <c r="U5" s="68"/>
      <c r="V5" s="68" t="s">
        <v>1390</v>
      </c>
      <c r="W5" s="69">
        <v>0.0</v>
      </c>
      <c r="X5" s="68" t="s">
        <v>1391</v>
      </c>
      <c r="Y5" s="69">
        <v>0.0</v>
      </c>
      <c r="Z5" s="68" t="s">
        <v>1392</v>
      </c>
      <c r="AA5" s="69">
        <v>0.0</v>
      </c>
      <c r="AB5" s="68" t="s">
        <v>1393</v>
      </c>
      <c r="AC5" s="69">
        <v>0.0</v>
      </c>
      <c r="AD5" s="68" t="s">
        <v>1394</v>
      </c>
      <c r="AE5" s="69">
        <v>0.0</v>
      </c>
      <c r="AF5" s="68" t="s">
        <v>1395</v>
      </c>
      <c r="AG5" s="69">
        <v>0.0</v>
      </c>
      <c r="AH5" s="68" t="s">
        <v>1396</v>
      </c>
      <c r="AI5" s="69">
        <v>0.0</v>
      </c>
      <c r="AJ5" s="68" t="s">
        <v>1397</v>
      </c>
      <c r="AK5" s="69">
        <v>0.0</v>
      </c>
      <c r="AL5" s="68"/>
      <c r="AM5" s="68"/>
      <c r="AN5" s="68" t="s">
        <v>1398</v>
      </c>
      <c r="AO5" s="69">
        <v>0.0</v>
      </c>
      <c r="AP5" s="68" t="s">
        <v>1399</v>
      </c>
      <c r="AQ5" s="69">
        <v>0.0</v>
      </c>
      <c r="AR5" s="68"/>
      <c r="AS5" s="68"/>
    </row>
    <row r="6" ht="15.75" customHeight="1">
      <c r="A6" s="11">
        <v>1588.0</v>
      </c>
      <c r="B6" s="11" t="s">
        <v>42</v>
      </c>
      <c r="C6" s="12" t="str">
        <f t="shared" si="1"/>
        <v>LP 05_BC-03A_LOW RON MS</v>
      </c>
      <c r="D6" s="14" t="s">
        <v>1400</v>
      </c>
      <c r="E6" s="14" t="s">
        <v>1336</v>
      </c>
      <c r="F6" s="13" t="s">
        <v>1401</v>
      </c>
      <c r="G6" s="13" t="s">
        <v>156</v>
      </c>
      <c r="H6" s="68" t="s">
        <v>1402</v>
      </c>
      <c r="I6" s="69">
        <v>0.0</v>
      </c>
      <c r="J6" s="68" t="s">
        <v>1403</v>
      </c>
      <c r="K6" s="69">
        <v>0.0</v>
      </c>
      <c r="L6" s="68" t="s">
        <v>1404</v>
      </c>
      <c r="M6" s="69">
        <v>0.0</v>
      </c>
      <c r="N6" s="68" t="s">
        <v>1405</v>
      </c>
      <c r="O6" s="69">
        <v>0.0</v>
      </c>
      <c r="P6" s="68" t="s">
        <v>1406</v>
      </c>
      <c r="Q6" s="69">
        <v>0.0</v>
      </c>
      <c r="R6" s="68" t="s">
        <v>1407</v>
      </c>
      <c r="S6" s="69">
        <v>0.0</v>
      </c>
      <c r="T6" s="68" t="s">
        <v>1408</v>
      </c>
      <c r="U6" s="69">
        <v>0.0</v>
      </c>
      <c r="V6" s="68" t="s">
        <v>1409</v>
      </c>
      <c r="W6" s="69">
        <v>0.0</v>
      </c>
      <c r="X6" s="68" t="s">
        <v>1410</v>
      </c>
      <c r="Y6" s="69">
        <v>0.0</v>
      </c>
      <c r="Z6" s="68" t="s">
        <v>1411</v>
      </c>
      <c r="AA6" s="69">
        <v>0.0</v>
      </c>
      <c r="AB6" s="68" t="s">
        <v>1412</v>
      </c>
      <c r="AC6" s="69">
        <v>0.0</v>
      </c>
      <c r="AD6" s="68" t="s">
        <v>1413</v>
      </c>
      <c r="AE6" s="69">
        <v>0.0</v>
      </c>
      <c r="AF6" s="68" t="s">
        <v>1414</v>
      </c>
      <c r="AG6" s="69">
        <v>0.0</v>
      </c>
      <c r="AH6" s="68" t="s">
        <v>1415</v>
      </c>
      <c r="AI6" s="69">
        <v>0.0</v>
      </c>
      <c r="AJ6" s="68" t="s">
        <v>1416</v>
      </c>
      <c r="AK6" s="69">
        <v>0.0</v>
      </c>
      <c r="AL6" s="68" t="s">
        <v>1417</v>
      </c>
      <c r="AM6" s="69">
        <v>0.0</v>
      </c>
      <c r="AN6" s="68" t="s">
        <v>1418</v>
      </c>
      <c r="AO6" s="69">
        <v>0.0</v>
      </c>
      <c r="AP6" s="68" t="s">
        <v>1419</v>
      </c>
      <c r="AQ6" s="69">
        <v>0.0</v>
      </c>
      <c r="AR6" s="68" t="s">
        <v>1420</v>
      </c>
      <c r="AS6" s="69">
        <v>0.0</v>
      </c>
    </row>
    <row r="7" ht="15.75" customHeight="1">
      <c r="A7" s="11">
        <v>1588.0</v>
      </c>
      <c r="B7" s="11" t="s">
        <v>42</v>
      </c>
      <c r="C7" s="12" t="str">
        <f t="shared" si="1"/>
        <v>LP 06_BC-03B_BS VI HSD</v>
      </c>
      <c r="D7" s="14" t="s">
        <v>1421</v>
      </c>
      <c r="E7" s="14" t="s">
        <v>1336</v>
      </c>
      <c r="F7" s="13" t="s">
        <v>1422</v>
      </c>
      <c r="G7" s="13" t="s">
        <v>109</v>
      </c>
      <c r="H7" s="68" t="s">
        <v>1423</v>
      </c>
      <c r="I7" s="69">
        <v>0.0</v>
      </c>
      <c r="J7" s="68" t="s">
        <v>1424</v>
      </c>
      <c r="K7" s="69">
        <v>0.0</v>
      </c>
      <c r="L7" s="68"/>
      <c r="M7" s="68"/>
      <c r="N7" s="68" t="s">
        <v>1425</v>
      </c>
      <c r="O7" s="69">
        <v>0.0</v>
      </c>
      <c r="P7" s="68"/>
      <c r="Q7" s="68"/>
      <c r="R7" s="68" t="s">
        <v>1426</v>
      </c>
      <c r="S7" s="69">
        <v>0.0</v>
      </c>
      <c r="T7" s="68"/>
      <c r="U7" s="68"/>
      <c r="V7" s="68" t="s">
        <v>1427</v>
      </c>
      <c r="W7" s="69">
        <v>0.0</v>
      </c>
      <c r="X7" s="68" t="s">
        <v>1428</v>
      </c>
      <c r="Y7" s="69">
        <v>0.0</v>
      </c>
      <c r="Z7" s="68" t="s">
        <v>1429</v>
      </c>
      <c r="AA7" s="69">
        <v>0.0</v>
      </c>
      <c r="AB7" s="68" t="s">
        <v>1430</v>
      </c>
      <c r="AC7" s="69">
        <v>0.0</v>
      </c>
      <c r="AD7" s="68" t="s">
        <v>1431</v>
      </c>
      <c r="AE7" s="69">
        <v>0.0</v>
      </c>
      <c r="AF7" s="68" t="s">
        <v>1432</v>
      </c>
      <c r="AG7" s="69">
        <v>0.0</v>
      </c>
      <c r="AH7" s="68" t="s">
        <v>1433</v>
      </c>
      <c r="AI7" s="69">
        <v>0.0</v>
      </c>
      <c r="AJ7" s="68" t="s">
        <v>1434</v>
      </c>
      <c r="AK7" s="69">
        <v>0.0</v>
      </c>
      <c r="AL7" s="68"/>
      <c r="AM7" s="68"/>
      <c r="AN7" s="68" t="s">
        <v>1435</v>
      </c>
      <c r="AO7" s="69">
        <v>0.0</v>
      </c>
      <c r="AP7" s="68" t="s">
        <v>1436</v>
      </c>
      <c r="AQ7" s="69">
        <v>0.0</v>
      </c>
      <c r="AR7" s="68"/>
      <c r="AS7" s="68"/>
    </row>
    <row r="8" ht="15.75" customHeight="1">
      <c r="A8" s="11">
        <v>1588.0</v>
      </c>
      <c r="B8" s="11" t="s">
        <v>42</v>
      </c>
      <c r="C8" s="12" t="str">
        <f t="shared" si="1"/>
        <v>LP 07_BC-04A_BS VI HSD</v>
      </c>
      <c r="D8" s="14" t="s">
        <v>1437</v>
      </c>
      <c r="E8" s="14" t="s">
        <v>1336</v>
      </c>
      <c r="F8" s="13" t="s">
        <v>1438</v>
      </c>
      <c r="G8" s="13" t="s">
        <v>109</v>
      </c>
      <c r="H8" s="68" t="s">
        <v>1439</v>
      </c>
      <c r="I8" s="69">
        <v>0.0</v>
      </c>
      <c r="J8" s="68" t="s">
        <v>1440</v>
      </c>
      <c r="K8" s="69">
        <v>0.0</v>
      </c>
      <c r="L8" s="68"/>
      <c r="M8" s="68"/>
      <c r="N8" s="68" t="s">
        <v>1441</v>
      </c>
      <c r="O8" s="69">
        <v>0.0</v>
      </c>
      <c r="P8" s="68"/>
      <c r="Q8" s="68"/>
      <c r="R8" s="68" t="s">
        <v>1442</v>
      </c>
      <c r="S8" s="69">
        <v>0.0</v>
      </c>
      <c r="T8" s="68"/>
      <c r="U8" s="68"/>
      <c r="V8" s="68" t="s">
        <v>1443</v>
      </c>
      <c r="W8" s="69">
        <v>0.0</v>
      </c>
      <c r="X8" s="68" t="s">
        <v>1444</v>
      </c>
      <c r="Y8" s="69">
        <v>0.0</v>
      </c>
      <c r="Z8" s="68" t="s">
        <v>1445</v>
      </c>
      <c r="AA8" s="69">
        <v>0.0</v>
      </c>
      <c r="AB8" s="68" t="s">
        <v>1446</v>
      </c>
      <c r="AC8" s="69">
        <v>0.0</v>
      </c>
      <c r="AD8" s="68" t="s">
        <v>1447</v>
      </c>
      <c r="AE8" s="69">
        <v>0.0</v>
      </c>
      <c r="AF8" s="68" t="s">
        <v>1448</v>
      </c>
      <c r="AG8" s="69">
        <v>0.0</v>
      </c>
      <c r="AH8" s="68" t="s">
        <v>1449</v>
      </c>
      <c r="AI8" s="69">
        <v>0.0</v>
      </c>
      <c r="AJ8" s="68" t="s">
        <v>1450</v>
      </c>
      <c r="AK8" s="69">
        <v>0.0</v>
      </c>
      <c r="AL8" s="68"/>
      <c r="AM8" s="68"/>
      <c r="AN8" s="68" t="s">
        <v>1451</v>
      </c>
      <c r="AO8" s="69">
        <v>0.0</v>
      </c>
      <c r="AP8" s="68" t="s">
        <v>1452</v>
      </c>
      <c r="AQ8" s="69">
        <v>0.0</v>
      </c>
      <c r="AR8" s="68"/>
      <c r="AS8" s="68"/>
    </row>
    <row r="9" ht="15.75" customHeight="1">
      <c r="A9" s="11">
        <v>1588.0</v>
      </c>
      <c r="B9" s="11" t="s">
        <v>42</v>
      </c>
      <c r="C9" s="12" t="str">
        <f t="shared" si="1"/>
        <v>LP 08_BC-04B_BS VI HSD</v>
      </c>
      <c r="D9" s="14" t="s">
        <v>1453</v>
      </c>
      <c r="E9" s="14" t="s">
        <v>1336</v>
      </c>
      <c r="F9" s="13" t="s">
        <v>1454</v>
      </c>
      <c r="G9" s="13" t="s">
        <v>109</v>
      </c>
      <c r="H9" s="68" t="s">
        <v>1455</v>
      </c>
      <c r="I9" s="69">
        <v>0.0</v>
      </c>
      <c r="J9" s="68" t="s">
        <v>1456</v>
      </c>
      <c r="K9" s="69">
        <v>0.0</v>
      </c>
      <c r="L9" s="68"/>
      <c r="M9" s="68"/>
      <c r="N9" s="68" t="s">
        <v>1457</v>
      </c>
      <c r="O9" s="69">
        <v>0.0</v>
      </c>
      <c r="P9" s="68"/>
      <c r="Q9" s="68"/>
      <c r="R9" s="68" t="s">
        <v>1458</v>
      </c>
      <c r="S9" s="69">
        <v>0.0</v>
      </c>
      <c r="T9" s="68"/>
      <c r="U9" s="68"/>
      <c r="V9" s="68" t="s">
        <v>1459</v>
      </c>
      <c r="W9" s="69">
        <v>0.0</v>
      </c>
      <c r="X9" s="68" t="s">
        <v>1460</v>
      </c>
      <c r="Y9" s="69">
        <v>0.0</v>
      </c>
      <c r="Z9" s="68" t="s">
        <v>1461</v>
      </c>
      <c r="AA9" s="69">
        <v>0.0</v>
      </c>
      <c r="AB9" s="68" t="s">
        <v>1462</v>
      </c>
      <c r="AC9" s="69">
        <v>0.0</v>
      </c>
      <c r="AD9" s="68" t="s">
        <v>1463</v>
      </c>
      <c r="AE9" s="69">
        <v>0.0</v>
      </c>
      <c r="AF9" s="68" t="s">
        <v>1464</v>
      </c>
      <c r="AG9" s="69">
        <v>0.0</v>
      </c>
      <c r="AH9" s="68" t="s">
        <v>1465</v>
      </c>
      <c r="AI9" s="69">
        <v>0.0</v>
      </c>
      <c r="AJ9" s="68" t="s">
        <v>1466</v>
      </c>
      <c r="AK9" s="69">
        <v>0.0</v>
      </c>
      <c r="AL9" s="68"/>
      <c r="AM9" s="68"/>
      <c r="AN9" s="68" t="s">
        <v>1467</v>
      </c>
      <c r="AO9" s="69">
        <v>0.0</v>
      </c>
      <c r="AP9" s="68" t="s">
        <v>1468</v>
      </c>
      <c r="AQ9" s="69">
        <v>0.0</v>
      </c>
      <c r="AR9" s="68"/>
      <c r="AS9" s="68"/>
    </row>
    <row r="10" ht="15.75" customHeight="1">
      <c r="A10" s="11">
        <v>1588.0</v>
      </c>
      <c r="B10" s="11" t="s">
        <v>42</v>
      </c>
      <c r="C10" s="12" t="str">
        <f t="shared" si="1"/>
        <v>LP 09_BC-05A_LOW RON MS</v>
      </c>
      <c r="D10" s="14" t="s">
        <v>1469</v>
      </c>
      <c r="E10" s="14" t="s">
        <v>1336</v>
      </c>
      <c r="F10" s="13" t="s">
        <v>1470</v>
      </c>
      <c r="G10" s="13" t="s">
        <v>156</v>
      </c>
      <c r="H10" s="68" t="s">
        <v>1471</v>
      </c>
      <c r="I10" s="69">
        <v>0.0</v>
      </c>
      <c r="J10" s="68" t="s">
        <v>1472</v>
      </c>
      <c r="K10" s="69">
        <v>0.0</v>
      </c>
      <c r="L10" s="68" t="s">
        <v>1473</v>
      </c>
      <c r="M10" s="69">
        <v>0.0</v>
      </c>
      <c r="N10" s="68" t="s">
        <v>1474</v>
      </c>
      <c r="O10" s="69">
        <v>0.0</v>
      </c>
      <c r="P10" s="68" t="s">
        <v>1475</v>
      </c>
      <c r="Q10" s="69">
        <v>0.0</v>
      </c>
      <c r="R10" s="68" t="s">
        <v>1476</v>
      </c>
      <c r="S10" s="69">
        <v>0.0</v>
      </c>
      <c r="T10" s="68" t="s">
        <v>1477</v>
      </c>
      <c r="U10" s="69">
        <v>0.0</v>
      </c>
      <c r="V10" s="68" t="s">
        <v>1478</v>
      </c>
      <c r="W10" s="69">
        <v>0.0</v>
      </c>
      <c r="X10" s="68" t="s">
        <v>1479</v>
      </c>
      <c r="Y10" s="69">
        <v>0.0</v>
      </c>
      <c r="Z10" s="68" t="s">
        <v>1480</v>
      </c>
      <c r="AA10" s="69">
        <v>0.0</v>
      </c>
      <c r="AB10" s="68" t="s">
        <v>1481</v>
      </c>
      <c r="AC10" s="69">
        <v>0.0</v>
      </c>
      <c r="AD10" s="68" t="s">
        <v>1482</v>
      </c>
      <c r="AE10" s="69">
        <v>0.0</v>
      </c>
      <c r="AF10" s="68" t="s">
        <v>1483</v>
      </c>
      <c r="AG10" s="69">
        <v>0.0</v>
      </c>
      <c r="AH10" s="68" t="s">
        <v>1484</v>
      </c>
      <c r="AI10" s="69">
        <v>0.0</v>
      </c>
      <c r="AJ10" s="68" t="s">
        <v>1485</v>
      </c>
      <c r="AK10" s="69">
        <v>0.0</v>
      </c>
      <c r="AL10" s="68" t="s">
        <v>1486</v>
      </c>
      <c r="AM10" s="69">
        <v>0.0</v>
      </c>
      <c r="AN10" s="68" t="s">
        <v>1487</v>
      </c>
      <c r="AO10" s="69">
        <v>0.0</v>
      </c>
      <c r="AP10" s="68" t="s">
        <v>1488</v>
      </c>
      <c r="AQ10" s="69">
        <v>0.0</v>
      </c>
      <c r="AR10" s="68" t="s">
        <v>1489</v>
      </c>
      <c r="AS10" s="69">
        <v>0.0</v>
      </c>
    </row>
    <row r="11" ht="15.75" customHeight="1">
      <c r="A11" s="11">
        <v>1588.0</v>
      </c>
      <c r="B11" s="11" t="s">
        <v>42</v>
      </c>
      <c r="C11" s="12" t="str">
        <f t="shared" si="1"/>
        <v>LP 10_BC-05B_BS VI HSD</v>
      </c>
      <c r="D11" s="14" t="s">
        <v>1490</v>
      </c>
      <c r="E11" s="14" t="s">
        <v>1336</v>
      </c>
      <c r="F11" s="13" t="s">
        <v>1491</v>
      </c>
      <c r="G11" s="13" t="s">
        <v>109</v>
      </c>
      <c r="H11" s="68" t="s">
        <v>1492</v>
      </c>
      <c r="I11" s="69">
        <v>0.0</v>
      </c>
      <c r="J11" s="68" t="s">
        <v>1493</v>
      </c>
      <c r="K11" s="69">
        <v>0.0</v>
      </c>
      <c r="L11" s="68"/>
      <c r="M11" s="68"/>
      <c r="N11" s="68" t="s">
        <v>1494</v>
      </c>
      <c r="O11" s="69">
        <v>0.0</v>
      </c>
      <c r="P11" s="68"/>
      <c r="Q11" s="68"/>
      <c r="R11" s="68" t="s">
        <v>1495</v>
      </c>
      <c r="S11" s="69">
        <v>0.0</v>
      </c>
      <c r="T11" s="68"/>
      <c r="U11" s="68"/>
      <c r="V11" s="68" t="s">
        <v>1496</v>
      </c>
      <c r="W11" s="69">
        <v>0.0</v>
      </c>
      <c r="X11" s="68" t="s">
        <v>1497</v>
      </c>
      <c r="Y11" s="69">
        <v>0.0</v>
      </c>
      <c r="Z11" s="68" t="s">
        <v>1498</v>
      </c>
      <c r="AA11" s="69">
        <v>0.0</v>
      </c>
      <c r="AB11" s="68" t="s">
        <v>1499</v>
      </c>
      <c r="AC11" s="69">
        <v>0.0</v>
      </c>
      <c r="AD11" s="68" t="s">
        <v>1500</v>
      </c>
      <c r="AE11" s="69">
        <v>0.0</v>
      </c>
      <c r="AF11" s="68" t="s">
        <v>1501</v>
      </c>
      <c r="AG11" s="69">
        <v>0.0</v>
      </c>
      <c r="AH11" s="68" t="s">
        <v>1502</v>
      </c>
      <c r="AI11" s="69">
        <v>0.0</v>
      </c>
      <c r="AJ11" s="68" t="s">
        <v>1503</v>
      </c>
      <c r="AK11" s="69">
        <v>0.0</v>
      </c>
      <c r="AL11" s="68"/>
      <c r="AM11" s="68"/>
      <c r="AN11" s="68" t="s">
        <v>1504</v>
      </c>
      <c r="AO11" s="69">
        <v>0.0</v>
      </c>
      <c r="AP11" s="68" t="s">
        <v>1505</v>
      </c>
      <c r="AQ11" s="69">
        <v>0.0</v>
      </c>
      <c r="AR11" s="68"/>
      <c r="AS11" s="68"/>
    </row>
    <row r="12" ht="15.75" customHeight="1">
      <c r="A12" s="11">
        <v>1588.0</v>
      </c>
      <c r="B12" s="11" t="s">
        <v>42</v>
      </c>
      <c r="C12" s="12" t="str">
        <f t="shared" si="1"/>
        <v>LP 11_BC-06A_LOW RON MS</v>
      </c>
      <c r="D12" s="14" t="s">
        <v>1506</v>
      </c>
      <c r="E12" s="14" t="s">
        <v>1336</v>
      </c>
      <c r="F12" s="13" t="s">
        <v>1507</v>
      </c>
      <c r="G12" s="13" t="s">
        <v>156</v>
      </c>
      <c r="H12" s="68" t="s">
        <v>1508</v>
      </c>
      <c r="I12" s="69">
        <v>0.0</v>
      </c>
      <c r="J12" s="68" t="s">
        <v>1509</v>
      </c>
      <c r="K12" s="69">
        <v>0.0</v>
      </c>
      <c r="L12" s="68" t="s">
        <v>1510</v>
      </c>
      <c r="M12" s="69">
        <v>0.0</v>
      </c>
      <c r="N12" s="68" t="s">
        <v>1511</v>
      </c>
      <c r="O12" s="69">
        <v>0.0</v>
      </c>
      <c r="P12" s="68" t="s">
        <v>1512</v>
      </c>
      <c r="Q12" s="69">
        <v>0.0</v>
      </c>
      <c r="R12" s="68" t="s">
        <v>1513</v>
      </c>
      <c r="S12" s="69">
        <v>0.0</v>
      </c>
      <c r="T12" s="68" t="s">
        <v>1514</v>
      </c>
      <c r="U12" s="69">
        <v>0.0</v>
      </c>
      <c r="V12" s="68" t="s">
        <v>1515</v>
      </c>
      <c r="W12" s="69">
        <v>0.0</v>
      </c>
      <c r="X12" s="68" t="s">
        <v>1516</v>
      </c>
      <c r="Y12" s="69">
        <v>0.0</v>
      </c>
      <c r="Z12" s="68" t="s">
        <v>1517</v>
      </c>
      <c r="AA12" s="69">
        <v>0.0</v>
      </c>
      <c r="AB12" s="68" t="s">
        <v>1518</v>
      </c>
      <c r="AC12" s="69">
        <v>0.0</v>
      </c>
      <c r="AD12" s="68" t="s">
        <v>1519</v>
      </c>
      <c r="AE12" s="69">
        <v>0.0</v>
      </c>
      <c r="AF12" s="68" t="s">
        <v>1520</v>
      </c>
      <c r="AG12" s="69">
        <v>0.0</v>
      </c>
      <c r="AH12" s="68" t="s">
        <v>1521</v>
      </c>
      <c r="AI12" s="69">
        <v>0.0</v>
      </c>
      <c r="AJ12" s="68" t="s">
        <v>1522</v>
      </c>
      <c r="AK12" s="69">
        <v>0.0</v>
      </c>
      <c r="AL12" s="68" t="s">
        <v>1523</v>
      </c>
      <c r="AM12" s="69">
        <v>0.0</v>
      </c>
      <c r="AN12" s="68" t="s">
        <v>1524</v>
      </c>
      <c r="AO12" s="69">
        <v>0.0</v>
      </c>
      <c r="AP12" s="68" t="s">
        <v>1525</v>
      </c>
      <c r="AQ12" s="69">
        <v>0.0</v>
      </c>
      <c r="AR12" s="68" t="s">
        <v>1526</v>
      </c>
      <c r="AS12" s="69">
        <v>0.0</v>
      </c>
    </row>
    <row r="13" ht="15.75" customHeight="1">
      <c r="A13" s="11">
        <v>1588.0</v>
      </c>
      <c r="B13" s="11" t="s">
        <v>42</v>
      </c>
      <c r="C13" s="12" t="str">
        <f t="shared" si="1"/>
        <v>LP 12_BC-06B_BS VI HSD</v>
      </c>
      <c r="D13" s="14" t="s">
        <v>1527</v>
      </c>
      <c r="E13" s="14" t="s">
        <v>1336</v>
      </c>
      <c r="F13" s="13" t="s">
        <v>1528</v>
      </c>
      <c r="G13" s="13" t="s">
        <v>109</v>
      </c>
      <c r="H13" s="68" t="s">
        <v>1529</v>
      </c>
      <c r="I13" s="69">
        <v>0.0</v>
      </c>
      <c r="J13" s="68" t="s">
        <v>1530</v>
      </c>
      <c r="K13" s="69">
        <v>0.0</v>
      </c>
      <c r="L13" s="68"/>
      <c r="M13" s="68"/>
      <c r="N13" s="68" t="s">
        <v>1531</v>
      </c>
      <c r="O13" s="69">
        <v>0.0</v>
      </c>
      <c r="P13" s="68"/>
      <c r="Q13" s="68"/>
      <c r="R13" s="68" t="s">
        <v>1532</v>
      </c>
      <c r="S13" s="69">
        <v>0.0</v>
      </c>
      <c r="T13" s="68"/>
      <c r="U13" s="68"/>
      <c r="V13" s="68" t="s">
        <v>1533</v>
      </c>
      <c r="W13" s="69">
        <v>0.0</v>
      </c>
      <c r="X13" s="68" t="s">
        <v>1534</v>
      </c>
      <c r="Y13" s="69">
        <v>0.0</v>
      </c>
      <c r="Z13" s="68" t="s">
        <v>1535</v>
      </c>
      <c r="AA13" s="69">
        <v>0.0</v>
      </c>
      <c r="AB13" s="68" t="s">
        <v>1536</v>
      </c>
      <c r="AC13" s="69">
        <v>0.0</v>
      </c>
      <c r="AD13" s="68" t="s">
        <v>1537</v>
      </c>
      <c r="AE13" s="69">
        <v>0.0</v>
      </c>
      <c r="AF13" s="68" t="s">
        <v>1538</v>
      </c>
      <c r="AG13" s="69">
        <v>0.0</v>
      </c>
      <c r="AH13" s="68" t="s">
        <v>1539</v>
      </c>
      <c r="AI13" s="69">
        <v>0.0</v>
      </c>
      <c r="AJ13" s="68" t="s">
        <v>1540</v>
      </c>
      <c r="AK13" s="69">
        <v>0.0</v>
      </c>
      <c r="AL13" s="68"/>
      <c r="AM13" s="68"/>
      <c r="AN13" s="68" t="s">
        <v>1541</v>
      </c>
      <c r="AO13" s="69">
        <v>0.0</v>
      </c>
      <c r="AP13" s="68" t="s">
        <v>1542</v>
      </c>
      <c r="AQ13" s="69">
        <v>0.0</v>
      </c>
      <c r="AR13" s="68"/>
      <c r="AS13" s="68"/>
    </row>
    <row r="14" ht="15.75" customHeight="1">
      <c r="A14" s="11">
        <v>1588.0</v>
      </c>
      <c r="B14" s="11" t="s">
        <v>42</v>
      </c>
      <c r="C14" s="12" t="str">
        <f t="shared" si="1"/>
        <v>LP 13_BC-07A_LOW RON MS</v>
      </c>
      <c r="D14" s="14" t="s">
        <v>1543</v>
      </c>
      <c r="E14" s="14" t="s">
        <v>1336</v>
      </c>
      <c r="F14" s="13" t="s">
        <v>1544</v>
      </c>
      <c r="G14" s="13" t="s">
        <v>156</v>
      </c>
      <c r="H14" s="68" t="s">
        <v>1545</v>
      </c>
      <c r="I14" s="69">
        <v>0.0</v>
      </c>
      <c r="J14" s="68" t="s">
        <v>1546</v>
      </c>
      <c r="K14" s="69">
        <v>0.0</v>
      </c>
      <c r="L14" s="68" t="s">
        <v>1547</v>
      </c>
      <c r="M14" s="69">
        <v>0.0</v>
      </c>
      <c r="N14" s="68" t="s">
        <v>1548</v>
      </c>
      <c r="O14" s="69">
        <v>0.0</v>
      </c>
      <c r="P14" s="68" t="s">
        <v>1549</v>
      </c>
      <c r="Q14" s="69">
        <v>0.0</v>
      </c>
      <c r="R14" s="68" t="s">
        <v>1550</v>
      </c>
      <c r="S14" s="69">
        <v>0.0</v>
      </c>
      <c r="T14" s="68" t="s">
        <v>1551</v>
      </c>
      <c r="U14" s="69">
        <v>0.0</v>
      </c>
      <c r="V14" s="68" t="s">
        <v>1552</v>
      </c>
      <c r="W14" s="69">
        <v>0.0</v>
      </c>
      <c r="X14" s="68" t="s">
        <v>1553</v>
      </c>
      <c r="Y14" s="69">
        <v>0.0</v>
      </c>
      <c r="Z14" s="68" t="s">
        <v>1554</v>
      </c>
      <c r="AA14" s="69">
        <v>0.0</v>
      </c>
      <c r="AB14" s="68" t="s">
        <v>1555</v>
      </c>
      <c r="AC14" s="69">
        <v>0.0</v>
      </c>
      <c r="AD14" s="68" t="s">
        <v>1556</v>
      </c>
      <c r="AE14" s="69">
        <v>0.0</v>
      </c>
      <c r="AF14" s="68" t="s">
        <v>1557</v>
      </c>
      <c r="AG14" s="69">
        <v>0.0</v>
      </c>
      <c r="AH14" s="68" t="s">
        <v>1558</v>
      </c>
      <c r="AI14" s="69">
        <v>0.0</v>
      </c>
      <c r="AJ14" s="68" t="s">
        <v>1559</v>
      </c>
      <c r="AK14" s="69">
        <v>0.0</v>
      </c>
      <c r="AL14" s="68" t="s">
        <v>1560</v>
      </c>
      <c r="AM14" s="69">
        <v>0.0</v>
      </c>
      <c r="AN14" s="68" t="s">
        <v>1561</v>
      </c>
      <c r="AO14" s="69">
        <v>0.0</v>
      </c>
      <c r="AP14" s="68" t="s">
        <v>1562</v>
      </c>
      <c r="AQ14" s="69">
        <v>0.0</v>
      </c>
      <c r="AR14" s="68" t="s">
        <v>1563</v>
      </c>
      <c r="AS14" s="69">
        <v>0.0</v>
      </c>
    </row>
    <row r="15" ht="15.75" customHeight="1">
      <c r="A15" s="11">
        <v>1588.0</v>
      </c>
      <c r="B15" s="11" t="s">
        <v>42</v>
      </c>
      <c r="C15" s="12" t="str">
        <f t="shared" si="1"/>
        <v>LP 14_BC-07B_BS VI HSD</v>
      </c>
      <c r="D15" s="14" t="s">
        <v>1564</v>
      </c>
      <c r="E15" s="14" t="s">
        <v>1336</v>
      </c>
      <c r="F15" s="13" t="s">
        <v>1565</v>
      </c>
      <c r="G15" s="13" t="s">
        <v>109</v>
      </c>
      <c r="H15" s="68" t="s">
        <v>1566</v>
      </c>
      <c r="I15" s="69">
        <v>0.0</v>
      </c>
      <c r="J15" s="68" t="s">
        <v>1567</v>
      </c>
      <c r="K15" s="69">
        <v>0.0</v>
      </c>
      <c r="L15" s="68"/>
      <c r="M15" s="68"/>
      <c r="N15" s="68" t="s">
        <v>1568</v>
      </c>
      <c r="O15" s="69">
        <v>0.0</v>
      </c>
      <c r="P15" s="68"/>
      <c r="Q15" s="68"/>
      <c r="R15" s="68" t="s">
        <v>1569</v>
      </c>
      <c r="S15" s="69">
        <v>0.0</v>
      </c>
      <c r="T15" s="68"/>
      <c r="U15" s="68"/>
      <c r="V15" s="68" t="s">
        <v>1570</v>
      </c>
      <c r="W15" s="69">
        <v>0.0</v>
      </c>
      <c r="X15" s="68" t="s">
        <v>1571</v>
      </c>
      <c r="Y15" s="69">
        <v>0.0</v>
      </c>
      <c r="Z15" s="68" t="s">
        <v>1572</v>
      </c>
      <c r="AA15" s="69">
        <v>0.0</v>
      </c>
      <c r="AB15" s="68" t="s">
        <v>1573</v>
      </c>
      <c r="AC15" s="69">
        <v>0.0</v>
      </c>
      <c r="AD15" s="68" t="s">
        <v>1574</v>
      </c>
      <c r="AE15" s="69">
        <v>0.0</v>
      </c>
      <c r="AF15" s="68" t="s">
        <v>1575</v>
      </c>
      <c r="AG15" s="69">
        <v>0.0</v>
      </c>
      <c r="AH15" s="68" t="s">
        <v>1576</v>
      </c>
      <c r="AI15" s="69">
        <v>0.0</v>
      </c>
      <c r="AJ15" s="68" t="s">
        <v>1577</v>
      </c>
      <c r="AK15" s="69">
        <v>0.0</v>
      </c>
      <c r="AL15" s="68"/>
      <c r="AM15" s="68"/>
      <c r="AN15" s="68" t="s">
        <v>1578</v>
      </c>
      <c r="AO15" s="69">
        <v>0.0</v>
      </c>
      <c r="AP15" s="68" t="s">
        <v>1579</v>
      </c>
      <c r="AQ15" s="69">
        <v>0.0</v>
      </c>
      <c r="AR15" s="68"/>
      <c r="AS15" s="68"/>
    </row>
    <row r="16" ht="15.75" customHeight="1">
      <c r="A16" s="11">
        <v>1588.0</v>
      </c>
      <c r="B16" s="11" t="s">
        <v>42</v>
      </c>
      <c r="C16" s="12" t="str">
        <f t="shared" si="1"/>
        <v>LP 15_BC-08A_LOW RON MS</v>
      </c>
      <c r="D16" s="14" t="s">
        <v>1580</v>
      </c>
      <c r="E16" s="14" t="s">
        <v>1336</v>
      </c>
      <c r="F16" s="13" t="s">
        <v>1581</v>
      </c>
      <c r="G16" s="13" t="s">
        <v>156</v>
      </c>
      <c r="H16" s="68" t="s">
        <v>1582</v>
      </c>
      <c r="I16" s="69">
        <v>0.0</v>
      </c>
      <c r="J16" s="68" t="s">
        <v>1583</v>
      </c>
      <c r="K16" s="69">
        <v>0.0</v>
      </c>
      <c r="L16" s="68" t="s">
        <v>1584</v>
      </c>
      <c r="M16" s="69">
        <v>0.0</v>
      </c>
      <c r="N16" s="68" t="s">
        <v>1585</v>
      </c>
      <c r="O16" s="69">
        <v>0.0</v>
      </c>
      <c r="P16" s="68" t="s">
        <v>1586</v>
      </c>
      <c r="Q16" s="69">
        <v>0.0</v>
      </c>
      <c r="R16" s="68" t="s">
        <v>1587</v>
      </c>
      <c r="S16" s="69">
        <v>0.0</v>
      </c>
      <c r="T16" s="68" t="s">
        <v>1588</v>
      </c>
      <c r="U16" s="69">
        <v>0.0</v>
      </c>
      <c r="V16" s="68" t="s">
        <v>1589</v>
      </c>
      <c r="W16" s="69">
        <v>0.0</v>
      </c>
      <c r="X16" s="68" t="s">
        <v>1590</v>
      </c>
      <c r="Y16" s="69">
        <v>0.0</v>
      </c>
      <c r="Z16" s="68" t="s">
        <v>1591</v>
      </c>
      <c r="AA16" s="69">
        <v>0.0</v>
      </c>
      <c r="AB16" s="68" t="s">
        <v>1592</v>
      </c>
      <c r="AC16" s="69">
        <v>0.0</v>
      </c>
      <c r="AD16" s="68" t="s">
        <v>1593</v>
      </c>
      <c r="AE16" s="69">
        <v>0.0</v>
      </c>
      <c r="AF16" s="68" t="s">
        <v>1594</v>
      </c>
      <c r="AG16" s="69">
        <v>0.0</v>
      </c>
      <c r="AH16" s="68" t="s">
        <v>1595</v>
      </c>
      <c r="AI16" s="69">
        <v>0.0</v>
      </c>
      <c r="AJ16" s="68" t="s">
        <v>1596</v>
      </c>
      <c r="AK16" s="69">
        <v>0.0</v>
      </c>
      <c r="AL16" s="68" t="s">
        <v>1597</v>
      </c>
      <c r="AM16" s="69">
        <v>0.0</v>
      </c>
      <c r="AN16" s="68" t="s">
        <v>1598</v>
      </c>
      <c r="AO16" s="69">
        <v>0.0</v>
      </c>
      <c r="AP16" s="68" t="s">
        <v>1599</v>
      </c>
      <c r="AQ16" s="69">
        <v>0.0</v>
      </c>
      <c r="AR16" s="68" t="s">
        <v>1600</v>
      </c>
      <c r="AS16" s="69">
        <v>0.0</v>
      </c>
    </row>
    <row r="17" ht="15.75" customHeight="1">
      <c r="A17" s="11">
        <v>1588.0</v>
      </c>
      <c r="B17" s="11" t="s">
        <v>42</v>
      </c>
      <c r="C17" s="12" t="str">
        <f t="shared" si="1"/>
        <v>LP 16_BC-08B_BS VI HSD</v>
      </c>
      <c r="D17" s="14" t="s">
        <v>1601</v>
      </c>
      <c r="E17" s="14" t="s">
        <v>1336</v>
      </c>
      <c r="F17" s="13" t="s">
        <v>1602</v>
      </c>
      <c r="G17" s="13" t="s">
        <v>109</v>
      </c>
      <c r="H17" s="68" t="s">
        <v>1603</v>
      </c>
      <c r="I17" s="69">
        <v>0.0</v>
      </c>
      <c r="J17" s="68" t="s">
        <v>1604</v>
      </c>
      <c r="K17" s="69">
        <v>0.0</v>
      </c>
      <c r="L17" s="68"/>
      <c r="M17" s="68"/>
      <c r="N17" s="68" t="s">
        <v>1605</v>
      </c>
      <c r="O17" s="69">
        <v>0.0</v>
      </c>
      <c r="P17" s="68"/>
      <c r="Q17" s="68"/>
      <c r="R17" s="68" t="s">
        <v>1606</v>
      </c>
      <c r="S17" s="69">
        <v>0.0</v>
      </c>
      <c r="T17" s="68"/>
      <c r="U17" s="68"/>
      <c r="V17" s="68" t="s">
        <v>1607</v>
      </c>
      <c r="W17" s="69">
        <v>0.0</v>
      </c>
      <c r="X17" s="68" t="s">
        <v>1608</v>
      </c>
      <c r="Y17" s="69">
        <v>0.0</v>
      </c>
      <c r="Z17" s="68" t="s">
        <v>1609</v>
      </c>
      <c r="AA17" s="69">
        <v>0.0</v>
      </c>
      <c r="AB17" s="68" t="s">
        <v>1610</v>
      </c>
      <c r="AC17" s="69">
        <v>0.0</v>
      </c>
      <c r="AD17" s="68" t="s">
        <v>1611</v>
      </c>
      <c r="AE17" s="69">
        <v>0.0</v>
      </c>
      <c r="AF17" s="68" t="s">
        <v>1612</v>
      </c>
      <c r="AG17" s="69">
        <v>0.0</v>
      </c>
      <c r="AH17" s="68" t="s">
        <v>1613</v>
      </c>
      <c r="AI17" s="69">
        <v>0.0</v>
      </c>
      <c r="AJ17" s="68" t="s">
        <v>1614</v>
      </c>
      <c r="AK17" s="69">
        <v>0.0</v>
      </c>
      <c r="AL17" s="68"/>
      <c r="AM17" s="68"/>
      <c r="AN17" s="68" t="s">
        <v>1615</v>
      </c>
      <c r="AO17" s="69">
        <v>0.0</v>
      </c>
      <c r="AP17" s="68" t="s">
        <v>1616</v>
      </c>
      <c r="AQ17" s="69">
        <v>0.0</v>
      </c>
      <c r="AR17" s="68"/>
      <c r="AS17" s="68"/>
    </row>
    <row r="18" ht="15.75" customHeight="1">
      <c r="A18" s="11">
        <v>1588.0</v>
      </c>
      <c r="B18" s="11" t="s">
        <v>42</v>
      </c>
      <c r="C18" s="12" t="str">
        <f t="shared" si="1"/>
        <v>LP 17_BC-09A_LOW RON MS</v>
      </c>
      <c r="D18" s="14" t="s">
        <v>1617</v>
      </c>
      <c r="E18" s="14" t="s">
        <v>1336</v>
      </c>
      <c r="F18" s="13" t="s">
        <v>1618</v>
      </c>
      <c r="G18" s="13" t="s">
        <v>156</v>
      </c>
      <c r="H18" s="68" t="s">
        <v>1619</v>
      </c>
      <c r="I18" s="69">
        <v>0.0</v>
      </c>
      <c r="J18" s="68" t="s">
        <v>1620</v>
      </c>
      <c r="K18" s="69">
        <v>0.0</v>
      </c>
      <c r="L18" s="68" t="s">
        <v>1621</v>
      </c>
      <c r="M18" s="69">
        <v>0.0</v>
      </c>
      <c r="N18" s="68" t="s">
        <v>1622</v>
      </c>
      <c r="O18" s="69">
        <v>0.0</v>
      </c>
      <c r="P18" s="68" t="s">
        <v>1623</v>
      </c>
      <c r="Q18" s="69">
        <v>0.0</v>
      </c>
      <c r="R18" s="68" t="s">
        <v>1624</v>
      </c>
      <c r="S18" s="69">
        <v>0.0</v>
      </c>
      <c r="T18" s="68" t="s">
        <v>1625</v>
      </c>
      <c r="U18" s="69">
        <v>0.0</v>
      </c>
      <c r="V18" s="68" t="s">
        <v>1626</v>
      </c>
      <c r="W18" s="69">
        <v>0.0</v>
      </c>
      <c r="X18" s="68" t="s">
        <v>1627</v>
      </c>
      <c r="Y18" s="69">
        <v>0.0</v>
      </c>
      <c r="Z18" s="68" t="s">
        <v>1628</v>
      </c>
      <c r="AA18" s="69">
        <v>0.0</v>
      </c>
      <c r="AB18" s="68" t="s">
        <v>1629</v>
      </c>
      <c r="AC18" s="69">
        <v>0.0</v>
      </c>
      <c r="AD18" s="68" t="s">
        <v>1630</v>
      </c>
      <c r="AE18" s="69">
        <v>0.0</v>
      </c>
      <c r="AF18" s="68" t="s">
        <v>1631</v>
      </c>
      <c r="AG18" s="69">
        <v>0.0</v>
      </c>
      <c r="AH18" s="68" t="s">
        <v>1632</v>
      </c>
      <c r="AI18" s="69">
        <v>0.0</v>
      </c>
      <c r="AJ18" s="68" t="s">
        <v>1633</v>
      </c>
      <c r="AK18" s="69">
        <v>0.0</v>
      </c>
      <c r="AL18" s="68" t="s">
        <v>1634</v>
      </c>
      <c r="AM18" s="69">
        <v>0.0</v>
      </c>
      <c r="AN18" s="68" t="s">
        <v>1635</v>
      </c>
      <c r="AO18" s="69">
        <v>0.0</v>
      </c>
      <c r="AP18" s="68" t="s">
        <v>1636</v>
      </c>
      <c r="AQ18" s="69">
        <v>0.0</v>
      </c>
      <c r="AR18" s="68" t="s">
        <v>1637</v>
      </c>
      <c r="AS18" s="69">
        <v>0.0</v>
      </c>
    </row>
    <row r="19" ht="15.75" customHeight="1">
      <c r="A19" s="11">
        <v>1588.0</v>
      </c>
      <c r="B19" s="11" t="s">
        <v>42</v>
      </c>
      <c r="C19" s="12" t="str">
        <f t="shared" si="1"/>
        <v>LP 18_BC-09B_BS VI HSD</v>
      </c>
      <c r="D19" s="14" t="s">
        <v>1638</v>
      </c>
      <c r="E19" s="14" t="s">
        <v>1336</v>
      </c>
      <c r="F19" s="13" t="s">
        <v>1639</v>
      </c>
      <c r="G19" s="13" t="s">
        <v>109</v>
      </c>
      <c r="H19" s="68" t="s">
        <v>1640</v>
      </c>
      <c r="I19" s="69">
        <v>0.0</v>
      </c>
      <c r="J19" s="68" t="s">
        <v>1641</v>
      </c>
      <c r="K19" s="69">
        <v>0.0</v>
      </c>
      <c r="L19" s="68"/>
      <c r="M19" s="68"/>
      <c r="N19" s="68" t="s">
        <v>1642</v>
      </c>
      <c r="O19" s="69">
        <v>0.0</v>
      </c>
      <c r="P19" s="68"/>
      <c r="Q19" s="68"/>
      <c r="R19" s="68" t="s">
        <v>1643</v>
      </c>
      <c r="S19" s="69">
        <v>0.0</v>
      </c>
      <c r="T19" s="68"/>
      <c r="U19" s="68"/>
      <c r="V19" s="68" t="s">
        <v>1644</v>
      </c>
      <c r="W19" s="69">
        <v>0.0</v>
      </c>
      <c r="X19" s="68" t="s">
        <v>1645</v>
      </c>
      <c r="Y19" s="69">
        <v>0.0</v>
      </c>
      <c r="Z19" s="68" t="s">
        <v>1646</v>
      </c>
      <c r="AA19" s="69">
        <v>0.0</v>
      </c>
      <c r="AB19" s="68" t="s">
        <v>1647</v>
      </c>
      <c r="AC19" s="69">
        <v>0.0</v>
      </c>
      <c r="AD19" s="68" t="s">
        <v>1648</v>
      </c>
      <c r="AE19" s="69">
        <v>0.0</v>
      </c>
      <c r="AF19" s="68" t="s">
        <v>1649</v>
      </c>
      <c r="AG19" s="69">
        <v>0.0</v>
      </c>
      <c r="AH19" s="68" t="s">
        <v>1650</v>
      </c>
      <c r="AI19" s="69">
        <v>0.0</v>
      </c>
      <c r="AJ19" s="68" t="s">
        <v>1651</v>
      </c>
      <c r="AK19" s="69">
        <v>0.0</v>
      </c>
      <c r="AL19" s="68"/>
      <c r="AM19" s="68"/>
      <c r="AN19" s="68" t="s">
        <v>1652</v>
      </c>
      <c r="AO19" s="69">
        <v>0.0</v>
      </c>
      <c r="AP19" s="68" t="s">
        <v>1653</v>
      </c>
      <c r="AQ19" s="69">
        <v>0.0</v>
      </c>
      <c r="AR19" s="68"/>
      <c r="AS19" s="68"/>
    </row>
    <row r="20" ht="15.75" customHeight="1">
      <c r="A20" s="11">
        <v>1588.0</v>
      </c>
      <c r="B20" s="11" t="s">
        <v>42</v>
      </c>
      <c r="C20" s="12" t="str">
        <f t="shared" si="1"/>
        <v>LP 19_BC-10A_LOW RON MS</v>
      </c>
      <c r="D20" s="14" t="s">
        <v>1654</v>
      </c>
      <c r="E20" s="14" t="s">
        <v>1336</v>
      </c>
      <c r="F20" s="13" t="s">
        <v>1655</v>
      </c>
      <c r="G20" s="13" t="s">
        <v>156</v>
      </c>
      <c r="H20" s="68" t="s">
        <v>1656</v>
      </c>
      <c r="I20" s="69">
        <v>0.0</v>
      </c>
      <c r="J20" s="68" t="s">
        <v>1657</v>
      </c>
      <c r="K20" s="69">
        <v>0.0</v>
      </c>
      <c r="L20" s="68" t="s">
        <v>1658</v>
      </c>
      <c r="M20" s="69">
        <v>0.0</v>
      </c>
      <c r="N20" s="68" t="s">
        <v>1659</v>
      </c>
      <c r="O20" s="69">
        <v>0.0</v>
      </c>
      <c r="P20" s="68" t="s">
        <v>1660</v>
      </c>
      <c r="Q20" s="69">
        <v>0.0</v>
      </c>
      <c r="R20" s="68" t="s">
        <v>1661</v>
      </c>
      <c r="S20" s="69">
        <v>0.0</v>
      </c>
      <c r="T20" s="68" t="s">
        <v>1662</v>
      </c>
      <c r="U20" s="69">
        <v>0.0</v>
      </c>
      <c r="V20" s="68" t="s">
        <v>1663</v>
      </c>
      <c r="W20" s="69">
        <v>0.0</v>
      </c>
      <c r="X20" s="68" t="s">
        <v>1664</v>
      </c>
      <c r="Y20" s="69">
        <v>0.0</v>
      </c>
      <c r="Z20" s="68" t="s">
        <v>1665</v>
      </c>
      <c r="AA20" s="69">
        <v>0.0</v>
      </c>
      <c r="AB20" s="68" t="s">
        <v>1666</v>
      </c>
      <c r="AC20" s="69">
        <v>0.0</v>
      </c>
      <c r="AD20" s="68" t="s">
        <v>1667</v>
      </c>
      <c r="AE20" s="69">
        <v>0.0</v>
      </c>
      <c r="AF20" s="68" t="s">
        <v>1668</v>
      </c>
      <c r="AG20" s="69">
        <v>0.0</v>
      </c>
      <c r="AH20" s="68" t="s">
        <v>1669</v>
      </c>
      <c r="AI20" s="69">
        <v>0.0</v>
      </c>
      <c r="AJ20" s="68" t="s">
        <v>1670</v>
      </c>
      <c r="AK20" s="69">
        <v>0.0</v>
      </c>
      <c r="AL20" s="68" t="s">
        <v>1671</v>
      </c>
      <c r="AM20" s="69">
        <v>0.0</v>
      </c>
      <c r="AN20" s="68" t="s">
        <v>1672</v>
      </c>
      <c r="AO20" s="69">
        <v>0.0</v>
      </c>
      <c r="AP20" s="68" t="s">
        <v>1673</v>
      </c>
      <c r="AQ20" s="69">
        <v>0.0</v>
      </c>
      <c r="AR20" s="68" t="s">
        <v>1674</v>
      </c>
      <c r="AS20" s="69">
        <v>0.0</v>
      </c>
    </row>
    <row r="21" ht="15.75" customHeight="1">
      <c r="A21" s="11">
        <v>1588.0</v>
      </c>
      <c r="B21" s="11" t="s">
        <v>42</v>
      </c>
      <c r="C21" s="12" t="str">
        <f t="shared" si="1"/>
        <v>LP 20_BC-10B_BS VI HSD</v>
      </c>
      <c r="D21" s="14" t="s">
        <v>1675</v>
      </c>
      <c r="E21" s="14" t="s">
        <v>1336</v>
      </c>
      <c r="F21" s="13" t="s">
        <v>1676</v>
      </c>
      <c r="G21" s="13" t="s">
        <v>109</v>
      </c>
      <c r="H21" s="68" t="s">
        <v>1677</v>
      </c>
      <c r="I21" s="69">
        <v>0.0</v>
      </c>
      <c r="J21" s="68" t="s">
        <v>1678</v>
      </c>
      <c r="K21" s="69">
        <v>0.0</v>
      </c>
      <c r="L21" s="68"/>
      <c r="M21" s="68"/>
      <c r="N21" s="68" t="s">
        <v>1679</v>
      </c>
      <c r="O21" s="69">
        <v>0.0</v>
      </c>
      <c r="P21" s="68"/>
      <c r="Q21" s="68"/>
      <c r="R21" s="68" t="s">
        <v>1680</v>
      </c>
      <c r="S21" s="69">
        <v>0.0</v>
      </c>
      <c r="T21" s="68"/>
      <c r="U21" s="68"/>
      <c r="V21" s="68" t="s">
        <v>1681</v>
      </c>
      <c r="W21" s="69">
        <v>0.0</v>
      </c>
      <c r="X21" s="68" t="s">
        <v>1682</v>
      </c>
      <c r="Y21" s="69">
        <v>0.0</v>
      </c>
      <c r="Z21" s="68" t="s">
        <v>1683</v>
      </c>
      <c r="AA21" s="69">
        <v>0.0</v>
      </c>
      <c r="AB21" s="68" t="s">
        <v>1684</v>
      </c>
      <c r="AC21" s="69">
        <v>0.0</v>
      </c>
      <c r="AD21" s="68" t="s">
        <v>1685</v>
      </c>
      <c r="AE21" s="69">
        <v>0.0</v>
      </c>
      <c r="AF21" s="68" t="s">
        <v>1686</v>
      </c>
      <c r="AG21" s="69">
        <v>0.0</v>
      </c>
      <c r="AH21" s="68" t="s">
        <v>1687</v>
      </c>
      <c r="AI21" s="69">
        <v>0.0</v>
      </c>
      <c r="AJ21" s="68" t="s">
        <v>1688</v>
      </c>
      <c r="AK21" s="69">
        <v>0.0</v>
      </c>
      <c r="AL21" s="68"/>
      <c r="AM21" s="68"/>
      <c r="AN21" s="68" t="s">
        <v>1689</v>
      </c>
      <c r="AO21" s="69">
        <v>0.0</v>
      </c>
      <c r="AP21" s="68" t="s">
        <v>1690</v>
      </c>
      <c r="AQ21" s="69">
        <v>0.0</v>
      </c>
      <c r="AR21" s="68"/>
      <c r="AS21" s="68"/>
    </row>
    <row r="22" ht="15.75" customHeight="1">
      <c r="A22" s="11">
        <v>1588.0</v>
      </c>
      <c r="B22" s="11" t="s">
        <v>42</v>
      </c>
      <c r="C22" s="12" t="str">
        <f t="shared" si="1"/>
        <v>LP 21_BC-11A_LOW RON MS</v>
      </c>
      <c r="D22" s="14" t="s">
        <v>1691</v>
      </c>
      <c r="E22" s="14" t="s">
        <v>1336</v>
      </c>
      <c r="F22" s="13" t="s">
        <v>1692</v>
      </c>
      <c r="G22" s="13" t="s">
        <v>156</v>
      </c>
      <c r="H22" s="68" t="s">
        <v>1693</v>
      </c>
      <c r="I22" s="69">
        <v>0.0</v>
      </c>
      <c r="J22" s="68" t="s">
        <v>1694</v>
      </c>
      <c r="K22" s="69">
        <v>0.0</v>
      </c>
      <c r="L22" s="68" t="s">
        <v>1695</v>
      </c>
      <c r="M22" s="69">
        <v>0.0</v>
      </c>
      <c r="N22" s="68" t="s">
        <v>1696</v>
      </c>
      <c r="O22" s="69">
        <v>0.0</v>
      </c>
      <c r="P22" s="68" t="s">
        <v>1697</v>
      </c>
      <c r="Q22" s="69">
        <v>0.0</v>
      </c>
      <c r="R22" s="68" t="s">
        <v>1698</v>
      </c>
      <c r="S22" s="69">
        <v>0.0</v>
      </c>
      <c r="T22" s="68" t="s">
        <v>1699</v>
      </c>
      <c r="U22" s="69">
        <v>0.0</v>
      </c>
      <c r="V22" s="68" t="s">
        <v>1700</v>
      </c>
      <c r="W22" s="69">
        <v>0.0</v>
      </c>
      <c r="X22" s="68" t="s">
        <v>1701</v>
      </c>
      <c r="Y22" s="69">
        <v>0.0</v>
      </c>
      <c r="Z22" s="68" t="s">
        <v>1702</v>
      </c>
      <c r="AA22" s="69">
        <v>0.0</v>
      </c>
      <c r="AB22" s="68" t="s">
        <v>1703</v>
      </c>
      <c r="AC22" s="69">
        <v>0.0</v>
      </c>
      <c r="AD22" s="68" t="s">
        <v>1704</v>
      </c>
      <c r="AE22" s="69">
        <v>0.0</v>
      </c>
      <c r="AF22" s="68" t="s">
        <v>1705</v>
      </c>
      <c r="AG22" s="69">
        <v>0.0</v>
      </c>
      <c r="AH22" s="68" t="s">
        <v>1706</v>
      </c>
      <c r="AI22" s="69">
        <v>0.0</v>
      </c>
      <c r="AJ22" s="68" t="s">
        <v>1707</v>
      </c>
      <c r="AK22" s="69">
        <v>0.0</v>
      </c>
      <c r="AL22" s="68" t="s">
        <v>1708</v>
      </c>
      <c r="AM22" s="69">
        <v>0.0</v>
      </c>
      <c r="AN22" s="68" t="s">
        <v>1709</v>
      </c>
      <c r="AO22" s="69">
        <v>0.0</v>
      </c>
      <c r="AP22" s="68" t="s">
        <v>1710</v>
      </c>
      <c r="AQ22" s="69">
        <v>0.0</v>
      </c>
      <c r="AR22" s="68" t="s">
        <v>1711</v>
      </c>
      <c r="AS22" s="69">
        <v>0.0</v>
      </c>
    </row>
    <row r="23" ht="15.75" customHeight="1">
      <c r="A23" s="11">
        <v>1588.0</v>
      </c>
      <c r="B23" s="11" t="s">
        <v>42</v>
      </c>
      <c r="C23" s="12" t="str">
        <f t="shared" si="1"/>
        <v>LP 22_BC-11B_BS VI HSD</v>
      </c>
      <c r="D23" s="14" t="s">
        <v>1712</v>
      </c>
      <c r="E23" s="14" t="s">
        <v>1336</v>
      </c>
      <c r="F23" s="13" t="s">
        <v>1713</v>
      </c>
      <c r="G23" s="13" t="s">
        <v>109</v>
      </c>
      <c r="H23" s="68" t="s">
        <v>1714</v>
      </c>
      <c r="I23" s="69">
        <v>0.0</v>
      </c>
      <c r="J23" s="68" t="s">
        <v>1715</v>
      </c>
      <c r="K23" s="69">
        <v>0.0</v>
      </c>
      <c r="L23" s="68"/>
      <c r="M23" s="68"/>
      <c r="N23" s="68" t="s">
        <v>1716</v>
      </c>
      <c r="O23" s="69">
        <v>0.0</v>
      </c>
      <c r="P23" s="68"/>
      <c r="Q23" s="68"/>
      <c r="R23" s="68" t="s">
        <v>1717</v>
      </c>
      <c r="S23" s="69">
        <v>0.0</v>
      </c>
      <c r="T23" s="68"/>
      <c r="U23" s="68"/>
      <c r="V23" s="68" t="s">
        <v>1718</v>
      </c>
      <c r="W23" s="69">
        <v>0.0</v>
      </c>
      <c r="X23" s="68" t="s">
        <v>1719</v>
      </c>
      <c r="Y23" s="69">
        <v>0.0</v>
      </c>
      <c r="Z23" s="68" t="s">
        <v>1720</v>
      </c>
      <c r="AA23" s="69">
        <v>0.0</v>
      </c>
      <c r="AB23" s="68" t="s">
        <v>1721</v>
      </c>
      <c r="AC23" s="69">
        <v>0.0</v>
      </c>
      <c r="AD23" s="68" t="s">
        <v>1722</v>
      </c>
      <c r="AE23" s="69">
        <v>0.0</v>
      </c>
      <c r="AF23" s="68" t="s">
        <v>1723</v>
      </c>
      <c r="AG23" s="69">
        <v>0.0</v>
      </c>
      <c r="AH23" s="68" t="s">
        <v>1724</v>
      </c>
      <c r="AI23" s="69">
        <v>0.0</v>
      </c>
      <c r="AJ23" s="68" t="s">
        <v>1725</v>
      </c>
      <c r="AK23" s="69">
        <v>0.0</v>
      </c>
      <c r="AL23" s="68"/>
      <c r="AM23" s="68"/>
      <c r="AN23" s="68" t="s">
        <v>1726</v>
      </c>
      <c r="AO23" s="69">
        <v>0.0</v>
      </c>
      <c r="AP23" s="68" t="s">
        <v>1727</v>
      </c>
      <c r="AQ23" s="69">
        <v>0.0</v>
      </c>
      <c r="AR23" s="68"/>
      <c r="AS23" s="68"/>
    </row>
    <row r="24" ht="15.75" customHeight="1">
      <c r="A24" s="11">
        <v>1588.0</v>
      </c>
      <c r="B24" s="11" t="s">
        <v>42</v>
      </c>
      <c r="C24" s="12" t="str">
        <f t="shared" si="1"/>
        <v>LP 23_BC-12A_LOW RON MS</v>
      </c>
      <c r="D24" s="14" t="s">
        <v>1728</v>
      </c>
      <c r="E24" s="14" t="s">
        <v>1336</v>
      </c>
      <c r="F24" s="13" t="s">
        <v>1729</v>
      </c>
      <c r="G24" s="13" t="s">
        <v>156</v>
      </c>
      <c r="H24" s="68" t="s">
        <v>1730</v>
      </c>
      <c r="I24" s="69">
        <v>0.0</v>
      </c>
      <c r="J24" s="68" t="s">
        <v>1731</v>
      </c>
      <c r="K24" s="69">
        <v>0.0</v>
      </c>
      <c r="L24" s="68" t="s">
        <v>1732</v>
      </c>
      <c r="M24" s="69">
        <v>0.0</v>
      </c>
      <c r="N24" s="68" t="s">
        <v>1733</v>
      </c>
      <c r="O24" s="69">
        <v>0.0</v>
      </c>
      <c r="P24" s="68" t="s">
        <v>1734</v>
      </c>
      <c r="Q24" s="69">
        <v>0.0</v>
      </c>
      <c r="R24" s="68" t="s">
        <v>1735</v>
      </c>
      <c r="S24" s="69">
        <v>0.0</v>
      </c>
      <c r="T24" s="68" t="s">
        <v>1736</v>
      </c>
      <c r="U24" s="69">
        <v>0.0</v>
      </c>
      <c r="V24" s="68" t="s">
        <v>1737</v>
      </c>
      <c r="W24" s="69">
        <v>0.0</v>
      </c>
      <c r="X24" s="68" t="s">
        <v>1738</v>
      </c>
      <c r="Y24" s="69">
        <v>0.0</v>
      </c>
      <c r="Z24" s="68" t="s">
        <v>1739</v>
      </c>
      <c r="AA24" s="69">
        <v>0.0</v>
      </c>
      <c r="AB24" s="68" t="s">
        <v>1740</v>
      </c>
      <c r="AC24" s="69">
        <v>0.0</v>
      </c>
      <c r="AD24" s="68" t="s">
        <v>1741</v>
      </c>
      <c r="AE24" s="69">
        <v>0.0</v>
      </c>
      <c r="AF24" s="68" t="s">
        <v>1742</v>
      </c>
      <c r="AG24" s="69">
        <v>0.0</v>
      </c>
      <c r="AH24" s="68" t="s">
        <v>1743</v>
      </c>
      <c r="AI24" s="69">
        <v>0.0</v>
      </c>
      <c r="AJ24" s="68" t="s">
        <v>1744</v>
      </c>
      <c r="AK24" s="69">
        <v>0.0</v>
      </c>
      <c r="AL24" s="68" t="s">
        <v>1745</v>
      </c>
      <c r="AM24" s="69">
        <v>0.0</v>
      </c>
      <c r="AN24" s="68" t="s">
        <v>1746</v>
      </c>
      <c r="AO24" s="69">
        <v>0.0</v>
      </c>
      <c r="AP24" s="68" t="s">
        <v>1747</v>
      </c>
      <c r="AQ24" s="69">
        <v>0.0</v>
      </c>
      <c r="AR24" s="68" t="s">
        <v>1748</v>
      </c>
      <c r="AS24" s="69">
        <v>0.0</v>
      </c>
    </row>
    <row r="25" ht="15.75" customHeight="1">
      <c r="A25" s="11">
        <v>1588.0</v>
      </c>
      <c r="B25" s="11" t="s">
        <v>42</v>
      </c>
      <c r="C25" s="12" t="str">
        <f t="shared" si="1"/>
        <v>LP 24_BC-12B_BS VI HSD</v>
      </c>
      <c r="D25" s="14" t="s">
        <v>1749</v>
      </c>
      <c r="E25" s="14" t="s">
        <v>1336</v>
      </c>
      <c r="F25" s="13" t="s">
        <v>1750</v>
      </c>
      <c r="G25" s="13" t="s">
        <v>109</v>
      </c>
      <c r="H25" s="68" t="s">
        <v>1751</v>
      </c>
      <c r="I25" s="69">
        <v>0.0</v>
      </c>
      <c r="J25" s="68" t="s">
        <v>1752</v>
      </c>
      <c r="K25" s="69">
        <v>0.0</v>
      </c>
      <c r="L25" s="68"/>
      <c r="M25" s="68"/>
      <c r="N25" s="68" t="s">
        <v>1753</v>
      </c>
      <c r="O25" s="69">
        <v>0.0</v>
      </c>
      <c r="P25" s="68"/>
      <c r="Q25" s="68"/>
      <c r="R25" s="68" t="s">
        <v>1754</v>
      </c>
      <c r="S25" s="69">
        <v>0.0</v>
      </c>
      <c r="T25" s="68"/>
      <c r="U25" s="68"/>
      <c r="V25" s="68" t="s">
        <v>1755</v>
      </c>
      <c r="W25" s="69">
        <v>0.0</v>
      </c>
      <c r="X25" s="68" t="s">
        <v>1756</v>
      </c>
      <c r="Y25" s="69">
        <v>0.0</v>
      </c>
      <c r="Z25" s="68" t="s">
        <v>1757</v>
      </c>
      <c r="AA25" s="69">
        <v>0.0</v>
      </c>
      <c r="AB25" s="68" t="s">
        <v>1758</v>
      </c>
      <c r="AC25" s="69">
        <v>0.0</v>
      </c>
      <c r="AD25" s="68" t="s">
        <v>1759</v>
      </c>
      <c r="AE25" s="69">
        <v>0.0</v>
      </c>
      <c r="AF25" s="68" t="s">
        <v>1760</v>
      </c>
      <c r="AG25" s="69">
        <v>0.0</v>
      </c>
      <c r="AH25" s="68" t="s">
        <v>1761</v>
      </c>
      <c r="AI25" s="69">
        <v>0.0</v>
      </c>
      <c r="AJ25" s="68" t="s">
        <v>1762</v>
      </c>
      <c r="AK25" s="69">
        <v>0.0</v>
      </c>
      <c r="AL25" s="68"/>
      <c r="AM25" s="68"/>
      <c r="AN25" s="68" t="s">
        <v>1763</v>
      </c>
      <c r="AO25" s="69">
        <v>0.0</v>
      </c>
      <c r="AP25" s="68" t="s">
        <v>1764</v>
      </c>
      <c r="AQ25" s="69">
        <v>0.0</v>
      </c>
      <c r="AR25" s="68"/>
      <c r="AS25" s="68"/>
    </row>
    <row r="26" ht="15.75" customHeight="1">
      <c r="A26" s="11">
        <v>1588.0</v>
      </c>
      <c r="B26" s="11" t="s">
        <v>42</v>
      </c>
      <c r="C26" s="12" t="str">
        <f t="shared" si="1"/>
        <v>LP 25_BC-13A_LOW RON MS</v>
      </c>
      <c r="D26" s="14" t="s">
        <v>1765</v>
      </c>
      <c r="E26" s="14" t="s">
        <v>1336</v>
      </c>
      <c r="F26" s="13" t="s">
        <v>1766</v>
      </c>
      <c r="G26" s="13" t="s">
        <v>156</v>
      </c>
      <c r="H26" s="68" t="s">
        <v>1767</v>
      </c>
      <c r="I26" s="69">
        <v>0.0</v>
      </c>
      <c r="J26" s="68" t="s">
        <v>1768</v>
      </c>
      <c r="K26" s="69">
        <v>0.0</v>
      </c>
      <c r="L26" s="68" t="s">
        <v>1769</v>
      </c>
      <c r="M26" s="69">
        <v>0.0</v>
      </c>
      <c r="N26" s="68" t="s">
        <v>1770</v>
      </c>
      <c r="O26" s="69">
        <v>0.0</v>
      </c>
      <c r="P26" s="68" t="s">
        <v>1771</v>
      </c>
      <c r="Q26" s="69">
        <v>0.0</v>
      </c>
      <c r="R26" s="68" t="s">
        <v>1772</v>
      </c>
      <c r="S26" s="69">
        <v>0.0</v>
      </c>
      <c r="T26" s="68" t="s">
        <v>1773</v>
      </c>
      <c r="U26" s="69">
        <v>0.0</v>
      </c>
      <c r="V26" s="68" t="s">
        <v>1774</v>
      </c>
      <c r="W26" s="69">
        <v>0.0</v>
      </c>
      <c r="X26" s="68" t="s">
        <v>1775</v>
      </c>
      <c r="Y26" s="69">
        <v>0.0</v>
      </c>
      <c r="Z26" s="68" t="s">
        <v>1776</v>
      </c>
      <c r="AA26" s="69">
        <v>0.0</v>
      </c>
      <c r="AB26" s="68" t="s">
        <v>1777</v>
      </c>
      <c r="AC26" s="69">
        <v>0.0</v>
      </c>
      <c r="AD26" s="68" t="s">
        <v>1778</v>
      </c>
      <c r="AE26" s="69">
        <v>0.0</v>
      </c>
      <c r="AF26" s="68" t="s">
        <v>1779</v>
      </c>
      <c r="AG26" s="69">
        <v>0.0</v>
      </c>
      <c r="AH26" s="68" t="s">
        <v>1780</v>
      </c>
      <c r="AI26" s="69">
        <v>0.0</v>
      </c>
      <c r="AJ26" s="68" t="s">
        <v>1781</v>
      </c>
      <c r="AK26" s="69">
        <v>0.0</v>
      </c>
      <c r="AL26" s="68" t="s">
        <v>1782</v>
      </c>
      <c r="AM26" s="69">
        <v>0.0</v>
      </c>
      <c r="AN26" s="68" t="s">
        <v>1783</v>
      </c>
      <c r="AO26" s="69">
        <v>0.0</v>
      </c>
      <c r="AP26" s="68" t="s">
        <v>1784</v>
      </c>
      <c r="AQ26" s="69">
        <v>0.0</v>
      </c>
      <c r="AR26" s="68" t="s">
        <v>1785</v>
      </c>
      <c r="AS26" s="69">
        <v>0.0</v>
      </c>
    </row>
    <row r="27" ht="15.75" customHeight="1">
      <c r="A27" s="11">
        <v>1588.0</v>
      </c>
      <c r="B27" s="11" t="s">
        <v>42</v>
      </c>
      <c r="C27" s="12" t="str">
        <f t="shared" si="1"/>
        <v>LP 26_BC-13B_BS VI HSD</v>
      </c>
      <c r="D27" s="14" t="s">
        <v>1786</v>
      </c>
      <c r="E27" s="14" t="s">
        <v>1336</v>
      </c>
      <c r="F27" s="13" t="s">
        <v>1787</v>
      </c>
      <c r="G27" s="13" t="s">
        <v>109</v>
      </c>
      <c r="H27" s="68" t="s">
        <v>1788</v>
      </c>
      <c r="I27" s="69">
        <v>0.0</v>
      </c>
      <c r="J27" s="68" t="s">
        <v>1789</v>
      </c>
      <c r="K27" s="69">
        <v>0.0</v>
      </c>
      <c r="L27" s="68"/>
      <c r="M27" s="68"/>
      <c r="N27" s="68" t="s">
        <v>1790</v>
      </c>
      <c r="O27" s="69">
        <v>0.0</v>
      </c>
      <c r="P27" s="68"/>
      <c r="Q27" s="68"/>
      <c r="R27" s="68" t="s">
        <v>1791</v>
      </c>
      <c r="S27" s="69">
        <v>0.0</v>
      </c>
      <c r="T27" s="68"/>
      <c r="U27" s="68"/>
      <c r="V27" s="68" t="s">
        <v>1792</v>
      </c>
      <c r="W27" s="69">
        <v>0.0</v>
      </c>
      <c r="X27" s="68" t="s">
        <v>1793</v>
      </c>
      <c r="Y27" s="69">
        <v>0.0</v>
      </c>
      <c r="Z27" s="68" t="s">
        <v>1794</v>
      </c>
      <c r="AA27" s="69">
        <v>0.0</v>
      </c>
      <c r="AB27" s="68" t="s">
        <v>1795</v>
      </c>
      <c r="AC27" s="69">
        <v>0.0</v>
      </c>
      <c r="AD27" s="68" t="s">
        <v>1796</v>
      </c>
      <c r="AE27" s="69">
        <v>0.0</v>
      </c>
      <c r="AF27" s="68" t="s">
        <v>1797</v>
      </c>
      <c r="AG27" s="69">
        <v>0.0</v>
      </c>
      <c r="AH27" s="68" t="s">
        <v>1798</v>
      </c>
      <c r="AI27" s="69">
        <v>0.0</v>
      </c>
      <c r="AJ27" s="68" t="s">
        <v>1799</v>
      </c>
      <c r="AK27" s="69">
        <v>0.0</v>
      </c>
      <c r="AL27" s="68"/>
      <c r="AM27" s="68"/>
      <c r="AN27" s="68" t="s">
        <v>1800</v>
      </c>
      <c r="AO27" s="69">
        <v>0.0</v>
      </c>
      <c r="AP27" s="68" t="s">
        <v>1801</v>
      </c>
      <c r="AQ27" s="69">
        <v>0.0</v>
      </c>
      <c r="AR27" s="68"/>
      <c r="AS27" s="68"/>
    </row>
    <row r="28" ht="15.75" customHeight="1">
      <c r="A28" s="11">
        <v>1588.0</v>
      </c>
      <c r="B28" s="11" t="s">
        <v>42</v>
      </c>
      <c r="C28" s="12" t="str">
        <f t="shared" si="1"/>
        <v>LP 27_BC-14A_LOW RON MS</v>
      </c>
      <c r="D28" s="14" t="s">
        <v>1802</v>
      </c>
      <c r="E28" s="14" t="s">
        <v>1336</v>
      </c>
      <c r="F28" s="13" t="s">
        <v>1803</v>
      </c>
      <c r="G28" s="13" t="s">
        <v>156</v>
      </c>
      <c r="H28" s="68" t="s">
        <v>1804</v>
      </c>
      <c r="I28" s="69">
        <v>0.0</v>
      </c>
      <c r="J28" s="68" t="s">
        <v>1805</v>
      </c>
      <c r="K28" s="69">
        <v>0.0</v>
      </c>
      <c r="L28" s="68" t="s">
        <v>1806</v>
      </c>
      <c r="M28" s="69">
        <v>0.0</v>
      </c>
      <c r="N28" s="68" t="s">
        <v>1807</v>
      </c>
      <c r="O28" s="69">
        <v>0.0</v>
      </c>
      <c r="P28" s="68" t="s">
        <v>1808</v>
      </c>
      <c r="Q28" s="69">
        <v>0.0</v>
      </c>
      <c r="R28" s="68" t="s">
        <v>1809</v>
      </c>
      <c r="S28" s="69">
        <v>0.0</v>
      </c>
      <c r="T28" s="68" t="s">
        <v>1810</v>
      </c>
      <c r="U28" s="69">
        <v>0.0</v>
      </c>
      <c r="V28" s="68" t="s">
        <v>1811</v>
      </c>
      <c r="W28" s="69">
        <v>0.0</v>
      </c>
      <c r="X28" s="68" t="s">
        <v>1812</v>
      </c>
      <c r="Y28" s="69">
        <v>0.0</v>
      </c>
      <c r="Z28" s="68" t="s">
        <v>1813</v>
      </c>
      <c r="AA28" s="69">
        <v>0.0</v>
      </c>
      <c r="AB28" s="68" t="s">
        <v>1814</v>
      </c>
      <c r="AC28" s="69">
        <v>0.0</v>
      </c>
      <c r="AD28" s="68" t="s">
        <v>1815</v>
      </c>
      <c r="AE28" s="69">
        <v>0.0</v>
      </c>
      <c r="AF28" s="68" t="s">
        <v>1816</v>
      </c>
      <c r="AG28" s="69">
        <v>0.0</v>
      </c>
      <c r="AH28" s="68" t="s">
        <v>1817</v>
      </c>
      <c r="AI28" s="69">
        <v>0.0</v>
      </c>
      <c r="AJ28" s="68" t="s">
        <v>1818</v>
      </c>
      <c r="AK28" s="69">
        <v>0.0</v>
      </c>
      <c r="AL28" s="68" t="s">
        <v>1819</v>
      </c>
      <c r="AM28" s="69">
        <v>0.0</v>
      </c>
      <c r="AN28" s="68" t="s">
        <v>1820</v>
      </c>
      <c r="AO28" s="69">
        <v>0.0</v>
      </c>
      <c r="AP28" s="68" t="s">
        <v>1821</v>
      </c>
      <c r="AQ28" s="69">
        <v>0.0</v>
      </c>
      <c r="AR28" s="68" t="s">
        <v>1822</v>
      </c>
      <c r="AS28" s="69">
        <v>0.0</v>
      </c>
    </row>
    <row r="29" ht="15.75" customHeight="1">
      <c r="A29" s="11">
        <v>1588.0</v>
      </c>
      <c r="B29" s="11" t="s">
        <v>42</v>
      </c>
      <c r="C29" s="12" t="str">
        <f t="shared" si="1"/>
        <v>LP 28_BC-14B_BS VI HSD</v>
      </c>
      <c r="D29" s="14" t="s">
        <v>1823</v>
      </c>
      <c r="E29" s="14" t="s">
        <v>1336</v>
      </c>
      <c r="F29" s="13" t="s">
        <v>1824</v>
      </c>
      <c r="G29" s="13" t="s">
        <v>109</v>
      </c>
      <c r="H29" s="68" t="s">
        <v>1825</v>
      </c>
      <c r="I29" s="69">
        <v>0.0</v>
      </c>
      <c r="J29" s="68" t="s">
        <v>1826</v>
      </c>
      <c r="K29" s="69">
        <v>0.0</v>
      </c>
      <c r="L29" s="68"/>
      <c r="M29" s="68"/>
      <c r="N29" s="68" t="s">
        <v>1827</v>
      </c>
      <c r="O29" s="69">
        <v>0.0</v>
      </c>
      <c r="P29" s="68"/>
      <c r="Q29" s="68"/>
      <c r="R29" s="68" t="s">
        <v>1828</v>
      </c>
      <c r="S29" s="69">
        <v>0.0</v>
      </c>
      <c r="T29" s="68"/>
      <c r="U29" s="68"/>
      <c r="V29" s="68" t="s">
        <v>1829</v>
      </c>
      <c r="W29" s="69">
        <v>0.0</v>
      </c>
      <c r="X29" s="68" t="s">
        <v>1830</v>
      </c>
      <c r="Y29" s="69">
        <v>0.0</v>
      </c>
      <c r="Z29" s="68" t="s">
        <v>1831</v>
      </c>
      <c r="AA29" s="69">
        <v>0.0</v>
      </c>
      <c r="AB29" s="68" t="s">
        <v>1832</v>
      </c>
      <c r="AC29" s="69">
        <v>0.0</v>
      </c>
      <c r="AD29" s="68" t="s">
        <v>1833</v>
      </c>
      <c r="AE29" s="69">
        <v>0.0</v>
      </c>
      <c r="AF29" s="68" t="s">
        <v>1834</v>
      </c>
      <c r="AG29" s="69">
        <v>0.0</v>
      </c>
      <c r="AH29" s="68" t="s">
        <v>1835</v>
      </c>
      <c r="AI29" s="69">
        <v>0.0</v>
      </c>
      <c r="AJ29" s="68" t="s">
        <v>1836</v>
      </c>
      <c r="AK29" s="69">
        <v>0.0</v>
      </c>
      <c r="AL29" s="68"/>
      <c r="AM29" s="68"/>
      <c r="AN29" s="68" t="s">
        <v>1837</v>
      </c>
      <c r="AO29" s="69">
        <v>0.0</v>
      </c>
      <c r="AP29" s="68" t="s">
        <v>1838</v>
      </c>
      <c r="AQ29" s="69">
        <v>0.0</v>
      </c>
      <c r="AR29" s="68"/>
      <c r="AS29" s="68"/>
    </row>
    <row r="30" ht="15.75" customHeight="1">
      <c r="A30" s="11">
        <v>1588.0</v>
      </c>
      <c r="B30" s="11" t="s">
        <v>42</v>
      </c>
      <c r="C30" s="12" t="str">
        <f t="shared" si="1"/>
        <v>LP 29_BC-15A_LOW RON MS</v>
      </c>
      <c r="D30" s="14" t="s">
        <v>1839</v>
      </c>
      <c r="E30" s="14" t="s">
        <v>1336</v>
      </c>
      <c r="F30" s="13" t="s">
        <v>1840</v>
      </c>
      <c r="G30" s="13" t="s">
        <v>156</v>
      </c>
      <c r="H30" s="68" t="s">
        <v>1841</v>
      </c>
      <c r="I30" s="69">
        <v>0.0</v>
      </c>
      <c r="J30" s="68" t="s">
        <v>1842</v>
      </c>
      <c r="K30" s="69">
        <v>0.0</v>
      </c>
      <c r="L30" s="68" t="s">
        <v>1843</v>
      </c>
      <c r="M30" s="69">
        <v>0.0</v>
      </c>
      <c r="N30" s="68" t="s">
        <v>1844</v>
      </c>
      <c r="O30" s="69">
        <v>0.0</v>
      </c>
      <c r="P30" s="68" t="s">
        <v>1845</v>
      </c>
      <c r="Q30" s="69">
        <v>0.0</v>
      </c>
      <c r="R30" s="68" t="s">
        <v>1846</v>
      </c>
      <c r="S30" s="69">
        <v>0.0</v>
      </c>
      <c r="T30" s="68" t="s">
        <v>1847</v>
      </c>
      <c r="U30" s="69">
        <v>0.0</v>
      </c>
      <c r="V30" s="68" t="s">
        <v>1848</v>
      </c>
      <c r="W30" s="69">
        <v>0.0</v>
      </c>
      <c r="X30" s="68" t="s">
        <v>1849</v>
      </c>
      <c r="Y30" s="69">
        <v>0.0</v>
      </c>
      <c r="Z30" s="68" t="s">
        <v>1850</v>
      </c>
      <c r="AA30" s="69">
        <v>0.0</v>
      </c>
      <c r="AB30" s="68" t="s">
        <v>1851</v>
      </c>
      <c r="AC30" s="69">
        <v>0.0</v>
      </c>
      <c r="AD30" s="68" t="s">
        <v>1852</v>
      </c>
      <c r="AE30" s="69">
        <v>0.0</v>
      </c>
      <c r="AF30" s="68" t="s">
        <v>1853</v>
      </c>
      <c r="AG30" s="69">
        <v>0.0</v>
      </c>
      <c r="AH30" s="68" t="s">
        <v>1854</v>
      </c>
      <c r="AI30" s="69">
        <v>0.0</v>
      </c>
      <c r="AJ30" s="68" t="s">
        <v>1855</v>
      </c>
      <c r="AK30" s="69">
        <v>0.0</v>
      </c>
      <c r="AL30" s="68" t="s">
        <v>1856</v>
      </c>
      <c r="AM30" s="69">
        <v>0.0</v>
      </c>
      <c r="AN30" s="68" t="s">
        <v>1857</v>
      </c>
      <c r="AO30" s="69">
        <v>0.0</v>
      </c>
      <c r="AP30" s="68" t="s">
        <v>1858</v>
      </c>
      <c r="AQ30" s="69">
        <v>0.0</v>
      </c>
      <c r="AR30" s="68" t="s">
        <v>1859</v>
      </c>
      <c r="AS30" s="69">
        <v>0.0</v>
      </c>
    </row>
    <row r="31" ht="15.75" customHeight="1">
      <c r="A31" s="11">
        <v>1588.0</v>
      </c>
      <c r="B31" s="11" t="s">
        <v>42</v>
      </c>
      <c r="C31" s="12" t="str">
        <f t="shared" si="1"/>
        <v>LP 30_BC-15B_BS VI HSD</v>
      </c>
      <c r="D31" s="14" t="s">
        <v>1860</v>
      </c>
      <c r="E31" s="14" t="s">
        <v>1336</v>
      </c>
      <c r="F31" s="13" t="s">
        <v>1861</v>
      </c>
      <c r="G31" s="13" t="s">
        <v>109</v>
      </c>
      <c r="H31" s="68" t="s">
        <v>1862</v>
      </c>
      <c r="I31" s="69">
        <v>0.0</v>
      </c>
      <c r="J31" s="68" t="s">
        <v>1863</v>
      </c>
      <c r="K31" s="69">
        <v>0.0</v>
      </c>
      <c r="L31" s="68"/>
      <c r="M31" s="68"/>
      <c r="N31" s="68" t="s">
        <v>1864</v>
      </c>
      <c r="O31" s="69">
        <v>0.0</v>
      </c>
      <c r="P31" s="68"/>
      <c r="Q31" s="68"/>
      <c r="R31" s="68" t="s">
        <v>1865</v>
      </c>
      <c r="S31" s="69">
        <v>0.0</v>
      </c>
      <c r="T31" s="68"/>
      <c r="U31" s="68"/>
      <c r="V31" s="68" t="s">
        <v>1866</v>
      </c>
      <c r="W31" s="69">
        <v>0.0</v>
      </c>
      <c r="X31" s="68" t="s">
        <v>1867</v>
      </c>
      <c r="Y31" s="69">
        <v>0.0</v>
      </c>
      <c r="Z31" s="68" t="s">
        <v>1868</v>
      </c>
      <c r="AA31" s="69">
        <v>0.0</v>
      </c>
      <c r="AB31" s="68" t="s">
        <v>1869</v>
      </c>
      <c r="AC31" s="69">
        <v>0.0</v>
      </c>
      <c r="AD31" s="68" t="s">
        <v>1870</v>
      </c>
      <c r="AE31" s="69">
        <v>0.0</v>
      </c>
      <c r="AF31" s="68" t="s">
        <v>1871</v>
      </c>
      <c r="AG31" s="69">
        <v>0.0</v>
      </c>
      <c r="AH31" s="68" t="s">
        <v>1872</v>
      </c>
      <c r="AI31" s="69">
        <v>0.0</v>
      </c>
      <c r="AJ31" s="68" t="s">
        <v>1873</v>
      </c>
      <c r="AK31" s="69">
        <v>0.0</v>
      </c>
      <c r="AL31" s="68"/>
      <c r="AM31" s="68"/>
      <c r="AN31" s="68" t="s">
        <v>1874</v>
      </c>
      <c r="AO31" s="69">
        <v>0.0</v>
      </c>
      <c r="AP31" s="68" t="s">
        <v>1875</v>
      </c>
      <c r="AQ31" s="69">
        <v>0.0</v>
      </c>
      <c r="AR31" s="68"/>
      <c r="AS31" s="68"/>
    </row>
    <row r="32" ht="15.75" customHeight="1">
      <c r="A32" s="11">
        <v>1588.0</v>
      </c>
      <c r="B32" s="11" t="s">
        <v>42</v>
      </c>
      <c r="C32" s="12" t="str">
        <f t="shared" si="1"/>
        <v>LP 31_BC-16A_BS VI HSD</v>
      </c>
      <c r="D32" s="14" t="s">
        <v>1876</v>
      </c>
      <c r="E32" s="14" t="s">
        <v>1336</v>
      </c>
      <c r="F32" s="13" t="s">
        <v>1877</v>
      </c>
      <c r="G32" s="13" t="s">
        <v>109</v>
      </c>
      <c r="H32" s="68" t="s">
        <v>1878</v>
      </c>
      <c r="I32" s="69">
        <v>0.0</v>
      </c>
      <c r="J32" s="68" t="s">
        <v>1879</v>
      </c>
      <c r="K32" s="69">
        <v>0.0</v>
      </c>
      <c r="L32" s="68"/>
      <c r="M32" s="68"/>
      <c r="N32" s="68" t="s">
        <v>1880</v>
      </c>
      <c r="O32" s="69">
        <v>0.0</v>
      </c>
      <c r="P32" s="68"/>
      <c r="Q32" s="68"/>
      <c r="R32" s="68" t="s">
        <v>1881</v>
      </c>
      <c r="S32" s="69">
        <v>0.0</v>
      </c>
      <c r="T32" s="68"/>
      <c r="U32" s="68"/>
      <c r="V32" s="68" t="s">
        <v>1882</v>
      </c>
      <c r="W32" s="69">
        <v>0.0</v>
      </c>
      <c r="X32" s="68" t="s">
        <v>1883</v>
      </c>
      <c r="Y32" s="69">
        <v>0.0</v>
      </c>
      <c r="Z32" s="68" t="s">
        <v>1884</v>
      </c>
      <c r="AA32" s="69">
        <v>0.0</v>
      </c>
      <c r="AB32" s="68" t="s">
        <v>1885</v>
      </c>
      <c r="AC32" s="69">
        <v>0.0</v>
      </c>
      <c r="AD32" s="68" t="s">
        <v>1886</v>
      </c>
      <c r="AE32" s="69">
        <v>0.0</v>
      </c>
      <c r="AF32" s="68" t="s">
        <v>1887</v>
      </c>
      <c r="AG32" s="69">
        <v>0.0</v>
      </c>
      <c r="AH32" s="68" t="s">
        <v>1888</v>
      </c>
      <c r="AI32" s="69">
        <v>0.0</v>
      </c>
      <c r="AJ32" s="68" t="s">
        <v>1889</v>
      </c>
      <c r="AK32" s="69">
        <v>0.0</v>
      </c>
      <c r="AL32" s="68"/>
      <c r="AM32" s="68"/>
      <c r="AN32" s="68" t="s">
        <v>1890</v>
      </c>
      <c r="AO32" s="69">
        <v>0.0</v>
      </c>
      <c r="AP32" s="68" t="s">
        <v>1891</v>
      </c>
      <c r="AQ32" s="69">
        <v>0.0</v>
      </c>
      <c r="AR32" s="68"/>
      <c r="AS32" s="68"/>
    </row>
    <row r="33" ht="15.75" customHeight="1">
      <c r="A33" s="11">
        <v>1588.0</v>
      </c>
      <c r="B33" s="11" t="s">
        <v>42</v>
      </c>
      <c r="C33" s="12" t="str">
        <f t="shared" si="1"/>
        <v>LP 32_BC-16B_BS VI HSD</v>
      </c>
      <c r="D33" s="14" t="s">
        <v>1892</v>
      </c>
      <c r="E33" s="14" t="s">
        <v>1336</v>
      </c>
      <c r="F33" s="13" t="s">
        <v>1893</v>
      </c>
      <c r="G33" s="13" t="s">
        <v>109</v>
      </c>
      <c r="H33" s="68" t="s">
        <v>1894</v>
      </c>
      <c r="I33" s="69">
        <v>0.0</v>
      </c>
      <c r="J33" s="68" t="s">
        <v>1895</v>
      </c>
      <c r="K33" s="69">
        <v>0.0</v>
      </c>
      <c r="L33" s="68"/>
      <c r="M33" s="68"/>
      <c r="N33" s="68" t="s">
        <v>1896</v>
      </c>
      <c r="O33" s="69">
        <v>0.0</v>
      </c>
      <c r="P33" s="68"/>
      <c r="Q33" s="68"/>
      <c r="R33" s="68" t="s">
        <v>1897</v>
      </c>
      <c r="S33" s="69">
        <v>0.0</v>
      </c>
      <c r="T33" s="68"/>
      <c r="U33" s="68"/>
      <c r="V33" s="68" t="s">
        <v>1898</v>
      </c>
      <c r="W33" s="69">
        <v>0.0</v>
      </c>
      <c r="X33" s="68" t="s">
        <v>1899</v>
      </c>
      <c r="Y33" s="69">
        <v>0.0</v>
      </c>
      <c r="Z33" s="68" t="s">
        <v>1900</v>
      </c>
      <c r="AA33" s="69">
        <v>0.0</v>
      </c>
      <c r="AB33" s="68" t="s">
        <v>1901</v>
      </c>
      <c r="AC33" s="69">
        <v>0.0</v>
      </c>
      <c r="AD33" s="68" t="s">
        <v>1902</v>
      </c>
      <c r="AE33" s="69">
        <v>0.0</v>
      </c>
      <c r="AF33" s="68" t="s">
        <v>1903</v>
      </c>
      <c r="AG33" s="69">
        <v>0.0</v>
      </c>
      <c r="AH33" s="68" t="s">
        <v>1904</v>
      </c>
      <c r="AI33" s="69">
        <v>0.0</v>
      </c>
      <c r="AJ33" s="68" t="s">
        <v>1905</v>
      </c>
      <c r="AK33" s="69">
        <v>0.0</v>
      </c>
      <c r="AL33" s="68"/>
      <c r="AM33" s="68"/>
      <c r="AN33" s="68" t="s">
        <v>1906</v>
      </c>
      <c r="AO33" s="69">
        <v>0.0</v>
      </c>
      <c r="AP33" s="68" t="s">
        <v>1907</v>
      </c>
      <c r="AQ33" s="69">
        <v>0.0</v>
      </c>
      <c r="AR33" s="68"/>
      <c r="AS33" s="68"/>
    </row>
    <row r="34" ht="15.75" customHeight="1">
      <c r="A34" s="11">
        <v>1588.0</v>
      </c>
      <c r="B34" s="11" t="s">
        <v>42</v>
      </c>
      <c r="C34" s="12" t="str">
        <f t="shared" si="1"/>
        <v>LP 33_BC-17A_LOW RON MS</v>
      </c>
      <c r="D34" s="14" t="s">
        <v>1908</v>
      </c>
      <c r="E34" s="14" t="s">
        <v>1336</v>
      </c>
      <c r="F34" s="13" t="s">
        <v>1909</v>
      </c>
      <c r="G34" s="13" t="s">
        <v>156</v>
      </c>
      <c r="H34" s="68" t="s">
        <v>1910</v>
      </c>
      <c r="I34" s="69">
        <v>0.0</v>
      </c>
      <c r="J34" s="68" t="s">
        <v>1911</v>
      </c>
      <c r="K34" s="69">
        <v>0.0</v>
      </c>
      <c r="L34" s="68" t="s">
        <v>1912</v>
      </c>
      <c r="M34" s="69">
        <v>0.0</v>
      </c>
      <c r="N34" s="68" t="s">
        <v>1913</v>
      </c>
      <c r="O34" s="69">
        <v>0.0</v>
      </c>
      <c r="P34" s="68" t="s">
        <v>1914</v>
      </c>
      <c r="Q34" s="69">
        <v>0.0</v>
      </c>
      <c r="R34" s="68" t="s">
        <v>1915</v>
      </c>
      <c r="S34" s="69">
        <v>0.0</v>
      </c>
      <c r="T34" s="68" t="s">
        <v>1916</v>
      </c>
      <c r="U34" s="69">
        <v>0.0</v>
      </c>
      <c r="V34" s="68" t="s">
        <v>1917</v>
      </c>
      <c r="W34" s="69">
        <v>0.0</v>
      </c>
      <c r="X34" s="68" t="s">
        <v>1918</v>
      </c>
      <c r="Y34" s="69">
        <v>0.0</v>
      </c>
      <c r="Z34" s="68" t="s">
        <v>1919</v>
      </c>
      <c r="AA34" s="69">
        <v>0.0</v>
      </c>
      <c r="AB34" s="68" t="s">
        <v>1920</v>
      </c>
      <c r="AC34" s="69">
        <v>0.0</v>
      </c>
      <c r="AD34" s="68" t="s">
        <v>1921</v>
      </c>
      <c r="AE34" s="69">
        <v>0.0</v>
      </c>
      <c r="AF34" s="68" t="s">
        <v>1922</v>
      </c>
      <c r="AG34" s="69">
        <v>0.0</v>
      </c>
      <c r="AH34" s="68" t="s">
        <v>1923</v>
      </c>
      <c r="AI34" s="69">
        <v>0.0</v>
      </c>
      <c r="AJ34" s="68" t="s">
        <v>1924</v>
      </c>
      <c r="AK34" s="69">
        <v>0.0</v>
      </c>
      <c r="AL34" s="68" t="s">
        <v>1925</v>
      </c>
      <c r="AM34" s="69">
        <v>0.0</v>
      </c>
      <c r="AN34" s="68" t="s">
        <v>1926</v>
      </c>
      <c r="AO34" s="69">
        <v>0.0</v>
      </c>
      <c r="AP34" s="68" t="s">
        <v>1927</v>
      </c>
      <c r="AQ34" s="69">
        <v>0.0</v>
      </c>
      <c r="AR34" s="68" t="s">
        <v>1928</v>
      </c>
      <c r="AS34" s="69">
        <v>0.0</v>
      </c>
    </row>
    <row r="35" ht="15.75" customHeight="1">
      <c r="A35" s="11">
        <v>1588.0</v>
      </c>
      <c r="B35" s="11" t="s">
        <v>42</v>
      </c>
      <c r="C35" s="12" t="str">
        <f t="shared" si="1"/>
        <v>LP 34_BC-17B_BS VI HSD</v>
      </c>
      <c r="D35" s="14" t="s">
        <v>1929</v>
      </c>
      <c r="E35" s="14" t="s">
        <v>1336</v>
      </c>
      <c r="F35" s="13" t="s">
        <v>1930</v>
      </c>
      <c r="G35" s="13" t="s">
        <v>109</v>
      </c>
      <c r="H35" s="68" t="s">
        <v>1931</v>
      </c>
      <c r="I35" s="69">
        <v>0.0</v>
      </c>
      <c r="J35" s="68" t="s">
        <v>1932</v>
      </c>
      <c r="K35" s="69">
        <v>0.0</v>
      </c>
      <c r="L35" s="68"/>
      <c r="M35" s="68"/>
      <c r="N35" s="68" t="s">
        <v>1933</v>
      </c>
      <c r="O35" s="69">
        <v>0.0</v>
      </c>
      <c r="P35" s="68"/>
      <c r="Q35" s="68"/>
      <c r="R35" s="68" t="s">
        <v>1934</v>
      </c>
      <c r="S35" s="69">
        <v>0.0</v>
      </c>
      <c r="T35" s="68"/>
      <c r="U35" s="68"/>
      <c r="V35" s="68" t="s">
        <v>1935</v>
      </c>
      <c r="W35" s="69">
        <v>0.0</v>
      </c>
      <c r="X35" s="68" t="s">
        <v>1936</v>
      </c>
      <c r="Y35" s="69">
        <v>0.0</v>
      </c>
      <c r="Z35" s="68" t="s">
        <v>1937</v>
      </c>
      <c r="AA35" s="69">
        <v>0.0</v>
      </c>
      <c r="AB35" s="68" t="s">
        <v>1938</v>
      </c>
      <c r="AC35" s="69">
        <v>0.0</v>
      </c>
      <c r="AD35" s="68" t="s">
        <v>1939</v>
      </c>
      <c r="AE35" s="69">
        <v>0.0</v>
      </c>
      <c r="AF35" s="68" t="s">
        <v>1940</v>
      </c>
      <c r="AG35" s="69">
        <v>0.0</v>
      </c>
      <c r="AH35" s="68" t="s">
        <v>1941</v>
      </c>
      <c r="AI35" s="69">
        <v>0.0</v>
      </c>
      <c r="AJ35" s="68" t="s">
        <v>1942</v>
      </c>
      <c r="AK35" s="69">
        <v>0.0</v>
      </c>
      <c r="AL35" s="68"/>
      <c r="AM35" s="68"/>
      <c r="AN35" s="68" t="s">
        <v>1943</v>
      </c>
      <c r="AO35" s="69">
        <v>0.0</v>
      </c>
      <c r="AP35" s="68" t="s">
        <v>1944</v>
      </c>
      <c r="AQ35" s="69">
        <v>0.0</v>
      </c>
      <c r="AR35" s="68"/>
      <c r="AS35" s="68"/>
    </row>
    <row r="36" ht="15.75" customHeight="1">
      <c r="A36" s="11">
        <v>1588.0</v>
      </c>
      <c r="B36" s="11" t="s">
        <v>42</v>
      </c>
      <c r="C36" s="12" t="str">
        <f t="shared" si="1"/>
        <v>LP 35_BC-18A_LOW RON MS</v>
      </c>
      <c r="D36" s="14" t="s">
        <v>1945</v>
      </c>
      <c r="E36" s="14" t="s">
        <v>1336</v>
      </c>
      <c r="F36" s="13" t="s">
        <v>1946</v>
      </c>
      <c r="G36" s="13" t="s">
        <v>156</v>
      </c>
      <c r="H36" s="68" t="s">
        <v>1947</v>
      </c>
      <c r="I36" s="69">
        <v>0.0</v>
      </c>
      <c r="J36" s="68" t="s">
        <v>1948</v>
      </c>
      <c r="K36" s="69">
        <v>0.0</v>
      </c>
      <c r="L36" s="68" t="s">
        <v>1949</v>
      </c>
      <c r="M36" s="69">
        <v>0.0</v>
      </c>
      <c r="N36" s="68" t="s">
        <v>1950</v>
      </c>
      <c r="O36" s="69">
        <v>0.0</v>
      </c>
      <c r="P36" s="68" t="s">
        <v>1951</v>
      </c>
      <c r="Q36" s="69">
        <v>0.0</v>
      </c>
      <c r="R36" s="68" t="s">
        <v>1952</v>
      </c>
      <c r="S36" s="69">
        <v>0.0</v>
      </c>
      <c r="T36" s="68" t="s">
        <v>1953</v>
      </c>
      <c r="U36" s="69">
        <v>0.0</v>
      </c>
      <c r="V36" s="68" t="s">
        <v>1954</v>
      </c>
      <c r="W36" s="69">
        <v>0.0</v>
      </c>
      <c r="X36" s="68" t="s">
        <v>1955</v>
      </c>
      <c r="Y36" s="69">
        <v>0.0</v>
      </c>
      <c r="Z36" s="68" t="s">
        <v>1956</v>
      </c>
      <c r="AA36" s="69">
        <v>0.0</v>
      </c>
      <c r="AB36" s="68" t="s">
        <v>1957</v>
      </c>
      <c r="AC36" s="69">
        <v>0.0</v>
      </c>
      <c r="AD36" s="68" t="s">
        <v>1958</v>
      </c>
      <c r="AE36" s="69">
        <v>0.0</v>
      </c>
      <c r="AF36" s="68" t="s">
        <v>1959</v>
      </c>
      <c r="AG36" s="69">
        <v>0.0</v>
      </c>
      <c r="AH36" s="68" t="s">
        <v>1960</v>
      </c>
      <c r="AI36" s="69">
        <v>0.0</v>
      </c>
      <c r="AJ36" s="68" t="s">
        <v>1961</v>
      </c>
      <c r="AK36" s="69">
        <v>0.0</v>
      </c>
      <c r="AL36" s="68" t="s">
        <v>1962</v>
      </c>
      <c r="AM36" s="69">
        <v>0.0</v>
      </c>
      <c r="AN36" s="68" t="s">
        <v>1963</v>
      </c>
      <c r="AO36" s="69">
        <v>0.0</v>
      </c>
      <c r="AP36" s="68" t="s">
        <v>1964</v>
      </c>
      <c r="AQ36" s="69">
        <v>0.0</v>
      </c>
      <c r="AR36" s="68" t="s">
        <v>1965</v>
      </c>
      <c r="AS36" s="69">
        <v>0.0</v>
      </c>
    </row>
    <row r="37" ht="15.75" customHeight="1">
      <c r="A37" s="11">
        <v>1588.0</v>
      </c>
      <c r="B37" s="11" t="s">
        <v>42</v>
      </c>
      <c r="C37" s="12" t="str">
        <f t="shared" si="1"/>
        <v>LP 36_BC-18B_BS VI HSD</v>
      </c>
      <c r="D37" s="14" t="s">
        <v>1966</v>
      </c>
      <c r="E37" s="14" t="s">
        <v>1336</v>
      </c>
      <c r="F37" s="13" t="s">
        <v>1967</v>
      </c>
      <c r="G37" s="13" t="s">
        <v>109</v>
      </c>
      <c r="H37" s="68" t="s">
        <v>1968</v>
      </c>
      <c r="I37" s="69">
        <v>0.0</v>
      </c>
      <c r="J37" s="68" t="s">
        <v>1969</v>
      </c>
      <c r="K37" s="69">
        <v>0.0</v>
      </c>
      <c r="L37" s="68"/>
      <c r="M37" s="68"/>
      <c r="N37" s="68" t="s">
        <v>1970</v>
      </c>
      <c r="O37" s="69">
        <v>0.0</v>
      </c>
      <c r="P37" s="68"/>
      <c r="Q37" s="68"/>
      <c r="R37" s="68" t="s">
        <v>1971</v>
      </c>
      <c r="S37" s="69">
        <v>0.0</v>
      </c>
      <c r="T37" s="68"/>
      <c r="U37" s="68"/>
      <c r="V37" s="68" t="s">
        <v>1972</v>
      </c>
      <c r="W37" s="69">
        <v>0.0</v>
      </c>
      <c r="X37" s="68" t="s">
        <v>1973</v>
      </c>
      <c r="Y37" s="69">
        <v>0.0</v>
      </c>
      <c r="Z37" s="68" t="s">
        <v>1974</v>
      </c>
      <c r="AA37" s="69">
        <v>0.0</v>
      </c>
      <c r="AB37" s="68" t="s">
        <v>1975</v>
      </c>
      <c r="AC37" s="69">
        <v>0.0</v>
      </c>
      <c r="AD37" s="68" t="s">
        <v>1976</v>
      </c>
      <c r="AE37" s="69">
        <v>0.0</v>
      </c>
      <c r="AF37" s="68" t="s">
        <v>1977</v>
      </c>
      <c r="AG37" s="69">
        <v>0.0</v>
      </c>
      <c r="AH37" s="68" t="s">
        <v>1978</v>
      </c>
      <c r="AI37" s="69">
        <v>0.0</v>
      </c>
      <c r="AJ37" s="68" t="s">
        <v>1979</v>
      </c>
      <c r="AK37" s="69">
        <v>0.0</v>
      </c>
      <c r="AL37" s="68"/>
      <c r="AM37" s="68"/>
      <c r="AN37" s="68" t="s">
        <v>1980</v>
      </c>
      <c r="AO37" s="69">
        <v>0.0</v>
      </c>
      <c r="AP37" s="68" t="s">
        <v>1981</v>
      </c>
      <c r="AQ37" s="69">
        <v>0.0</v>
      </c>
      <c r="AR37" s="68"/>
      <c r="AS37" s="68"/>
    </row>
    <row r="38" ht="15.75" customHeight="1">
      <c r="A38" s="11">
        <v>1588.0</v>
      </c>
      <c r="B38" s="11" t="s">
        <v>42</v>
      </c>
      <c r="C38" s="12" t="str">
        <f t="shared" si="1"/>
        <v>LP 37_BC-19A_LOW RON MS</v>
      </c>
      <c r="D38" s="14" t="s">
        <v>1982</v>
      </c>
      <c r="E38" s="14" t="s">
        <v>1336</v>
      </c>
      <c r="F38" s="13" t="s">
        <v>1983</v>
      </c>
      <c r="G38" s="13" t="s">
        <v>156</v>
      </c>
      <c r="H38" s="68" t="s">
        <v>1984</v>
      </c>
      <c r="I38" s="69">
        <v>0.0</v>
      </c>
      <c r="J38" s="68" t="s">
        <v>1985</v>
      </c>
      <c r="K38" s="69">
        <v>0.0</v>
      </c>
      <c r="L38" s="68" t="s">
        <v>1986</v>
      </c>
      <c r="M38" s="69">
        <v>0.0</v>
      </c>
      <c r="N38" s="68" t="s">
        <v>1987</v>
      </c>
      <c r="O38" s="69">
        <v>0.0</v>
      </c>
      <c r="P38" s="68" t="s">
        <v>1988</v>
      </c>
      <c r="Q38" s="69">
        <v>0.0</v>
      </c>
      <c r="R38" s="68" t="s">
        <v>1989</v>
      </c>
      <c r="S38" s="69">
        <v>0.0</v>
      </c>
      <c r="T38" s="68" t="s">
        <v>1990</v>
      </c>
      <c r="U38" s="69">
        <v>0.0</v>
      </c>
      <c r="V38" s="68" t="s">
        <v>1991</v>
      </c>
      <c r="W38" s="69">
        <v>0.0</v>
      </c>
      <c r="X38" s="68" t="s">
        <v>1992</v>
      </c>
      <c r="Y38" s="69">
        <v>0.0</v>
      </c>
      <c r="Z38" s="68" t="s">
        <v>1993</v>
      </c>
      <c r="AA38" s="69">
        <v>0.0</v>
      </c>
      <c r="AB38" s="68" t="s">
        <v>1994</v>
      </c>
      <c r="AC38" s="69">
        <v>0.0</v>
      </c>
      <c r="AD38" s="68" t="s">
        <v>1995</v>
      </c>
      <c r="AE38" s="69">
        <v>0.0</v>
      </c>
      <c r="AF38" s="68" t="s">
        <v>1996</v>
      </c>
      <c r="AG38" s="69">
        <v>0.0</v>
      </c>
      <c r="AH38" s="68" t="s">
        <v>1997</v>
      </c>
      <c r="AI38" s="69">
        <v>0.0</v>
      </c>
      <c r="AJ38" s="68" t="s">
        <v>1998</v>
      </c>
      <c r="AK38" s="69">
        <v>0.0</v>
      </c>
      <c r="AL38" s="68" t="s">
        <v>1999</v>
      </c>
      <c r="AM38" s="69">
        <v>0.0</v>
      </c>
      <c r="AN38" s="68" t="s">
        <v>2000</v>
      </c>
      <c r="AO38" s="69">
        <v>0.0</v>
      </c>
      <c r="AP38" s="68" t="s">
        <v>2001</v>
      </c>
      <c r="AQ38" s="69">
        <v>0.0</v>
      </c>
      <c r="AR38" s="68" t="s">
        <v>2002</v>
      </c>
      <c r="AS38" s="69">
        <v>0.0</v>
      </c>
    </row>
    <row r="39" ht="15.75" customHeight="1">
      <c r="A39" s="11">
        <v>1588.0</v>
      </c>
      <c r="B39" s="11" t="s">
        <v>42</v>
      </c>
      <c r="C39" s="12" t="str">
        <f t="shared" si="1"/>
        <v>LP 38_BC-19B_BS VI HSD</v>
      </c>
      <c r="D39" s="14" t="s">
        <v>2003</v>
      </c>
      <c r="E39" s="14" t="s">
        <v>1336</v>
      </c>
      <c r="F39" s="13" t="s">
        <v>2004</v>
      </c>
      <c r="G39" s="13" t="s">
        <v>109</v>
      </c>
      <c r="H39" s="68" t="s">
        <v>2005</v>
      </c>
      <c r="I39" s="69">
        <v>0.0</v>
      </c>
      <c r="J39" s="68" t="s">
        <v>2006</v>
      </c>
      <c r="K39" s="69">
        <v>0.0</v>
      </c>
      <c r="L39" s="68"/>
      <c r="M39" s="68"/>
      <c r="N39" s="68" t="s">
        <v>2007</v>
      </c>
      <c r="O39" s="69">
        <v>0.0</v>
      </c>
      <c r="P39" s="68"/>
      <c r="Q39" s="68"/>
      <c r="R39" s="68" t="s">
        <v>2008</v>
      </c>
      <c r="S39" s="69">
        <v>0.0</v>
      </c>
      <c r="T39" s="68"/>
      <c r="U39" s="68"/>
      <c r="V39" s="68" t="s">
        <v>2009</v>
      </c>
      <c r="W39" s="69">
        <v>0.0</v>
      </c>
      <c r="X39" s="68" t="s">
        <v>2010</v>
      </c>
      <c r="Y39" s="69">
        <v>0.0</v>
      </c>
      <c r="Z39" s="68" t="s">
        <v>2011</v>
      </c>
      <c r="AA39" s="69">
        <v>0.0</v>
      </c>
      <c r="AB39" s="68" t="s">
        <v>2012</v>
      </c>
      <c r="AC39" s="69">
        <v>0.0</v>
      </c>
      <c r="AD39" s="68" t="s">
        <v>2013</v>
      </c>
      <c r="AE39" s="69">
        <v>0.0</v>
      </c>
      <c r="AF39" s="68" t="s">
        <v>2014</v>
      </c>
      <c r="AG39" s="69">
        <v>0.0</v>
      </c>
      <c r="AH39" s="68" t="s">
        <v>2015</v>
      </c>
      <c r="AI39" s="69">
        <v>0.0</v>
      </c>
      <c r="AJ39" s="68" t="s">
        <v>2016</v>
      </c>
      <c r="AK39" s="69">
        <v>0.0</v>
      </c>
      <c r="AL39" s="68"/>
      <c r="AM39" s="68"/>
      <c r="AN39" s="68" t="s">
        <v>2017</v>
      </c>
      <c r="AO39" s="69">
        <v>0.0</v>
      </c>
      <c r="AP39" s="68" t="s">
        <v>2018</v>
      </c>
      <c r="AQ39" s="69">
        <v>0.0</v>
      </c>
      <c r="AR39" s="68"/>
      <c r="AS39" s="68"/>
    </row>
    <row r="40" ht="15.75" customHeight="1">
      <c r="A40" s="11">
        <v>1588.0</v>
      </c>
      <c r="B40" s="11" t="s">
        <v>42</v>
      </c>
      <c r="C40" s="12" t="str">
        <f t="shared" si="1"/>
        <v>LP 39_BC-20A_LOW RON MS</v>
      </c>
      <c r="D40" s="14" t="s">
        <v>2019</v>
      </c>
      <c r="E40" s="14" t="s">
        <v>1336</v>
      </c>
      <c r="F40" s="13" t="s">
        <v>2020</v>
      </c>
      <c r="G40" s="13" t="s">
        <v>156</v>
      </c>
      <c r="H40" s="68" t="s">
        <v>2021</v>
      </c>
      <c r="I40" s="69">
        <v>0.0</v>
      </c>
      <c r="J40" s="68" t="s">
        <v>2022</v>
      </c>
      <c r="K40" s="69">
        <v>0.0</v>
      </c>
      <c r="L40" s="68" t="s">
        <v>2023</v>
      </c>
      <c r="M40" s="69">
        <v>0.0</v>
      </c>
      <c r="N40" s="68" t="s">
        <v>2024</v>
      </c>
      <c r="O40" s="69">
        <v>0.0</v>
      </c>
      <c r="P40" s="68" t="s">
        <v>2025</v>
      </c>
      <c r="Q40" s="69">
        <v>0.0</v>
      </c>
      <c r="R40" s="68" t="s">
        <v>2026</v>
      </c>
      <c r="S40" s="69">
        <v>0.0</v>
      </c>
      <c r="T40" s="68" t="s">
        <v>2027</v>
      </c>
      <c r="U40" s="69">
        <v>0.0</v>
      </c>
      <c r="V40" s="68" t="s">
        <v>2028</v>
      </c>
      <c r="W40" s="69">
        <v>0.0</v>
      </c>
      <c r="X40" s="68" t="s">
        <v>2029</v>
      </c>
      <c r="Y40" s="69">
        <v>0.0</v>
      </c>
      <c r="Z40" s="68" t="s">
        <v>2030</v>
      </c>
      <c r="AA40" s="69">
        <v>0.0</v>
      </c>
      <c r="AB40" s="68" t="s">
        <v>2031</v>
      </c>
      <c r="AC40" s="69">
        <v>0.0</v>
      </c>
      <c r="AD40" s="68" t="s">
        <v>2032</v>
      </c>
      <c r="AE40" s="69">
        <v>0.0</v>
      </c>
      <c r="AF40" s="68" t="s">
        <v>2033</v>
      </c>
      <c r="AG40" s="69">
        <v>0.0</v>
      </c>
      <c r="AH40" s="68" t="s">
        <v>2034</v>
      </c>
      <c r="AI40" s="69">
        <v>0.0</v>
      </c>
      <c r="AJ40" s="68" t="s">
        <v>2035</v>
      </c>
      <c r="AK40" s="69">
        <v>0.0</v>
      </c>
      <c r="AL40" s="68" t="s">
        <v>2036</v>
      </c>
      <c r="AM40" s="69">
        <v>0.0</v>
      </c>
      <c r="AN40" s="68" t="s">
        <v>2037</v>
      </c>
      <c r="AO40" s="69">
        <v>0.0</v>
      </c>
      <c r="AP40" s="68" t="s">
        <v>2038</v>
      </c>
      <c r="AQ40" s="69">
        <v>0.0</v>
      </c>
      <c r="AR40" s="68" t="s">
        <v>2039</v>
      </c>
      <c r="AS40" s="69">
        <v>0.0</v>
      </c>
    </row>
    <row r="41" ht="15.75" customHeight="1">
      <c r="A41" s="11">
        <v>1588.0</v>
      </c>
      <c r="B41" s="11" t="s">
        <v>42</v>
      </c>
      <c r="C41" s="12" t="str">
        <f t="shared" si="1"/>
        <v>LP 40_BC-20B_BS VI HSD</v>
      </c>
      <c r="D41" s="14" t="s">
        <v>2040</v>
      </c>
      <c r="E41" s="14" t="s">
        <v>1336</v>
      </c>
      <c r="F41" s="13" t="s">
        <v>2041</v>
      </c>
      <c r="G41" s="13" t="s">
        <v>109</v>
      </c>
      <c r="H41" s="68" t="s">
        <v>2042</v>
      </c>
      <c r="I41" s="69">
        <v>0.0</v>
      </c>
      <c r="J41" s="68" t="s">
        <v>2043</v>
      </c>
      <c r="K41" s="69">
        <v>0.0</v>
      </c>
      <c r="L41" s="68"/>
      <c r="M41" s="68"/>
      <c r="N41" s="68" t="s">
        <v>2044</v>
      </c>
      <c r="O41" s="69">
        <v>0.0</v>
      </c>
      <c r="P41" s="68"/>
      <c r="Q41" s="68"/>
      <c r="R41" s="68" t="s">
        <v>2045</v>
      </c>
      <c r="S41" s="69">
        <v>0.0</v>
      </c>
      <c r="T41" s="68"/>
      <c r="U41" s="68"/>
      <c r="V41" s="68" t="s">
        <v>2046</v>
      </c>
      <c r="W41" s="69">
        <v>0.0</v>
      </c>
      <c r="X41" s="68" t="s">
        <v>2047</v>
      </c>
      <c r="Y41" s="69">
        <v>0.0</v>
      </c>
      <c r="Z41" s="68" t="s">
        <v>2048</v>
      </c>
      <c r="AA41" s="69">
        <v>0.0</v>
      </c>
      <c r="AB41" s="68" t="s">
        <v>2049</v>
      </c>
      <c r="AC41" s="69">
        <v>0.0</v>
      </c>
      <c r="AD41" s="68" t="s">
        <v>2050</v>
      </c>
      <c r="AE41" s="69">
        <v>0.0</v>
      </c>
      <c r="AF41" s="68" t="s">
        <v>2051</v>
      </c>
      <c r="AG41" s="69">
        <v>0.0</v>
      </c>
      <c r="AH41" s="68" t="s">
        <v>2052</v>
      </c>
      <c r="AI41" s="69">
        <v>0.0</v>
      </c>
      <c r="AJ41" s="68" t="s">
        <v>2053</v>
      </c>
      <c r="AK41" s="69">
        <v>0.0</v>
      </c>
      <c r="AL41" s="68"/>
      <c r="AM41" s="68"/>
      <c r="AN41" s="68" t="s">
        <v>2054</v>
      </c>
      <c r="AO41" s="69">
        <v>0.0</v>
      </c>
      <c r="AP41" s="68" t="s">
        <v>2055</v>
      </c>
      <c r="AQ41" s="69">
        <v>0.0</v>
      </c>
      <c r="AR41" s="68"/>
      <c r="AS41" s="68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40"/>
      <c r="AI42" s="40"/>
      <c r="AJ42" s="39"/>
      <c r="AK42" s="39"/>
      <c r="AL42" s="39"/>
      <c r="AM42" s="39"/>
      <c r="AN42" s="39"/>
      <c r="AO42" s="39"/>
      <c r="AP42" s="39"/>
      <c r="AQ42" s="39"/>
      <c r="AR42" s="39"/>
      <c r="AS42" s="39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43"/>
      <c r="AI43" s="43"/>
      <c r="AJ43" s="39"/>
      <c r="AK43" s="39"/>
      <c r="AL43" s="39"/>
      <c r="AM43" s="39"/>
      <c r="AN43" s="39"/>
      <c r="AO43" s="39"/>
      <c r="AP43" s="39"/>
      <c r="AQ43" s="39"/>
      <c r="AR43" s="39"/>
      <c r="AS43" s="39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43"/>
      <c r="AI44" s="43"/>
      <c r="AJ44" s="39"/>
      <c r="AK44" s="39"/>
      <c r="AL44" s="39"/>
      <c r="AM44" s="39"/>
      <c r="AN44" s="39"/>
      <c r="AO44" s="39"/>
      <c r="AP44" s="39"/>
      <c r="AQ44" s="39"/>
      <c r="AR44" s="39"/>
      <c r="AS44" s="39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43"/>
      <c r="AI45" s="43"/>
      <c r="AJ45" s="39"/>
      <c r="AK45" s="39"/>
      <c r="AL45" s="39"/>
      <c r="AM45" s="39"/>
      <c r="AN45" s="39"/>
      <c r="AO45" s="39"/>
      <c r="AP45" s="39"/>
      <c r="AQ45" s="39"/>
      <c r="AR45" s="39"/>
      <c r="AS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43"/>
      <c r="AI46" s="43"/>
      <c r="AJ46" s="39"/>
      <c r="AK46" s="39"/>
      <c r="AL46" s="39"/>
      <c r="AM46" s="39"/>
      <c r="AN46" s="39"/>
      <c r="AO46" s="39"/>
      <c r="AP46" s="39"/>
      <c r="AQ46" s="39"/>
      <c r="AR46" s="39"/>
      <c r="AS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43"/>
      <c r="AI47" s="43"/>
      <c r="AJ47" s="39"/>
      <c r="AK47" s="39"/>
      <c r="AL47" s="39"/>
      <c r="AM47" s="39"/>
      <c r="AN47" s="39"/>
      <c r="AO47" s="39"/>
      <c r="AP47" s="39"/>
      <c r="AQ47" s="39"/>
      <c r="AR47" s="39"/>
      <c r="AS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43"/>
      <c r="AI48" s="43"/>
      <c r="AJ48" s="39"/>
      <c r="AK48" s="39"/>
      <c r="AL48" s="39"/>
      <c r="AM48" s="39"/>
      <c r="AN48" s="39"/>
      <c r="AO48" s="39"/>
      <c r="AP48" s="39"/>
      <c r="AQ48" s="39"/>
      <c r="AR48" s="39"/>
      <c r="AS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43"/>
      <c r="AI49" s="43"/>
      <c r="AJ49" s="39"/>
      <c r="AK49" s="39"/>
      <c r="AL49" s="39"/>
      <c r="AM49" s="39"/>
      <c r="AN49" s="39"/>
      <c r="AO49" s="39"/>
      <c r="AP49" s="39"/>
      <c r="AQ49" s="39"/>
      <c r="AR49" s="39"/>
      <c r="AS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43"/>
      <c r="AI50" s="43"/>
      <c r="AJ50" s="39"/>
      <c r="AK50" s="39"/>
      <c r="AL50" s="39"/>
      <c r="AM50" s="39"/>
      <c r="AN50" s="39"/>
      <c r="AO50" s="39"/>
      <c r="AP50" s="39"/>
      <c r="AQ50" s="39"/>
      <c r="AR50" s="39"/>
      <c r="AS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43"/>
      <c r="AI51" s="43"/>
      <c r="AJ51" s="39"/>
      <c r="AK51" s="39"/>
      <c r="AL51" s="39"/>
      <c r="AM51" s="39"/>
      <c r="AN51" s="39"/>
      <c r="AO51" s="39"/>
      <c r="AP51" s="39"/>
      <c r="AQ51" s="39"/>
      <c r="AR51" s="39"/>
      <c r="AS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43"/>
      <c r="AI52" s="43"/>
      <c r="AJ52" s="39"/>
      <c r="AK52" s="39"/>
      <c r="AL52" s="39"/>
      <c r="AM52" s="39"/>
      <c r="AN52" s="39"/>
      <c r="AO52" s="39"/>
      <c r="AP52" s="39"/>
      <c r="AQ52" s="39"/>
      <c r="AR52" s="39"/>
      <c r="AS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43"/>
      <c r="AI53" s="43"/>
      <c r="AJ53" s="39"/>
      <c r="AK53" s="39"/>
      <c r="AL53" s="39"/>
      <c r="AM53" s="39"/>
      <c r="AN53" s="39"/>
      <c r="AO53" s="39"/>
      <c r="AP53" s="39"/>
      <c r="AQ53" s="39"/>
      <c r="AR53" s="39"/>
      <c r="AS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43"/>
      <c r="AI54" s="43"/>
      <c r="AJ54" s="39"/>
      <c r="AK54" s="39"/>
      <c r="AL54" s="39"/>
      <c r="AM54" s="39"/>
      <c r="AN54" s="39"/>
      <c r="AO54" s="39"/>
      <c r="AP54" s="39"/>
      <c r="AQ54" s="39"/>
      <c r="AR54" s="39"/>
      <c r="AS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43"/>
      <c r="AI55" s="43"/>
      <c r="AJ55" s="39"/>
      <c r="AK55" s="39"/>
      <c r="AL55" s="39"/>
      <c r="AM55" s="39"/>
      <c r="AN55" s="39"/>
      <c r="AO55" s="39"/>
      <c r="AP55" s="39"/>
      <c r="AQ55" s="39"/>
      <c r="AR55" s="39"/>
      <c r="AS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43"/>
      <c r="AI56" s="43"/>
      <c r="AJ56" s="39"/>
      <c r="AK56" s="39"/>
      <c r="AL56" s="39"/>
      <c r="AM56" s="39"/>
      <c r="AN56" s="39"/>
      <c r="AO56" s="39"/>
      <c r="AP56" s="39"/>
      <c r="AQ56" s="39"/>
      <c r="AR56" s="39"/>
      <c r="AS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43"/>
      <c r="AI57" s="43"/>
      <c r="AJ57" s="39"/>
      <c r="AK57" s="39"/>
      <c r="AL57" s="39"/>
      <c r="AM57" s="39"/>
      <c r="AN57" s="39"/>
      <c r="AO57" s="39"/>
      <c r="AP57" s="39"/>
      <c r="AQ57" s="39"/>
      <c r="AR57" s="39"/>
      <c r="AS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43"/>
      <c r="AI58" s="43"/>
      <c r="AJ58" s="39"/>
      <c r="AK58" s="39"/>
      <c r="AL58" s="39"/>
      <c r="AM58" s="39"/>
      <c r="AN58" s="39"/>
      <c r="AO58" s="39"/>
      <c r="AP58" s="39"/>
      <c r="AQ58" s="39"/>
      <c r="AR58" s="39"/>
      <c r="AS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43"/>
      <c r="AI59" s="43"/>
      <c r="AJ59" s="39"/>
      <c r="AK59" s="39"/>
      <c r="AL59" s="39"/>
      <c r="AM59" s="39"/>
      <c r="AN59" s="39"/>
      <c r="AO59" s="39"/>
      <c r="AP59" s="39"/>
      <c r="AQ59" s="39"/>
      <c r="AR59" s="39"/>
      <c r="AS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43"/>
      <c r="AI60" s="43"/>
      <c r="AJ60" s="39"/>
      <c r="AK60" s="39"/>
      <c r="AL60" s="39"/>
      <c r="AM60" s="39"/>
      <c r="AN60" s="39"/>
      <c r="AO60" s="39"/>
      <c r="AP60" s="39"/>
      <c r="AQ60" s="39"/>
      <c r="AR60" s="39"/>
      <c r="AS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43"/>
      <c r="AI61" s="43"/>
      <c r="AJ61" s="39"/>
      <c r="AK61" s="39"/>
      <c r="AL61" s="39"/>
      <c r="AM61" s="39"/>
      <c r="AN61" s="39"/>
      <c r="AO61" s="39"/>
      <c r="AP61" s="39"/>
      <c r="AQ61" s="39"/>
      <c r="AR61" s="39"/>
      <c r="AS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43"/>
      <c r="AI62" s="43"/>
      <c r="AJ62" s="39"/>
      <c r="AK62" s="39"/>
      <c r="AL62" s="39"/>
      <c r="AM62" s="39"/>
      <c r="AN62" s="39"/>
      <c r="AO62" s="39"/>
      <c r="AP62" s="39"/>
      <c r="AQ62" s="39"/>
      <c r="AR62" s="39"/>
      <c r="AS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43"/>
      <c r="AI63" s="43"/>
      <c r="AJ63" s="39"/>
      <c r="AK63" s="39"/>
      <c r="AL63" s="39"/>
      <c r="AM63" s="39"/>
      <c r="AN63" s="39"/>
      <c r="AO63" s="39"/>
      <c r="AP63" s="39"/>
      <c r="AQ63" s="39"/>
      <c r="AR63" s="39"/>
      <c r="AS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43"/>
      <c r="AI64" s="43"/>
      <c r="AJ64" s="39"/>
      <c r="AK64" s="39"/>
      <c r="AL64" s="39"/>
      <c r="AM64" s="39"/>
      <c r="AN64" s="39"/>
      <c r="AO64" s="39"/>
      <c r="AP64" s="39"/>
      <c r="AQ64" s="39"/>
      <c r="AR64" s="39"/>
      <c r="AS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43"/>
      <c r="AI65" s="43"/>
      <c r="AJ65" s="39"/>
      <c r="AK65" s="39"/>
      <c r="AL65" s="39"/>
      <c r="AM65" s="39"/>
      <c r="AN65" s="39"/>
      <c r="AO65" s="39"/>
      <c r="AP65" s="39"/>
      <c r="AQ65" s="39"/>
      <c r="AR65" s="39"/>
      <c r="AS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43"/>
      <c r="AI66" s="43"/>
      <c r="AJ66" s="39"/>
      <c r="AK66" s="39"/>
      <c r="AL66" s="39"/>
      <c r="AM66" s="39"/>
      <c r="AN66" s="39"/>
      <c r="AO66" s="39"/>
      <c r="AP66" s="39"/>
      <c r="AQ66" s="39"/>
      <c r="AR66" s="39"/>
      <c r="AS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43"/>
      <c r="AI67" s="43"/>
      <c r="AJ67" s="39"/>
      <c r="AK67" s="39"/>
      <c r="AL67" s="39"/>
      <c r="AM67" s="39"/>
      <c r="AN67" s="39"/>
      <c r="AO67" s="39"/>
      <c r="AP67" s="39"/>
      <c r="AQ67" s="39"/>
      <c r="AR67" s="39"/>
      <c r="AS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43"/>
      <c r="AI68" s="43"/>
      <c r="AJ68" s="39"/>
      <c r="AK68" s="39"/>
      <c r="AL68" s="39"/>
      <c r="AM68" s="39"/>
      <c r="AN68" s="39"/>
      <c r="AO68" s="39"/>
      <c r="AP68" s="39"/>
      <c r="AQ68" s="39"/>
      <c r="AR68" s="39"/>
      <c r="AS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43"/>
      <c r="AI69" s="43"/>
      <c r="AJ69" s="39"/>
      <c r="AK69" s="39"/>
      <c r="AL69" s="39"/>
      <c r="AM69" s="39"/>
      <c r="AN69" s="39"/>
      <c r="AO69" s="39"/>
      <c r="AP69" s="39"/>
      <c r="AQ69" s="39"/>
      <c r="AR69" s="39"/>
      <c r="AS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43"/>
      <c r="AI70" s="43"/>
      <c r="AJ70" s="39"/>
      <c r="AK70" s="39"/>
      <c r="AL70" s="39"/>
      <c r="AM70" s="39"/>
      <c r="AN70" s="39"/>
      <c r="AO70" s="39"/>
      <c r="AP70" s="39"/>
      <c r="AQ70" s="39"/>
      <c r="AR70" s="39"/>
      <c r="AS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43"/>
      <c r="AI71" s="43"/>
      <c r="AJ71" s="39"/>
      <c r="AK71" s="39"/>
      <c r="AL71" s="39"/>
      <c r="AM71" s="39"/>
      <c r="AN71" s="39"/>
      <c r="AO71" s="39"/>
      <c r="AP71" s="39"/>
      <c r="AQ71" s="39"/>
      <c r="AR71" s="39"/>
      <c r="AS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43"/>
      <c r="AI72" s="43"/>
      <c r="AJ72" s="39"/>
      <c r="AK72" s="39"/>
      <c r="AL72" s="39"/>
      <c r="AM72" s="39"/>
      <c r="AN72" s="39"/>
      <c r="AO72" s="39"/>
      <c r="AP72" s="39"/>
      <c r="AQ72" s="39"/>
      <c r="AR72" s="39"/>
      <c r="AS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43"/>
      <c r="AI73" s="43"/>
      <c r="AJ73" s="39"/>
      <c r="AK73" s="39"/>
      <c r="AL73" s="39"/>
      <c r="AM73" s="39"/>
      <c r="AN73" s="39"/>
      <c r="AO73" s="39"/>
      <c r="AP73" s="39"/>
      <c r="AQ73" s="39"/>
      <c r="AR73" s="39"/>
      <c r="AS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43"/>
      <c r="AI74" s="43"/>
      <c r="AJ74" s="39"/>
      <c r="AK74" s="39"/>
      <c r="AL74" s="39"/>
      <c r="AM74" s="39"/>
      <c r="AN74" s="39"/>
      <c r="AO74" s="39"/>
      <c r="AP74" s="39"/>
      <c r="AQ74" s="39"/>
      <c r="AR74" s="39"/>
      <c r="AS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43"/>
      <c r="AI75" s="43"/>
      <c r="AJ75" s="39"/>
      <c r="AK75" s="39"/>
      <c r="AL75" s="39"/>
      <c r="AM75" s="39"/>
      <c r="AN75" s="39"/>
      <c r="AO75" s="39"/>
      <c r="AP75" s="39"/>
      <c r="AQ75" s="39"/>
      <c r="AR75" s="39"/>
      <c r="AS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43"/>
      <c r="AI76" s="43"/>
      <c r="AJ76" s="39"/>
      <c r="AK76" s="39"/>
      <c r="AL76" s="39"/>
      <c r="AM76" s="39"/>
      <c r="AN76" s="39"/>
      <c r="AO76" s="39"/>
      <c r="AP76" s="39"/>
      <c r="AQ76" s="39"/>
      <c r="AR76" s="39"/>
      <c r="AS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43"/>
      <c r="AI77" s="43"/>
      <c r="AJ77" s="39"/>
      <c r="AK77" s="39"/>
      <c r="AL77" s="39"/>
      <c r="AM77" s="39"/>
      <c r="AN77" s="39"/>
      <c r="AO77" s="39"/>
      <c r="AP77" s="39"/>
      <c r="AQ77" s="39"/>
      <c r="AR77" s="39"/>
      <c r="AS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43"/>
      <c r="AI78" s="43"/>
      <c r="AJ78" s="39"/>
      <c r="AK78" s="39"/>
      <c r="AL78" s="39"/>
      <c r="AM78" s="39"/>
      <c r="AN78" s="39"/>
      <c r="AO78" s="39"/>
      <c r="AP78" s="39"/>
      <c r="AQ78" s="39"/>
      <c r="AR78" s="39"/>
      <c r="AS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43"/>
      <c r="AI79" s="43"/>
      <c r="AJ79" s="39"/>
      <c r="AK79" s="39"/>
      <c r="AL79" s="39"/>
      <c r="AM79" s="39"/>
      <c r="AN79" s="39"/>
      <c r="AO79" s="39"/>
      <c r="AP79" s="39"/>
      <c r="AQ79" s="39"/>
      <c r="AR79" s="39"/>
      <c r="AS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43"/>
      <c r="AI80" s="43"/>
      <c r="AJ80" s="39"/>
      <c r="AK80" s="39"/>
      <c r="AL80" s="39"/>
      <c r="AM80" s="39"/>
      <c r="AN80" s="39"/>
      <c r="AO80" s="39"/>
      <c r="AP80" s="39"/>
      <c r="AQ80" s="39"/>
      <c r="AR80" s="39"/>
      <c r="AS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43"/>
      <c r="AI81" s="43"/>
      <c r="AJ81" s="39"/>
      <c r="AK81" s="39"/>
      <c r="AL81" s="39"/>
      <c r="AM81" s="39"/>
      <c r="AN81" s="39"/>
      <c r="AO81" s="39"/>
      <c r="AP81" s="39"/>
      <c r="AQ81" s="39"/>
      <c r="AR81" s="39"/>
      <c r="AS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43"/>
      <c r="AI82" s="43"/>
      <c r="AJ82" s="39"/>
      <c r="AK82" s="39"/>
      <c r="AL82" s="39"/>
      <c r="AM82" s="39"/>
      <c r="AN82" s="39"/>
      <c r="AO82" s="39"/>
      <c r="AP82" s="39"/>
      <c r="AQ82" s="39"/>
      <c r="AR82" s="39"/>
      <c r="AS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43"/>
      <c r="AI83" s="43"/>
      <c r="AJ83" s="39"/>
      <c r="AK83" s="39"/>
      <c r="AL83" s="39"/>
      <c r="AM83" s="39"/>
      <c r="AN83" s="39"/>
      <c r="AO83" s="39"/>
      <c r="AP83" s="39"/>
      <c r="AQ83" s="39"/>
      <c r="AR83" s="39"/>
      <c r="AS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43"/>
      <c r="AI84" s="43"/>
      <c r="AJ84" s="39"/>
      <c r="AK84" s="39"/>
      <c r="AL84" s="39"/>
      <c r="AM84" s="39"/>
      <c r="AN84" s="39"/>
      <c r="AO84" s="39"/>
      <c r="AP84" s="39"/>
      <c r="AQ84" s="39"/>
      <c r="AR84" s="39"/>
      <c r="AS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43"/>
      <c r="AI85" s="43"/>
      <c r="AJ85" s="39"/>
      <c r="AK85" s="39"/>
      <c r="AL85" s="39"/>
      <c r="AM85" s="39"/>
      <c r="AN85" s="39"/>
      <c r="AO85" s="39"/>
      <c r="AP85" s="39"/>
      <c r="AQ85" s="39"/>
      <c r="AR85" s="39"/>
      <c r="AS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43"/>
      <c r="AI86" s="43"/>
      <c r="AJ86" s="39"/>
      <c r="AK86" s="39"/>
      <c r="AL86" s="39"/>
      <c r="AM86" s="39"/>
      <c r="AN86" s="39"/>
      <c r="AO86" s="39"/>
      <c r="AP86" s="39"/>
      <c r="AQ86" s="39"/>
      <c r="AR86" s="39"/>
      <c r="AS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43"/>
      <c r="AI87" s="43"/>
      <c r="AJ87" s="39"/>
      <c r="AK87" s="39"/>
      <c r="AL87" s="39"/>
      <c r="AM87" s="39"/>
      <c r="AN87" s="39"/>
      <c r="AO87" s="39"/>
      <c r="AP87" s="39"/>
      <c r="AQ87" s="39"/>
      <c r="AR87" s="39"/>
      <c r="AS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43"/>
      <c r="AI88" s="43"/>
      <c r="AJ88" s="39"/>
      <c r="AK88" s="39"/>
      <c r="AL88" s="39"/>
      <c r="AM88" s="39"/>
      <c r="AN88" s="39"/>
      <c r="AO88" s="39"/>
      <c r="AP88" s="39"/>
      <c r="AQ88" s="39"/>
      <c r="AR88" s="39"/>
      <c r="AS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43"/>
      <c r="AI89" s="43"/>
      <c r="AJ89" s="39"/>
      <c r="AK89" s="39"/>
      <c r="AL89" s="39"/>
      <c r="AM89" s="39"/>
      <c r="AN89" s="39"/>
      <c r="AO89" s="39"/>
      <c r="AP89" s="39"/>
      <c r="AQ89" s="39"/>
      <c r="AR89" s="39"/>
      <c r="AS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43"/>
      <c r="AI90" s="43"/>
      <c r="AJ90" s="39"/>
      <c r="AK90" s="39"/>
      <c r="AL90" s="39"/>
      <c r="AM90" s="39"/>
      <c r="AN90" s="39"/>
      <c r="AO90" s="39"/>
      <c r="AP90" s="39"/>
      <c r="AQ90" s="39"/>
      <c r="AR90" s="39"/>
      <c r="AS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43"/>
      <c r="AI91" s="43"/>
      <c r="AJ91" s="39"/>
      <c r="AK91" s="39"/>
      <c r="AL91" s="39"/>
      <c r="AM91" s="39"/>
      <c r="AN91" s="39"/>
      <c r="AO91" s="39"/>
      <c r="AP91" s="39"/>
      <c r="AQ91" s="39"/>
      <c r="AR91" s="39"/>
      <c r="AS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43"/>
      <c r="AI92" s="43"/>
      <c r="AJ92" s="39"/>
      <c r="AK92" s="39"/>
      <c r="AL92" s="39"/>
      <c r="AM92" s="39"/>
      <c r="AN92" s="39"/>
      <c r="AO92" s="39"/>
      <c r="AP92" s="39"/>
      <c r="AQ92" s="39"/>
      <c r="AR92" s="39"/>
      <c r="AS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43"/>
      <c r="AI93" s="43"/>
      <c r="AJ93" s="39"/>
      <c r="AK93" s="39"/>
      <c r="AL93" s="39"/>
      <c r="AM93" s="39"/>
      <c r="AN93" s="39"/>
      <c r="AO93" s="39"/>
      <c r="AP93" s="39"/>
      <c r="AQ93" s="39"/>
      <c r="AR93" s="39"/>
      <c r="AS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43"/>
      <c r="AI94" s="43"/>
      <c r="AJ94" s="39"/>
      <c r="AK94" s="39"/>
      <c r="AL94" s="39"/>
      <c r="AM94" s="39"/>
      <c r="AN94" s="39"/>
      <c r="AO94" s="39"/>
      <c r="AP94" s="39"/>
      <c r="AQ94" s="39"/>
      <c r="AR94" s="39"/>
      <c r="AS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43"/>
      <c r="AI95" s="43"/>
      <c r="AJ95" s="39"/>
      <c r="AK95" s="39"/>
      <c r="AL95" s="39"/>
      <c r="AM95" s="39"/>
      <c r="AN95" s="39"/>
      <c r="AO95" s="39"/>
      <c r="AP95" s="39"/>
      <c r="AQ95" s="39"/>
      <c r="AR95" s="39"/>
      <c r="AS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43"/>
      <c r="AI96" s="43"/>
      <c r="AJ96" s="39"/>
      <c r="AK96" s="39"/>
      <c r="AL96" s="39"/>
      <c r="AM96" s="39"/>
      <c r="AN96" s="39"/>
      <c r="AO96" s="39"/>
      <c r="AP96" s="39"/>
      <c r="AQ96" s="39"/>
      <c r="AR96" s="39"/>
      <c r="AS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43"/>
      <c r="AI97" s="43"/>
      <c r="AJ97" s="39"/>
      <c r="AK97" s="39"/>
      <c r="AL97" s="39"/>
      <c r="AM97" s="39"/>
      <c r="AN97" s="39"/>
      <c r="AO97" s="39"/>
      <c r="AP97" s="39"/>
      <c r="AQ97" s="39"/>
      <c r="AR97" s="39"/>
      <c r="AS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43"/>
      <c r="AI98" s="43"/>
      <c r="AJ98" s="39"/>
      <c r="AK98" s="39"/>
      <c r="AL98" s="39"/>
      <c r="AM98" s="39"/>
      <c r="AN98" s="39"/>
      <c r="AO98" s="39"/>
      <c r="AP98" s="39"/>
      <c r="AQ98" s="39"/>
      <c r="AR98" s="39"/>
      <c r="AS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43"/>
      <c r="AI99" s="43"/>
      <c r="AJ99" s="39"/>
      <c r="AK99" s="39"/>
      <c r="AL99" s="39"/>
      <c r="AM99" s="39"/>
      <c r="AN99" s="39"/>
      <c r="AO99" s="39"/>
      <c r="AP99" s="39"/>
      <c r="AQ99" s="39"/>
      <c r="AR99" s="39"/>
      <c r="AS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43"/>
      <c r="AI100" s="43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43"/>
      <c r="AI101" s="43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43"/>
      <c r="AI102" s="43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43"/>
      <c r="AI103" s="43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43"/>
      <c r="AI104" s="43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43"/>
      <c r="AI105" s="43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43"/>
      <c r="AI106" s="43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43"/>
      <c r="AI107" s="43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43"/>
      <c r="AI108" s="43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43"/>
      <c r="AI109" s="43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43"/>
      <c r="AI110" s="43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43"/>
      <c r="AI111" s="43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43"/>
      <c r="AI112" s="43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43"/>
      <c r="AI113" s="43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43"/>
      <c r="AI114" s="43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43"/>
      <c r="AI115" s="43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43"/>
      <c r="AI116" s="43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43"/>
      <c r="AI117" s="43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43"/>
      <c r="AI118" s="43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43"/>
      <c r="AI119" s="43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43"/>
      <c r="AI120" s="43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43"/>
      <c r="AI121" s="43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43"/>
      <c r="AI122" s="43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43"/>
      <c r="AI123" s="43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43"/>
      <c r="AI124" s="43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43"/>
      <c r="AI125" s="43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43"/>
      <c r="AI126" s="43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43"/>
      <c r="AI127" s="43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43"/>
      <c r="AI128" s="43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43"/>
      <c r="AI129" s="43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43"/>
      <c r="AI130" s="43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43"/>
      <c r="AI131" s="43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43"/>
      <c r="AI132" s="43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43"/>
      <c r="AI133" s="43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43"/>
      <c r="AI134" s="43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43"/>
      <c r="AI135" s="43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43"/>
      <c r="AI136" s="43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43"/>
      <c r="AI137" s="43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43"/>
      <c r="AI138" s="43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43"/>
      <c r="AI139" s="43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43"/>
      <c r="AI140" s="43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43"/>
      <c r="AI141" s="43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43"/>
      <c r="AI142" s="43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43"/>
      <c r="AI143" s="43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43"/>
      <c r="AI144" s="43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43"/>
      <c r="AI145" s="43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43"/>
      <c r="AI146" s="43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43"/>
      <c r="AI147" s="43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43"/>
      <c r="AI148" s="43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43"/>
      <c r="AI149" s="43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43"/>
      <c r="AI150" s="43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43"/>
      <c r="AI151" s="43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43"/>
      <c r="AI152" s="43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43"/>
      <c r="AI153" s="43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43"/>
      <c r="AI154" s="43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43"/>
      <c r="AI155" s="43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43"/>
      <c r="AI156" s="43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43"/>
      <c r="AI157" s="43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43"/>
      <c r="AI158" s="43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43"/>
      <c r="AI159" s="43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43"/>
      <c r="AI160" s="43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43"/>
      <c r="AI161" s="43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43"/>
      <c r="AI162" s="43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43"/>
      <c r="AI163" s="43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43"/>
      <c r="AI164" s="43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43"/>
      <c r="AI165" s="43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43"/>
      <c r="AI166" s="43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43"/>
      <c r="AI167" s="43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43"/>
      <c r="AI168" s="43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43"/>
      <c r="AI169" s="43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43"/>
      <c r="AI170" s="43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43"/>
      <c r="AI171" s="43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43"/>
      <c r="AI172" s="43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43"/>
      <c r="AI173" s="43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43"/>
      <c r="AI174" s="43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43"/>
      <c r="AI175" s="43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43"/>
      <c r="AI176" s="43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43"/>
      <c r="AI177" s="43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43"/>
      <c r="AI178" s="43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43"/>
      <c r="AI179" s="43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43"/>
      <c r="AI180" s="43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43"/>
      <c r="AI181" s="43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43"/>
      <c r="AI182" s="43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43"/>
      <c r="AI183" s="43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43"/>
      <c r="AI184" s="43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43"/>
      <c r="AI185" s="43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43"/>
      <c r="AI186" s="43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43"/>
      <c r="AI187" s="43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43"/>
      <c r="AI188" s="43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</row>
    <row r="189" ht="15.75" customHeight="1">
      <c r="AH189" s="43"/>
      <c r="AI189" s="43"/>
    </row>
    <row r="190" ht="15.75" customHeight="1">
      <c r="AH190" s="43"/>
      <c r="AI190" s="43"/>
    </row>
    <row r="191" ht="15.75" customHeight="1">
      <c r="AH191" s="43"/>
      <c r="AI191" s="43"/>
    </row>
    <row r="192" ht="15.75" customHeight="1">
      <c r="AH192" s="43"/>
      <c r="AI192" s="43"/>
    </row>
    <row r="193" ht="15.75" customHeight="1">
      <c r="AH193" s="43"/>
      <c r="AI193" s="43"/>
    </row>
    <row r="194" ht="15.75" customHeight="1">
      <c r="AH194" s="43"/>
      <c r="AI194" s="43"/>
    </row>
    <row r="195" ht="15.75" customHeight="1">
      <c r="AH195" s="43"/>
      <c r="AI195" s="43"/>
    </row>
    <row r="196" ht="15.75" customHeight="1">
      <c r="AH196" s="43"/>
      <c r="AI196" s="43"/>
    </row>
    <row r="197" ht="15.75" customHeight="1">
      <c r="AH197" s="43"/>
      <c r="AI197" s="43"/>
    </row>
    <row r="198" ht="15.75" customHeight="1">
      <c r="AH198" s="43"/>
      <c r="AI198" s="43"/>
    </row>
    <row r="199" ht="15.75" customHeight="1">
      <c r="AH199" s="43"/>
      <c r="AI199" s="43"/>
    </row>
    <row r="200" ht="15.75" customHeight="1">
      <c r="AH200" s="43"/>
      <c r="AI200" s="43"/>
    </row>
    <row r="201" ht="15.75" customHeight="1">
      <c r="AH201" s="43"/>
      <c r="AI201" s="43"/>
    </row>
    <row r="202" ht="15.75" customHeight="1">
      <c r="AH202" s="43"/>
      <c r="AI202" s="43"/>
    </row>
    <row r="203" ht="15.75" customHeight="1">
      <c r="AH203" s="43"/>
      <c r="AI203" s="43"/>
    </row>
    <row r="204" ht="15.75" customHeight="1">
      <c r="AH204" s="43"/>
      <c r="AI204" s="43"/>
    </row>
    <row r="205" ht="15.75" customHeight="1">
      <c r="AH205" s="43"/>
      <c r="AI205" s="43"/>
    </row>
    <row r="206" ht="15.75" customHeight="1">
      <c r="AH206" s="43"/>
      <c r="AI206" s="43"/>
    </row>
    <row r="207" ht="15.75" customHeight="1">
      <c r="AH207" s="43"/>
      <c r="AI207" s="43"/>
    </row>
    <row r="208" ht="15.75" customHeight="1">
      <c r="AH208" s="43"/>
      <c r="AI208" s="43"/>
    </row>
    <row r="209" ht="15.75" customHeight="1">
      <c r="AH209" s="43"/>
      <c r="AI209" s="43"/>
    </row>
    <row r="210" ht="15.75" customHeight="1">
      <c r="AH210" s="43"/>
      <c r="AI210" s="43"/>
    </row>
    <row r="211" ht="15.75" customHeight="1">
      <c r="AH211" s="43"/>
      <c r="AI211" s="43"/>
    </row>
    <row r="212" ht="15.75" customHeight="1">
      <c r="AH212" s="43"/>
      <c r="AI212" s="43"/>
    </row>
    <row r="213" ht="15.75" customHeight="1">
      <c r="AH213" s="43"/>
      <c r="AI213" s="43"/>
    </row>
    <row r="214" ht="15.75" customHeight="1">
      <c r="AH214" s="43"/>
      <c r="AI214" s="43"/>
    </row>
    <row r="215" ht="15.75" customHeight="1">
      <c r="AH215" s="43"/>
      <c r="AI215" s="43"/>
    </row>
    <row r="216" ht="15.75" customHeight="1">
      <c r="AH216" s="43"/>
      <c r="AI216" s="43"/>
    </row>
    <row r="217" ht="15.75" customHeight="1">
      <c r="AH217" s="43"/>
      <c r="AI217" s="43"/>
    </row>
    <row r="218" ht="15.75" customHeight="1">
      <c r="AH218" s="43"/>
      <c r="AI218" s="43"/>
    </row>
    <row r="219" ht="15.75" customHeight="1">
      <c r="AH219" s="43"/>
      <c r="AI219" s="43"/>
    </row>
    <row r="220" ht="15.75" customHeight="1">
      <c r="AH220" s="43"/>
      <c r="AI220" s="43"/>
    </row>
    <row r="221" ht="15.75" customHeight="1">
      <c r="AH221" s="43"/>
      <c r="AI221" s="43"/>
    </row>
    <row r="222" ht="15.75" customHeight="1">
      <c r="AH222" s="43"/>
      <c r="AI222" s="43"/>
    </row>
    <row r="223" ht="15.75" customHeight="1">
      <c r="AH223" s="43"/>
      <c r="AI223" s="43"/>
    </row>
    <row r="224" ht="15.75" customHeight="1">
      <c r="AH224" s="43"/>
      <c r="AI224" s="43"/>
    </row>
    <row r="225" ht="15.75" customHeight="1">
      <c r="AH225" s="43"/>
      <c r="AI225" s="43"/>
    </row>
    <row r="226" ht="15.75" customHeight="1">
      <c r="AH226" s="43"/>
      <c r="AI226" s="43"/>
    </row>
    <row r="227" ht="15.75" customHeight="1">
      <c r="AH227" s="43"/>
      <c r="AI227" s="43"/>
    </row>
    <row r="228" ht="15.75" customHeight="1">
      <c r="AH228" s="43"/>
      <c r="AI228" s="43"/>
    </row>
    <row r="229" ht="15.75" customHeight="1">
      <c r="AH229" s="43"/>
      <c r="AI229" s="43"/>
    </row>
    <row r="230" ht="15.75" customHeight="1">
      <c r="AH230" s="43"/>
      <c r="AI230" s="43"/>
    </row>
    <row r="231" ht="15.75" customHeight="1">
      <c r="AH231" s="43"/>
      <c r="AI231" s="43"/>
    </row>
    <row r="232" ht="15.75" customHeight="1">
      <c r="AH232" s="43"/>
      <c r="AI232" s="43"/>
    </row>
    <row r="233" ht="15.75" customHeight="1">
      <c r="AH233" s="43"/>
      <c r="AI233" s="43"/>
    </row>
    <row r="234" ht="15.75" customHeight="1">
      <c r="AH234" s="43"/>
      <c r="AI234" s="43"/>
    </row>
    <row r="235" ht="15.75" customHeight="1">
      <c r="AH235" s="43"/>
      <c r="AI235" s="43"/>
    </row>
    <row r="236" ht="15.75" customHeight="1">
      <c r="AH236" s="43"/>
      <c r="AI236" s="43"/>
    </row>
    <row r="237" ht="15.75" customHeight="1">
      <c r="AH237" s="43"/>
      <c r="AI237" s="43"/>
    </row>
    <row r="238" ht="15.75" customHeight="1">
      <c r="AH238" s="43"/>
      <c r="AI238" s="43"/>
    </row>
    <row r="239" ht="15.75" customHeight="1">
      <c r="AH239" s="43"/>
      <c r="AI239" s="43"/>
    </row>
    <row r="240" ht="15.75" customHeight="1">
      <c r="AH240" s="43"/>
      <c r="AI240" s="43"/>
    </row>
    <row r="241" ht="15.75" customHeight="1">
      <c r="AH241" s="43"/>
      <c r="AI241" s="43"/>
    </row>
    <row r="242" ht="15.75" customHeight="1">
      <c r="AH242" s="43"/>
      <c r="AI242" s="43"/>
    </row>
    <row r="243" ht="15.75" customHeight="1">
      <c r="AH243" s="43"/>
      <c r="AI243" s="43"/>
    </row>
    <row r="244" ht="15.75" customHeight="1">
      <c r="AH244" s="43"/>
      <c r="AI244" s="43"/>
    </row>
    <row r="245" ht="15.75" customHeight="1">
      <c r="AH245" s="43"/>
      <c r="AI245" s="43"/>
    </row>
    <row r="246" ht="15.75" customHeight="1">
      <c r="AH246" s="43"/>
      <c r="AI246" s="43"/>
    </row>
    <row r="247" ht="15.75" customHeight="1">
      <c r="AH247" s="43"/>
      <c r="AI247" s="43"/>
    </row>
    <row r="248" ht="15.75" customHeight="1">
      <c r="AH248" s="43"/>
      <c r="AI248" s="43"/>
    </row>
    <row r="249" ht="15.75" customHeight="1">
      <c r="AH249" s="43"/>
      <c r="AI249" s="43"/>
    </row>
    <row r="250" ht="15.75" customHeight="1">
      <c r="AH250" s="43"/>
      <c r="AI250" s="43"/>
    </row>
    <row r="251" ht="15.75" customHeight="1">
      <c r="AH251" s="43"/>
      <c r="AI251" s="43"/>
    </row>
    <row r="252" ht="15.75" customHeight="1">
      <c r="AH252" s="43"/>
      <c r="AI252" s="43"/>
    </row>
    <row r="253" ht="15.75" customHeight="1">
      <c r="AH253" s="43"/>
      <c r="AI253" s="43"/>
    </row>
    <row r="254" ht="15.75" customHeight="1">
      <c r="AH254" s="43"/>
      <c r="AI254" s="43"/>
    </row>
    <row r="255" ht="15.75" customHeight="1">
      <c r="AH255" s="43"/>
      <c r="AI255" s="43"/>
    </row>
    <row r="256" ht="15.75" customHeight="1">
      <c r="AH256" s="43"/>
      <c r="AI256" s="43"/>
    </row>
    <row r="257" ht="15.75" customHeight="1">
      <c r="AH257" s="43"/>
      <c r="AI257" s="43"/>
    </row>
    <row r="258" ht="15.75" customHeight="1">
      <c r="AH258" s="43"/>
      <c r="AI258" s="43"/>
    </row>
    <row r="259" ht="15.75" customHeight="1">
      <c r="AH259" s="43"/>
      <c r="AI259" s="43"/>
    </row>
    <row r="260" ht="15.75" customHeight="1">
      <c r="AH260" s="43"/>
      <c r="AI260" s="43"/>
    </row>
    <row r="261" ht="15.75" customHeight="1">
      <c r="AH261" s="43"/>
      <c r="AI261" s="43"/>
    </row>
    <row r="262" ht="15.75" customHeight="1">
      <c r="AH262" s="43"/>
      <c r="AI262" s="43"/>
    </row>
    <row r="263" ht="15.75" customHeight="1">
      <c r="AH263" s="43"/>
      <c r="AI263" s="43"/>
    </row>
    <row r="264" ht="15.75" customHeight="1">
      <c r="AH264" s="43"/>
      <c r="AI264" s="43"/>
    </row>
    <row r="265" ht="15.75" customHeight="1">
      <c r="AH265" s="43"/>
      <c r="AI265" s="43"/>
    </row>
    <row r="266" ht="15.75" customHeight="1">
      <c r="AH266" s="43"/>
      <c r="AI266" s="43"/>
    </row>
    <row r="267" ht="15.75" customHeight="1">
      <c r="AH267" s="43"/>
      <c r="AI267" s="43"/>
    </row>
    <row r="268" ht="15.75" customHeight="1">
      <c r="AH268" s="43"/>
      <c r="AI268" s="43"/>
    </row>
    <row r="269" ht="15.75" customHeight="1">
      <c r="AH269" s="43"/>
      <c r="AI269" s="43"/>
    </row>
    <row r="270" ht="15.75" customHeight="1">
      <c r="AH270" s="43"/>
      <c r="AI270" s="43"/>
    </row>
    <row r="271" ht="15.75" customHeight="1">
      <c r="AH271" s="43"/>
      <c r="AI271" s="43"/>
    </row>
    <row r="272" ht="15.75" customHeight="1">
      <c r="AH272" s="43"/>
      <c r="AI272" s="43"/>
    </row>
    <row r="273" ht="15.75" customHeight="1">
      <c r="AH273" s="43"/>
      <c r="AI273" s="43"/>
    </row>
    <row r="274" ht="15.75" customHeight="1">
      <c r="AH274" s="43"/>
      <c r="AI274" s="43"/>
    </row>
    <row r="275" ht="15.75" customHeight="1">
      <c r="AH275" s="43"/>
      <c r="AI275" s="43"/>
    </row>
    <row r="276" ht="15.75" customHeight="1">
      <c r="AH276" s="43"/>
      <c r="AI276" s="43"/>
    </row>
    <row r="277" ht="15.75" customHeight="1">
      <c r="AH277" s="43"/>
      <c r="AI277" s="43"/>
    </row>
    <row r="278" ht="15.75" customHeight="1">
      <c r="AH278" s="43"/>
      <c r="AI278" s="43"/>
    </row>
    <row r="279" ht="15.75" customHeight="1">
      <c r="AH279" s="43"/>
      <c r="AI279" s="43"/>
    </row>
    <row r="280" ht="15.75" customHeight="1">
      <c r="AH280" s="43"/>
      <c r="AI280" s="43"/>
    </row>
    <row r="281" ht="15.75" customHeight="1">
      <c r="AH281" s="43"/>
      <c r="AI281" s="43"/>
    </row>
    <row r="282" ht="15.75" customHeight="1">
      <c r="AH282" s="43"/>
      <c r="AI282" s="43"/>
    </row>
    <row r="283" ht="15.75" customHeight="1">
      <c r="AH283" s="43"/>
      <c r="AI283" s="43"/>
    </row>
    <row r="284" ht="15.75" customHeight="1">
      <c r="AH284" s="43"/>
      <c r="AI284" s="43"/>
    </row>
    <row r="285" ht="15.75" customHeight="1">
      <c r="AH285" s="43"/>
      <c r="AI285" s="43"/>
    </row>
    <row r="286" ht="15.75" customHeight="1">
      <c r="AH286" s="43"/>
      <c r="AI286" s="43"/>
    </row>
    <row r="287" ht="15.75" customHeight="1">
      <c r="AH287" s="43"/>
      <c r="AI287" s="43"/>
    </row>
    <row r="288" ht="15.75" customHeight="1">
      <c r="AH288" s="43"/>
      <c r="AI288" s="43"/>
    </row>
    <row r="289" ht="15.75" customHeight="1">
      <c r="AH289" s="43"/>
      <c r="AI289" s="43"/>
    </row>
    <row r="290" ht="15.75" customHeight="1">
      <c r="AH290" s="43"/>
      <c r="AI290" s="43"/>
    </row>
    <row r="291" ht="15.75" customHeight="1">
      <c r="AH291" s="43"/>
      <c r="AI291" s="43"/>
    </row>
    <row r="292" ht="15.75" customHeight="1">
      <c r="AH292" s="43"/>
      <c r="AI292" s="43"/>
    </row>
    <row r="293" ht="15.75" customHeight="1">
      <c r="AH293" s="43"/>
      <c r="AI293" s="43"/>
    </row>
    <row r="294" ht="15.75" customHeight="1">
      <c r="AH294" s="43"/>
      <c r="AI294" s="43"/>
    </row>
    <row r="295" ht="15.75" customHeight="1">
      <c r="AH295" s="43"/>
      <c r="AI295" s="43"/>
    </row>
    <row r="296" ht="15.75" customHeight="1">
      <c r="AH296" s="43"/>
      <c r="AI296" s="43"/>
    </row>
    <row r="297" ht="15.75" customHeight="1">
      <c r="AH297" s="43"/>
      <c r="AI297" s="43"/>
    </row>
    <row r="298" ht="15.75" customHeight="1">
      <c r="AH298" s="43"/>
      <c r="AI298" s="43"/>
    </row>
    <row r="299" ht="15.75" customHeight="1">
      <c r="AH299" s="43"/>
      <c r="AI299" s="43"/>
    </row>
    <row r="300" ht="15.75" customHeight="1">
      <c r="AH300" s="43"/>
      <c r="AI300" s="43"/>
    </row>
    <row r="301" ht="15.75" customHeight="1">
      <c r="AH301" s="43"/>
      <c r="AI301" s="43"/>
    </row>
    <row r="302" ht="15.75" customHeight="1">
      <c r="AH302" s="43"/>
      <c r="AI302" s="43"/>
    </row>
    <row r="303" ht="15.75" customHeight="1">
      <c r="AH303" s="43"/>
      <c r="AI303" s="43"/>
    </row>
    <row r="304" ht="15.75" customHeight="1">
      <c r="AH304" s="43"/>
      <c r="AI304" s="43"/>
    </row>
    <row r="305" ht="15.75" customHeight="1">
      <c r="AH305" s="43"/>
      <c r="AI305" s="43"/>
    </row>
    <row r="306" ht="15.75" customHeight="1">
      <c r="AH306" s="43"/>
      <c r="AI306" s="43"/>
    </row>
    <row r="307" ht="15.75" customHeight="1">
      <c r="AH307" s="43"/>
      <c r="AI307" s="43"/>
    </row>
    <row r="308" ht="15.75" customHeight="1">
      <c r="AH308" s="43"/>
      <c r="AI308" s="43"/>
    </row>
    <row r="309" ht="15.75" customHeight="1">
      <c r="AH309" s="43"/>
      <c r="AI309" s="43"/>
    </row>
    <row r="310" ht="15.75" customHeight="1">
      <c r="AH310" s="43"/>
      <c r="AI310" s="43"/>
    </row>
    <row r="311" ht="15.75" customHeight="1">
      <c r="AH311" s="43"/>
      <c r="AI311" s="43"/>
    </row>
    <row r="312" ht="15.75" customHeight="1">
      <c r="AH312" s="43"/>
      <c r="AI312" s="43"/>
    </row>
    <row r="313" ht="15.75" customHeight="1">
      <c r="AH313" s="43"/>
      <c r="AI313" s="43"/>
    </row>
    <row r="314" ht="15.75" customHeight="1">
      <c r="AH314" s="43"/>
      <c r="AI314" s="43"/>
    </row>
    <row r="315" ht="15.75" customHeight="1">
      <c r="AH315" s="43"/>
      <c r="AI315" s="43"/>
    </row>
    <row r="316" ht="15.75" customHeight="1">
      <c r="AH316" s="43"/>
      <c r="AI316" s="43"/>
    </row>
    <row r="317" ht="15.75" customHeight="1">
      <c r="AH317" s="43"/>
      <c r="AI317" s="43"/>
    </row>
    <row r="318" ht="15.75" customHeight="1">
      <c r="AH318" s="43"/>
      <c r="AI318" s="43"/>
    </row>
    <row r="319" ht="15.75" customHeight="1">
      <c r="AH319" s="43"/>
      <c r="AI319" s="43"/>
    </row>
    <row r="320" ht="15.75" customHeight="1">
      <c r="AH320" s="43"/>
      <c r="AI320" s="43"/>
    </row>
    <row r="321" ht="15.75" customHeight="1">
      <c r="AH321" s="43"/>
      <c r="AI321" s="43"/>
    </row>
    <row r="322" ht="15.75" customHeight="1">
      <c r="AH322" s="43"/>
      <c r="AI322" s="43"/>
    </row>
    <row r="323" ht="15.75" customHeight="1">
      <c r="AH323" s="43"/>
      <c r="AI323" s="43"/>
    </row>
    <row r="324" ht="15.75" customHeight="1">
      <c r="AH324" s="43"/>
      <c r="AI324" s="43"/>
    </row>
    <row r="325" ht="15.75" customHeight="1">
      <c r="AH325" s="43"/>
      <c r="AI325" s="43"/>
    </row>
    <row r="326" ht="15.75" customHeight="1">
      <c r="AH326" s="43"/>
      <c r="AI326" s="43"/>
    </row>
    <row r="327" ht="15.75" customHeight="1">
      <c r="AH327" s="43"/>
      <c r="AI327" s="43"/>
    </row>
    <row r="328" ht="15.75" customHeight="1">
      <c r="AH328" s="43"/>
      <c r="AI328" s="43"/>
    </row>
    <row r="329" ht="15.75" customHeight="1">
      <c r="AH329" s="43"/>
      <c r="AI329" s="43"/>
    </row>
    <row r="330" ht="15.75" customHeight="1">
      <c r="AH330" s="43"/>
      <c r="AI330" s="43"/>
    </row>
    <row r="331" ht="15.75" customHeight="1">
      <c r="AH331" s="43"/>
      <c r="AI331" s="43"/>
    </row>
    <row r="332" ht="15.75" customHeight="1">
      <c r="AH332" s="43"/>
      <c r="AI332" s="43"/>
    </row>
    <row r="333" ht="15.75" customHeight="1">
      <c r="AH333" s="43"/>
      <c r="AI333" s="43"/>
    </row>
    <row r="334" ht="15.75" customHeight="1">
      <c r="AH334" s="43"/>
      <c r="AI334" s="43"/>
    </row>
    <row r="335" ht="15.75" customHeight="1">
      <c r="AH335" s="43"/>
      <c r="AI335" s="43"/>
    </row>
    <row r="336" ht="15.75" customHeight="1">
      <c r="AH336" s="43"/>
      <c r="AI336" s="43"/>
    </row>
    <row r="337" ht="15.75" customHeight="1">
      <c r="AH337" s="43"/>
      <c r="AI337" s="43"/>
    </row>
    <row r="338" ht="15.75" customHeight="1">
      <c r="AH338" s="43"/>
      <c r="AI338" s="43"/>
    </row>
    <row r="339" ht="15.75" customHeight="1">
      <c r="AH339" s="43"/>
      <c r="AI339" s="43"/>
    </row>
    <row r="340" ht="15.75" customHeight="1">
      <c r="AH340" s="43"/>
      <c r="AI340" s="43"/>
    </row>
    <row r="341" ht="15.75" customHeight="1">
      <c r="AH341" s="43"/>
      <c r="AI341" s="43"/>
    </row>
    <row r="342" ht="15.75" customHeight="1">
      <c r="AH342" s="43"/>
      <c r="AI342" s="43"/>
    </row>
    <row r="343" ht="15.75" customHeight="1">
      <c r="AH343" s="43"/>
      <c r="AI343" s="43"/>
    </row>
    <row r="344" ht="15.75" customHeight="1">
      <c r="AH344" s="43"/>
      <c r="AI344" s="43"/>
    </row>
    <row r="345" ht="15.75" customHeight="1">
      <c r="AH345" s="43"/>
      <c r="AI345" s="43"/>
    </row>
    <row r="346" ht="15.75" customHeight="1">
      <c r="AH346" s="43"/>
      <c r="AI346" s="43"/>
    </row>
    <row r="347" ht="15.75" customHeight="1">
      <c r="AH347" s="43"/>
      <c r="AI347" s="43"/>
    </row>
    <row r="348" ht="15.75" customHeight="1">
      <c r="AH348" s="43"/>
      <c r="AI348" s="43"/>
    </row>
    <row r="349" ht="15.75" customHeight="1">
      <c r="AH349" s="43"/>
      <c r="AI349" s="43"/>
    </row>
    <row r="350" ht="15.75" customHeight="1">
      <c r="AH350" s="43"/>
      <c r="AI350" s="43"/>
    </row>
    <row r="351" ht="15.75" customHeight="1">
      <c r="AH351" s="43"/>
      <c r="AI351" s="43"/>
    </row>
    <row r="352" ht="15.75" customHeight="1">
      <c r="AH352" s="43"/>
      <c r="AI352" s="43"/>
    </row>
    <row r="353" ht="15.75" customHeight="1">
      <c r="AH353" s="43"/>
      <c r="AI353" s="43"/>
    </row>
    <row r="354" ht="15.75" customHeight="1">
      <c r="AH354" s="43"/>
      <c r="AI354" s="43"/>
    </row>
    <row r="355" ht="15.75" customHeight="1">
      <c r="AH355" s="43"/>
      <c r="AI355" s="43"/>
    </row>
    <row r="356" ht="15.75" customHeight="1">
      <c r="AH356" s="43"/>
      <c r="AI356" s="43"/>
    </row>
    <row r="357" ht="15.75" customHeight="1">
      <c r="AH357" s="43"/>
      <c r="AI357" s="43"/>
    </row>
    <row r="358" ht="15.75" customHeight="1">
      <c r="AH358" s="43"/>
      <c r="AI358" s="43"/>
    </row>
    <row r="359" ht="15.75" customHeight="1">
      <c r="AH359" s="43"/>
      <c r="AI359" s="43"/>
    </row>
    <row r="360" ht="15.75" customHeight="1">
      <c r="AH360" s="43"/>
      <c r="AI360" s="43"/>
    </row>
    <row r="361" ht="15.75" customHeight="1">
      <c r="AH361" s="43"/>
      <c r="AI361" s="43"/>
    </row>
    <row r="362" ht="15.75" customHeight="1">
      <c r="AH362" s="43"/>
      <c r="AI362" s="43"/>
    </row>
    <row r="363" ht="15.75" customHeight="1">
      <c r="AH363" s="43"/>
      <c r="AI363" s="43"/>
    </row>
    <row r="364" ht="15.75" customHeight="1">
      <c r="AH364" s="43"/>
      <c r="AI364" s="43"/>
    </row>
    <row r="365" ht="15.75" customHeight="1">
      <c r="AH365" s="43"/>
      <c r="AI365" s="43"/>
    </row>
    <row r="366" ht="15.75" customHeight="1">
      <c r="AH366" s="43"/>
      <c r="AI366" s="43"/>
    </row>
    <row r="367" ht="15.75" customHeight="1">
      <c r="AH367" s="43"/>
      <c r="AI367" s="43"/>
    </row>
    <row r="368" ht="15.75" customHeight="1">
      <c r="AH368" s="43"/>
      <c r="AI368" s="43"/>
    </row>
    <row r="369" ht="15.75" customHeight="1">
      <c r="AH369" s="43"/>
      <c r="AI369" s="43"/>
    </row>
    <row r="370" ht="15.75" customHeight="1">
      <c r="AH370" s="43"/>
      <c r="AI370" s="43"/>
    </row>
    <row r="371" ht="15.75" customHeight="1">
      <c r="AH371" s="43"/>
      <c r="AI371" s="43"/>
    </row>
    <row r="372" ht="15.75" customHeight="1">
      <c r="AH372" s="43"/>
      <c r="AI372" s="43"/>
    </row>
    <row r="373" ht="15.75" customHeight="1">
      <c r="AH373" s="43"/>
      <c r="AI373" s="43"/>
    </row>
    <row r="374" ht="15.75" customHeight="1">
      <c r="AH374" s="43"/>
      <c r="AI374" s="43"/>
    </row>
    <row r="375" ht="15.75" customHeight="1">
      <c r="AH375" s="43"/>
      <c r="AI375" s="43"/>
    </row>
    <row r="376" ht="15.75" customHeight="1">
      <c r="AH376" s="43"/>
      <c r="AI376" s="43"/>
    </row>
    <row r="377" ht="15.75" customHeight="1">
      <c r="AH377" s="43"/>
      <c r="AI377" s="43"/>
    </row>
    <row r="378" ht="15.75" customHeight="1">
      <c r="AH378" s="43"/>
      <c r="AI378" s="43"/>
    </row>
    <row r="379" ht="15.75" customHeight="1">
      <c r="AH379" s="43"/>
      <c r="AI379" s="43"/>
    </row>
    <row r="380" ht="15.75" customHeight="1">
      <c r="AH380" s="43"/>
      <c r="AI380" s="43"/>
    </row>
    <row r="381" ht="15.75" customHeight="1">
      <c r="AH381" s="43"/>
      <c r="AI381" s="43"/>
    </row>
    <row r="382" ht="15.75" customHeight="1">
      <c r="AH382" s="43"/>
      <c r="AI382" s="43"/>
    </row>
    <row r="383" ht="15.75" customHeight="1">
      <c r="AH383" s="43"/>
      <c r="AI383" s="43"/>
    </row>
    <row r="384" ht="15.75" customHeight="1">
      <c r="AH384" s="43"/>
      <c r="AI384" s="43"/>
    </row>
    <row r="385" ht="15.75" customHeight="1">
      <c r="AH385" s="43"/>
      <c r="AI385" s="43"/>
    </row>
    <row r="386" ht="15.75" customHeight="1">
      <c r="AH386" s="43"/>
      <c r="AI386" s="43"/>
    </row>
    <row r="387" ht="15.75" customHeight="1">
      <c r="AH387" s="43"/>
      <c r="AI387" s="43"/>
    </row>
    <row r="388" ht="15.75" customHeight="1">
      <c r="AH388" s="43"/>
      <c r="AI388" s="43"/>
    </row>
    <row r="389" ht="15.75" customHeight="1">
      <c r="AH389" s="43"/>
      <c r="AI389" s="43"/>
    </row>
    <row r="390" ht="15.75" customHeight="1">
      <c r="AH390" s="43"/>
      <c r="AI390" s="43"/>
    </row>
    <row r="391" ht="15.75" customHeight="1">
      <c r="AH391" s="43"/>
      <c r="AI391" s="43"/>
    </row>
    <row r="392" ht="15.75" customHeight="1">
      <c r="AH392" s="43"/>
      <c r="AI392" s="43"/>
    </row>
    <row r="393" ht="15.75" customHeight="1">
      <c r="AH393" s="43"/>
      <c r="AI393" s="43"/>
    </row>
    <row r="394" ht="15.75" customHeight="1">
      <c r="AH394" s="43"/>
      <c r="AI394" s="43"/>
    </row>
    <row r="395" ht="15.75" customHeight="1">
      <c r="AH395" s="43"/>
      <c r="AI395" s="43"/>
    </row>
    <row r="396" ht="15.75" customHeight="1">
      <c r="AH396" s="43"/>
      <c r="AI396" s="43"/>
    </row>
    <row r="397" ht="15.75" customHeight="1">
      <c r="AH397" s="43"/>
      <c r="AI397" s="43"/>
    </row>
    <row r="398" ht="15.75" customHeight="1">
      <c r="AH398" s="43"/>
      <c r="AI398" s="43"/>
    </row>
    <row r="399" ht="15.75" customHeight="1">
      <c r="AH399" s="43"/>
      <c r="AI399" s="43"/>
    </row>
    <row r="400" ht="15.75" customHeight="1">
      <c r="AH400" s="43"/>
      <c r="AI400" s="43"/>
    </row>
    <row r="401" ht="15.75" customHeight="1">
      <c r="AH401" s="43"/>
      <c r="AI401" s="43"/>
    </row>
    <row r="402" ht="15.75" customHeight="1">
      <c r="AH402" s="43"/>
      <c r="AI402" s="43"/>
    </row>
    <row r="403" ht="15.75" customHeight="1">
      <c r="AH403" s="43"/>
      <c r="AI403" s="43"/>
    </row>
    <row r="404" ht="15.75" customHeight="1">
      <c r="AH404" s="43"/>
      <c r="AI404" s="43"/>
    </row>
    <row r="405" ht="15.75" customHeight="1">
      <c r="AH405" s="43"/>
      <c r="AI405" s="43"/>
    </row>
    <row r="406" ht="15.75" customHeight="1">
      <c r="AH406" s="43"/>
      <c r="AI406" s="43"/>
    </row>
    <row r="407" ht="15.75" customHeight="1">
      <c r="AH407" s="43"/>
      <c r="AI407" s="43"/>
    </row>
    <row r="408" ht="15.75" customHeight="1">
      <c r="AH408" s="43"/>
      <c r="AI408" s="43"/>
    </row>
    <row r="409" ht="15.75" customHeight="1">
      <c r="AH409" s="43"/>
      <c r="AI409" s="43"/>
    </row>
    <row r="410" ht="15.75" customHeight="1">
      <c r="AH410" s="43"/>
      <c r="AI410" s="43"/>
    </row>
    <row r="411" ht="15.75" customHeight="1">
      <c r="AH411" s="43"/>
      <c r="AI411" s="43"/>
    </row>
    <row r="412" ht="15.75" customHeight="1">
      <c r="AH412" s="43"/>
      <c r="AI412" s="43"/>
    </row>
    <row r="413" ht="15.75" customHeight="1">
      <c r="AH413" s="43"/>
      <c r="AI413" s="43"/>
    </row>
    <row r="414" ht="15.75" customHeight="1">
      <c r="AH414" s="43"/>
      <c r="AI414" s="43"/>
    </row>
    <row r="415" ht="15.75" customHeight="1">
      <c r="AH415" s="43"/>
      <c r="AI415" s="43"/>
    </row>
    <row r="416" ht="15.75" customHeight="1">
      <c r="AH416" s="43"/>
      <c r="AI416" s="43"/>
    </row>
    <row r="417" ht="15.75" customHeight="1">
      <c r="AH417" s="43"/>
      <c r="AI417" s="43"/>
    </row>
    <row r="418" ht="15.75" customHeight="1">
      <c r="AH418" s="43"/>
      <c r="AI418" s="43"/>
    </row>
    <row r="419" ht="15.75" customHeight="1">
      <c r="AH419" s="43"/>
      <c r="AI419" s="43"/>
    </row>
    <row r="420" ht="15.75" customHeight="1">
      <c r="AH420" s="43"/>
      <c r="AI420" s="43"/>
    </row>
    <row r="421" ht="15.75" customHeight="1">
      <c r="AH421" s="43"/>
      <c r="AI421" s="43"/>
    </row>
    <row r="422" ht="15.75" customHeight="1">
      <c r="AH422" s="43"/>
      <c r="AI422" s="43"/>
    </row>
    <row r="423" ht="15.75" customHeight="1">
      <c r="AH423" s="43"/>
      <c r="AI423" s="43"/>
    </row>
    <row r="424" ht="15.75" customHeight="1">
      <c r="AH424" s="43"/>
      <c r="AI424" s="43"/>
    </row>
    <row r="425" ht="15.75" customHeight="1">
      <c r="AH425" s="43"/>
      <c r="AI425" s="43"/>
    </row>
    <row r="426" ht="15.75" customHeight="1">
      <c r="AH426" s="43"/>
      <c r="AI426" s="43"/>
    </row>
    <row r="427" ht="15.75" customHeight="1">
      <c r="AH427" s="43"/>
      <c r="AI427" s="43"/>
    </row>
    <row r="428" ht="15.75" customHeight="1">
      <c r="AH428" s="43"/>
      <c r="AI428" s="43"/>
    </row>
    <row r="429" ht="15.75" customHeight="1">
      <c r="AH429" s="43"/>
      <c r="AI429" s="43"/>
    </row>
    <row r="430" ht="15.75" customHeight="1">
      <c r="AH430" s="43"/>
      <c r="AI430" s="43"/>
    </row>
    <row r="431" ht="15.75" customHeight="1">
      <c r="AH431" s="43"/>
      <c r="AI431" s="43"/>
    </row>
    <row r="432" ht="15.75" customHeight="1">
      <c r="AH432" s="43"/>
      <c r="AI432" s="43"/>
    </row>
    <row r="433" ht="15.75" customHeight="1">
      <c r="AH433" s="43"/>
      <c r="AI433" s="43"/>
    </row>
    <row r="434" ht="15.75" customHeight="1">
      <c r="AH434" s="43"/>
      <c r="AI434" s="43"/>
    </row>
    <row r="435" ht="15.75" customHeight="1">
      <c r="AH435" s="43"/>
      <c r="AI435" s="43"/>
    </row>
    <row r="436" ht="15.75" customHeight="1">
      <c r="AH436" s="43"/>
      <c r="AI436" s="43"/>
    </row>
    <row r="437" ht="15.75" customHeight="1">
      <c r="AH437" s="43"/>
      <c r="AI437" s="43"/>
    </row>
    <row r="438" ht="15.75" customHeight="1">
      <c r="AH438" s="43"/>
      <c r="AI438" s="43"/>
    </row>
    <row r="439" ht="15.75" customHeight="1">
      <c r="AH439" s="43"/>
      <c r="AI439" s="43"/>
    </row>
    <row r="440" ht="15.75" customHeight="1">
      <c r="AH440" s="43"/>
      <c r="AI440" s="43"/>
    </row>
    <row r="441" ht="15.75" customHeight="1">
      <c r="AH441" s="43"/>
      <c r="AI441" s="43"/>
    </row>
    <row r="442" ht="15.75" customHeight="1">
      <c r="AH442" s="43"/>
      <c r="AI442" s="43"/>
    </row>
    <row r="443" ht="15.75" customHeight="1">
      <c r="AH443" s="43"/>
      <c r="AI443" s="43"/>
    </row>
    <row r="444" ht="15.75" customHeight="1">
      <c r="AH444" s="43"/>
      <c r="AI444" s="43"/>
    </row>
    <row r="445" ht="15.75" customHeight="1">
      <c r="AH445" s="43"/>
      <c r="AI445" s="43"/>
    </row>
    <row r="446" ht="15.75" customHeight="1">
      <c r="AH446" s="43"/>
      <c r="AI446" s="43"/>
    </row>
    <row r="447" ht="15.75" customHeight="1">
      <c r="AH447" s="43"/>
      <c r="AI447" s="43"/>
    </row>
    <row r="448" ht="15.75" customHeight="1">
      <c r="AH448" s="43"/>
      <c r="AI448" s="43"/>
    </row>
    <row r="449" ht="15.75" customHeight="1">
      <c r="AH449" s="43"/>
      <c r="AI449" s="43"/>
    </row>
    <row r="450" ht="15.75" customHeight="1">
      <c r="AH450" s="43"/>
      <c r="AI450" s="43"/>
    </row>
    <row r="451" ht="15.75" customHeight="1">
      <c r="AH451" s="43"/>
      <c r="AI451" s="43"/>
    </row>
    <row r="452" ht="15.75" customHeight="1">
      <c r="AH452" s="43"/>
      <c r="AI452" s="43"/>
    </row>
    <row r="453" ht="15.75" customHeight="1">
      <c r="AH453" s="43"/>
      <c r="AI453" s="43"/>
    </row>
    <row r="454" ht="15.75" customHeight="1">
      <c r="AH454" s="43"/>
      <c r="AI454" s="43"/>
    </row>
    <row r="455" ht="15.75" customHeight="1">
      <c r="AH455" s="43"/>
      <c r="AI455" s="43"/>
    </row>
    <row r="456" ht="15.75" customHeight="1">
      <c r="AH456" s="43"/>
      <c r="AI456" s="43"/>
    </row>
    <row r="457" ht="15.75" customHeight="1">
      <c r="AH457" s="43"/>
      <c r="AI457" s="43"/>
    </row>
    <row r="458" ht="15.75" customHeight="1">
      <c r="AH458" s="43"/>
      <c r="AI458" s="43"/>
    </row>
    <row r="459" ht="15.75" customHeight="1">
      <c r="AH459" s="43"/>
      <c r="AI459" s="43"/>
    </row>
    <row r="460" ht="15.75" customHeight="1">
      <c r="AH460" s="43"/>
      <c r="AI460" s="43"/>
    </row>
    <row r="461" ht="15.75" customHeight="1">
      <c r="AH461" s="43"/>
      <c r="AI461" s="43"/>
    </row>
    <row r="462" ht="15.75" customHeight="1">
      <c r="AH462" s="43"/>
      <c r="AI462" s="43"/>
    </row>
    <row r="463" ht="15.75" customHeight="1">
      <c r="AH463" s="43"/>
      <c r="AI463" s="43"/>
    </row>
    <row r="464" ht="15.75" customHeight="1">
      <c r="AH464" s="43"/>
      <c r="AI464" s="43"/>
    </row>
    <row r="465" ht="15.75" customHeight="1">
      <c r="AH465" s="43"/>
      <c r="AI465" s="43"/>
    </row>
    <row r="466" ht="15.75" customHeight="1">
      <c r="AH466" s="43"/>
      <c r="AI466" s="43"/>
    </row>
    <row r="467" ht="15.75" customHeight="1">
      <c r="AH467" s="43"/>
      <c r="AI467" s="43"/>
    </row>
    <row r="468" ht="15.75" customHeight="1">
      <c r="AH468" s="43"/>
      <c r="AI468" s="43"/>
    </row>
    <row r="469" ht="15.75" customHeight="1">
      <c r="AH469" s="43"/>
      <c r="AI469" s="43"/>
    </row>
    <row r="470" ht="15.75" customHeight="1">
      <c r="AH470" s="43"/>
      <c r="AI470" s="43"/>
    </row>
    <row r="471" ht="15.75" customHeight="1">
      <c r="AH471" s="43"/>
      <c r="AI471" s="43"/>
    </row>
    <row r="472" ht="15.75" customHeight="1">
      <c r="AH472" s="43"/>
      <c r="AI472" s="43"/>
    </row>
    <row r="473" ht="15.75" customHeight="1">
      <c r="AH473" s="43"/>
      <c r="AI473" s="43"/>
    </row>
    <row r="474" ht="15.75" customHeight="1">
      <c r="AH474" s="43"/>
      <c r="AI474" s="43"/>
    </row>
    <row r="475" ht="15.75" customHeight="1">
      <c r="AH475" s="43"/>
      <c r="AI475" s="43"/>
    </row>
    <row r="476" ht="15.75" customHeight="1">
      <c r="AH476" s="43"/>
      <c r="AI476" s="43"/>
    </row>
    <row r="477" ht="15.75" customHeight="1">
      <c r="AH477" s="43"/>
      <c r="AI477" s="43"/>
    </row>
    <row r="478" ht="15.75" customHeight="1">
      <c r="AH478" s="43"/>
      <c r="AI478" s="43"/>
    </row>
    <row r="479" ht="15.75" customHeight="1">
      <c r="AH479" s="43"/>
      <c r="AI479" s="43"/>
    </row>
    <row r="480" ht="15.75" customHeight="1">
      <c r="AH480" s="43"/>
      <c r="AI480" s="43"/>
    </row>
    <row r="481" ht="15.75" customHeight="1">
      <c r="AH481" s="43"/>
      <c r="AI481" s="43"/>
    </row>
    <row r="482" ht="15.75" customHeight="1">
      <c r="AH482" s="43"/>
      <c r="AI482" s="43"/>
    </row>
    <row r="483" ht="15.75" customHeight="1">
      <c r="AH483" s="43"/>
      <c r="AI483" s="43"/>
    </row>
    <row r="484" ht="15.75" customHeight="1">
      <c r="AH484" s="43"/>
      <c r="AI484" s="43"/>
    </row>
    <row r="485" ht="15.75" customHeight="1">
      <c r="AH485" s="43"/>
      <c r="AI485" s="43"/>
    </row>
    <row r="486" ht="15.75" customHeight="1">
      <c r="AH486" s="43"/>
      <c r="AI486" s="43"/>
    </row>
    <row r="487" ht="15.75" customHeight="1">
      <c r="AH487" s="43"/>
      <c r="AI487" s="43"/>
    </row>
    <row r="488" ht="15.75" customHeight="1">
      <c r="AH488" s="43"/>
      <c r="AI488" s="43"/>
    </row>
    <row r="489" ht="15.75" customHeight="1">
      <c r="AH489" s="43"/>
      <c r="AI489" s="43"/>
    </row>
    <row r="490" ht="15.75" customHeight="1">
      <c r="AH490" s="43"/>
      <c r="AI490" s="43"/>
    </row>
    <row r="491" ht="15.75" customHeight="1">
      <c r="AH491" s="43"/>
      <c r="AI491" s="43"/>
    </row>
    <row r="492" ht="15.75" customHeight="1">
      <c r="AH492" s="43"/>
      <c r="AI492" s="43"/>
    </row>
    <row r="493" ht="15.75" customHeight="1">
      <c r="AH493" s="43"/>
      <c r="AI493" s="43"/>
    </row>
    <row r="494" ht="15.75" customHeight="1">
      <c r="AH494" s="43"/>
      <c r="AI494" s="43"/>
    </row>
    <row r="495" ht="15.75" customHeight="1">
      <c r="AH495" s="43"/>
      <c r="AI495" s="43"/>
    </row>
    <row r="496" ht="15.75" customHeight="1">
      <c r="AH496" s="43"/>
      <c r="AI496" s="43"/>
    </row>
    <row r="497" ht="15.75" customHeight="1">
      <c r="AH497" s="43"/>
      <c r="AI497" s="43"/>
    </row>
    <row r="498" ht="15.75" customHeight="1">
      <c r="AH498" s="43"/>
      <c r="AI498" s="43"/>
    </row>
    <row r="499" ht="15.75" customHeight="1">
      <c r="AH499" s="43"/>
      <c r="AI499" s="43"/>
    </row>
    <row r="500" ht="15.75" customHeight="1">
      <c r="AH500" s="43"/>
      <c r="AI500" s="43"/>
    </row>
    <row r="501" ht="15.75" customHeight="1">
      <c r="AH501" s="43"/>
      <c r="AI501" s="43"/>
    </row>
    <row r="502" ht="15.75" customHeight="1">
      <c r="AH502" s="43"/>
      <c r="AI502" s="43"/>
    </row>
    <row r="503" ht="15.75" customHeight="1">
      <c r="AH503" s="43"/>
      <c r="AI503" s="43"/>
    </row>
    <row r="504" ht="15.75" customHeight="1">
      <c r="AH504" s="43"/>
      <c r="AI504" s="43"/>
    </row>
    <row r="505" ht="15.75" customHeight="1">
      <c r="AH505" s="43"/>
      <c r="AI505" s="43"/>
    </row>
    <row r="506" ht="15.75" customHeight="1">
      <c r="AH506" s="43"/>
      <c r="AI506" s="43"/>
    </row>
    <row r="507" ht="15.75" customHeight="1">
      <c r="AH507" s="43"/>
      <c r="AI507" s="43"/>
    </row>
    <row r="508" ht="15.75" customHeight="1">
      <c r="AH508" s="43"/>
      <c r="AI508" s="43"/>
    </row>
    <row r="509" ht="15.75" customHeight="1">
      <c r="AH509" s="43"/>
      <c r="AI509" s="43"/>
    </row>
    <row r="510" ht="15.75" customHeight="1">
      <c r="AH510" s="43"/>
      <c r="AI510" s="43"/>
    </row>
    <row r="511" ht="15.75" customHeight="1">
      <c r="AH511" s="43"/>
      <c r="AI511" s="43"/>
    </row>
    <row r="512" ht="15.75" customHeight="1">
      <c r="AH512" s="43"/>
      <c r="AI512" s="43"/>
    </row>
    <row r="513" ht="15.75" customHeight="1">
      <c r="AH513" s="43"/>
      <c r="AI513" s="43"/>
    </row>
    <row r="514" ht="15.75" customHeight="1">
      <c r="AH514" s="43"/>
      <c r="AI514" s="43"/>
    </row>
    <row r="515" ht="15.75" customHeight="1">
      <c r="AH515" s="43"/>
      <c r="AI515" s="43"/>
    </row>
    <row r="516" ht="15.75" customHeight="1">
      <c r="AH516" s="43"/>
      <c r="AI516" s="43"/>
    </row>
    <row r="517" ht="15.75" customHeight="1">
      <c r="AH517" s="43"/>
      <c r="AI517" s="43"/>
    </row>
    <row r="518" ht="15.75" customHeight="1">
      <c r="AH518" s="43"/>
      <c r="AI518" s="43"/>
    </row>
    <row r="519" ht="15.75" customHeight="1">
      <c r="AH519" s="43"/>
      <c r="AI519" s="43"/>
    </row>
    <row r="520" ht="15.75" customHeight="1">
      <c r="AH520" s="43"/>
      <c r="AI520" s="43"/>
    </row>
    <row r="521" ht="15.75" customHeight="1">
      <c r="AH521" s="43"/>
      <c r="AI521" s="43"/>
    </row>
    <row r="522" ht="15.75" customHeight="1">
      <c r="AH522" s="43"/>
      <c r="AI522" s="43"/>
    </row>
    <row r="523" ht="15.75" customHeight="1">
      <c r="AH523" s="43"/>
      <c r="AI523" s="43"/>
    </row>
    <row r="524" ht="15.75" customHeight="1">
      <c r="AH524" s="43"/>
      <c r="AI524" s="43"/>
    </row>
    <row r="525" ht="15.75" customHeight="1">
      <c r="AH525" s="43"/>
      <c r="AI525" s="43"/>
    </row>
    <row r="526" ht="15.75" customHeight="1">
      <c r="AH526" s="43"/>
      <c r="AI526" s="43"/>
    </row>
    <row r="527" ht="15.75" customHeight="1">
      <c r="AH527" s="43"/>
      <c r="AI527" s="43"/>
    </row>
    <row r="528" ht="15.75" customHeight="1">
      <c r="AH528" s="43"/>
      <c r="AI528" s="43"/>
    </row>
    <row r="529" ht="15.75" customHeight="1">
      <c r="AH529" s="43"/>
      <c r="AI529" s="43"/>
    </row>
    <row r="530" ht="15.75" customHeight="1">
      <c r="AH530" s="43"/>
      <c r="AI530" s="43"/>
    </row>
    <row r="531" ht="15.75" customHeight="1">
      <c r="AH531" s="43"/>
      <c r="AI531" s="43"/>
    </row>
    <row r="532" ht="15.75" customHeight="1">
      <c r="AH532" s="43"/>
      <c r="AI532" s="43"/>
    </row>
    <row r="533" ht="15.75" customHeight="1">
      <c r="AH533" s="43"/>
      <c r="AI533" s="43"/>
    </row>
    <row r="534" ht="15.75" customHeight="1">
      <c r="AH534" s="43"/>
      <c r="AI534" s="43"/>
    </row>
    <row r="535" ht="15.75" customHeight="1">
      <c r="AH535" s="43"/>
      <c r="AI535" s="43"/>
    </row>
    <row r="536" ht="15.75" customHeight="1">
      <c r="AH536" s="43"/>
      <c r="AI536" s="43"/>
    </row>
    <row r="537" ht="15.75" customHeight="1">
      <c r="AH537" s="43"/>
      <c r="AI537" s="43"/>
    </row>
    <row r="538" ht="15.75" customHeight="1">
      <c r="AH538" s="43"/>
      <c r="AI538" s="43"/>
    </row>
    <row r="539" ht="15.75" customHeight="1">
      <c r="AH539" s="43"/>
      <c r="AI539" s="43"/>
    </row>
    <row r="540" ht="15.75" customHeight="1">
      <c r="AH540" s="43"/>
      <c r="AI540" s="43"/>
    </row>
    <row r="541" ht="15.75" customHeight="1">
      <c r="AH541" s="43"/>
      <c r="AI541" s="43"/>
    </row>
    <row r="542" ht="15.75" customHeight="1">
      <c r="AH542" s="43"/>
      <c r="AI542" s="43"/>
    </row>
    <row r="543" ht="15.75" customHeight="1">
      <c r="AH543" s="43"/>
      <c r="AI543" s="43"/>
    </row>
    <row r="544" ht="15.75" customHeight="1">
      <c r="AH544" s="43"/>
      <c r="AI544" s="43"/>
    </row>
    <row r="545" ht="15.75" customHeight="1">
      <c r="AH545" s="43"/>
      <c r="AI545" s="43"/>
    </row>
    <row r="546" ht="15.75" customHeight="1">
      <c r="AH546" s="43"/>
      <c r="AI546" s="43"/>
    </row>
    <row r="547" ht="15.75" customHeight="1">
      <c r="AH547" s="43"/>
      <c r="AI547" s="43"/>
    </row>
    <row r="548" ht="15.75" customHeight="1">
      <c r="AH548" s="43"/>
      <c r="AI548" s="43"/>
    </row>
    <row r="549" ht="15.75" customHeight="1">
      <c r="AH549" s="43"/>
      <c r="AI549" s="43"/>
    </row>
    <row r="550" ht="15.75" customHeight="1">
      <c r="AH550" s="43"/>
      <c r="AI550" s="43"/>
    </row>
    <row r="551" ht="15.75" customHeight="1">
      <c r="AH551" s="43"/>
      <c r="AI551" s="43"/>
    </row>
    <row r="552" ht="15.75" customHeight="1">
      <c r="AH552" s="43"/>
      <c r="AI552" s="43"/>
    </row>
    <row r="553" ht="15.75" customHeight="1">
      <c r="AH553" s="43"/>
      <c r="AI553" s="43"/>
    </row>
    <row r="554" ht="15.75" customHeight="1">
      <c r="AH554" s="43"/>
      <c r="AI554" s="43"/>
    </row>
    <row r="555" ht="15.75" customHeight="1">
      <c r="AH555" s="43"/>
      <c r="AI555" s="43"/>
    </row>
    <row r="556" ht="15.75" customHeight="1">
      <c r="AH556" s="43"/>
      <c r="AI556" s="43"/>
    </row>
    <row r="557" ht="15.75" customHeight="1">
      <c r="AH557" s="43"/>
      <c r="AI557" s="43"/>
    </row>
    <row r="558" ht="15.75" customHeight="1">
      <c r="AH558" s="43"/>
      <c r="AI558" s="43"/>
    </row>
    <row r="559" ht="15.75" customHeight="1">
      <c r="AH559" s="43"/>
      <c r="AI559" s="43"/>
    </row>
    <row r="560" ht="15.75" customHeight="1">
      <c r="AH560" s="43"/>
      <c r="AI560" s="43"/>
    </row>
    <row r="561" ht="15.75" customHeight="1">
      <c r="AH561" s="43"/>
      <c r="AI561" s="43"/>
    </row>
    <row r="562" ht="15.75" customHeight="1">
      <c r="AH562" s="43"/>
      <c r="AI562" s="43"/>
    </row>
    <row r="563" ht="15.75" customHeight="1">
      <c r="AH563" s="43"/>
      <c r="AI563" s="43"/>
    </row>
    <row r="564" ht="15.75" customHeight="1">
      <c r="AH564" s="43"/>
      <c r="AI564" s="43"/>
    </row>
    <row r="565" ht="15.75" customHeight="1">
      <c r="AH565" s="43"/>
      <c r="AI565" s="43"/>
    </row>
    <row r="566" ht="15.75" customHeight="1">
      <c r="AH566" s="43"/>
      <c r="AI566" s="43"/>
    </row>
    <row r="567" ht="15.75" customHeight="1">
      <c r="AH567" s="43"/>
      <c r="AI567" s="43"/>
    </row>
    <row r="568" ht="15.75" customHeight="1">
      <c r="AH568" s="43"/>
      <c r="AI568" s="43"/>
    </row>
    <row r="569" ht="15.75" customHeight="1">
      <c r="AH569" s="43"/>
      <c r="AI569" s="43"/>
    </row>
    <row r="570" ht="15.75" customHeight="1">
      <c r="AH570" s="43"/>
      <c r="AI570" s="43"/>
    </row>
    <row r="571" ht="15.75" customHeight="1">
      <c r="AH571" s="43"/>
      <c r="AI571" s="43"/>
    </row>
    <row r="572" ht="15.75" customHeight="1">
      <c r="AH572" s="43"/>
      <c r="AI572" s="43"/>
    </row>
    <row r="573" ht="15.75" customHeight="1">
      <c r="AH573" s="43"/>
      <c r="AI573" s="43"/>
    </row>
    <row r="574" ht="15.75" customHeight="1">
      <c r="AH574" s="43"/>
      <c r="AI574" s="43"/>
    </row>
    <row r="575" ht="15.75" customHeight="1">
      <c r="AH575" s="43"/>
      <c r="AI575" s="43"/>
    </row>
    <row r="576" ht="15.75" customHeight="1">
      <c r="AH576" s="43"/>
      <c r="AI576" s="43"/>
    </row>
    <row r="577" ht="15.75" customHeight="1">
      <c r="AH577" s="43"/>
      <c r="AI577" s="43"/>
    </row>
    <row r="578" ht="15.75" customHeight="1">
      <c r="AH578" s="43"/>
      <c r="AI578" s="43"/>
    </row>
    <row r="579" ht="15.75" customHeight="1">
      <c r="AH579" s="43"/>
      <c r="AI579" s="43"/>
    </row>
    <row r="580" ht="15.75" customHeight="1">
      <c r="AH580" s="43"/>
      <c r="AI580" s="43"/>
    </row>
    <row r="581" ht="15.75" customHeight="1">
      <c r="AH581" s="43"/>
      <c r="AI581" s="43"/>
    </row>
    <row r="582" ht="15.75" customHeight="1">
      <c r="AH582" s="43"/>
      <c r="AI582" s="43"/>
    </row>
    <row r="583" ht="15.75" customHeight="1">
      <c r="AH583" s="43"/>
      <c r="AI583" s="43"/>
    </row>
    <row r="584" ht="15.75" customHeight="1">
      <c r="AH584" s="43"/>
      <c r="AI584" s="43"/>
    </row>
    <row r="585" ht="15.75" customHeight="1">
      <c r="AH585" s="43"/>
      <c r="AI585" s="43"/>
    </row>
    <row r="586" ht="15.75" customHeight="1">
      <c r="AH586" s="43"/>
      <c r="AI586" s="43"/>
    </row>
    <row r="587" ht="15.75" customHeight="1">
      <c r="AH587" s="43"/>
      <c r="AI587" s="43"/>
    </row>
    <row r="588" ht="15.75" customHeight="1">
      <c r="AH588" s="43"/>
      <c r="AI588" s="43"/>
    </row>
    <row r="589" ht="15.75" customHeight="1">
      <c r="AH589" s="43"/>
      <c r="AI589" s="43"/>
    </row>
    <row r="590" ht="15.75" customHeight="1">
      <c r="AH590" s="43"/>
      <c r="AI590" s="43"/>
    </row>
    <row r="591" ht="15.75" customHeight="1">
      <c r="AH591" s="43"/>
      <c r="AI591" s="43"/>
    </row>
    <row r="592" ht="15.75" customHeight="1">
      <c r="AH592" s="43"/>
      <c r="AI592" s="43"/>
    </row>
    <row r="593" ht="15.75" customHeight="1">
      <c r="AH593" s="43"/>
      <c r="AI593" s="43"/>
    </row>
    <row r="594" ht="15.75" customHeight="1">
      <c r="AH594" s="43"/>
      <c r="AI594" s="43"/>
    </row>
    <row r="595" ht="15.75" customHeight="1">
      <c r="AH595" s="43"/>
      <c r="AI595" s="43"/>
    </row>
    <row r="596" ht="15.75" customHeight="1">
      <c r="AH596" s="43"/>
      <c r="AI596" s="43"/>
    </row>
    <row r="597" ht="15.75" customHeight="1">
      <c r="AH597" s="43"/>
      <c r="AI597" s="43"/>
    </row>
    <row r="598" ht="15.75" customHeight="1">
      <c r="AH598" s="43"/>
      <c r="AI598" s="43"/>
    </row>
    <row r="599" ht="15.75" customHeight="1">
      <c r="AH599" s="43"/>
      <c r="AI599" s="43"/>
    </row>
    <row r="600" ht="15.75" customHeight="1">
      <c r="AH600" s="43"/>
      <c r="AI600" s="43"/>
    </row>
    <row r="601" ht="15.75" customHeight="1">
      <c r="AH601" s="43"/>
      <c r="AI601" s="43"/>
    </row>
    <row r="602" ht="15.75" customHeight="1">
      <c r="AH602" s="43"/>
      <c r="AI602" s="43"/>
    </row>
    <row r="603" ht="15.75" customHeight="1">
      <c r="AH603" s="43"/>
      <c r="AI603" s="43"/>
    </row>
    <row r="604" ht="15.75" customHeight="1">
      <c r="AH604" s="43"/>
      <c r="AI604" s="43"/>
    </row>
    <row r="605" ht="15.75" customHeight="1">
      <c r="AH605" s="43"/>
      <c r="AI605" s="43"/>
    </row>
    <row r="606" ht="15.75" customHeight="1">
      <c r="AH606" s="43"/>
      <c r="AI606" s="43"/>
    </row>
    <row r="607" ht="15.75" customHeight="1">
      <c r="AH607" s="43"/>
      <c r="AI607" s="43"/>
    </row>
    <row r="608" ht="15.75" customHeight="1">
      <c r="AH608" s="43"/>
      <c r="AI608" s="43"/>
    </row>
    <row r="609" ht="15.75" customHeight="1">
      <c r="AH609" s="43"/>
      <c r="AI609" s="43"/>
    </row>
    <row r="610" ht="15.75" customHeight="1">
      <c r="AH610" s="43"/>
      <c r="AI610" s="43"/>
    </row>
    <row r="611" ht="15.75" customHeight="1">
      <c r="AH611" s="43"/>
      <c r="AI611" s="43"/>
    </row>
    <row r="612" ht="15.75" customHeight="1">
      <c r="AH612" s="43"/>
      <c r="AI612" s="43"/>
    </row>
    <row r="613" ht="15.75" customHeight="1">
      <c r="AH613" s="43"/>
      <c r="AI613" s="43"/>
    </row>
    <row r="614" ht="15.75" customHeight="1">
      <c r="AH614" s="43"/>
      <c r="AI614" s="43"/>
    </row>
    <row r="615" ht="15.75" customHeight="1">
      <c r="AH615" s="43"/>
      <c r="AI615" s="43"/>
    </row>
    <row r="616" ht="15.75" customHeight="1">
      <c r="AH616" s="43"/>
      <c r="AI616" s="43"/>
    </row>
    <row r="617" ht="15.75" customHeight="1">
      <c r="AH617" s="43"/>
      <c r="AI617" s="43"/>
    </row>
    <row r="618" ht="15.75" customHeight="1">
      <c r="AH618" s="43"/>
      <c r="AI618" s="43"/>
    </row>
    <row r="619" ht="15.75" customHeight="1">
      <c r="AH619" s="43"/>
      <c r="AI619" s="43"/>
    </row>
    <row r="620" ht="15.75" customHeight="1">
      <c r="AH620" s="43"/>
      <c r="AI620" s="43"/>
    </row>
    <row r="621" ht="15.75" customHeight="1">
      <c r="AH621" s="43"/>
      <c r="AI621" s="43"/>
    </row>
    <row r="622" ht="15.75" customHeight="1">
      <c r="AH622" s="43"/>
      <c r="AI622" s="43"/>
    </row>
    <row r="623" ht="15.75" customHeight="1">
      <c r="AH623" s="43"/>
      <c r="AI623" s="43"/>
    </row>
    <row r="624" ht="15.75" customHeight="1">
      <c r="AH624" s="43"/>
      <c r="AI624" s="43"/>
    </row>
    <row r="625" ht="15.75" customHeight="1">
      <c r="AH625" s="43"/>
      <c r="AI625" s="43"/>
    </row>
    <row r="626" ht="15.75" customHeight="1">
      <c r="AH626" s="43"/>
      <c r="AI626" s="43"/>
    </row>
    <row r="627" ht="15.75" customHeight="1">
      <c r="AH627" s="43"/>
      <c r="AI627" s="43"/>
    </row>
    <row r="628" ht="15.75" customHeight="1">
      <c r="AH628" s="43"/>
      <c r="AI628" s="43"/>
    </row>
    <row r="629" ht="15.75" customHeight="1">
      <c r="AH629" s="43"/>
      <c r="AI629" s="43"/>
    </row>
    <row r="630" ht="15.75" customHeight="1">
      <c r="AH630" s="43"/>
      <c r="AI630" s="43"/>
    </row>
    <row r="631" ht="15.75" customHeight="1">
      <c r="AH631" s="43"/>
      <c r="AI631" s="43"/>
    </row>
    <row r="632" ht="15.75" customHeight="1">
      <c r="AH632" s="43"/>
      <c r="AI632" s="43"/>
    </row>
    <row r="633" ht="15.75" customHeight="1">
      <c r="AH633" s="43"/>
      <c r="AI633" s="43"/>
    </row>
    <row r="634" ht="15.75" customHeight="1">
      <c r="AH634" s="43"/>
      <c r="AI634" s="43"/>
    </row>
    <row r="635" ht="15.75" customHeight="1">
      <c r="AH635" s="43"/>
      <c r="AI635" s="43"/>
    </row>
    <row r="636" ht="15.75" customHeight="1">
      <c r="AH636" s="43"/>
      <c r="AI636" s="43"/>
    </row>
    <row r="637" ht="15.75" customHeight="1">
      <c r="AH637" s="43"/>
      <c r="AI637" s="43"/>
    </row>
    <row r="638" ht="15.75" customHeight="1">
      <c r="AH638" s="43"/>
      <c r="AI638" s="43"/>
    </row>
    <row r="639" ht="15.75" customHeight="1">
      <c r="AH639" s="43"/>
      <c r="AI639" s="43"/>
    </row>
    <row r="640" ht="15.75" customHeight="1">
      <c r="AH640" s="43"/>
      <c r="AI640" s="43"/>
    </row>
    <row r="641" ht="15.75" customHeight="1">
      <c r="AH641" s="43"/>
      <c r="AI641" s="43"/>
    </row>
    <row r="642" ht="15.75" customHeight="1">
      <c r="AH642" s="43"/>
      <c r="AI642" s="43"/>
    </row>
    <row r="643" ht="15.75" customHeight="1">
      <c r="AH643" s="43"/>
      <c r="AI643" s="43"/>
    </row>
    <row r="644" ht="15.75" customHeight="1">
      <c r="AH644" s="43"/>
      <c r="AI644" s="43"/>
    </row>
    <row r="645" ht="15.75" customHeight="1">
      <c r="AH645" s="43"/>
      <c r="AI645" s="43"/>
    </row>
    <row r="646" ht="15.75" customHeight="1">
      <c r="AH646" s="43"/>
      <c r="AI646" s="43"/>
    </row>
    <row r="647" ht="15.75" customHeight="1">
      <c r="AH647" s="43"/>
      <c r="AI647" s="43"/>
    </row>
    <row r="648" ht="15.75" customHeight="1">
      <c r="AH648" s="43"/>
      <c r="AI648" s="43"/>
    </row>
    <row r="649" ht="15.75" customHeight="1">
      <c r="AH649" s="43"/>
      <c r="AI649" s="43"/>
    </row>
    <row r="650" ht="15.75" customHeight="1">
      <c r="AH650" s="43"/>
      <c r="AI650" s="43"/>
    </row>
    <row r="651" ht="15.75" customHeight="1">
      <c r="AH651" s="43"/>
      <c r="AI651" s="43"/>
    </row>
    <row r="652" ht="15.75" customHeight="1">
      <c r="AH652" s="43"/>
      <c r="AI652" s="43"/>
    </row>
    <row r="653" ht="15.75" customHeight="1">
      <c r="AH653" s="43"/>
      <c r="AI653" s="43"/>
    </row>
    <row r="654" ht="15.75" customHeight="1">
      <c r="AH654" s="43"/>
      <c r="AI654" s="43"/>
    </row>
    <row r="655" ht="15.75" customHeight="1">
      <c r="AH655" s="43"/>
      <c r="AI655" s="43"/>
    </row>
    <row r="656" ht="15.75" customHeight="1">
      <c r="AH656" s="43"/>
      <c r="AI656" s="43"/>
    </row>
    <row r="657" ht="15.75" customHeight="1">
      <c r="AH657" s="43"/>
      <c r="AI657" s="43"/>
    </row>
    <row r="658" ht="15.75" customHeight="1">
      <c r="AH658" s="43"/>
      <c r="AI658" s="43"/>
    </row>
    <row r="659" ht="15.75" customHeight="1">
      <c r="AH659" s="43"/>
      <c r="AI659" s="43"/>
    </row>
    <row r="660" ht="15.75" customHeight="1">
      <c r="AH660" s="43"/>
      <c r="AI660" s="43"/>
    </row>
    <row r="661" ht="15.75" customHeight="1">
      <c r="AH661" s="43"/>
      <c r="AI661" s="43"/>
    </row>
    <row r="662" ht="15.75" customHeight="1">
      <c r="AH662" s="43"/>
      <c r="AI662" s="43"/>
    </row>
    <row r="663" ht="15.75" customHeight="1">
      <c r="AH663" s="43"/>
      <c r="AI663" s="43"/>
    </row>
    <row r="664" ht="15.75" customHeight="1">
      <c r="AH664" s="43"/>
      <c r="AI664" s="43"/>
    </row>
    <row r="665" ht="15.75" customHeight="1">
      <c r="AH665" s="43"/>
      <c r="AI665" s="43"/>
    </row>
    <row r="666" ht="15.75" customHeight="1">
      <c r="AH666" s="43"/>
      <c r="AI666" s="43"/>
    </row>
    <row r="667" ht="15.75" customHeight="1">
      <c r="AH667" s="43"/>
      <c r="AI667" s="43"/>
    </row>
    <row r="668" ht="15.75" customHeight="1">
      <c r="AH668" s="43"/>
      <c r="AI668" s="43"/>
    </row>
    <row r="669" ht="15.75" customHeight="1">
      <c r="AH669" s="43"/>
      <c r="AI669" s="43"/>
    </row>
    <row r="670" ht="15.75" customHeight="1">
      <c r="AH670" s="43"/>
      <c r="AI670" s="43"/>
    </row>
    <row r="671" ht="15.75" customHeight="1">
      <c r="AH671" s="43"/>
      <c r="AI671" s="43"/>
    </row>
    <row r="672" ht="15.75" customHeight="1">
      <c r="AH672" s="43"/>
      <c r="AI672" s="43"/>
    </row>
    <row r="673" ht="15.75" customHeight="1">
      <c r="AH673" s="43"/>
      <c r="AI673" s="43"/>
    </row>
    <row r="674" ht="15.75" customHeight="1">
      <c r="AH674" s="43"/>
      <c r="AI674" s="43"/>
    </row>
    <row r="675" ht="15.75" customHeight="1">
      <c r="AH675" s="43"/>
      <c r="AI675" s="43"/>
    </row>
    <row r="676" ht="15.75" customHeight="1">
      <c r="AH676" s="43"/>
      <c r="AI676" s="43"/>
    </row>
    <row r="677" ht="15.75" customHeight="1">
      <c r="AH677" s="43"/>
      <c r="AI677" s="43"/>
    </row>
    <row r="678" ht="15.75" customHeight="1">
      <c r="AH678" s="43"/>
      <c r="AI678" s="43"/>
    </row>
    <row r="679" ht="15.75" customHeight="1">
      <c r="AH679" s="43"/>
      <c r="AI679" s="43"/>
    </row>
    <row r="680" ht="15.75" customHeight="1">
      <c r="AH680" s="43"/>
      <c r="AI680" s="43"/>
    </row>
    <row r="681" ht="15.75" customHeight="1">
      <c r="AH681" s="43"/>
      <c r="AI681" s="43"/>
    </row>
    <row r="682" ht="15.75" customHeight="1">
      <c r="AH682" s="43"/>
      <c r="AI682" s="43"/>
    </row>
    <row r="683" ht="15.75" customHeight="1">
      <c r="AH683" s="43"/>
      <c r="AI683" s="43"/>
    </row>
    <row r="684" ht="15.75" customHeight="1">
      <c r="AH684" s="43"/>
      <c r="AI684" s="43"/>
    </row>
    <row r="685" ht="15.75" customHeight="1">
      <c r="AH685" s="43"/>
      <c r="AI685" s="43"/>
    </row>
    <row r="686" ht="15.75" customHeight="1">
      <c r="AH686" s="43"/>
      <c r="AI686" s="43"/>
    </row>
    <row r="687" ht="15.75" customHeight="1">
      <c r="AH687" s="43"/>
      <c r="AI687" s="43"/>
    </row>
    <row r="688" ht="15.75" customHeight="1">
      <c r="AH688" s="43"/>
      <c r="AI688" s="43"/>
    </row>
    <row r="689" ht="15.75" customHeight="1">
      <c r="AH689" s="43"/>
      <c r="AI689" s="43"/>
    </row>
    <row r="690" ht="15.75" customHeight="1">
      <c r="AH690" s="43"/>
      <c r="AI690" s="43"/>
    </row>
    <row r="691" ht="15.75" customHeight="1">
      <c r="AH691" s="43"/>
      <c r="AI691" s="43"/>
    </row>
    <row r="692" ht="15.75" customHeight="1">
      <c r="AH692" s="43"/>
      <c r="AI692" s="43"/>
    </row>
    <row r="693" ht="15.75" customHeight="1">
      <c r="AH693" s="43"/>
      <c r="AI693" s="43"/>
    </row>
    <row r="694" ht="15.75" customHeight="1">
      <c r="AH694" s="43"/>
      <c r="AI694" s="43"/>
    </row>
    <row r="695" ht="15.75" customHeight="1">
      <c r="AH695" s="43"/>
      <c r="AI695" s="43"/>
    </row>
    <row r="696" ht="15.75" customHeight="1">
      <c r="AH696" s="43"/>
      <c r="AI696" s="43"/>
    </row>
    <row r="697" ht="15.75" customHeight="1">
      <c r="AH697" s="43"/>
      <c r="AI697" s="43"/>
    </row>
    <row r="698" ht="15.75" customHeight="1">
      <c r="AH698" s="43"/>
      <c r="AI698" s="43"/>
    </row>
    <row r="699" ht="15.75" customHeight="1">
      <c r="AH699" s="43"/>
      <c r="AI699" s="43"/>
    </row>
    <row r="700" ht="15.75" customHeight="1">
      <c r="AH700" s="43"/>
      <c r="AI700" s="43"/>
    </row>
    <row r="701" ht="15.75" customHeight="1">
      <c r="AH701" s="43"/>
      <c r="AI701" s="43"/>
    </row>
    <row r="702" ht="15.75" customHeight="1">
      <c r="AH702" s="43"/>
      <c r="AI702" s="43"/>
    </row>
    <row r="703" ht="15.75" customHeight="1">
      <c r="AH703" s="43"/>
      <c r="AI703" s="43"/>
    </row>
    <row r="704" ht="15.75" customHeight="1">
      <c r="AH704" s="43"/>
      <c r="AI704" s="43"/>
    </row>
    <row r="705" ht="15.75" customHeight="1">
      <c r="AH705" s="43"/>
      <c r="AI705" s="43"/>
    </row>
    <row r="706" ht="15.75" customHeight="1">
      <c r="AH706" s="43"/>
      <c r="AI706" s="43"/>
    </row>
    <row r="707" ht="15.75" customHeight="1">
      <c r="AH707" s="43"/>
      <c r="AI707" s="43"/>
    </row>
    <row r="708" ht="15.75" customHeight="1">
      <c r="AH708" s="43"/>
      <c r="AI708" s="43"/>
    </row>
    <row r="709" ht="15.75" customHeight="1">
      <c r="AH709" s="43"/>
      <c r="AI709" s="43"/>
    </row>
    <row r="710" ht="15.75" customHeight="1">
      <c r="AH710" s="43"/>
      <c r="AI710" s="43"/>
    </row>
    <row r="711" ht="15.75" customHeight="1">
      <c r="AH711" s="43"/>
      <c r="AI711" s="43"/>
    </row>
    <row r="712" ht="15.75" customHeight="1">
      <c r="AH712" s="43"/>
      <c r="AI712" s="43"/>
    </row>
    <row r="713" ht="15.75" customHeight="1">
      <c r="AH713" s="43"/>
      <c r="AI713" s="43"/>
    </row>
    <row r="714" ht="15.75" customHeight="1">
      <c r="AH714" s="43"/>
      <c r="AI714" s="43"/>
    </row>
    <row r="715" ht="15.75" customHeight="1">
      <c r="AH715" s="43"/>
      <c r="AI715" s="43"/>
    </row>
    <row r="716" ht="15.75" customHeight="1">
      <c r="AH716" s="43"/>
      <c r="AI716" s="43"/>
    </row>
    <row r="717" ht="15.75" customHeight="1">
      <c r="AH717" s="43"/>
      <c r="AI717" s="43"/>
    </row>
    <row r="718" ht="15.75" customHeight="1">
      <c r="AH718" s="43"/>
      <c r="AI718" s="43"/>
    </row>
    <row r="719" ht="15.75" customHeight="1">
      <c r="AH719" s="43"/>
      <c r="AI719" s="43"/>
    </row>
    <row r="720" ht="15.75" customHeight="1">
      <c r="AH720" s="43"/>
      <c r="AI720" s="43"/>
    </row>
    <row r="721" ht="15.75" customHeight="1">
      <c r="AH721" s="43"/>
      <c r="AI721" s="43"/>
    </row>
    <row r="722" ht="15.75" customHeight="1">
      <c r="AH722" s="43"/>
      <c r="AI722" s="43"/>
    </row>
    <row r="723" ht="15.75" customHeight="1">
      <c r="AH723" s="43"/>
      <c r="AI723" s="43"/>
    </row>
    <row r="724" ht="15.75" customHeight="1">
      <c r="AH724" s="43"/>
      <c r="AI724" s="43"/>
    </row>
    <row r="725" ht="15.75" customHeight="1">
      <c r="AH725" s="43"/>
      <c r="AI725" s="43"/>
    </row>
    <row r="726" ht="15.75" customHeight="1">
      <c r="AH726" s="43"/>
      <c r="AI726" s="43"/>
    </row>
    <row r="727" ht="15.75" customHeight="1">
      <c r="AH727" s="43"/>
      <c r="AI727" s="43"/>
    </row>
    <row r="728" ht="15.75" customHeight="1">
      <c r="AH728" s="43"/>
      <c r="AI728" s="43"/>
    </row>
    <row r="729" ht="15.75" customHeight="1">
      <c r="AH729" s="43"/>
      <c r="AI729" s="43"/>
    </row>
    <row r="730" ht="15.75" customHeight="1">
      <c r="AH730" s="43"/>
      <c r="AI730" s="43"/>
    </row>
    <row r="731" ht="15.75" customHeight="1">
      <c r="AH731" s="43"/>
      <c r="AI731" s="43"/>
    </row>
    <row r="732" ht="15.75" customHeight="1">
      <c r="AH732" s="43"/>
      <c r="AI732" s="43"/>
    </row>
    <row r="733" ht="15.75" customHeight="1">
      <c r="AH733" s="43"/>
      <c r="AI733" s="43"/>
    </row>
    <row r="734" ht="15.75" customHeight="1">
      <c r="AH734" s="43"/>
      <c r="AI734" s="43"/>
    </row>
    <row r="735" ht="15.75" customHeight="1">
      <c r="AH735" s="43"/>
      <c r="AI735" s="43"/>
    </row>
    <row r="736" ht="15.75" customHeight="1">
      <c r="AH736" s="43"/>
      <c r="AI736" s="43"/>
    </row>
    <row r="737" ht="15.75" customHeight="1">
      <c r="AH737" s="43"/>
      <c r="AI737" s="43"/>
    </row>
    <row r="738" ht="15.75" customHeight="1">
      <c r="AH738" s="43"/>
      <c r="AI738" s="43"/>
    </row>
    <row r="739" ht="15.75" customHeight="1">
      <c r="AH739" s="43"/>
      <c r="AI739" s="43"/>
    </row>
    <row r="740" ht="15.75" customHeight="1">
      <c r="AH740" s="43"/>
      <c r="AI740" s="43"/>
    </row>
    <row r="741" ht="15.75" customHeight="1">
      <c r="AH741" s="43"/>
      <c r="AI741" s="43"/>
    </row>
    <row r="742" ht="15.75" customHeight="1">
      <c r="AH742" s="43"/>
      <c r="AI742" s="43"/>
    </row>
    <row r="743" ht="15.75" customHeight="1">
      <c r="AH743" s="43"/>
      <c r="AI743" s="43"/>
    </row>
    <row r="744" ht="15.75" customHeight="1">
      <c r="AH744" s="43"/>
      <c r="AI744" s="43"/>
    </row>
    <row r="745" ht="15.75" customHeight="1">
      <c r="AH745" s="43"/>
      <c r="AI745" s="43"/>
    </row>
    <row r="746" ht="15.75" customHeight="1">
      <c r="AH746" s="43"/>
      <c r="AI746" s="43"/>
    </row>
    <row r="747" ht="15.75" customHeight="1">
      <c r="AH747" s="43"/>
      <c r="AI747" s="43"/>
    </row>
    <row r="748" ht="15.75" customHeight="1">
      <c r="AH748" s="43"/>
      <c r="AI748" s="43"/>
    </row>
    <row r="749" ht="15.75" customHeight="1">
      <c r="AH749" s="43"/>
      <c r="AI749" s="43"/>
    </row>
    <row r="750" ht="15.75" customHeight="1">
      <c r="AH750" s="43"/>
      <c r="AI750" s="43"/>
    </row>
    <row r="751" ht="15.75" customHeight="1">
      <c r="AH751" s="43"/>
      <c r="AI751" s="43"/>
    </row>
    <row r="752" ht="15.75" customHeight="1">
      <c r="AH752" s="43"/>
      <c r="AI752" s="43"/>
    </row>
    <row r="753" ht="15.75" customHeight="1">
      <c r="AH753" s="43"/>
      <c r="AI753" s="43"/>
    </row>
    <row r="754" ht="15.75" customHeight="1">
      <c r="AH754" s="43"/>
      <c r="AI754" s="43"/>
    </row>
    <row r="755" ht="15.75" customHeight="1">
      <c r="AH755" s="43"/>
      <c r="AI755" s="43"/>
    </row>
    <row r="756" ht="15.75" customHeight="1">
      <c r="AH756" s="43"/>
      <c r="AI756" s="43"/>
    </row>
    <row r="757" ht="15.75" customHeight="1">
      <c r="AH757" s="43"/>
      <c r="AI757" s="43"/>
    </row>
    <row r="758" ht="15.75" customHeight="1">
      <c r="AH758" s="43"/>
      <c r="AI758" s="43"/>
    </row>
    <row r="759" ht="15.75" customHeight="1">
      <c r="AH759" s="43"/>
      <c r="AI759" s="43"/>
    </row>
    <row r="760" ht="15.75" customHeight="1">
      <c r="AH760" s="43"/>
      <c r="AI760" s="43"/>
    </row>
    <row r="761" ht="15.75" customHeight="1">
      <c r="AH761" s="43"/>
      <c r="AI761" s="43"/>
    </row>
    <row r="762" ht="15.75" customHeight="1">
      <c r="AH762" s="43"/>
      <c r="AI762" s="43"/>
    </row>
    <row r="763" ht="15.75" customHeight="1">
      <c r="AH763" s="43"/>
      <c r="AI763" s="43"/>
    </row>
    <row r="764" ht="15.75" customHeight="1">
      <c r="AH764" s="43"/>
      <c r="AI764" s="43"/>
    </row>
    <row r="765" ht="15.75" customHeight="1">
      <c r="AH765" s="43"/>
      <c r="AI765" s="43"/>
    </row>
    <row r="766" ht="15.75" customHeight="1">
      <c r="AH766" s="43"/>
      <c r="AI766" s="43"/>
    </row>
    <row r="767" ht="15.75" customHeight="1">
      <c r="AH767" s="43"/>
      <c r="AI767" s="43"/>
    </row>
    <row r="768" ht="15.75" customHeight="1">
      <c r="AH768" s="43"/>
      <c r="AI768" s="43"/>
    </row>
    <row r="769" ht="15.75" customHeight="1">
      <c r="AH769" s="43"/>
      <c r="AI769" s="43"/>
    </row>
    <row r="770" ht="15.75" customHeight="1">
      <c r="AH770" s="43"/>
      <c r="AI770" s="43"/>
    </row>
    <row r="771" ht="15.75" customHeight="1">
      <c r="AH771" s="43"/>
      <c r="AI771" s="43"/>
    </row>
    <row r="772" ht="15.75" customHeight="1">
      <c r="AH772" s="43"/>
      <c r="AI772" s="43"/>
    </row>
    <row r="773" ht="15.75" customHeight="1">
      <c r="AH773" s="43"/>
      <c r="AI773" s="43"/>
    </row>
    <row r="774" ht="15.75" customHeight="1">
      <c r="AH774" s="43"/>
      <c r="AI774" s="43"/>
    </row>
    <row r="775" ht="15.75" customHeight="1">
      <c r="AH775" s="43"/>
      <c r="AI775" s="43"/>
    </row>
    <row r="776" ht="15.75" customHeight="1">
      <c r="AH776" s="43"/>
      <c r="AI776" s="43"/>
    </row>
    <row r="777" ht="15.75" customHeight="1">
      <c r="AH777" s="43"/>
      <c r="AI777" s="43"/>
    </row>
    <row r="778" ht="15.75" customHeight="1">
      <c r="AH778" s="43"/>
      <c r="AI778" s="43"/>
    </row>
    <row r="779" ht="15.75" customHeight="1">
      <c r="AH779" s="43"/>
      <c r="AI779" s="43"/>
    </row>
    <row r="780" ht="15.75" customHeight="1">
      <c r="AH780" s="43"/>
      <c r="AI780" s="43"/>
    </row>
    <row r="781" ht="15.75" customHeight="1">
      <c r="AH781" s="43"/>
      <c r="AI781" s="43"/>
    </row>
    <row r="782" ht="15.75" customHeight="1">
      <c r="AH782" s="43"/>
      <c r="AI782" s="43"/>
    </row>
    <row r="783" ht="15.75" customHeight="1">
      <c r="AH783" s="43"/>
      <c r="AI783" s="43"/>
    </row>
    <row r="784" ht="15.75" customHeight="1">
      <c r="AH784" s="43"/>
      <c r="AI784" s="43"/>
    </row>
    <row r="785" ht="15.75" customHeight="1">
      <c r="AH785" s="43"/>
      <c r="AI785" s="43"/>
    </row>
    <row r="786" ht="15.75" customHeight="1">
      <c r="AH786" s="43"/>
      <c r="AI786" s="43"/>
    </row>
    <row r="787" ht="15.75" customHeight="1">
      <c r="AH787" s="43"/>
      <c r="AI787" s="43"/>
    </row>
    <row r="788" ht="15.75" customHeight="1">
      <c r="AH788" s="43"/>
      <c r="AI788" s="43"/>
    </row>
    <row r="789" ht="15.75" customHeight="1">
      <c r="AH789" s="43"/>
      <c r="AI789" s="43"/>
    </row>
    <row r="790" ht="15.75" customHeight="1">
      <c r="AH790" s="43"/>
      <c r="AI790" s="43"/>
    </row>
    <row r="791" ht="15.75" customHeight="1">
      <c r="AH791" s="43"/>
      <c r="AI791" s="43"/>
    </row>
    <row r="792" ht="15.75" customHeight="1">
      <c r="AH792" s="43"/>
      <c r="AI792" s="43"/>
    </row>
    <row r="793" ht="15.75" customHeight="1">
      <c r="AH793" s="43"/>
      <c r="AI793" s="43"/>
    </row>
    <row r="794" ht="15.75" customHeight="1">
      <c r="AH794" s="43"/>
      <c r="AI794" s="43"/>
    </row>
    <row r="795" ht="15.75" customHeight="1">
      <c r="AH795" s="43"/>
      <c r="AI795" s="43"/>
    </row>
    <row r="796" ht="15.75" customHeight="1">
      <c r="AH796" s="43"/>
      <c r="AI796" s="43"/>
    </row>
    <row r="797" ht="15.75" customHeight="1">
      <c r="AH797" s="43"/>
      <c r="AI797" s="43"/>
    </row>
    <row r="798" ht="15.75" customHeight="1">
      <c r="AH798" s="43"/>
      <c r="AI798" s="43"/>
    </row>
    <row r="799" ht="15.75" customHeight="1">
      <c r="AH799" s="43"/>
      <c r="AI799" s="43"/>
    </row>
    <row r="800" ht="15.75" customHeight="1">
      <c r="AH800" s="43"/>
      <c r="AI800" s="43"/>
    </row>
    <row r="801" ht="15.75" customHeight="1">
      <c r="AH801" s="43"/>
      <c r="AI801" s="43"/>
    </row>
    <row r="802" ht="15.75" customHeight="1">
      <c r="AH802" s="43"/>
      <c r="AI802" s="43"/>
    </row>
    <row r="803" ht="15.75" customHeight="1">
      <c r="AH803" s="43"/>
      <c r="AI803" s="43"/>
    </row>
    <row r="804" ht="15.75" customHeight="1">
      <c r="AH804" s="43"/>
      <c r="AI804" s="43"/>
    </row>
    <row r="805" ht="15.75" customHeight="1">
      <c r="AH805" s="43"/>
      <c r="AI805" s="43"/>
    </row>
    <row r="806" ht="15.75" customHeight="1">
      <c r="AH806" s="43"/>
      <c r="AI806" s="43"/>
    </row>
    <row r="807" ht="15.75" customHeight="1">
      <c r="AH807" s="43"/>
      <c r="AI807" s="43"/>
    </row>
    <row r="808" ht="15.75" customHeight="1">
      <c r="AH808" s="43"/>
      <c r="AI808" s="43"/>
    </row>
    <row r="809" ht="15.75" customHeight="1">
      <c r="AH809" s="43"/>
      <c r="AI809" s="43"/>
    </row>
    <row r="810" ht="15.75" customHeight="1">
      <c r="AH810" s="43"/>
      <c r="AI810" s="43"/>
    </row>
    <row r="811" ht="15.75" customHeight="1">
      <c r="AH811" s="43"/>
      <c r="AI811" s="43"/>
    </row>
    <row r="812" ht="15.75" customHeight="1">
      <c r="AH812" s="43"/>
      <c r="AI812" s="43"/>
    </row>
    <row r="813" ht="15.75" customHeight="1">
      <c r="AH813" s="43"/>
      <c r="AI813" s="43"/>
    </row>
    <row r="814" ht="15.75" customHeight="1">
      <c r="AH814" s="43"/>
      <c r="AI814" s="43"/>
    </row>
    <row r="815" ht="15.75" customHeight="1">
      <c r="AH815" s="43"/>
      <c r="AI815" s="43"/>
    </row>
    <row r="816" ht="15.75" customHeight="1">
      <c r="AH816" s="43"/>
      <c r="AI816" s="43"/>
    </row>
    <row r="817" ht="15.75" customHeight="1">
      <c r="AH817" s="43"/>
      <c r="AI817" s="43"/>
    </row>
    <row r="818" ht="15.75" customHeight="1">
      <c r="AH818" s="43"/>
      <c r="AI818" s="43"/>
    </row>
    <row r="819" ht="15.75" customHeight="1">
      <c r="AH819" s="43"/>
      <c r="AI819" s="43"/>
    </row>
    <row r="820" ht="15.75" customHeight="1">
      <c r="AH820" s="43"/>
      <c r="AI820" s="43"/>
    </row>
    <row r="821" ht="15.75" customHeight="1">
      <c r="AH821" s="43"/>
      <c r="AI821" s="43"/>
    </row>
    <row r="822" ht="15.75" customHeight="1">
      <c r="AH822" s="43"/>
      <c r="AI822" s="43"/>
    </row>
    <row r="823" ht="15.75" customHeight="1">
      <c r="AH823" s="43"/>
      <c r="AI823" s="43"/>
    </row>
    <row r="824" ht="15.75" customHeight="1">
      <c r="AH824" s="43"/>
      <c r="AI824" s="43"/>
    </row>
    <row r="825" ht="15.75" customHeight="1">
      <c r="AH825" s="43"/>
      <c r="AI825" s="43"/>
    </row>
    <row r="826" ht="15.75" customHeight="1">
      <c r="AH826" s="43"/>
      <c r="AI826" s="43"/>
    </row>
    <row r="827" ht="15.75" customHeight="1">
      <c r="AH827" s="43"/>
      <c r="AI827" s="43"/>
    </row>
    <row r="828" ht="15.75" customHeight="1">
      <c r="AH828" s="43"/>
      <c r="AI828" s="43"/>
    </row>
    <row r="829" ht="15.75" customHeight="1">
      <c r="AH829" s="43"/>
      <c r="AI829" s="43"/>
    </row>
    <row r="830" ht="15.75" customHeight="1">
      <c r="AH830" s="43"/>
      <c r="AI830" s="43"/>
    </row>
    <row r="831" ht="15.75" customHeight="1">
      <c r="AH831" s="43"/>
      <c r="AI831" s="43"/>
    </row>
    <row r="832" ht="15.75" customHeight="1">
      <c r="AH832" s="43"/>
      <c r="AI832" s="43"/>
    </row>
    <row r="833" ht="15.75" customHeight="1">
      <c r="AH833" s="43"/>
      <c r="AI833" s="43"/>
    </row>
    <row r="834" ht="15.75" customHeight="1">
      <c r="AH834" s="43"/>
      <c r="AI834" s="43"/>
    </row>
    <row r="835" ht="15.75" customHeight="1">
      <c r="AH835" s="43"/>
      <c r="AI835" s="43"/>
    </row>
    <row r="836" ht="15.75" customHeight="1">
      <c r="AH836" s="43"/>
      <c r="AI836" s="43"/>
    </row>
    <row r="837" ht="15.75" customHeight="1">
      <c r="AH837" s="43"/>
      <c r="AI837" s="43"/>
    </row>
    <row r="838" ht="15.75" customHeight="1">
      <c r="AH838" s="43"/>
      <c r="AI838" s="43"/>
    </row>
    <row r="839" ht="15.75" customHeight="1">
      <c r="AH839" s="43"/>
      <c r="AI839" s="43"/>
    </row>
    <row r="840" ht="15.75" customHeight="1">
      <c r="AH840" s="43"/>
      <c r="AI840" s="43"/>
    </row>
    <row r="841" ht="15.75" customHeight="1">
      <c r="AH841" s="43"/>
      <c r="AI841" s="43"/>
    </row>
    <row r="842" ht="15.75" customHeight="1">
      <c r="AH842" s="43"/>
      <c r="AI842" s="43"/>
    </row>
    <row r="843" ht="15.75" customHeight="1">
      <c r="AH843" s="43"/>
      <c r="AI843" s="43"/>
    </row>
    <row r="844" ht="15.75" customHeight="1">
      <c r="AH844" s="43"/>
      <c r="AI844" s="43"/>
    </row>
    <row r="845" ht="15.75" customHeight="1">
      <c r="AH845" s="43"/>
      <c r="AI845" s="43"/>
    </row>
    <row r="846" ht="15.75" customHeight="1">
      <c r="AH846" s="43"/>
      <c r="AI846" s="43"/>
    </row>
    <row r="847" ht="15.75" customHeight="1">
      <c r="AH847" s="43"/>
      <c r="AI847" s="43"/>
    </row>
    <row r="848" ht="15.75" customHeight="1">
      <c r="AH848" s="43"/>
      <c r="AI848" s="43"/>
    </row>
    <row r="849" ht="15.75" customHeight="1">
      <c r="AH849" s="43"/>
      <c r="AI849" s="43"/>
    </row>
    <row r="850" ht="15.75" customHeight="1">
      <c r="AH850" s="43"/>
      <c r="AI850" s="43"/>
    </row>
    <row r="851" ht="15.75" customHeight="1">
      <c r="AH851" s="43"/>
      <c r="AI851" s="43"/>
    </row>
    <row r="852" ht="15.75" customHeight="1">
      <c r="AH852" s="43"/>
      <c r="AI852" s="43"/>
    </row>
    <row r="853" ht="15.75" customHeight="1">
      <c r="AH853" s="43"/>
      <c r="AI853" s="43"/>
    </row>
    <row r="854" ht="15.75" customHeight="1">
      <c r="AH854" s="43"/>
      <c r="AI854" s="43"/>
    </row>
    <row r="855" ht="15.75" customHeight="1">
      <c r="AH855" s="43"/>
      <c r="AI855" s="43"/>
    </row>
    <row r="856" ht="15.75" customHeight="1">
      <c r="AH856" s="43"/>
      <c r="AI856" s="43"/>
    </row>
    <row r="857" ht="15.75" customHeight="1">
      <c r="AH857" s="43"/>
      <c r="AI857" s="43"/>
    </row>
    <row r="858" ht="15.75" customHeight="1">
      <c r="AH858" s="43"/>
      <c r="AI858" s="43"/>
    </row>
    <row r="859" ht="15.75" customHeight="1">
      <c r="AH859" s="43"/>
      <c r="AI859" s="43"/>
    </row>
    <row r="860" ht="15.75" customHeight="1">
      <c r="AH860" s="43"/>
      <c r="AI860" s="43"/>
    </row>
    <row r="861" ht="15.75" customHeight="1">
      <c r="AH861" s="43"/>
      <c r="AI861" s="43"/>
    </row>
    <row r="862" ht="15.75" customHeight="1">
      <c r="AH862" s="43"/>
      <c r="AI862" s="43"/>
    </row>
    <row r="863" ht="15.75" customHeight="1">
      <c r="AH863" s="43"/>
      <c r="AI863" s="43"/>
    </row>
    <row r="864" ht="15.75" customHeight="1">
      <c r="AH864" s="43"/>
      <c r="AI864" s="43"/>
    </row>
    <row r="865" ht="15.75" customHeight="1">
      <c r="AH865" s="43"/>
      <c r="AI865" s="43"/>
    </row>
    <row r="866" ht="15.75" customHeight="1">
      <c r="AH866" s="43"/>
      <c r="AI866" s="43"/>
    </row>
    <row r="867" ht="15.75" customHeight="1">
      <c r="AH867" s="43"/>
      <c r="AI867" s="43"/>
    </row>
    <row r="868" ht="15.75" customHeight="1">
      <c r="AH868" s="43"/>
      <c r="AI868" s="43"/>
    </row>
    <row r="869" ht="15.75" customHeight="1">
      <c r="AH869" s="43"/>
      <c r="AI869" s="43"/>
    </row>
    <row r="870" ht="15.75" customHeight="1">
      <c r="AH870" s="43"/>
      <c r="AI870" s="43"/>
    </row>
    <row r="871" ht="15.75" customHeight="1">
      <c r="AH871" s="43"/>
      <c r="AI871" s="43"/>
    </row>
    <row r="872" ht="15.75" customHeight="1">
      <c r="AH872" s="43"/>
      <c r="AI872" s="43"/>
    </row>
    <row r="873" ht="15.75" customHeight="1">
      <c r="AH873" s="43"/>
      <c r="AI873" s="43"/>
    </row>
    <row r="874" ht="15.75" customHeight="1">
      <c r="AH874" s="43"/>
      <c r="AI874" s="43"/>
    </row>
    <row r="875" ht="15.75" customHeight="1">
      <c r="AH875" s="43"/>
      <c r="AI875" s="43"/>
    </row>
    <row r="876" ht="15.75" customHeight="1">
      <c r="AH876" s="43"/>
      <c r="AI876" s="43"/>
    </row>
    <row r="877" ht="15.75" customHeight="1">
      <c r="AH877" s="43"/>
      <c r="AI877" s="43"/>
    </row>
    <row r="878" ht="15.75" customHeight="1">
      <c r="AH878" s="43"/>
      <c r="AI878" s="43"/>
    </row>
    <row r="879" ht="15.75" customHeight="1">
      <c r="AH879" s="43"/>
      <c r="AI879" s="43"/>
    </row>
    <row r="880" ht="15.75" customHeight="1">
      <c r="AH880" s="43"/>
      <c r="AI880" s="43"/>
    </row>
    <row r="881" ht="15.75" customHeight="1">
      <c r="AH881" s="43"/>
      <c r="AI881" s="43"/>
    </row>
    <row r="882" ht="15.75" customHeight="1">
      <c r="AH882" s="43"/>
      <c r="AI882" s="43"/>
    </row>
    <row r="883" ht="15.75" customHeight="1">
      <c r="AH883" s="43"/>
      <c r="AI883" s="43"/>
    </row>
    <row r="884" ht="15.75" customHeight="1">
      <c r="AH884" s="43"/>
      <c r="AI884" s="43"/>
    </row>
    <row r="885" ht="15.75" customHeight="1">
      <c r="AH885" s="43"/>
      <c r="AI885" s="43"/>
    </row>
    <row r="886" ht="15.75" customHeight="1">
      <c r="AH886" s="43"/>
      <c r="AI886" s="43"/>
    </row>
    <row r="887" ht="15.75" customHeight="1">
      <c r="AH887" s="43"/>
      <c r="AI887" s="43"/>
    </row>
    <row r="888" ht="15.75" customHeight="1">
      <c r="AH888" s="43"/>
      <c r="AI888" s="43"/>
    </row>
    <row r="889" ht="15.75" customHeight="1">
      <c r="AH889" s="43"/>
      <c r="AI889" s="43"/>
    </row>
    <row r="890" ht="15.75" customHeight="1">
      <c r="AH890" s="43"/>
      <c r="AI890" s="43"/>
    </row>
    <row r="891" ht="15.75" customHeight="1">
      <c r="AH891" s="43"/>
      <c r="AI891" s="43"/>
    </row>
    <row r="892" ht="15.75" customHeight="1">
      <c r="AH892" s="43"/>
      <c r="AI892" s="43"/>
    </row>
    <row r="893" ht="15.75" customHeight="1">
      <c r="AH893" s="43"/>
      <c r="AI893" s="43"/>
    </row>
    <row r="894" ht="15.75" customHeight="1">
      <c r="AH894" s="43"/>
      <c r="AI894" s="43"/>
    </row>
    <row r="895" ht="15.75" customHeight="1">
      <c r="AH895" s="43"/>
      <c r="AI895" s="43"/>
    </row>
    <row r="896" ht="15.75" customHeight="1">
      <c r="AH896" s="43"/>
      <c r="AI896" s="43"/>
    </row>
    <row r="897" ht="15.75" customHeight="1">
      <c r="AH897" s="43"/>
      <c r="AI897" s="43"/>
    </row>
    <row r="898" ht="15.75" customHeight="1">
      <c r="AH898" s="43"/>
      <c r="AI898" s="43"/>
    </row>
    <row r="899" ht="15.75" customHeight="1">
      <c r="AH899" s="43"/>
      <c r="AI899" s="43"/>
    </row>
    <row r="900" ht="15.75" customHeight="1">
      <c r="AH900" s="43"/>
      <c r="AI900" s="43"/>
    </row>
    <row r="901" ht="15.75" customHeight="1">
      <c r="AH901" s="43"/>
      <c r="AI901" s="43"/>
    </row>
    <row r="902" ht="15.75" customHeight="1">
      <c r="AH902" s="43"/>
      <c r="AI902" s="43"/>
    </row>
    <row r="903" ht="15.75" customHeight="1">
      <c r="AH903" s="43"/>
      <c r="AI903" s="43"/>
    </row>
    <row r="904" ht="15.75" customHeight="1">
      <c r="AH904" s="43"/>
      <c r="AI904" s="43"/>
    </row>
    <row r="905" ht="15.75" customHeight="1">
      <c r="AH905" s="43"/>
      <c r="AI905" s="43"/>
    </row>
    <row r="906" ht="15.75" customHeight="1">
      <c r="AH906" s="43"/>
      <c r="AI906" s="43"/>
    </row>
    <row r="907" ht="15.75" customHeight="1">
      <c r="AH907" s="43"/>
      <c r="AI907" s="43"/>
    </row>
    <row r="908" ht="15.75" customHeight="1">
      <c r="AH908" s="43"/>
      <c r="AI908" s="43"/>
    </row>
    <row r="909" ht="15.75" customHeight="1">
      <c r="AH909" s="43"/>
      <c r="AI909" s="43"/>
    </row>
    <row r="910" ht="15.75" customHeight="1">
      <c r="AH910" s="43"/>
      <c r="AI910" s="43"/>
    </row>
    <row r="911" ht="15.75" customHeight="1">
      <c r="AH911" s="43"/>
      <c r="AI911" s="43"/>
    </row>
    <row r="912" ht="15.75" customHeight="1">
      <c r="AH912" s="43"/>
      <c r="AI912" s="43"/>
    </row>
    <row r="913" ht="15.75" customHeight="1">
      <c r="AH913" s="43"/>
      <c r="AI913" s="43"/>
    </row>
    <row r="914" ht="15.75" customHeight="1">
      <c r="AH914" s="43"/>
      <c r="AI914" s="43"/>
    </row>
    <row r="915" ht="15.75" customHeight="1">
      <c r="AH915" s="43"/>
      <c r="AI915" s="43"/>
    </row>
    <row r="916" ht="15.75" customHeight="1">
      <c r="AH916" s="43"/>
      <c r="AI916" s="43"/>
    </row>
    <row r="917" ht="15.75" customHeight="1">
      <c r="AH917" s="43"/>
      <c r="AI917" s="43"/>
    </row>
    <row r="918" ht="15.75" customHeight="1">
      <c r="AH918" s="43"/>
      <c r="AI918" s="43"/>
    </row>
    <row r="919" ht="15.75" customHeight="1">
      <c r="AH919" s="43"/>
      <c r="AI919" s="43"/>
    </row>
    <row r="920" ht="15.75" customHeight="1">
      <c r="AH920" s="43"/>
      <c r="AI920" s="43"/>
    </row>
    <row r="921" ht="15.75" customHeight="1">
      <c r="AH921" s="43"/>
      <c r="AI921" s="43"/>
    </row>
    <row r="922" ht="15.75" customHeight="1">
      <c r="AH922" s="43"/>
      <c r="AI922" s="43"/>
    </row>
    <row r="923" ht="15.75" customHeight="1">
      <c r="AH923" s="43"/>
      <c r="AI923" s="43"/>
    </row>
    <row r="924" ht="15.75" customHeight="1">
      <c r="AH924" s="43"/>
      <c r="AI924" s="43"/>
    </row>
    <row r="925" ht="15.75" customHeight="1">
      <c r="AH925" s="43"/>
      <c r="AI925" s="43"/>
    </row>
    <row r="926" ht="15.75" customHeight="1">
      <c r="AH926" s="43"/>
      <c r="AI926" s="43"/>
    </row>
    <row r="927" ht="15.75" customHeight="1">
      <c r="AH927" s="43"/>
      <c r="AI927" s="43"/>
    </row>
    <row r="928" ht="15.75" customHeight="1">
      <c r="AH928" s="43"/>
      <c r="AI928" s="43"/>
    </row>
    <row r="929" ht="15.75" customHeight="1">
      <c r="AH929" s="43"/>
      <c r="AI929" s="43"/>
    </row>
    <row r="930" ht="15.75" customHeight="1">
      <c r="AH930" s="43"/>
      <c r="AI930" s="43"/>
    </row>
    <row r="931" ht="15.75" customHeight="1">
      <c r="AH931" s="43"/>
      <c r="AI931" s="43"/>
    </row>
    <row r="932" ht="15.75" customHeight="1">
      <c r="AH932" s="43"/>
      <c r="AI932" s="43"/>
    </row>
    <row r="933" ht="15.75" customHeight="1">
      <c r="AH933" s="43"/>
      <c r="AI933" s="43"/>
    </row>
    <row r="934" ht="15.75" customHeight="1">
      <c r="AH934" s="43"/>
      <c r="AI934" s="43"/>
    </row>
    <row r="935" ht="15.75" customHeight="1">
      <c r="AH935" s="43"/>
      <c r="AI935" s="43"/>
    </row>
    <row r="936" ht="15.75" customHeight="1">
      <c r="AH936" s="43"/>
      <c r="AI936" s="43"/>
    </row>
    <row r="937" ht="15.75" customHeight="1">
      <c r="AH937" s="43"/>
      <c r="AI937" s="43"/>
    </row>
    <row r="938" ht="15.75" customHeight="1">
      <c r="AH938" s="43"/>
      <c r="AI938" s="43"/>
    </row>
    <row r="939" ht="15.75" customHeight="1">
      <c r="AH939" s="43"/>
      <c r="AI939" s="43"/>
    </row>
    <row r="940" ht="15.75" customHeight="1">
      <c r="AH940" s="43"/>
      <c r="AI940" s="43"/>
    </row>
    <row r="941" ht="15.75" customHeight="1">
      <c r="AH941" s="43"/>
      <c r="AI941" s="43"/>
    </row>
    <row r="942" ht="15.75" customHeight="1">
      <c r="AH942" s="43"/>
      <c r="AI942" s="43"/>
    </row>
    <row r="943" ht="15.75" customHeight="1">
      <c r="AH943" s="43"/>
      <c r="AI943" s="43"/>
    </row>
    <row r="944" ht="15.75" customHeight="1">
      <c r="AH944" s="43"/>
      <c r="AI944" s="43"/>
    </row>
    <row r="945" ht="15.75" customHeight="1">
      <c r="AH945" s="43"/>
      <c r="AI945" s="43"/>
    </row>
    <row r="946" ht="15.75" customHeight="1">
      <c r="AH946" s="43"/>
      <c r="AI946" s="43"/>
    </row>
    <row r="947" ht="15.75" customHeight="1">
      <c r="AH947" s="43"/>
      <c r="AI947" s="43"/>
    </row>
    <row r="948" ht="15.75" customHeight="1">
      <c r="AH948" s="43"/>
      <c r="AI948" s="43"/>
    </row>
    <row r="949" ht="15.75" customHeight="1">
      <c r="AH949" s="43"/>
      <c r="AI949" s="43"/>
    </row>
    <row r="950" ht="15.75" customHeight="1">
      <c r="AH950" s="43"/>
      <c r="AI950" s="43"/>
    </row>
    <row r="951" ht="15.75" customHeight="1">
      <c r="AH951" s="43"/>
      <c r="AI951" s="43"/>
    </row>
    <row r="952" ht="15.75" customHeight="1">
      <c r="AH952" s="43"/>
      <c r="AI952" s="43"/>
    </row>
    <row r="953" ht="15.75" customHeight="1">
      <c r="AH953" s="43"/>
      <c r="AI953" s="43"/>
    </row>
    <row r="954" ht="15.75" customHeight="1">
      <c r="AH954" s="43"/>
      <c r="AI954" s="43"/>
    </row>
    <row r="955" ht="15.75" customHeight="1">
      <c r="AH955" s="43"/>
      <c r="AI955" s="43"/>
    </row>
    <row r="956" ht="15.75" customHeight="1">
      <c r="AH956" s="43"/>
      <c r="AI956" s="43"/>
    </row>
    <row r="957" ht="15.75" customHeight="1">
      <c r="AH957" s="43"/>
      <c r="AI957" s="43"/>
    </row>
    <row r="958" ht="15.75" customHeight="1">
      <c r="AH958" s="43"/>
      <c r="AI958" s="43"/>
    </row>
    <row r="959" ht="15.75" customHeight="1">
      <c r="AH959" s="43"/>
      <c r="AI959" s="43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1" t="s">
        <v>0</v>
      </c>
      <c r="B1" s="1" t="s">
        <v>1</v>
      </c>
      <c r="C1" s="1" t="s">
        <v>2056</v>
      </c>
      <c r="D1" s="1" t="s">
        <v>2057</v>
      </c>
      <c r="E1" s="1" t="s">
        <v>7</v>
      </c>
    </row>
    <row r="2" ht="15.75" customHeight="1">
      <c r="A2" s="11">
        <v>1588.0</v>
      </c>
      <c r="B2" s="11" t="s">
        <v>42</v>
      </c>
      <c r="C2" s="95" t="s">
        <v>2058</v>
      </c>
      <c r="D2" s="15" t="s">
        <v>2059</v>
      </c>
      <c r="E2" s="11">
        <v>0.0</v>
      </c>
    </row>
    <row r="3" ht="15.75" customHeight="1">
      <c r="A3" s="11">
        <v>1588.0</v>
      </c>
      <c r="B3" s="11" t="s">
        <v>42</v>
      </c>
      <c r="C3" s="96" t="s">
        <v>2060</v>
      </c>
      <c r="D3" s="15" t="s">
        <v>2061</v>
      </c>
      <c r="E3" s="21">
        <v>0.0</v>
      </c>
    </row>
    <row r="4" ht="15.75" customHeight="1">
      <c r="A4" s="11">
        <v>1588.0</v>
      </c>
      <c r="B4" s="11" t="s">
        <v>42</v>
      </c>
      <c r="C4" s="96" t="s">
        <v>2062</v>
      </c>
      <c r="D4" s="15" t="s">
        <v>2063</v>
      </c>
      <c r="E4" s="21">
        <v>0.0</v>
      </c>
    </row>
    <row r="5" ht="15.75" customHeight="1">
      <c r="E5" s="97"/>
    </row>
    <row r="6" ht="15.75" customHeight="1">
      <c r="E6" s="97"/>
    </row>
    <row r="7" ht="15.75" customHeight="1">
      <c r="E7" s="97"/>
    </row>
    <row r="8" ht="15.75" customHeight="1">
      <c r="E8" s="97"/>
    </row>
    <row r="9" ht="15.75" customHeight="1">
      <c r="E9" s="97"/>
    </row>
    <row r="10" ht="15.75" customHeight="1">
      <c r="E10" s="97"/>
    </row>
    <row r="11" ht="15.75" customHeight="1">
      <c r="E11" s="97"/>
    </row>
    <row r="12" ht="15.75" customHeight="1">
      <c r="E12" s="97"/>
    </row>
    <row r="13" ht="15.75" customHeight="1">
      <c r="E13" s="97"/>
    </row>
    <row r="14" ht="15.75" customHeight="1">
      <c r="E14" s="97"/>
    </row>
    <row r="15" ht="15.75" customHeight="1">
      <c r="E15" s="97"/>
    </row>
    <row r="16" ht="15.75" customHeight="1">
      <c r="E16" s="97"/>
    </row>
    <row r="17" ht="15.75" customHeight="1">
      <c r="E17" s="97"/>
    </row>
    <row r="18" ht="15.75" customHeight="1">
      <c r="E18" s="97"/>
    </row>
    <row r="19" ht="15.75" customHeight="1">
      <c r="E19" s="97"/>
    </row>
    <row r="20" ht="15.75" customHeight="1">
      <c r="E20" s="97"/>
    </row>
    <row r="21" ht="15.75" customHeight="1">
      <c r="E21" s="97"/>
    </row>
    <row r="22" ht="15.75" customHeight="1">
      <c r="E22" s="97"/>
    </row>
    <row r="23" ht="15.75" customHeight="1">
      <c r="E23" s="97"/>
    </row>
    <row r="24" ht="15.75" customHeight="1">
      <c r="E24" s="97"/>
    </row>
    <row r="25" ht="15.75" customHeight="1">
      <c r="E25" s="97"/>
    </row>
    <row r="26" ht="15.75" customHeight="1">
      <c r="E26" s="97"/>
    </row>
    <row r="27" ht="15.75" customHeight="1">
      <c r="E27" s="97"/>
    </row>
    <row r="28" ht="15.75" customHeight="1">
      <c r="E28" s="97"/>
    </row>
    <row r="29" ht="15.75" customHeight="1">
      <c r="E29" s="97"/>
    </row>
    <row r="30" ht="15.75" customHeight="1">
      <c r="E30" s="97"/>
    </row>
    <row r="31" ht="15.75" customHeight="1">
      <c r="E31" s="97"/>
    </row>
    <row r="32" ht="15.75" customHeight="1">
      <c r="E32" s="97"/>
    </row>
    <row r="33" ht="15.75" customHeight="1">
      <c r="E33" s="97"/>
    </row>
    <row r="34" ht="15.75" customHeight="1">
      <c r="E34" s="97"/>
    </row>
    <row r="35" ht="15.75" customHeight="1">
      <c r="E35" s="97"/>
    </row>
    <row r="36" ht="15.75" customHeight="1">
      <c r="E36" s="97"/>
    </row>
    <row r="37" ht="15.75" customHeight="1">
      <c r="E37" s="97"/>
    </row>
    <row r="38" ht="15.75" customHeight="1">
      <c r="E38" s="97"/>
    </row>
    <row r="39" ht="15.75" customHeight="1">
      <c r="E39" s="97"/>
    </row>
    <row r="40" ht="15.75" customHeight="1">
      <c r="E40" s="97"/>
    </row>
    <row r="41" ht="15.75" customHeight="1">
      <c r="E41" s="97"/>
    </row>
    <row r="42" ht="15.75" customHeight="1">
      <c r="E42" s="97"/>
    </row>
    <row r="43" ht="15.75" customHeight="1">
      <c r="E43" s="97"/>
    </row>
    <row r="44" ht="15.75" customHeight="1">
      <c r="E44" s="97"/>
    </row>
    <row r="45" ht="15.75" customHeight="1">
      <c r="E45" s="97"/>
    </row>
    <row r="46" ht="15.75" customHeight="1">
      <c r="E46" s="97"/>
    </row>
    <row r="47" ht="15.75" customHeight="1">
      <c r="E47" s="97"/>
    </row>
    <row r="48" ht="15.75" customHeight="1">
      <c r="E48" s="97"/>
    </row>
    <row r="49" ht="15.75" customHeight="1">
      <c r="E49" s="97"/>
    </row>
    <row r="50" ht="15.75" customHeight="1">
      <c r="E50" s="97"/>
    </row>
    <row r="51" ht="15.75" customHeight="1">
      <c r="E51" s="97"/>
    </row>
    <row r="52" ht="15.75" customHeight="1">
      <c r="E52" s="97"/>
    </row>
    <row r="53" ht="15.75" customHeight="1">
      <c r="E53" s="97"/>
    </row>
    <row r="54" ht="15.75" customHeight="1">
      <c r="E54" s="97"/>
    </row>
    <row r="55" ht="15.75" customHeight="1">
      <c r="E55" s="97"/>
    </row>
    <row r="56" ht="15.75" customHeight="1">
      <c r="E56" s="97"/>
    </row>
    <row r="57" ht="15.75" customHeight="1">
      <c r="E57" s="97"/>
    </row>
    <row r="58" ht="15.75" customHeight="1">
      <c r="E58" s="97"/>
    </row>
    <row r="59" ht="15.75" customHeight="1">
      <c r="E59" s="97"/>
    </row>
    <row r="60" ht="15.75" customHeight="1">
      <c r="E60" s="97"/>
    </row>
    <row r="61" ht="15.75" customHeight="1">
      <c r="E61" s="97"/>
    </row>
    <row r="62" ht="15.75" customHeight="1">
      <c r="E62" s="97"/>
    </row>
    <row r="63" ht="15.75" customHeight="1">
      <c r="E63" s="97"/>
    </row>
    <row r="64" ht="15.75" customHeight="1">
      <c r="E64" s="97"/>
    </row>
    <row r="65" ht="15.75" customHeight="1">
      <c r="E65" s="97"/>
    </row>
    <row r="66" ht="15.75" customHeight="1">
      <c r="E66" s="97"/>
    </row>
    <row r="67" ht="15.75" customHeight="1">
      <c r="E67" s="97"/>
    </row>
    <row r="68" ht="15.75" customHeight="1">
      <c r="E68" s="97"/>
    </row>
    <row r="69" ht="15.75" customHeight="1">
      <c r="E69" s="97"/>
    </row>
    <row r="70" ht="15.75" customHeight="1">
      <c r="E70" s="97"/>
    </row>
    <row r="71" ht="15.75" customHeight="1">
      <c r="E71" s="97"/>
    </row>
    <row r="72" ht="15.75" customHeight="1">
      <c r="E72" s="97"/>
    </row>
    <row r="73" ht="15.75" customHeight="1">
      <c r="E73" s="97"/>
    </row>
    <row r="74" ht="15.75" customHeight="1">
      <c r="E74" s="97"/>
    </row>
    <row r="75" ht="15.75" customHeight="1">
      <c r="E75" s="97"/>
    </row>
    <row r="76" ht="15.75" customHeight="1">
      <c r="E76" s="97"/>
    </row>
    <row r="77" ht="15.75" customHeight="1">
      <c r="E77" s="97"/>
    </row>
    <row r="78" ht="15.75" customHeight="1">
      <c r="E78" s="97"/>
    </row>
    <row r="79" ht="15.75" customHeight="1">
      <c r="E79" s="97"/>
    </row>
    <row r="80" ht="15.75" customHeight="1">
      <c r="E80" s="97"/>
    </row>
    <row r="81" ht="15.75" customHeight="1">
      <c r="E81" s="97"/>
    </row>
    <row r="82" ht="15.75" customHeight="1">
      <c r="E82" s="97"/>
    </row>
    <row r="83" ht="15.75" customHeight="1">
      <c r="E83" s="97"/>
    </row>
    <row r="84" ht="15.75" customHeight="1">
      <c r="E84" s="97"/>
    </row>
    <row r="85" ht="15.75" customHeight="1">
      <c r="E85" s="97"/>
    </row>
    <row r="86" ht="15.75" customHeight="1">
      <c r="E86" s="97"/>
    </row>
    <row r="87" ht="15.75" customHeight="1">
      <c r="E87" s="97"/>
    </row>
    <row r="88" ht="15.75" customHeight="1">
      <c r="E88" s="97"/>
    </row>
    <row r="89" ht="15.75" customHeight="1">
      <c r="E89" s="97"/>
    </row>
    <row r="90" ht="15.75" customHeight="1">
      <c r="E90" s="97"/>
    </row>
    <row r="91" ht="15.75" customHeight="1">
      <c r="E91" s="97"/>
    </row>
    <row r="92" ht="15.75" customHeight="1">
      <c r="E92" s="97"/>
    </row>
    <row r="93" ht="15.75" customHeight="1">
      <c r="E93" s="97"/>
    </row>
    <row r="94" ht="15.75" customHeight="1">
      <c r="E94" s="97"/>
    </row>
    <row r="95" ht="15.75" customHeight="1">
      <c r="E95" s="97"/>
    </row>
    <row r="96" ht="15.75" customHeight="1">
      <c r="E96" s="97"/>
    </row>
    <row r="97" ht="15.75" customHeight="1">
      <c r="E97" s="97"/>
    </row>
    <row r="98" ht="15.75" customHeight="1">
      <c r="E98" s="97"/>
    </row>
    <row r="99" ht="15.75" customHeight="1">
      <c r="E99" s="97"/>
    </row>
    <row r="100" ht="15.75" customHeight="1">
      <c r="E100" s="97"/>
    </row>
    <row r="101" ht="15.75" customHeight="1">
      <c r="E101" s="97"/>
    </row>
    <row r="102" ht="15.75" customHeight="1">
      <c r="E102" s="97"/>
    </row>
    <row r="103" ht="15.75" customHeight="1">
      <c r="E103" s="97"/>
    </row>
    <row r="104" ht="15.75" customHeight="1">
      <c r="E104" s="97"/>
    </row>
    <row r="105" ht="15.75" customHeight="1">
      <c r="E105" s="97"/>
    </row>
    <row r="106" ht="15.75" customHeight="1">
      <c r="E106" s="97"/>
    </row>
    <row r="107" ht="15.75" customHeight="1">
      <c r="E107" s="97"/>
    </row>
    <row r="108" ht="15.75" customHeight="1">
      <c r="E108" s="97"/>
    </row>
    <row r="109" ht="15.75" customHeight="1">
      <c r="E109" s="97"/>
    </row>
    <row r="110" ht="15.75" customHeight="1">
      <c r="E110" s="97"/>
    </row>
    <row r="111" ht="15.75" customHeight="1">
      <c r="E111" s="97"/>
    </row>
    <row r="112" ht="15.75" customHeight="1">
      <c r="E112" s="97"/>
    </row>
    <row r="113" ht="15.75" customHeight="1">
      <c r="E113" s="97"/>
    </row>
    <row r="114" ht="15.75" customHeight="1">
      <c r="E114" s="97"/>
    </row>
    <row r="115" ht="15.75" customHeight="1">
      <c r="E115" s="97"/>
    </row>
    <row r="116" ht="15.75" customHeight="1">
      <c r="E116" s="97"/>
    </row>
    <row r="117" ht="15.75" customHeight="1">
      <c r="E117" s="97"/>
    </row>
    <row r="118" ht="15.75" customHeight="1">
      <c r="E118" s="97"/>
    </row>
    <row r="119" ht="15.75" customHeight="1">
      <c r="E119" s="97"/>
    </row>
    <row r="120" ht="15.75" customHeight="1">
      <c r="E120" s="97"/>
    </row>
    <row r="121" ht="15.75" customHeight="1">
      <c r="E121" s="97"/>
    </row>
    <row r="122" ht="15.75" customHeight="1">
      <c r="E122" s="97"/>
    </row>
    <row r="123" ht="15.75" customHeight="1">
      <c r="E123" s="97"/>
    </row>
    <row r="124" ht="15.75" customHeight="1">
      <c r="E124" s="97"/>
    </row>
    <row r="125" ht="15.75" customHeight="1">
      <c r="E125" s="97"/>
    </row>
    <row r="126" ht="15.75" customHeight="1">
      <c r="E126" s="97"/>
    </row>
    <row r="127" ht="15.75" customHeight="1">
      <c r="E127" s="97"/>
    </row>
    <row r="128" ht="15.75" customHeight="1">
      <c r="E128" s="97"/>
    </row>
    <row r="129" ht="15.75" customHeight="1">
      <c r="E129" s="97"/>
    </row>
    <row r="130" ht="15.75" customHeight="1">
      <c r="E130" s="97"/>
    </row>
    <row r="131" ht="15.75" customHeight="1">
      <c r="E131" s="97"/>
    </row>
    <row r="132" ht="15.75" customHeight="1">
      <c r="E132" s="97"/>
    </row>
    <row r="133" ht="15.75" customHeight="1">
      <c r="E133" s="97"/>
    </row>
    <row r="134" ht="15.75" customHeight="1">
      <c r="E134" s="97"/>
    </row>
    <row r="135" ht="15.75" customHeight="1">
      <c r="E135" s="97"/>
    </row>
    <row r="136" ht="15.75" customHeight="1">
      <c r="E136" s="97"/>
    </row>
    <row r="137" ht="15.75" customHeight="1">
      <c r="E137" s="97"/>
    </row>
    <row r="138" ht="15.75" customHeight="1">
      <c r="E138" s="97"/>
    </row>
    <row r="139" ht="15.75" customHeight="1">
      <c r="E139" s="97"/>
    </row>
    <row r="140" ht="15.75" customHeight="1">
      <c r="E140" s="97"/>
    </row>
    <row r="141" ht="15.75" customHeight="1">
      <c r="E141" s="97"/>
    </row>
    <row r="142" ht="15.75" customHeight="1">
      <c r="E142" s="97"/>
    </row>
    <row r="143" ht="15.75" customHeight="1">
      <c r="E143" s="97"/>
    </row>
    <row r="144" ht="15.75" customHeight="1">
      <c r="E144" s="97"/>
    </row>
    <row r="145" ht="15.75" customHeight="1">
      <c r="E145" s="97"/>
    </row>
    <row r="146" ht="15.75" customHeight="1">
      <c r="E146" s="97"/>
    </row>
    <row r="147" ht="15.75" customHeight="1">
      <c r="E147" s="97"/>
    </row>
    <row r="148" ht="15.75" customHeight="1">
      <c r="E148" s="97"/>
    </row>
    <row r="149" ht="15.75" customHeight="1">
      <c r="E149" s="97"/>
    </row>
    <row r="150" ht="15.75" customHeight="1">
      <c r="E150" s="97"/>
    </row>
    <row r="151" ht="15.75" customHeight="1">
      <c r="E151" s="97"/>
    </row>
    <row r="152" ht="15.75" customHeight="1">
      <c r="E152" s="97"/>
    </row>
    <row r="153" ht="15.75" customHeight="1">
      <c r="E153" s="97"/>
    </row>
    <row r="154" ht="15.75" customHeight="1">
      <c r="E154" s="97"/>
    </row>
    <row r="155" ht="15.75" customHeight="1">
      <c r="E155" s="97"/>
    </row>
    <row r="156" ht="15.75" customHeight="1">
      <c r="E156" s="97"/>
    </row>
    <row r="157" ht="15.75" customHeight="1">
      <c r="E157" s="97"/>
    </row>
    <row r="158" ht="15.75" customHeight="1">
      <c r="E158" s="97"/>
    </row>
    <row r="159" ht="15.75" customHeight="1">
      <c r="E159" s="97"/>
    </row>
    <row r="160" ht="15.75" customHeight="1">
      <c r="E160" s="97"/>
    </row>
    <row r="161" ht="15.75" customHeight="1">
      <c r="E161" s="97"/>
    </row>
    <row r="162" ht="15.75" customHeight="1">
      <c r="E162" s="97"/>
    </row>
    <row r="163" ht="15.75" customHeight="1">
      <c r="E163" s="97"/>
    </row>
    <row r="164" ht="15.75" customHeight="1">
      <c r="E164" s="97"/>
    </row>
    <row r="165" ht="15.75" customHeight="1">
      <c r="E165" s="97"/>
    </row>
    <row r="166" ht="15.75" customHeight="1">
      <c r="E166" s="97"/>
    </row>
    <row r="167" ht="15.75" customHeight="1">
      <c r="E167" s="97"/>
    </row>
    <row r="168" ht="15.75" customHeight="1">
      <c r="E168" s="97"/>
    </row>
    <row r="169" ht="15.75" customHeight="1">
      <c r="E169" s="97"/>
    </row>
    <row r="170" ht="15.75" customHeight="1">
      <c r="E170" s="97"/>
    </row>
    <row r="171" ht="15.75" customHeight="1">
      <c r="E171" s="97"/>
    </row>
    <row r="172" ht="15.75" customHeight="1">
      <c r="E172" s="97"/>
    </row>
    <row r="173" ht="15.75" customHeight="1">
      <c r="E173" s="97"/>
    </row>
    <row r="174" ht="15.75" customHeight="1">
      <c r="E174" s="97"/>
    </row>
    <row r="175" ht="15.75" customHeight="1">
      <c r="E175" s="97"/>
    </row>
    <row r="176" ht="15.75" customHeight="1">
      <c r="E176" s="97"/>
    </row>
    <row r="177" ht="15.75" customHeight="1">
      <c r="E177" s="97"/>
    </row>
    <row r="178" ht="15.75" customHeight="1">
      <c r="E178" s="97"/>
    </row>
    <row r="179" ht="15.75" customHeight="1">
      <c r="E179" s="97"/>
    </row>
    <row r="180" ht="15.75" customHeight="1">
      <c r="E180" s="97"/>
    </row>
    <row r="181" ht="15.75" customHeight="1">
      <c r="E181" s="97"/>
    </row>
    <row r="182" ht="15.75" customHeight="1">
      <c r="E182" s="97"/>
    </row>
    <row r="183" ht="15.75" customHeight="1">
      <c r="E183" s="97"/>
    </row>
    <row r="184" ht="15.75" customHeight="1">
      <c r="E184" s="97"/>
    </row>
    <row r="185" ht="15.75" customHeight="1">
      <c r="E185" s="97"/>
    </row>
    <row r="186" ht="15.75" customHeight="1">
      <c r="E186" s="97"/>
    </row>
    <row r="187" ht="15.75" customHeight="1">
      <c r="E187" s="97"/>
    </row>
    <row r="188" ht="15.75" customHeight="1">
      <c r="E188" s="97"/>
    </row>
    <row r="189" ht="15.75" customHeight="1">
      <c r="E189" s="97"/>
    </row>
    <row r="190" ht="15.75" customHeight="1">
      <c r="E190" s="97"/>
    </row>
    <row r="191" ht="15.75" customHeight="1">
      <c r="E191" s="97"/>
    </row>
    <row r="192" ht="15.75" customHeight="1">
      <c r="E192" s="97"/>
    </row>
    <row r="193" ht="15.75" customHeight="1">
      <c r="E193" s="97"/>
    </row>
    <row r="194" ht="15.75" customHeight="1">
      <c r="E194" s="97"/>
    </row>
    <row r="195" ht="15.75" customHeight="1">
      <c r="E195" s="97"/>
    </row>
    <row r="196" ht="15.75" customHeight="1">
      <c r="E196" s="97"/>
    </row>
    <row r="197" ht="15.75" customHeight="1">
      <c r="E197" s="97"/>
    </row>
    <row r="198" ht="15.75" customHeight="1">
      <c r="E198" s="97"/>
    </row>
    <row r="199" ht="15.75" customHeight="1">
      <c r="E199" s="97"/>
    </row>
    <row r="200" ht="15.75" customHeight="1">
      <c r="E200" s="97"/>
    </row>
    <row r="201" ht="15.75" customHeight="1">
      <c r="E201" s="97"/>
    </row>
    <row r="202" ht="15.75" customHeight="1">
      <c r="E202" s="97"/>
    </row>
    <row r="203" ht="15.75" customHeight="1">
      <c r="E203" s="97"/>
    </row>
    <row r="204" ht="15.75" customHeight="1">
      <c r="E204" s="97"/>
    </row>
    <row r="205" ht="15.75" customHeight="1">
      <c r="E205" s="97"/>
    </row>
    <row r="206" ht="15.75" customHeight="1">
      <c r="E206" s="97"/>
    </row>
    <row r="207" ht="15.75" customHeight="1">
      <c r="E207" s="97"/>
    </row>
    <row r="208" ht="15.75" customHeight="1">
      <c r="E208" s="97"/>
    </row>
    <row r="209" ht="15.75" customHeight="1">
      <c r="E209" s="97"/>
    </row>
    <row r="210" ht="15.75" customHeight="1">
      <c r="E210" s="97"/>
    </row>
    <row r="211" ht="15.75" customHeight="1">
      <c r="E211" s="97"/>
    </row>
    <row r="212" ht="15.75" customHeight="1">
      <c r="E212" s="97"/>
    </row>
    <row r="213" ht="15.75" customHeight="1">
      <c r="E213" s="97"/>
    </row>
    <row r="214" ht="15.75" customHeight="1">
      <c r="E214" s="97"/>
    </row>
    <row r="215" ht="15.75" customHeight="1">
      <c r="E215" s="97"/>
    </row>
    <row r="216" ht="15.75" customHeight="1">
      <c r="E216" s="97"/>
    </row>
    <row r="217" ht="15.75" customHeight="1">
      <c r="E217" s="97"/>
    </row>
    <row r="218" ht="15.75" customHeight="1">
      <c r="E218" s="97"/>
    </row>
    <row r="219" ht="15.75" customHeight="1">
      <c r="E219" s="97"/>
    </row>
    <row r="220" ht="15.75" customHeight="1">
      <c r="E220" s="97"/>
    </row>
    <row r="221" ht="15.75" customHeight="1">
      <c r="E221" s="97"/>
    </row>
    <row r="222" ht="15.75" customHeight="1">
      <c r="E222" s="97"/>
    </row>
    <row r="223" ht="15.75" customHeight="1">
      <c r="E223" s="97"/>
    </row>
    <row r="224" ht="15.75" customHeight="1">
      <c r="E224" s="97"/>
    </row>
    <row r="225" ht="15.75" customHeight="1">
      <c r="E225" s="97"/>
    </row>
    <row r="226" ht="15.75" customHeight="1">
      <c r="E226" s="97"/>
    </row>
    <row r="227" ht="15.75" customHeight="1">
      <c r="E227" s="97"/>
    </row>
    <row r="228" ht="15.75" customHeight="1">
      <c r="E228" s="97"/>
    </row>
    <row r="229" ht="15.75" customHeight="1">
      <c r="E229" s="97"/>
    </row>
    <row r="230" ht="15.75" customHeight="1">
      <c r="E230" s="97"/>
    </row>
    <row r="231" ht="15.75" customHeight="1">
      <c r="E231" s="97"/>
    </row>
    <row r="232" ht="15.75" customHeight="1">
      <c r="E232" s="97"/>
    </row>
    <row r="233" ht="15.75" customHeight="1">
      <c r="E233" s="97"/>
    </row>
    <row r="234" ht="15.75" customHeight="1">
      <c r="E234" s="97"/>
    </row>
    <row r="235" ht="15.75" customHeight="1">
      <c r="E235" s="97"/>
    </row>
    <row r="236" ht="15.75" customHeight="1">
      <c r="E236" s="97"/>
    </row>
    <row r="237" ht="15.75" customHeight="1">
      <c r="E237" s="97"/>
    </row>
    <row r="238" ht="15.75" customHeight="1">
      <c r="E238" s="97"/>
    </row>
    <row r="239" ht="15.75" customHeight="1">
      <c r="E239" s="97"/>
    </row>
    <row r="240" ht="15.75" customHeight="1">
      <c r="E240" s="97"/>
    </row>
    <row r="241" ht="15.75" customHeight="1">
      <c r="E241" s="97"/>
    </row>
    <row r="242" ht="15.75" customHeight="1">
      <c r="E242" s="97"/>
    </row>
    <row r="243" ht="15.75" customHeight="1">
      <c r="E243" s="97"/>
    </row>
    <row r="244" ht="15.75" customHeight="1">
      <c r="E244" s="97"/>
    </row>
    <row r="245" ht="15.75" customHeight="1">
      <c r="E245" s="97"/>
    </row>
    <row r="246" ht="15.75" customHeight="1">
      <c r="E246" s="97"/>
    </row>
    <row r="247" ht="15.75" customHeight="1">
      <c r="E247" s="97"/>
    </row>
    <row r="248" ht="15.75" customHeight="1">
      <c r="E248" s="97"/>
    </row>
    <row r="249" ht="15.75" customHeight="1">
      <c r="E249" s="97"/>
    </row>
    <row r="250" ht="15.75" customHeight="1">
      <c r="E250" s="97"/>
    </row>
    <row r="251" ht="15.75" customHeight="1">
      <c r="E251" s="97"/>
    </row>
    <row r="252" ht="15.75" customHeight="1">
      <c r="E252" s="97"/>
    </row>
    <row r="253" ht="15.75" customHeight="1">
      <c r="E253" s="97"/>
    </row>
    <row r="254" ht="15.75" customHeight="1">
      <c r="E254" s="97"/>
    </row>
    <row r="255" ht="15.75" customHeight="1">
      <c r="E255" s="97"/>
    </row>
    <row r="256" ht="15.75" customHeight="1">
      <c r="E256" s="97"/>
    </row>
    <row r="257" ht="15.75" customHeight="1">
      <c r="E257" s="97"/>
    </row>
    <row r="258" ht="15.75" customHeight="1">
      <c r="E258" s="97"/>
    </row>
    <row r="259" ht="15.75" customHeight="1">
      <c r="E259" s="97"/>
    </row>
    <row r="260" ht="15.75" customHeight="1">
      <c r="E260" s="97"/>
    </row>
    <row r="261" ht="15.75" customHeight="1">
      <c r="E261" s="97"/>
    </row>
    <row r="262" ht="15.75" customHeight="1">
      <c r="E262" s="97"/>
    </row>
    <row r="263" ht="15.75" customHeight="1">
      <c r="E263" s="97"/>
    </row>
    <row r="264" ht="15.75" customHeight="1">
      <c r="E264" s="97"/>
    </row>
    <row r="265" ht="15.75" customHeight="1">
      <c r="E265" s="97"/>
    </row>
    <row r="266" ht="15.75" customHeight="1">
      <c r="E266" s="97"/>
    </row>
    <row r="267" ht="15.75" customHeight="1">
      <c r="E267" s="97"/>
    </row>
    <row r="268" ht="15.75" customHeight="1">
      <c r="E268" s="97"/>
    </row>
    <row r="269" ht="15.75" customHeight="1">
      <c r="E269" s="97"/>
    </row>
    <row r="270" ht="15.75" customHeight="1">
      <c r="E270" s="97"/>
    </row>
    <row r="271" ht="15.75" customHeight="1">
      <c r="E271" s="97"/>
    </row>
    <row r="272" ht="15.75" customHeight="1">
      <c r="E272" s="97"/>
    </row>
    <row r="273" ht="15.75" customHeight="1">
      <c r="E273" s="97"/>
    </row>
    <row r="274" ht="15.75" customHeight="1">
      <c r="E274" s="97"/>
    </row>
    <row r="275" ht="15.75" customHeight="1">
      <c r="E275" s="97"/>
    </row>
    <row r="276" ht="15.75" customHeight="1">
      <c r="E276" s="97"/>
    </row>
    <row r="277" ht="15.75" customHeight="1">
      <c r="E277" s="97"/>
    </row>
    <row r="278" ht="15.75" customHeight="1">
      <c r="E278" s="97"/>
    </row>
    <row r="279" ht="15.75" customHeight="1">
      <c r="E279" s="97"/>
    </row>
    <row r="280" ht="15.75" customHeight="1">
      <c r="E280" s="97"/>
    </row>
    <row r="281" ht="15.75" customHeight="1">
      <c r="E281" s="97"/>
    </row>
    <row r="282" ht="15.75" customHeight="1">
      <c r="E282" s="97"/>
    </row>
    <row r="283" ht="15.75" customHeight="1">
      <c r="E283" s="97"/>
    </row>
    <row r="284" ht="15.75" customHeight="1">
      <c r="E284" s="97"/>
    </row>
    <row r="285" ht="15.75" customHeight="1">
      <c r="E285" s="97"/>
    </row>
    <row r="286" ht="15.75" customHeight="1">
      <c r="E286" s="97"/>
    </row>
    <row r="287" ht="15.75" customHeight="1">
      <c r="E287" s="97"/>
    </row>
    <row r="288" ht="15.75" customHeight="1">
      <c r="E288" s="97"/>
    </row>
    <row r="289" ht="15.75" customHeight="1">
      <c r="E289" s="97"/>
    </row>
    <row r="290" ht="15.75" customHeight="1">
      <c r="E290" s="97"/>
    </row>
    <row r="291" ht="15.75" customHeight="1">
      <c r="E291" s="97"/>
    </row>
    <row r="292" ht="15.75" customHeight="1">
      <c r="E292" s="97"/>
    </row>
    <row r="293" ht="15.75" customHeight="1">
      <c r="E293" s="97"/>
    </row>
    <row r="294" ht="15.75" customHeight="1">
      <c r="E294" s="97"/>
    </row>
    <row r="295" ht="15.75" customHeight="1">
      <c r="E295" s="97"/>
    </row>
    <row r="296" ht="15.75" customHeight="1">
      <c r="E296" s="97"/>
    </row>
    <row r="297" ht="15.75" customHeight="1">
      <c r="E297" s="97"/>
    </row>
    <row r="298" ht="15.75" customHeight="1">
      <c r="E298" s="97"/>
    </row>
    <row r="299" ht="15.75" customHeight="1">
      <c r="E299" s="97"/>
    </row>
    <row r="300" ht="15.75" customHeight="1">
      <c r="E300" s="97"/>
    </row>
    <row r="301" ht="15.75" customHeight="1">
      <c r="E301" s="97"/>
    </row>
    <row r="302" ht="15.75" customHeight="1">
      <c r="E302" s="97"/>
    </row>
    <row r="303" ht="15.75" customHeight="1">
      <c r="E303" s="97"/>
    </row>
    <row r="304" ht="15.75" customHeight="1">
      <c r="E304" s="97"/>
    </row>
    <row r="305" ht="15.75" customHeight="1">
      <c r="E305" s="97"/>
    </row>
    <row r="306" ht="15.75" customHeight="1">
      <c r="E306" s="97"/>
    </row>
    <row r="307" ht="15.75" customHeight="1">
      <c r="E307" s="97"/>
    </row>
    <row r="308" ht="15.75" customHeight="1">
      <c r="E308" s="97"/>
    </row>
    <row r="309" ht="15.75" customHeight="1">
      <c r="E309" s="97"/>
    </row>
    <row r="310" ht="15.75" customHeight="1">
      <c r="E310" s="97"/>
    </row>
    <row r="311" ht="15.75" customHeight="1">
      <c r="E311" s="97"/>
    </row>
    <row r="312" ht="15.75" customHeight="1">
      <c r="E312" s="97"/>
    </row>
    <row r="313" ht="15.75" customHeight="1">
      <c r="E313" s="97"/>
    </row>
    <row r="314" ht="15.75" customHeight="1">
      <c r="E314" s="97"/>
    </row>
    <row r="315" ht="15.75" customHeight="1">
      <c r="E315" s="97"/>
    </row>
    <row r="316" ht="15.75" customHeight="1">
      <c r="E316" s="97"/>
    </row>
    <row r="317" ht="15.75" customHeight="1">
      <c r="E317" s="97"/>
    </row>
    <row r="318" ht="15.75" customHeight="1">
      <c r="E318" s="97"/>
    </row>
    <row r="319" ht="15.75" customHeight="1">
      <c r="E319" s="97"/>
    </row>
    <row r="320" ht="15.75" customHeight="1">
      <c r="E320" s="97"/>
    </row>
    <row r="321" ht="15.75" customHeight="1">
      <c r="E321" s="97"/>
    </row>
    <row r="322" ht="15.75" customHeight="1">
      <c r="E322" s="97"/>
    </row>
    <row r="323" ht="15.75" customHeight="1">
      <c r="E323" s="97"/>
    </row>
    <row r="324" ht="15.75" customHeight="1">
      <c r="E324" s="97"/>
    </row>
    <row r="325" ht="15.75" customHeight="1">
      <c r="E325" s="97"/>
    </row>
    <row r="326" ht="15.75" customHeight="1">
      <c r="E326" s="97"/>
    </row>
    <row r="327" ht="15.75" customHeight="1">
      <c r="E327" s="97"/>
    </row>
    <row r="328" ht="15.75" customHeight="1">
      <c r="E328" s="97"/>
    </row>
    <row r="329" ht="15.75" customHeight="1">
      <c r="E329" s="97"/>
    </row>
    <row r="330" ht="15.75" customHeight="1">
      <c r="E330" s="97"/>
    </row>
    <row r="331" ht="15.75" customHeight="1">
      <c r="E331" s="97"/>
    </row>
    <row r="332" ht="15.75" customHeight="1">
      <c r="E332" s="97"/>
    </row>
    <row r="333" ht="15.75" customHeight="1">
      <c r="E333" s="97"/>
    </row>
    <row r="334" ht="15.75" customHeight="1">
      <c r="E334" s="97"/>
    </row>
    <row r="335" ht="15.75" customHeight="1">
      <c r="E335" s="97"/>
    </row>
    <row r="336" ht="15.75" customHeight="1">
      <c r="E336" s="97"/>
    </row>
    <row r="337" ht="15.75" customHeight="1">
      <c r="E337" s="97"/>
    </row>
    <row r="338" ht="15.75" customHeight="1">
      <c r="E338" s="97"/>
    </row>
    <row r="339" ht="15.75" customHeight="1">
      <c r="E339" s="97"/>
    </row>
    <row r="340" ht="15.75" customHeight="1">
      <c r="E340" s="97"/>
    </row>
    <row r="341" ht="15.75" customHeight="1">
      <c r="E341" s="97"/>
    </row>
    <row r="342" ht="15.75" customHeight="1">
      <c r="E342" s="97"/>
    </row>
    <row r="343" ht="15.75" customHeight="1">
      <c r="E343" s="97"/>
    </row>
    <row r="344" ht="15.75" customHeight="1">
      <c r="E344" s="97"/>
    </row>
    <row r="345" ht="15.75" customHeight="1">
      <c r="E345" s="97"/>
    </row>
    <row r="346" ht="15.75" customHeight="1">
      <c r="E346" s="97"/>
    </row>
    <row r="347" ht="15.75" customHeight="1">
      <c r="E347" s="97"/>
    </row>
    <row r="348" ht="15.75" customHeight="1">
      <c r="E348" s="97"/>
    </row>
    <row r="349" ht="15.75" customHeight="1">
      <c r="E349" s="97"/>
    </row>
    <row r="350" ht="15.75" customHeight="1">
      <c r="E350" s="97"/>
    </row>
    <row r="351" ht="15.75" customHeight="1">
      <c r="E351" s="97"/>
    </row>
    <row r="352" ht="15.75" customHeight="1">
      <c r="E352" s="97"/>
    </row>
    <row r="353" ht="15.75" customHeight="1">
      <c r="E353" s="97"/>
    </row>
    <row r="354" ht="15.75" customHeight="1">
      <c r="E354" s="97"/>
    </row>
    <row r="355" ht="15.75" customHeight="1">
      <c r="E355" s="97"/>
    </row>
    <row r="356" ht="15.75" customHeight="1">
      <c r="E356" s="97"/>
    </row>
    <row r="357" ht="15.75" customHeight="1">
      <c r="E357" s="97"/>
    </row>
    <row r="358" ht="15.75" customHeight="1">
      <c r="E358" s="97"/>
    </row>
    <row r="359" ht="15.75" customHeight="1">
      <c r="E359" s="97"/>
    </row>
    <row r="360" ht="15.75" customHeight="1">
      <c r="E360" s="97"/>
    </row>
    <row r="361" ht="15.75" customHeight="1">
      <c r="E361" s="97"/>
    </row>
    <row r="362" ht="15.75" customHeight="1">
      <c r="E362" s="97"/>
    </row>
    <row r="363" ht="15.75" customHeight="1">
      <c r="E363" s="97"/>
    </row>
    <row r="364" ht="15.75" customHeight="1">
      <c r="E364" s="97"/>
    </row>
    <row r="365" ht="15.75" customHeight="1">
      <c r="E365" s="97"/>
    </row>
    <row r="366" ht="15.75" customHeight="1">
      <c r="E366" s="97"/>
    </row>
    <row r="367" ht="15.75" customHeight="1">
      <c r="E367" s="97"/>
    </row>
    <row r="368" ht="15.75" customHeight="1">
      <c r="E368" s="97"/>
    </row>
    <row r="369" ht="15.75" customHeight="1">
      <c r="E369" s="97"/>
    </row>
    <row r="370" ht="15.75" customHeight="1">
      <c r="E370" s="97"/>
    </row>
    <row r="371" ht="15.75" customHeight="1">
      <c r="E371" s="97"/>
    </row>
    <row r="372" ht="15.75" customHeight="1">
      <c r="E372" s="97"/>
    </row>
    <row r="373" ht="15.75" customHeight="1">
      <c r="E373" s="97"/>
    </row>
    <row r="374" ht="15.75" customHeight="1">
      <c r="E374" s="97"/>
    </row>
    <row r="375" ht="15.75" customHeight="1">
      <c r="E375" s="97"/>
    </row>
    <row r="376" ht="15.75" customHeight="1">
      <c r="E376" s="97"/>
    </row>
    <row r="377" ht="15.75" customHeight="1">
      <c r="E377" s="97"/>
    </row>
    <row r="378" ht="15.75" customHeight="1">
      <c r="E378" s="97"/>
    </row>
    <row r="379" ht="15.75" customHeight="1">
      <c r="E379" s="97"/>
    </row>
    <row r="380" ht="15.75" customHeight="1">
      <c r="E380" s="97"/>
    </row>
    <row r="381" ht="15.75" customHeight="1">
      <c r="E381" s="97"/>
    </row>
    <row r="382" ht="15.75" customHeight="1">
      <c r="E382" s="97"/>
    </row>
    <row r="383" ht="15.75" customHeight="1">
      <c r="E383" s="97"/>
    </row>
    <row r="384" ht="15.75" customHeight="1">
      <c r="E384" s="97"/>
    </row>
    <row r="385" ht="15.75" customHeight="1">
      <c r="E385" s="97"/>
    </row>
    <row r="386" ht="15.75" customHeight="1">
      <c r="E386" s="97"/>
    </row>
    <row r="387" ht="15.75" customHeight="1">
      <c r="E387" s="97"/>
    </row>
    <row r="388" ht="15.75" customHeight="1">
      <c r="E388" s="97"/>
    </row>
    <row r="389" ht="15.75" customHeight="1">
      <c r="E389" s="97"/>
    </row>
    <row r="390" ht="15.75" customHeight="1">
      <c r="E390" s="97"/>
    </row>
    <row r="391" ht="15.75" customHeight="1">
      <c r="E391" s="97"/>
    </row>
    <row r="392" ht="15.75" customHeight="1">
      <c r="E392" s="97"/>
    </row>
    <row r="393" ht="15.75" customHeight="1">
      <c r="E393" s="97"/>
    </row>
    <row r="394" ht="15.75" customHeight="1">
      <c r="E394" s="97"/>
    </row>
    <row r="395" ht="15.75" customHeight="1">
      <c r="E395" s="97"/>
    </row>
    <row r="396" ht="15.75" customHeight="1">
      <c r="E396" s="97"/>
    </row>
    <row r="397" ht="15.75" customHeight="1">
      <c r="E397" s="97"/>
    </row>
    <row r="398" ht="15.75" customHeight="1">
      <c r="E398" s="97"/>
    </row>
    <row r="399" ht="15.75" customHeight="1">
      <c r="E399" s="97"/>
    </row>
    <row r="400" ht="15.75" customHeight="1">
      <c r="E400" s="97"/>
    </row>
    <row r="401" ht="15.75" customHeight="1">
      <c r="E401" s="97"/>
    </row>
    <row r="402" ht="15.75" customHeight="1">
      <c r="E402" s="97"/>
    </row>
    <row r="403" ht="15.75" customHeight="1">
      <c r="E403" s="97"/>
    </row>
    <row r="404" ht="15.75" customHeight="1">
      <c r="E404" s="97"/>
    </row>
    <row r="405" ht="15.75" customHeight="1">
      <c r="E405" s="97"/>
    </row>
    <row r="406" ht="15.75" customHeight="1">
      <c r="E406" s="97"/>
    </row>
    <row r="407" ht="15.75" customHeight="1">
      <c r="E407" s="97"/>
    </row>
    <row r="408" ht="15.75" customHeight="1">
      <c r="E408" s="97"/>
    </row>
    <row r="409" ht="15.75" customHeight="1">
      <c r="E409" s="97"/>
    </row>
    <row r="410" ht="15.75" customHeight="1">
      <c r="E410" s="97"/>
    </row>
    <row r="411" ht="15.75" customHeight="1">
      <c r="E411" s="97"/>
    </row>
    <row r="412" ht="15.75" customHeight="1">
      <c r="E412" s="97"/>
    </row>
    <row r="413" ht="15.75" customHeight="1">
      <c r="E413" s="97"/>
    </row>
    <row r="414" ht="15.75" customHeight="1">
      <c r="E414" s="97"/>
    </row>
    <row r="415" ht="15.75" customHeight="1">
      <c r="E415" s="97"/>
    </row>
    <row r="416" ht="15.75" customHeight="1">
      <c r="E416" s="97"/>
    </row>
    <row r="417" ht="15.75" customHeight="1">
      <c r="E417" s="97"/>
    </row>
    <row r="418" ht="15.75" customHeight="1">
      <c r="E418" s="97"/>
    </row>
    <row r="419" ht="15.75" customHeight="1">
      <c r="E419" s="97"/>
    </row>
    <row r="420" ht="15.75" customHeight="1">
      <c r="E420" s="97"/>
    </row>
    <row r="421" ht="15.75" customHeight="1">
      <c r="E421" s="97"/>
    </row>
    <row r="422" ht="15.75" customHeight="1">
      <c r="E422" s="97"/>
    </row>
    <row r="423" ht="15.75" customHeight="1">
      <c r="E423" s="97"/>
    </row>
    <row r="424" ht="15.75" customHeight="1">
      <c r="E424" s="97"/>
    </row>
    <row r="425" ht="15.75" customHeight="1">
      <c r="E425" s="97"/>
    </row>
    <row r="426" ht="15.75" customHeight="1">
      <c r="E426" s="97"/>
    </row>
    <row r="427" ht="15.75" customHeight="1">
      <c r="E427" s="97"/>
    </row>
    <row r="428" ht="15.75" customHeight="1">
      <c r="E428" s="97"/>
    </row>
    <row r="429" ht="15.75" customHeight="1">
      <c r="E429" s="97"/>
    </row>
    <row r="430" ht="15.75" customHeight="1">
      <c r="E430" s="97"/>
    </row>
    <row r="431" ht="15.75" customHeight="1">
      <c r="E431" s="97"/>
    </row>
    <row r="432" ht="15.75" customHeight="1">
      <c r="E432" s="97"/>
    </row>
    <row r="433" ht="15.75" customHeight="1">
      <c r="E433" s="97"/>
    </row>
    <row r="434" ht="15.75" customHeight="1">
      <c r="E434" s="97"/>
    </row>
    <row r="435" ht="15.75" customHeight="1">
      <c r="E435" s="97"/>
    </row>
    <row r="436" ht="15.75" customHeight="1">
      <c r="E436" s="97"/>
    </row>
    <row r="437" ht="15.75" customHeight="1">
      <c r="E437" s="97"/>
    </row>
    <row r="438" ht="15.75" customHeight="1">
      <c r="E438" s="97"/>
    </row>
    <row r="439" ht="15.75" customHeight="1">
      <c r="E439" s="97"/>
    </row>
    <row r="440" ht="15.75" customHeight="1">
      <c r="E440" s="97"/>
    </row>
    <row r="441" ht="15.75" customHeight="1">
      <c r="E441" s="97"/>
    </row>
    <row r="442" ht="15.75" customHeight="1">
      <c r="E442" s="97"/>
    </row>
    <row r="443" ht="15.75" customHeight="1">
      <c r="E443" s="97"/>
    </row>
    <row r="444" ht="15.75" customHeight="1">
      <c r="E444" s="97"/>
    </row>
    <row r="445" ht="15.75" customHeight="1">
      <c r="E445" s="97"/>
    </row>
    <row r="446" ht="15.75" customHeight="1">
      <c r="E446" s="97"/>
    </row>
    <row r="447" ht="15.75" customHeight="1">
      <c r="E447" s="97"/>
    </row>
    <row r="448" ht="15.75" customHeight="1">
      <c r="E448" s="97"/>
    </row>
    <row r="449" ht="15.75" customHeight="1">
      <c r="E449" s="97"/>
    </row>
    <row r="450" ht="15.75" customHeight="1">
      <c r="E450" s="97"/>
    </row>
    <row r="451" ht="15.75" customHeight="1">
      <c r="E451" s="97"/>
    </row>
    <row r="452" ht="15.75" customHeight="1">
      <c r="E452" s="97"/>
    </row>
    <row r="453" ht="15.75" customHeight="1">
      <c r="E453" s="97"/>
    </row>
    <row r="454" ht="15.75" customHeight="1">
      <c r="E454" s="97"/>
    </row>
    <row r="455" ht="15.75" customHeight="1">
      <c r="E455" s="97"/>
    </row>
    <row r="456" ht="15.75" customHeight="1">
      <c r="E456" s="97"/>
    </row>
    <row r="457" ht="15.75" customHeight="1">
      <c r="E457" s="97"/>
    </row>
    <row r="458" ht="15.75" customHeight="1">
      <c r="E458" s="97"/>
    </row>
    <row r="459" ht="15.75" customHeight="1">
      <c r="E459" s="97"/>
    </row>
    <row r="460" ht="15.75" customHeight="1">
      <c r="E460" s="97"/>
    </row>
    <row r="461" ht="15.75" customHeight="1">
      <c r="E461" s="97"/>
    </row>
    <row r="462" ht="15.75" customHeight="1">
      <c r="E462" s="97"/>
    </row>
    <row r="463" ht="15.75" customHeight="1">
      <c r="E463" s="97"/>
    </row>
    <row r="464" ht="15.75" customHeight="1">
      <c r="E464" s="97"/>
    </row>
    <row r="465" ht="15.75" customHeight="1">
      <c r="E465" s="97"/>
    </row>
    <row r="466" ht="15.75" customHeight="1">
      <c r="E466" s="97"/>
    </row>
    <row r="467" ht="15.75" customHeight="1">
      <c r="E467" s="97"/>
    </row>
    <row r="468" ht="15.75" customHeight="1">
      <c r="E468" s="97"/>
    </row>
    <row r="469" ht="15.75" customHeight="1">
      <c r="E469" s="97"/>
    </row>
    <row r="470" ht="15.75" customHeight="1">
      <c r="E470" s="97"/>
    </row>
    <row r="471" ht="15.75" customHeight="1">
      <c r="E471" s="97"/>
    </row>
    <row r="472" ht="15.75" customHeight="1">
      <c r="E472" s="97"/>
    </row>
    <row r="473" ht="15.75" customHeight="1">
      <c r="E473" s="97"/>
    </row>
    <row r="474" ht="15.75" customHeight="1">
      <c r="E474" s="97"/>
    </row>
    <row r="475" ht="15.75" customHeight="1">
      <c r="E475" s="97"/>
    </row>
    <row r="476" ht="15.75" customHeight="1">
      <c r="E476" s="97"/>
    </row>
    <row r="477" ht="15.75" customHeight="1">
      <c r="E477" s="97"/>
    </row>
    <row r="478" ht="15.75" customHeight="1">
      <c r="E478" s="97"/>
    </row>
    <row r="479" ht="15.75" customHeight="1">
      <c r="E479" s="97"/>
    </row>
    <row r="480" ht="15.75" customHeight="1">
      <c r="E480" s="97"/>
    </row>
    <row r="481" ht="15.75" customHeight="1">
      <c r="E481" s="97"/>
    </row>
    <row r="482" ht="15.75" customHeight="1">
      <c r="E482" s="97"/>
    </row>
    <row r="483" ht="15.75" customHeight="1">
      <c r="E483" s="97"/>
    </row>
    <row r="484" ht="15.75" customHeight="1">
      <c r="E484" s="97"/>
    </row>
    <row r="485" ht="15.75" customHeight="1">
      <c r="E485" s="97"/>
    </row>
    <row r="486" ht="15.75" customHeight="1">
      <c r="E486" s="97"/>
    </row>
    <row r="487" ht="15.75" customHeight="1">
      <c r="E487" s="97"/>
    </row>
    <row r="488" ht="15.75" customHeight="1">
      <c r="E488" s="97"/>
    </row>
    <row r="489" ht="15.75" customHeight="1">
      <c r="E489" s="97"/>
    </row>
    <row r="490" ht="15.75" customHeight="1">
      <c r="E490" s="97"/>
    </row>
    <row r="491" ht="15.75" customHeight="1">
      <c r="E491" s="97"/>
    </row>
    <row r="492" ht="15.75" customHeight="1">
      <c r="E492" s="97"/>
    </row>
    <row r="493" ht="15.75" customHeight="1">
      <c r="E493" s="97"/>
    </row>
    <row r="494" ht="15.75" customHeight="1">
      <c r="E494" s="97"/>
    </row>
    <row r="495" ht="15.75" customHeight="1">
      <c r="E495" s="97"/>
    </row>
    <row r="496" ht="15.75" customHeight="1">
      <c r="E496" s="97"/>
    </row>
    <row r="497" ht="15.75" customHeight="1">
      <c r="E497" s="97"/>
    </row>
    <row r="498" ht="15.75" customHeight="1">
      <c r="E498" s="97"/>
    </row>
    <row r="499" ht="15.75" customHeight="1">
      <c r="E499" s="97"/>
    </row>
    <row r="500" ht="15.75" customHeight="1">
      <c r="E500" s="97"/>
    </row>
    <row r="501" ht="15.75" customHeight="1">
      <c r="E501" s="97"/>
    </row>
    <row r="502" ht="15.75" customHeight="1">
      <c r="E502" s="97"/>
    </row>
    <row r="503" ht="15.75" customHeight="1">
      <c r="E503" s="97"/>
    </row>
    <row r="504" ht="15.75" customHeight="1">
      <c r="E504" s="97"/>
    </row>
    <row r="505" ht="15.75" customHeight="1">
      <c r="E505" s="97"/>
    </row>
    <row r="506" ht="15.75" customHeight="1">
      <c r="E506" s="97"/>
    </row>
    <row r="507" ht="15.75" customHeight="1">
      <c r="E507" s="97"/>
    </row>
    <row r="508" ht="15.75" customHeight="1">
      <c r="E508" s="97"/>
    </row>
    <row r="509" ht="15.75" customHeight="1">
      <c r="E509" s="97"/>
    </row>
    <row r="510" ht="15.75" customHeight="1">
      <c r="E510" s="97"/>
    </row>
    <row r="511" ht="15.75" customHeight="1">
      <c r="E511" s="97"/>
    </row>
    <row r="512" ht="15.75" customHeight="1">
      <c r="E512" s="97"/>
    </row>
    <row r="513" ht="15.75" customHeight="1">
      <c r="E513" s="97"/>
    </row>
    <row r="514" ht="15.75" customHeight="1">
      <c r="E514" s="97"/>
    </row>
    <row r="515" ht="15.75" customHeight="1">
      <c r="E515" s="97"/>
    </row>
    <row r="516" ht="15.75" customHeight="1">
      <c r="E516" s="97"/>
    </row>
    <row r="517" ht="15.75" customHeight="1">
      <c r="E517" s="97"/>
    </row>
    <row r="518" ht="15.75" customHeight="1">
      <c r="E518" s="97"/>
    </row>
    <row r="519" ht="15.75" customHeight="1">
      <c r="E519" s="97"/>
    </row>
    <row r="520" ht="15.75" customHeight="1">
      <c r="E520" s="97"/>
    </row>
    <row r="521" ht="15.75" customHeight="1">
      <c r="E521" s="97"/>
    </row>
    <row r="522" ht="15.75" customHeight="1">
      <c r="E522" s="97"/>
    </row>
    <row r="523" ht="15.75" customHeight="1">
      <c r="E523" s="97"/>
    </row>
    <row r="524" ht="15.75" customHeight="1">
      <c r="E524" s="97"/>
    </row>
    <row r="525" ht="15.75" customHeight="1">
      <c r="E525" s="97"/>
    </row>
    <row r="526" ht="15.75" customHeight="1">
      <c r="E526" s="97"/>
    </row>
    <row r="527" ht="15.75" customHeight="1">
      <c r="E527" s="97"/>
    </row>
    <row r="528" ht="15.75" customHeight="1">
      <c r="E528" s="97"/>
    </row>
    <row r="529" ht="15.75" customHeight="1">
      <c r="E529" s="97"/>
    </row>
    <row r="530" ht="15.75" customHeight="1">
      <c r="E530" s="97"/>
    </row>
    <row r="531" ht="15.75" customHeight="1">
      <c r="E531" s="97"/>
    </row>
    <row r="532" ht="15.75" customHeight="1">
      <c r="E532" s="97"/>
    </row>
    <row r="533" ht="15.75" customHeight="1">
      <c r="E533" s="97"/>
    </row>
    <row r="534" ht="15.75" customHeight="1">
      <c r="E534" s="97"/>
    </row>
    <row r="535" ht="15.75" customHeight="1">
      <c r="E535" s="97"/>
    </row>
    <row r="536" ht="15.75" customHeight="1">
      <c r="E536" s="97"/>
    </row>
    <row r="537" ht="15.75" customHeight="1">
      <c r="E537" s="97"/>
    </row>
    <row r="538" ht="15.75" customHeight="1">
      <c r="E538" s="97"/>
    </row>
    <row r="539" ht="15.75" customHeight="1">
      <c r="E539" s="97"/>
    </row>
    <row r="540" ht="15.75" customHeight="1">
      <c r="E540" s="97"/>
    </row>
    <row r="541" ht="15.75" customHeight="1">
      <c r="E541" s="97"/>
    </row>
    <row r="542" ht="15.75" customHeight="1">
      <c r="E542" s="97"/>
    </row>
    <row r="543" ht="15.75" customHeight="1">
      <c r="E543" s="97"/>
    </row>
    <row r="544" ht="15.75" customHeight="1">
      <c r="E544" s="97"/>
    </row>
    <row r="545" ht="15.75" customHeight="1">
      <c r="E545" s="97"/>
    </row>
    <row r="546" ht="15.75" customHeight="1">
      <c r="E546" s="97"/>
    </row>
    <row r="547" ht="15.75" customHeight="1">
      <c r="E547" s="97"/>
    </row>
    <row r="548" ht="15.75" customHeight="1">
      <c r="E548" s="97"/>
    </row>
    <row r="549" ht="15.75" customHeight="1">
      <c r="E549" s="97"/>
    </row>
    <row r="550" ht="15.75" customHeight="1">
      <c r="E550" s="97"/>
    </row>
    <row r="551" ht="15.75" customHeight="1">
      <c r="E551" s="97"/>
    </row>
    <row r="552" ht="15.75" customHeight="1">
      <c r="E552" s="97"/>
    </row>
    <row r="553" ht="15.75" customHeight="1">
      <c r="E553" s="97"/>
    </row>
    <row r="554" ht="15.75" customHeight="1">
      <c r="E554" s="97"/>
    </row>
    <row r="555" ht="15.75" customHeight="1">
      <c r="E555" s="97"/>
    </row>
    <row r="556" ht="15.75" customHeight="1">
      <c r="E556" s="97"/>
    </row>
    <row r="557" ht="15.75" customHeight="1">
      <c r="E557" s="97"/>
    </row>
    <row r="558" ht="15.75" customHeight="1">
      <c r="E558" s="97"/>
    </row>
    <row r="559" ht="15.75" customHeight="1">
      <c r="E559" s="97"/>
    </row>
    <row r="560" ht="15.75" customHeight="1">
      <c r="E560" s="97"/>
    </row>
    <row r="561" ht="15.75" customHeight="1">
      <c r="E561" s="97"/>
    </row>
    <row r="562" ht="15.75" customHeight="1">
      <c r="E562" s="97"/>
    </row>
    <row r="563" ht="15.75" customHeight="1">
      <c r="E563" s="97"/>
    </row>
    <row r="564" ht="15.75" customHeight="1">
      <c r="E564" s="97"/>
    </row>
    <row r="565" ht="15.75" customHeight="1">
      <c r="E565" s="97"/>
    </row>
    <row r="566" ht="15.75" customHeight="1">
      <c r="E566" s="97"/>
    </row>
    <row r="567" ht="15.75" customHeight="1">
      <c r="E567" s="97"/>
    </row>
    <row r="568" ht="15.75" customHeight="1">
      <c r="E568" s="97"/>
    </row>
    <row r="569" ht="15.75" customHeight="1">
      <c r="E569" s="97"/>
    </row>
    <row r="570" ht="15.75" customHeight="1">
      <c r="E570" s="97"/>
    </row>
    <row r="571" ht="15.75" customHeight="1">
      <c r="E571" s="97"/>
    </row>
    <row r="572" ht="15.75" customHeight="1">
      <c r="E572" s="97"/>
    </row>
    <row r="573" ht="15.75" customHeight="1">
      <c r="E573" s="97"/>
    </row>
    <row r="574" ht="15.75" customHeight="1">
      <c r="E574" s="97"/>
    </row>
    <row r="575" ht="15.75" customHeight="1">
      <c r="E575" s="97"/>
    </row>
    <row r="576" ht="15.75" customHeight="1">
      <c r="E576" s="97"/>
    </row>
    <row r="577" ht="15.75" customHeight="1">
      <c r="E577" s="97"/>
    </row>
    <row r="578" ht="15.75" customHeight="1">
      <c r="E578" s="97"/>
    </row>
    <row r="579" ht="15.75" customHeight="1">
      <c r="E579" s="97"/>
    </row>
    <row r="580" ht="15.75" customHeight="1">
      <c r="E580" s="97"/>
    </row>
    <row r="581" ht="15.75" customHeight="1">
      <c r="E581" s="97"/>
    </row>
    <row r="582" ht="15.75" customHeight="1">
      <c r="E582" s="97"/>
    </row>
    <row r="583" ht="15.75" customHeight="1">
      <c r="E583" s="97"/>
    </row>
    <row r="584" ht="15.75" customHeight="1">
      <c r="E584" s="97"/>
    </row>
    <row r="585" ht="15.75" customHeight="1">
      <c r="E585" s="97"/>
    </row>
    <row r="586" ht="15.75" customHeight="1">
      <c r="E586" s="97"/>
    </row>
    <row r="587" ht="15.75" customHeight="1">
      <c r="E587" s="97"/>
    </row>
    <row r="588" ht="15.75" customHeight="1">
      <c r="E588" s="97"/>
    </row>
    <row r="589" ht="15.75" customHeight="1">
      <c r="E589" s="97"/>
    </row>
    <row r="590" ht="15.75" customHeight="1">
      <c r="E590" s="97"/>
    </row>
    <row r="591" ht="15.75" customHeight="1">
      <c r="E591" s="97"/>
    </row>
    <row r="592" ht="15.75" customHeight="1">
      <c r="E592" s="97"/>
    </row>
    <row r="593" ht="15.75" customHeight="1">
      <c r="E593" s="97"/>
    </row>
    <row r="594" ht="15.75" customHeight="1">
      <c r="E594" s="97"/>
    </row>
    <row r="595" ht="15.75" customHeight="1">
      <c r="E595" s="97"/>
    </row>
    <row r="596" ht="15.75" customHeight="1">
      <c r="E596" s="97"/>
    </row>
    <row r="597" ht="15.75" customHeight="1">
      <c r="E597" s="97"/>
    </row>
    <row r="598" ht="15.75" customHeight="1">
      <c r="E598" s="97"/>
    </row>
    <row r="599" ht="15.75" customHeight="1">
      <c r="E599" s="97"/>
    </row>
    <row r="600" ht="15.75" customHeight="1">
      <c r="E600" s="97"/>
    </row>
    <row r="601" ht="15.75" customHeight="1">
      <c r="E601" s="97"/>
    </row>
    <row r="602" ht="15.75" customHeight="1">
      <c r="E602" s="97"/>
    </row>
    <row r="603" ht="15.75" customHeight="1">
      <c r="E603" s="97"/>
    </row>
    <row r="604" ht="15.75" customHeight="1">
      <c r="E604" s="97"/>
    </row>
    <row r="605" ht="15.75" customHeight="1">
      <c r="E605" s="97"/>
    </row>
    <row r="606" ht="15.75" customHeight="1">
      <c r="E606" s="97"/>
    </row>
    <row r="607" ht="15.75" customHeight="1">
      <c r="E607" s="97"/>
    </row>
    <row r="608" ht="15.75" customHeight="1">
      <c r="E608" s="97"/>
    </row>
    <row r="609" ht="15.75" customHeight="1">
      <c r="E609" s="97"/>
    </row>
    <row r="610" ht="15.75" customHeight="1">
      <c r="E610" s="97"/>
    </row>
    <row r="611" ht="15.75" customHeight="1">
      <c r="E611" s="97"/>
    </row>
    <row r="612" ht="15.75" customHeight="1">
      <c r="E612" s="97"/>
    </row>
    <row r="613" ht="15.75" customHeight="1">
      <c r="E613" s="97"/>
    </row>
    <row r="614" ht="15.75" customHeight="1">
      <c r="E614" s="97"/>
    </row>
    <row r="615" ht="15.75" customHeight="1">
      <c r="E615" s="97"/>
    </row>
    <row r="616" ht="15.75" customHeight="1">
      <c r="E616" s="97"/>
    </row>
    <row r="617" ht="15.75" customHeight="1">
      <c r="E617" s="97"/>
    </row>
    <row r="618" ht="15.75" customHeight="1">
      <c r="E618" s="97"/>
    </row>
    <row r="619" ht="15.75" customHeight="1">
      <c r="E619" s="97"/>
    </row>
    <row r="620" ht="15.75" customHeight="1">
      <c r="E620" s="97"/>
    </row>
    <row r="621" ht="15.75" customHeight="1">
      <c r="E621" s="97"/>
    </row>
    <row r="622" ht="15.75" customHeight="1">
      <c r="E622" s="97"/>
    </row>
    <row r="623" ht="15.75" customHeight="1">
      <c r="E623" s="97"/>
    </row>
    <row r="624" ht="15.75" customHeight="1">
      <c r="E624" s="97"/>
    </row>
    <row r="625" ht="15.75" customHeight="1">
      <c r="E625" s="97"/>
    </row>
    <row r="626" ht="15.75" customHeight="1">
      <c r="E626" s="97"/>
    </row>
    <row r="627" ht="15.75" customHeight="1">
      <c r="E627" s="97"/>
    </row>
    <row r="628" ht="15.75" customHeight="1">
      <c r="E628" s="97"/>
    </row>
    <row r="629" ht="15.75" customHeight="1">
      <c r="E629" s="97"/>
    </row>
    <row r="630" ht="15.75" customHeight="1">
      <c r="E630" s="97"/>
    </row>
    <row r="631" ht="15.75" customHeight="1">
      <c r="E631" s="97"/>
    </row>
    <row r="632" ht="15.75" customHeight="1">
      <c r="E632" s="97"/>
    </row>
    <row r="633" ht="15.75" customHeight="1">
      <c r="E633" s="97"/>
    </row>
    <row r="634" ht="15.75" customHeight="1">
      <c r="E634" s="97"/>
    </row>
    <row r="635" ht="15.75" customHeight="1">
      <c r="E635" s="97"/>
    </row>
    <row r="636" ht="15.75" customHeight="1">
      <c r="E636" s="97"/>
    </row>
    <row r="637" ht="15.75" customHeight="1">
      <c r="E637" s="97"/>
    </row>
    <row r="638" ht="15.75" customHeight="1">
      <c r="E638" s="97"/>
    </row>
    <row r="639" ht="15.75" customHeight="1">
      <c r="E639" s="97"/>
    </row>
    <row r="640" ht="15.75" customHeight="1">
      <c r="E640" s="97"/>
    </row>
    <row r="641" ht="15.75" customHeight="1">
      <c r="E641" s="97"/>
    </row>
    <row r="642" ht="15.75" customHeight="1">
      <c r="E642" s="97"/>
    </row>
    <row r="643" ht="15.75" customHeight="1">
      <c r="E643" s="97"/>
    </row>
    <row r="644" ht="15.75" customHeight="1">
      <c r="E644" s="97"/>
    </row>
    <row r="645" ht="15.75" customHeight="1">
      <c r="E645" s="97"/>
    </row>
    <row r="646" ht="15.75" customHeight="1">
      <c r="E646" s="97"/>
    </row>
    <row r="647" ht="15.75" customHeight="1">
      <c r="E647" s="97"/>
    </row>
    <row r="648" ht="15.75" customHeight="1">
      <c r="E648" s="97"/>
    </row>
    <row r="649" ht="15.75" customHeight="1">
      <c r="E649" s="97"/>
    </row>
    <row r="650" ht="15.75" customHeight="1">
      <c r="E650" s="97"/>
    </row>
    <row r="651" ht="15.75" customHeight="1">
      <c r="E651" s="97"/>
    </row>
    <row r="652" ht="15.75" customHeight="1">
      <c r="E652" s="97"/>
    </row>
    <row r="653" ht="15.75" customHeight="1">
      <c r="E653" s="97"/>
    </row>
    <row r="654" ht="15.75" customHeight="1">
      <c r="E654" s="97"/>
    </row>
    <row r="655" ht="15.75" customHeight="1">
      <c r="E655" s="97"/>
    </row>
    <row r="656" ht="15.75" customHeight="1">
      <c r="E656" s="97"/>
    </row>
    <row r="657" ht="15.75" customHeight="1">
      <c r="E657" s="97"/>
    </row>
    <row r="658" ht="15.75" customHeight="1">
      <c r="E658" s="97"/>
    </row>
    <row r="659" ht="15.75" customHeight="1">
      <c r="E659" s="97"/>
    </row>
    <row r="660" ht="15.75" customHeight="1">
      <c r="E660" s="97"/>
    </row>
    <row r="661" ht="15.75" customHeight="1">
      <c r="E661" s="97"/>
    </row>
    <row r="662" ht="15.75" customHeight="1">
      <c r="E662" s="97"/>
    </row>
    <row r="663" ht="15.75" customHeight="1">
      <c r="E663" s="97"/>
    </row>
    <row r="664" ht="15.75" customHeight="1">
      <c r="E664" s="97"/>
    </row>
    <row r="665" ht="15.75" customHeight="1">
      <c r="E665" s="97"/>
    </row>
    <row r="666" ht="15.75" customHeight="1">
      <c r="E666" s="97"/>
    </row>
    <row r="667" ht="15.75" customHeight="1">
      <c r="E667" s="97"/>
    </row>
    <row r="668" ht="15.75" customHeight="1">
      <c r="E668" s="97"/>
    </row>
    <row r="669" ht="15.75" customHeight="1">
      <c r="E669" s="97"/>
    </row>
    <row r="670" ht="15.75" customHeight="1">
      <c r="E670" s="97"/>
    </row>
    <row r="671" ht="15.75" customHeight="1">
      <c r="E671" s="97"/>
    </row>
    <row r="672" ht="15.75" customHeight="1">
      <c r="E672" s="97"/>
    </row>
    <row r="673" ht="15.75" customHeight="1">
      <c r="E673" s="97"/>
    </row>
    <row r="674" ht="15.75" customHeight="1">
      <c r="E674" s="97"/>
    </row>
    <row r="675" ht="15.75" customHeight="1">
      <c r="E675" s="97"/>
    </row>
    <row r="676" ht="15.75" customHeight="1">
      <c r="E676" s="97"/>
    </row>
    <row r="677" ht="15.75" customHeight="1">
      <c r="E677" s="97"/>
    </row>
    <row r="678" ht="15.75" customHeight="1">
      <c r="E678" s="97"/>
    </row>
    <row r="679" ht="15.75" customHeight="1">
      <c r="E679" s="97"/>
    </row>
    <row r="680" ht="15.75" customHeight="1">
      <c r="E680" s="97"/>
    </row>
    <row r="681" ht="15.75" customHeight="1">
      <c r="E681" s="97"/>
    </row>
    <row r="682" ht="15.75" customHeight="1">
      <c r="E682" s="97"/>
    </row>
    <row r="683" ht="15.75" customHeight="1">
      <c r="E683" s="97"/>
    </row>
    <row r="684" ht="15.75" customHeight="1">
      <c r="E684" s="97"/>
    </row>
    <row r="685" ht="15.75" customHeight="1">
      <c r="E685" s="97"/>
    </row>
    <row r="686" ht="15.75" customHeight="1">
      <c r="E686" s="97"/>
    </row>
    <row r="687" ht="15.75" customHeight="1">
      <c r="E687" s="97"/>
    </row>
    <row r="688" ht="15.75" customHeight="1">
      <c r="E688" s="97"/>
    </row>
    <row r="689" ht="15.75" customHeight="1">
      <c r="E689" s="97"/>
    </row>
    <row r="690" ht="15.75" customHeight="1">
      <c r="E690" s="97"/>
    </row>
    <row r="691" ht="15.75" customHeight="1">
      <c r="E691" s="97"/>
    </row>
    <row r="692" ht="15.75" customHeight="1">
      <c r="E692" s="97"/>
    </row>
    <row r="693" ht="15.75" customHeight="1">
      <c r="E693" s="97"/>
    </row>
    <row r="694" ht="15.75" customHeight="1">
      <c r="E694" s="97"/>
    </row>
    <row r="695" ht="15.75" customHeight="1">
      <c r="E695" s="97"/>
    </row>
    <row r="696" ht="15.75" customHeight="1">
      <c r="E696" s="97"/>
    </row>
    <row r="697" ht="15.75" customHeight="1">
      <c r="E697" s="97"/>
    </row>
    <row r="698" ht="15.75" customHeight="1">
      <c r="E698" s="97"/>
    </row>
    <row r="699" ht="15.75" customHeight="1">
      <c r="E699" s="97"/>
    </row>
    <row r="700" ht="15.75" customHeight="1">
      <c r="E700" s="97"/>
    </row>
    <row r="701" ht="15.75" customHeight="1">
      <c r="E701" s="97"/>
    </row>
    <row r="702" ht="15.75" customHeight="1">
      <c r="E702" s="97"/>
    </row>
    <row r="703" ht="15.75" customHeight="1">
      <c r="E703" s="97"/>
    </row>
    <row r="704" ht="15.75" customHeight="1">
      <c r="E704" s="97"/>
    </row>
    <row r="705" ht="15.75" customHeight="1">
      <c r="E705" s="97"/>
    </row>
    <row r="706" ht="15.75" customHeight="1">
      <c r="E706" s="97"/>
    </row>
    <row r="707" ht="15.75" customHeight="1">
      <c r="E707" s="97"/>
    </row>
    <row r="708" ht="15.75" customHeight="1">
      <c r="E708" s="97"/>
    </row>
    <row r="709" ht="15.75" customHeight="1">
      <c r="E709" s="97"/>
    </row>
    <row r="710" ht="15.75" customHeight="1">
      <c r="E710" s="97"/>
    </row>
    <row r="711" ht="15.75" customHeight="1">
      <c r="E711" s="97"/>
    </row>
    <row r="712" ht="15.75" customHeight="1">
      <c r="E712" s="97"/>
    </row>
    <row r="713" ht="15.75" customHeight="1">
      <c r="E713" s="97"/>
    </row>
    <row r="714" ht="15.75" customHeight="1">
      <c r="E714" s="97"/>
    </row>
    <row r="715" ht="15.75" customHeight="1">
      <c r="E715" s="97"/>
    </row>
    <row r="716" ht="15.75" customHeight="1">
      <c r="E716" s="97"/>
    </row>
    <row r="717" ht="15.75" customHeight="1">
      <c r="E717" s="97"/>
    </row>
    <row r="718" ht="15.75" customHeight="1">
      <c r="E718" s="97"/>
    </row>
    <row r="719" ht="15.75" customHeight="1">
      <c r="E719" s="97"/>
    </row>
    <row r="720" ht="15.75" customHeight="1">
      <c r="E720" s="97"/>
    </row>
    <row r="721" ht="15.75" customHeight="1">
      <c r="E721" s="97"/>
    </row>
    <row r="722" ht="15.75" customHeight="1">
      <c r="E722" s="97"/>
    </row>
    <row r="723" ht="15.75" customHeight="1">
      <c r="E723" s="97"/>
    </row>
    <row r="724" ht="15.75" customHeight="1">
      <c r="E724" s="97"/>
    </row>
    <row r="725" ht="15.75" customHeight="1">
      <c r="E725" s="97"/>
    </row>
    <row r="726" ht="15.75" customHeight="1">
      <c r="E726" s="97"/>
    </row>
    <row r="727" ht="15.75" customHeight="1">
      <c r="E727" s="97"/>
    </row>
    <row r="728" ht="15.75" customHeight="1">
      <c r="E728" s="97"/>
    </row>
    <row r="729" ht="15.75" customHeight="1">
      <c r="E729" s="97"/>
    </row>
    <row r="730" ht="15.75" customHeight="1">
      <c r="E730" s="97"/>
    </row>
    <row r="731" ht="15.75" customHeight="1">
      <c r="E731" s="97"/>
    </row>
    <row r="732" ht="15.75" customHeight="1">
      <c r="E732" s="97"/>
    </row>
    <row r="733" ht="15.75" customHeight="1">
      <c r="E733" s="97"/>
    </row>
    <row r="734" ht="15.75" customHeight="1">
      <c r="E734" s="97"/>
    </row>
    <row r="735" ht="15.75" customHeight="1">
      <c r="E735" s="97"/>
    </row>
    <row r="736" ht="15.75" customHeight="1">
      <c r="E736" s="97"/>
    </row>
    <row r="737" ht="15.75" customHeight="1">
      <c r="E737" s="97"/>
    </row>
    <row r="738" ht="15.75" customHeight="1">
      <c r="E738" s="97"/>
    </row>
    <row r="739" ht="15.75" customHeight="1">
      <c r="E739" s="97"/>
    </row>
    <row r="740" ht="15.75" customHeight="1">
      <c r="E740" s="97"/>
    </row>
    <row r="741" ht="15.75" customHeight="1">
      <c r="E741" s="97"/>
    </row>
    <row r="742" ht="15.75" customHeight="1">
      <c r="E742" s="97"/>
    </row>
    <row r="743" ht="15.75" customHeight="1">
      <c r="E743" s="97"/>
    </row>
    <row r="744" ht="15.75" customHeight="1">
      <c r="E744" s="97"/>
    </row>
    <row r="745" ht="15.75" customHeight="1">
      <c r="E745" s="97"/>
    </row>
    <row r="746" ht="15.75" customHeight="1">
      <c r="E746" s="97"/>
    </row>
    <row r="747" ht="15.75" customHeight="1">
      <c r="E747" s="97"/>
    </row>
    <row r="748" ht="15.75" customHeight="1">
      <c r="E748" s="97"/>
    </row>
    <row r="749" ht="15.75" customHeight="1">
      <c r="E749" s="97"/>
    </row>
    <row r="750" ht="15.75" customHeight="1">
      <c r="E750" s="97"/>
    </row>
    <row r="751" ht="15.75" customHeight="1">
      <c r="E751" s="97"/>
    </row>
    <row r="752" ht="15.75" customHeight="1">
      <c r="E752" s="97"/>
    </row>
    <row r="753" ht="15.75" customHeight="1">
      <c r="E753" s="97"/>
    </row>
    <row r="754" ht="15.75" customHeight="1">
      <c r="E754" s="97"/>
    </row>
    <row r="755" ht="15.75" customHeight="1">
      <c r="E755" s="97"/>
    </row>
    <row r="756" ht="15.75" customHeight="1">
      <c r="E756" s="97"/>
    </row>
    <row r="757" ht="15.75" customHeight="1">
      <c r="E757" s="97"/>
    </row>
    <row r="758" ht="15.75" customHeight="1">
      <c r="E758" s="97"/>
    </row>
    <row r="759" ht="15.75" customHeight="1">
      <c r="E759" s="97"/>
    </row>
    <row r="760" ht="15.75" customHeight="1">
      <c r="E760" s="97"/>
    </row>
    <row r="761" ht="15.75" customHeight="1">
      <c r="E761" s="97"/>
    </row>
    <row r="762" ht="15.75" customHeight="1">
      <c r="E762" s="97"/>
    </row>
    <row r="763" ht="15.75" customHeight="1">
      <c r="E763" s="97"/>
    </row>
    <row r="764" ht="15.75" customHeight="1">
      <c r="E764" s="97"/>
    </row>
    <row r="765" ht="15.75" customHeight="1">
      <c r="E765" s="97"/>
    </row>
    <row r="766" ht="15.75" customHeight="1">
      <c r="E766" s="97"/>
    </row>
    <row r="767" ht="15.75" customHeight="1">
      <c r="E767" s="97"/>
    </row>
    <row r="768" ht="15.75" customHeight="1">
      <c r="E768" s="97"/>
    </row>
    <row r="769" ht="15.75" customHeight="1">
      <c r="E769" s="97"/>
    </row>
    <row r="770" ht="15.75" customHeight="1">
      <c r="E770" s="97"/>
    </row>
    <row r="771" ht="15.75" customHeight="1">
      <c r="E771" s="97"/>
    </row>
    <row r="772" ht="15.75" customHeight="1">
      <c r="E772" s="97"/>
    </row>
    <row r="773" ht="15.75" customHeight="1">
      <c r="E773" s="97"/>
    </row>
    <row r="774" ht="15.75" customHeight="1">
      <c r="E774" s="97"/>
    </row>
    <row r="775" ht="15.75" customHeight="1">
      <c r="E775" s="97"/>
    </row>
    <row r="776" ht="15.75" customHeight="1">
      <c r="E776" s="97"/>
    </row>
    <row r="777" ht="15.75" customHeight="1">
      <c r="E777" s="97"/>
    </row>
    <row r="778" ht="15.75" customHeight="1">
      <c r="E778" s="97"/>
    </row>
    <row r="779" ht="15.75" customHeight="1">
      <c r="E779" s="97"/>
    </row>
    <row r="780" ht="15.75" customHeight="1">
      <c r="E780" s="97"/>
    </row>
    <row r="781" ht="15.75" customHeight="1">
      <c r="E781" s="97"/>
    </row>
    <row r="782" ht="15.75" customHeight="1">
      <c r="E782" s="97"/>
    </row>
    <row r="783" ht="15.75" customHeight="1">
      <c r="E783" s="97"/>
    </row>
    <row r="784" ht="15.75" customHeight="1">
      <c r="E784" s="97"/>
    </row>
    <row r="785" ht="15.75" customHeight="1">
      <c r="E785" s="97"/>
    </row>
    <row r="786" ht="15.75" customHeight="1">
      <c r="E786" s="97"/>
    </row>
    <row r="787" ht="15.75" customHeight="1">
      <c r="E787" s="97"/>
    </row>
    <row r="788" ht="15.75" customHeight="1">
      <c r="E788" s="97"/>
    </row>
    <row r="789" ht="15.75" customHeight="1">
      <c r="E789" s="97"/>
    </row>
    <row r="790" ht="15.75" customHeight="1">
      <c r="E790" s="97"/>
    </row>
    <row r="791" ht="15.75" customHeight="1">
      <c r="E791" s="97"/>
    </row>
    <row r="792" ht="15.75" customHeight="1">
      <c r="E792" s="97"/>
    </row>
    <row r="793" ht="15.75" customHeight="1">
      <c r="E793" s="97"/>
    </row>
    <row r="794" ht="15.75" customHeight="1">
      <c r="E794" s="97"/>
    </row>
    <row r="795" ht="15.75" customHeight="1">
      <c r="E795" s="97"/>
    </row>
    <row r="796" ht="15.75" customHeight="1">
      <c r="E796" s="97"/>
    </row>
    <row r="797" ht="15.75" customHeight="1">
      <c r="E797" s="97"/>
    </row>
    <row r="798" ht="15.75" customHeight="1">
      <c r="E798" s="97"/>
    </row>
    <row r="799" ht="15.75" customHeight="1">
      <c r="E799" s="97"/>
    </row>
    <row r="800" ht="15.75" customHeight="1">
      <c r="E800" s="97"/>
    </row>
    <row r="801" ht="15.75" customHeight="1">
      <c r="E801" s="97"/>
    </row>
    <row r="802" ht="15.75" customHeight="1">
      <c r="E802" s="97"/>
    </row>
    <row r="803" ht="15.75" customHeight="1">
      <c r="E803" s="97"/>
    </row>
    <row r="804" ht="15.75" customHeight="1">
      <c r="E804" s="97"/>
    </row>
    <row r="805" ht="15.75" customHeight="1">
      <c r="E805" s="97"/>
    </row>
    <row r="806" ht="15.75" customHeight="1">
      <c r="E806" s="97"/>
    </row>
    <row r="807" ht="15.75" customHeight="1">
      <c r="E807" s="97"/>
    </row>
    <row r="808" ht="15.75" customHeight="1">
      <c r="E808" s="97"/>
    </row>
    <row r="809" ht="15.75" customHeight="1">
      <c r="E809" s="97"/>
    </row>
    <row r="810" ht="15.75" customHeight="1">
      <c r="E810" s="97"/>
    </row>
    <row r="811" ht="15.75" customHeight="1">
      <c r="E811" s="97"/>
    </row>
    <row r="812" ht="15.75" customHeight="1">
      <c r="E812" s="97"/>
    </row>
    <row r="813" ht="15.75" customHeight="1">
      <c r="E813" s="97"/>
    </row>
    <row r="814" ht="15.75" customHeight="1">
      <c r="E814" s="97"/>
    </row>
    <row r="815" ht="15.75" customHeight="1">
      <c r="E815" s="97"/>
    </row>
    <row r="816" ht="15.75" customHeight="1">
      <c r="E816" s="97"/>
    </row>
    <row r="817" ht="15.75" customHeight="1">
      <c r="E817" s="97"/>
    </row>
    <row r="818" ht="15.75" customHeight="1">
      <c r="E818" s="97"/>
    </row>
    <row r="819" ht="15.75" customHeight="1">
      <c r="E819" s="97"/>
    </row>
    <row r="820" ht="15.75" customHeight="1">
      <c r="E820" s="97"/>
    </row>
    <row r="821" ht="15.75" customHeight="1">
      <c r="E821" s="97"/>
    </row>
    <row r="822" ht="15.75" customHeight="1">
      <c r="E822" s="97"/>
    </row>
    <row r="823" ht="15.75" customHeight="1">
      <c r="E823" s="97"/>
    </row>
    <row r="824" ht="15.75" customHeight="1">
      <c r="E824" s="97"/>
    </row>
    <row r="825" ht="15.75" customHeight="1">
      <c r="E825" s="97"/>
    </row>
    <row r="826" ht="15.75" customHeight="1">
      <c r="E826" s="97"/>
    </row>
    <row r="827" ht="15.75" customHeight="1">
      <c r="E827" s="97"/>
    </row>
    <row r="828" ht="15.75" customHeight="1">
      <c r="E828" s="97"/>
    </row>
    <row r="829" ht="15.75" customHeight="1">
      <c r="E829" s="97"/>
    </row>
    <row r="830" ht="15.75" customHeight="1">
      <c r="E830" s="97"/>
    </row>
    <row r="831" ht="15.75" customHeight="1">
      <c r="E831" s="97"/>
    </row>
    <row r="832" ht="15.75" customHeight="1">
      <c r="E832" s="97"/>
    </row>
    <row r="833" ht="15.75" customHeight="1">
      <c r="E833" s="97"/>
    </row>
    <row r="834" ht="15.75" customHeight="1">
      <c r="E834" s="97"/>
    </row>
    <row r="835" ht="15.75" customHeight="1">
      <c r="E835" s="97"/>
    </row>
    <row r="836" ht="15.75" customHeight="1">
      <c r="E836" s="97"/>
    </row>
    <row r="837" ht="15.75" customHeight="1">
      <c r="E837" s="97"/>
    </row>
    <row r="838" ht="15.75" customHeight="1">
      <c r="E838" s="97"/>
    </row>
    <row r="839" ht="15.75" customHeight="1">
      <c r="E839" s="97"/>
    </row>
    <row r="840" ht="15.75" customHeight="1">
      <c r="E840" s="97"/>
    </row>
    <row r="841" ht="15.75" customHeight="1">
      <c r="E841" s="97"/>
    </row>
    <row r="842" ht="15.75" customHeight="1">
      <c r="E842" s="97"/>
    </row>
    <row r="843" ht="15.75" customHeight="1">
      <c r="E843" s="97"/>
    </row>
    <row r="844" ht="15.75" customHeight="1">
      <c r="E844" s="97"/>
    </row>
    <row r="845" ht="15.75" customHeight="1">
      <c r="E845" s="97"/>
    </row>
    <row r="846" ht="15.75" customHeight="1">
      <c r="E846" s="97"/>
    </row>
    <row r="847" ht="15.75" customHeight="1">
      <c r="E847" s="97"/>
    </row>
    <row r="848" ht="15.75" customHeight="1">
      <c r="E848" s="97"/>
    </row>
    <row r="849" ht="15.75" customHeight="1">
      <c r="E849" s="97"/>
    </row>
    <row r="850" ht="15.75" customHeight="1">
      <c r="E850" s="97"/>
    </row>
    <row r="851" ht="15.75" customHeight="1">
      <c r="E851" s="97"/>
    </row>
    <row r="852" ht="15.75" customHeight="1">
      <c r="E852" s="97"/>
    </row>
    <row r="853" ht="15.75" customHeight="1">
      <c r="E853" s="97"/>
    </row>
    <row r="854" ht="15.75" customHeight="1">
      <c r="E854" s="97"/>
    </row>
    <row r="855" ht="15.75" customHeight="1">
      <c r="E855" s="97"/>
    </row>
    <row r="856" ht="15.75" customHeight="1">
      <c r="E856" s="97"/>
    </row>
    <row r="857" ht="15.75" customHeight="1">
      <c r="E857" s="97"/>
    </row>
    <row r="858" ht="15.75" customHeight="1">
      <c r="E858" s="97"/>
    </row>
    <row r="859" ht="15.75" customHeight="1">
      <c r="E859" s="97"/>
    </row>
    <row r="860" ht="15.75" customHeight="1">
      <c r="E860" s="97"/>
    </row>
    <row r="861" ht="15.75" customHeight="1">
      <c r="E861" s="97"/>
    </row>
    <row r="862" ht="15.75" customHeight="1">
      <c r="E862" s="97"/>
    </row>
    <row r="863" ht="15.75" customHeight="1">
      <c r="E863" s="97"/>
    </row>
    <row r="864" ht="15.75" customHeight="1">
      <c r="E864" s="97"/>
    </row>
    <row r="865" ht="15.75" customHeight="1">
      <c r="E865" s="97"/>
    </row>
    <row r="866" ht="15.75" customHeight="1">
      <c r="E866" s="97"/>
    </row>
    <row r="867" ht="15.75" customHeight="1">
      <c r="E867" s="97"/>
    </row>
    <row r="868" ht="15.75" customHeight="1">
      <c r="E868" s="97"/>
    </row>
    <row r="869" ht="15.75" customHeight="1">
      <c r="E869" s="97"/>
    </row>
    <row r="870" ht="15.75" customHeight="1">
      <c r="E870" s="97"/>
    </row>
    <row r="871" ht="15.75" customHeight="1">
      <c r="E871" s="97"/>
    </row>
    <row r="872" ht="15.75" customHeight="1">
      <c r="E872" s="97"/>
    </row>
    <row r="873" ht="15.75" customHeight="1">
      <c r="E873" s="97"/>
    </row>
    <row r="874" ht="15.75" customHeight="1">
      <c r="E874" s="97"/>
    </row>
    <row r="875" ht="15.75" customHeight="1">
      <c r="E875" s="97"/>
    </row>
    <row r="876" ht="15.75" customHeight="1">
      <c r="E876" s="97"/>
    </row>
    <row r="877" ht="15.75" customHeight="1">
      <c r="E877" s="97"/>
    </row>
    <row r="878" ht="15.75" customHeight="1">
      <c r="E878" s="97"/>
    </row>
    <row r="879" ht="15.75" customHeight="1">
      <c r="E879" s="97"/>
    </row>
    <row r="880" ht="15.75" customHeight="1">
      <c r="E880" s="97"/>
    </row>
    <row r="881" ht="15.75" customHeight="1">
      <c r="E881" s="97"/>
    </row>
    <row r="882" ht="15.75" customHeight="1">
      <c r="E882" s="97"/>
    </row>
    <row r="883" ht="15.75" customHeight="1">
      <c r="E883" s="97"/>
    </row>
    <row r="884" ht="15.75" customHeight="1">
      <c r="E884" s="97"/>
    </row>
    <row r="885" ht="15.75" customHeight="1">
      <c r="E885" s="97"/>
    </row>
    <row r="886" ht="15.75" customHeight="1">
      <c r="E886" s="97"/>
    </row>
    <row r="887" ht="15.75" customHeight="1">
      <c r="E887" s="97"/>
    </row>
    <row r="888" ht="15.75" customHeight="1">
      <c r="E888" s="97"/>
    </row>
    <row r="889" ht="15.75" customHeight="1">
      <c r="E889" s="97"/>
    </row>
    <row r="890" ht="15.75" customHeight="1">
      <c r="E890" s="97"/>
    </row>
    <row r="891" ht="15.75" customHeight="1">
      <c r="E891" s="97"/>
    </row>
    <row r="892" ht="15.75" customHeight="1">
      <c r="E892" s="97"/>
    </row>
    <row r="893" ht="15.75" customHeight="1">
      <c r="E893" s="97"/>
    </row>
    <row r="894" ht="15.75" customHeight="1">
      <c r="E894" s="97"/>
    </row>
    <row r="895" ht="15.75" customHeight="1">
      <c r="E895" s="97"/>
    </row>
    <row r="896" ht="15.75" customHeight="1">
      <c r="E896" s="97"/>
    </row>
    <row r="897" ht="15.75" customHeight="1">
      <c r="E897" s="97"/>
    </row>
    <row r="898" ht="15.75" customHeight="1">
      <c r="E898" s="97"/>
    </row>
    <row r="899" ht="15.75" customHeight="1">
      <c r="E899" s="97"/>
    </row>
    <row r="900" ht="15.75" customHeight="1">
      <c r="E900" s="97"/>
    </row>
    <row r="901" ht="15.75" customHeight="1">
      <c r="E901" s="97"/>
    </row>
    <row r="902" ht="15.75" customHeight="1">
      <c r="E902" s="97"/>
    </row>
    <row r="903" ht="15.75" customHeight="1">
      <c r="E903" s="97"/>
    </row>
    <row r="904" ht="15.75" customHeight="1">
      <c r="E904" s="97"/>
    </row>
    <row r="905" ht="15.75" customHeight="1">
      <c r="E905" s="97"/>
    </row>
    <row r="906" ht="15.75" customHeight="1">
      <c r="E906" s="97"/>
    </row>
    <row r="907" ht="15.75" customHeight="1">
      <c r="E907" s="97"/>
    </row>
    <row r="908" ht="15.75" customHeight="1">
      <c r="E908" s="97"/>
    </row>
    <row r="909" ht="15.75" customHeight="1">
      <c r="E909" s="97"/>
    </row>
    <row r="910" ht="15.75" customHeight="1">
      <c r="E910" s="97"/>
    </row>
    <row r="911" ht="15.75" customHeight="1">
      <c r="E911" s="97"/>
    </row>
    <row r="912" ht="15.75" customHeight="1">
      <c r="E912" s="97"/>
    </row>
    <row r="913" ht="15.75" customHeight="1">
      <c r="E913" s="97"/>
    </row>
    <row r="914" ht="15.75" customHeight="1">
      <c r="E914" s="97"/>
    </row>
    <row r="915" ht="15.75" customHeight="1">
      <c r="E915" s="97"/>
    </row>
    <row r="916" ht="15.75" customHeight="1">
      <c r="E916" s="97"/>
    </row>
    <row r="917" ht="15.75" customHeight="1">
      <c r="E917" s="97"/>
    </row>
    <row r="918" ht="15.75" customHeight="1">
      <c r="E918" s="97"/>
    </row>
    <row r="919" ht="15.75" customHeight="1">
      <c r="E919" s="97"/>
    </row>
    <row r="920" ht="15.75" customHeight="1">
      <c r="E920" s="97"/>
    </row>
    <row r="921" ht="15.75" customHeight="1">
      <c r="E921" s="97"/>
    </row>
    <row r="922" ht="15.75" customHeight="1">
      <c r="E922" s="97"/>
    </row>
    <row r="923" ht="15.75" customHeight="1">
      <c r="E923" s="97"/>
    </row>
    <row r="924" ht="15.75" customHeight="1">
      <c r="E924" s="97"/>
    </row>
    <row r="925" ht="15.75" customHeight="1">
      <c r="E925" s="97"/>
    </row>
    <row r="926" ht="15.75" customHeight="1">
      <c r="E926" s="97"/>
    </row>
    <row r="927" ht="15.75" customHeight="1">
      <c r="E927" s="97"/>
    </row>
    <row r="928" ht="15.75" customHeight="1">
      <c r="E928" s="97"/>
    </row>
    <row r="929" ht="15.75" customHeight="1">
      <c r="E929" s="97"/>
    </row>
    <row r="930" ht="15.75" customHeight="1">
      <c r="E930" s="97"/>
    </row>
    <row r="931" ht="15.75" customHeight="1">
      <c r="E931" s="97"/>
    </row>
    <row r="932" ht="15.75" customHeight="1">
      <c r="E932" s="97"/>
    </row>
    <row r="933" ht="15.75" customHeight="1">
      <c r="E933" s="97"/>
    </row>
    <row r="934" ht="15.75" customHeight="1">
      <c r="E934" s="97"/>
    </row>
    <row r="935" ht="15.75" customHeight="1">
      <c r="E935" s="97"/>
    </row>
    <row r="936" ht="15.75" customHeight="1">
      <c r="E936" s="97"/>
    </row>
    <row r="937" ht="15.75" customHeight="1">
      <c r="E937" s="97"/>
    </row>
    <row r="938" ht="15.75" customHeight="1">
      <c r="E938" s="97"/>
    </row>
    <row r="939" ht="15.75" customHeight="1">
      <c r="E939" s="97"/>
    </row>
    <row r="940" ht="15.75" customHeight="1">
      <c r="E940" s="97"/>
    </row>
    <row r="941" ht="15.75" customHeight="1">
      <c r="E941" s="97"/>
    </row>
    <row r="942" ht="15.75" customHeight="1">
      <c r="E942" s="97"/>
    </row>
    <row r="943" ht="15.75" customHeight="1">
      <c r="E943" s="97"/>
    </row>
    <row r="944" ht="15.75" customHeight="1">
      <c r="E944" s="97"/>
    </row>
    <row r="945" ht="15.75" customHeight="1">
      <c r="E945" s="97"/>
    </row>
    <row r="946" ht="15.75" customHeight="1">
      <c r="E946" s="97"/>
    </row>
    <row r="947" ht="15.75" customHeight="1">
      <c r="E947" s="97"/>
    </row>
    <row r="948" ht="15.75" customHeight="1">
      <c r="E948" s="97"/>
    </row>
    <row r="949" ht="15.75" customHeight="1">
      <c r="E949" s="97"/>
    </row>
    <row r="950" ht="15.75" customHeight="1">
      <c r="E950" s="97"/>
    </row>
    <row r="951" ht="15.75" customHeight="1">
      <c r="E951" s="97"/>
    </row>
    <row r="952" ht="15.75" customHeight="1">
      <c r="E952" s="97"/>
    </row>
    <row r="953" ht="15.75" customHeight="1">
      <c r="E953" s="97"/>
    </row>
    <row r="954" ht="15.75" customHeight="1">
      <c r="E954" s="97"/>
    </row>
    <row r="955" ht="15.75" customHeight="1">
      <c r="E955" s="97"/>
    </row>
    <row r="956" ht="15.75" customHeight="1">
      <c r="E956" s="97"/>
    </row>
    <row r="957" ht="15.75" customHeight="1">
      <c r="E957" s="97"/>
    </row>
    <row r="958" ht="15.75" customHeight="1">
      <c r="E958" s="97"/>
    </row>
    <row r="959" ht="15.75" customHeight="1">
      <c r="E959" s="97"/>
    </row>
    <row r="960" ht="15.75" customHeight="1">
      <c r="E960" s="97"/>
    </row>
    <row r="961" ht="15.75" customHeight="1">
      <c r="E961" s="97"/>
    </row>
    <row r="962" ht="15.75" customHeight="1">
      <c r="E962" s="97"/>
    </row>
    <row r="963" ht="15.75" customHeight="1">
      <c r="E963" s="97"/>
    </row>
    <row r="964" ht="15.75" customHeight="1">
      <c r="E964" s="97"/>
    </row>
    <row r="965" ht="15.75" customHeight="1">
      <c r="E965" s="97"/>
    </row>
    <row r="966" ht="15.75" customHeight="1">
      <c r="E966" s="97"/>
    </row>
    <row r="967" ht="15.75" customHeight="1">
      <c r="E967" s="97"/>
    </row>
    <row r="968" ht="15.75" customHeight="1">
      <c r="E968" s="97"/>
    </row>
    <row r="969" ht="15.75" customHeight="1">
      <c r="E969" s="97"/>
    </row>
    <row r="970" ht="15.75" customHeight="1">
      <c r="E970" s="97"/>
    </row>
    <row r="971" ht="15.75" customHeight="1">
      <c r="E971" s="97"/>
    </row>
    <row r="972" ht="15.75" customHeight="1">
      <c r="E972" s="97"/>
    </row>
    <row r="973" ht="15.75" customHeight="1">
      <c r="E973" s="97"/>
    </row>
    <row r="974" ht="15.75" customHeight="1">
      <c r="E974" s="97"/>
    </row>
    <row r="975" ht="15.75" customHeight="1">
      <c r="E975" s="97"/>
    </row>
    <row r="976" ht="15.75" customHeight="1">
      <c r="E976" s="97"/>
    </row>
    <row r="977" ht="15.75" customHeight="1">
      <c r="E977" s="97"/>
    </row>
    <row r="978" ht="15.75" customHeight="1">
      <c r="E978" s="97"/>
    </row>
    <row r="979" ht="15.75" customHeight="1">
      <c r="E979" s="97"/>
    </row>
    <row r="980" ht="15.75" customHeight="1">
      <c r="E980" s="97"/>
    </row>
    <row r="981" ht="15.75" customHeight="1">
      <c r="E981" s="97"/>
    </row>
    <row r="982" ht="15.75" customHeight="1">
      <c r="E982" s="97"/>
    </row>
    <row r="983" ht="15.75" customHeight="1">
      <c r="E983" s="97"/>
    </row>
    <row r="984" ht="15.75" customHeight="1">
      <c r="E984" s="97"/>
    </row>
    <row r="985" ht="15.75" customHeight="1">
      <c r="E985" s="97"/>
    </row>
    <row r="986" ht="15.75" customHeight="1">
      <c r="E986" s="97"/>
    </row>
    <row r="987" ht="15.75" customHeight="1">
      <c r="E987" s="97"/>
    </row>
    <row r="988" ht="15.75" customHeight="1">
      <c r="E988" s="97"/>
    </row>
    <row r="989" ht="15.75" customHeight="1">
      <c r="E989" s="97"/>
    </row>
    <row r="990" ht="15.75" customHeight="1">
      <c r="E990" s="97"/>
    </row>
    <row r="991" ht="15.75" customHeight="1">
      <c r="E991" s="97"/>
    </row>
    <row r="992" ht="15.75" customHeight="1">
      <c r="E992" s="97"/>
    </row>
    <row r="993" ht="15.75" customHeight="1">
      <c r="E993" s="97"/>
    </row>
    <row r="994" ht="15.75" customHeight="1">
      <c r="E994" s="97"/>
    </row>
    <row r="995" ht="15.75" customHeight="1">
      <c r="E995" s="97"/>
    </row>
    <row r="996" ht="15.75" customHeight="1">
      <c r="E996" s="97"/>
    </row>
    <row r="997" ht="15.75" customHeight="1">
      <c r="E997" s="97"/>
    </row>
    <row r="998" ht="15.75" customHeight="1">
      <c r="E998" s="97"/>
    </row>
    <row r="999" ht="15.75" customHeight="1">
      <c r="E999" s="97"/>
    </row>
    <row r="1000" ht="15.75" customHeight="1">
      <c r="E1000" s="97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37.75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8.25"/>
    <col customWidth="1" min="13" max="13" width="10.88"/>
    <col customWidth="1" min="14" max="26" width="34.38"/>
  </cols>
  <sheetData>
    <row r="1" ht="15.75" customHeight="1">
      <c r="A1" s="1" t="s">
        <v>0</v>
      </c>
      <c r="B1" s="1" t="s">
        <v>1</v>
      </c>
      <c r="C1" s="98" t="s">
        <v>2064</v>
      </c>
      <c r="D1" s="98" t="s">
        <v>2065</v>
      </c>
      <c r="E1" s="98" t="s">
        <v>2066</v>
      </c>
      <c r="F1" s="98" t="s">
        <v>1160</v>
      </c>
      <c r="G1" s="98" t="s">
        <v>7</v>
      </c>
      <c r="H1" s="98" t="s">
        <v>1161</v>
      </c>
      <c r="I1" s="98" t="s">
        <v>7</v>
      </c>
      <c r="J1" s="4" t="s">
        <v>2067</v>
      </c>
      <c r="K1" s="4" t="s">
        <v>7</v>
      </c>
      <c r="L1" s="68" t="s">
        <v>2068</v>
      </c>
      <c r="M1" s="68" t="s">
        <v>7</v>
      </c>
    </row>
    <row r="2" ht="15.75" customHeight="1">
      <c r="A2" s="11">
        <v>1588.0</v>
      </c>
      <c r="B2" s="11" t="s">
        <v>42</v>
      </c>
      <c r="C2" s="99" t="s">
        <v>2069</v>
      </c>
      <c r="D2" s="100" t="s">
        <v>2070</v>
      </c>
      <c r="E2" s="101">
        <v>0.0</v>
      </c>
      <c r="F2" s="100" t="s">
        <v>1175</v>
      </c>
      <c r="G2" s="101">
        <v>0.0</v>
      </c>
      <c r="H2" s="100" t="s">
        <v>1176</v>
      </c>
      <c r="I2" s="101">
        <v>0.0</v>
      </c>
      <c r="J2" s="68"/>
      <c r="K2" s="68"/>
      <c r="L2" s="100" t="s">
        <v>1181</v>
      </c>
      <c r="M2" s="101">
        <v>0.0</v>
      </c>
    </row>
    <row r="3" ht="15.75" customHeight="1">
      <c r="A3" s="11">
        <v>1588.0</v>
      </c>
      <c r="B3" s="11" t="s">
        <v>42</v>
      </c>
      <c r="C3" s="86" t="s">
        <v>2071</v>
      </c>
      <c r="D3" s="102" t="s">
        <v>2072</v>
      </c>
      <c r="E3" s="101">
        <v>0.0</v>
      </c>
      <c r="F3" s="100" t="s">
        <v>1175</v>
      </c>
      <c r="G3" s="101">
        <v>0.0</v>
      </c>
      <c r="H3" s="100" t="s">
        <v>1176</v>
      </c>
      <c r="I3" s="101">
        <v>0.0</v>
      </c>
      <c r="J3" s="68"/>
      <c r="K3" s="68"/>
      <c r="L3" s="100" t="s">
        <v>1181</v>
      </c>
      <c r="M3" s="101">
        <v>0.0</v>
      </c>
    </row>
    <row r="4" ht="15.75" customHeight="1">
      <c r="A4" s="11">
        <v>1588.0</v>
      </c>
      <c r="B4" s="11" t="s">
        <v>42</v>
      </c>
      <c r="C4" s="86" t="s">
        <v>2073</v>
      </c>
      <c r="D4" s="100" t="s">
        <v>2074</v>
      </c>
      <c r="E4" s="101">
        <v>0.0</v>
      </c>
      <c r="F4" s="100" t="s">
        <v>1175</v>
      </c>
      <c r="G4" s="101">
        <v>0.0</v>
      </c>
      <c r="H4" s="100" t="s">
        <v>1176</v>
      </c>
      <c r="I4" s="101">
        <v>0.0</v>
      </c>
      <c r="J4" s="68"/>
      <c r="K4" s="68"/>
      <c r="L4" s="100" t="s">
        <v>1181</v>
      </c>
      <c r="M4" s="101">
        <v>0.0</v>
      </c>
    </row>
    <row r="5" ht="15.75" customHeight="1">
      <c r="A5" s="11">
        <v>1588.0</v>
      </c>
      <c r="B5" s="11" t="s">
        <v>42</v>
      </c>
      <c r="C5" s="68" t="s">
        <v>2075</v>
      </c>
      <c r="D5" s="68"/>
      <c r="E5" s="68"/>
      <c r="F5" s="100" t="s">
        <v>1175</v>
      </c>
      <c r="G5" s="101">
        <v>0.0</v>
      </c>
      <c r="H5" s="12"/>
      <c r="I5" s="12"/>
      <c r="J5" s="68"/>
      <c r="K5" s="68"/>
      <c r="L5" s="68"/>
      <c r="M5" s="68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11.5"/>
  </cols>
  <sheetData>
    <row r="1" ht="15.75" customHeight="1">
      <c r="A1" s="1" t="s">
        <v>0</v>
      </c>
      <c r="B1" s="1" t="s">
        <v>1</v>
      </c>
      <c r="C1" s="1" t="s">
        <v>2076</v>
      </c>
      <c r="D1" s="103" t="s">
        <v>2077</v>
      </c>
      <c r="E1" s="103" t="s">
        <v>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1" t="s">
        <v>0</v>
      </c>
      <c r="B1" s="1" t="s">
        <v>1</v>
      </c>
      <c r="C1" s="1" t="s">
        <v>2078</v>
      </c>
      <c r="D1" s="4" t="s">
        <v>2079</v>
      </c>
      <c r="E1" s="4" t="s">
        <v>7</v>
      </c>
    </row>
    <row r="2" ht="15.75" customHeight="1">
      <c r="A2" s="11">
        <v>1588.0</v>
      </c>
      <c r="B2" s="11" t="s">
        <v>42</v>
      </c>
      <c r="C2" s="4" t="s">
        <v>2080</v>
      </c>
      <c r="D2" s="86" t="s">
        <v>2081</v>
      </c>
      <c r="E2" s="104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13.5"/>
    <col customWidth="1" min="4" max="4" width="15.13"/>
    <col customWidth="1" min="5" max="5" width="11.0"/>
    <col customWidth="1" min="6" max="6" width="15.13"/>
    <col customWidth="1" min="7" max="7" width="11.0"/>
    <col customWidth="1" min="8" max="8" width="15.13"/>
    <col customWidth="1" min="9" max="9" width="11.0"/>
    <col customWidth="1" min="10" max="10" width="15.13"/>
    <col customWidth="1" min="11" max="11" width="11.0"/>
    <col customWidth="1" min="12" max="12" width="15.13"/>
    <col customWidth="1" min="13" max="13" width="11.0"/>
    <col customWidth="1" min="14" max="14" width="15.13"/>
    <col customWidth="1" min="15" max="15" width="11.0"/>
    <col customWidth="1" min="16" max="16" width="15.13"/>
    <col customWidth="1" min="17" max="17" width="11.0"/>
    <col customWidth="1" min="18" max="18" width="15.5"/>
    <col customWidth="1" min="19" max="19" width="11.0"/>
    <col customWidth="1" min="20" max="20" width="15.5"/>
    <col customWidth="1" min="21" max="21" width="11.0"/>
    <col customWidth="1" min="22" max="22" width="30.5"/>
    <col customWidth="1" min="23" max="23" width="10.88"/>
    <col customWidth="1" min="24" max="24" width="30.5"/>
    <col customWidth="1" min="25" max="25" width="10.88"/>
    <col customWidth="1" min="26" max="26" width="26.25"/>
    <col customWidth="1" min="27" max="27" width="10.88"/>
    <col customWidth="1" min="28" max="28" width="49.88"/>
    <col customWidth="1" min="29" max="29" width="10.88"/>
    <col customWidth="1" min="30" max="30" width="18.25"/>
    <col customWidth="1" min="31" max="31" width="10.88"/>
    <col customWidth="1" min="32" max="32" width="23.75"/>
    <col customWidth="1" min="33" max="33" width="10.88"/>
    <col customWidth="1" min="34" max="34" width="18.25"/>
    <col customWidth="1" min="35" max="35" width="10.88"/>
    <col customWidth="1" min="36" max="36" width="23.75"/>
    <col customWidth="1" min="37" max="37" width="10.88"/>
  </cols>
  <sheetData>
    <row r="1" ht="15.75" customHeight="1">
      <c r="A1" s="1" t="s">
        <v>0</v>
      </c>
      <c r="B1" s="1" t="s">
        <v>1</v>
      </c>
      <c r="C1" s="4" t="s">
        <v>2082</v>
      </c>
      <c r="D1" s="4" t="s">
        <v>2083</v>
      </c>
      <c r="E1" s="4" t="s">
        <v>14</v>
      </c>
      <c r="F1" s="4" t="s">
        <v>2084</v>
      </c>
      <c r="G1" s="4" t="s">
        <v>14</v>
      </c>
      <c r="H1" s="4" t="s">
        <v>2085</v>
      </c>
      <c r="I1" s="4" t="s">
        <v>14</v>
      </c>
      <c r="J1" s="4" t="s">
        <v>2086</v>
      </c>
      <c r="K1" s="4" t="s">
        <v>14</v>
      </c>
      <c r="L1" s="4" t="s">
        <v>2087</v>
      </c>
      <c r="M1" s="4" t="s">
        <v>14</v>
      </c>
      <c r="N1" s="4" t="s">
        <v>2088</v>
      </c>
      <c r="O1" s="4" t="s">
        <v>14</v>
      </c>
      <c r="P1" s="104" t="s">
        <v>2089</v>
      </c>
      <c r="Q1" s="4" t="s">
        <v>14</v>
      </c>
      <c r="R1" s="4" t="s">
        <v>2090</v>
      </c>
      <c r="S1" s="4" t="s">
        <v>14</v>
      </c>
      <c r="T1" s="4" t="s">
        <v>2091</v>
      </c>
      <c r="U1" s="4" t="s">
        <v>14</v>
      </c>
      <c r="V1" s="12" t="s">
        <v>2092</v>
      </c>
      <c r="W1" s="12" t="s">
        <v>7</v>
      </c>
      <c r="X1" s="12" t="s">
        <v>938</v>
      </c>
      <c r="Y1" s="12" t="s">
        <v>7</v>
      </c>
      <c r="Z1" s="4" t="s">
        <v>2093</v>
      </c>
      <c r="AA1" s="12" t="s">
        <v>7</v>
      </c>
      <c r="AB1" s="12" t="s">
        <v>2094</v>
      </c>
      <c r="AC1" s="12" t="s">
        <v>7</v>
      </c>
      <c r="AD1" s="68" t="s">
        <v>2095</v>
      </c>
      <c r="AE1" s="68" t="s">
        <v>7</v>
      </c>
      <c r="AF1" s="68" t="s">
        <v>2096</v>
      </c>
      <c r="AG1" s="68" t="s">
        <v>7</v>
      </c>
      <c r="AH1" s="68" t="s">
        <v>2097</v>
      </c>
      <c r="AI1" s="68" t="s">
        <v>7</v>
      </c>
      <c r="AJ1" s="68" t="s">
        <v>2098</v>
      </c>
      <c r="AK1" s="68" t="s">
        <v>7</v>
      </c>
    </row>
    <row r="2" ht="15.75" customHeight="1">
      <c r="A2" s="11">
        <v>1588.0</v>
      </c>
      <c r="B2" s="11" t="s">
        <v>42</v>
      </c>
      <c r="C2" s="4" t="s">
        <v>2099</v>
      </c>
      <c r="D2" s="15" t="s">
        <v>830</v>
      </c>
      <c r="E2" s="11">
        <v>1.0</v>
      </c>
      <c r="F2" s="15" t="s">
        <v>843</v>
      </c>
      <c r="G2" s="11">
        <v>1.0</v>
      </c>
      <c r="H2" s="15" t="s">
        <v>856</v>
      </c>
      <c r="I2" s="11">
        <v>1.0</v>
      </c>
      <c r="J2" s="15" t="s">
        <v>869</v>
      </c>
      <c r="K2" s="11">
        <v>1.0</v>
      </c>
      <c r="L2" s="15" t="s">
        <v>882</v>
      </c>
      <c r="M2" s="11">
        <v>1.0</v>
      </c>
      <c r="N2" s="15" t="s">
        <v>895</v>
      </c>
      <c r="O2" s="11">
        <v>1.0</v>
      </c>
      <c r="P2" s="15" t="s">
        <v>908</v>
      </c>
      <c r="Q2" s="11">
        <v>1.0</v>
      </c>
      <c r="R2" s="15" t="s">
        <v>921</v>
      </c>
      <c r="S2" s="11">
        <v>1.0</v>
      </c>
      <c r="T2" s="15" t="s">
        <v>928</v>
      </c>
      <c r="U2" s="11">
        <v>1.0</v>
      </c>
      <c r="V2" s="15" t="s">
        <v>2100</v>
      </c>
      <c r="W2" s="4"/>
      <c r="X2" s="15" t="s">
        <v>2101</v>
      </c>
      <c r="Y2" s="4"/>
      <c r="Z2" s="15" t="s">
        <v>2102</v>
      </c>
      <c r="AA2" s="4"/>
      <c r="AB2" s="15" t="s">
        <v>2074</v>
      </c>
      <c r="AC2" s="68"/>
      <c r="AD2" s="15" t="s">
        <v>922</v>
      </c>
      <c r="AE2" s="85">
        <v>1.0</v>
      </c>
      <c r="AF2" s="31" t="s">
        <v>2103</v>
      </c>
      <c r="AG2" s="85">
        <v>1.0</v>
      </c>
      <c r="AH2" s="15" t="s">
        <v>929</v>
      </c>
      <c r="AI2" s="85">
        <v>1.0</v>
      </c>
      <c r="AJ2" s="31" t="s">
        <v>2104</v>
      </c>
      <c r="AK2" s="85">
        <v>1.0</v>
      </c>
    </row>
    <row r="3" ht="15.75" customHeight="1"/>
    <row r="4" ht="15.75" customHeight="1"/>
    <row r="5" ht="15.75" customHeight="1"/>
    <row r="6" ht="15.75" customHeight="1">
      <c r="F6" s="53"/>
    </row>
    <row r="7" ht="15.75" customHeight="1">
      <c r="F7" s="53"/>
    </row>
    <row r="8" ht="15.75" customHeight="1">
      <c r="F8" s="53"/>
    </row>
    <row r="9" ht="15.75" customHeight="1">
      <c r="F9" s="53"/>
    </row>
    <row r="10" ht="15.75" customHeight="1">
      <c r="F10" s="105"/>
    </row>
    <row r="11" ht="15.75" customHeight="1">
      <c r="F11" s="53"/>
    </row>
    <row r="12" ht="15.75" customHeight="1">
      <c r="F12" s="53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