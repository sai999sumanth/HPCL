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Master'!$A$1:$DH$1000</definedName>
  </definedNames>
  <calcPr/>
  <extLst>
    <ext uri="GoogleSheetsCustomDataVersion2">
      <go:sheetsCustomData xmlns:go="http://customooxmlschemas.google.com/" r:id="rId22" roundtripDataChecksum="PU0i7SeDCF52L2Z5QSgduKnxl5LWPYIL6BOgNHE1vpI="/>
    </ext>
  </extLst>
</workbook>
</file>

<file path=xl/sharedStrings.xml><?xml version="1.0" encoding="utf-8"?>
<sst xmlns="http://schemas.openxmlformats.org/spreadsheetml/2006/main" count="2715" uniqueCount="1482">
  <si>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</si>
  <si>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</si>
  <si>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</si>
  <si>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</si>
  <si>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</si>
  <si>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</si>
  <si>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</si>
  <si>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</si>
  <si>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</si>
  <si>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</si>
  <si>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</si>
  <si>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</si>
  <si>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 xml:space="preserve">TANK LEAKAGE STATUS </t>
  </si>
  <si>
    <t>Primary Gauge HIGH</t>
  </si>
  <si>
    <t>Normal Value</t>
  </si>
  <si>
    <t>Primary Gauge HIGH HIGH</t>
  </si>
  <si>
    <t>LEVEL SWITCH</t>
  </si>
  <si>
    <t xml:space="preserve">LEVEL SWITCH PROOF OK </t>
  </si>
  <si>
    <t>LEVEL SWITCH PROOF FAILED</t>
  </si>
  <si>
    <t>RADAR HHH</t>
  </si>
  <si>
    <t>RADAR PROOF OK</t>
  </si>
  <si>
    <t>RADAR PROOF FAILED</t>
  </si>
  <si>
    <t>ROSOV OPEN STATUS IL1</t>
  </si>
  <si>
    <t>ROSOV FAIL TO CLOSE STATUS IL1</t>
  </si>
  <si>
    <t>ROSOV OPEN STATUS IL2</t>
  </si>
  <si>
    <t>ROSOV FAIL TO CLOSE STATUS IL2</t>
  </si>
  <si>
    <t>ROSOV OPEN STATUS OL</t>
  </si>
  <si>
    <t>ROSOV FAIL TO CLOSE STATUS OL</t>
  </si>
  <si>
    <t>ROSOV OPEN STATUS RCL</t>
  </si>
  <si>
    <t>ROSOV FAIL TO CLOSE STATUS RCL</t>
  </si>
  <si>
    <t>MOV STATUS IL1</t>
  </si>
  <si>
    <t>MOV REMOTE STATUS IL1</t>
  </si>
  <si>
    <t>MOV STATUS IL2</t>
  </si>
  <si>
    <t>MOV STATUS OL</t>
  </si>
  <si>
    <t>MOV REMOTE STATUS OL1</t>
  </si>
  <si>
    <t>MOV STATUS RCL</t>
  </si>
  <si>
    <t>RIMSEAL FIRE ALARM</t>
  </si>
  <si>
    <t>RIMSEAL FAULT ALARM</t>
  </si>
  <si>
    <t>Coimbatore</t>
  </si>
  <si>
    <t>TK-01</t>
  </si>
  <si>
    <t>AG</t>
  </si>
  <si>
    <t>ATF</t>
  </si>
  <si>
    <t>PLC.SFTPLC.CAUSE_ANY_ESD_PB_ACTI</t>
  </si>
  <si>
    <t>TANK.TK-01.LEVEL</t>
  </si>
  <si>
    <t>Primary Radar</t>
  </si>
  <si>
    <t>TANK.TK-01.TANK_ALERT_ALARM</t>
  </si>
  <si>
    <t>TANK.TK-01.HIGH_LEVEL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</si>
  <si>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</si>
  <si>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</si>
  <si>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</si>
  <si>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</si>
  <si>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</si>
  <si>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</si>
  <si>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</si>
  <si>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</si>
  <si>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</si>
  <si>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</si>
  <si>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</si>
  <si>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</si>
  <si>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</si>
  <si>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</si>
  <si>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</si>
  <si>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</si>
  <si>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</si>
  <si>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MOV.MOV-001.OPEN_STATUS</t>
  </si>
  <si>
    <t>MOV IL1</t>
  </si>
  <si>
    <t>MOV.MOV-001.REMOTE_STATUS</t>
  </si>
  <si>
    <t>MOV.MOV-002.OPEN_STATUS</t>
  </si>
  <si>
    <t>MOV OL</t>
  </si>
  <si>
    <t>MOV.MOV-002.REMOTE_STATUS</t>
  </si>
  <si>
    <t>TK-02</t>
  </si>
  <si>
    <t>TANK.TK-02.LEVEL</t>
  </si>
  <si>
    <t>TANK.TK-02.TANK_ALERT_ALARM</t>
  </si>
  <si>
    <t>TANK.TK-02.HIGH_LEVEL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</si>
  <si>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</si>
  <si>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</si>
  <si>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</si>
  <si>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</si>
  <si>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</si>
  <si>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</si>
  <si>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</si>
  <si>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MOV.ROSOV-03.OPEN_STATUS</t>
  </si>
  <si>
    <t>MOV.ROSOV-03.FAILED_TO_CLOSE</t>
  </si>
  <si>
    <t>MOV.ROSOV-04.OPEN_STATUS</t>
  </si>
  <si>
    <t>MOV.ROSOV-04.FAILED_TO_CLOSE</t>
  </si>
  <si>
    <t>MOV.MOV-003.OPEN_STATUS</t>
  </si>
  <si>
    <t>MOV.MOV-003.REMOTE_STATUS</t>
  </si>
  <si>
    <t>MOV.MOV-004.OPEN_STATUS</t>
  </si>
  <si>
    <t>MOV.MOV-004.REMOTE_STATUS</t>
  </si>
  <si>
    <t>TK-03</t>
  </si>
  <si>
    <t>BS VI HSD</t>
  </si>
  <si>
    <t>TANK.TK-03.LEVEL</t>
  </si>
  <si>
    <t>TANK.TK-03.TANK_ALERT_ALARM</t>
  </si>
  <si>
    <t>TANK.TK-03.HIGH_LEVEL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</si>
  <si>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</si>
  <si>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</si>
  <si>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</si>
  <si>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</si>
  <si>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</si>
  <si>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</si>
  <si>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</si>
  <si>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MOV.ROSOV-05.OPEN_STATUS</t>
  </si>
  <si>
    <t>MOV.ROSOV-05.FAILED_TO_CLOSE</t>
  </si>
  <si>
    <t>MOV.ROSOV-06.OPEN_STATUS</t>
  </si>
  <si>
    <t>MOV.ROSOV-06.FAILED_TO_CLOSE</t>
  </si>
  <si>
    <t>MOV.MOV-005.OPEN_STATUS</t>
  </si>
  <si>
    <t>MOV.MOV-005.REMOTE_STATUS</t>
  </si>
  <si>
    <t>MOV.MOV-006.OPEN_STATUS</t>
  </si>
  <si>
    <t>MOV.MOV-006.REMOTE_STATUS</t>
  </si>
  <si>
    <t>TK-04</t>
  </si>
  <si>
    <t>BS VI MS</t>
  </si>
  <si>
    <t>TANK.TK-04.LEVEL</t>
  </si>
  <si>
    <t>TANK.TK-04.TANK_ALERT_ALARM</t>
  </si>
  <si>
    <t>TANK.TK-04.HIGH_LEVEL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</si>
  <si>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</si>
  <si>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</si>
  <si>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</si>
  <si>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</si>
  <si>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</si>
  <si>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</si>
  <si>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</si>
  <si>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</si>
  <si>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</si>
  <si>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</si>
  <si>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</si>
  <si>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MOV.MOV-007.OPEN_STATUS</t>
  </si>
  <si>
    <t>MOV.MOV-007.REMOTE_STATUS</t>
  </si>
  <si>
    <t>MOV.MOV-008.OPEN_STATUS</t>
  </si>
  <si>
    <t>MOV.MOV-008.REMOTE_STATUS</t>
  </si>
  <si>
    <t>TK-05</t>
  </si>
  <si>
    <t>TANK.TK-05.LEVEL</t>
  </si>
  <si>
    <t>TANK.TK-05.TANK_ALERT_ALARM</t>
  </si>
  <si>
    <t>TANK.TK-05.HIGH_LEVEL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</si>
  <si>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</si>
  <si>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</si>
  <si>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</si>
  <si>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</si>
  <si>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</si>
  <si>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</si>
  <si>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</si>
  <si>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MOV.ROSOV-09.OPEN_STATUS</t>
  </si>
  <si>
    <t>MOV.ROSOV-09.FAILED_TO_CLOSE</t>
  </si>
  <si>
    <t>MOV.ROSOV-10.OPEN_STATUS</t>
  </si>
  <si>
    <t>MOV.ROSOV-10.FAILED_TO_CLOSE</t>
  </si>
  <si>
    <t>MOV.MOV-009.OPEN_STATUS</t>
  </si>
  <si>
    <t>MOV.MOV-009.REMOTE_STATUS</t>
  </si>
  <si>
    <t>MOV.MOV-010.OPEN_STATUS</t>
  </si>
  <si>
    <t>MOV.MOV-010.REMOTE_STATUS</t>
  </si>
  <si>
    <t>TK-06</t>
  </si>
  <si>
    <t>ETHANOL</t>
  </si>
  <si>
    <t>TANK.TK-06.LEVEL</t>
  </si>
  <si>
    <t>TANK.TK-06.TANK_ALERT_ALARM</t>
  </si>
  <si>
    <t>TANK.TK-06.HIGH_LEVEL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</si>
  <si>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</si>
  <si>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</si>
  <si>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</si>
  <si>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</si>
  <si>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</si>
  <si>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</si>
  <si>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</si>
  <si>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MOV.ROSOV-11.OPEN_STATUS</t>
  </si>
  <si>
    <t>MOV.ROSOV-11.FAILED_TO_CLOSE</t>
  </si>
  <si>
    <t>MOV.ROSOV-12.OPEN_STATUS</t>
  </si>
  <si>
    <t>MOV.ROSOV-12.FAILED_TO_CLOSE</t>
  </si>
  <si>
    <t>MOV.MOV-011.OPEN_STATUS</t>
  </si>
  <si>
    <t>MOV.MOV-011.REMOTE_STATUS</t>
  </si>
  <si>
    <t>MOV.MOV-012.OPEN_STATUS</t>
  </si>
  <si>
    <t>MOV.MOV-012.REMOTE_STATUS</t>
  </si>
  <si>
    <t>TK-07</t>
  </si>
  <si>
    <t>UG</t>
  </si>
  <si>
    <t>TANK.TK-07.LEVEL</t>
  </si>
  <si>
    <t>TANK.TK-07.TANK_ALERT_ALARM</t>
  </si>
  <si>
    <t>TANK.TK-07.HIGH_LEVEL</t>
  </si>
  <si>
    <t>TANK.TK-07.HIGH_HIGH_LEVEL</t>
  </si>
  <si>
    <t>TK-08</t>
  </si>
  <si>
    <t>TANK.TK-08.LEVEL</t>
  </si>
  <si>
    <t>TANK.TK-08.TANK_ALERT_ALARM</t>
  </si>
  <si>
    <t>TANK.TK-08.HIGH_LEVEL</t>
  </si>
  <si>
    <t>TANK.TK-08.HIGH_HIGH_LEVEL</t>
  </si>
  <si>
    <t>TK-09</t>
  </si>
  <si>
    <t>TANK.TK-09.LEVEL</t>
  </si>
  <si>
    <t>TANK.TK-09.TANK_ALERT_ALARM</t>
  </si>
  <si>
    <t>TANK.TK-09.HIGH_LEVEL</t>
  </si>
  <si>
    <t>TANK.TK-09.HIGH_HIGH_LEVEL</t>
  </si>
  <si>
    <t>TK-10</t>
  </si>
  <si>
    <t>WATER</t>
  </si>
  <si>
    <t>TANK.TK-10.LEVEL</t>
  </si>
  <si>
    <t>TANK.TK-10.TANK_ALERT_ALARM</t>
  </si>
  <si>
    <t>TANK.TK-10.HIGH_LEVEL</t>
  </si>
  <si>
    <t>TANK.TK-10.HIGH_HIGH_LEVEL</t>
  </si>
  <si>
    <t>TK-11</t>
  </si>
  <si>
    <t>TANK.TK-11.LEVEL</t>
  </si>
  <si>
    <t>TANK.TK-11.TANK_ALERT_ALARM</t>
  </si>
  <si>
    <t>TANK.TK-11.HIGH_LEVEL</t>
  </si>
  <si>
    <t>TANK.TK-11.HIGH_HIGH_LEVEL</t>
  </si>
  <si>
    <t>TK-12</t>
  </si>
  <si>
    <t>TANK.TK-12.LEVEL</t>
  </si>
  <si>
    <t>TANK.TK-12.TANK_ALERT_ALARM</t>
  </si>
  <si>
    <t>TANK.TK-12.HIGH_LEVEL</t>
  </si>
  <si>
    <t>TANK.TK-12.HIGH_HIGH_LEVEL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</si>
  <si>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</si>
  <si>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</si>
  <si>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</si>
  <si>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</si>
  <si>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</si>
  <si>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</si>
  <si>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MOV.ROSOV-13.OPEN_STATUS</t>
  </si>
  <si>
    <t>MOV.ROSOV-13.FAILED_TO_CLOSE</t>
  </si>
  <si>
    <t>MOV.ROSOV-14.OPEN_STATUS</t>
  </si>
  <si>
    <t>MOV.ROSOV-14.FAILED_TO_CLOSE</t>
  </si>
  <si>
    <t>MOV.MOV-013.OPEN_STATUS</t>
  </si>
  <si>
    <t>MOV.MOV-013.REMOTE_STATUS</t>
  </si>
  <si>
    <t>MOV.MOV-014.OPEN_STATUS</t>
  </si>
  <si>
    <t>MOV.MOV-014.REMOTE_STATUS</t>
  </si>
  <si>
    <t>TK-13</t>
  </si>
  <si>
    <t>TANK.TK-13.LEVEL</t>
  </si>
  <si>
    <t>TANK.TK-13.TANK_ALERT_ALARM</t>
  </si>
  <si>
    <t>TANK.TK-13.HIGH_LEVEL</t>
  </si>
  <si>
    <t>TANK.TK-13.HIGH_HIGH_LEVEL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</si>
  <si>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</si>
  <si>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</si>
  <si>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</si>
  <si>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</si>
  <si>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</si>
  <si>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</si>
  <si>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MOV.ROSOV-39.OPEN_STATUS</t>
  </si>
  <si>
    <t>MOV.ROSOV-39.FAILED_TO_CLOSE</t>
  </si>
  <si>
    <t>MOV.ROSOV-40.OPEN_STATUS</t>
  </si>
  <si>
    <t>MOV.ROSOV-40.FAILED_TO_CLOSE</t>
  </si>
  <si>
    <t>MOV.MOV-032.OPEN_STATUS</t>
  </si>
  <si>
    <t>MOV.MOV-032.REMOTE_STATUS</t>
  </si>
  <si>
    <t>MOV.MOV-033.OPEN_STATUS</t>
  </si>
  <si>
    <t>MOV.MOV-033.REMOTE_STATUS</t>
  </si>
  <si>
    <t>TK-14</t>
  </si>
  <si>
    <t>TANK.TK-14.LEVEL</t>
  </si>
  <si>
    <t>TANK.TK-14.TANK_ALERT_ALARM</t>
  </si>
  <si>
    <t>TANK.TK-14.HIGH_LEVEL</t>
  </si>
  <si>
    <t>TANK.TK-14.HIGH_HIGH_LEVEL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</si>
  <si>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</si>
  <si>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</si>
  <si>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</si>
  <si>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</si>
  <si>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</si>
  <si>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</si>
  <si>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MOV.ROSOV-15.OPEN_STATUS</t>
  </si>
  <si>
    <t>MOV.ROSOV-15.FAILED_TO_CLOSE</t>
  </si>
  <si>
    <t>MOV.ROSOV-16.OPEN_STATUS</t>
  </si>
  <si>
    <t>MOV.ROSOV-16.FAILED_TO_CLOSE</t>
  </si>
  <si>
    <t>MOV.MOV-015.OPEN_STATUS</t>
  </si>
  <si>
    <t>MOV.MOV-015.REMOTE_STATUS</t>
  </si>
  <si>
    <t>MOV.MOV-016.OPEN_STATUS</t>
  </si>
  <si>
    <t>MOV.MOV-016.REMOTE_STATUS</t>
  </si>
  <si>
    <t>TK-15</t>
  </si>
  <si>
    <t>TANK.TK-15.LEVEL</t>
  </si>
  <si>
    <t>TANK.TK-15.TANK_ALERT_ALARM</t>
  </si>
  <si>
    <t>TANK.TK-15.HIGH_LEVEL</t>
  </si>
  <si>
    <t>TANK.TK-15.HIGH_HIGH_LEVEL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</si>
  <si>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</si>
  <si>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</si>
  <si>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</si>
  <si>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</si>
  <si>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</si>
  <si>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</si>
  <si>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MOV.ROSOV-17.OPEN_STATUS</t>
  </si>
  <si>
    <t>MOV.ROSOV-17.FAILED_TO_CLOSE</t>
  </si>
  <si>
    <t>MOV.ROSOV-18.OPEN_STATUS</t>
  </si>
  <si>
    <t>MOV.ROSOV-18.FAILED_TO_CLOSE</t>
  </si>
  <si>
    <t>MOV.MOV-017.OPEN_STATUS</t>
  </si>
  <si>
    <t>MOV.MOV-017.REMOTE_STATUS</t>
  </si>
  <si>
    <t>MOV.MOV-018.OPEN_STATUS</t>
  </si>
  <si>
    <t>MOV.MOV-018.REMOTE_STATUS</t>
  </si>
  <si>
    <t>TK-16</t>
  </si>
  <si>
    <t>TANK.TK-16.LEVEL</t>
  </si>
  <si>
    <t>TANK.TK-16.TANK_ALERT_ALARM</t>
  </si>
  <si>
    <t>TANK.TK-16.HIGH_LEVEL</t>
  </si>
  <si>
    <t>TANK.TK-16.HIGH_HIGH_LEVEL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</si>
  <si>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</si>
  <si>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</si>
  <si>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</si>
  <si>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</si>
  <si>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</si>
  <si>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</si>
  <si>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MOV.ROSOV-19.OPEN_STATUS</t>
  </si>
  <si>
    <t>MOV.ROSOV-19.FAILED_TO_CLOSE</t>
  </si>
  <si>
    <t>MOV.ROSOV-20.OPEN_STATUS</t>
  </si>
  <si>
    <t>MOV.ROSOV-20.FAILED_TO_CLOSE</t>
  </si>
  <si>
    <t>MOV.MOV-019.OPEN_STATUS</t>
  </si>
  <si>
    <t>MOV.MOV-019.REMOTE_STATUS</t>
  </si>
  <si>
    <t>MOV.MOV-020.OPEN_STATUS</t>
  </si>
  <si>
    <t>MOV.MOV-020.REMOTE_STATUS</t>
  </si>
  <si>
    <t>TK-18</t>
  </si>
  <si>
    <t>LDO</t>
  </si>
  <si>
    <t>TANK.TK-18.LEVEL</t>
  </si>
  <si>
    <t>TANK.TK-18.TANK_ALERT_ALARM</t>
  </si>
  <si>
    <t>TANK.TK-18.HIGH_LEVEL</t>
  </si>
  <si>
    <t>TANK.TK-18.HIGH_HIGH_LEVEL</t>
  </si>
  <si>
    <t>TK-19</t>
  </si>
  <si>
    <t>TANK.TK-19.LEVEL</t>
  </si>
  <si>
    <t>TANK.TK-19.TANK_ALERT_ALARM</t>
  </si>
  <si>
    <t>TANK.TK-19.HIGH_LEVEL</t>
  </si>
  <si>
    <t>TANK.TK-19.HIGH_HIGH_LEVEL</t>
  </si>
  <si>
    <t>TK-20</t>
  </si>
  <si>
    <t>TANK.TK-20.LEVEL</t>
  </si>
  <si>
    <t>TANK.TK-20.TANK_ALERT_ALARM</t>
  </si>
  <si>
    <t>TANK.TK-20.HIGH_LEVEL</t>
  </si>
  <si>
    <t>TANK.TK-20.HIGH_HIGH_LEVEL</t>
  </si>
  <si>
    <t>TK-21</t>
  </si>
  <si>
    <t>TANK.TK-21.LEVEL</t>
  </si>
  <si>
    <t>TANK.TK-21.TANK_ALERT_ALARM</t>
  </si>
  <si>
    <t>TANK.TK-21.HIGH_LEVEL</t>
  </si>
  <si>
    <t>TANK.TK-21.HIGH_HIGH_LEVEL</t>
  </si>
  <si>
    <t>TK-22</t>
  </si>
  <si>
    <t>TANK.TK-22.LEVEL</t>
  </si>
  <si>
    <t>TANK.TK-22.TANK_ALERT_ALARM</t>
  </si>
  <si>
    <t>TANK.TK-22.HIGH_LEVEL</t>
  </si>
  <si>
    <t>TANK.TK-22.HIGH_HIGH_LEVEL</t>
  </si>
  <si>
    <t>TK-23</t>
  </si>
  <si>
    <t>-</t>
  </si>
  <si>
    <t>TANK.TK-23.TANK_ALERT_ALARM</t>
  </si>
  <si>
    <t>TANK.TK-23.HIGH_LEVEL</t>
  </si>
  <si>
    <t>TANK.TK-23.HIGH_HIGH_LEVEL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</si>
  <si>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</si>
  <si>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</si>
  <si>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</si>
  <si>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</si>
  <si>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</si>
  <si>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</si>
  <si>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MOV.ROSOV-41.OPEN_STATUS</t>
  </si>
  <si>
    <t>MOV.ROSOV-41.FAILED_TO_CLOSE</t>
  </si>
  <si>
    <t>MOV.ROSOV-42.OPEN_STATUS</t>
  </si>
  <si>
    <t>MOV.ROSOV-42.FAILED_TO_CLOSE</t>
  </si>
  <si>
    <t>MOV.MOV-034.OPEN_STATUS</t>
  </si>
  <si>
    <t>MOV.MOV-034.REMOTE_STATUS</t>
  </si>
  <si>
    <t>MOV.MOV-035.OPEN_STATUS</t>
  </si>
  <si>
    <t>MOV.MOV-035.REMOTE_STATUS</t>
  </si>
  <si>
    <t>TK-24</t>
  </si>
  <si>
    <t>TANK.TK-24.TANK_ALERT_ALARM</t>
  </si>
  <si>
    <t>TANK.TK-24.HIGH_LEVEL</t>
  </si>
  <si>
    <t>TANK.TK-24.HIGH_HIGH_LEVEL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</si>
  <si>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</si>
  <si>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</si>
  <si>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</si>
  <si>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</si>
  <si>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</si>
  <si>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</si>
  <si>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MOV.ROSOV-43.OPEN_STATUS</t>
  </si>
  <si>
    <t>MOV.ROSOV-43.FAILED_TO_CLOSE</t>
  </si>
  <si>
    <t>MOV.ROSOV-44.OPEN_STATUS</t>
  </si>
  <si>
    <t>MOV.ROSOV-44.FAILED_TO_CLOSE</t>
  </si>
  <si>
    <t>MOV.MOV-036.OPEN_STATUS</t>
  </si>
  <si>
    <t>MOV.MOV-036.REMOTE_STATUS</t>
  </si>
  <si>
    <t>MOV.MOV-037.OPEN_STATUS</t>
  </si>
  <si>
    <t>MOV.MOV-037.REMOTE_STATUS</t>
  </si>
  <si>
    <t>TK-29</t>
  </si>
  <si>
    <t>BIO DIESEL</t>
  </si>
  <si>
    <t>TANK.TK-29.LEVEL</t>
  </si>
  <si>
    <t>TANK.TK-29.TANK_ALERT_ALARM</t>
  </si>
  <si>
    <t>TANK.TK-29.HIGH_LEVEL</t>
  </si>
  <si>
    <t>TANK.TK-29.HIGH_HIGH_LEVEL</t>
  </si>
  <si>
    <t>TK-30</t>
  </si>
  <si>
    <t>TANK.TK-30.LEVEL</t>
  </si>
  <si>
    <t>TANK.TK-30.TANK_ALERT_ALARM</t>
  </si>
  <si>
    <t>TANK.TK-30.HIGH_LEVEL</t>
  </si>
  <si>
    <t>TANK.TK-30.HIGH_HIGH_LEVEL</t>
  </si>
  <si>
    <t>MOV ID</t>
  </si>
  <si>
    <t>HDR MOV STATUS</t>
  </si>
  <si>
    <t>HDR MOV REMOTE STATUS</t>
  </si>
  <si>
    <t>HDR MOV MAINTENANCE STATUS</t>
  </si>
  <si>
    <t>TOBV-01_BS VI HSD</t>
  </si>
  <si>
    <t>TOBV-01</t>
  </si>
  <si>
    <t>MOV.TOBV-01.OPEN_STATUS</t>
  </si>
  <si>
    <t>MOV.TOBV-01.REMOTE_STATUS</t>
  </si>
  <si>
    <t>MOV.TOBV-01.MAINTENANCE_STATUS</t>
  </si>
  <si>
    <t>TOBV-02_BIO DIESEL</t>
  </si>
  <si>
    <t>TOBV-02</t>
  </si>
  <si>
    <t>MOV.TOBV-02.OPEN_STATUS</t>
  </si>
  <si>
    <t>MOV.TOBV-02.REMOTE_STATUS</t>
  </si>
  <si>
    <t>MOV.TOBV-02.MAINTENANCE_STATUS</t>
  </si>
  <si>
    <t>TOBV-03_ATF</t>
  </si>
  <si>
    <t>TOBV-03</t>
  </si>
  <si>
    <t>MOV.TOBV-03.OPEN_STATUS</t>
  </si>
  <si>
    <t>MOV.TOBV-03.REMOTE_STATUS</t>
  </si>
  <si>
    <t>MOV.TOBV-03.MAINTENANCE_STATUS</t>
  </si>
  <si>
    <t>TOBV-04_ETHANOL</t>
  </si>
  <si>
    <t>TOBV-04</t>
  </si>
  <si>
    <t>MOV.TOBV-04.OPEN_STATUS</t>
  </si>
  <si>
    <t>MOV.TOBV-04.REMOTE_STATUS</t>
  </si>
  <si>
    <t>MOV.TOBV-04.MAINTENANCE_STATUS</t>
  </si>
  <si>
    <t>TOBV-05_BS VI MS</t>
  </si>
  <si>
    <t>TOBV-05</t>
  </si>
  <si>
    <t>MOV.TOBV-05.OPEN_STATUS</t>
  </si>
  <si>
    <t>MOV.TOBV-05.REMOTE_STATUS</t>
  </si>
  <si>
    <t>MOV.TOBV-05.MAINTENANCE_STATUS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</si>
  <si>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</si>
  <si>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</si>
  <si>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</si>
  <si>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</si>
  <si>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</si>
  <si>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</si>
  <si>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</si>
  <si>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</si>
  <si>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</si>
  <si>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</si>
  <si>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</si>
  <si>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</si>
  <si>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</si>
  <si>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</si>
  <si>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Coimbatore_M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</si>
  <si>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</si>
  <si>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</si>
  <si>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</si>
  <si>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</si>
  <si>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</si>
  <si>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MOV.MOV-001.MAINTENANCE_STATUS</t>
  </si>
  <si>
    <t>MOV.MOV-002.MAINTENANCE_STATUS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</si>
  <si>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</si>
  <si>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</si>
  <si>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</si>
  <si>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</si>
  <si>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</si>
  <si>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MOV.MOV-003.MAINTENANCE_STATUS</t>
  </si>
  <si>
    <t>MOV.MOV-004.MAINTENANCE_STATUS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</si>
  <si>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</si>
  <si>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</si>
  <si>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</si>
  <si>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</si>
  <si>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</si>
  <si>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MOV.MOV-005.MAINTENANCE_STATUS</t>
  </si>
  <si>
    <t>MOV.MOV-006.MAINTENANCE_STATUS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</si>
  <si>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</si>
  <si>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</si>
  <si>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</si>
  <si>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</si>
  <si>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</si>
  <si>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MOV.MOV-007.MAINTENANCE_STATUS</t>
  </si>
  <si>
    <t>MOV.MOV-008.MAINTENANCE_STATUS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</si>
  <si>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</si>
  <si>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</si>
  <si>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</si>
  <si>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</si>
  <si>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</si>
  <si>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MOV.MOV-009.MAINTENANCE_STATUS</t>
  </si>
  <si>
    <t>MOV.MOV-010.MAINTENANCE_STATUS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</si>
  <si>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</si>
  <si>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</si>
  <si>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</si>
  <si>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</si>
  <si>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</si>
  <si>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MOV.MOV-011.MAINTENANCE_STATUS</t>
  </si>
  <si>
    <t>MOV.MOV-012.MAINTENANCE_STATUS</t>
  </si>
  <si>
    <t>TANK.TK-12.MAINTENANCE_STATUS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</si>
  <si>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</si>
  <si>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</si>
  <si>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</si>
  <si>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</si>
  <si>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MOV.MOV-013.MAINTENANCE_STATUS</t>
  </si>
  <si>
    <t>MOV.MOV-014.MAINTENANCE_STATUS</t>
  </si>
  <si>
    <t>TANK.TK-13.MAINTENANCE_STATUS</t>
  </si>
  <si>
    <t>LEVELSWITCH.LSW-11.MAINTENANCE_STATUS</t>
  </si>
  <si>
    <t>LEVELSWITCH.RDR-11.MAINTENANCE_STATUS</t>
  </si>
  <si>
    <t>MOV.ROSOV-39.MAINTENANCE_STATUS</t>
  </si>
  <si>
    <t>MOV.ROSOV-40.MAINTENANCE_STATUS</t>
  </si>
  <si>
    <t>MOV.MOV-032.MAINTENANCE_STATUS</t>
  </si>
  <si>
    <t>MOV.MOV-033.MAINTENANCE_STATUS</t>
  </si>
  <si>
    <t>TANK.TK-14.MAINTENANCE_STATUS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</si>
  <si>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</si>
  <si>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</si>
  <si>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</si>
  <si>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</si>
  <si>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MOV.MOV-015.MAINTENANCE_STATUS</t>
  </si>
  <si>
    <t>MOV.MOV-016.MAINTENANCE_STATUS</t>
  </si>
  <si>
    <t>TANK.TK-15.MAINTENANCE_STATUS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</si>
  <si>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</si>
  <si>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</si>
  <si>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</si>
  <si>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</si>
  <si>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MOV.MOV-017.MAINTENANCE_STATUS</t>
  </si>
  <si>
    <t>MOV.MOV-018.MAINTENANCE_STATUS</t>
  </si>
  <si>
    <t>TANK.TK-16.MAINTENANCE_STATUS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</si>
  <si>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</si>
  <si>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</si>
  <si>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</si>
  <si>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</si>
  <si>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MOV.MOV-019.MAINTENANCE_STATUS</t>
  </si>
  <si>
    <t>MOV.MOV-020.MAINTENANCE_STATUS</t>
  </si>
  <si>
    <t>TANK.TK-23.MAINTENANCE_STATUS</t>
  </si>
  <si>
    <t>LEVELSWITCH.LSW-12.MAINTENANCE_STATUS</t>
  </si>
  <si>
    <t>LEVELSWITCH.RDR-12.MAINTENANCE_STATUS</t>
  </si>
  <si>
    <t>MOV.ROSOV-41.MAINTENANCE_STATUS</t>
  </si>
  <si>
    <t>MOV.ROSOV-42.MAINTENANCE_STATUS</t>
  </si>
  <si>
    <t>MOV.MOV-034.MAINTENANCE_STATUS</t>
  </si>
  <si>
    <t>MOV.MOV-035.MAINTENANCE_STATUS</t>
  </si>
  <si>
    <t>TANK.TK-24.MAINTENANCE_STATUS</t>
  </si>
  <si>
    <t>LEVELSWITCH.LSW-13.MAINTENANCE_STATUS</t>
  </si>
  <si>
    <t>LEVELSWITCH.RDR-13.MAINTENANCE_STATUS</t>
  </si>
  <si>
    <t>MOV.ROSOV-43.MAINTENANCE_STATUS</t>
  </si>
  <si>
    <t>MOV.ROSOV-44.MAINTENANCE_STATUS</t>
  </si>
  <si>
    <t>MOV.MOV-036.MAINTENANCE_STATUS</t>
  </si>
  <si>
    <t>MOV.MOV-037.MAINTENANCE_STATUS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</si>
  <si>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</si>
  <si>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</si>
  <si>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</si>
  <si>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</si>
  <si>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</si>
  <si>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</si>
  <si>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</si>
  <si>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</si>
  <si>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</si>
  <si>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PMP-01</t>
  </si>
  <si>
    <t>Truck Loading</t>
  </si>
  <si>
    <t>DISPATCH</t>
  </si>
  <si>
    <t>PUMP.PMP-01.ON</t>
  </si>
  <si>
    <t>PUMP.PMP-01.REMOTE_STATUS</t>
  </si>
  <si>
    <t>PUMP.PMP-01.MAINTENANCE_STATUS</t>
  </si>
  <si>
    <t>PMP-02</t>
  </si>
  <si>
    <t>PUMP.PMP-02.ON</t>
  </si>
  <si>
    <t>PUMP.PMP-02.REMOTE_STATUS</t>
  </si>
  <si>
    <t>PUMP.PMP-02.MAINTENANCE_STATUS</t>
  </si>
  <si>
    <t>PMP-03</t>
  </si>
  <si>
    <t>PUMP.PMP-03.ON</t>
  </si>
  <si>
    <t>PUMP.PMP-03.REMOTE_STATUS</t>
  </si>
  <si>
    <t>PUMP.PMP-03.MAINTENANCE_STATUS</t>
  </si>
  <si>
    <t>PMP-04</t>
  </si>
  <si>
    <t>Wagon Loading</t>
  </si>
  <si>
    <t>PUMP.PMP-04.ON</t>
  </si>
  <si>
    <t>PUMP.PMP-04.REMOTE_STATUS</t>
  </si>
  <si>
    <t>PUMP.PMP-04.MAINTENANCE_STATUS</t>
  </si>
  <si>
    <t>PMP-05</t>
  </si>
  <si>
    <t>PUMP.PMP-05.ON</t>
  </si>
  <si>
    <t>PUMP.PMP-05.REMOTE_STATUS</t>
  </si>
  <si>
    <t>PUMP.PMP-05.MAINTENANCE_STATUS</t>
  </si>
  <si>
    <t>PMP-06</t>
  </si>
  <si>
    <t>PUMP.PMP-06.ON</t>
  </si>
  <si>
    <t>PUMP.PMP-06.REMOTE_STATUS</t>
  </si>
  <si>
    <t>PUMP.PMP-06.MAINTENANCE_STATUS</t>
  </si>
  <si>
    <t>PMP-07</t>
  </si>
  <si>
    <t>PUMP.PMP-07.ON</t>
  </si>
  <si>
    <t>PUMP.PMP-07.REMOTE_STATUS</t>
  </si>
  <si>
    <t>PUMP.PMP-07.MAINTENANCE_STATUS</t>
  </si>
  <si>
    <t>PMP-08</t>
  </si>
  <si>
    <t>PUMP.PMP-08.ON</t>
  </si>
  <si>
    <t>PUMP.PMP-08.REMOTE_STATUS</t>
  </si>
  <si>
    <t>PUMP.PMP-08.MAINTENANCE_STATUS</t>
  </si>
  <si>
    <t>PMP-09</t>
  </si>
  <si>
    <t>PUMP.PMP-09.ON</t>
  </si>
  <si>
    <t>PUMP.PMP-09.REMOTE_STATUS</t>
  </si>
  <si>
    <t>PUMP.PMP-09.MAINTENANCE_STATUS</t>
  </si>
  <si>
    <t>PMP-11</t>
  </si>
  <si>
    <t>SKO</t>
  </si>
  <si>
    <t>PUMP.PMP-11.ON</t>
  </si>
  <si>
    <t>PUMP.PMP-11.REMOTE_STATUS</t>
  </si>
  <si>
    <t>PUMP.PMP-11.MAINTENANCE_STATUS</t>
  </si>
  <si>
    <t>PMP-18</t>
  </si>
  <si>
    <t>PUMP.PMP-18.ON</t>
  </si>
  <si>
    <t>PUMP.PMP-18.REMOTE_STATUS</t>
  </si>
  <si>
    <t>PUMP.PMP-18.MAINTENANCE_STATUS</t>
  </si>
  <si>
    <t>PMP-19</t>
  </si>
  <si>
    <t>PUMP.PMP-19.ON</t>
  </si>
  <si>
    <t>PUMP.PMP-19.REMOTE_STATUS</t>
  </si>
  <si>
    <t>PUMP.PMP-19.MAINTENANCE_STATUS</t>
  </si>
  <si>
    <t>PMP-20</t>
  </si>
  <si>
    <t>POWERMS</t>
  </si>
  <si>
    <t>PUMP.PMP-20.ON</t>
  </si>
  <si>
    <t>PUMP.PMP-20.REMOTE_STATUS</t>
  </si>
  <si>
    <t>PUMP.PMP-20.MAINTENANCE_STATUS</t>
  </si>
  <si>
    <t>PMP-21</t>
  </si>
  <si>
    <t>TURBOHSD</t>
  </si>
  <si>
    <t>PUMP.PMP-21.ON</t>
  </si>
  <si>
    <t>PUMP.PMP-21.REMOTE_STATUS</t>
  </si>
  <si>
    <t>PUMP.PMP-21.MAINTENANCE_STATUS</t>
  </si>
  <si>
    <t>PMP-22</t>
  </si>
  <si>
    <t>PUMP.PMP-22.ON</t>
  </si>
  <si>
    <t>PUMP.PMP-22.REMOTE_STATUS</t>
  </si>
  <si>
    <t>PUMP.PMP-22.MAINTENANCE_STATUS</t>
  </si>
  <si>
    <t>PMP-23</t>
  </si>
  <si>
    <t>PUMP.PMP-23.ON</t>
  </si>
  <si>
    <t>PUMP.PMP-23.REMOTE_STATUS</t>
  </si>
  <si>
    <t>PUMP.PMP-23.MAINTENANCE_STATUS</t>
  </si>
  <si>
    <t>PMP-24</t>
  </si>
  <si>
    <t>PUMP.PMP-24.ON</t>
  </si>
  <si>
    <t>PUMP.PMP-24.REMOTE_STATUS</t>
  </si>
  <si>
    <t>PUMP.PMP-24.MAINTENANCE_STATUS</t>
  </si>
  <si>
    <t>PMP-25</t>
  </si>
  <si>
    <t>PUMP.PMP-25.ON</t>
  </si>
  <si>
    <t>PUMP.PMP-25.REMOTE_STATUS</t>
  </si>
  <si>
    <t>PUMP.PMP-25.MAINTENANCE_STATUS</t>
  </si>
  <si>
    <t>PMP-26</t>
  </si>
  <si>
    <t>PUMP.PMP-26.ON</t>
  </si>
  <si>
    <t>PUMP.PMP-26.REMOTE_STATUS</t>
  </si>
  <si>
    <t>PUMP.PMP-26.MAINTENANCE_STATUS</t>
  </si>
  <si>
    <t>PMP-27</t>
  </si>
  <si>
    <t>PUMP.PMP-27.ON</t>
  </si>
  <si>
    <t>PUMP.PMP-27.REMOTE_STATUS</t>
  </si>
  <si>
    <t>PUMP.PMP-27.MAINTENANCE_STATUS</t>
  </si>
  <si>
    <t>PMP-28</t>
  </si>
  <si>
    <t>PUMP.PMP-28.ON</t>
  </si>
  <si>
    <t>PUMP.PMP-28.REMOTE_STATUS</t>
  </si>
  <si>
    <t>PUMP.PMP-28.MAINTENANCE_STATUS</t>
  </si>
  <si>
    <t>PMP-29</t>
  </si>
  <si>
    <t>PUMP.PMP-29.ON</t>
  </si>
  <si>
    <t>PUMP.PMP-29.REMOTE_STATUS</t>
  </si>
  <si>
    <t>PUMP.PMP-29.MAINTENANCE_STATUS</t>
  </si>
  <si>
    <t>PMP-30</t>
  </si>
  <si>
    <t>PUMP.PMP-30.ON</t>
  </si>
  <si>
    <t>PUMP.PMP-30.REMOTE_STATUS</t>
  </si>
  <si>
    <t>PMP-31</t>
  </si>
  <si>
    <t>PUMP.PMP-31.ON</t>
  </si>
  <si>
    <t>PUMP.PMP-31.REMOTE_STATUS</t>
  </si>
  <si>
    <t>Pump Direction</t>
  </si>
  <si>
    <t>FIRE PUMP MAINTENANCE</t>
  </si>
  <si>
    <t>FIRE PUMP FAIL TO START 1</t>
  </si>
  <si>
    <t>FIRE PUMP FAIL TO START 2</t>
  </si>
  <si>
    <t>FIRE PUMP FAIL TO START 3</t>
  </si>
  <si>
    <t>FIRE PUMP FAIL TO START STANDBY</t>
  </si>
  <si>
    <t>FIRE PUMP TRIPPED FAULT</t>
  </si>
  <si>
    <t>FIRE PUMP LLOP ALARM</t>
  </si>
  <si>
    <t>FIRE PUMP HWT ALARM</t>
  </si>
  <si>
    <t>FWP-01</t>
  </si>
  <si>
    <t>Water</t>
  </si>
  <si>
    <t>PUMP HOUSE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</si>
  <si>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</si>
  <si>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</si>
  <si>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</si>
  <si>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</si>
  <si>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</si>
  <si>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PUMP.FWP-01.FAILED_TO_START_STANDBY1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</si>
  <si>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</si>
  <si>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</si>
  <si>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</si>
  <si>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</si>
  <si>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</si>
  <si>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</si>
  <si>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</si>
  <si>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</si>
  <si>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PUMP.FWP-02.FAILED_TO_START_STANDBY1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</si>
  <si>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</si>
  <si>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</si>
  <si>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</si>
  <si>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</si>
  <si>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</si>
  <si>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</si>
  <si>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</si>
  <si>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</si>
  <si>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PUMP.FWP-03.FAILED_TO_START_STANDBY1</t>
  </si>
  <si>
    <t>PUMP.FWP-03.PUMP_TRIPPED</t>
  </si>
  <si>
    <t>PUMP.FWP-03.HIGH_TEMPERATURE_ALARM</t>
  </si>
  <si>
    <t>JCY-01</t>
  </si>
  <si>
    <t>Jockey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</si>
  <si>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</si>
  <si>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</si>
  <si>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</si>
  <si>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</si>
  <si>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</si>
  <si>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</si>
  <si>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</si>
  <si>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</si>
  <si>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</si>
  <si>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</si>
  <si>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</si>
  <si>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</si>
  <si>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</si>
  <si>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</si>
  <si>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</si>
  <si>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</si>
  <si>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</si>
  <si>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PressureTransmitter.PT-01.MAINTENANCE_STATUS</t>
  </si>
  <si>
    <t>Nearest Point PT</t>
  </si>
  <si>
    <t>FWP pump house</t>
  </si>
  <si>
    <t>PressureTransmitter.PT-02.MAINTENANCE_STATUS</t>
  </si>
  <si>
    <t>UPS ID</t>
  </si>
  <si>
    <t>UPS FAIL</t>
  </si>
  <si>
    <t>LOW BATTERY</t>
  </si>
  <si>
    <t xml:space="preserve"> Normal Value</t>
  </si>
  <si>
    <t>UPS ON</t>
  </si>
  <si>
    <t>UPS MAIN AC FAIL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</si>
  <si>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</si>
  <si>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</si>
  <si>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</si>
  <si>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</si>
  <si>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</si>
  <si>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</si>
  <si>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</si>
  <si>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</si>
  <si>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</si>
  <si>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</si>
  <si>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</si>
  <si>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</si>
  <si>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</si>
  <si>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</si>
  <si>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</si>
  <si>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</si>
  <si>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</si>
  <si>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</si>
  <si>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</si>
  <si>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</si>
  <si>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</si>
  <si>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</si>
  <si>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</si>
  <si>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</si>
  <si>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</si>
  <si>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</si>
  <si>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</si>
  <si>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</si>
  <si>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</si>
  <si>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</si>
  <si>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</si>
  <si>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</si>
  <si>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</si>
  <si>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</si>
  <si>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</si>
  <si>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</si>
  <si>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</si>
  <si>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</si>
  <si>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</si>
  <si>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</si>
  <si>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</si>
  <si>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</si>
  <si>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</si>
  <si>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</si>
  <si>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20 % ALARM</t>
  </si>
  <si>
    <t>HCD FAULT</t>
  </si>
  <si>
    <t>MISALIGNMENT FAULT</t>
  </si>
  <si>
    <t>HCD MAINTENANCE</t>
  </si>
  <si>
    <t>HCD Hooter Activated</t>
  </si>
  <si>
    <t>HDS-01</t>
  </si>
  <si>
    <t>OPENPATH</t>
  </si>
  <si>
    <t>TANK - 05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</si>
  <si>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</si>
  <si>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</si>
  <si>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</si>
  <si>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</si>
  <si>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</si>
  <si>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PLC.SFTPLC.CAUSE_20_PCT_HCD_TF_AREA</t>
  </si>
  <si>
    <t>HDS-02</t>
  </si>
  <si>
    <t>TTL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</si>
  <si>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</si>
  <si>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</si>
  <si>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</si>
  <si>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</si>
  <si>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</si>
  <si>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</si>
  <si>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TWL PUMP HOUSE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</si>
  <si>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</si>
  <si>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</si>
  <si>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</si>
  <si>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</si>
  <si>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</si>
  <si>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</si>
  <si>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TANK - 14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</si>
  <si>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</si>
  <si>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</si>
  <si>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</si>
  <si>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</si>
  <si>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</si>
  <si>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</si>
  <si>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TANK - 12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</si>
  <si>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</si>
  <si>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</si>
  <si>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</si>
  <si>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</si>
  <si>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</si>
  <si>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</si>
  <si>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TANK - 06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</si>
  <si>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</si>
  <si>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</si>
  <si>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</si>
  <si>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</si>
  <si>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</si>
  <si>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</si>
  <si>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FIXEDTYPE</t>
  </si>
  <si>
    <t>TANK - 05 / 06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</si>
  <si>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</si>
  <si>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</si>
  <si>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</si>
  <si>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</si>
  <si>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</si>
  <si>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</si>
  <si>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TANK - 12 / 14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</si>
  <si>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</si>
  <si>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</si>
  <si>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</si>
  <si>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</si>
  <si>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</si>
  <si>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</si>
  <si>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POINTTYPE</t>
  </si>
  <si>
    <t>TANK 12 MOV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</si>
  <si>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</si>
  <si>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</si>
  <si>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</si>
  <si>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</si>
  <si>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</si>
  <si>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</si>
  <si>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TANK 14 MOV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</si>
  <si>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</si>
  <si>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</si>
  <si>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</si>
  <si>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</si>
  <si>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</si>
  <si>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</si>
  <si>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TANK 05 MOV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</si>
  <si>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</si>
  <si>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</si>
  <si>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</si>
  <si>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</si>
  <si>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</si>
  <si>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</si>
  <si>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TANK 06 MOV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</si>
  <si>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</si>
  <si>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</si>
  <si>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</si>
  <si>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</si>
  <si>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</si>
  <si>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</si>
  <si>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TTL PH MOV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</si>
  <si>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</si>
  <si>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</si>
  <si>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</si>
  <si>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</si>
  <si>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</si>
  <si>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</si>
  <si>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TANK WAGON PH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</si>
  <si>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</si>
  <si>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</si>
  <si>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</si>
  <si>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</si>
  <si>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</si>
  <si>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</si>
  <si>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TW SIDING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</si>
  <si>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</si>
  <si>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</si>
  <si>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</si>
  <si>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</si>
  <si>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</si>
  <si>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</si>
  <si>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TANK - 03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</si>
  <si>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</si>
  <si>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</si>
  <si>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</si>
  <si>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</si>
  <si>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</si>
  <si>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</si>
  <si>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TANK - 04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</si>
  <si>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</si>
  <si>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</si>
  <si>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</si>
  <si>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</si>
  <si>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</si>
  <si>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HDS-18</t>
  </si>
  <si>
    <t>ETH PH MANIFOLD</t>
  </si>
  <si>
    <t>GDS.HDS-18.HYDROCARBON_40_PCT_LEL</t>
  </si>
  <si>
    <t>GDS.HDS-18.HYDROCARBON_20_PCT_LEL</t>
  </si>
  <si>
    <t>GDS.HDS-18.CRITICAL_FAULT_ALARM</t>
  </si>
  <si>
    <t>GDS.HDS-18.MISALIGNMENT_FAULT_ALARM</t>
  </si>
  <si>
    <t>GDS.HDS-18.MAINTENANCE_CALL</t>
  </si>
  <si>
    <t>HDS-19</t>
  </si>
  <si>
    <t>GDS.HDS-19.HYDROCARBON_40_PCT_LEL</t>
  </si>
  <si>
    <t>GDS.HDS-19.HYDROCARBON_20_PCT_LEL</t>
  </si>
  <si>
    <t>GDS.HDS-19.CRITICAL_FAULT_ALARM</t>
  </si>
  <si>
    <t>GDS.HDS-19.MISALIGNMENT_FAULT_ALARM</t>
  </si>
  <si>
    <t>GDS.HDS-19.MAINTENANCE_CALL</t>
  </si>
  <si>
    <t>Dyke ID</t>
  </si>
  <si>
    <t>DYKE VALVE STATUS</t>
  </si>
  <si>
    <t>Dyke Hooter Activated</t>
  </si>
  <si>
    <t>DYKE-01</t>
  </si>
  <si>
    <t>DRAINVALVE.DV-01.DRAIN_VALVE_STATUS</t>
  </si>
  <si>
    <t>DYKE-02</t>
  </si>
  <si>
    <t>DRAINVALVE.DV-02.DRAIN_VALVE_STATUS</t>
  </si>
  <si>
    <t>DYKE-03</t>
  </si>
  <si>
    <t>DRAINVALVE.DV-03.DRAIN_VALVE_STATUS</t>
  </si>
  <si>
    <t>DYKE-04</t>
  </si>
  <si>
    <t>DRAINVALVE.DV-04.DRAIN_VALVE_STATUS</t>
  </si>
  <si>
    <t>DYKE-05</t>
  </si>
  <si>
    <t>DRAINVALVE.DV-05.DRAIN_VALVE_STATUS</t>
  </si>
  <si>
    <t>DYKE-06</t>
  </si>
  <si>
    <t>DRAINVALVE.DV-06.DRAIN_VALVE_STATUS</t>
  </si>
  <si>
    <t>Barrier ID</t>
  </si>
  <si>
    <t>BARRIER GATE OPEN STATUS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</si>
  <si>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</si>
  <si>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</si>
  <si>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</si>
  <si>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</si>
  <si>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</si>
  <si>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</si>
  <si>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</si>
  <si>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</si>
  <si>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</si>
  <si>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</si>
  <si>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HOOTER_FIELD_1</t>
  </si>
  <si>
    <t>PLC.SFTPLC.HOOTER_FIELD_1</t>
  </si>
  <si>
    <t>HOOTER_FIELD_10</t>
  </si>
  <si>
    <t>PLC.SFTPLC.HOOTER_FIELD_10</t>
  </si>
  <si>
    <t>HOOTER_FIELD_11</t>
  </si>
  <si>
    <t>PLC.SFTPLC.HOOTER_FIELD_11</t>
  </si>
  <si>
    <t>HOOTER_FIELD_12</t>
  </si>
  <si>
    <t>PLC.SFTPLC.HOOTER_FIELD_12</t>
  </si>
  <si>
    <t>HOOTER_FIELD_13</t>
  </si>
  <si>
    <t>PLC.SFTPLC.HOOTER_FIELD_13</t>
  </si>
  <si>
    <t>HOOTER_FIELD_14</t>
  </si>
  <si>
    <t>PLC.SFTPLC.HOOTER_FIELD_14</t>
  </si>
  <si>
    <t>HOOTER_FIELD_15</t>
  </si>
  <si>
    <t>PLC.SFTPLC.HOOTER_FIELD_15</t>
  </si>
  <si>
    <t>HOOTER_FIELD_16</t>
  </si>
  <si>
    <t>PLC.SFTPLC.HOOTER_FIELD_16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</si>
  <si>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</si>
  <si>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</si>
  <si>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</si>
  <si>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</si>
  <si>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</si>
  <si>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</si>
  <si>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</si>
  <si>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</si>
  <si>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</si>
  <si>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</si>
  <si>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</si>
  <si>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PLC.SFTPLC.HOOTER_FIELD_7</t>
  </si>
  <si>
    <t>ANY_HOOTER_FOR_HCD_FIELD</t>
  </si>
  <si>
    <t>PLC.SFTPLC.ANY_HOOTER_FOR_HCD_FIELD</t>
  </si>
  <si>
    <t>ESD ID</t>
  </si>
  <si>
    <t>ESD Name</t>
  </si>
  <si>
    <t>ESD STATUS</t>
  </si>
  <si>
    <t>ESD MAINTENANCE STATUS</t>
  </si>
  <si>
    <t>All ROSOVs closed</t>
  </si>
  <si>
    <t>Barrier Gate opened</t>
  </si>
  <si>
    <t>TLF Gantry Permissive Power Off</t>
  </si>
  <si>
    <t>All TLF Product Pumps Stopped</t>
  </si>
  <si>
    <t>All Tanks in Dormant Mode</t>
  </si>
  <si>
    <t>All DBBVs Closed</t>
  </si>
  <si>
    <t>ESD Command To Process PLC</t>
  </si>
  <si>
    <t>Siren Activated</t>
  </si>
  <si>
    <t>ESD Hooter activated in control room</t>
  </si>
  <si>
    <t>Power ESD Activation after 120 Sec</t>
  </si>
  <si>
    <t>ESD-01</t>
  </si>
  <si>
    <t>ESDPB-01</t>
  </si>
  <si>
    <t>LOCATION INCHARGE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</si>
  <si>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</si>
  <si>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</si>
  <si>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</si>
  <si>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</si>
  <si>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</si>
  <si>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</si>
  <si>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</si>
  <si>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</si>
  <si>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PLC.SFTPLC.EFFECT_ESD_RELAY_PCC_PANEL</t>
  </si>
  <si>
    <t>PLC.SFTPLC.EFFECT_SIREN_ACTIVATED</t>
  </si>
  <si>
    <t>PLC.SFTPLC.EFFECT_HOOTER_FOR_ESD_CR</t>
  </si>
  <si>
    <t>PLC.SFTPLC.EFFECT_POWER_ESD_ACTI</t>
  </si>
  <si>
    <t>ESD-02</t>
  </si>
  <si>
    <t>ESDPB-02</t>
  </si>
  <si>
    <t>CONTROL ROOM</t>
  </si>
  <si>
    <t>ESD.ESD-02.ESD_STATUS</t>
  </si>
  <si>
    <t>ESD.ESD-02.MAINTENANCE_STATUS</t>
  </si>
  <si>
    <t>ESD-03</t>
  </si>
  <si>
    <t>ESDPB-03</t>
  </si>
  <si>
    <t>TLF GANTRY AREA</t>
  </si>
  <si>
    <t>ESD.ESD-03.ESD_STATUS</t>
  </si>
  <si>
    <t>ESD.ESD-03.MAINTENANCE_STATUS</t>
  </si>
  <si>
    <t>ESD-04</t>
  </si>
  <si>
    <t>ESDPB-04</t>
  </si>
  <si>
    <t>MCC ROOM</t>
  </si>
  <si>
    <t>ESD.ESD-04.ESD_STATUS</t>
  </si>
  <si>
    <t>ESD.ESD-04.MAINTENANCE_STATUS</t>
  </si>
  <si>
    <t>ESD-05</t>
  </si>
  <si>
    <t>ESDPB-05</t>
  </si>
  <si>
    <t>LUBES</t>
  </si>
  <si>
    <t>ESD.ESD-05.ESD_STATUS</t>
  </si>
  <si>
    <t>ESD.ESD-05.MAINTENANCE_STATUS</t>
  </si>
  <si>
    <t>ESD-06</t>
  </si>
  <si>
    <t>ESDPB-06</t>
  </si>
  <si>
    <t>SECURITY ROOM</t>
  </si>
  <si>
    <t>ESD.ESD-06.ESD_STATUS</t>
  </si>
  <si>
    <t>ESD.ESD-06.MAINTENANCE_STATUS</t>
  </si>
  <si>
    <t>ESD-08</t>
  </si>
  <si>
    <t>ESDPB-07</t>
  </si>
  <si>
    <t>TLF PMP HOUSE</t>
  </si>
  <si>
    <t>ESD.ESD-08.ESD_STATUS</t>
  </si>
  <si>
    <t>ESD.ESD-08.MAINTENANCE_STATUS</t>
  </si>
  <si>
    <t>ESD-09</t>
  </si>
  <si>
    <t>ESDPB-08</t>
  </si>
  <si>
    <t>NEAR TK - 01</t>
  </si>
  <si>
    <t>ESD.ESD-09.ESD_STATUS</t>
  </si>
  <si>
    <t>ESD.ESD-09.MAINTENANCE_STATUS</t>
  </si>
  <si>
    <t>ESD-10</t>
  </si>
  <si>
    <t>ESDPB-09</t>
  </si>
  <si>
    <t>NEAR TK - 04</t>
  </si>
  <si>
    <t>ESD.ESD-10.ESD_STATUS</t>
  </si>
  <si>
    <t>ESD.ESD-10.MAINTENANCE_STATUS</t>
  </si>
  <si>
    <t>ESD-11</t>
  </si>
  <si>
    <t>ESDPB-10</t>
  </si>
  <si>
    <t>NEAR TK - 16</t>
  </si>
  <si>
    <t>ESD.ESD-11.ESD_STATUS</t>
  </si>
  <si>
    <t>ESD.ESD-11.MAINTENANCE_STATUS</t>
  </si>
  <si>
    <t>ESD-12</t>
  </si>
  <si>
    <t>ESDPB-11</t>
  </si>
  <si>
    <t>NEAR TK - 15</t>
  </si>
  <si>
    <t>ESD.ESD-12.ESD_STATUS</t>
  </si>
  <si>
    <t>ESD.ESD-12.MAINTENANCE_STATUS</t>
  </si>
  <si>
    <t>ESD-14</t>
  </si>
  <si>
    <t>ESD-SYSTEM</t>
  </si>
  <si>
    <t>CENTRAL ESD</t>
  </si>
  <si>
    <t>ESD.ESD-14.ESD_STATUS</t>
  </si>
  <si>
    <t>ESD-17</t>
  </si>
  <si>
    <t>WAGON SIDING - 1</t>
  </si>
  <si>
    <t>ESD.ESD-17.ESD_STATUS</t>
  </si>
  <si>
    <t>ESD-19</t>
  </si>
  <si>
    <t>WAGON SIDING - 2</t>
  </si>
  <si>
    <t>ESD.ESD-19.ESD_STATUS</t>
  </si>
  <si>
    <t>ESD.ESD-19.MAINTENANCE_STATUS</t>
  </si>
  <si>
    <t>ESD-20</t>
  </si>
  <si>
    <t>WAGON SIDING - 3</t>
  </si>
  <si>
    <t>ESD.ESD-20.ESD_STATUS</t>
  </si>
  <si>
    <t>ESD.ESD-20.MAINTENANCE_STATUS</t>
  </si>
  <si>
    <t>ESD-21</t>
  </si>
  <si>
    <t>TANK 13</t>
  </si>
  <si>
    <t>ESD.ESD-21.ESD_STATUS</t>
  </si>
  <si>
    <t>ESD.ESD-21.MAINTENANCE_STATUS</t>
  </si>
  <si>
    <t>ESD-22</t>
  </si>
  <si>
    <t>INFRONT AFS CR</t>
  </si>
  <si>
    <t>ESD.ESD-22.ESD_STATUS</t>
  </si>
  <si>
    <t>ESD.ESD-22.MAINTENANCE_STATUS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</si>
  <si>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</si>
  <si>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</si>
  <si>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</si>
  <si>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</si>
  <si>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</si>
  <si>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</si>
  <si>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</si>
  <si>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</si>
  <si>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</si>
  <si>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</si>
  <si>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</si>
  <si>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</si>
  <si>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</si>
  <si>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</si>
  <si>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</si>
  <si>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</si>
  <si>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</si>
  <si>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</si>
  <si>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</si>
  <si>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</si>
  <si>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</si>
  <si>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</si>
  <si>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</si>
  <si>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</si>
  <si>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</si>
  <si>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</si>
  <si>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</si>
  <si>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BC-501A</t>
  </si>
  <si>
    <t>SmartLoad-Dual.BC-501A.EARTH_ALARM_STATUS</t>
  </si>
  <si>
    <t>SmartLoad-Dual.BC-501A.NO_FLOW_ALARM_STATUS_M1</t>
  </si>
  <si>
    <t>SmartLoad-Dual.BC-501A.NO_FLOW_ALARM_STATUS_M2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</si>
  <si>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</si>
  <si>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</si>
  <si>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</si>
  <si>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</si>
  <si>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</si>
  <si>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</si>
  <si>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SmartLoad-Dual.BC-501A.BLEND_OVERDOSE_ALARM_STATUS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</si>
  <si>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</si>
  <si>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</si>
  <si>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</si>
  <si>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</si>
  <si>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</si>
  <si>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</si>
  <si>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</si>
  <si>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</si>
  <si>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</si>
  <si>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</si>
  <si>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</si>
  <si>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</si>
  <si>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</si>
  <si>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</si>
  <si>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</si>
  <si>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</si>
  <si>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</si>
  <si>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SmartLoad-Dual.BC-501B.BLEND_OVERDOSE_ALARM_STATUS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</si>
  <si>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</si>
  <si>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</si>
  <si>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</si>
  <si>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</si>
  <si>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</si>
  <si>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</si>
  <si>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</si>
  <si>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</si>
  <si>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</si>
  <si>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</si>
  <si>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</si>
  <si>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SmartLoad-Dual.BC-502A.NO_FLOW_ALARM_STATUS_M2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</si>
  <si>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</si>
  <si>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</si>
  <si>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</si>
  <si>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</si>
  <si>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</si>
  <si>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</si>
  <si>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SmartLoad-Dual.BC-502A.BLEND_OVERDOSE_ALARM_STATUS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</si>
  <si>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</si>
  <si>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</si>
  <si>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</si>
  <si>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</si>
  <si>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</si>
  <si>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</si>
  <si>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</si>
  <si>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</si>
  <si>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</si>
  <si>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</si>
  <si>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</si>
  <si>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</si>
  <si>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</si>
  <si>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</si>
  <si>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</si>
  <si>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</si>
  <si>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</si>
  <si>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SmartLoad-Dual.BC-502B.BLEND_OVERDOSE_ALARM_STATUS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</si>
  <si>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</si>
  <si>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</si>
  <si>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</si>
  <si>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</si>
  <si>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</si>
  <si>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</si>
  <si>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</si>
  <si>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</si>
  <si>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</si>
  <si>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</si>
  <si>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</si>
  <si>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SmartLoad-Dual.BC-503A.NO_FLOW_ALARM_STATUS_M2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</si>
  <si>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</si>
  <si>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</si>
  <si>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</si>
  <si>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</si>
  <si>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</si>
  <si>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</si>
  <si>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SmartLoad-Dual.BC-503A.BLEND_OVERDOSE_ALARM_STATUS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</si>
  <si>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</si>
  <si>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</si>
  <si>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</si>
  <si>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</si>
  <si>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</si>
  <si>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</si>
  <si>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</si>
  <si>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</si>
  <si>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</si>
  <si>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</si>
  <si>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</si>
  <si>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</si>
  <si>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</si>
  <si>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</si>
  <si>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</si>
  <si>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</si>
  <si>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</si>
  <si>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SmartLoad-Dual.BC-503B.BLEND_OVERDOSE_ALARM_STATUS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</si>
  <si>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</si>
  <si>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</si>
  <si>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</si>
  <si>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</si>
  <si>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</si>
  <si>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</si>
  <si>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</si>
  <si>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</si>
  <si>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</si>
  <si>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</si>
  <si>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</si>
  <si>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SmartLoad-Dual.BC-504A.NO_FLOW_ALARM_STATUS_M2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</si>
  <si>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</si>
  <si>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</si>
  <si>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</si>
  <si>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</si>
  <si>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</si>
  <si>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</si>
  <si>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SmartLoad-Dual.BC-504A.BLEND_OVERDOSE_ALARM_STATUS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</si>
  <si>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</si>
  <si>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</si>
  <si>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</si>
  <si>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</si>
  <si>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</si>
  <si>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</si>
  <si>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</si>
  <si>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</si>
  <si>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</si>
  <si>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</si>
  <si>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</si>
  <si>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</si>
  <si>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</si>
  <si>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SmartLoad-Dual.BC-504B.NO_FLOW_ALARM_STATUS_M4</t>
  </si>
  <si>
    <t>SmartLoad-Dual.BC-504B.LOW_FLOW_ALARM_STATUS_M3</t>
  </si>
  <si>
    <t>SmartLoad-Dual.BC-504B.LOW_FLOW_ALARM_STATUS_M4</t>
  </si>
  <si>
    <t>SmartLoad-Dual.BC-504B.HIGH_FLOW_ALARM_STATUS_M3</t>
  </si>
  <si>
    <t>SmartLoad-Dual.BC-504B.HIGH_FLOW_ALARM_STATUS_M4</t>
  </si>
  <si>
    <t>SmartLoad-Dual.BC-504B.UNAUTHORIZE_FLOW_ALARM_STATUS_M3</t>
  </si>
  <si>
    <t>SmartLoad-Dual.BC-504B.METER_OVERRUN_ALARM_STATUS_M3</t>
  </si>
  <si>
    <t>SmartLoad-Dual.BC-504B.BLEND_OVERDOSE_ALARM_STATUS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</si>
  <si>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</si>
  <si>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</si>
  <si>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</si>
  <si>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</si>
  <si>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</si>
  <si>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SmartLoad-Dual.BC-504B.NOMINAL_ARM2_COMP2_KFACTOR_CHANGED</t>
  </si>
  <si>
    <t>SmartLoad-Dual.BC-504B.MFM_BCU_QTY_BEYOND_TOLERANCE_LIMIT_STATUS</t>
  </si>
  <si>
    <t>SmartLoad-Dual.BC-504B.BCU_C3_TOTALIZER_MISMATCH_ALARM</t>
  </si>
  <si>
    <t>SmartLoad-Dual.BC-504B.BCU_C4_TOTALIZER_MISMATCH_ALARM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</si>
  <si>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</si>
  <si>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</si>
  <si>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</si>
  <si>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</si>
  <si>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</si>
  <si>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</si>
  <si>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</si>
  <si>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</si>
  <si>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SmartLoad-Dual.BC-505A.HIGH_FLOW_ALARM_STATUS_M2</t>
  </si>
  <si>
    <t>SmartLoad-Dual.BC-505A.UNAUTHORIZE_FLOW_ALARM_STATUS_M1</t>
  </si>
  <si>
    <t>SmartLoad-Dual.BC-505A.METER_OVERRUN_ALARM_STATUS_M1</t>
  </si>
  <si>
    <t>SmartLoad-Dual.BC-505A.BLEND_OVERDOSE_ALARM_STATUS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</si>
  <si>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</si>
  <si>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</si>
  <si>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</si>
  <si>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</si>
  <si>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</si>
  <si>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SmartLoad-Dual.BC-505A.NOMINAL_ARM1_COMP2_KFACTOR_CHANGED</t>
  </si>
  <si>
    <t>SmartLoad-Dual.BC-505A.MFM_BCU_QTY_BEYOND_TOLERANCE_LIMIT_STATUS</t>
  </si>
  <si>
    <t>SmartLoad-Dual.BC-505A.BCU_C1_TOTALIZER_MISMATCH_ALARM</t>
  </si>
  <si>
    <t>SmartLoad-Dual.BC-505A.BCU_C2_TOTALIZER_MISMATCH_ALARM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</si>
  <si>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</si>
  <si>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</si>
  <si>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</si>
  <si>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</si>
  <si>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</si>
  <si>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</si>
  <si>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</si>
  <si>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</si>
  <si>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SmartLoad-Dual.BC-505B.BLEND_OVERDOSE_ALARM_STATUS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</si>
  <si>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</si>
  <si>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</si>
  <si>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</si>
  <si>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</si>
  <si>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</si>
  <si>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</si>
  <si>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</si>
  <si>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</si>
  <si>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</si>
  <si>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</si>
  <si>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</si>
  <si>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SmartLoad-Dual.BC-506A.NO_FLOW_ALARM_STATUS_M2</t>
  </si>
  <si>
    <t>SmartLoad-Dual.BC-506A.LOW_FLOW_ALARM_STATUS_M1</t>
  </si>
  <si>
    <t>SmartLoad-Dual.BC-506A.LOW_FLOW_ALARM_STATUS_M2</t>
  </si>
  <si>
    <t>SmartLoad-Dual.BC-506A.HIGH_FLOW_ALARM_STATUS_M1</t>
  </si>
  <si>
    <t>SmartLoad-Dual.BC-506A.HIGH_FLOW_ALARM_STATUS_M2</t>
  </si>
  <si>
    <t>SmartLoad-Dual.BC-506A.UNAUTHORIZE_FLOW_ALARM_STATUS_M1</t>
  </si>
  <si>
    <t>SmartLoad-Dual.BC-506A.METER_OVERRUN_ALARM_STATUS_M1</t>
  </si>
  <si>
    <t>SmartLoad-Dual.BC-506A.BLEND_OVERDOSE_ALARM_STATUS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</si>
  <si>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</si>
  <si>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</si>
  <si>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</si>
  <si>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</si>
  <si>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</si>
  <si>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SmartLoad-Dual.BC-506A.NOMINAL_ARM1_COMP2_KFACTOR_CHANGED</t>
  </si>
  <si>
    <t>SmartLoad-Dual.BC-506A.MFM_BCU_QTY_BEYOND_TOLERANCE_LIMIT_STATUS</t>
  </si>
  <si>
    <t>SmartLoad-Dual.BC-506A.BCU_C1_TOTALIZER_MISMATCH_ALARM</t>
  </si>
  <si>
    <t>SmartLoad-Dual.BC-506A.BCU_C2_TOTALIZER_MISMATCH_ALARM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</si>
  <si>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</si>
  <si>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</si>
  <si>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</si>
  <si>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</si>
  <si>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SmartLoad-Dual.BC-506B.NO_FLOW_ALARM_STATUS_M4</t>
  </si>
  <si>
    <t>SmartLoad-Dual.BC-506B.LOW_FLOW_ALARM_STATUS_M3</t>
  </si>
  <si>
    <t>SmartLoad-Dual.BC-506B.LOW_FLOW_ALARM_STATUS_M4</t>
  </si>
  <si>
    <t>SmartLoad-Dual.BC-506B.HIGH_FLOW_ALARM_STATUS_M3</t>
  </si>
  <si>
    <t>SmartLoad-Dual.BC-506B.HIGH_FLOW_ALARM_STATUS_M4</t>
  </si>
  <si>
    <t>SmartLoad-Dual.BC-506B.UNAUTHORIZE_FLOW_ALARM_STATUS_M3</t>
  </si>
  <si>
    <t>SmartLoad-Dual.BC-506B.METER_OVERRUN_ALARM_STATUS_M3</t>
  </si>
  <si>
    <t>SmartLoad-Dual.BC-506B.BLEND_OVERDOSE_ALARM_STATUS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</si>
  <si>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</si>
  <si>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</si>
  <si>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</si>
  <si>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</si>
  <si>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</si>
  <si>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SmartLoad-Dual.BC-506B.NOMINAL_ARM2_COMP2_KFACTOR_CHANGED</t>
  </si>
  <si>
    <t>SmartLoad-Dual.BC-506B.MFM_BCU_QTY_BEYOND_TOLERANCE_LIMIT_STATUS</t>
  </si>
  <si>
    <t>SmartLoad-Dual.BC-506B.BCU_C3_TOTALIZER_MISMATCH_ALARM</t>
  </si>
  <si>
    <t>SmartLoad-Dual.BC-506B.BCU_C4_TOTALIZER_MISMATCH_ALARM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</si>
  <si>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</si>
  <si>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</si>
  <si>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</si>
  <si>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</si>
  <si>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</si>
  <si>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</si>
  <si>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</si>
  <si>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</si>
  <si>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</si>
  <si>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</si>
  <si>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</si>
  <si>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SmartLoad-Dual.BC-507A.BLEND_OVERDOSE_ALARM_STATUS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</si>
  <si>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</si>
  <si>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</si>
  <si>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</si>
  <si>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</si>
  <si>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</si>
  <si>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</si>
  <si>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</si>
  <si>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</si>
  <si>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</si>
  <si>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</si>
  <si>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</si>
  <si>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</si>
  <si>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</si>
  <si>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SmartLoad-Dual.BC-507B.NO_FLOW_ALARM_STATUS_M4</t>
  </si>
  <si>
    <t>SmartLoad-Dual.BC-507B.LOW_FLOW_ALARM_STATUS_M3</t>
  </si>
  <si>
    <t>SmartLoad-Dual.BC-507B.LOW_FLOW_ALARM_STATUS_M4</t>
  </si>
  <si>
    <t>SmartLoad-Dual.BC-507B.HIGH_FLOW_ALARM_STATUS_M3</t>
  </si>
  <si>
    <t>SmartLoad-Dual.BC-507B.HIGH_FLOW_ALARM_STATUS_M4</t>
  </si>
  <si>
    <t>SmartLoad-Dual.BC-507B.UNAUTHORIZE_FLOW_ALARM_STATUS_M3</t>
  </si>
  <si>
    <t>SmartLoad-Dual.BC-507B.METER_OVERRUN_ALARM_STATUS_M3</t>
  </si>
  <si>
    <t>SmartLoad-Dual.BC-507B.BLEND_OVERDOSE_ALARM_STATUS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</si>
  <si>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</si>
  <si>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</si>
  <si>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</si>
  <si>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</si>
  <si>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</si>
  <si>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SmartLoad-Dual.BC-507B.NOMINAL_ARM2_COMP2_KFACTOR_CHANGED</t>
  </si>
  <si>
    <t>SmartLoad-Dual.BC-507B.MFM_BCU_QTY_BEYOND_TOLERANCE_LIMIT_STATUS</t>
  </si>
  <si>
    <t>SmartLoad-Dual.BC-507B.BCU_C3_TOTALIZER_MISMATCH_ALARM</t>
  </si>
  <si>
    <t>SmartLoad-Dual.BC-507B.BCU_C4_TOTALIZER_MISMATCH_ALARM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</si>
  <si>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</si>
  <si>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</si>
  <si>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</si>
  <si>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</si>
  <si>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SmartLoad-Dual.BC-508A.LOW_FLOW_ALARM_STATUS_M1</t>
  </si>
  <si>
    <t>SmartLoad-Dual.BC-508A.HIGH_FLOW_ALARM_STATUS_M1</t>
  </si>
  <si>
    <t>SmartLoad-Dual.BC-508A.UNAUTHORIZE_FLOW_ALARM_STATUS_M1</t>
  </si>
  <si>
    <t>SmartLoad-Dual.BC-508A.METER_OVERRUN_ALARM_STATUS_M1</t>
  </si>
  <si>
    <t>SmartLoad-Dual.BC-508A.BLEND_OVERDOSE_ALARM_STATUS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</si>
  <si>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</si>
  <si>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</si>
  <si>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</si>
  <si>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</si>
  <si>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</si>
  <si>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SmartLoad-Dual.BC-508A.MFM_BCU_QTY_BEYOND_TOLERANCE_LIMIT_STATUS</t>
  </si>
  <si>
    <t>SmartLoad-Dual.BC-508A.BCU_C1_TOTALIZER_MISMATCH_ALARM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</si>
  <si>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</si>
  <si>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</si>
  <si>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</si>
  <si>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</si>
  <si>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</si>
  <si>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</si>
  <si>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</si>
  <si>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</si>
  <si>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SmartLoad-Dual.BC-508B.BLEND_OVERDOSE_ALARM_STATUS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</si>
  <si>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</si>
  <si>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</si>
  <si>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</si>
  <si>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</si>
  <si>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</si>
  <si>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</si>
  <si>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</si>
  <si>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>LP 17</t>
  </si>
  <si>
    <t>BC-509A</t>
  </si>
  <si>
    <t>SmartLoad-Dual.BC-509A.EARTH_ALARM_STATUS</t>
  </si>
  <si>
    <t>SmartLoad-Dual.BC-509A.NO_FLOW_ALARM_STATUS_M1</t>
  </si>
  <si>
    <t>SmartLoad-Dual.BC-509A.LOW_FLOW_ALARM_STATUS_M1</t>
  </si>
  <si>
    <t>SmartLoad-Dual.BC-509A.HIGH_FLOW_ALARM_STATUS_M1</t>
  </si>
  <si>
    <t>SmartLoad-Dual.BC-509A.UNAUTHORIZE_FLOW_ALARM_STATUS_M1</t>
  </si>
  <si>
    <t>SmartLoad-Dual.BC-509A.METER_OVERRUN_ALARM_STATUS_M1</t>
  </si>
  <si>
    <t>SmartLoad-Dual.BC-509A.BLEND_OVERDOSE_ALARM_STATUS</t>
  </si>
  <si>
    <t>SmartLoad-Dual.BC-509A.BLEND_UNDERDOSE_ALARM_STATUS</t>
  </si>
  <si>
    <t>SmartLoad-Dual.BC-509A.ADDITIVE_OVERDOSE_ALARM_STATUS</t>
  </si>
  <si>
    <t>SmartLoad-Dual.BC-509A.ADDITIVE_UNDERDOSE_ALARM_STATUS</t>
  </si>
  <si>
    <t>SmartLoad-Dual.BC-509A.BATCH_STATUS</t>
  </si>
  <si>
    <t>SmartLoad-Dual.BC-509A.NOMINAL_ARM1_COMP1_KFACTOR_CHANGED</t>
  </si>
  <si>
    <t>SmartLoad-Dual.BC-509A.MFM_BCU_QTY_BEYOND_TOLERANCE_LIMIT_STATUS</t>
  </si>
  <si>
    <t>SmartLoad-Dual.BC-509A.BCU_C1_TOTALIZER_MISMATCH_ALARM</t>
  </si>
  <si>
    <t>LP 18</t>
  </si>
  <si>
    <t>BC-509B</t>
  </si>
  <si>
    <t>SmartLoad-Dual.BC-509B.EARTH_ALARM_STATUS</t>
  </si>
  <si>
    <t>SmartLoad-Dual.BC-509B.NO_FLOW_ALARM_STATUS_M3</t>
  </si>
  <si>
    <t>SmartLoad-Dual.BC-509B.LOW_FLOW_ALARM_STATUS_M3</t>
  </si>
  <si>
    <t>SmartLoad-Dual.BC-509B.HIGH_FLOW_ALARM_STATUS_M3</t>
  </si>
  <si>
    <t>SmartLoad-Dual.BC-509B.UNAUTHORIZE_FLOW_ALARM_STATUS_M3</t>
  </si>
  <si>
    <t>SmartLoad-Dual.BC-509B.METER_OVERRUN_ALARM_STATUS_M3</t>
  </si>
  <si>
    <t>SmartLoad-Dual.BC-509B.BLEND_OVERDOSE_ALARM_STATUS</t>
  </si>
  <si>
    <t>SmartLoad-Dual.BC-509B.BLEND_UNDERDOSE_ALARM_STATUS</t>
  </si>
  <si>
    <t>SmartLoad-Dual.BC-509B.ADDITIVE_OVERDOSE_ALARM_STATUS</t>
  </si>
  <si>
    <t>SmartLoad-Dual.BC-509B.ADDITIVE_UNDERDOSE_ALARM_STATUS</t>
  </si>
  <si>
    <t>SmartLoad-Dual.BC-509B.BATCH_STATUS</t>
  </si>
  <si>
    <t>SmartLoad-Dual.BC-509B.NOMINAL_ARM2_COMP1_KFACTOR_CHANGED</t>
  </si>
  <si>
    <t>SmartLoad-Dual.BC-509B.MFM_BCU_QTY_BEYOND_TOLERANCE_LIMIT_STATUS</t>
  </si>
  <si>
    <t>SmartLoad-Dual.BC-509B.BCU_C3_TOTALIZER_MISMATCH_ALARM</t>
  </si>
  <si>
    <t>LP 19</t>
  </si>
  <si>
    <t>BC-510A</t>
  </si>
  <si>
    <t>SmartLoad-Dual.BC-510A.EARTH_ALARM_STATUS</t>
  </si>
  <si>
    <t>SmartLoad-Dual.BC-510A.NO_FLOW_ALARM_STATUS_M1</t>
  </si>
  <si>
    <t>SmartLoad-Dual.BC-510A.NO_FLOW_ALARM_STATUS_M2</t>
  </si>
  <si>
    <t>SmartLoad-Dual.BC-510A.LOW_FLOW_ALARM_STATUS_M1</t>
  </si>
  <si>
    <t>SmartLoad-Dual.BC-510A.LOW_FLOW_ALARM_STATUS_M2</t>
  </si>
  <si>
    <t>SmartLoad-Dual.BC-510A.HIGH_FLOW_ALARM_STATUS_M1</t>
  </si>
  <si>
    <t>SmartLoad-Dual.BC-510A.HIGH_FLOW_ALARM_STATUS_M2</t>
  </si>
  <si>
    <t>SmartLoad-Dual.BC-510A.UNAUTHORIZE_FLOW_ALARM_STATUS_M1</t>
  </si>
  <si>
    <t>SmartLoad-Dual.BC-510A.METER_OVERRUN_ALARM_STATUS_M1</t>
  </si>
  <si>
    <t>SmartLoad-Dual.BC-510A.BLEND_OVERDOSE_ALARM_STATUS</t>
  </si>
  <si>
    <t>SmartLoad-Dual.BC-510A.BLEND_UNDERDOSE_ALARM_STATUS</t>
  </si>
  <si>
    <t>SmartLoad-Dual.BC-510A.ADDITIVE_OVERDOSE_ALARM_STATUS</t>
  </si>
  <si>
    <t>SmartLoad-Dual.BC-510A.ADDITIVE_UNDERDOSE_ALARM_STATUS</t>
  </si>
  <si>
    <t>SmartLoad-Dual.BC-510A.BATCH_STATUS</t>
  </si>
  <si>
    <t>SmartLoad-Dual.BC-510A.NOMINAL_ARM1_COMP1_KFACTOR_CHANGED</t>
  </si>
  <si>
    <t>SmartLoad-Dual.BC-510A.NOMINAL_ARM1_COMP2_KFACTOR_CHANGED</t>
  </si>
  <si>
    <t>SmartLoad-Dual.BC-510A.MFM_BCU_QTY_BEYOND_TOLERANCE_LIMIT_STATUS</t>
  </si>
  <si>
    <t>SmartLoad-Dual.BC-510A.BCU_C1_TOTALIZER_MISMATCH_ALARM</t>
  </si>
  <si>
    <t>SmartLoad-Dual.BC-510A.BCU_C2_TOTALIZER_MISMATCH_ALARM</t>
  </si>
  <si>
    <t>LP 20</t>
  </si>
  <si>
    <t>BC-510B</t>
  </si>
  <si>
    <t>SmartLoad-Dual.BC-510B.EARTH_ALARM_STATUS</t>
  </si>
  <si>
    <t>SmartLoad-Dual.BC-510B.NO_FLOW_ALARM_STATUS_M3</t>
  </si>
  <si>
    <t>SmartLoad-Dual.BC-510B.LOW_FLOW_ALARM_STATUS_M3</t>
  </si>
  <si>
    <t>SmartLoad-Dual.BC-510B.HIGH_FLOW_ALARM_STATUS_M3</t>
  </si>
  <si>
    <t>SmartLoad-Dual.BC-510B.UNAUTHORIZE_FLOW_ALARM_STATUS_M3</t>
  </si>
  <si>
    <t>SmartLoad-Dual.BC-510B.METER_OVERRUN_ALARM_STATUS_M3</t>
  </si>
  <si>
    <t>SmartLoad-Dual.BC-510B.BLEND_OVERDOSE_ALARM_STATUS</t>
  </si>
  <si>
    <t>SmartLoad-Dual.BC-510B.BLEND_UNDERDOSE_ALARM_STATUS</t>
  </si>
  <si>
    <t>SmartLoad-Dual.BC-510B.ADDITIVE_OVERDOSE_ALARM_STATUS</t>
  </si>
  <si>
    <t>SmartLoad-Dual.BC-510B.ADDITIVE_UNDERDOSE_ALARM_STATUS</t>
  </si>
  <si>
    <t>SmartLoad-Dual.BC-510B.BATCH_STATUS</t>
  </si>
  <si>
    <t>SmartLoad-Dual.BC-510B.NOMINAL_ARM2_COMP1_KFACTOR_CHANGED</t>
  </si>
  <si>
    <t>SmartLoad-Dual.BC-510B.MFM_BCU_QTY_BEYOND_TOLERANCE_LIMIT_STATUS</t>
  </si>
  <si>
    <t>SmartLoad-Dual.BC-510B.BCU_C3_TOTALIZER_MISMATCH_ALARM</t>
  </si>
  <si>
    <t>LP 21</t>
  </si>
  <si>
    <t>BC-09C</t>
  </si>
  <si>
    <t>MTO</t>
  </si>
  <si>
    <t>SmartLoad-Single.BC-09C.EARTH_ALARM_STATUS</t>
  </si>
  <si>
    <t>SmartLoad-Single.BC-09C.NO_FLOW_ALARM_STATUS_M1</t>
  </si>
  <si>
    <t>SmartLoad-Single.BC-09C.LOW_FLOW_ALARM_STATUS_M1</t>
  </si>
  <si>
    <t>SmartLoad-Single.BC-09C.HIGH_FLOW_ALARM_STATUS_M1</t>
  </si>
  <si>
    <t>SmartLoad-Single.BC-09C.UNAUTHORIZE_FLOW_ALARM_STATUS_M1</t>
  </si>
  <si>
    <t>SmartLoad-Single.BC-09C.METER_OVERRUN_ALARM_STATUS_M1</t>
  </si>
  <si>
    <t>SmartLoad-Single.BC-09C.BLEND_OVERDOSE_ALARM_STATUS</t>
  </si>
  <si>
    <t>SmartLoad-Single.BC-09C.BLEND_UNDERDOSE_ALARM_STATUS</t>
  </si>
  <si>
    <t>SmartLoad-Single.BC-09C.ADDITIVE_OVERDOSE_ALARM_STATUS</t>
  </si>
  <si>
    <t>SmartLoad-Single.BC-09C.ADDITIVE_UNDERDOSE_ALARM_STATUS</t>
  </si>
  <si>
    <t>SmartLoad-Single.BC-09C.BATCH_STATUS</t>
  </si>
  <si>
    <t>SmartLoad-Single.BC-09C.NOMINAL_ARM1_COMP1_KFACTOR_CHANGED</t>
  </si>
  <si>
    <t>SmartLoad-Single.BC-09C.MFM_BCU_QTY_BEYOND_TOLERANCE_LIMIT_STATUS</t>
  </si>
  <si>
    <t>SmartLoad-Single.BC-09C.BCU_C1_TOTALIZER_MISMATCH_ALARM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</si>
  <si>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</si>
  <si>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</si>
  <si>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</si>
  <si>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</si>
  <si>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</si>
  <si>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SmartLoad-Dual.BC-501A.PERMISSIVE_FROM_DNC_STATUS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</si>
  <si>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</si>
  <si>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</si>
  <si>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</si>
  <si>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</si>
  <si>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</si>
  <si>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</si>
  <si>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</si>
  <si>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</si>
  <si>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</si>
  <si>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</si>
  <si>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</si>
  <si>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</si>
  <si>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Gantry Permissive Off</t>
  </si>
  <si>
    <t>Air Compressor ID</t>
  </si>
  <si>
    <t>AIR COMPRESSOR FAULT STATUS</t>
  </si>
  <si>
    <t>LRC ID</t>
  </si>
  <si>
    <t>LRC SWITCHOVER 30 DAYS STATUS</t>
  </si>
  <si>
    <t>LRC Switch Over</t>
  </si>
  <si>
    <t>CLIENT.LRC1.HSB_COMMS_FAIL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</si>
  <si>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</si>
  <si>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</si>
  <si>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</si>
  <si>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</si>
  <si>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</si>
  <si>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</si>
  <si>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</si>
  <si>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</si>
  <si>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</si>
  <si>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</si>
  <si>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</si>
  <si>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</si>
  <si>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</si>
  <si>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</si>
  <si>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PressureTransmitter.PT-02.PRESSURE</t>
  </si>
  <si>
    <t>PressureTransmitter.PT-01.PRESSURE</t>
  </si>
  <si>
    <t>PLC.TASPLC.TOV_ON_SCREEN</t>
  </si>
  <si>
    <t>PLC.SFTPLC.CAUSE_ANY_MAIN_FWP_IN_REMOTE_MANUAL</t>
  </si>
  <si>
    <t>PUMP.JCY-01.AUTO_STATUS</t>
  </si>
  <si>
    <t>PUMP.JCY-02.AUTO_STATUS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</si>
</sst>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sz val="11.0"/>
      <color rgb="FF000000"/>
      <name val="Calibri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4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top"/>
    </xf>
    <xf borderId="1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 vertical="top"/>
    </xf>
    <xf borderId="1" fillId="0" fontId="7" numFmtId="0" xfId="0" applyAlignment="1" applyBorder="1" applyFont="1">
      <alignment readingOrder="0" shrinkToFit="0" vertical="bottom" wrapText="0"/>
    </xf>
    <xf borderId="1" fillId="3" fontId="2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3" fillId="0" fontId="6" numFmtId="0" xfId="0" applyAlignment="1" applyBorder="1" applyFont="1">
      <alignment readingOrder="0" vertical="top"/>
    </xf>
    <xf borderId="1" fillId="4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/>
    </xf>
    <xf borderId="3" fillId="0" fontId="6" numFmtId="0" xfId="0" applyAlignment="1" applyBorder="1" applyFont="1">
      <alignment shrinkToFit="0" vertical="top" wrapText="1"/>
    </xf>
    <xf borderId="0" fillId="0" fontId="2" numFmtId="0" xfId="0" applyFont="1"/>
    <xf borderId="1" fillId="0" fontId="6" numFmtId="0" xfId="0" applyBorder="1" applyFont="1"/>
    <xf borderId="0" fillId="0" fontId="6" numFmtId="0" xfId="0" applyFont="1"/>
    <xf borderId="1" fillId="5" fontId="6" numFmtId="0" xfId="0" applyAlignment="1" applyBorder="1" applyFill="1" applyFont="1">
      <alignment vertical="top"/>
    </xf>
    <xf borderId="1" fillId="6" fontId="6" numFmtId="0" xfId="0" applyAlignment="1" applyBorder="1" applyFill="1" applyFont="1">
      <alignment vertical="top"/>
    </xf>
    <xf borderId="1" fillId="6" fontId="7" numFmtId="0" xfId="0" applyAlignment="1" applyBorder="1" applyFont="1">
      <alignment shrinkToFit="0" vertical="bottom" wrapText="0"/>
    </xf>
    <xf borderId="1" fillId="6" fontId="7" numFmtId="0" xfId="0" applyAlignment="1" applyBorder="1" applyFont="1">
      <alignment readingOrder="0" shrinkToFit="0" vertical="bottom" wrapText="0"/>
    </xf>
    <xf borderId="1" fillId="6" fontId="6" numFmtId="0" xfId="0" applyAlignment="1" applyBorder="1" applyFont="1">
      <alignment shrinkToFit="0" vertical="top" wrapText="1"/>
    </xf>
    <xf borderId="4" fillId="3" fontId="2" numFmtId="0" xfId="0" applyBorder="1" applyFont="1"/>
    <xf borderId="5" fillId="3" fontId="2" numFmtId="0" xfId="0" applyBorder="1" applyFont="1"/>
    <xf borderId="0" fillId="0" fontId="6" numFmtId="0" xfId="0" applyFont="1"/>
    <xf borderId="0" fillId="3" fontId="2" numFmtId="0" xfId="0" applyFont="1"/>
    <xf borderId="1" fillId="2" fontId="3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2" fillId="0" fontId="6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horizontal="center" vertical="top"/>
    </xf>
    <xf borderId="2" fillId="0" fontId="6" numFmtId="0" xfId="0" applyAlignment="1" applyBorder="1" applyFont="1">
      <alignment horizontal="center" shrinkToFit="0" vertical="bottom" wrapText="1"/>
    </xf>
    <xf borderId="3" fillId="0" fontId="6" numFmtId="0" xfId="0" applyAlignment="1" applyBorder="1" applyFont="1">
      <alignment shrinkToFit="0" vertical="bottom" wrapText="1"/>
    </xf>
    <xf borderId="3" fillId="0" fontId="6" numFmtId="0" xfId="0" applyAlignment="1" applyBorder="1" applyFont="1">
      <alignment horizontal="center" vertical="top"/>
    </xf>
    <xf borderId="3" fillId="0" fontId="6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shrinkToFit="0" vertical="bottom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4" numFmtId="0" xfId="0" applyBorder="1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readingOrder="0"/>
    </xf>
    <xf borderId="1" fillId="0" fontId="6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1" fillId="7" fontId="2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0" fontId="8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6" numFmtId="0" xfId="0" applyAlignment="1" applyBorder="1" applyFont="1">
      <alignment readingOrder="0" shrinkToFit="0" vertical="bottom" wrapText="1"/>
    </xf>
    <xf borderId="0" fillId="0" fontId="6" numFmtId="0" xfId="0" applyAlignment="1" applyFont="1">
      <alignment readingOrder="0"/>
    </xf>
    <xf borderId="6" fillId="0" fontId="5" numFmtId="0" xfId="0" applyAlignment="1" applyBorder="1" applyFont="1">
      <alignment horizontal="left" vertical="center"/>
    </xf>
    <xf borderId="1" fillId="8" fontId="9" numFmtId="0" xfId="0" applyBorder="1" applyFill="1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5" fillId="5" fontId="6" numFmtId="0" xfId="0" applyBorder="1" applyFont="1"/>
    <xf borderId="5" fillId="5" fontId="6" numFmtId="0" xfId="0" applyAlignment="1" applyBorder="1" applyFont="1">
      <alignment horizontal="center" readingOrder="0"/>
    </xf>
    <xf borderId="6" fillId="0" fontId="6" numFmtId="0" xfId="0" applyBorder="1" applyFont="1"/>
    <xf borderId="7" fillId="4" fontId="6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0" fontId="6" numFmtId="0" xfId="0" applyBorder="1" applyFont="1"/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5" fontId="6" numFmtId="0" xfId="0" applyBorder="1" applyFont="1"/>
    <xf borderId="1" fillId="9" fontId="6" numFmtId="0" xfId="0" applyBorder="1" applyFill="1" applyFont="1"/>
    <xf borderId="1" fillId="3" fontId="5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left" vertical="top"/>
    </xf>
    <xf borderId="0" fillId="0" fontId="1" numFmtId="0" xfId="0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15.75"/>
    <col customWidth="1" min="4" max="4" width="9.38"/>
    <col customWidth="1" min="5" max="5" width="11.5"/>
    <col customWidth="1" min="6" max="6" width="9.75"/>
    <col customWidth="1" min="7" max="7" width="33.8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8.0"/>
    <col customWidth="1" min="16" max="16" width="14.0"/>
    <col customWidth="1" min="17" max="17" width="20.0"/>
    <col customWidth="1" min="18" max="18" width="14.0"/>
    <col customWidth="1" min="19" max="19" width="11.5"/>
    <col customWidth="1" min="20" max="20" width="13.88"/>
    <col customWidth="1" min="21" max="21" width="24.63"/>
    <col customWidth="1" min="22" max="22" width="14.0"/>
    <col customWidth="1" min="23" max="23" width="11.5"/>
    <col customWidth="1" min="24" max="24" width="13.88"/>
    <col customWidth="1" min="25" max="25" width="15.88"/>
    <col customWidth="1" min="26" max="26" width="14.0"/>
    <col customWidth="1" min="27" max="27" width="11.5"/>
    <col customWidth="1" min="28" max="28" width="13.88"/>
    <col customWidth="1" min="29" max="29" width="36.63"/>
    <col customWidth="1" min="30" max="30" width="14.0"/>
    <col customWidth="1" min="31" max="31" width="11.5"/>
    <col customWidth="1" min="32" max="32" width="13.88"/>
    <col customWidth="1" min="33" max="33" width="28.63"/>
    <col customWidth="1" min="34" max="34" width="14.0"/>
    <col customWidth="1" min="35" max="35" width="11.5"/>
    <col customWidth="1" min="36" max="36" width="13.88"/>
    <col customWidth="1" min="37" max="37" width="19.5"/>
    <col customWidth="1" min="38" max="38" width="14.0"/>
    <col customWidth="1" min="39" max="39" width="11.5"/>
    <col customWidth="1" min="40" max="40" width="13.88"/>
    <col customWidth="1" min="41" max="41" width="37.75"/>
    <col customWidth="1" min="42" max="42" width="14.0"/>
    <col customWidth="1" min="43" max="43" width="11.5"/>
    <col customWidth="1" min="44" max="44" width="13.88"/>
    <col customWidth="1" min="45" max="45" width="37.5"/>
    <col customWidth="1" min="46" max="46" width="14.0"/>
    <col customWidth="1" min="47" max="47" width="11.5"/>
    <col customWidth="1" min="48" max="48" width="13.88"/>
    <col customWidth="1" min="49" max="49" width="24.5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3.88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14.0"/>
    <col customWidth="1" min="63" max="63" width="11.5"/>
    <col customWidth="1" min="64" max="64" width="13.88"/>
    <col customWidth="1" min="65" max="65" width="25.88"/>
    <col customWidth="1" min="66" max="66" width="14.0"/>
    <col customWidth="1" min="67" max="67" width="11.5"/>
    <col customWidth="1" min="68" max="68" width="13.88"/>
    <col customWidth="1" min="69" max="69" width="22.5"/>
    <col customWidth="1" min="70" max="70" width="14.0"/>
    <col customWidth="1" min="71" max="71" width="11.5"/>
    <col customWidth="1" min="72" max="72" width="13.88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22.5"/>
    <col customWidth="1" min="78" max="78" width="14.0"/>
    <col customWidth="1" min="79" max="79" width="11.5"/>
    <col customWidth="1" min="80" max="80" width="13.88"/>
    <col customWidth="1" min="81" max="81" width="27.5"/>
    <col customWidth="1" min="82" max="82" width="14.0"/>
    <col customWidth="1" min="83" max="83" width="11.5"/>
    <col customWidth="1" min="84" max="88" width="13.88"/>
    <col customWidth="1" min="89" max="89" width="17.0"/>
    <col customWidth="1" min="90" max="90" width="14.0"/>
    <col customWidth="1" min="91" max="91" width="11.5"/>
    <col customWidth="1" min="92" max="92" width="13.88"/>
    <col customWidth="1" min="93" max="93" width="17.0"/>
    <col customWidth="1" min="94" max="94" width="14.0"/>
    <col customWidth="1" min="95" max="95" width="11.5"/>
    <col customWidth="1" min="96" max="98" width="13.88"/>
    <col customWidth="1" min="99" max="99" width="11.5"/>
    <col customWidth="1" min="100" max="100" width="13.88"/>
    <col customWidth="1" min="101" max="101" width="18.13"/>
    <col customWidth="1" min="102" max="102" width="14.0"/>
    <col customWidth="1" min="103" max="103" width="11.5"/>
    <col customWidth="1" min="104" max="104" width="13.88"/>
    <col customWidth="1" min="105" max="105" width="21.75"/>
    <col customWidth="1" min="106" max="106" width="14.0"/>
    <col customWidth="1" min="107" max="107" width="11.5"/>
    <col customWidth="1" min="108" max="108" width="13.88"/>
    <col customWidth="1" min="109" max="109" width="23.13"/>
    <col customWidth="1" min="110" max="110" width="14.0"/>
    <col customWidth="1" min="111" max="111" width="11.5"/>
    <col customWidth="1" min="112" max="112" width="13.88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7</v>
      </c>
      <c r="O1" s="3" t="s">
        <v>12</v>
      </c>
      <c r="P1" s="4" t="s">
        <v>7</v>
      </c>
      <c r="Q1" s="2" t="s">
        <v>13</v>
      </c>
      <c r="R1" s="2" t="s">
        <v>14</v>
      </c>
      <c r="S1" s="2" t="s">
        <v>9</v>
      </c>
      <c r="T1" s="2" t="s">
        <v>10</v>
      </c>
      <c r="U1" s="2" t="s">
        <v>15</v>
      </c>
      <c r="V1" s="2" t="s">
        <v>14</v>
      </c>
      <c r="W1" s="2" t="s">
        <v>9</v>
      </c>
      <c r="X1" s="2" t="s">
        <v>10</v>
      </c>
      <c r="Y1" s="2" t="s">
        <v>16</v>
      </c>
      <c r="Z1" s="2" t="s">
        <v>14</v>
      </c>
      <c r="AA1" s="2" t="s">
        <v>9</v>
      </c>
      <c r="AB1" s="2" t="s">
        <v>10</v>
      </c>
      <c r="AC1" s="2" t="s">
        <v>17</v>
      </c>
      <c r="AD1" s="2" t="s">
        <v>14</v>
      </c>
      <c r="AE1" s="2" t="s">
        <v>9</v>
      </c>
      <c r="AF1" s="2" t="s">
        <v>10</v>
      </c>
      <c r="AG1" s="2" t="s">
        <v>18</v>
      </c>
      <c r="AH1" s="2" t="s">
        <v>14</v>
      </c>
      <c r="AI1" s="2" t="s">
        <v>9</v>
      </c>
      <c r="AJ1" s="2" t="s">
        <v>10</v>
      </c>
      <c r="AK1" s="2" t="s">
        <v>19</v>
      </c>
      <c r="AL1" s="2" t="s">
        <v>14</v>
      </c>
      <c r="AM1" s="2" t="s">
        <v>9</v>
      </c>
      <c r="AN1" s="2" t="s">
        <v>10</v>
      </c>
      <c r="AO1" s="2" t="s">
        <v>20</v>
      </c>
      <c r="AP1" s="2" t="s">
        <v>14</v>
      </c>
      <c r="AQ1" s="2" t="s">
        <v>9</v>
      </c>
      <c r="AR1" s="2" t="s">
        <v>10</v>
      </c>
      <c r="AS1" s="2" t="s">
        <v>21</v>
      </c>
      <c r="AT1" s="2" t="s">
        <v>14</v>
      </c>
      <c r="AU1" s="2" t="s">
        <v>9</v>
      </c>
      <c r="AV1" s="2" t="s">
        <v>10</v>
      </c>
      <c r="AW1" s="2" t="s">
        <v>22</v>
      </c>
      <c r="AX1" s="2" t="s">
        <v>7</v>
      </c>
      <c r="AY1" s="2" t="s">
        <v>9</v>
      </c>
      <c r="AZ1" s="2" t="s">
        <v>10</v>
      </c>
      <c r="BA1" s="2" t="s">
        <v>23</v>
      </c>
      <c r="BB1" s="2" t="s">
        <v>14</v>
      </c>
      <c r="BC1" s="2" t="s">
        <v>9</v>
      </c>
      <c r="BD1" s="2" t="s">
        <v>10</v>
      </c>
      <c r="BE1" s="2" t="s">
        <v>24</v>
      </c>
      <c r="BF1" s="2" t="s">
        <v>7</v>
      </c>
      <c r="BG1" s="2" t="s">
        <v>9</v>
      </c>
      <c r="BH1" s="2" t="s">
        <v>10</v>
      </c>
      <c r="BI1" s="2" t="s">
        <v>25</v>
      </c>
      <c r="BJ1" s="2" t="s">
        <v>7</v>
      </c>
      <c r="BK1" s="2" t="s">
        <v>9</v>
      </c>
      <c r="BL1" s="2" t="s">
        <v>10</v>
      </c>
      <c r="BM1" s="2" t="s">
        <v>26</v>
      </c>
      <c r="BN1" s="2" t="s">
        <v>7</v>
      </c>
      <c r="BO1" s="2" t="s">
        <v>9</v>
      </c>
      <c r="BP1" s="2" t="s">
        <v>10</v>
      </c>
      <c r="BQ1" s="2" t="s">
        <v>27</v>
      </c>
      <c r="BR1" s="2" t="s">
        <v>7</v>
      </c>
      <c r="BS1" s="2" t="s">
        <v>9</v>
      </c>
      <c r="BT1" s="2" t="s">
        <v>10</v>
      </c>
      <c r="BU1" s="2" t="s">
        <v>28</v>
      </c>
      <c r="BV1" s="2" t="s">
        <v>7</v>
      </c>
      <c r="BW1" s="2" t="s">
        <v>9</v>
      </c>
      <c r="BX1" s="2" t="s">
        <v>10</v>
      </c>
      <c r="BY1" s="2" t="s">
        <v>29</v>
      </c>
      <c r="BZ1" s="2" t="s">
        <v>7</v>
      </c>
      <c r="CA1" s="2" t="s">
        <v>9</v>
      </c>
      <c r="CB1" s="2" t="s">
        <v>10</v>
      </c>
      <c r="CC1" s="2" t="s">
        <v>30</v>
      </c>
      <c r="CD1" s="2" t="s">
        <v>14</v>
      </c>
      <c r="CE1" s="2" t="s">
        <v>9</v>
      </c>
      <c r="CF1" s="2" t="s">
        <v>10</v>
      </c>
      <c r="CG1" s="5" t="s">
        <v>31</v>
      </c>
      <c r="CH1" s="2" t="s">
        <v>14</v>
      </c>
      <c r="CI1" s="2" t="s">
        <v>9</v>
      </c>
      <c r="CJ1" s="2" t="s">
        <v>10</v>
      </c>
      <c r="CK1" s="2" t="s">
        <v>32</v>
      </c>
      <c r="CL1" s="2" t="s">
        <v>14</v>
      </c>
      <c r="CM1" s="2" t="s">
        <v>9</v>
      </c>
      <c r="CN1" s="2" t="s">
        <v>10</v>
      </c>
      <c r="CO1" s="2" t="s">
        <v>33</v>
      </c>
      <c r="CP1" s="2" t="s">
        <v>14</v>
      </c>
      <c r="CQ1" s="2" t="s">
        <v>9</v>
      </c>
      <c r="CR1" s="2" t="s">
        <v>10</v>
      </c>
      <c r="CS1" s="5" t="s">
        <v>34</v>
      </c>
      <c r="CT1" s="6" t="s">
        <v>14</v>
      </c>
      <c r="CU1" s="2" t="s">
        <v>9</v>
      </c>
      <c r="CV1" s="2" t="s">
        <v>10</v>
      </c>
      <c r="CW1" s="2" t="s">
        <v>35</v>
      </c>
      <c r="CX1" s="2" t="s">
        <v>14</v>
      </c>
      <c r="CY1" s="2" t="s">
        <v>9</v>
      </c>
      <c r="CZ1" s="2" t="s">
        <v>10</v>
      </c>
      <c r="DA1" s="2" t="s">
        <v>36</v>
      </c>
      <c r="DB1" s="2" t="s">
        <v>14</v>
      </c>
      <c r="DC1" s="2" t="s">
        <v>9</v>
      </c>
      <c r="DD1" s="2" t="s">
        <v>10</v>
      </c>
      <c r="DE1" s="2" t="s">
        <v>37</v>
      </c>
      <c r="DF1" s="2" t="s">
        <v>14</v>
      </c>
      <c r="DG1" s="2" t="s">
        <v>9</v>
      </c>
      <c r="DH1" s="2" t="s">
        <v>10</v>
      </c>
    </row>
    <row r="2" ht="15.75" customHeight="1">
      <c r="A2" s="7">
        <v>1856.0</v>
      </c>
      <c r="B2" s="8" t="s">
        <v>38</v>
      </c>
      <c r="C2" s="9" t="str">
        <f t="shared" ref="C2:C26" si="1">CONCATENATE(D2,"_",F2)</f>
        <v>TK-01_ATF</v>
      </c>
      <c r="D2" s="10" t="s">
        <v>39</v>
      </c>
      <c r="E2" s="11" t="s">
        <v>40</v>
      </c>
      <c r="F2" s="10" t="s">
        <v>41</v>
      </c>
      <c r="G2" s="12" t="s">
        <v>42</v>
      </c>
      <c r="H2" s="13">
        <v>0.0</v>
      </c>
      <c r="I2" s="14" t="s">
        <v>43</v>
      </c>
      <c r="J2" s="9"/>
      <c r="K2" s="15" t="str">
        <f t="shared" ref="K2:K26" si="2">mid(I2,6,5)</f>
        <v>TK-01</v>
      </c>
      <c r="L2" s="16" t="s">
        <v>44</v>
      </c>
      <c r="M2" s="9"/>
      <c r="N2" s="9"/>
      <c r="O2" s="14" t="s">
        <v>45</v>
      </c>
      <c r="P2" s="17">
        <v>0.0</v>
      </c>
      <c r="Q2" s="14" t="s">
        <v>46</v>
      </c>
      <c r="R2" s="17">
        <v>0.0</v>
      </c>
      <c r="S2" s="15" t="str">
        <f t="shared" ref="S2:S26" si="3">mid(Q2,6,5)</f>
        <v>TK-01</v>
      </c>
      <c r="T2" s="16" t="s">
        <v>44</v>
      </c>
      <c r="U2" s="14" t="s">
        <v>47</v>
      </c>
      <c r="V2" s="17">
        <v>0.0</v>
      </c>
      <c r="W2" s="15" t="str">
        <f t="shared" ref="W2:W26" si="4">mid(U2,6,5)</f>
        <v>TK-01</v>
      </c>
      <c r="X2" s="16" t="s">
        <v>44</v>
      </c>
      <c r="Y2" s="14" t="s">
        <v>48</v>
      </c>
      <c r="Z2" s="17">
        <v>0.0</v>
      </c>
      <c r="AA2" s="15" t="str">
        <f t="shared" ref="AA2:AA7" si="5">mid(Y2,13,6)</f>
        <v>LSW-01</v>
      </c>
      <c r="AB2" s="16" t="s">
        <v>49</v>
      </c>
      <c r="AC2" s="14" t="s">
        <v>50</v>
      </c>
      <c r="AD2" s="17">
        <v>0.0</v>
      </c>
      <c r="AE2" s="15" t="str">
        <f t="shared" ref="AE2:AE24" si="6">mid(AC2,13,6)</f>
        <v>LSW-01</v>
      </c>
      <c r="AF2" s="16" t="s">
        <v>49</v>
      </c>
      <c r="AG2" s="14" t="s">
        <v>51</v>
      </c>
      <c r="AH2" s="17">
        <v>0.0</v>
      </c>
      <c r="AI2" s="15" t="str">
        <f t="shared" ref="AI2:AI24" si="7">mid(AG2,13,6)</f>
        <v>LSW-01</v>
      </c>
      <c r="AJ2" s="16" t="s">
        <v>49</v>
      </c>
      <c r="AK2" s="14" t="s">
        <v>52</v>
      </c>
      <c r="AL2" s="17">
        <v>0.0</v>
      </c>
      <c r="AM2" s="15" t="str">
        <f t="shared" ref="AM2:AM24" si="8">mid(AK2,13,6)</f>
        <v>RDR-01</v>
      </c>
      <c r="AN2" s="18" t="s">
        <v>53</v>
      </c>
      <c r="AO2" s="14" t="s">
        <v>54</v>
      </c>
      <c r="AP2" s="17">
        <v>0.0</v>
      </c>
      <c r="AQ2" s="15" t="str">
        <f t="shared" ref="AQ2:AQ24" si="9">mid(AO2,13,6)</f>
        <v>RDR-01</v>
      </c>
      <c r="AR2" s="18" t="s">
        <v>53</v>
      </c>
      <c r="AS2" s="14" t="s">
        <v>55</v>
      </c>
      <c r="AT2" s="17">
        <v>0.0</v>
      </c>
      <c r="AU2" s="15" t="str">
        <f t="shared" ref="AU2:AU24" si="10">mid(AS2,13,6)</f>
        <v>RDR-01</v>
      </c>
      <c r="AV2" s="18" t="s">
        <v>53</v>
      </c>
      <c r="AW2" s="14" t="s">
        <v>56</v>
      </c>
      <c r="AX2" s="17">
        <v>0.0</v>
      </c>
      <c r="AY2" s="15" t="str">
        <f t="shared" ref="AY2:AY24" si="11">MID(AW2,5,8)</f>
        <v>ROSOV-01</v>
      </c>
      <c r="AZ2" s="18" t="s">
        <v>57</v>
      </c>
      <c r="BA2" s="14" t="s">
        <v>58</v>
      </c>
      <c r="BB2" s="17">
        <v>0.0</v>
      </c>
      <c r="BC2" s="15" t="str">
        <f t="shared" ref="BC2:BC24" si="12">MID(BA2,5,8)</f>
        <v>ROSOV-01</v>
      </c>
      <c r="BD2" s="16" t="s">
        <v>59</v>
      </c>
      <c r="BE2" s="9"/>
      <c r="BF2" s="9"/>
      <c r="BG2" s="9"/>
      <c r="BH2" s="19"/>
      <c r="BI2" s="19"/>
      <c r="BJ2" s="19"/>
      <c r="BK2" s="9"/>
      <c r="BL2" s="19"/>
      <c r="BM2" s="14" t="s">
        <v>60</v>
      </c>
      <c r="BN2" s="17">
        <v>0.0</v>
      </c>
      <c r="BO2" s="15" t="str">
        <f t="shared" ref="BO2:BO24" si="13">MID(BM2,5,8)</f>
        <v>ROSOV-02</v>
      </c>
      <c r="BP2" s="18" t="s">
        <v>61</v>
      </c>
      <c r="BQ2" s="14" t="s">
        <v>62</v>
      </c>
      <c r="BR2" s="17">
        <v>0.0</v>
      </c>
      <c r="BS2" s="15" t="str">
        <f t="shared" ref="BS2:BS24" si="14">MID(BQ2,5,8)</f>
        <v>ROSOV-02</v>
      </c>
      <c r="BT2" s="18" t="s">
        <v>63</v>
      </c>
      <c r="BU2" s="19"/>
      <c r="BV2" s="19"/>
      <c r="BW2" s="19"/>
      <c r="BX2" s="19"/>
      <c r="BY2" s="9"/>
      <c r="BZ2" s="19"/>
      <c r="CA2" s="19"/>
      <c r="CB2" s="9"/>
      <c r="CC2" s="20" t="s">
        <v>64</v>
      </c>
      <c r="CD2" s="17">
        <v>0.0</v>
      </c>
      <c r="CE2" s="15" t="str">
        <f t="shared" ref="CE2:CE24" si="15">MID(CC2,5,7)</f>
        <v>MOV-001</v>
      </c>
      <c r="CF2" s="18" t="s">
        <v>65</v>
      </c>
      <c r="CG2" s="21" t="s">
        <v>66</v>
      </c>
      <c r="CH2" s="22">
        <v>1.0</v>
      </c>
      <c r="CI2" s="15" t="str">
        <f t="shared" ref="CI2:CI24" si="16">MID(CG2,5,7)</f>
        <v>MOV-001</v>
      </c>
      <c r="CJ2" s="18" t="s">
        <v>65</v>
      </c>
      <c r="CK2" s="9"/>
      <c r="CL2" s="19"/>
      <c r="CM2" s="9"/>
      <c r="CN2" s="9"/>
      <c r="CO2" s="20" t="s">
        <v>67</v>
      </c>
      <c r="CP2" s="17">
        <v>0.0</v>
      </c>
      <c r="CQ2" s="15" t="str">
        <f t="shared" ref="CQ2:CQ26" si="17">MID(CO2,5,7)</f>
        <v>MOV-002</v>
      </c>
      <c r="CR2" s="18" t="s">
        <v>68</v>
      </c>
      <c r="CS2" s="21" t="s">
        <v>69</v>
      </c>
      <c r="CT2" s="22">
        <v>1.0</v>
      </c>
      <c r="CU2" s="15" t="str">
        <f t="shared" ref="CU2:CU26" si="18">MID(CS2,5,7)</f>
        <v>MOV-002</v>
      </c>
      <c r="CV2" s="18" t="s">
        <v>68</v>
      </c>
      <c r="CW2" s="9"/>
      <c r="CX2" s="19"/>
      <c r="CY2" s="9"/>
      <c r="CZ2" s="9"/>
      <c r="DA2" s="4"/>
      <c r="DB2" s="3"/>
      <c r="DC2" s="4"/>
      <c r="DD2" s="4"/>
      <c r="DE2" s="4"/>
      <c r="DF2" s="3"/>
      <c r="DG2" s="4"/>
      <c r="DH2" s="4"/>
    </row>
    <row r="3" ht="15.75" customHeight="1">
      <c r="A3" s="7">
        <v>1856.0</v>
      </c>
      <c r="B3" s="8" t="s">
        <v>38</v>
      </c>
      <c r="C3" s="9" t="str">
        <f t="shared" si="1"/>
        <v>TK-02_ATF</v>
      </c>
      <c r="D3" s="23" t="s">
        <v>70</v>
      </c>
      <c r="E3" s="24" t="s">
        <v>40</v>
      </c>
      <c r="F3" s="23" t="s">
        <v>41</v>
      </c>
      <c r="G3" s="12" t="s">
        <v>42</v>
      </c>
      <c r="H3" s="13">
        <v>0.0</v>
      </c>
      <c r="I3" s="14" t="s">
        <v>71</v>
      </c>
      <c r="J3" s="4"/>
      <c r="K3" s="15" t="str">
        <f t="shared" si="2"/>
        <v>TK-02</v>
      </c>
      <c r="L3" s="16" t="s">
        <v>44</v>
      </c>
      <c r="M3" s="4"/>
      <c r="N3" s="4"/>
      <c r="O3" s="14" t="s">
        <v>72</v>
      </c>
      <c r="P3" s="17">
        <v>0.0</v>
      </c>
      <c r="Q3" s="14" t="s">
        <v>73</v>
      </c>
      <c r="R3" s="17">
        <v>0.0</v>
      </c>
      <c r="S3" s="15" t="str">
        <f t="shared" si="3"/>
        <v>TK-02</v>
      </c>
      <c r="T3" s="16" t="s">
        <v>44</v>
      </c>
      <c r="U3" s="14" t="s">
        <v>74</v>
      </c>
      <c r="V3" s="17">
        <v>0.0</v>
      </c>
      <c r="W3" s="15" t="str">
        <f t="shared" si="4"/>
        <v>TK-02</v>
      </c>
      <c r="X3" s="16" t="s">
        <v>44</v>
      </c>
      <c r="Y3" s="14" t="s">
        <v>75</v>
      </c>
      <c r="Z3" s="17">
        <v>0.0</v>
      </c>
      <c r="AA3" s="15" t="str">
        <f t="shared" si="5"/>
        <v>LSW-02</v>
      </c>
      <c r="AB3" s="16" t="s">
        <v>49</v>
      </c>
      <c r="AC3" s="14" t="s">
        <v>76</v>
      </c>
      <c r="AD3" s="17">
        <v>0.0</v>
      </c>
      <c r="AE3" s="15" t="str">
        <f t="shared" si="6"/>
        <v>LSW-02</v>
      </c>
      <c r="AF3" s="16" t="s">
        <v>49</v>
      </c>
      <c r="AG3" s="14" t="s">
        <v>77</v>
      </c>
      <c r="AH3" s="17">
        <v>0.0</v>
      </c>
      <c r="AI3" s="15" t="str">
        <f t="shared" si="7"/>
        <v>LSW-02</v>
      </c>
      <c r="AJ3" s="16" t="s">
        <v>49</v>
      </c>
      <c r="AK3" s="14" t="s">
        <v>78</v>
      </c>
      <c r="AL3" s="17">
        <v>0.0</v>
      </c>
      <c r="AM3" s="15" t="str">
        <f t="shared" si="8"/>
        <v>RDR-02</v>
      </c>
      <c r="AN3" s="18" t="s">
        <v>53</v>
      </c>
      <c r="AO3" s="14" t="s">
        <v>79</v>
      </c>
      <c r="AP3" s="17">
        <v>0.0</v>
      </c>
      <c r="AQ3" s="15" t="str">
        <f t="shared" si="9"/>
        <v>RDR-02</v>
      </c>
      <c r="AR3" s="18" t="s">
        <v>53</v>
      </c>
      <c r="AS3" s="14" t="s">
        <v>80</v>
      </c>
      <c r="AT3" s="17">
        <v>0.0</v>
      </c>
      <c r="AU3" s="15" t="str">
        <f t="shared" si="10"/>
        <v>RDR-02</v>
      </c>
      <c r="AV3" s="18" t="s">
        <v>53</v>
      </c>
      <c r="AW3" s="14" t="s">
        <v>81</v>
      </c>
      <c r="AX3" s="17">
        <v>0.0</v>
      </c>
      <c r="AY3" s="15" t="str">
        <f t="shared" si="11"/>
        <v>ROSOV-03</v>
      </c>
      <c r="AZ3" s="18" t="s">
        <v>57</v>
      </c>
      <c r="BA3" s="14" t="s">
        <v>82</v>
      </c>
      <c r="BB3" s="17">
        <v>0.0</v>
      </c>
      <c r="BC3" s="15" t="str">
        <f t="shared" si="12"/>
        <v>ROSOV-03</v>
      </c>
      <c r="BD3" s="16" t="s">
        <v>59</v>
      </c>
      <c r="BE3" s="4"/>
      <c r="BF3" s="4"/>
      <c r="BG3" s="4"/>
      <c r="BH3" s="4"/>
      <c r="BI3" s="4"/>
      <c r="BJ3" s="4"/>
      <c r="BK3" s="4"/>
      <c r="BL3" s="4"/>
      <c r="BM3" s="14" t="s">
        <v>83</v>
      </c>
      <c r="BN3" s="17">
        <v>0.0</v>
      </c>
      <c r="BO3" s="15" t="str">
        <f t="shared" si="13"/>
        <v>ROSOV-04</v>
      </c>
      <c r="BP3" s="18" t="s">
        <v>61</v>
      </c>
      <c r="BQ3" s="14" t="s">
        <v>84</v>
      </c>
      <c r="BR3" s="17">
        <v>0.0</v>
      </c>
      <c r="BS3" s="15" t="str">
        <f t="shared" si="14"/>
        <v>ROSOV-04</v>
      </c>
      <c r="BT3" s="18" t="s">
        <v>63</v>
      </c>
      <c r="BU3" s="4"/>
      <c r="BV3" s="4"/>
      <c r="BW3" s="4"/>
      <c r="BX3" s="4"/>
      <c r="BY3" s="4"/>
      <c r="BZ3" s="4"/>
      <c r="CA3" s="4"/>
      <c r="CB3" s="4"/>
      <c r="CC3" s="20" t="s">
        <v>85</v>
      </c>
      <c r="CD3" s="17">
        <v>0.0</v>
      </c>
      <c r="CE3" s="15" t="str">
        <f t="shared" si="15"/>
        <v>MOV-003</v>
      </c>
      <c r="CF3" s="18" t="s">
        <v>65</v>
      </c>
      <c r="CG3" s="25" t="s">
        <v>86</v>
      </c>
      <c r="CH3" s="22">
        <v>1.0</v>
      </c>
      <c r="CI3" s="15" t="str">
        <f t="shared" si="16"/>
        <v>MOV-003</v>
      </c>
      <c r="CJ3" s="18" t="s">
        <v>65</v>
      </c>
      <c r="CK3" s="4"/>
      <c r="CL3" s="4"/>
      <c r="CM3" s="4"/>
      <c r="CN3" s="4"/>
      <c r="CO3" s="20" t="s">
        <v>87</v>
      </c>
      <c r="CP3" s="17">
        <v>0.0</v>
      </c>
      <c r="CQ3" s="15" t="str">
        <f t="shared" si="17"/>
        <v>MOV-004</v>
      </c>
      <c r="CR3" s="18" t="s">
        <v>68</v>
      </c>
      <c r="CS3" s="25" t="s">
        <v>88</v>
      </c>
      <c r="CT3" s="22">
        <v>1.0</v>
      </c>
      <c r="CU3" s="15" t="str">
        <f t="shared" si="18"/>
        <v>MOV-004</v>
      </c>
      <c r="CV3" s="18" t="s">
        <v>68</v>
      </c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</row>
    <row r="4" ht="15.75" customHeight="1">
      <c r="A4" s="7">
        <v>1856.0</v>
      </c>
      <c r="B4" s="8" t="s">
        <v>38</v>
      </c>
      <c r="C4" s="9" t="str">
        <f t="shared" si="1"/>
        <v>TK-03_BS VI HSD</v>
      </c>
      <c r="D4" s="23" t="s">
        <v>89</v>
      </c>
      <c r="E4" s="24" t="s">
        <v>40</v>
      </c>
      <c r="F4" s="23" t="s">
        <v>90</v>
      </c>
      <c r="G4" s="12" t="s">
        <v>42</v>
      </c>
      <c r="H4" s="13">
        <v>0.0</v>
      </c>
      <c r="I4" s="14" t="s">
        <v>91</v>
      </c>
      <c r="J4" s="4"/>
      <c r="K4" s="15" t="str">
        <f t="shared" si="2"/>
        <v>TK-03</v>
      </c>
      <c r="L4" s="16" t="s">
        <v>44</v>
      </c>
      <c r="M4" s="4"/>
      <c r="N4" s="4"/>
      <c r="O4" s="14" t="s">
        <v>92</v>
      </c>
      <c r="P4" s="17">
        <v>0.0</v>
      </c>
      <c r="Q4" s="14" t="s">
        <v>93</v>
      </c>
      <c r="R4" s="17">
        <v>0.0</v>
      </c>
      <c r="S4" s="15" t="str">
        <f t="shared" si="3"/>
        <v>TK-03</v>
      </c>
      <c r="T4" s="16" t="s">
        <v>44</v>
      </c>
      <c r="U4" s="14" t="s">
        <v>94</v>
      </c>
      <c r="V4" s="17">
        <v>0.0</v>
      </c>
      <c r="W4" s="15" t="str">
        <f t="shared" si="4"/>
        <v>TK-03</v>
      </c>
      <c r="X4" s="16" t="s">
        <v>44</v>
      </c>
      <c r="Y4" s="14" t="s">
        <v>95</v>
      </c>
      <c r="Z4" s="17">
        <v>0.0</v>
      </c>
      <c r="AA4" s="15" t="str">
        <f t="shared" si="5"/>
        <v>LSW-03</v>
      </c>
      <c r="AB4" s="16" t="s">
        <v>49</v>
      </c>
      <c r="AC4" s="14" t="s">
        <v>96</v>
      </c>
      <c r="AD4" s="17">
        <v>0.0</v>
      </c>
      <c r="AE4" s="15" t="str">
        <f t="shared" si="6"/>
        <v>LSW-03</v>
      </c>
      <c r="AF4" s="16" t="s">
        <v>49</v>
      </c>
      <c r="AG4" s="14" t="s">
        <v>97</v>
      </c>
      <c r="AH4" s="17">
        <v>0.0</v>
      </c>
      <c r="AI4" s="15" t="str">
        <f t="shared" si="7"/>
        <v>LSW-03</v>
      </c>
      <c r="AJ4" s="16" t="s">
        <v>49</v>
      </c>
      <c r="AK4" s="14" t="s">
        <v>98</v>
      </c>
      <c r="AL4" s="17">
        <v>0.0</v>
      </c>
      <c r="AM4" s="15" t="str">
        <f t="shared" si="8"/>
        <v>RDR-03</v>
      </c>
      <c r="AN4" s="18" t="s">
        <v>53</v>
      </c>
      <c r="AO4" s="14" t="s">
        <v>99</v>
      </c>
      <c r="AP4" s="17">
        <v>0.0</v>
      </c>
      <c r="AQ4" s="15" t="str">
        <f t="shared" si="9"/>
        <v>RDR-03</v>
      </c>
      <c r="AR4" s="18" t="s">
        <v>53</v>
      </c>
      <c r="AS4" s="14" t="s">
        <v>100</v>
      </c>
      <c r="AT4" s="17">
        <v>0.0</v>
      </c>
      <c r="AU4" s="15" t="str">
        <f t="shared" si="10"/>
        <v>RDR-03</v>
      </c>
      <c r="AV4" s="18" t="s">
        <v>53</v>
      </c>
      <c r="AW4" s="14" t="s">
        <v>101</v>
      </c>
      <c r="AX4" s="17">
        <v>0.0</v>
      </c>
      <c r="AY4" s="15" t="str">
        <f t="shared" si="11"/>
        <v>ROSOV-05</v>
      </c>
      <c r="AZ4" s="18" t="s">
        <v>57</v>
      </c>
      <c r="BA4" s="14" t="s">
        <v>102</v>
      </c>
      <c r="BB4" s="17">
        <v>0.0</v>
      </c>
      <c r="BC4" s="15" t="str">
        <f t="shared" si="12"/>
        <v>ROSOV-05</v>
      </c>
      <c r="BD4" s="16" t="s">
        <v>59</v>
      </c>
      <c r="BE4" s="4"/>
      <c r="BF4" s="4"/>
      <c r="BG4" s="4"/>
      <c r="BH4" s="4"/>
      <c r="BI4" s="4"/>
      <c r="BJ4" s="4"/>
      <c r="BK4" s="4"/>
      <c r="BL4" s="4"/>
      <c r="BM4" s="14" t="s">
        <v>103</v>
      </c>
      <c r="BN4" s="17">
        <v>0.0</v>
      </c>
      <c r="BO4" s="15" t="str">
        <f t="shared" si="13"/>
        <v>ROSOV-06</v>
      </c>
      <c r="BP4" s="18" t="s">
        <v>61</v>
      </c>
      <c r="BQ4" s="14" t="s">
        <v>104</v>
      </c>
      <c r="BR4" s="17">
        <v>0.0</v>
      </c>
      <c r="BS4" s="15" t="str">
        <f t="shared" si="14"/>
        <v>ROSOV-06</v>
      </c>
      <c r="BT4" s="18" t="s">
        <v>63</v>
      </c>
      <c r="BU4" s="4"/>
      <c r="BV4" s="4"/>
      <c r="BW4" s="4"/>
      <c r="BX4" s="4"/>
      <c r="BY4" s="4"/>
      <c r="BZ4" s="4"/>
      <c r="CA4" s="4"/>
      <c r="CB4" s="4"/>
      <c r="CC4" s="20" t="s">
        <v>105</v>
      </c>
      <c r="CD4" s="17">
        <v>0.0</v>
      </c>
      <c r="CE4" s="15" t="str">
        <f t="shared" si="15"/>
        <v>MOV-005</v>
      </c>
      <c r="CF4" s="18" t="s">
        <v>65</v>
      </c>
      <c r="CG4" s="25" t="s">
        <v>106</v>
      </c>
      <c r="CH4" s="22">
        <v>1.0</v>
      </c>
      <c r="CI4" s="15" t="str">
        <f t="shared" si="16"/>
        <v>MOV-005</v>
      </c>
      <c r="CJ4" s="18" t="s">
        <v>65</v>
      </c>
      <c r="CK4" s="4"/>
      <c r="CL4" s="4"/>
      <c r="CM4" s="4"/>
      <c r="CN4" s="4"/>
      <c r="CO4" s="20" t="s">
        <v>107</v>
      </c>
      <c r="CP4" s="17">
        <v>0.0</v>
      </c>
      <c r="CQ4" s="15" t="str">
        <f t="shared" si="17"/>
        <v>MOV-006</v>
      </c>
      <c r="CR4" s="18" t="s">
        <v>68</v>
      </c>
      <c r="CS4" s="25" t="s">
        <v>108</v>
      </c>
      <c r="CT4" s="22">
        <v>1.0</v>
      </c>
      <c r="CU4" s="15" t="str">
        <f t="shared" si="18"/>
        <v>MOV-006</v>
      </c>
      <c r="CV4" s="18" t="s">
        <v>68</v>
      </c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</row>
    <row r="5" ht="15.75" customHeight="1">
      <c r="A5" s="7">
        <v>1856.0</v>
      </c>
      <c r="B5" s="8" t="s">
        <v>38</v>
      </c>
      <c r="C5" s="9" t="str">
        <f t="shared" si="1"/>
        <v>TK-04_BS VI MS</v>
      </c>
      <c r="D5" s="23" t="s">
        <v>109</v>
      </c>
      <c r="E5" s="24" t="s">
        <v>40</v>
      </c>
      <c r="F5" s="23" t="s">
        <v>110</v>
      </c>
      <c r="G5" s="12" t="s">
        <v>42</v>
      </c>
      <c r="H5" s="13">
        <v>0.0</v>
      </c>
      <c r="I5" s="14" t="s">
        <v>111</v>
      </c>
      <c r="J5" s="4"/>
      <c r="K5" s="15" t="str">
        <f t="shared" si="2"/>
        <v>TK-04</v>
      </c>
      <c r="L5" s="16" t="s">
        <v>44</v>
      </c>
      <c r="M5" s="4"/>
      <c r="N5" s="4"/>
      <c r="O5" s="14" t="s">
        <v>112</v>
      </c>
      <c r="P5" s="17">
        <v>0.0</v>
      </c>
      <c r="Q5" s="14" t="s">
        <v>113</v>
      </c>
      <c r="R5" s="17">
        <v>0.0</v>
      </c>
      <c r="S5" s="15" t="str">
        <f t="shared" si="3"/>
        <v>TK-04</v>
      </c>
      <c r="T5" s="16" t="s">
        <v>44</v>
      </c>
      <c r="U5" s="14" t="s">
        <v>114</v>
      </c>
      <c r="V5" s="17">
        <v>0.0</v>
      </c>
      <c r="W5" s="15" t="str">
        <f t="shared" si="4"/>
        <v>TK-04</v>
      </c>
      <c r="X5" s="16" t="s">
        <v>44</v>
      </c>
      <c r="Y5" s="14" t="s">
        <v>115</v>
      </c>
      <c r="Z5" s="17">
        <v>0.0</v>
      </c>
      <c r="AA5" s="15" t="str">
        <f t="shared" si="5"/>
        <v>LSW-04</v>
      </c>
      <c r="AB5" s="16" t="s">
        <v>49</v>
      </c>
      <c r="AC5" s="14" t="s">
        <v>116</v>
      </c>
      <c r="AD5" s="17">
        <v>0.0</v>
      </c>
      <c r="AE5" s="15" t="str">
        <f t="shared" si="6"/>
        <v>LSW-04</v>
      </c>
      <c r="AF5" s="16" t="s">
        <v>49</v>
      </c>
      <c r="AG5" s="14" t="s">
        <v>117</v>
      </c>
      <c r="AH5" s="17">
        <v>0.0</v>
      </c>
      <c r="AI5" s="15" t="str">
        <f t="shared" si="7"/>
        <v>LSW-04</v>
      </c>
      <c r="AJ5" s="16" t="s">
        <v>49</v>
      </c>
      <c r="AK5" s="14" t="s">
        <v>118</v>
      </c>
      <c r="AL5" s="17">
        <v>0.0</v>
      </c>
      <c r="AM5" s="15" t="str">
        <f t="shared" si="8"/>
        <v>RDR-04</v>
      </c>
      <c r="AN5" s="18" t="s">
        <v>53</v>
      </c>
      <c r="AO5" s="14" t="s">
        <v>119</v>
      </c>
      <c r="AP5" s="17">
        <v>0.0</v>
      </c>
      <c r="AQ5" s="15" t="str">
        <f t="shared" si="9"/>
        <v>RDR-04</v>
      </c>
      <c r="AR5" s="18" t="s">
        <v>53</v>
      </c>
      <c r="AS5" s="14" t="s">
        <v>120</v>
      </c>
      <c r="AT5" s="17">
        <v>0.0</v>
      </c>
      <c r="AU5" s="15" t="str">
        <f t="shared" si="10"/>
        <v>RDR-04</v>
      </c>
      <c r="AV5" s="18" t="s">
        <v>53</v>
      </c>
      <c r="AW5" s="14" t="s">
        <v>121</v>
      </c>
      <c r="AX5" s="17">
        <v>0.0</v>
      </c>
      <c r="AY5" s="15" t="str">
        <f t="shared" si="11"/>
        <v>ROSOV-07</v>
      </c>
      <c r="AZ5" s="18" t="s">
        <v>57</v>
      </c>
      <c r="BA5" s="14" t="s">
        <v>122</v>
      </c>
      <c r="BB5" s="17">
        <v>0.0</v>
      </c>
      <c r="BC5" s="15" t="str">
        <f t="shared" si="12"/>
        <v>ROSOV-07</v>
      </c>
      <c r="BD5" s="16" t="s">
        <v>59</v>
      </c>
      <c r="BE5" s="4"/>
      <c r="BF5" s="4"/>
      <c r="BG5" s="4"/>
      <c r="BH5" s="4"/>
      <c r="BI5" s="4"/>
      <c r="BJ5" s="4"/>
      <c r="BK5" s="4"/>
      <c r="BL5" s="4"/>
      <c r="BM5" s="14" t="s">
        <v>123</v>
      </c>
      <c r="BN5" s="17">
        <v>0.0</v>
      </c>
      <c r="BO5" s="15" t="str">
        <f t="shared" si="13"/>
        <v>ROSOV-08</v>
      </c>
      <c r="BP5" s="18" t="s">
        <v>61</v>
      </c>
      <c r="BQ5" s="14" t="s">
        <v>124</v>
      </c>
      <c r="BR5" s="17">
        <v>0.0</v>
      </c>
      <c r="BS5" s="15" t="str">
        <f t="shared" si="14"/>
        <v>ROSOV-08</v>
      </c>
      <c r="BT5" s="18" t="s">
        <v>63</v>
      </c>
      <c r="BU5" s="4"/>
      <c r="BV5" s="4"/>
      <c r="BW5" s="4"/>
      <c r="BX5" s="4"/>
      <c r="BY5" s="4"/>
      <c r="BZ5" s="4"/>
      <c r="CA5" s="4"/>
      <c r="CB5" s="4"/>
      <c r="CC5" s="20" t="s">
        <v>125</v>
      </c>
      <c r="CD5" s="17">
        <v>0.0</v>
      </c>
      <c r="CE5" s="15" t="str">
        <f t="shared" si="15"/>
        <v>MOV-007</v>
      </c>
      <c r="CF5" s="18" t="s">
        <v>65</v>
      </c>
      <c r="CG5" s="25" t="s">
        <v>126</v>
      </c>
      <c r="CH5" s="22">
        <v>1.0</v>
      </c>
      <c r="CI5" s="15" t="str">
        <f t="shared" si="16"/>
        <v>MOV-007</v>
      </c>
      <c r="CJ5" s="18" t="s">
        <v>65</v>
      </c>
      <c r="CK5" s="4"/>
      <c r="CL5" s="4"/>
      <c r="CM5" s="4"/>
      <c r="CN5" s="4"/>
      <c r="CO5" s="20" t="s">
        <v>127</v>
      </c>
      <c r="CP5" s="17">
        <v>0.0</v>
      </c>
      <c r="CQ5" s="15" t="str">
        <f t="shared" si="17"/>
        <v>MOV-008</v>
      </c>
      <c r="CR5" s="18" t="s">
        <v>68</v>
      </c>
      <c r="CS5" s="25" t="s">
        <v>128</v>
      </c>
      <c r="CT5" s="22">
        <v>1.0</v>
      </c>
      <c r="CU5" s="15" t="str">
        <f t="shared" si="18"/>
        <v>MOV-008</v>
      </c>
      <c r="CV5" s="18" t="s">
        <v>68</v>
      </c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</row>
    <row r="6" ht="15.75" customHeight="1">
      <c r="A6" s="7">
        <v>1856.0</v>
      </c>
      <c r="B6" s="8" t="s">
        <v>38</v>
      </c>
      <c r="C6" s="9" t="str">
        <f t="shared" si="1"/>
        <v>TK-05_BS VI MS</v>
      </c>
      <c r="D6" s="23" t="s">
        <v>129</v>
      </c>
      <c r="E6" s="24" t="s">
        <v>40</v>
      </c>
      <c r="F6" s="23" t="s">
        <v>110</v>
      </c>
      <c r="G6" s="12" t="s">
        <v>42</v>
      </c>
      <c r="H6" s="13">
        <v>0.0</v>
      </c>
      <c r="I6" s="14" t="s">
        <v>130</v>
      </c>
      <c r="J6" s="4"/>
      <c r="K6" s="15" t="str">
        <f t="shared" si="2"/>
        <v>TK-05</v>
      </c>
      <c r="L6" s="16" t="s">
        <v>44</v>
      </c>
      <c r="M6" s="4"/>
      <c r="N6" s="4"/>
      <c r="O6" s="14" t="s">
        <v>131</v>
      </c>
      <c r="P6" s="17">
        <v>0.0</v>
      </c>
      <c r="Q6" s="14" t="s">
        <v>132</v>
      </c>
      <c r="R6" s="17">
        <v>0.0</v>
      </c>
      <c r="S6" s="15" t="str">
        <f t="shared" si="3"/>
        <v>TK-05</v>
      </c>
      <c r="T6" s="16" t="s">
        <v>44</v>
      </c>
      <c r="U6" s="14" t="s">
        <v>133</v>
      </c>
      <c r="V6" s="17">
        <v>0.0</v>
      </c>
      <c r="W6" s="15" t="str">
        <f t="shared" si="4"/>
        <v>TK-05</v>
      </c>
      <c r="X6" s="16" t="s">
        <v>44</v>
      </c>
      <c r="Y6" s="14" t="s">
        <v>134</v>
      </c>
      <c r="Z6" s="17">
        <v>0.0</v>
      </c>
      <c r="AA6" s="15" t="str">
        <f t="shared" si="5"/>
        <v>LSW-05</v>
      </c>
      <c r="AB6" s="16" t="s">
        <v>49</v>
      </c>
      <c r="AC6" s="14" t="s">
        <v>135</v>
      </c>
      <c r="AD6" s="17">
        <v>0.0</v>
      </c>
      <c r="AE6" s="15" t="str">
        <f t="shared" si="6"/>
        <v>LSW-05</v>
      </c>
      <c r="AF6" s="16" t="s">
        <v>49</v>
      </c>
      <c r="AG6" s="14" t="s">
        <v>136</v>
      </c>
      <c r="AH6" s="17">
        <v>0.0</v>
      </c>
      <c r="AI6" s="15" t="str">
        <f t="shared" si="7"/>
        <v>LSW-05</v>
      </c>
      <c r="AJ6" s="16" t="s">
        <v>49</v>
      </c>
      <c r="AK6" s="14" t="s">
        <v>137</v>
      </c>
      <c r="AL6" s="17">
        <v>0.0</v>
      </c>
      <c r="AM6" s="15" t="str">
        <f t="shared" si="8"/>
        <v>RDR-05</v>
      </c>
      <c r="AN6" s="18" t="s">
        <v>53</v>
      </c>
      <c r="AO6" s="14" t="s">
        <v>138</v>
      </c>
      <c r="AP6" s="17">
        <v>0.0</v>
      </c>
      <c r="AQ6" s="15" t="str">
        <f t="shared" si="9"/>
        <v>RDR-05</v>
      </c>
      <c r="AR6" s="18" t="s">
        <v>53</v>
      </c>
      <c r="AS6" s="14" t="s">
        <v>139</v>
      </c>
      <c r="AT6" s="17">
        <v>0.0</v>
      </c>
      <c r="AU6" s="15" t="str">
        <f t="shared" si="10"/>
        <v>RDR-05</v>
      </c>
      <c r="AV6" s="18" t="s">
        <v>53</v>
      </c>
      <c r="AW6" s="14" t="s">
        <v>140</v>
      </c>
      <c r="AX6" s="17">
        <v>0.0</v>
      </c>
      <c r="AY6" s="15" t="str">
        <f t="shared" si="11"/>
        <v>ROSOV-09</v>
      </c>
      <c r="AZ6" s="18" t="s">
        <v>57</v>
      </c>
      <c r="BA6" s="14" t="s">
        <v>141</v>
      </c>
      <c r="BB6" s="17">
        <v>0.0</v>
      </c>
      <c r="BC6" s="15" t="str">
        <f t="shared" si="12"/>
        <v>ROSOV-09</v>
      </c>
      <c r="BD6" s="16" t="s">
        <v>59</v>
      </c>
      <c r="BE6" s="4"/>
      <c r="BF6" s="4"/>
      <c r="BG6" s="4"/>
      <c r="BH6" s="4"/>
      <c r="BI6" s="4"/>
      <c r="BJ6" s="4"/>
      <c r="BK6" s="4"/>
      <c r="BL6" s="4"/>
      <c r="BM6" s="14" t="s">
        <v>142</v>
      </c>
      <c r="BN6" s="17">
        <v>0.0</v>
      </c>
      <c r="BO6" s="15" t="str">
        <f t="shared" si="13"/>
        <v>ROSOV-10</v>
      </c>
      <c r="BP6" s="18" t="s">
        <v>61</v>
      </c>
      <c r="BQ6" s="14" t="s">
        <v>143</v>
      </c>
      <c r="BR6" s="17">
        <v>0.0</v>
      </c>
      <c r="BS6" s="15" t="str">
        <f t="shared" si="14"/>
        <v>ROSOV-10</v>
      </c>
      <c r="BT6" s="18" t="s">
        <v>63</v>
      </c>
      <c r="BU6" s="4"/>
      <c r="BV6" s="4"/>
      <c r="BW6" s="4"/>
      <c r="BX6" s="4"/>
      <c r="BY6" s="4"/>
      <c r="BZ6" s="4"/>
      <c r="CA6" s="4"/>
      <c r="CB6" s="4"/>
      <c r="CC6" s="20" t="s">
        <v>144</v>
      </c>
      <c r="CD6" s="17">
        <v>0.0</v>
      </c>
      <c r="CE6" s="15" t="str">
        <f t="shared" si="15"/>
        <v>MOV-009</v>
      </c>
      <c r="CF6" s="18" t="s">
        <v>65</v>
      </c>
      <c r="CG6" s="25" t="s">
        <v>145</v>
      </c>
      <c r="CH6" s="22">
        <v>1.0</v>
      </c>
      <c r="CI6" s="15" t="str">
        <f t="shared" si="16"/>
        <v>MOV-009</v>
      </c>
      <c r="CJ6" s="18" t="s">
        <v>65</v>
      </c>
      <c r="CK6" s="4"/>
      <c r="CL6" s="4"/>
      <c r="CM6" s="4"/>
      <c r="CN6" s="4"/>
      <c r="CO6" s="20" t="s">
        <v>146</v>
      </c>
      <c r="CP6" s="17">
        <v>0.0</v>
      </c>
      <c r="CQ6" s="15" t="str">
        <f t="shared" si="17"/>
        <v>MOV-010</v>
      </c>
      <c r="CR6" s="18" t="s">
        <v>68</v>
      </c>
      <c r="CS6" s="25" t="s">
        <v>147</v>
      </c>
      <c r="CT6" s="22">
        <v>1.0</v>
      </c>
      <c r="CU6" s="15" t="str">
        <f t="shared" si="18"/>
        <v>MOV-010</v>
      </c>
      <c r="CV6" s="18" t="s">
        <v>68</v>
      </c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</row>
    <row r="7" ht="15.75" customHeight="1">
      <c r="A7" s="7">
        <v>1856.0</v>
      </c>
      <c r="B7" s="8" t="s">
        <v>38</v>
      </c>
      <c r="C7" s="9" t="str">
        <f t="shared" si="1"/>
        <v>TK-06_ETHANOL</v>
      </c>
      <c r="D7" s="23" t="s">
        <v>148</v>
      </c>
      <c r="E7" s="24" t="s">
        <v>40</v>
      </c>
      <c r="F7" s="23" t="s">
        <v>149</v>
      </c>
      <c r="G7" s="12" t="s">
        <v>42</v>
      </c>
      <c r="H7" s="13">
        <v>0.0</v>
      </c>
      <c r="I7" s="14" t="s">
        <v>150</v>
      </c>
      <c r="J7" s="4"/>
      <c r="K7" s="15" t="str">
        <f t="shared" si="2"/>
        <v>TK-06</v>
      </c>
      <c r="L7" s="16" t="s">
        <v>44</v>
      </c>
      <c r="M7" s="4"/>
      <c r="N7" s="4"/>
      <c r="O7" s="14" t="s">
        <v>151</v>
      </c>
      <c r="P7" s="17">
        <v>0.0</v>
      </c>
      <c r="Q7" s="14" t="s">
        <v>152</v>
      </c>
      <c r="R7" s="17">
        <v>0.0</v>
      </c>
      <c r="S7" s="15" t="str">
        <f t="shared" si="3"/>
        <v>TK-06</v>
      </c>
      <c r="T7" s="16" t="s">
        <v>44</v>
      </c>
      <c r="U7" s="14" t="s">
        <v>153</v>
      </c>
      <c r="V7" s="17">
        <v>0.0</v>
      </c>
      <c r="W7" s="15" t="str">
        <f t="shared" si="4"/>
        <v>TK-06</v>
      </c>
      <c r="X7" s="16" t="s">
        <v>44</v>
      </c>
      <c r="Y7" s="14" t="s">
        <v>154</v>
      </c>
      <c r="Z7" s="17">
        <v>0.0</v>
      </c>
      <c r="AA7" s="15" t="str">
        <f t="shared" si="5"/>
        <v>LSW-06</v>
      </c>
      <c r="AB7" s="16" t="s">
        <v>49</v>
      </c>
      <c r="AC7" s="14" t="s">
        <v>155</v>
      </c>
      <c r="AD7" s="17">
        <v>0.0</v>
      </c>
      <c r="AE7" s="15" t="str">
        <f t="shared" si="6"/>
        <v>LSW-06</v>
      </c>
      <c r="AF7" s="16" t="s">
        <v>49</v>
      </c>
      <c r="AG7" s="14" t="s">
        <v>156</v>
      </c>
      <c r="AH7" s="17">
        <v>0.0</v>
      </c>
      <c r="AI7" s="15" t="str">
        <f t="shared" si="7"/>
        <v>LSW-06</v>
      </c>
      <c r="AJ7" s="16" t="s">
        <v>49</v>
      </c>
      <c r="AK7" s="14" t="s">
        <v>157</v>
      </c>
      <c r="AL7" s="17">
        <v>0.0</v>
      </c>
      <c r="AM7" s="15" t="str">
        <f t="shared" si="8"/>
        <v>RDR-06</v>
      </c>
      <c r="AN7" s="18" t="s">
        <v>53</v>
      </c>
      <c r="AO7" s="14" t="s">
        <v>158</v>
      </c>
      <c r="AP7" s="17">
        <v>0.0</v>
      </c>
      <c r="AQ7" s="15" t="str">
        <f t="shared" si="9"/>
        <v>RDR-06</v>
      </c>
      <c r="AR7" s="18" t="s">
        <v>53</v>
      </c>
      <c r="AS7" s="14" t="s">
        <v>159</v>
      </c>
      <c r="AT7" s="17">
        <v>0.0</v>
      </c>
      <c r="AU7" s="15" t="str">
        <f t="shared" si="10"/>
        <v>RDR-06</v>
      </c>
      <c r="AV7" s="18" t="s">
        <v>53</v>
      </c>
      <c r="AW7" s="14" t="s">
        <v>160</v>
      </c>
      <c r="AX7" s="17">
        <v>0.0</v>
      </c>
      <c r="AY7" s="15" t="str">
        <f t="shared" si="11"/>
        <v>ROSOV-11</v>
      </c>
      <c r="AZ7" s="18" t="s">
        <v>57</v>
      </c>
      <c r="BA7" s="14" t="s">
        <v>161</v>
      </c>
      <c r="BB7" s="17">
        <v>0.0</v>
      </c>
      <c r="BC7" s="15" t="str">
        <f t="shared" si="12"/>
        <v>ROSOV-11</v>
      </c>
      <c r="BD7" s="16" t="s">
        <v>59</v>
      </c>
      <c r="BE7" s="4"/>
      <c r="BF7" s="4"/>
      <c r="BG7" s="4"/>
      <c r="BH7" s="4"/>
      <c r="BI7" s="4"/>
      <c r="BJ7" s="4"/>
      <c r="BK7" s="4"/>
      <c r="BL7" s="4"/>
      <c r="BM7" s="14" t="s">
        <v>162</v>
      </c>
      <c r="BN7" s="17">
        <v>0.0</v>
      </c>
      <c r="BO7" s="15" t="str">
        <f t="shared" si="13"/>
        <v>ROSOV-12</v>
      </c>
      <c r="BP7" s="18" t="s">
        <v>61</v>
      </c>
      <c r="BQ7" s="14" t="s">
        <v>163</v>
      </c>
      <c r="BR7" s="17">
        <v>0.0</v>
      </c>
      <c r="BS7" s="15" t="str">
        <f t="shared" si="14"/>
        <v>ROSOV-12</v>
      </c>
      <c r="BT7" s="18" t="s">
        <v>63</v>
      </c>
      <c r="BU7" s="4"/>
      <c r="BV7" s="4"/>
      <c r="BW7" s="4"/>
      <c r="BX7" s="4"/>
      <c r="BY7" s="4"/>
      <c r="BZ7" s="4"/>
      <c r="CA7" s="4"/>
      <c r="CB7" s="4"/>
      <c r="CC7" s="20" t="s">
        <v>164</v>
      </c>
      <c r="CD7" s="17">
        <v>0.0</v>
      </c>
      <c r="CE7" s="15" t="str">
        <f t="shared" si="15"/>
        <v>MOV-011</v>
      </c>
      <c r="CF7" s="18" t="s">
        <v>65</v>
      </c>
      <c r="CG7" s="25" t="s">
        <v>165</v>
      </c>
      <c r="CH7" s="22">
        <v>1.0</v>
      </c>
      <c r="CI7" s="15" t="str">
        <f t="shared" si="16"/>
        <v>MOV-011</v>
      </c>
      <c r="CJ7" s="18" t="s">
        <v>65</v>
      </c>
      <c r="CK7" s="4"/>
      <c r="CL7" s="4"/>
      <c r="CM7" s="4"/>
      <c r="CN7" s="4"/>
      <c r="CO7" s="20" t="s">
        <v>166</v>
      </c>
      <c r="CP7" s="17">
        <v>0.0</v>
      </c>
      <c r="CQ7" s="15" t="str">
        <f t="shared" si="17"/>
        <v>MOV-012</v>
      </c>
      <c r="CR7" s="18" t="s">
        <v>68</v>
      </c>
      <c r="CS7" s="25" t="s">
        <v>167</v>
      </c>
      <c r="CT7" s="22">
        <v>1.0</v>
      </c>
      <c r="CU7" s="15" t="str">
        <f t="shared" si="18"/>
        <v>MOV-012</v>
      </c>
      <c r="CV7" s="18" t="s">
        <v>68</v>
      </c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</row>
    <row r="8" ht="15.75" customHeight="1">
      <c r="A8" s="7">
        <v>1856.0</v>
      </c>
      <c r="B8" s="8" t="s">
        <v>38</v>
      </c>
      <c r="C8" s="9" t="str">
        <f t="shared" si="1"/>
        <v>TK-07_ETHANOL</v>
      </c>
      <c r="D8" s="23" t="s">
        <v>168</v>
      </c>
      <c r="E8" s="24" t="s">
        <v>169</v>
      </c>
      <c r="F8" s="23" t="s">
        <v>149</v>
      </c>
      <c r="G8" s="12" t="s">
        <v>42</v>
      </c>
      <c r="H8" s="13">
        <v>0.0</v>
      </c>
      <c r="I8" s="14" t="s">
        <v>170</v>
      </c>
      <c r="J8" s="4"/>
      <c r="K8" s="15" t="str">
        <f t="shared" si="2"/>
        <v>TK-07</v>
      </c>
      <c r="L8" s="16" t="s">
        <v>44</v>
      </c>
      <c r="M8" s="4"/>
      <c r="N8" s="4"/>
      <c r="O8" s="14" t="s">
        <v>171</v>
      </c>
      <c r="P8" s="17">
        <v>0.0</v>
      </c>
      <c r="Q8" s="14" t="s">
        <v>172</v>
      </c>
      <c r="R8" s="17">
        <v>0.0</v>
      </c>
      <c r="S8" s="15" t="str">
        <f t="shared" si="3"/>
        <v>TK-07</v>
      </c>
      <c r="T8" s="16" t="s">
        <v>44</v>
      </c>
      <c r="U8" s="14" t="s">
        <v>173</v>
      </c>
      <c r="V8" s="17">
        <v>0.0</v>
      </c>
      <c r="W8" s="15" t="str">
        <f t="shared" si="4"/>
        <v>TK-07</v>
      </c>
      <c r="X8" s="16" t="s">
        <v>44</v>
      </c>
      <c r="Y8" s="27"/>
      <c r="Z8" s="14"/>
      <c r="AA8" s="4"/>
      <c r="AB8" s="4"/>
      <c r="AC8" s="27"/>
      <c r="AD8" s="14"/>
      <c r="AE8" s="15" t="str">
        <f t="shared" si="6"/>
        <v/>
      </c>
      <c r="AF8" s="4"/>
      <c r="AG8" s="27"/>
      <c r="AH8" s="14"/>
      <c r="AI8" s="15" t="str">
        <f t="shared" si="7"/>
        <v/>
      </c>
      <c r="AJ8" s="4"/>
      <c r="AK8" s="27"/>
      <c r="AL8" s="14"/>
      <c r="AM8" s="15" t="str">
        <f t="shared" si="8"/>
        <v/>
      </c>
      <c r="AN8" s="4"/>
      <c r="AO8" s="27"/>
      <c r="AP8" s="14"/>
      <c r="AQ8" s="15" t="str">
        <f t="shared" si="9"/>
        <v/>
      </c>
      <c r="AR8" s="4"/>
      <c r="AS8" s="27"/>
      <c r="AT8" s="14"/>
      <c r="AU8" s="15" t="str">
        <f t="shared" si="10"/>
        <v/>
      </c>
      <c r="AV8" s="4"/>
      <c r="AW8" s="27"/>
      <c r="AX8" s="27"/>
      <c r="AY8" s="15" t="str">
        <f t="shared" si="11"/>
        <v/>
      </c>
      <c r="AZ8" s="4"/>
      <c r="BA8" s="27"/>
      <c r="BB8" s="27"/>
      <c r="BC8" s="15" t="str">
        <f t="shared" si="12"/>
        <v/>
      </c>
      <c r="BD8" s="4"/>
      <c r="BE8" s="4"/>
      <c r="BF8" s="4"/>
      <c r="BG8" s="4"/>
      <c r="BH8" s="4"/>
      <c r="BI8" s="4"/>
      <c r="BJ8" s="4"/>
      <c r="BK8" s="4"/>
      <c r="BL8" s="4"/>
      <c r="BM8" s="27"/>
      <c r="BN8" s="27"/>
      <c r="BO8" s="15" t="str">
        <f t="shared" si="13"/>
        <v/>
      </c>
      <c r="BP8" s="4"/>
      <c r="BQ8" s="27"/>
      <c r="BR8" s="27"/>
      <c r="BS8" s="15" t="str">
        <f t="shared" si="14"/>
        <v/>
      </c>
      <c r="BT8" s="4"/>
      <c r="BU8" s="4"/>
      <c r="BV8" s="4"/>
      <c r="BW8" s="4"/>
      <c r="BX8" s="4"/>
      <c r="BY8" s="4"/>
      <c r="BZ8" s="4"/>
      <c r="CA8" s="4"/>
      <c r="CB8" s="4"/>
      <c r="CC8" s="27"/>
      <c r="CD8" s="27"/>
      <c r="CE8" s="15" t="str">
        <f t="shared" si="15"/>
        <v/>
      </c>
      <c r="CF8" s="4"/>
      <c r="CG8" s="28"/>
      <c r="CH8" s="28"/>
      <c r="CI8" s="15" t="str">
        <f t="shared" si="16"/>
        <v/>
      </c>
      <c r="CJ8" s="4"/>
      <c r="CK8" s="4"/>
      <c r="CL8" s="4"/>
      <c r="CM8" s="4"/>
      <c r="CN8" s="4"/>
      <c r="CO8" s="27"/>
      <c r="CP8" s="27"/>
      <c r="CQ8" s="15" t="str">
        <f t="shared" si="17"/>
        <v/>
      </c>
      <c r="CR8" s="4"/>
      <c r="CS8" s="28"/>
      <c r="CT8" s="28"/>
      <c r="CU8" s="15" t="str">
        <f t="shared" si="18"/>
        <v/>
      </c>
      <c r="CV8" s="4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</row>
    <row r="9" ht="15.75" customHeight="1">
      <c r="A9" s="7">
        <v>1856.0</v>
      </c>
      <c r="B9" s="8" t="s">
        <v>38</v>
      </c>
      <c r="C9" s="9" t="str">
        <f t="shared" si="1"/>
        <v>TK-08_ETHANOL</v>
      </c>
      <c r="D9" s="23" t="s">
        <v>174</v>
      </c>
      <c r="E9" s="24" t="s">
        <v>169</v>
      </c>
      <c r="F9" s="23" t="s">
        <v>149</v>
      </c>
      <c r="G9" s="12" t="s">
        <v>42</v>
      </c>
      <c r="H9" s="13">
        <v>0.0</v>
      </c>
      <c r="I9" s="14" t="s">
        <v>175</v>
      </c>
      <c r="J9" s="4"/>
      <c r="K9" s="15" t="str">
        <f t="shared" si="2"/>
        <v>TK-08</v>
      </c>
      <c r="L9" s="16" t="s">
        <v>44</v>
      </c>
      <c r="M9" s="4"/>
      <c r="N9" s="4"/>
      <c r="O9" s="14" t="s">
        <v>176</v>
      </c>
      <c r="P9" s="17">
        <v>0.0</v>
      </c>
      <c r="Q9" s="14" t="s">
        <v>177</v>
      </c>
      <c r="R9" s="17">
        <v>0.0</v>
      </c>
      <c r="S9" s="15" t="str">
        <f t="shared" si="3"/>
        <v>TK-08</v>
      </c>
      <c r="T9" s="16" t="s">
        <v>44</v>
      </c>
      <c r="U9" s="14" t="s">
        <v>178</v>
      </c>
      <c r="V9" s="17">
        <v>0.0</v>
      </c>
      <c r="W9" s="15" t="str">
        <f t="shared" si="4"/>
        <v>TK-08</v>
      </c>
      <c r="X9" s="16" t="s">
        <v>44</v>
      </c>
      <c r="Y9" s="27"/>
      <c r="Z9" s="14"/>
      <c r="AA9" s="4"/>
      <c r="AB9" s="4"/>
      <c r="AC9" s="27"/>
      <c r="AD9" s="14"/>
      <c r="AE9" s="15" t="str">
        <f t="shared" si="6"/>
        <v/>
      </c>
      <c r="AF9" s="4"/>
      <c r="AG9" s="27"/>
      <c r="AH9" s="14"/>
      <c r="AI9" s="15" t="str">
        <f t="shared" si="7"/>
        <v/>
      </c>
      <c r="AJ9" s="4"/>
      <c r="AK9" s="27"/>
      <c r="AL9" s="14"/>
      <c r="AM9" s="15" t="str">
        <f t="shared" si="8"/>
        <v/>
      </c>
      <c r="AN9" s="4"/>
      <c r="AO9" s="27"/>
      <c r="AP9" s="14"/>
      <c r="AQ9" s="15" t="str">
        <f t="shared" si="9"/>
        <v/>
      </c>
      <c r="AR9" s="4"/>
      <c r="AS9" s="27"/>
      <c r="AT9" s="14"/>
      <c r="AU9" s="15" t="str">
        <f t="shared" si="10"/>
        <v/>
      </c>
      <c r="AV9" s="4"/>
      <c r="AW9" s="27"/>
      <c r="AX9" s="27"/>
      <c r="AY9" s="15" t="str">
        <f t="shared" si="11"/>
        <v/>
      </c>
      <c r="AZ9" s="4"/>
      <c r="BA9" s="27"/>
      <c r="BB9" s="27"/>
      <c r="BC9" s="15" t="str">
        <f t="shared" si="12"/>
        <v/>
      </c>
      <c r="BD9" s="4"/>
      <c r="BE9" s="4"/>
      <c r="BF9" s="4"/>
      <c r="BG9" s="4"/>
      <c r="BH9" s="4"/>
      <c r="BI9" s="4"/>
      <c r="BJ9" s="4"/>
      <c r="BK9" s="4"/>
      <c r="BL9" s="4"/>
      <c r="BM9" s="27"/>
      <c r="BN9" s="27"/>
      <c r="BO9" s="15" t="str">
        <f t="shared" si="13"/>
        <v/>
      </c>
      <c r="BP9" s="4"/>
      <c r="BQ9" s="27"/>
      <c r="BR9" s="27"/>
      <c r="BS9" s="15" t="str">
        <f t="shared" si="14"/>
        <v/>
      </c>
      <c r="BT9" s="4"/>
      <c r="BU9" s="4"/>
      <c r="BV9" s="4"/>
      <c r="BW9" s="4"/>
      <c r="BX9" s="4"/>
      <c r="BY9" s="4"/>
      <c r="BZ9" s="4"/>
      <c r="CA9" s="4"/>
      <c r="CB9" s="4"/>
      <c r="CC9" s="27"/>
      <c r="CD9" s="27"/>
      <c r="CE9" s="15" t="str">
        <f t="shared" si="15"/>
        <v/>
      </c>
      <c r="CF9" s="4"/>
      <c r="CG9" s="28"/>
      <c r="CH9" s="28"/>
      <c r="CI9" s="15" t="str">
        <f t="shared" si="16"/>
        <v/>
      </c>
      <c r="CJ9" s="4"/>
      <c r="CK9" s="4"/>
      <c r="CL9" s="4"/>
      <c r="CM9" s="4"/>
      <c r="CN9" s="4"/>
      <c r="CO9" s="27"/>
      <c r="CP9" s="27"/>
      <c r="CQ9" s="15" t="str">
        <f t="shared" si="17"/>
        <v/>
      </c>
      <c r="CR9" s="4"/>
      <c r="CS9" s="28"/>
      <c r="CT9" s="28"/>
      <c r="CU9" s="15" t="str">
        <f t="shared" si="18"/>
        <v/>
      </c>
      <c r="CV9" s="4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</row>
    <row r="10" ht="15.75" customHeight="1">
      <c r="A10" s="7">
        <v>1856.0</v>
      </c>
      <c r="B10" s="8" t="s">
        <v>38</v>
      </c>
      <c r="C10" s="9" t="str">
        <f t="shared" si="1"/>
        <v>TK-09_BS VI HSD</v>
      </c>
      <c r="D10" s="23" t="s">
        <v>179</v>
      </c>
      <c r="E10" s="24" t="s">
        <v>169</v>
      </c>
      <c r="F10" s="23" t="s">
        <v>90</v>
      </c>
      <c r="G10" s="12" t="s">
        <v>42</v>
      </c>
      <c r="H10" s="13">
        <v>0.0</v>
      </c>
      <c r="I10" s="14" t="s">
        <v>180</v>
      </c>
      <c r="J10" s="4"/>
      <c r="K10" s="15" t="str">
        <f t="shared" si="2"/>
        <v>TK-09</v>
      </c>
      <c r="L10" s="16" t="s">
        <v>44</v>
      </c>
      <c r="M10" s="4"/>
      <c r="N10" s="4"/>
      <c r="O10" s="14" t="s">
        <v>181</v>
      </c>
      <c r="P10" s="17">
        <v>0.0</v>
      </c>
      <c r="Q10" s="14" t="s">
        <v>182</v>
      </c>
      <c r="R10" s="17">
        <v>0.0</v>
      </c>
      <c r="S10" s="15" t="str">
        <f t="shared" si="3"/>
        <v>TK-09</v>
      </c>
      <c r="T10" s="16" t="s">
        <v>44</v>
      </c>
      <c r="U10" s="14" t="s">
        <v>183</v>
      </c>
      <c r="V10" s="17">
        <v>0.0</v>
      </c>
      <c r="W10" s="15" t="str">
        <f t="shared" si="4"/>
        <v>TK-09</v>
      </c>
      <c r="X10" s="16" t="s">
        <v>44</v>
      </c>
      <c r="Y10" s="27"/>
      <c r="Z10" s="14"/>
      <c r="AA10" s="4"/>
      <c r="AB10" s="4"/>
      <c r="AC10" s="27"/>
      <c r="AD10" s="14"/>
      <c r="AE10" s="15" t="str">
        <f t="shared" si="6"/>
        <v/>
      </c>
      <c r="AF10" s="4"/>
      <c r="AG10" s="27"/>
      <c r="AH10" s="14"/>
      <c r="AI10" s="15" t="str">
        <f t="shared" si="7"/>
        <v/>
      </c>
      <c r="AJ10" s="4"/>
      <c r="AK10" s="27"/>
      <c r="AL10" s="14"/>
      <c r="AM10" s="15" t="str">
        <f t="shared" si="8"/>
        <v/>
      </c>
      <c r="AN10" s="4"/>
      <c r="AO10" s="27"/>
      <c r="AP10" s="14"/>
      <c r="AQ10" s="15" t="str">
        <f t="shared" si="9"/>
        <v/>
      </c>
      <c r="AR10" s="4"/>
      <c r="AS10" s="27"/>
      <c r="AT10" s="14"/>
      <c r="AU10" s="15" t="str">
        <f t="shared" si="10"/>
        <v/>
      </c>
      <c r="AV10" s="4"/>
      <c r="AW10" s="27"/>
      <c r="AX10" s="27"/>
      <c r="AY10" s="15" t="str">
        <f t="shared" si="11"/>
        <v/>
      </c>
      <c r="AZ10" s="4"/>
      <c r="BA10" s="27"/>
      <c r="BB10" s="27"/>
      <c r="BC10" s="15" t="str">
        <f t="shared" si="12"/>
        <v/>
      </c>
      <c r="BD10" s="4"/>
      <c r="BE10" s="4"/>
      <c r="BF10" s="4"/>
      <c r="BG10" s="4"/>
      <c r="BH10" s="4"/>
      <c r="BI10" s="4"/>
      <c r="BJ10" s="4"/>
      <c r="BK10" s="4"/>
      <c r="BL10" s="4"/>
      <c r="BM10" s="27"/>
      <c r="BN10" s="27"/>
      <c r="BO10" s="15" t="str">
        <f t="shared" si="13"/>
        <v/>
      </c>
      <c r="BP10" s="4"/>
      <c r="BQ10" s="27"/>
      <c r="BR10" s="27"/>
      <c r="BS10" s="15" t="str">
        <f t="shared" si="14"/>
        <v/>
      </c>
      <c r="BT10" s="4"/>
      <c r="BU10" s="4"/>
      <c r="BV10" s="4"/>
      <c r="BW10" s="4"/>
      <c r="BX10" s="4"/>
      <c r="BY10" s="4"/>
      <c r="BZ10" s="4"/>
      <c r="CA10" s="4"/>
      <c r="CB10" s="4"/>
      <c r="CC10" s="27"/>
      <c r="CD10" s="27"/>
      <c r="CE10" s="15" t="str">
        <f t="shared" si="15"/>
        <v/>
      </c>
      <c r="CF10" s="4"/>
      <c r="CG10" s="28"/>
      <c r="CH10" s="28"/>
      <c r="CI10" s="15" t="str">
        <f t="shared" si="16"/>
        <v/>
      </c>
      <c r="CJ10" s="4"/>
      <c r="CK10" s="4"/>
      <c r="CL10" s="4"/>
      <c r="CM10" s="4"/>
      <c r="CN10" s="4"/>
      <c r="CO10" s="27"/>
      <c r="CP10" s="27"/>
      <c r="CQ10" s="15" t="str">
        <f t="shared" si="17"/>
        <v/>
      </c>
      <c r="CR10" s="4"/>
      <c r="CS10" s="28"/>
      <c r="CT10" s="28"/>
      <c r="CU10" s="15" t="str">
        <f t="shared" si="18"/>
        <v/>
      </c>
      <c r="CV10" s="4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</row>
    <row r="11" ht="15.75" customHeight="1">
      <c r="A11" s="7">
        <v>1856.0</v>
      </c>
      <c r="B11" s="8" t="s">
        <v>38</v>
      </c>
      <c r="C11" s="9" t="str">
        <f t="shared" si="1"/>
        <v>TK-10_WATER</v>
      </c>
      <c r="D11" s="23" t="s">
        <v>184</v>
      </c>
      <c r="E11" s="24" t="s">
        <v>40</v>
      </c>
      <c r="F11" s="23" t="s">
        <v>185</v>
      </c>
      <c r="G11" s="12" t="s">
        <v>42</v>
      </c>
      <c r="H11" s="13">
        <v>0.0</v>
      </c>
      <c r="I11" s="14" t="s">
        <v>186</v>
      </c>
      <c r="J11" s="4"/>
      <c r="K11" s="15" t="str">
        <f t="shared" si="2"/>
        <v>TK-10</v>
      </c>
      <c r="L11" s="16" t="s">
        <v>44</v>
      </c>
      <c r="M11" s="4"/>
      <c r="N11" s="4"/>
      <c r="O11" s="14" t="s">
        <v>187</v>
      </c>
      <c r="P11" s="17">
        <v>0.0</v>
      </c>
      <c r="Q11" s="14" t="s">
        <v>188</v>
      </c>
      <c r="R11" s="17">
        <v>0.0</v>
      </c>
      <c r="S11" s="15" t="str">
        <f t="shared" si="3"/>
        <v>TK-10</v>
      </c>
      <c r="T11" s="16" t="s">
        <v>44</v>
      </c>
      <c r="U11" s="14" t="s">
        <v>189</v>
      </c>
      <c r="V11" s="17">
        <v>0.0</v>
      </c>
      <c r="W11" s="15" t="str">
        <f t="shared" si="4"/>
        <v>TK-10</v>
      </c>
      <c r="X11" s="16" t="s">
        <v>44</v>
      </c>
      <c r="Y11" s="27"/>
      <c r="Z11" s="14"/>
      <c r="AA11" s="4"/>
      <c r="AB11" s="4"/>
      <c r="AC11" s="27"/>
      <c r="AD11" s="14"/>
      <c r="AE11" s="15" t="str">
        <f t="shared" si="6"/>
        <v/>
      </c>
      <c r="AF11" s="4"/>
      <c r="AG11" s="27"/>
      <c r="AH11" s="14"/>
      <c r="AI11" s="15" t="str">
        <f t="shared" si="7"/>
        <v/>
      </c>
      <c r="AJ11" s="4"/>
      <c r="AK11" s="27"/>
      <c r="AL11" s="14"/>
      <c r="AM11" s="15" t="str">
        <f t="shared" si="8"/>
        <v/>
      </c>
      <c r="AN11" s="4"/>
      <c r="AO11" s="27"/>
      <c r="AP11" s="14"/>
      <c r="AQ11" s="15" t="str">
        <f t="shared" si="9"/>
        <v/>
      </c>
      <c r="AR11" s="4"/>
      <c r="AS11" s="27"/>
      <c r="AT11" s="14"/>
      <c r="AU11" s="15" t="str">
        <f t="shared" si="10"/>
        <v/>
      </c>
      <c r="AV11" s="4"/>
      <c r="AW11" s="27"/>
      <c r="AX11" s="27"/>
      <c r="AY11" s="15" t="str">
        <f t="shared" si="11"/>
        <v/>
      </c>
      <c r="AZ11" s="4"/>
      <c r="BA11" s="27"/>
      <c r="BB11" s="27"/>
      <c r="BC11" s="15" t="str">
        <f t="shared" si="12"/>
        <v/>
      </c>
      <c r="BD11" s="4"/>
      <c r="BE11" s="4"/>
      <c r="BF11" s="4"/>
      <c r="BG11" s="4"/>
      <c r="BH11" s="4"/>
      <c r="BI11" s="4"/>
      <c r="BJ11" s="4"/>
      <c r="BK11" s="4"/>
      <c r="BL11" s="4"/>
      <c r="BM11" s="27"/>
      <c r="BN11" s="27"/>
      <c r="BO11" s="15" t="str">
        <f t="shared" si="13"/>
        <v/>
      </c>
      <c r="BP11" s="4"/>
      <c r="BQ11" s="27"/>
      <c r="BR11" s="27"/>
      <c r="BS11" s="15" t="str">
        <f t="shared" si="14"/>
        <v/>
      </c>
      <c r="BT11" s="4"/>
      <c r="BU11" s="4"/>
      <c r="BV11" s="4"/>
      <c r="BW11" s="4"/>
      <c r="BX11" s="4"/>
      <c r="BY11" s="4"/>
      <c r="BZ11" s="4"/>
      <c r="CA11" s="4"/>
      <c r="CB11" s="4"/>
      <c r="CC11" s="27"/>
      <c r="CD11" s="27"/>
      <c r="CE11" s="15" t="str">
        <f t="shared" si="15"/>
        <v/>
      </c>
      <c r="CF11" s="4"/>
      <c r="CG11" s="28"/>
      <c r="CH11" s="28"/>
      <c r="CI11" s="15" t="str">
        <f t="shared" si="16"/>
        <v/>
      </c>
      <c r="CJ11" s="4"/>
      <c r="CK11" s="4"/>
      <c r="CL11" s="4"/>
      <c r="CM11" s="4"/>
      <c r="CN11" s="4"/>
      <c r="CO11" s="27"/>
      <c r="CP11" s="27"/>
      <c r="CQ11" s="15" t="str">
        <f t="shared" si="17"/>
        <v/>
      </c>
      <c r="CR11" s="4"/>
      <c r="CS11" s="28"/>
      <c r="CT11" s="28"/>
      <c r="CU11" s="15" t="str">
        <f t="shared" si="18"/>
        <v/>
      </c>
      <c r="CV11" s="4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</row>
    <row r="12" ht="15.75" customHeight="1">
      <c r="A12" s="7">
        <v>1856.0</v>
      </c>
      <c r="B12" s="8" t="s">
        <v>38</v>
      </c>
      <c r="C12" s="9" t="str">
        <f t="shared" si="1"/>
        <v>TK-11_WATER</v>
      </c>
      <c r="D12" s="23" t="s">
        <v>190</v>
      </c>
      <c r="E12" s="24" t="s">
        <v>40</v>
      </c>
      <c r="F12" s="23" t="s">
        <v>185</v>
      </c>
      <c r="G12" s="12" t="s">
        <v>42</v>
      </c>
      <c r="H12" s="13">
        <v>0.0</v>
      </c>
      <c r="I12" s="14" t="s">
        <v>191</v>
      </c>
      <c r="J12" s="4"/>
      <c r="K12" s="15" t="str">
        <f t="shared" si="2"/>
        <v>TK-11</v>
      </c>
      <c r="L12" s="16" t="s">
        <v>44</v>
      </c>
      <c r="M12" s="4"/>
      <c r="N12" s="4"/>
      <c r="O12" s="14" t="s">
        <v>192</v>
      </c>
      <c r="P12" s="17">
        <v>0.0</v>
      </c>
      <c r="Q12" s="14" t="s">
        <v>193</v>
      </c>
      <c r="R12" s="17">
        <v>0.0</v>
      </c>
      <c r="S12" s="15" t="str">
        <f t="shared" si="3"/>
        <v>TK-11</v>
      </c>
      <c r="T12" s="16" t="s">
        <v>44</v>
      </c>
      <c r="U12" s="14" t="s">
        <v>194</v>
      </c>
      <c r="V12" s="17">
        <v>0.0</v>
      </c>
      <c r="W12" s="15" t="str">
        <f t="shared" si="4"/>
        <v>TK-11</v>
      </c>
      <c r="X12" s="16" t="s">
        <v>44</v>
      </c>
      <c r="Y12" s="27"/>
      <c r="Z12" s="14"/>
      <c r="AA12" s="4"/>
      <c r="AB12" s="4"/>
      <c r="AC12" s="27"/>
      <c r="AD12" s="14"/>
      <c r="AE12" s="15" t="str">
        <f t="shared" si="6"/>
        <v/>
      </c>
      <c r="AF12" s="4"/>
      <c r="AG12" s="27"/>
      <c r="AH12" s="14"/>
      <c r="AI12" s="15" t="str">
        <f t="shared" si="7"/>
        <v/>
      </c>
      <c r="AJ12" s="4"/>
      <c r="AK12" s="27"/>
      <c r="AL12" s="14"/>
      <c r="AM12" s="15" t="str">
        <f t="shared" si="8"/>
        <v/>
      </c>
      <c r="AN12" s="4"/>
      <c r="AO12" s="27"/>
      <c r="AP12" s="14"/>
      <c r="AQ12" s="15" t="str">
        <f t="shared" si="9"/>
        <v/>
      </c>
      <c r="AR12" s="4"/>
      <c r="AS12" s="27"/>
      <c r="AT12" s="14"/>
      <c r="AU12" s="15" t="str">
        <f t="shared" si="10"/>
        <v/>
      </c>
      <c r="AV12" s="4"/>
      <c r="AW12" s="27"/>
      <c r="AX12" s="27"/>
      <c r="AY12" s="15" t="str">
        <f t="shared" si="11"/>
        <v/>
      </c>
      <c r="AZ12" s="4"/>
      <c r="BA12" s="27"/>
      <c r="BB12" s="27"/>
      <c r="BC12" s="15" t="str">
        <f t="shared" si="12"/>
        <v/>
      </c>
      <c r="BD12" s="4"/>
      <c r="BE12" s="4"/>
      <c r="BF12" s="4"/>
      <c r="BG12" s="4"/>
      <c r="BH12" s="4"/>
      <c r="BI12" s="4"/>
      <c r="BJ12" s="4"/>
      <c r="BK12" s="4"/>
      <c r="BL12" s="4"/>
      <c r="BM12" s="27"/>
      <c r="BN12" s="27"/>
      <c r="BO12" s="15" t="str">
        <f t="shared" si="13"/>
        <v/>
      </c>
      <c r="BP12" s="4"/>
      <c r="BQ12" s="27"/>
      <c r="BR12" s="27"/>
      <c r="BS12" s="15" t="str">
        <f t="shared" si="14"/>
        <v/>
      </c>
      <c r="BT12" s="4"/>
      <c r="BU12" s="4"/>
      <c r="BV12" s="4"/>
      <c r="BW12" s="4"/>
      <c r="BX12" s="4"/>
      <c r="BY12" s="4"/>
      <c r="BZ12" s="4"/>
      <c r="CA12" s="4"/>
      <c r="CB12" s="4"/>
      <c r="CC12" s="27"/>
      <c r="CD12" s="27"/>
      <c r="CE12" s="15" t="str">
        <f t="shared" si="15"/>
        <v/>
      </c>
      <c r="CF12" s="4"/>
      <c r="CG12" s="28"/>
      <c r="CH12" s="28"/>
      <c r="CI12" s="15" t="str">
        <f t="shared" si="16"/>
        <v/>
      </c>
      <c r="CJ12" s="4"/>
      <c r="CK12" s="4"/>
      <c r="CL12" s="4"/>
      <c r="CM12" s="4"/>
      <c r="CN12" s="4"/>
      <c r="CO12" s="27"/>
      <c r="CP12" s="27"/>
      <c r="CQ12" s="15" t="str">
        <f t="shared" si="17"/>
        <v/>
      </c>
      <c r="CR12" s="4"/>
      <c r="CS12" s="28"/>
      <c r="CT12" s="28"/>
      <c r="CU12" s="15" t="str">
        <f t="shared" si="18"/>
        <v/>
      </c>
      <c r="CV12" s="4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</row>
    <row r="13" ht="15.75" customHeight="1">
      <c r="A13" s="7">
        <v>1856.0</v>
      </c>
      <c r="B13" s="8" t="s">
        <v>38</v>
      </c>
      <c r="C13" s="9" t="str">
        <f t="shared" si="1"/>
        <v>TK-12_BS VI MS</v>
      </c>
      <c r="D13" s="23" t="s">
        <v>195</v>
      </c>
      <c r="E13" s="24" t="s">
        <v>40</v>
      </c>
      <c r="F13" s="23" t="s">
        <v>110</v>
      </c>
      <c r="G13" s="12" t="s">
        <v>42</v>
      </c>
      <c r="H13" s="13">
        <v>0.0</v>
      </c>
      <c r="I13" s="14" t="s">
        <v>196</v>
      </c>
      <c r="J13" s="4"/>
      <c r="K13" s="15" t="str">
        <f t="shared" si="2"/>
        <v>TK-12</v>
      </c>
      <c r="L13" s="16" t="s">
        <v>44</v>
      </c>
      <c r="M13" s="4"/>
      <c r="N13" s="4"/>
      <c r="O13" s="14" t="s">
        <v>197</v>
      </c>
      <c r="P13" s="17">
        <v>0.0</v>
      </c>
      <c r="Q13" s="14" t="s">
        <v>198</v>
      </c>
      <c r="R13" s="17">
        <v>0.0</v>
      </c>
      <c r="S13" s="15" t="str">
        <f t="shared" si="3"/>
        <v>TK-12</v>
      </c>
      <c r="T13" s="16" t="s">
        <v>44</v>
      </c>
      <c r="U13" s="14" t="s">
        <v>199</v>
      </c>
      <c r="V13" s="17">
        <v>0.0</v>
      </c>
      <c r="W13" s="15" t="str">
        <f t="shared" si="4"/>
        <v>TK-12</v>
      </c>
      <c r="X13" s="16" t="s">
        <v>44</v>
      </c>
      <c r="Y13" s="14" t="s">
        <v>200</v>
      </c>
      <c r="Z13" s="17">
        <v>0.0</v>
      </c>
      <c r="AA13" s="15" t="str">
        <f t="shared" ref="AA13:AA17" si="19">mid(Y13,13,6)</f>
        <v>LSW-07</v>
      </c>
      <c r="AB13" s="16" t="s">
        <v>49</v>
      </c>
      <c r="AC13" s="14" t="s">
        <v>201</v>
      </c>
      <c r="AD13" s="17">
        <v>0.0</v>
      </c>
      <c r="AE13" s="15" t="str">
        <f t="shared" si="6"/>
        <v>LSW-07</v>
      </c>
      <c r="AF13" s="16" t="s">
        <v>49</v>
      </c>
      <c r="AG13" s="14" t="s">
        <v>202</v>
      </c>
      <c r="AH13" s="17">
        <v>0.0</v>
      </c>
      <c r="AI13" s="15" t="str">
        <f t="shared" si="7"/>
        <v>LSW-07</v>
      </c>
      <c r="AJ13" s="16" t="s">
        <v>49</v>
      </c>
      <c r="AK13" s="14" t="s">
        <v>203</v>
      </c>
      <c r="AL13" s="17">
        <v>0.0</v>
      </c>
      <c r="AM13" s="15" t="str">
        <f t="shared" si="8"/>
        <v>RDR-07</v>
      </c>
      <c r="AN13" s="18" t="s">
        <v>53</v>
      </c>
      <c r="AO13" s="14" t="s">
        <v>204</v>
      </c>
      <c r="AP13" s="17">
        <v>0.0</v>
      </c>
      <c r="AQ13" s="15" t="str">
        <f t="shared" si="9"/>
        <v>RDR-07</v>
      </c>
      <c r="AR13" s="18" t="s">
        <v>53</v>
      </c>
      <c r="AS13" s="14" t="s">
        <v>205</v>
      </c>
      <c r="AT13" s="17">
        <v>0.0</v>
      </c>
      <c r="AU13" s="15" t="str">
        <f t="shared" si="10"/>
        <v>RDR-07</v>
      </c>
      <c r="AV13" s="18" t="s">
        <v>53</v>
      </c>
      <c r="AW13" s="14" t="s">
        <v>206</v>
      </c>
      <c r="AX13" s="17">
        <v>0.0</v>
      </c>
      <c r="AY13" s="15" t="str">
        <f t="shared" si="11"/>
        <v>ROSOV-13</v>
      </c>
      <c r="AZ13" s="18" t="s">
        <v>57</v>
      </c>
      <c r="BA13" s="14" t="s">
        <v>207</v>
      </c>
      <c r="BB13" s="17">
        <v>0.0</v>
      </c>
      <c r="BC13" s="15" t="str">
        <f t="shared" si="12"/>
        <v>ROSOV-13</v>
      </c>
      <c r="BD13" s="16" t="s">
        <v>59</v>
      </c>
      <c r="BE13" s="4"/>
      <c r="BF13" s="4"/>
      <c r="BG13" s="4"/>
      <c r="BH13" s="4"/>
      <c r="BI13" s="4"/>
      <c r="BJ13" s="4"/>
      <c r="BK13" s="4"/>
      <c r="BL13" s="4"/>
      <c r="BM13" s="14" t="s">
        <v>208</v>
      </c>
      <c r="BN13" s="17">
        <v>0.0</v>
      </c>
      <c r="BO13" s="15" t="str">
        <f t="shared" si="13"/>
        <v>ROSOV-14</v>
      </c>
      <c r="BP13" s="18" t="s">
        <v>61</v>
      </c>
      <c r="BQ13" s="14" t="s">
        <v>209</v>
      </c>
      <c r="BR13" s="17">
        <v>0.0</v>
      </c>
      <c r="BS13" s="15" t="str">
        <f t="shared" si="14"/>
        <v>ROSOV-14</v>
      </c>
      <c r="BT13" s="18" t="s">
        <v>63</v>
      </c>
      <c r="BU13" s="4"/>
      <c r="BV13" s="4"/>
      <c r="BW13" s="4"/>
      <c r="BX13" s="4"/>
      <c r="BY13" s="4"/>
      <c r="BZ13" s="4"/>
      <c r="CA13" s="4"/>
      <c r="CB13" s="4"/>
      <c r="CC13" s="20" t="s">
        <v>210</v>
      </c>
      <c r="CD13" s="17">
        <v>0.0</v>
      </c>
      <c r="CE13" s="15" t="str">
        <f t="shared" si="15"/>
        <v>MOV-013</v>
      </c>
      <c r="CF13" s="18" t="s">
        <v>65</v>
      </c>
      <c r="CG13" s="25" t="s">
        <v>211</v>
      </c>
      <c r="CH13" s="22">
        <v>1.0</v>
      </c>
      <c r="CI13" s="15" t="str">
        <f t="shared" si="16"/>
        <v>MOV-013</v>
      </c>
      <c r="CJ13" s="18" t="s">
        <v>65</v>
      </c>
      <c r="CK13" s="4"/>
      <c r="CL13" s="4"/>
      <c r="CM13" s="4"/>
      <c r="CN13" s="4"/>
      <c r="CO13" s="20" t="s">
        <v>212</v>
      </c>
      <c r="CP13" s="17">
        <v>0.0</v>
      </c>
      <c r="CQ13" s="15" t="str">
        <f t="shared" si="17"/>
        <v>MOV-014</v>
      </c>
      <c r="CR13" s="18" t="s">
        <v>68</v>
      </c>
      <c r="CS13" s="25" t="s">
        <v>213</v>
      </c>
      <c r="CT13" s="22">
        <v>1.0</v>
      </c>
      <c r="CU13" s="15" t="str">
        <f t="shared" si="18"/>
        <v>MOV-014</v>
      </c>
      <c r="CV13" s="18" t="s">
        <v>68</v>
      </c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</row>
    <row r="14" ht="15.75" customHeight="1">
      <c r="A14" s="7">
        <v>1856.0</v>
      </c>
      <c r="B14" s="8" t="s">
        <v>38</v>
      </c>
      <c r="C14" s="9" t="str">
        <f t="shared" si="1"/>
        <v>TK-13_ATF</v>
      </c>
      <c r="D14" s="23" t="s">
        <v>214</v>
      </c>
      <c r="E14" s="24" t="s">
        <v>40</v>
      </c>
      <c r="F14" s="23" t="s">
        <v>41</v>
      </c>
      <c r="G14" s="12" t="s">
        <v>42</v>
      </c>
      <c r="H14" s="13">
        <v>0.0</v>
      </c>
      <c r="I14" s="14" t="s">
        <v>215</v>
      </c>
      <c r="J14" s="4"/>
      <c r="K14" s="15" t="str">
        <f t="shared" si="2"/>
        <v>TK-13</v>
      </c>
      <c r="L14" s="16" t="s">
        <v>44</v>
      </c>
      <c r="M14" s="4"/>
      <c r="N14" s="4"/>
      <c r="O14" s="14" t="s">
        <v>216</v>
      </c>
      <c r="P14" s="17">
        <v>0.0</v>
      </c>
      <c r="Q14" s="14" t="s">
        <v>217</v>
      </c>
      <c r="R14" s="17">
        <v>0.0</v>
      </c>
      <c r="S14" s="15" t="str">
        <f t="shared" si="3"/>
        <v>TK-13</v>
      </c>
      <c r="T14" s="16" t="s">
        <v>44</v>
      </c>
      <c r="U14" s="14" t="s">
        <v>218</v>
      </c>
      <c r="V14" s="17">
        <v>0.0</v>
      </c>
      <c r="W14" s="15" t="str">
        <f t="shared" si="4"/>
        <v>TK-13</v>
      </c>
      <c r="X14" s="16" t="s">
        <v>44</v>
      </c>
      <c r="Y14" s="14" t="s">
        <v>219</v>
      </c>
      <c r="Z14" s="17">
        <v>0.0</v>
      </c>
      <c r="AA14" s="15" t="str">
        <f t="shared" si="19"/>
        <v>LSW-11</v>
      </c>
      <c r="AB14" s="16" t="s">
        <v>49</v>
      </c>
      <c r="AC14" s="14" t="s">
        <v>220</v>
      </c>
      <c r="AD14" s="17">
        <v>0.0</v>
      </c>
      <c r="AE14" s="15" t="str">
        <f t="shared" si="6"/>
        <v>LSW-11</v>
      </c>
      <c r="AF14" s="16" t="s">
        <v>49</v>
      </c>
      <c r="AG14" s="14" t="s">
        <v>221</v>
      </c>
      <c r="AH14" s="17">
        <v>0.0</v>
      </c>
      <c r="AI14" s="15" t="str">
        <f t="shared" si="7"/>
        <v>LSW-11</v>
      </c>
      <c r="AJ14" s="16" t="s">
        <v>49</v>
      </c>
      <c r="AK14" s="14" t="s">
        <v>222</v>
      </c>
      <c r="AL14" s="17">
        <v>0.0</v>
      </c>
      <c r="AM14" s="15" t="str">
        <f t="shared" si="8"/>
        <v>RDR-11</v>
      </c>
      <c r="AN14" s="18" t="s">
        <v>53</v>
      </c>
      <c r="AO14" s="14" t="s">
        <v>223</v>
      </c>
      <c r="AP14" s="17">
        <v>0.0</v>
      </c>
      <c r="AQ14" s="15" t="str">
        <f t="shared" si="9"/>
        <v>RDR-11</v>
      </c>
      <c r="AR14" s="18" t="s">
        <v>53</v>
      </c>
      <c r="AS14" s="14" t="s">
        <v>224</v>
      </c>
      <c r="AT14" s="17">
        <v>0.0</v>
      </c>
      <c r="AU14" s="15" t="str">
        <f t="shared" si="10"/>
        <v>RDR-11</v>
      </c>
      <c r="AV14" s="18" t="s">
        <v>53</v>
      </c>
      <c r="AW14" s="14" t="s">
        <v>225</v>
      </c>
      <c r="AX14" s="17">
        <v>0.0</v>
      </c>
      <c r="AY14" s="15" t="str">
        <f t="shared" si="11"/>
        <v>ROSOV-39</v>
      </c>
      <c r="AZ14" s="18" t="s">
        <v>57</v>
      </c>
      <c r="BA14" s="14" t="s">
        <v>226</v>
      </c>
      <c r="BB14" s="17">
        <v>0.0</v>
      </c>
      <c r="BC14" s="15" t="str">
        <f t="shared" si="12"/>
        <v>ROSOV-39</v>
      </c>
      <c r="BD14" s="16" t="s">
        <v>59</v>
      </c>
      <c r="BE14" s="4"/>
      <c r="BF14" s="4"/>
      <c r="BG14" s="4"/>
      <c r="BH14" s="4"/>
      <c r="BI14" s="4"/>
      <c r="BJ14" s="4"/>
      <c r="BK14" s="4"/>
      <c r="BL14" s="4"/>
      <c r="BM14" s="14" t="s">
        <v>227</v>
      </c>
      <c r="BN14" s="17">
        <v>0.0</v>
      </c>
      <c r="BO14" s="15" t="str">
        <f t="shared" si="13"/>
        <v>ROSOV-40</v>
      </c>
      <c r="BP14" s="18" t="s">
        <v>61</v>
      </c>
      <c r="BQ14" s="14" t="s">
        <v>228</v>
      </c>
      <c r="BR14" s="17">
        <v>0.0</v>
      </c>
      <c r="BS14" s="15" t="str">
        <f t="shared" si="14"/>
        <v>ROSOV-40</v>
      </c>
      <c r="BT14" s="18" t="s">
        <v>63</v>
      </c>
      <c r="BU14" s="4"/>
      <c r="BV14" s="4"/>
      <c r="BW14" s="4"/>
      <c r="BX14" s="4"/>
      <c r="BY14" s="4"/>
      <c r="BZ14" s="4"/>
      <c r="CA14" s="4"/>
      <c r="CB14" s="4"/>
      <c r="CC14" s="20" t="s">
        <v>229</v>
      </c>
      <c r="CD14" s="17">
        <v>0.0</v>
      </c>
      <c r="CE14" s="15" t="str">
        <f t="shared" si="15"/>
        <v>MOV-032</v>
      </c>
      <c r="CF14" s="18" t="s">
        <v>65</v>
      </c>
      <c r="CG14" s="25" t="s">
        <v>230</v>
      </c>
      <c r="CH14" s="22">
        <v>1.0</v>
      </c>
      <c r="CI14" s="15" t="str">
        <f t="shared" si="16"/>
        <v>MOV-032</v>
      </c>
      <c r="CJ14" s="18" t="s">
        <v>65</v>
      </c>
      <c r="CK14" s="4"/>
      <c r="CL14" s="4"/>
      <c r="CM14" s="4"/>
      <c r="CN14" s="4"/>
      <c r="CO14" s="20" t="s">
        <v>231</v>
      </c>
      <c r="CP14" s="17">
        <v>0.0</v>
      </c>
      <c r="CQ14" s="15" t="str">
        <f t="shared" si="17"/>
        <v>MOV-033</v>
      </c>
      <c r="CR14" s="18" t="s">
        <v>68</v>
      </c>
      <c r="CS14" s="25" t="s">
        <v>232</v>
      </c>
      <c r="CT14" s="22">
        <v>1.0</v>
      </c>
      <c r="CU14" s="15" t="str">
        <f t="shared" si="18"/>
        <v>MOV-033</v>
      </c>
      <c r="CV14" s="18" t="s">
        <v>68</v>
      </c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</row>
    <row r="15" ht="15.75" customHeight="1">
      <c r="A15" s="7">
        <v>1856.0</v>
      </c>
      <c r="B15" s="8" t="s">
        <v>38</v>
      </c>
      <c r="C15" s="9" t="str">
        <f t="shared" si="1"/>
        <v>TK-14_ETHANOL</v>
      </c>
      <c r="D15" s="23" t="s">
        <v>233</v>
      </c>
      <c r="E15" s="24" t="s">
        <v>40</v>
      </c>
      <c r="F15" s="23" t="s">
        <v>149</v>
      </c>
      <c r="G15" s="12" t="s">
        <v>42</v>
      </c>
      <c r="H15" s="13">
        <v>0.0</v>
      </c>
      <c r="I15" s="14" t="s">
        <v>234</v>
      </c>
      <c r="J15" s="4"/>
      <c r="K15" s="15" t="str">
        <f t="shared" si="2"/>
        <v>TK-14</v>
      </c>
      <c r="L15" s="16" t="s">
        <v>44</v>
      </c>
      <c r="M15" s="4"/>
      <c r="N15" s="4"/>
      <c r="O15" s="14" t="s">
        <v>235</v>
      </c>
      <c r="P15" s="17">
        <v>0.0</v>
      </c>
      <c r="Q15" s="14" t="s">
        <v>236</v>
      </c>
      <c r="R15" s="17">
        <v>0.0</v>
      </c>
      <c r="S15" s="15" t="str">
        <f t="shared" si="3"/>
        <v>TK-14</v>
      </c>
      <c r="T15" s="16" t="s">
        <v>44</v>
      </c>
      <c r="U15" s="14" t="s">
        <v>237</v>
      </c>
      <c r="V15" s="17">
        <v>0.0</v>
      </c>
      <c r="W15" s="15" t="str">
        <f t="shared" si="4"/>
        <v>TK-14</v>
      </c>
      <c r="X15" s="16" t="s">
        <v>44</v>
      </c>
      <c r="Y15" s="14" t="s">
        <v>238</v>
      </c>
      <c r="Z15" s="17">
        <v>0.0</v>
      </c>
      <c r="AA15" s="15" t="str">
        <f t="shared" si="19"/>
        <v>LSW-08</v>
      </c>
      <c r="AB15" s="16" t="s">
        <v>49</v>
      </c>
      <c r="AC15" s="14" t="s">
        <v>239</v>
      </c>
      <c r="AD15" s="17">
        <v>0.0</v>
      </c>
      <c r="AE15" s="15" t="str">
        <f t="shared" si="6"/>
        <v>LSW-08</v>
      </c>
      <c r="AF15" s="16" t="s">
        <v>49</v>
      </c>
      <c r="AG15" s="14" t="s">
        <v>240</v>
      </c>
      <c r="AH15" s="17">
        <v>0.0</v>
      </c>
      <c r="AI15" s="15" t="str">
        <f t="shared" si="7"/>
        <v>LSW-08</v>
      </c>
      <c r="AJ15" s="16" t="s">
        <v>49</v>
      </c>
      <c r="AK15" s="14" t="s">
        <v>241</v>
      </c>
      <c r="AL15" s="17">
        <v>0.0</v>
      </c>
      <c r="AM15" s="15" t="str">
        <f t="shared" si="8"/>
        <v>RDR-08</v>
      </c>
      <c r="AN15" s="18" t="s">
        <v>53</v>
      </c>
      <c r="AO15" s="14" t="s">
        <v>242</v>
      </c>
      <c r="AP15" s="17">
        <v>0.0</v>
      </c>
      <c r="AQ15" s="15" t="str">
        <f t="shared" si="9"/>
        <v>RDR-08</v>
      </c>
      <c r="AR15" s="18" t="s">
        <v>53</v>
      </c>
      <c r="AS15" s="14" t="s">
        <v>243</v>
      </c>
      <c r="AT15" s="17">
        <v>0.0</v>
      </c>
      <c r="AU15" s="15" t="str">
        <f t="shared" si="10"/>
        <v>RDR-08</v>
      </c>
      <c r="AV15" s="18" t="s">
        <v>53</v>
      </c>
      <c r="AW15" s="14" t="s">
        <v>244</v>
      </c>
      <c r="AX15" s="17">
        <v>0.0</v>
      </c>
      <c r="AY15" s="15" t="str">
        <f t="shared" si="11"/>
        <v>ROSOV-15</v>
      </c>
      <c r="AZ15" s="18" t="s">
        <v>57</v>
      </c>
      <c r="BA15" s="14" t="s">
        <v>245</v>
      </c>
      <c r="BB15" s="17">
        <v>0.0</v>
      </c>
      <c r="BC15" s="15" t="str">
        <f t="shared" si="12"/>
        <v>ROSOV-15</v>
      </c>
      <c r="BD15" s="16" t="s">
        <v>59</v>
      </c>
      <c r="BE15" s="4"/>
      <c r="BF15" s="4"/>
      <c r="BG15" s="4"/>
      <c r="BH15" s="4"/>
      <c r="BI15" s="4"/>
      <c r="BJ15" s="4"/>
      <c r="BK15" s="4"/>
      <c r="BL15" s="4"/>
      <c r="BM15" s="14" t="s">
        <v>246</v>
      </c>
      <c r="BN15" s="17">
        <v>0.0</v>
      </c>
      <c r="BO15" s="15" t="str">
        <f t="shared" si="13"/>
        <v>ROSOV-16</v>
      </c>
      <c r="BP15" s="18" t="s">
        <v>61</v>
      </c>
      <c r="BQ15" s="14" t="s">
        <v>247</v>
      </c>
      <c r="BR15" s="17">
        <v>0.0</v>
      </c>
      <c r="BS15" s="15" t="str">
        <f t="shared" si="14"/>
        <v>ROSOV-16</v>
      </c>
      <c r="BT15" s="18" t="s">
        <v>63</v>
      </c>
      <c r="BU15" s="4"/>
      <c r="BV15" s="4"/>
      <c r="BW15" s="4"/>
      <c r="BX15" s="4"/>
      <c r="BY15" s="4"/>
      <c r="BZ15" s="4"/>
      <c r="CA15" s="4"/>
      <c r="CB15" s="4"/>
      <c r="CC15" s="20" t="s">
        <v>248</v>
      </c>
      <c r="CD15" s="17">
        <v>0.0</v>
      </c>
      <c r="CE15" s="15" t="str">
        <f t="shared" si="15"/>
        <v>MOV-015</v>
      </c>
      <c r="CF15" s="18" t="s">
        <v>65</v>
      </c>
      <c r="CG15" s="25" t="s">
        <v>249</v>
      </c>
      <c r="CH15" s="22">
        <v>1.0</v>
      </c>
      <c r="CI15" s="15" t="str">
        <f t="shared" si="16"/>
        <v>MOV-015</v>
      </c>
      <c r="CJ15" s="18" t="s">
        <v>65</v>
      </c>
      <c r="CK15" s="4"/>
      <c r="CL15" s="4"/>
      <c r="CM15" s="4"/>
      <c r="CN15" s="4"/>
      <c r="CO15" s="20" t="s">
        <v>250</v>
      </c>
      <c r="CP15" s="17">
        <v>0.0</v>
      </c>
      <c r="CQ15" s="15" t="str">
        <f t="shared" si="17"/>
        <v>MOV-016</v>
      </c>
      <c r="CR15" s="18" t="s">
        <v>68</v>
      </c>
      <c r="CS15" s="25" t="s">
        <v>251</v>
      </c>
      <c r="CT15" s="22">
        <v>1.0</v>
      </c>
      <c r="CU15" s="15" t="str">
        <f t="shared" si="18"/>
        <v>MOV-016</v>
      </c>
      <c r="CV15" s="18" t="s">
        <v>68</v>
      </c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</row>
    <row r="16" ht="15.75" customHeight="1">
      <c r="A16" s="7">
        <v>1856.0</v>
      </c>
      <c r="B16" s="8" t="s">
        <v>38</v>
      </c>
      <c r="C16" s="9" t="str">
        <f t="shared" si="1"/>
        <v>TK-15_BS VI HSD</v>
      </c>
      <c r="D16" s="23" t="s">
        <v>252</v>
      </c>
      <c r="E16" s="24" t="s">
        <v>40</v>
      </c>
      <c r="F16" s="23" t="s">
        <v>90</v>
      </c>
      <c r="G16" s="12" t="s">
        <v>42</v>
      </c>
      <c r="H16" s="13">
        <v>0.0</v>
      </c>
      <c r="I16" s="14" t="s">
        <v>253</v>
      </c>
      <c r="J16" s="4"/>
      <c r="K16" s="15" t="str">
        <f t="shared" si="2"/>
        <v>TK-15</v>
      </c>
      <c r="L16" s="16" t="s">
        <v>44</v>
      </c>
      <c r="M16" s="4"/>
      <c r="N16" s="4"/>
      <c r="O16" s="14" t="s">
        <v>254</v>
      </c>
      <c r="P16" s="17">
        <v>0.0</v>
      </c>
      <c r="Q16" s="14" t="s">
        <v>255</v>
      </c>
      <c r="R16" s="17">
        <v>0.0</v>
      </c>
      <c r="S16" s="15" t="str">
        <f t="shared" si="3"/>
        <v>TK-15</v>
      </c>
      <c r="T16" s="16" t="s">
        <v>44</v>
      </c>
      <c r="U16" s="14" t="s">
        <v>256</v>
      </c>
      <c r="V16" s="17">
        <v>0.0</v>
      </c>
      <c r="W16" s="15" t="str">
        <f t="shared" si="4"/>
        <v>TK-15</v>
      </c>
      <c r="X16" s="16" t="s">
        <v>44</v>
      </c>
      <c r="Y16" s="14" t="s">
        <v>257</v>
      </c>
      <c r="Z16" s="17">
        <v>0.0</v>
      </c>
      <c r="AA16" s="15" t="str">
        <f t="shared" si="19"/>
        <v>LSW-09</v>
      </c>
      <c r="AB16" s="16" t="s">
        <v>49</v>
      </c>
      <c r="AC16" s="14" t="s">
        <v>258</v>
      </c>
      <c r="AD16" s="17">
        <v>0.0</v>
      </c>
      <c r="AE16" s="15" t="str">
        <f t="shared" si="6"/>
        <v>LSW-09</v>
      </c>
      <c r="AF16" s="16" t="s">
        <v>49</v>
      </c>
      <c r="AG16" s="14" t="s">
        <v>259</v>
      </c>
      <c r="AH16" s="17">
        <v>0.0</v>
      </c>
      <c r="AI16" s="15" t="str">
        <f t="shared" si="7"/>
        <v>LSW-09</v>
      </c>
      <c r="AJ16" s="16" t="s">
        <v>49</v>
      </c>
      <c r="AK16" s="14" t="s">
        <v>260</v>
      </c>
      <c r="AL16" s="17">
        <v>0.0</v>
      </c>
      <c r="AM16" s="15" t="str">
        <f t="shared" si="8"/>
        <v>RDR-09</v>
      </c>
      <c r="AN16" s="18" t="s">
        <v>53</v>
      </c>
      <c r="AO16" s="14" t="s">
        <v>261</v>
      </c>
      <c r="AP16" s="17">
        <v>0.0</v>
      </c>
      <c r="AQ16" s="15" t="str">
        <f t="shared" si="9"/>
        <v>RDR-09</v>
      </c>
      <c r="AR16" s="18" t="s">
        <v>53</v>
      </c>
      <c r="AS16" s="14" t="s">
        <v>262</v>
      </c>
      <c r="AT16" s="17">
        <v>0.0</v>
      </c>
      <c r="AU16" s="15" t="str">
        <f t="shared" si="10"/>
        <v>RDR-09</v>
      </c>
      <c r="AV16" s="18" t="s">
        <v>53</v>
      </c>
      <c r="AW16" s="14" t="s">
        <v>263</v>
      </c>
      <c r="AX16" s="17">
        <v>0.0</v>
      </c>
      <c r="AY16" s="15" t="str">
        <f t="shared" si="11"/>
        <v>ROSOV-17</v>
      </c>
      <c r="AZ16" s="18" t="s">
        <v>57</v>
      </c>
      <c r="BA16" s="14" t="s">
        <v>264</v>
      </c>
      <c r="BB16" s="17">
        <v>0.0</v>
      </c>
      <c r="BC16" s="15" t="str">
        <f t="shared" si="12"/>
        <v>ROSOV-17</v>
      </c>
      <c r="BD16" s="16" t="s">
        <v>59</v>
      </c>
      <c r="BE16" s="4"/>
      <c r="BF16" s="4"/>
      <c r="BG16" s="4"/>
      <c r="BH16" s="4"/>
      <c r="BI16" s="4"/>
      <c r="BJ16" s="4"/>
      <c r="BK16" s="4"/>
      <c r="BL16" s="4"/>
      <c r="BM16" s="14" t="s">
        <v>265</v>
      </c>
      <c r="BN16" s="17">
        <v>0.0</v>
      </c>
      <c r="BO16" s="15" t="str">
        <f t="shared" si="13"/>
        <v>ROSOV-18</v>
      </c>
      <c r="BP16" s="18" t="s">
        <v>61</v>
      </c>
      <c r="BQ16" s="14" t="s">
        <v>266</v>
      </c>
      <c r="BR16" s="17">
        <v>0.0</v>
      </c>
      <c r="BS16" s="15" t="str">
        <f t="shared" si="14"/>
        <v>ROSOV-18</v>
      </c>
      <c r="BT16" s="18" t="s">
        <v>63</v>
      </c>
      <c r="BU16" s="4"/>
      <c r="BV16" s="4"/>
      <c r="BW16" s="4"/>
      <c r="BX16" s="4"/>
      <c r="BY16" s="4"/>
      <c r="BZ16" s="4"/>
      <c r="CA16" s="4"/>
      <c r="CB16" s="4"/>
      <c r="CC16" s="20" t="s">
        <v>267</v>
      </c>
      <c r="CD16" s="17">
        <v>0.0</v>
      </c>
      <c r="CE16" s="15" t="str">
        <f t="shared" si="15"/>
        <v>MOV-017</v>
      </c>
      <c r="CF16" s="18" t="s">
        <v>65</v>
      </c>
      <c r="CG16" s="25" t="s">
        <v>268</v>
      </c>
      <c r="CH16" s="22">
        <v>1.0</v>
      </c>
      <c r="CI16" s="15" t="str">
        <f t="shared" si="16"/>
        <v>MOV-017</v>
      </c>
      <c r="CJ16" s="18" t="s">
        <v>65</v>
      </c>
      <c r="CK16" s="4"/>
      <c r="CL16" s="4"/>
      <c r="CM16" s="4"/>
      <c r="CN16" s="4"/>
      <c r="CO16" s="20" t="s">
        <v>269</v>
      </c>
      <c r="CP16" s="17">
        <v>0.0</v>
      </c>
      <c r="CQ16" s="15" t="str">
        <f t="shared" si="17"/>
        <v>MOV-018</v>
      </c>
      <c r="CR16" s="18" t="s">
        <v>68</v>
      </c>
      <c r="CS16" s="25" t="s">
        <v>270</v>
      </c>
      <c r="CT16" s="22">
        <v>1.0</v>
      </c>
      <c r="CU16" s="15" t="str">
        <f t="shared" si="18"/>
        <v>MOV-018</v>
      </c>
      <c r="CV16" s="18" t="s">
        <v>68</v>
      </c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</row>
    <row r="17" ht="15.75" customHeight="1">
      <c r="A17" s="7">
        <v>1856.0</v>
      </c>
      <c r="B17" s="8" t="s">
        <v>38</v>
      </c>
      <c r="C17" s="9" t="str">
        <f t="shared" si="1"/>
        <v>TK-16_BS VI HSD</v>
      </c>
      <c r="D17" s="23" t="s">
        <v>271</v>
      </c>
      <c r="E17" s="24" t="s">
        <v>40</v>
      </c>
      <c r="F17" s="23" t="s">
        <v>90</v>
      </c>
      <c r="G17" s="12" t="s">
        <v>42</v>
      </c>
      <c r="H17" s="13">
        <v>0.0</v>
      </c>
      <c r="I17" s="14" t="s">
        <v>272</v>
      </c>
      <c r="J17" s="4"/>
      <c r="K17" s="15" t="str">
        <f t="shared" si="2"/>
        <v>TK-16</v>
      </c>
      <c r="L17" s="16" t="s">
        <v>44</v>
      </c>
      <c r="M17" s="4"/>
      <c r="N17" s="4"/>
      <c r="O17" s="14" t="s">
        <v>273</v>
      </c>
      <c r="P17" s="17">
        <v>0.0</v>
      </c>
      <c r="Q17" s="14" t="s">
        <v>274</v>
      </c>
      <c r="R17" s="17">
        <v>0.0</v>
      </c>
      <c r="S17" s="15" t="str">
        <f t="shared" si="3"/>
        <v>TK-16</v>
      </c>
      <c r="T17" s="16" t="s">
        <v>44</v>
      </c>
      <c r="U17" s="14" t="s">
        <v>275</v>
      </c>
      <c r="V17" s="17">
        <v>0.0</v>
      </c>
      <c r="W17" s="15" t="str">
        <f t="shared" si="4"/>
        <v>TK-16</v>
      </c>
      <c r="X17" s="16" t="s">
        <v>44</v>
      </c>
      <c r="Y17" s="14" t="s">
        <v>276</v>
      </c>
      <c r="Z17" s="17">
        <v>0.0</v>
      </c>
      <c r="AA17" s="15" t="str">
        <f t="shared" si="19"/>
        <v>LSW-10</v>
      </c>
      <c r="AB17" s="16" t="s">
        <v>49</v>
      </c>
      <c r="AC17" s="14" t="s">
        <v>277</v>
      </c>
      <c r="AD17" s="17">
        <v>0.0</v>
      </c>
      <c r="AE17" s="15" t="str">
        <f t="shared" si="6"/>
        <v>LSW-10</v>
      </c>
      <c r="AF17" s="16" t="s">
        <v>49</v>
      </c>
      <c r="AG17" s="14" t="s">
        <v>278</v>
      </c>
      <c r="AH17" s="17">
        <v>0.0</v>
      </c>
      <c r="AI17" s="15" t="str">
        <f t="shared" si="7"/>
        <v>LSW-10</v>
      </c>
      <c r="AJ17" s="16" t="s">
        <v>49</v>
      </c>
      <c r="AK17" s="14" t="s">
        <v>279</v>
      </c>
      <c r="AL17" s="17">
        <v>0.0</v>
      </c>
      <c r="AM17" s="15" t="str">
        <f t="shared" si="8"/>
        <v>RDR-10</v>
      </c>
      <c r="AN17" s="18" t="s">
        <v>53</v>
      </c>
      <c r="AO17" s="14" t="s">
        <v>280</v>
      </c>
      <c r="AP17" s="17">
        <v>0.0</v>
      </c>
      <c r="AQ17" s="15" t="str">
        <f t="shared" si="9"/>
        <v>RDR-10</v>
      </c>
      <c r="AR17" s="18" t="s">
        <v>53</v>
      </c>
      <c r="AS17" s="14" t="s">
        <v>281</v>
      </c>
      <c r="AT17" s="17">
        <v>0.0</v>
      </c>
      <c r="AU17" s="15" t="str">
        <f t="shared" si="10"/>
        <v>RDR-10</v>
      </c>
      <c r="AV17" s="18" t="s">
        <v>53</v>
      </c>
      <c r="AW17" s="14" t="s">
        <v>282</v>
      </c>
      <c r="AX17" s="17">
        <v>0.0</v>
      </c>
      <c r="AY17" s="15" t="str">
        <f t="shared" si="11"/>
        <v>ROSOV-19</v>
      </c>
      <c r="AZ17" s="18" t="s">
        <v>57</v>
      </c>
      <c r="BA17" s="14" t="s">
        <v>283</v>
      </c>
      <c r="BB17" s="17">
        <v>0.0</v>
      </c>
      <c r="BC17" s="15" t="str">
        <f t="shared" si="12"/>
        <v>ROSOV-19</v>
      </c>
      <c r="BD17" s="16" t="s">
        <v>59</v>
      </c>
      <c r="BE17" s="4"/>
      <c r="BF17" s="4"/>
      <c r="BG17" s="4"/>
      <c r="BH17" s="4"/>
      <c r="BI17" s="4"/>
      <c r="BJ17" s="4"/>
      <c r="BK17" s="4"/>
      <c r="BL17" s="4"/>
      <c r="BM17" s="14" t="s">
        <v>284</v>
      </c>
      <c r="BN17" s="17">
        <v>0.0</v>
      </c>
      <c r="BO17" s="15" t="str">
        <f t="shared" si="13"/>
        <v>ROSOV-20</v>
      </c>
      <c r="BP17" s="18" t="s">
        <v>61</v>
      </c>
      <c r="BQ17" s="14" t="s">
        <v>285</v>
      </c>
      <c r="BR17" s="17">
        <v>0.0</v>
      </c>
      <c r="BS17" s="15" t="str">
        <f t="shared" si="14"/>
        <v>ROSOV-20</v>
      </c>
      <c r="BT17" s="18" t="s">
        <v>63</v>
      </c>
      <c r="BU17" s="4"/>
      <c r="BV17" s="4"/>
      <c r="BW17" s="4"/>
      <c r="BX17" s="4"/>
      <c r="BY17" s="4"/>
      <c r="BZ17" s="4"/>
      <c r="CA17" s="4"/>
      <c r="CB17" s="4"/>
      <c r="CC17" s="20" t="s">
        <v>286</v>
      </c>
      <c r="CD17" s="17">
        <v>0.0</v>
      </c>
      <c r="CE17" s="15" t="str">
        <f t="shared" si="15"/>
        <v>MOV-019</v>
      </c>
      <c r="CF17" s="18" t="s">
        <v>65</v>
      </c>
      <c r="CG17" s="25" t="s">
        <v>287</v>
      </c>
      <c r="CH17" s="22">
        <v>1.0</v>
      </c>
      <c r="CI17" s="15" t="str">
        <f t="shared" si="16"/>
        <v>MOV-019</v>
      </c>
      <c r="CJ17" s="18" t="s">
        <v>65</v>
      </c>
      <c r="CK17" s="4"/>
      <c r="CL17" s="4"/>
      <c r="CM17" s="4"/>
      <c r="CN17" s="4"/>
      <c r="CO17" s="20" t="s">
        <v>288</v>
      </c>
      <c r="CP17" s="17">
        <v>0.0</v>
      </c>
      <c r="CQ17" s="15" t="str">
        <f t="shared" si="17"/>
        <v>MOV-020</v>
      </c>
      <c r="CR17" s="18" t="s">
        <v>68</v>
      </c>
      <c r="CS17" s="25" t="s">
        <v>289</v>
      </c>
      <c r="CT17" s="22">
        <v>1.0</v>
      </c>
      <c r="CU17" s="15" t="str">
        <f t="shared" si="18"/>
        <v>MOV-020</v>
      </c>
      <c r="CV17" s="18" t="s">
        <v>68</v>
      </c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</row>
    <row r="18" ht="15.75" customHeight="1">
      <c r="A18" s="7">
        <v>1856.0</v>
      </c>
      <c r="B18" s="8" t="s">
        <v>38</v>
      </c>
      <c r="C18" s="9" t="str">
        <f t="shared" si="1"/>
        <v>TK-18_LDO</v>
      </c>
      <c r="D18" s="23" t="s">
        <v>290</v>
      </c>
      <c r="E18" s="24" t="s">
        <v>40</v>
      </c>
      <c r="F18" s="23" t="s">
        <v>291</v>
      </c>
      <c r="G18" s="12" t="s">
        <v>42</v>
      </c>
      <c r="H18" s="13">
        <v>0.0</v>
      </c>
      <c r="I18" s="14" t="s">
        <v>292</v>
      </c>
      <c r="J18" s="4"/>
      <c r="K18" s="15" t="str">
        <f t="shared" si="2"/>
        <v>TK-18</v>
      </c>
      <c r="L18" s="16" t="s">
        <v>44</v>
      </c>
      <c r="M18" s="4"/>
      <c r="N18" s="4"/>
      <c r="O18" s="14" t="s">
        <v>293</v>
      </c>
      <c r="P18" s="17">
        <v>0.0</v>
      </c>
      <c r="Q18" s="14" t="s">
        <v>294</v>
      </c>
      <c r="R18" s="17">
        <v>0.0</v>
      </c>
      <c r="S18" s="15" t="str">
        <f t="shared" si="3"/>
        <v>TK-18</v>
      </c>
      <c r="T18" s="16" t="s">
        <v>44</v>
      </c>
      <c r="U18" s="14" t="s">
        <v>295</v>
      </c>
      <c r="V18" s="17">
        <v>0.0</v>
      </c>
      <c r="W18" s="15" t="str">
        <f t="shared" si="4"/>
        <v>TK-18</v>
      </c>
      <c r="X18" s="16" t="s">
        <v>44</v>
      </c>
      <c r="Y18" s="27"/>
      <c r="Z18" s="14"/>
      <c r="AA18" s="4"/>
      <c r="AB18" s="4"/>
      <c r="AC18" s="27"/>
      <c r="AD18" s="14"/>
      <c r="AE18" s="15" t="str">
        <f t="shared" si="6"/>
        <v/>
      </c>
      <c r="AF18" s="4"/>
      <c r="AG18" s="27"/>
      <c r="AH18" s="14"/>
      <c r="AI18" s="15" t="str">
        <f t="shared" si="7"/>
        <v/>
      </c>
      <c r="AJ18" s="4"/>
      <c r="AK18" s="27"/>
      <c r="AL18" s="14"/>
      <c r="AM18" s="15" t="str">
        <f t="shared" si="8"/>
        <v/>
      </c>
      <c r="AN18" s="4"/>
      <c r="AO18" s="27"/>
      <c r="AP18" s="14"/>
      <c r="AQ18" s="15" t="str">
        <f t="shared" si="9"/>
        <v/>
      </c>
      <c r="AR18" s="4"/>
      <c r="AS18" s="27"/>
      <c r="AT18" s="14"/>
      <c r="AU18" s="15" t="str">
        <f t="shared" si="10"/>
        <v/>
      </c>
      <c r="AV18" s="4"/>
      <c r="AW18" s="27"/>
      <c r="AX18" s="27"/>
      <c r="AY18" s="15" t="str">
        <f t="shared" si="11"/>
        <v/>
      </c>
      <c r="AZ18" s="4"/>
      <c r="BA18" s="27"/>
      <c r="BB18" s="27"/>
      <c r="BC18" s="15" t="str">
        <f t="shared" si="12"/>
        <v/>
      </c>
      <c r="BD18" s="4"/>
      <c r="BE18" s="4"/>
      <c r="BF18" s="4"/>
      <c r="BG18" s="4"/>
      <c r="BH18" s="4"/>
      <c r="BI18" s="4"/>
      <c r="BJ18" s="4"/>
      <c r="BK18" s="4"/>
      <c r="BL18" s="4"/>
      <c r="BM18" s="27"/>
      <c r="BN18" s="27"/>
      <c r="BO18" s="15" t="str">
        <f t="shared" si="13"/>
        <v/>
      </c>
      <c r="BP18" s="4"/>
      <c r="BQ18" s="27"/>
      <c r="BR18" s="27"/>
      <c r="BS18" s="15" t="str">
        <f t="shared" si="14"/>
        <v/>
      </c>
      <c r="BT18" s="4"/>
      <c r="BU18" s="4"/>
      <c r="BV18" s="4"/>
      <c r="BW18" s="4"/>
      <c r="BX18" s="4"/>
      <c r="BY18" s="4"/>
      <c r="BZ18" s="4"/>
      <c r="CA18" s="4"/>
      <c r="CB18" s="4"/>
      <c r="CC18" s="27"/>
      <c r="CD18" s="27"/>
      <c r="CE18" s="15" t="str">
        <f t="shared" si="15"/>
        <v/>
      </c>
      <c r="CF18" s="4"/>
      <c r="CG18" s="28"/>
      <c r="CH18" s="28"/>
      <c r="CI18" s="15" t="str">
        <f t="shared" si="16"/>
        <v/>
      </c>
      <c r="CJ18" s="4"/>
      <c r="CK18" s="4"/>
      <c r="CL18" s="4"/>
      <c r="CM18" s="4"/>
      <c r="CN18" s="4"/>
      <c r="CO18" s="27"/>
      <c r="CP18" s="27"/>
      <c r="CQ18" s="15" t="str">
        <f t="shared" si="17"/>
        <v/>
      </c>
      <c r="CR18" s="4"/>
      <c r="CS18" s="28"/>
      <c r="CT18" s="28"/>
      <c r="CU18" s="15" t="str">
        <f t="shared" si="18"/>
        <v/>
      </c>
      <c r="CV18" s="4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</row>
    <row r="19" ht="15.75" customHeight="1">
      <c r="A19" s="7">
        <v>1856.0</v>
      </c>
      <c r="B19" s="8" t="s">
        <v>38</v>
      </c>
      <c r="C19" s="9" t="str">
        <f t="shared" si="1"/>
        <v>TK-19_ETHANOL</v>
      </c>
      <c r="D19" s="23" t="s">
        <v>296</v>
      </c>
      <c r="E19" s="24" t="s">
        <v>169</v>
      </c>
      <c r="F19" s="23" t="s">
        <v>149</v>
      </c>
      <c r="G19" s="12" t="s">
        <v>42</v>
      </c>
      <c r="H19" s="13">
        <v>0.0</v>
      </c>
      <c r="I19" s="14" t="s">
        <v>297</v>
      </c>
      <c r="J19" s="4"/>
      <c r="K19" s="15" t="str">
        <f t="shared" si="2"/>
        <v>TK-19</v>
      </c>
      <c r="L19" s="16" t="s">
        <v>44</v>
      </c>
      <c r="M19" s="4"/>
      <c r="N19" s="4"/>
      <c r="O19" s="14" t="s">
        <v>298</v>
      </c>
      <c r="P19" s="17">
        <v>0.0</v>
      </c>
      <c r="Q19" s="14" t="s">
        <v>299</v>
      </c>
      <c r="R19" s="17">
        <v>0.0</v>
      </c>
      <c r="S19" s="15" t="str">
        <f t="shared" si="3"/>
        <v>TK-19</v>
      </c>
      <c r="T19" s="16" t="s">
        <v>44</v>
      </c>
      <c r="U19" s="14" t="s">
        <v>300</v>
      </c>
      <c r="V19" s="17">
        <v>0.0</v>
      </c>
      <c r="W19" s="15" t="str">
        <f t="shared" si="4"/>
        <v>TK-19</v>
      </c>
      <c r="X19" s="16" t="s">
        <v>44</v>
      </c>
      <c r="Y19" s="27"/>
      <c r="Z19" s="14"/>
      <c r="AA19" s="4"/>
      <c r="AB19" s="4"/>
      <c r="AC19" s="27"/>
      <c r="AD19" s="14"/>
      <c r="AE19" s="15" t="str">
        <f t="shared" si="6"/>
        <v/>
      </c>
      <c r="AF19" s="4"/>
      <c r="AG19" s="27"/>
      <c r="AH19" s="14"/>
      <c r="AI19" s="15" t="str">
        <f t="shared" si="7"/>
        <v/>
      </c>
      <c r="AJ19" s="4"/>
      <c r="AK19" s="27"/>
      <c r="AL19" s="14"/>
      <c r="AM19" s="15" t="str">
        <f t="shared" si="8"/>
        <v/>
      </c>
      <c r="AN19" s="4"/>
      <c r="AO19" s="27"/>
      <c r="AP19" s="14"/>
      <c r="AQ19" s="15" t="str">
        <f t="shared" si="9"/>
        <v/>
      </c>
      <c r="AR19" s="4"/>
      <c r="AS19" s="27"/>
      <c r="AT19" s="14"/>
      <c r="AU19" s="15" t="str">
        <f t="shared" si="10"/>
        <v/>
      </c>
      <c r="AV19" s="4"/>
      <c r="AW19" s="27"/>
      <c r="AX19" s="27"/>
      <c r="AY19" s="15" t="str">
        <f t="shared" si="11"/>
        <v/>
      </c>
      <c r="AZ19" s="4"/>
      <c r="BA19" s="27"/>
      <c r="BB19" s="27"/>
      <c r="BC19" s="15" t="str">
        <f t="shared" si="12"/>
        <v/>
      </c>
      <c r="BD19" s="4"/>
      <c r="BE19" s="4"/>
      <c r="BF19" s="4"/>
      <c r="BG19" s="4"/>
      <c r="BH19" s="4"/>
      <c r="BI19" s="4"/>
      <c r="BJ19" s="4"/>
      <c r="BK19" s="4"/>
      <c r="BL19" s="4"/>
      <c r="BM19" s="27"/>
      <c r="BN19" s="27"/>
      <c r="BO19" s="15" t="str">
        <f t="shared" si="13"/>
        <v/>
      </c>
      <c r="BP19" s="4"/>
      <c r="BQ19" s="27"/>
      <c r="BR19" s="27"/>
      <c r="BS19" s="15" t="str">
        <f t="shared" si="14"/>
        <v/>
      </c>
      <c r="BT19" s="4"/>
      <c r="BU19" s="4"/>
      <c r="BV19" s="4"/>
      <c r="BW19" s="4"/>
      <c r="BX19" s="4"/>
      <c r="BY19" s="4"/>
      <c r="BZ19" s="4"/>
      <c r="CA19" s="4"/>
      <c r="CB19" s="4"/>
      <c r="CC19" s="27"/>
      <c r="CD19" s="27"/>
      <c r="CE19" s="15" t="str">
        <f t="shared" si="15"/>
        <v/>
      </c>
      <c r="CF19" s="4"/>
      <c r="CG19" s="28"/>
      <c r="CH19" s="28"/>
      <c r="CI19" s="15" t="str">
        <f t="shared" si="16"/>
        <v/>
      </c>
      <c r="CJ19" s="4"/>
      <c r="CK19" s="4"/>
      <c r="CL19" s="4"/>
      <c r="CM19" s="4"/>
      <c r="CN19" s="4"/>
      <c r="CO19" s="27"/>
      <c r="CP19" s="27"/>
      <c r="CQ19" s="15" t="str">
        <f t="shared" si="17"/>
        <v/>
      </c>
      <c r="CR19" s="4"/>
      <c r="CS19" s="28"/>
      <c r="CT19" s="28"/>
      <c r="CU19" s="15" t="str">
        <f t="shared" si="18"/>
        <v/>
      </c>
      <c r="CV19" s="4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</row>
    <row r="20" ht="15.75" customHeight="1">
      <c r="A20" s="7">
        <v>1856.0</v>
      </c>
      <c r="B20" s="8" t="s">
        <v>38</v>
      </c>
      <c r="C20" s="9" t="str">
        <f t="shared" si="1"/>
        <v>TK-20_BS VI HSD</v>
      </c>
      <c r="D20" s="23" t="s">
        <v>301</v>
      </c>
      <c r="E20" s="24" t="s">
        <v>169</v>
      </c>
      <c r="F20" s="23" t="s">
        <v>90</v>
      </c>
      <c r="G20" s="12" t="s">
        <v>42</v>
      </c>
      <c r="H20" s="13">
        <v>0.0</v>
      </c>
      <c r="I20" s="14" t="s">
        <v>302</v>
      </c>
      <c r="J20" s="4"/>
      <c r="K20" s="15" t="str">
        <f t="shared" si="2"/>
        <v>TK-20</v>
      </c>
      <c r="L20" s="16" t="s">
        <v>44</v>
      </c>
      <c r="M20" s="4"/>
      <c r="N20" s="4"/>
      <c r="O20" s="14" t="s">
        <v>303</v>
      </c>
      <c r="P20" s="17">
        <v>0.0</v>
      </c>
      <c r="Q20" s="14" t="s">
        <v>304</v>
      </c>
      <c r="R20" s="17">
        <v>0.0</v>
      </c>
      <c r="S20" s="15" t="str">
        <f t="shared" si="3"/>
        <v>TK-20</v>
      </c>
      <c r="T20" s="16" t="s">
        <v>44</v>
      </c>
      <c r="U20" s="14" t="s">
        <v>305</v>
      </c>
      <c r="V20" s="17">
        <v>0.0</v>
      </c>
      <c r="W20" s="15" t="str">
        <f t="shared" si="4"/>
        <v>TK-20</v>
      </c>
      <c r="X20" s="16" t="s">
        <v>44</v>
      </c>
      <c r="Y20" s="27"/>
      <c r="Z20" s="14"/>
      <c r="AA20" s="4"/>
      <c r="AB20" s="4"/>
      <c r="AC20" s="27"/>
      <c r="AD20" s="14"/>
      <c r="AE20" s="15" t="str">
        <f t="shared" si="6"/>
        <v/>
      </c>
      <c r="AF20" s="4"/>
      <c r="AG20" s="27"/>
      <c r="AH20" s="14"/>
      <c r="AI20" s="15" t="str">
        <f t="shared" si="7"/>
        <v/>
      </c>
      <c r="AJ20" s="4"/>
      <c r="AK20" s="27"/>
      <c r="AL20" s="14"/>
      <c r="AM20" s="15" t="str">
        <f t="shared" si="8"/>
        <v/>
      </c>
      <c r="AN20" s="4"/>
      <c r="AO20" s="27"/>
      <c r="AP20" s="14"/>
      <c r="AQ20" s="15" t="str">
        <f t="shared" si="9"/>
        <v/>
      </c>
      <c r="AR20" s="4"/>
      <c r="AS20" s="27"/>
      <c r="AT20" s="14"/>
      <c r="AU20" s="15" t="str">
        <f t="shared" si="10"/>
        <v/>
      </c>
      <c r="AV20" s="4"/>
      <c r="AW20" s="27"/>
      <c r="AX20" s="27"/>
      <c r="AY20" s="15" t="str">
        <f t="shared" si="11"/>
        <v/>
      </c>
      <c r="AZ20" s="4"/>
      <c r="BA20" s="27"/>
      <c r="BB20" s="27"/>
      <c r="BC20" s="15" t="str">
        <f t="shared" si="12"/>
        <v/>
      </c>
      <c r="BD20" s="4"/>
      <c r="BE20" s="4"/>
      <c r="BF20" s="4"/>
      <c r="BG20" s="4"/>
      <c r="BH20" s="4"/>
      <c r="BI20" s="4"/>
      <c r="BJ20" s="4"/>
      <c r="BK20" s="4"/>
      <c r="BL20" s="4"/>
      <c r="BM20" s="27"/>
      <c r="BN20" s="27"/>
      <c r="BO20" s="15" t="str">
        <f t="shared" si="13"/>
        <v/>
      </c>
      <c r="BP20" s="4"/>
      <c r="BQ20" s="27"/>
      <c r="BR20" s="27"/>
      <c r="BS20" s="15" t="str">
        <f t="shared" si="14"/>
        <v/>
      </c>
      <c r="BT20" s="4"/>
      <c r="BU20" s="4"/>
      <c r="BV20" s="4"/>
      <c r="BW20" s="4"/>
      <c r="BX20" s="4"/>
      <c r="BY20" s="4"/>
      <c r="BZ20" s="4"/>
      <c r="CA20" s="4"/>
      <c r="CB20" s="4"/>
      <c r="CC20" s="27"/>
      <c r="CD20" s="27"/>
      <c r="CE20" s="15" t="str">
        <f t="shared" si="15"/>
        <v/>
      </c>
      <c r="CF20" s="4"/>
      <c r="CG20" s="28"/>
      <c r="CH20" s="28"/>
      <c r="CI20" s="15" t="str">
        <f t="shared" si="16"/>
        <v/>
      </c>
      <c r="CJ20" s="4"/>
      <c r="CK20" s="4"/>
      <c r="CL20" s="4"/>
      <c r="CM20" s="4"/>
      <c r="CN20" s="4"/>
      <c r="CO20" s="27"/>
      <c r="CP20" s="27"/>
      <c r="CQ20" s="15" t="str">
        <f t="shared" si="17"/>
        <v/>
      </c>
      <c r="CR20" s="4"/>
      <c r="CS20" s="28"/>
      <c r="CT20" s="28"/>
      <c r="CU20" s="15" t="str">
        <f t="shared" si="18"/>
        <v/>
      </c>
      <c r="CV20" s="4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</row>
    <row r="21" ht="15.75" customHeight="1">
      <c r="A21" s="7">
        <v>1856.0</v>
      </c>
      <c r="B21" s="8" t="s">
        <v>38</v>
      </c>
      <c r="C21" s="9" t="str">
        <f t="shared" si="1"/>
        <v>TK-21_BS VI HSD</v>
      </c>
      <c r="D21" s="23" t="s">
        <v>306</v>
      </c>
      <c r="E21" s="24" t="s">
        <v>169</v>
      </c>
      <c r="F21" s="23" t="s">
        <v>90</v>
      </c>
      <c r="G21" s="12" t="s">
        <v>42</v>
      </c>
      <c r="H21" s="13">
        <v>0.0</v>
      </c>
      <c r="I21" s="14" t="s">
        <v>307</v>
      </c>
      <c r="J21" s="4"/>
      <c r="K21" s="15" t="str">
        <f t="shared" si="2"/>
        <v>TK-21</v>
      </c>
      <c r="L21" s="16" t="s">
        <v>44</v>
      </c>
      <c r="M21" s="4"/>
      <c r="N21" s="4"/>
      <c r="O21" s="14" t="s">
        <v>308</v>
      </c>
      <c r="P21" s="17">
        <v>0.0</v>
      </c>
      <c r="Q21" s="14" t="s">
        <v>309</v>
      </c>
      <c r="R21" s="17">
        <v>0.0</v>
      </c>
      <c r="S21" s="15" t="str">
        <f t="shared" si="3"/>
        <v>TK-21</v>
      </c>
      <c r="T21" s="16" t="s">
        <v>44</v>
      </c>
      <c r="U21" s="14" t="s">
        <v>310</v>
      </c>
      <c r="V21" s="17">
        <v>0.0</v>
      </c>
      <c r="W21" s="15" t="str">
        <f t="shared" si="4"/>
        <v>TK-21</v>
      </c>
      <c r="X21" s="16" t="s">
        <v>44</v>
      </c>
      <c r="Y21" s="27"/>
      <c r="Z21" s="14"/>
      <c r="AA21" s="4"/>
      <c r="AB21" s="4"/>
      <c r="AC21" s="27"/>
      <c r="AD21" s="14"/>
      <c r="AE21" s="15" t="str">
        <f t="shared" si="6"/>
        <v/>
      </c>
      <c r="AF21" s="4"/>
      <c r="AG21" s="27"/>
      <c r="AH21" s="14"/>
      <c r="AI21" s="15" t="str">
        <f t="shared" si="7"/>
        <v/>
      </c>
      <c r="AJ21" s="4"/>
      <c r="AK21" s="27"/>
      <c r="AL21" s="14"/>
      <c r="AM21" s="15" t="str">
        <f t="shared" si="8"/>
        <v/>
      </c>
      <c r="AN21" s="4"/>
      <c r="AO21" s="27"/>
      <c r="AP21" s="14"/>
      <c r="AQ21" s="15" t="str">
        <f t="shared" si="9"/>
        <v/>
      </c>
      <c r="AR21" s="4"/>
      <c r="AS21" s="27"/>
      <c r="AT21" s="14"/>
      <c r="AU21" s="15" t="str">
        <f t="shared" si="10"/>
        <v/>
      </c>
      <c r="AV21" s="4"/>
      <c r="AW21" s="27"/>
      <c r="AX21" s="27"/>
      <c r="AY21" s="15" t="str">
        <f t="shared" si="11"/>
        <v/>
      </c>
      <c r="AZ21" s="4"/>
      <c r="BA21" s="27"/>
      <c r="BB21" s="27"/>
      <c r="BC21" s="15" t="str">
        <f t="shared" si="12"/>
        <v/>
      </c>
      <c r="BD21" s="4"/>
      <c r="BE21" s="4"/>
      <c r="BF21" s="4"/>
      <c r="BG21" s="4"/>
      <c r="BH21" s="4"/>
      <c r="BI21" s="4"/>
      <c r="BJ21" s="4"/>
      <c r="BK21" s="4"/>
      <c r="BL21" s="4"/>
      <c r="BM21" s="27"/>
      <c r="BN21" s="27"/>
      <c r="BO21" s="15" t="str">
        <f t="shared" si="13"/>
        <v/>
      </c>
      <c r="BP21" s="4"/>
      <c r="BQ21" s="27"/>
      <c r="BR21" s="27"/>
      <c r="BS21" s="15" t="str">
        <f t="shared" si="14"/>
        <v/>
      </c>
      <c r="BT21" s="4"/>
      <c r="BU21" s="4"/>
      <c r="BV21" s="4"/>
      <c r="BW21" s="4"/>
      <c r="BX21" s="4"/>
      <c r="BY21" s="4"/>
      <c r="BZ21" s="4"/>
      <c r="CA21" s="4"/>
      <c r="CB21" s="4"/>
      <c r="CC21" s="27"/>
      <c r="CD21" s="27"/>
      <c r="CE21" s="15" t="str">
        <f t="shared" si="15"/>
        <v/>
      </c>
      <c r="CF21" s="4"/>
      <c r="CG21" s="28"/>
      <c r="CH21" s="28"/>
      <c r="CI21" s="15" t="str">
        <f t="shared" si="16"/>
        <v/>
      </c>
      <c r="CJ21" s="4"/>
      <c r="CK21" s="4"/>
      <c r="CL21" s="4"/>
      <c r="CM21" s="4"/>
      <c r="CN21" s="4"/>
      <c r="CO21" s="27"/>
      <c r="CP21" s="27"/>
      <c r="CQ21" s="15" t="str">
        <f t="shared" si="17"/>
        <v/>
      </c>
      <c r="CR21" s="4"/>
      <c r="CS21" s="28"/>
      <c r="CT21" s="28"/>
      <c r="CU21" s="15" t="str">
        <f t="shared" si="18"/>
        <v/>
      </c>
      <c r="CV21" s="4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</row>
    <row r="22" ht="15.75" customHeight="1">
      <c r="A22" s="7">
        <v>1856.0</v>
      </c>
      <c r="B22" s="8" t="s">
        <v>38</v>
      </c>
      <c r="C22" s="9" t="str">
        <f t="shared" si="1"/>
        <v>TK-22_BS VI MS</v>
      </c>
      <c r="D22" s="23" t="s">
        <v>311</v>
      </c>
      <c r="E22" s="24" t="s">
        <v>169</v>
      </c>
      <c r="F22" s="23" t="s">
        <v>110</v>
      </c>
      <c r="G22" s="12" t="s">
        <v>42</v>
      </c>
      <c r="H22" s="13">
        <v>0.0</v>
      </c>
      <c r="I22" s="14" t="s">
        <v>312</v>
      </c>
      <c r="J22" s="4"/>
      <c r="K22" s="15" t="str">
        <f t="shared" si="2"/>
        <v>TK-22</v>
      </c>
      <c r="L22" s="16" t="s">
        <v>44</v>
      </c>
      <c r="M22" s="4"/>
      <c r="N22" s="4"/>
      <c r="O22" s="14" t="s">
        <v>313</v>
      </c>
      <c r="P22" s="17">
        <v>0.0</v>
      </c>
      <c r="Q22" s="14" t="s">
        <v>314</v>
      </c>
      <c r="R22" s="17">
        <v>0.0</v>
      </c>
      <c r="S22" s="15" t="str">
        <f t="shared" si="3"/>
        <v>TK-22</v>
      </c>
      <c r="T22" s="16" t="s">
        <v>44</v>
      </c>
      <c r="U22" s="14" t="s">
        <v>315</v>
      </c>
      <c r="V22" s="17">
        <v>0.0</v>
      </c>
      <c r="W22" s="15" t="str">
        <f t="shared" si="4"/>
        <v>TK-22</v>
      </c>
      <c r="X22" s="16" t="s">
        <v>44</v>
      </c>
      <c r="Y22" s="27"/>
      <c r="Z22" s="14"/>
      <c r="AA22" s="4"/>
      <c r="AB22" s="4"/>
      <c r="AC22" s="27"/>
      <c r="AD22" s="14"/>
      <c r="AE22" s="15" t="str">
        <f t="shared" si="6"/>
        <v/>
      </c>
      <c r="AF22" s="4"/>
      <c r="AG22" s="27"/>
      <c r="AH22" s="14"/>
      <c r="AI22" s="15" t="str">
        <f t="shared" si="7"/>
        <v/>
      </c>
      <c r="AJ22" s="4"/>
      <c r="AK22" s="27"/>
      <c r="AL22" s="14"/>
      <c r="AM22" s="15" t="str">
        <f t="shared" si="8"/>
        <v/>
      </c>
      <c r="AN22" s="4"/>
      <c r="AO22" s="27"/>
      <c r="AP22" s="14"/>
      <c r="AQ22" s="15" t="str">
        <f t="shared" si="9"/>
        <v/>
      </c>
      <c r="AR22" s="4"/>
      <c r="AS22" s="27"/>
      <c r="AT22" s="14"/>
      <c r="AU22" s="15" t="str">
        <f t="shared" si="10"/>
        <v/>
      </c>
      <c r="AV22" s="4"/>
      <c r="AW22" s="27"/>
      <c r="AX22" s="27"/>
      <c r="AY22" s="15" t="str">
        <f t="shared" si="11"/>
        <v/>
      </c>
      <c r="AZ22" s="4"/>
      <c r="BA22" s="27"/>
      <c r="BB22" s="27"/>
      <c r="BC22" s="15" t="str">
        <f t="shared" si="12"/>
        <v/>
      </c>
      <c r="BD22" s="4"/>
      <c r="BE22" s="4"/>
      <c r="BF22" s="4"/>
      <c r="BG22" s="4"/>
      <c r="BH22" s="4"/>
      <c r="BI22" s="4"/>
      <c r="BJ22" s="4"/>
      <c r="BK22" s="4"/>
      <c r="BL22" s="4"/>
      <c r="BM22" s="27"/>
      <c r="BN22" s="27"/>
      <c r="BO22" s="15" t="str">
        <f t="shared" si="13"/>
        <v/>
      </c>
      <c r="BP22" s="4"/>
      <c r="BQ22" s="27"/>
      <c r="BR22" s="27"/>
      <c r="BS22" s="15" t="str">
        <f t="shared" si="14"/>
        <v/>
      </c>
      <c r="BT22" s="4"/>
      <c r="BU22" s="4"/>
      <c r="BV22" s="4"/>
      <c r="BW22" s="4"/>
      <c r="BX22" s="4"/>
      <c r="BY22" s="4"/>
      <c r="BZ22" s="4"/>
      <c r="CA22" s="4"/>
      <c r="CB22" s="4"/>
      <c r="CC22" s="27"/>
      <c r="CD22" s="27"/>
      <c r="CE22" s="15" t="str">
        <f t="shared" si="15"/>
        <v/>
      </c>
      <c r="CF22" s="4"/>
      <c r="CG22" s="28"/>
      <c r="CH22" s="28"/>
      <c r="CI22" s="15" t="str">
        <f t="shared" si="16"/>
        <v/>
      </c>
      <c r="CJ22" s="4"/>
      <c r="CK22" s="4"/>
      <c r="CL22" s="4"/>
      <c r="CM22" s="4"/>
      <c r="CN22" s="4"/>
      <c r="CO22" s="27"/>
      <c r="CP22" s="27"/>
      <c r="CQ22" s="15" t="str">
        <f t="shared" si="17"/>
        <v/>
      </c>
      <c r="CR22" s="4"/>
      <c r="CS22" s="28"/>
      <c r="CT22" s="28"/>
      <c r="CU22" s="15" t="str">
        <f t="shared" si="18"/>
        <v/>
      </c>
      <c r="CV22" s="4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</row>
    <row r="23" ht="15.75" customHeight="1">
      <c r="A23" s="7">
        <v>1856.0</v>
      </c>
      <c r="B23" s="8" t="s">
        <v>38</v>
      </c>
      <c r="C23" s="9" t="str">
        <f t="shared" si="1"/>
        <v>TK-23_ATF</v>
      </c>
      <c r="D23" s="23" t="s">
        <v>316</v>
      </c>
      <c r="E23" s="24" t="s">
        <v>169</v>
      </c>
      <c r="F23" s="23" t="s">
        <v>41</v>
      </c>
      <c r="G23" s="12" t="s">
        <v>42</v>
      </c>
      <c r="H23" s="13">
        <v>0.0</v>
      </c>
      <c r="I23" s="29" t="s">
        <v>317</v>
      </c>
      <c r="J23" s="4"/>
      <c r="K23" s="15" t="str">
        <f t="shared" si="2"/>
        <v/>
      </c>
      <c r="L23" s="4"/>
      <c r="M23" s="4"/>
      <c r="N23" s="4"/>
      <c r="O23" s="14" t="s">
        <v>318</v>
      </c>
      <c r="P23" s="17">
        <v>0.0</v>
      </c>
      <c r="Q23" s="14" t="s">
        <v>319</v>
      </c>
      <c r="R23" s="17">
        <v>0.0</v>
      </c>
      <c r="S23" s="15" t="str">
        <f t="shared" si="3"/>
        <v>TK-23</v>
      </c>
      <c r="T23" s="16" t="s">
        <v>44</v>
      </c>
      <c r="U23" s="14" t="s">
        <v>320</v>
      </c>
      <c r="V23" s="17">
        <v>0.0</v>
      </c>
      <c r="W23" s="15" t="str">
        <f t="shared" si="4"/>
        <v>TK-23</v>
      </c>
      <c r="X23" s="16" t="s">
        <v>44</v>
      </c>
      <c r="Y23" s="14" t="s">
        <v>321</v>
      </c>
      <c r="Z23" s="17">
        <v>0.0</v>
      </c>
      <c r="AA23" s="15" t="str">
        <f t="shared" ref="AA23:AA24" si="20">mid(Y23,13,6)</f>
        <v>LSW-12</v>
      </c>
      <c r="AB23" s="16" t="s">
        <v>49</v>
      </c>
      <c r="AC23" s="14" t="s">
        <v>322</v>
      </c>
      <c r="AD23" s="17">
        <v>0.0</v>
      </c>
      <c r="AE23" s="15" t="str">
        <f t="shared" si="6"/>
        <v>LSW-12</v>
      </c>
      <c r="AF23" s="16" t="s">
        <v>49</v>
      </c>
      <c r="AG23" s="14" t="s">
        <v>323</v>
      </c>
      <c r="AH23" s="17">
        <v>0.0</v>
      </c>
      <c r="AI23" s="15" t="str">
        <f t="shared" si="7"/>
        <v>LSW-12</v>
      </c>
      <c r="AJ23" s="16" t="s">
        <v>49</v>
      </c>
      <c r="AK23" s="14" t="s">
        <v>324</v>
      </c>
      <c r="AL23" s="17">
        <v>0.0</v>
      </c>
      <c r="AM23" s="15" t="str">
        <f t="shared" si="8"/>
        <v>RDR-12</v>
      </c>
      <c r="AN23" s="18" t="s">
        <v>53</v>
      </c>
      <c r="AO23" s="14" t="s">
        <v>325</v>
      </c>
      <c r="AP23" s="17">
        <v>0.0</v>
      </c>
      <c r="AQ23" s="15" t="str">
        <f t="shared" si="9"/>
        <v>RDR-12</v>
      </c>
      <c r="AR23" s="18" t="s">
        <v>53</v>
      </c>
      <c r="AS23" s="14" t="s">
        <v>326</v>
      </c>
      <c r="AT23" s="17">
        <v>0.0</v>
      </c>
      <c r="AU23" s="15" t="str">
        <f t="shared" si="10"/>
        <v>RDR-12</v>
      </c>
      <c r="AV23" s="18" t="s">
        <v>53</v>
      </c>
      <c r="AW23" s="14" t="s">
        <v>327</v>
      </c>
      <c r="AX23" s="17">
        <v>0.0</v>
      </c>
      <c r="AY23" s="15" t="str">
        <f t="shared" si="11"/>
        <v>ROSOV-41</v>
      </c>
      <c r="AZ23" s="18" t="s">
        <v>57</v>
      </c>
      <c r="BA23" s="14" t="s">
        <v>328</v>
      </c>
      <c r="BB23" s="17">
        <v>0.0</v>
      </c>
      <c r="BC23" s="15" t="str">
        <f t="shared" si="12"/>
        <v>ROSOV-41</v>
      </c>
      <c r="BD23" s="16" t="s">
        <v>59</v>
      </c>
      <c r="BE23" s="4"/>
      <c r="BF23" s="4"/>
      <c r="BG23" s="4"/>
      <c r="BH23" s="4"/>
      <c r="BI23" s="4"/>
      <c r="BJ23" s="4"/>
      <c r="BK23" s="4"/>
      <c r="BL23" s="4"/>
      <c r="BM23" s="14" t="s">
        <v>329</v>
      </c>
      <c r="BN23" s="17">
        <v>0.0</v>
      </c>
      <c r="BO23" s="15" t="str">
        <f t="shared" si="13"/>
        <v>ROSOV-42</v>
      </c>
      <c r="BP23" s="18" t="s">
        <v>61</v>
      </c>
      <c r="BQ23" s="14" t="s">
        <v>330</v>
      </c>
      <c r="BR23" s="17">
        <v>0.0</v>
      </c>
      <c r="BS23" s="15" t="str">
        <f t="shared" si="14"/>
        <v>ROSOV-42</v>
      </c>
      <c r="BT23" s="18" t="s">
        <v>63</v>
      </c>
      <c r="BU23" s="4"/>
      <c r="BV23" s="4"/>
      <c r="BW23" s="4"/>
      <c r="BX23" s="4"/>
      <c r="BY23" s="4"/>
      <c r="BZ23" s="4"/>
      <c r="CA23" s="4"/>
      <c r="CB23" s="4"/>
      <c r="CC23" s="20" t="s">
        <v>331</v>
      </c>
      <c r="CD23" s="17">
        <v>0.0</v>
      </c>
      <c r="CE23" s="15" t="str">
        <f t="shared" si="15"/>
        <v>MOV-034</v>
      </c>
      <c r="CF23" s="18" t="s">
        <v>65</v>
      </c>
      <c r="CG23" s="25" t="s">
        <v>332</v>
      </c>
      <c r="CH23" s="22">
        <v>1.0</v>
      </c>
      <c r="CI23" s="15" t="str">
        <f t="shared" si="16"/>
        <v>MOV-034</v>
      </c>
      <c r="CJ23" s="18" t="s">
        <v>65</v>
      </c>
      <c r="CK23" s="4"/>
      <c r="CL23" s="4"/>
      <c r="CM23" s="4"/>
      <c r="CN23" s="4"/>
      <c r="CO23" s="20" t="s">
        <v>333</v>
      </c>
      <c r="CP23" s="17">
        <v>0.0</v>
      </c>
      <c r="CQ23" s="15" t="str">
        <f t="shared" si="17"/>
        <v>MOV-035</v>
      </c>
      <c r="CR23" s="18" t="s">
        <v>68</v>
      </c>
      <c r="CS23" s="25" t="s">
        <v>334</v>
      </c>
      <c r="CT23" s="22">
        <v>1.0</v>
      </c>
      <c r="CU23" s="15" t="str">
        <f t="shared" si="18"/>
        <v>MOV-035</v>
      </c>
      <c r="CV23" s="18" t="s">
        <v>68</v>
      </c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</row>
    <row r="24" ht="15.75" customHeight="1">
      <c r="A24" s="7">
        <v>1856.0</v>
      </c>
      <c r="B24" s="8" t="s">
        <v>38</v>
      </c>
      <c r="C24" s="9" t="str">
        <f t="shared" si="1"/>
        <v>TK-24_ATF</v>
      </c>
      <c r="D24" s="23" t="s">
        <v>335</v>
      </c>
      <c r="E24" s="24" t="s">
        <v>169</v>
      </c>
      <c r="F24" s="23" t="s">
        <v>41</v>
      </c>
      <c r="G24" s="12" t="s">
        <v>42</v>
      </c>
      <c r="H24" s="13">
        <v>0.0</v>
      </c>
      <c r="I24" s="29" t="s">
        <v>317</v>
      </c>
      <c r="J24" s="4"/>
      <c r="K24" s="15" t="str">
        <f t="shared" si="2"/>
        <v/>
      </c>
      <c r="L24" s="4"/>
      <c r="M24" s="4"/>
      <c r="N24" s="4"/>
      <c r="O24" s="14" t="s">
        <v>336</v>
      </c>
      <c r="P24" s="17">
        <v>0.0</v>
      </c>
      <c r="Q24" s="14" t="s">
        <v>337</v>
      </c>
      <c r="R24" s="17">
        <v>0.0</v>
      </c>
      <c r="S24" s="15" t="str">
        <f t="shared" si="3"/>
        <v>TK-24</v>
      </c>
      <c r="T24" s="16" t="s">
        <v>44</v>
      </c>
      <c r="U24" s="14" t="s">
        <v>338</v>
      </c>
      <c r="V24" s="17">
        <v>0.0</v>
      </c>
      <c r="W24" s="15" t="str">
        <f t="shared" si="4"/>
        <v>TK-24</v>
      </c>
      <c r="X24" s="16" t="s">
        <v>44</v>
      </c>
      <c r="Y24" s="14" t="s">
        <v>339</v>
      </c>
      <c r="Z24" s="17">
        <v>0.0</v>
      </c>
      <c r="AA24" s="15" t="str">
        <f t="shared" si="20"/>
        <v>LSW-13</v>
      </c>
      <c r="AB24" s="16" t="s">
        <v>49</v>
      </c>
      <c r="AC24" s="14" t="s">
        <v>340</v>
      </c>
      <c r="AD24" s="17">
        <v>0.0</v>
      </c>
      <c r="AE24" s="15" t="str">
        <f t="shared" si="6"/>
        <v>LSW-13</v>
      </c>
      <c r="AF24" s="16" t="s">
        <v>49</v>
      </c>
      <c r="AG24" s="14" t="s">
        <v>341</v>
      </c>
      <c r="AH24" s="17">
        <v>0.0</v>
      </c>
      <c r="AI24" s="15" t="str">
        <f t="shared" si="7"/>
        <v>LSW-13</v>
      </c>
      <c r="AJ24" s="16" t="s">
        <v>49</v>
      </c>
      <c r="AK24" s="14" t="s">
        <v>342</v>
      </c>
      <c r="AL24" s="17">
        <v>0.0</v>
      </c>
      <c r="AM24" s="15" t="str">
        <f t="shared" si="8"/>
        <v>RDR-13</v>
      </c>
      <c r="AN24" s="18" t="s">
        <v>53</v>
      </c>
      <c r="AO24" s="14" t="s">
        <v>343</v>
      </c>
      <c r="AP24" s="17">
        <v>0.0</v>
      </c>
      <c r="AQ24" s="15" t="str">
        <f t="shared" si="9"/>
        <v>RDR-13</v>
      </c>
      <c r="AR24" s="18" t="s">
        <v>53</v>
      </c>
      <c r="AS24" s="14" t="s">
        <v>344</v>
      </c>
      <c r="AT24" s="17">
        <v>0.0</v>
      </c>
      <c r="AU24" s="15" t="str">
        <f t="shared" si="10"/>
        <v>RDR-13</v>
      </c>
      <c r="AV24" s="18" t="s">
        <v>53</v>
      </c>
      <c r="AW24" s="30" t="s">
        <v>345</v>
      </c>
      <c r="AX24" s="17">
        <v>0.0</v>
      </c>
      <c r="AY24" s="31" t="str">
        <f t="shared" si="11"/>
        <v>ROSOV-43</v>
      </c>
      <c r="AZ24" s="32" t="s">
        <v>57</v>
      </c>
      <c r="BA24" s="14" t="s">
        <v>346</v>
      </c>
      <c r="BB24" s="17">
        <v>0.0</v>
      </c>
      <c r="BC24" s="15" t="str">
        <f t="shared" si="12"/>
        <v>ROSOV-43</v>
      </c>
      <c r="BD24" s="16" t="s">
        <v>59</v>
      </c>
      <c r="BE24" s="4"/>
      <c r="BF24" s="4"/>
      <c r="BG24" s="4"/>
      <c r="BH24" s="4"/>
      <c r="BI24" s="4"/>
      <c r="BJ24" s="4"/>
      <c r="BK24" s="4"/>
      <c r="BL24" s="4"/>
      <c r="BM24" s="14" t="s">
        <v>347</v>
      </c>
      <c r="BN24" s="17">
        <v>0.0</v>
      </c>
      <c r="BO24" s="15" t="str">
        <f t="shared" si="13"/>
        <v>ROSOV-44</v>
      </c>
      <c r="BP24" s="18" t="s">
        <v>61</v>
      </c>
      <c r="BQ24" s="14" t="s">
        <v>348</v>
      </c>
      <c r="BR24" s="17">
        <v>0.0</v>
      </c>
      <c r="BS24" s="15" t="str">
        <f t="shared" si="14"/>
        <v>ROSOV-44</v>
      </c>
      <c r="BT24" s="18" t="s">
        <v>63</v>
      </c>
      <c r="BU24" s="4"/>
      <c r="BV24" s="4"/>
      <c r="BW24" s="4"/>
      <c r="BX24" s="4"/>
      <c r="BY24" s="4"/>
      <c r="BZ24" s="4"/>
      <c r="CA24" s="4"/>
      <c r="CB24" s="4"/>
      <c r="CC24" s="33" t="s">
        <v>349</v>
      </c>
      <c r="CD24" s="17">
        <v>0.0</v>
      </c>
      <c r="CE24" s="31" t="str">
        <f t="shared" si="15"/>
        <v>MOV-036</v>
      </c>
      <c r="CF24" s="32" t="s">
        <v>65</v>
      </c>
      <c r="CG24" s="25" t="s">
        <v>350</v>
      </c>
      <c r="CH24" s="22">
        <v>1.0</v>
      </c>
      <c r="CI24" s="31" t="str">
        <f t="shared" si="16"/>
        <v>MOV-036</v>
      </c>
      <c r="CJ24" s="32" t="s">
        <v>65</v>
      </c>
      <c r="CK24" s="4"/>
      <c r="CL24" s="4"/>
      <c r="CM24" s="4"/>
      <c r="CN24" s="4"/>
      <c r="CO24" s="20" t="s">
        <v>351</v>
      </c>
      <c r="CP24" s="17">
        <v>0.0</v>
      </c>
      <c r="CQ24" s="15" t="str">
        <f t="shared" si="17"/>
        <v>MOV-037</v>
      </c>
      <c r="CR24" s="18" t="s">
        <v>68</v>
      </c>
      <c r="CS24" s="25" t="s">
        <v>352</v>
      </c>
      <c r="CT24" s="22">
        <v>1.0</v>
      </c>
      <c r="CU24" s="15" t="str">
        <f t="shared" si="18"/>
        <v>MOV-037</v>
      </c>
      <c r="CV24" s="18" t="s">
        <v>68</v>
      </c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</row>
    <row r="25" ht="15.75" customHeight="1">
      <c r="A25" s="7">
        <v>1856.0</v>
      </c>
      <c r="B25" s="8" t="s">
        <v>38</v>
      </c>
      <c r="C25" s="9" t="str">
        <f t="shared" si="1"/>
        <v>TK-29_BIO DIESEL</v>
      </c>
      <c r="D25" s="23" t="s">
        <v>353</v>
      </c>
      <c r="E25" s="24" t="s">
        <v>169</v>
      </c>
      <c r="F25" s="23" t="s">
        <v>354</v>
      </c>
      <c r="G25" s="12" t="s">
        <v>42</v>
      </c>
      <c r="H25" s="13">
        <v>0.0</v>
      </c>
      <c r="I25" s="14" t="s">
        <v>355</v>
      </c>
      <c r="J25" s="4"/>
      <c r="K25" s="15" t="str">
        <f t="shared" si="2"/>
        <v>TK-29</v>
      </c>
      <c r="L25" s="16" t="s">
        <v>44</v>
      </c>
      <c r="M25" s="4"/>
      <c r="N25" s="4"/>
      <c r="O25" s="14" t="s">
        <v>356</v>
      </c>
      <c r="P25" s="17">
        <v>0.0</v>
      </c>
      <c r="Q25" s="14" t="s">
        <v>357</v>
      </c>
      <c r="R25" s="17">
        <v>0.0</v>
      </c>
      <c r="S25" s="15" t="str">
        <f t="shared" si="3"/>
        <v>TK-29</v>
      </c>
      <c r="T25" s="16" t="s">
        <v>44</v>
      </c>
      <c r="U25" s="14" t="s">
        <v>358</v>
      </c>
      <c r="V25" s="17">
        <v>0.0</v>
      </c>
      <c r="W25" s="15" t="str">
        <f t="shared" si="4"/>
        <v>TK-29</v>
      </c>
      <c r="X25" s="16" t="s">
        <v>44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28"/>
      <c r="CH25" s="28"/>
      <c r="CI25" s="4"/>
      <c r="CJ25" s="4"/>
      <c r="CK25" s="4"/>
      <c r="CL25" s="4"/>
      <c r="CM25" s="4"/>
      <c r="CN25" s="4"/>
      <c r="CO25" s="4"/>
      <c r="CP25" s="4"/>
      <c r="CQ25" s="15" t="str">
        <f t="shared" si="17"/>
        <v/>
      </c>
      <c r="CR25" s="4"/>
      <c r="CS25" s="28"/>
      <c r="CT25" s="28"/>
      <c r="CU25" s="15" t="str">
        <f t="shared" si="18"/>
        <v/>
      </c>
      <c r="CV25" s="4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</row>
    <row r="26" ht="15.75" customHeight="1">
      <c r="A26" s="7">
        <v>1856.0</v>
      </c>
      <c r="B26" s="8" t="s">
        <v>38</v>
      </c>
      <c r="C26" s="9" t="str">
        <f t="shared" si="1"/>
        <v>TK-30_BIO DIESEL</v>
      </c>
      <c r="D26" s="23" t="s">
        <v>359</v>
      </c>
      <c r="E26" s="24" t="s">
        <v>169</v>
      </c>
      <c r="F26" s="23" t="s">
        <v>354</v>
      </c>
      <c r="G26" s="12" t="s">
        <v>42</v>
      </c>
      <c r="H26" s="13">
        <v>0.0</v>
      </c>
      <c r="I26" s="14" t="s">
        <v>360</v>
      </c>
      <c r="J26" s="4"/>
      <c r="K26" s="15" t="str">
        <f t="shared" si="2"/>
        <v>TK-30</v>
      </c>
      <c r="L26" s="16" t="s">
        <v>44</v>
      </c>
      <c r="M26" s="4"/>
      <c r="N26" s="4"/>
      <c r="O26" s="14" t="s">
        <v>361</v>
      </c>
      <c r="P26" s="17">
        <v>0.0</v>
      </c>
      <c r="Q26" s="14" t="s">
        <v>362</v>
      </c>
      <c r="R26" s="17">
        <v>0.0</v>
      </c>
      <c r="S26" s="15" t="str">
        <f t="shared" si="3"/>
        <v>TK-30</v>
      </c>
      <c r="T26" s="16" t="s">
        <v>44</v>
      </c>
      <c r="U26" s="14" t="s">
        <v>363</v>
      </c>
      <c r="V26" s="17">
        <v>0.0</v>
      </c>
      <c r="W26" s="15" t="str">
        <f t="shared" si="4"/>
        <v>TK-30</v>
      </c>
      <c r="X26" s="16" t="s">
        <v>44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28"/>
      <c r="CH26" s="28"/>
      <c r="CI26" s="4"/>
      <c r="CJ26" s="4"/>
      <c r="CK26" s="4"/>
      <c r="CL26" s="4"/>
      <c r="CM26" s="4"/>
      <c r="CN26" s="4"/>
      <c r="CO26" s="4"/>
      <c r="CP26" s="4"/>
      <c r="CQ26" s="15" t="str">
        <f t="shared" si="17"/>
        <v/>
      </c>
      <c r="CR26" s="4"/>
      <c r="CS26" s="28"/>
      <c r="CT26" s="28"/>
      <c r="CU26" s="15" t="str">
        <f t="shared" si="18"/>
        <v/>
      </c>
      <c r="CV26" s="4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</row>
    <row r="27" ht="15.75" customHeight="1">
      <c r="G27" s="26"/>
      <c r="H27" s="26"/>
      <c r="I27" s="26"/>
      <c r="J27" s="26"/>
      <c r="K27" s="26"/>
      <c r="L27" s="26"/>
      <c r="M27" s="26"/>
      <c r="N27" s="26"/>
      <c r="O27" s="34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8"/>
      <c r="CH27" s="28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8"/>
      <c r="CT27" s="28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</row>
    <row r="28" ht="15.75" customHeight="1">
      <c r="G28" s="26"/>
      <c r="H28" s="26"/>
      <c r="I28" s="26"/>
      <c r="J28" s="26"/>
      <c r="K28" s="26"/>
      <c r="L28" s="26"/>
      <c r="M28" s="26"/>
      <c r="N28" s="26"/>
      <c r="O28" s="35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8"/>
      <c r="CH28" s="28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8"/>
      <c r="CT28" s="28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</row>
    <row r="29" ht="15.75" customHeight="1">
      <c r="G29" s="26"/>
      <c r="H29" s="26"/>
      <c r="I29" s="26"/>
      <c r="J29" s="26"/>
      <c r="K29" s="26"/>
      <c r="L29" s="26"/>
      <c r="M29" s="26"/>
      <c r="N29" s="26"/>
      <c r="O29" s="35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8"/>
      <c r="CH29" s="28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8"/>
      <c r="CT29" s="28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</row>
    <row r="30" ht="15.75" customHeight="1">
      <c r="G30" s="26"/>
      <c r="H30" s="26"/>
      <c r="I30" s="26"/>
      <c r="J30" s="26"/>
      <c r="K30" s="26"/>
      <c r="L30" s="26"/>
      <c r="M30" s="26"/>
      <c r="N30" s="26"/>
      <c r="O30" s="35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8"/>
      <c r="CH30" s="28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8"/>
      <c r="CT30" s="28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</row>
    <row r="31" ht="15.75" customHeight="1">
      <c r="G31" s="26"/>
      <c r="H31" s="26"/>
      <c r="I31" s="26"/>
      <c r="J31" s="26"/>
      <c r="K31" s="26"/>
      <c r="L31" s="26"/>
      <c r="M31" s="26"/>
      <c r="N31" s="26"/>
      <c r="O31" s="35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8"/>
      <c r="CH31" s="28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8"/>
      <c r="CT31" s="28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</row>
    <row r="32" ht="15.75" customHeight="1">
      <c r="G32" s="26"/>
      <c r="H32" s="26"/>
      <c r="I32" s="26"/>
      <c r="J32" s="26"/>
      <c r="K32" s="26"/>
      <c r="L32" s="26"/>
      <c r="M32" s="26"/>
      <c r="N32" s="26"/>
      <c r="O32" s="35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8"/>
      <c r="CH32" s="28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8"/>
      <c r="CT32" s="28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</row>
    <row r="33" ht="15.75" customHeight="1">
      <c r="G33" s="26"/>
      <c r="H33" s="26"/>
      <c r="I33" s="26"/>
      <c r="J33" s="26"/>
      <c r="K33" s="26"/>
      <c r="L33" s="26"/>
      <c r="M33" s="26"/>
      <c r="N33" s="26"/>
      <c r="O33" s="3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8"/>
      <c r="CH33" s="28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8"/>
      <c r="CT33" s="28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</row>
    <row r="34" ht="15.75" customHeight="1">
      <c r="G34" s="26"/>
      <c r="H34" s="26"/>
      <c r="I34" s="26"/>
      <c r="J34" s="26"/>
      <c r="K34" s="26"/>
      <c r="L34" s="26"/>
      <c r="M34" s="26"/>
      <c r="N34" s="26"/>
      <c r="O34" s="35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8"/>
      <c r="CH34" s="28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8"/>
      <c r="CT34" s="28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</row>
    <row r="35" ht="15.75" customHeight="1">
      <c r="G35" s="26"/>
      <c r="H35" s="26"/>
      <c r="I35" s="26"/>
      <c r="J35" s="26"/>
      <c r="K35" s="26"/>
      <c r="L35" s="26"/>
      <c r="M35" s="26"/>
      <c r="N35" s="26"/>
      <c r="O35" s="35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8"/>
      <c r="CH35" s="28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8"/>
      <c r="CT35" s="28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</row>
    <row r="36" ht="15.75" customHeight="1">
      <c r="G36" s="26"/>
      <c r="H36" s="26"/>
      <c r="I36" s="26"/>
      <c r="J36" s="26"/>
      <c r="K36" s="26"/>
      <c r="L36" s="26"/>
      <c r="M36" s="26"/>
      <c r="N36" s="26"/>
      <c r="O36" s="35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8"/>
      <c r="CH36" s="28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8"/>
      <c r="CT36" s="28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</row>
    <row r="37" ht="15.75" customHeight="1">
      <c r="G37" s="26"/>
      <c r="H37" s="26"/>
      <c r="I37" s="26"/>
      <c r="J37" s="26"/>
      <c r="K37" s="26"/>
      <c r="L37" s="26"/>
      <c r="M37" s="26"/>
      <c r="N37" s="26"/>
      <c r="O37" s="35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8"/>
      <c r="CH37" s="28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8"/>
      <c r="CT37" s="28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</row>
    <row r="38" ht="15.75" customHeight="1">
      <c r="G38" s="26"/>
      <c r="H38" s="26"/>
      <c r="I38" s="26"/>
      <c r="J38" s="26"/>
      <c r="K38" s="26"/>
      <c r="L38" s="26"/>
      <c r="M38" s="26"/>
      <c r="N38" s="26"/>
      <c r="O38" s="35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8"/>
      <c r="CH38" s="28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8"/>
      <c r="CT38" s="28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</row>
    <row r="39" ht="15.75" customHeight="1">
      <c r="G39" s="26"/>
      <c r="H39" s="26"/>
      <c r="I39" s="26"/>
      <c r="J39" s="26"/>
      <c r="K39" s="26"/>
      <c r="L39" s="26"/>
      <c r="M39" s="26"/>
      <c r="N39" s="26"/>
      <c r="O39" s="35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8"/>
      <c r="CH39" s="28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8"/>
      <c r="CT39" s="28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</row>
    <row r="40" ht="15.75" customHeight="1">
      <c r="G40" s="26"/>
      <c r="H40" s="26"/>
      <c r="I40" s="26"/>
      <c r="J40" s="26"/>
      <c r="K40" s="26"/>
      <c r="L40" s="26"/>
      <c r="M40" s="26"/>
      <c r="N40" s="26"/>
      <c r="O40" s="35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8"/>
      <c r="CH40" s="28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8"/>
      <c r="CT40" s="28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</row>
    <row r="41" ht="15.75" customHeight="1">
      <c r="G41" s="26"/>
      <c r="H41" s="26"/>
      <c r="I41" s="26"/>
      <c r="J41" s="26"/>
      <c r="K41" s="26"/>
      <c r="L41" s="26"/>
      <c r="M41" s="26"/>
      <c r="N41" s="26"/>
      <c r="O41" s="35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8"/>
      <c r="CH41" s="28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8"/>
      <c r="CT41" s="28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</row>
    <row r="42" ht="15.75" customHeight="1">
      <c r="G42" s="26"/>
      <c r="H42" s="26"/>
      <c r="I42" s="26"/>
      <c r="J42" s="26"/>
      <c r="K42" s="26"/>
      <c r="L42" s="26"/>
      <c r="M42" s="26"/>
      <c r="N42" s="26"/>
      <c r="O42" s="35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8"/>
      <c r="CH42" s="28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8"/>
      <c r="CT42" s="28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</row>
    <row r="43" ht="15.75" customHeight="1">
      <c r="G43" s="26"/>
      <c r="H43" s="26"/>
      <c r="I43" s="26"/>
      <c r="J43" s="26"/>
      <c r="K43" s="26"/>
      <c r="L43" s="26"/>
      <c r="M43" s="26"/>
      <c r="N43" s="26"/>
      <c r="O43" s="35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8"/>
      <c r="CH43" s="28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8"/>
      <c r="CT43" s="28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</row>
    <row r="44" ht="15.75" customHeight="1">
      <c r="G44" s="26"/>
      <c r="H44" s="26"/>
      <c r="I44" s="26"/>
      <c r="J44" s="26"/>
      <c r="K44" s="26"/>
      <c r="L44" s="26"/>
      <c r="M44" s="26"/>
      <c r="N44" s="26"/>
      <c r="O44" s="35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8"/>
      <c r="CH44" s="28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8"/>
      <c r="CT44" s="28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</row>
    <row r="45" ht="15.75" customHeight="1">
      <c r="G45" s="26"/>
      <c r="H45" s="26"/>
      <c r="I45" s="26"/>
      <c r="J45" s="26"/>
      <c r="K45" s="26"/>
      <c r="L45" s="26"/>
      <c r="M45" s="26"/>
      <c r="N45" s="26"/>
      <c r="O45" s="35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8"/>
      <c r="CH45" s="28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8"/>
      <c r="CT45" s="28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</row>
    <row r="46" ht="15.75" customHeight="1">
      <c r="G46" s="26"/>
      <c r="H46" s="26"/>
      <c r="I46" s="26"/>
      <c r="J46" s="26"/>
      <c r="K46" s="26"/>
      <c r="L46" s="26"/>
      <c r="M46" s="26"/>
      <c r="N46" s="26"/>
      <c r="O46" s="3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8"/>
      <c r="CH46" s="28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8"/>
      <c r="CT46" s="28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</row>
    <row r="47" ht="15.75" customHeight="1">
      <c r="G47" s="26"/>
      <c r="H47" s="26"/>
      <c r="I47" s="26"/>
      <c r="J47" s="26"/>
      <c r="K47" s="26"/>
      <c r="L47" s="26"/>
      <c r="M47" s="26"/>
      <c r="N47" s="26"/>
      <c r="O47" s="35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8"/>
      <c r="CH47" s="28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8"/>
      <c r="CT47" s="28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</row>
    <row r="48" ht="15.75" customHeight="1">
      <c r="G48" s="26"/>
      <c r="H48" s="26"/>
      <c r="I48" s="26"/>
      <c r="J48" s="26"/>
      <c r="K48" s="26"/>
      <c r="L48" s="26"/>
      <c r="M48" s="26"/>
      <c r="N48" s="26"/>
      <c r="O48" s="35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8"/>
      <c r="CH48" s="28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8"/>
      <c r="CT48" s="28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</row>
    <row r="49" ht="15.75" customHeight="1">
      <c r="G49" s="26"/>
      <c r="H49" s="26"/>
      <c r="I49" s="26"/>
      <c r="J49" s="26"/>
      <c r="K49" s="26"/>
      <c r="L49" s="26"/>
      <c r="M49" s="26"/>
      <c r="N49" s="26"/>
      <c r="O49" s="35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8"/>
      <c r="CH49" s="28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8"/>
      <c r="CT49" s="28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</row>
    <row r="50" ht="15.75" customHeight="1">
      <c r="G50" s="26"/>
      <c r="H50" s="26"/>
      <c r="I50" s="26"/>
      <c r="J50" s="26"/>
      <c r="K50" s="26"/>
      <c r="L50" s="26"/>
      <c r="M50" s="26"/>
      <c r="N50" s="26"/>
      <c r="O50" s="35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8"/>
      <c r="CH50" s="28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8"/>
      <c r="CT50" s="28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</row>
    <row r="51" ht="15.75" customHeight="1">
      <c r="G51" s="26"/>
      <c r="H51" s="26"/>
      <c r="I51" s="26"/>
      <c r="J51" s="26"/>
      <c r="K51" s="26"/>
      <c r="L51" s="26"/>
      <c r="M51" s="26"/>
      <c r="N51" s="26"/>
      <c r="O51" s="35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8"/>
      <c r="CH51" s="28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8"/>
      <c r="CT51" s="28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</row>
    <row r="52" ht="15.75" customHeight="1">
      <c r="G52" s="26"/>
      <c r="H52" s="26"/>
      <c r="I52" s="26"/>
      <c r="J52" s="26"/>
      <c r="K52" s="26"/>
      <c r="L52" s="26"/>
      <c r="M52" s="26"/>
      <c r="N52" s="26"/>
      <c r="O52" s="3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8"/>
      <c r="CH52" s="28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8"/>
      <c r="CT52" s="28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</row>
    <row r="53" ht="15.75" customHeight="1">
      <c r="G53" s="26"/>
      <c r="H53" s="26"/>
      <c r="I53" s="26"/>
      <c r="J53" s="26"/>
      <c r="K53" s="26"/>
      <c r="L53" s="26"/>
      <c r="M53" s="26"/>
      <c r="N53" s="26"/>
      <c r="O53" s="35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8"/>
      <c r="CH53" s="28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8"/>
      <c r="CT53" s="28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</row>
    <row r="54" ht="15.75" customHeight="1">
      <c r="G54" s="26"/>
      <c r="H54" s="26"/>
      <c r="I54" s="26"/>
      <c r="J54" s="26"/>
      <c r="K54" s="26"/>
      <c r="L54" s="26"/>
      <c r="M54" s="26"/>
      <c r="N54" s="26"/>
      <c r="O54" s="35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8"/>
      <c r="CH54" s="28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8"/>
      <c r="CT54" s="28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</row>
    <row r="55" ht="15.75" customHeight="1">
      <c r="G55" s="26"/>
      <c r="H55" s="26"/>
      <c r="I55" s="26"/>
      <c r="J55" s="26"/>
      <c r="K55" s="26"/>
      <c r="L55" s="26"/>
      <c r="M55" s="26"/>
      <c r="N55" s="26"/>
      <c r="O55" s="35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8"/>
      <c r="CH55" s="28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8"/>
      <c r="CT55" s="28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</row>
    <row r="56" ht="15.75" customHeight="1">
      <c r="G56" s="26"/>
      <c r="H56" s="26"/>
      <c r="I56" s="26"/>
      <c r="J56" s="26"/>
      <c r="K56" s="26"/>
      <c r="L56" s="26"/>
      <c r="M56" s="26"/>
      <c r="N56" s="26"/>
      <c r="O56" s="35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8"/>
      <c r="CH56" s="28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8"/>
      <c r="CT56" s="28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</row>
    <row r="57" ht="15.75" customHeight="1">
      <c r="G57" s="26"/>
      <c r="H57" s="26"/>
      <c r="I57" s="26"/>
      <c r="J57" s="26"/>
      <c r="K57" s="26"/>
      <c r="L57" s="26"/>
      <c r="M57" s="26"/>
      <c r="N57" s="26"/>
      <c r="O57" s="35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8"/>
      <c r="CH57" s="28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8"/>
      <c r="CT57" s="28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</row>
    <row r="58" ht="15.75" customHeight="1">
      <c r="G58" s="26"/>
      <c r="H58" s="26"/>
      <c r="I58" s="26"/>
      <c r="J58" s="26"/>
      <c r="K58" s="26"/>
      <c r="L58" s="26"/>
      <c r="M58" s="26"/>
      <c r="N58" s="26"/>
      <c r="O58" s="35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8"/>
      <c r="CH58" s="28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8"/>
      <c r="CT58" s="28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</row>
    <row r="59" ht="15.75" customHeight="1">
      <c r="G59" s="26"/>
      <c r="H59" s="26"/>
      <c r="I59" s="26"/>
      <c r="J59" s="26"/>
      <c r="K59" s="26"/>
      <c r="L59" s="26"/>
      <c r="M59" s="26"/>
      <c r="N59" s="26"/>
      <c r="O59" s="35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8"/>
      <c r="CH59" s="28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8"/>
      <c r="CT59" s="28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</row>
    <row r="60" ht="15.75" customHeight="1">
      <c r="G60" s="26"/>
      <c r="H60" s="26"/>
      <c r="I60" s="26"/>
      <c r="J60" s="26"/>
      <c r="K60" s="26"/>
      <c r="L60" s="26"/>
      <c r="M60" s="26"/>
      <c r="N60" s="26"/>
      <c r="O60" s="35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8"/>
      <c r="CH60" s="28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8"/>
      <c r="CT60" s="28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</row>
    <row r="61" ht="15.75" customHeight="1">
      <c r="G61" s="26"/>
      <c r="H61" s="26"/>
      <c r="I61" s="26"/>
      <c r="J61" s="26"/>
      <c r="K61" s="26"/>
      <c r="L61" s="26"/>
      <c r="M61" s="26"/>
      <c r="N61" s="26"/>
      <c r="O61" s="35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8"/>
      <c r="CH61" s="28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8"/>
      <c r="CT61" s="28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</row>
    <row r="62" ht="15.75" customHeight="1">
      <c r="G62" s="26"/>
      <c r="H62" s="26"/>
      <c r="I62" s="26"/>
      <c r="J62" s="26"/>
      <c r="K62" s="26"/>
      <c r="L62" s="26"/>
      <c r="M62" s="26"/>
      <c r="N62" s="26"/>
      <c r="O62" s="35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8"/>
      <c r="CH62" s="28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8"/>
      <c r="CT62" s="28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</row>
    <row r="63" ht="15.75" customHeight="1">
      <c r="G63" s="26"/>
      <c r="H63" s="26"/>
      <c r="I63" s="26"/>
      <c r="J63" s="26"/>
      <c r="K63" s="26"/>
      <c r="L63" s="26"/>
      <c r="M63" s="26"/>
      <c r="N63" s="26"/>
      <c r="O63" s="35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8"/>
      <c r="CH63" s="28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8"/>
      <c r="CT63" s="28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</row>
    <row r="64" ht="15.75" customHeight="1">
      <c r="G64" s="26"/>
      <c r="H64" s="26"/>
      <c r="I64" s="26"/>
      <c r="J64" s="26"/>
      <c r="K64" s="26"/>
      <c r="L64" s="26"/>
      <c r="M64" s="26"/>
      <c r="N64" s="26"/>
      <c r="O64" s="35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8"/>
      <c r="CH64" s="28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8"/>
      <c r="CT64" s="28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</row>
    <row r="65" ht="15.75" customHeight="1">
      <c r="G65" s="26"/>
      <c r="H65" s="26"/>
      <c r="I65" s="26"/>
      <c r="J65" s="26"/>
      <c r="K65" s="26"/>
      <c r="L65" s="26"/>
      <c r="M65" s="26"/>
      <c r="N65" s="26"/>
      <c r="O65" s="35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8"/>
      <c r="CH65" s="28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8"/>
      <c r="CT65" s="28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</row>
    <row r="66" ht="15.75" customHeight="1">
      <c r="G66" s="26"/>
      <c r="H66" s="26"/>
      <c r="I66" s="26"/>
      <c r="J66" s="26"/>
      <c r="K66" s="26"/>
      <c r="L66" s="26"/>
      <c r="M66" s="26"/>
      <c r="N66" s="26"/>
      <c r="O66" s="35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8"/>
      <c r="CH66" s="28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8"/>
      <c r="CT66" s="28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</row>
    <row r="67" ht="15.75" customHeight="1">
      <c r="G67" s="26"/>
      <c r="H67" s="26"/>
      <c r="I67" s="26"/>
      <c r="J67" s="26"/>
      <c r="K67" s="26"/>
      <c r="L67" s="26"/>
      <c r="M67" s="26"/>
      <c r="N67" s="26"/>
      <c r="O67" s="35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8"/>
      <c r="CH67" s="28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8"/>
      <c r="CT67" s="28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</row>
    <row r="68" ht="15.75" customHeight="1">
      <c r="G68" s="26"/>
      <c r="H68" s="26"/>
      <c r="I68" s="26"/>
      <c r="J68" s="26"/>
      <c r="K68" s="26"/>
      <c r="L68" s="26"/>
      <c r="M68" s="26"/>
      <c r="N68" s="26"/>
      <c r="O68" s="35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8"/>
      <c r="CH68" s="28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8"/>
      <c r="CT68" s="28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</row>
    <row r="69" ht="15.75" customHeight="1">
      <c r="G69" s="26"/>
      <c r="H69" s="26"/>
      <c r="I69" s="26"/>
      <c r="J69" s="26"/>
      <c r="K69" s="26"/>
      <c r="L69" s="26"/>
      <c r="M69" s="26"/>
      <c r="N69" s="26"/>
      <c r="O69" s="35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8"/>
      <c r="CH69" s="28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8"/>
      <c r="CT69" s="28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</row>
    <row r="70" ht="15.75" customHeight="1">
      <c r="G70" s="26"/>
      <c r="H70" s="26"/>
      <c r="I70" s="26"/>
      <c r="J70" s="26"/>
      <c r="K70" s="26"/>
      <c r="L70" s="26"/>
      <c r="M70" s="26"/>
      <c r="N70" s="26"/>
      <c r="O70" s="35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8"/>
      <c r="CH70" s="28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8"/>
      <c r="CT70" s="28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</row>
    <row r="71" ht="15.75" customHeight="1">
      <c r="G71" s="26"/>
      <c r="H71" s="26"/>
      <c r="I71" s="26"/>
      <c r="J71" s="26"/>
      <c r="K71" s="26"/>
      <c r="L71" s="26"/>
      <c r="M71" s="26"/>
      <c r="N71" s="26"/>
      <c r="O71" s="35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8"/>
      <c r="CH71" s="28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8"/>
      <c r="CT71" s="28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</row>
    <row r="72" ht="15.75" customHeight="1">
      <c r="G72" s="26"/>
      <c r="H72" s="26"/>
      <c r="I72" s="26"/>
      <c r="J72" s="26"/>
      <c r="K72" s="26"/>
      <c r="L72" s="26"/>
      <c r="M72" s="26"/>
      <c r="N72" s="26"/>
      <c r="O72" s="35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8"/>
      <c r="CH72" s="28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8"/>
      <c r="CT72" s="28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</row>
    <row r="73" ht="15.75" customHeight="1">
      <c r="G73" s="26"/>
      <c r="H73" s="26"/>
      <c r="I73" s="26"/>
      <c r="J73" s="26"/>
      <c r="K73" s="26"/>
      <c r="L73" s="26"/>
      <c r="M73" s="26"/>
      <c r="N73" s="26"/>
      <c r="O73" s="35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8"/>
      <c r="CH73" s="28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8"/>
      <c r="CT73" s="28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</row>
    <row r="74" ht="15.75" customHeight="1">
      <c r="G74" s="26"/>
      <c r="H74" s="26"/>
      <c r="I74" s="26"/>
      <c r="J74" s="26"/>
      <c r="K74" s="26"/>
      <c r="L74" s="26"/>
      <c r="M74" s="26"/>
      <c r="N74" s="26"/>
      <c r="O74" s="35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8"/>
      <c r="CH74" s="28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8"/>
      <c r="CT74" s="28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</row>
    <row r="75" ht="15.75" customHeight="1">
      <c r="G75" s="26"/>
      <c r="H75" s="26"/>
      <c r="I75" s="26"/>
      <c r="J75" s="26"/>
      <c r="K75" s="26"/>
      <c r="L75" s="26"/>
      <c r="M75" s="26"/>
      <c r="N75" s="26"/>
      <c r="O75" s="35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8"/>
      <c r="CH75" s="28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8"/>
      <c r="CT75" s="28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</row>
    <row r="76" ht="15.75" customHeight="1">
      <c r="G76" s="26"/>
      <c r="H76" s="26"/>
      <c r="I76" s="26"/>
      <c r="J76" s="26"/>
      <c r="K76" s="26"/>
      <c r="L76" s="26"/>
      <c r="M76" s="26"/>
      <c r="N76" s="26"/>
      <c r="O76" s="35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8"/>
      <c r="CH76" s="28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8"/>
      <c r="CT76" s="28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</row>
    <row r="77" ht="15.75" customHeight="1">
      <c r="G77" s="26"/>
      <c r="H77" s="26"/>
      <c r="I77" s="26"/>
      <c r="J77" s="26"/>
      <c r="K77" s="26"/>
      <c r="L77" s="26"/>
      <c r="M77" s="26"/>
      <c r="N77" s="26"/>
      <c r="O77" s="35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8"/>
      <c r="CH77" s="28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8"/>
      <c r="CT77" s="28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</row>
    <row r="78" ht="15.75" customHeight="1">
      <c r="G78" s="26"/>
      <c r="H78" s="26"/>
      <c r="I78" s="26"/>
      <c r="J78" s="26"/>
      <c r="K78" s="26"/>
      <c r="L78" s="26"/>
      <c r="M78" s="26"/>
      <c r="N78" s="26"/>
      <c r="O78" s="35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8"/>
      <c r="CH78" s="28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8"/>
      <c r="CT78" s="28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</row>
    <row r="79" ht="15.75" customHeight="1">
      <c r="G79" s="26"/>
      <c r="H79" s="26"/>
      <c r="I79" s="26"/>
      <c r="J79" s="26"/>
      <c r="K79" s="26"/>
      <c r="L79" s="26"/>
      <c r="M79" s="26"/>
      <c r="N79" s="26"/>
      <c r="O79" s="35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8"/>
      <c r="CH79" s="28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8"/>
      <c r="CT79" s="28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</row>
    <row r="80" ht="15.75" customHeight="1">
      <c r="G80" s="26"/>
      <c r="H80" s="26"/>
      <c r="I80" s="26"/>
      <c r="J80" s="26"/>
      <c r="K80" s="26"/>
      <c r="L80" s="26"/>
      <c r="M80" s="26"/>
      <c r="N80" s="26"/>
      <c r="O80" s="35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8"/>
      <c r="CH80" s="28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8"/>
      <c r="CT80" s="28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</row>
    <row r="81" ht="15.75" customHeight="1">
      <c r="G81" s="26"/>
      <c r="H81" s="26"/>
      <c r="I81" s="26"/>
      <c r="J81" s="26"/>
      <c r="K81" s="26"/>
      <c r="L81" s="26"/>
      <c r="M81" s="26"/>
      <c r="N81" s="26"/>
      <c r="O81" s="35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8"/>
      <c r="CH81" s="28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8"/>
      <c r="CT81" s="28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</row>
    <row r="82" ht="15.75" customHeight="1">
      <c r="G82" s="26"/>
      <c r="H82" s="26"/>
      <c r="I82" s="26"/>
      <c r="J82" s="26"/>
      <c r="K82" s="26"/>
      <c r="L82" s="26"/>
      <c r="M82" s="26"/>
      <c r="N82" s="26"/>
      <c r="O82" s="35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8"/>
      <c r="CH82" s="28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8"/>
      <c r="CT82" s="28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</row>
    <row r="83" ht="15.75" customHeight="1">
      <c r="G83" s="26"/>
      <c r="H83" s="26"/>
      <c r="I83" s="26"/>
      <c r="J83" s="26"/>
      <c r="K83" s="26"/>
      <c r="L83" s="26"/>
      <c r="M83" s="26"/>
      <c r="N83" s="26"/>
      <c r="O83" s="35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8"/>
      <c r="CH83" s="28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8"/>
      <c r="CT83" s="28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</row>
    <row r="84" ht="15.75" customHeight="1">
      <c r="G84" s="26"/>
      <c r="H84" s="26"/>
      <c r="I84" s="26"/>
      <c r="J84" s="26"/>
      <c r="K84" s="26"/>
      <c r="L84" s="26"/>
      <c r="M84" s="26"/>
      <c r="N84" s="26"/>
      <c r="O84" s="35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8"/>
      <c r="CH84" s="28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8"/>
      <c r="CT84" s="28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</row>
    <row r="85" ht="15.75" customHeight="1">
      <c r="G85" s="26"/>
      <c r="H85" s="26"/>
      <c r="I85" s="26"/>
      <c r="J85" s="26"/>
      <c r="K85" s="26"/>
      <c r="L85" s="26"/>
      <c r="M85" s="26"/>
      <c r="N85" s="26"/>
      <c r="O85" s="35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8"/>
      <c r="CH85" s="28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8"/>
      <c r="CT85" s="28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</row>
    <row r="86" ht="15.75" customHeight="1">
      <c r="G86" s="26"/>
      <c r="H86" s="26"/>
      <c r="I86" s="26"/>
      <c r="J86" s="26"/>
      <c r="K86" s="26"/>
      <c r="L86" s="26"/>
      <c r="M86" s="26"/>
      <c r="N86" s="26"/>
      <c r="O86" s="35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8"/>
      <c r="CH86" s="28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8"/>
      <c r="CT86" s="28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</row>
    <row r="87" ht="15.75" customHeight="1">
      <c r="G87" s="26"/>
      <c r="H87" s="26"/>
      <c r="I87" s="26"/>
      <c r="J87" s="26"/>
      <c r="K87" s="26"/>
      <c r="L87" s="26"/>
      <c r="M87" s="26"/>
      <c r="N87" s="26"/>
      <c r="O87" s="35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8"/>
      <c r="CH87" s="28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8"/>
      <c r="CT87" s="28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</row>
    <row r="88" ht="15.75" customHeight="1">
      <c r="G88" s="26"/>
      <c r="H88" s="26"/>
      <c r="I88" s="26"/>
      <c r="J88" s="26"/>
      <c r="K88" s="26"/>
      <c r="L88" s="26"/>
      <c r="M88" s="26"/>
      <c r="N88" s="26"/>
      <c r="O88" s="35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8"/>
      <c r="CH88" s="28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8"/>
      <c r="CT88" s="28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</row>
    <row r="89" ht="15.75" customHeight="1">
      <c r="G89" s="26"/>
      <c r="H89" s="26"/>
      <c r="I89" s="26"/>
      <c r="J89" s="26"/>
      <c r="K89" s="26"/>
      <c r="L89" s="26"/>
      <c r="M89" s="26"/>
      <c r="N89" s="26"/>
      <c r="O89" s="35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8"/>
      <c r="CH89" s="28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8"/>
      <c r="CT89" s="28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</row>
    <row r="90" ht="15.75" customHeight="1">
      <c r="G90" s="26"/>
      <c r="H90" s="26"/>
      <c r="I90" s="26"/>
      <c r="J90" s="26"/>
      <c r="K90" s="26"/>
      <c r="L90" s="26"/>
      <c r="M90" s="26"/>
      <c r="N90" s="26"/>
      <c r="O90" s="35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8"/>
      <c r="CH90" s="28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8"/>
      <c r="CT90" s="28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</row>
    <row r="91" ht="15.75" customHeight="1">
      <c r="G91" s="26"/>
      <c r="H91" s="26"/>
      <c r="I91" s="26"/>
      <c r="J91" s="26"/>
      <c r="K91" s="26"/>
      <c r="L91" s="26"/>
      <c r="M91" s="26"/>
      <c r="N91" s="26"/>
      <c r="O91" s="35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8"/>
      <c r="CH91" s="28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8"/>
      <c r="CT91" s="28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</row>
    <row r="92" ht="15.75" customHeight="1">
      <c r="G92" s="26"/>
      <c r="H92" s="26"/>
      <c r="I92" s="26"/>
      <c r="J92" s="26"/>
      <c r="K92" s="26"/>
      <c r="L92" s="26"/>
      <c r="M92" s="26"/>
      <c r="N92" s="26"/>
      <c r="O92" s="35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8"/>
      <c r="CH92" s="28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8"/>
      <c r="CT92" s="28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</row>
    <row r="93" ht="15.75" customHeight="1">
      <c r="G93" s="26"/>
      <c r="H93" s="26"/>
      <c r="I93" s="26"/>
      <c r="J93" s="26"/>
      <c r="K93" s="26"/>
      <c r="L93" s="26"/>
      <c r="M93" s="26"/>
      <c r="N93" s="26"/>
      <c r="O93" s="35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8"/>
      <c r="CH93" s="28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8"/>
      <c r="CT93" s="28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</row>
    <row r="94" ht="15.75" customHeight="1">
      <c r="G94" s="26"/>
      <c r="H94" s="26"/>
      <c r="I94" s="26"/>
      <c r="J94" s="26"/>
      <c r="K94" s="26"/>
      <c r="L94" s="26"/>
      <c r="M94" s="26"/>
      <c r="N94" s="26"/>
      <c r="O94" s="35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8"/>
      <c r="CH94" s="28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8"/>
      <c r="CT94" s="28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</row>
    <row r="95" ht="15.75" customHeight="1">
      <c r="G95" s="26"/>
      <c r="H95" s="26"/>
      <c r="I95" s="26"/>
      <c r="J95" s="26"/>
      <c r="K95" s="26"/>
      <c r="L95" s="26"/>
      <c r="M95" s="26"/>
      <c r="N95" s="26"/>
      <c r="O95" s="35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8"/>
      <c r="CH95" s="28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8"/>
      <c r="CT95" s="28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</row>
    <row r="96" ht="15.75" customHeight="1">
      <c r="G96" s="26"/>
      <c r="H96" s="26"/>
      <c r="I96" s="26"/>
      <c r="J96" s="26"/>
      <c r="K96" s="26"/>
      <c r="L96" s="26"/>
      <c r="M96" s="26"/>
      <c r="N96" s="26"/>
      <c r="O96" s="35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8"/>
      <c r="CH96" s="28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8"/>
      <c r="CT96" s="28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</row>
    <row r="97" ht="15.75" customHeight="1">
      <c r="G97" s="26"/>
      <c r="H97" s="26"/>
      <c r="I97" s="26"/>
      <c r="J97" s="26"/>
      <c r="K97" s="26"/>
      <c r="L97" s="26"/>
      <c r="M97" s="26"/>
      <c r="N97" s="26"/>
      <c r="O97" s="35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8"/>
      <c r="CH97" s="28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8"/>
      <c r="CT97" s="28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</row>
    <row r="98" ht="15.75" customHeight="1">
      <c r="G98" s="26"/>
      <c r="H98" s="26"/>
      <c r="I98" s="26"/>
      <c r="J98" s="26"/>
      <c r="K98" s="26"/>
      <c r="L98" s="26"/>
      <c r="M98" s="26"/>
      <c r="N98" s="26"/>
      <c r="O98" s="35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8"/>
      <c r="CH98" s="28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8"/>
      <c r="CT98" s="28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</row>
    <row r="99" ht="15.75" customHeight="1">
      <c r="G99" s="26"/>
      <c r="H99" s="26"/>
      <c r="I99" s="26"/>
      <c r="J99" s="26"/>
      <c r="K99" s="26"/>
      <c r="L99" s="26"/>
      <c r="M99" s="26"/>
      <c r="N99" s="26"/>
      <c r="O99" s="35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8"/>
      <c r="CH99" s="28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8"/>
      <c r="CT99" s="28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</row>
    <row r="100" ht="15.75" customHeight="1">
      <c r="G100" s="26"/>
      <c r="H100" s="26"/>
      <c r="I100" s="26"/>
      <c r="J100" s="26"/>
      <c r="K100" s="26"/>
      <c r="L100" s="26"/>
      <c r="M100" s="26"/>
      <c r="N100" s="26"/>
      <c r="O100" s="35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8"/>
      <c r="CH100" s="28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8"/>
      <c r="CT100" s="28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</row>
    <row r="101" ht="15.75" customHeight="1">
      <c r="G101" s="26"/>
      <c r="H101" s="26"/>
      <c r="I101" s="26"/>
      <c r="J101" s="26"/>
      <c r="K101" s="26"/>
      <c r="L101" s="26"/>
      <c r="M101" s="26"/>
      <c r="N101" s="26"/>
      <c r="O101" s="35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8"/>
      <c r="CH101" s="28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8"/>
      <c r="CT101" s="28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</row>
    <row r="102" ht="15.75" customHeight="1">
      <c r="G102" s="26"/>
      <c r="H102" s="26"/>
      <c r="I102" s="26"/>
      <c r="J102" s="26"/>
      <c r="K102" s="26"/>
      <c r="L102" s="26"/>
      <c r="M102" s="26"/>
      <c r="N102" s="26"/>
      <c r="O102" s="35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8"/>
      <c r="CH102" s="28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8"/>
      <c r="CT102" s="28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</row>
    <row r="103" ht="15.75" customHeight="1">
      <c r="G103" s="26"/>
      <c r="H103" s="26"/>
      <c r="I103" s="26"/>
      <c r="J103" s="26"/>
      <c r="K103" s="26"/>
      <c r="L103" s="26"/>
      <c r="M103" s="26"/>
      <c r="N103" s="26"/>
      <c r="O103" s="35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8"/>
      <c r="CH103" s="28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8"/>
      <c r="CT103" s="28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</row>
    <row r="104" ht="15.75" customHeight="1">
      <c r="G104" s="26"/>
      <c r="H104" s="26"/>
      <c r="I104" s="26"/>
      <c r="J104" s="26"/>
      <c r="K104" s="26"/>
      <c r="L104" s="26"/>
      <c r="M104" s="26"/>
      <c r="N104" s="26"/>
      <c r="O104" s="35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8"/>
      <c r="CH104" s="28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8"/>
      <c r="CT104" s="28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</row>
    <row r="105" ht="15.75" customHeight="1">
      <c r="G105" s="26"/>
      <c r="H105" s="26"/>
      <c r="I105" s="26"/>
      <c r="J105" s="26"/>
      <c r="K105" s="26"/>
      <c r="L105" s="26"/>
      <c r="M105" s="26"/>
      <c r="N105" s="26"/>
      <c r="O105" s="35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8"/>
      <c r="CH105" s="28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8"/>
      <c r="CT105" s="28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</row>
    <row r="106" ht="15.75" customHeight="1">
      <c r="G106" s="26"/>
      <c r="H106" s="26"/>
      <c r="I106" s="26"/>
      <c r="J106" s="26"/>
      <c r="K106" s="26"/>
      <c r="L106" s="26"/>
      <c r="M106" s="26"/>
      <c r="N106" s="26"/>
      <c r="O106" s="35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8"/>
      <c r="CH106" s="28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8"/>
      <c r="CT106" s="28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</row>
    <row r="107" ht="15.75" customHeight="1">
      <c r="G107" s="26"/>
      <c r="H107" s="26"/>
      <c r="I107" s="26"/>
      <c r="J107" s="26"/>
      <c r="K107" s="26"/>
      <c r="L107" s="26"/>
      <c r="M107" s="26"/>
      <c r="N107" s="26"/>
      <c r="O107" s="35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8"/>
      <c r="CH107" s="28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8"/>
      <c r="CT107" s="28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</row>
    <row r="108" ht="15.75" customHeight="1">
      <c r="G108" s="26"/>
      <c r="H108" s="26"/>
      <c r="I108" s="26"/>
      <c r="J108" s="26"/>
      <c r="K108" s="26"/>
      <c r="L108" s="26"/>
      <c r="M108" s="26"/>
      <c r="N108" s="26"/>
      <c r="O108" s="35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8"/>
      <c r="CH108" s="28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8"/>
      <c r="CT108" s="28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</row>
    <row r="109" ht="15.75" customHeight="1">
      <c r="G109" s="26"/>
      <c r="H109" s="26"/>
      <c r="I109" s="26"/>
      <c r="J109" s="26"/>
      <c r="K109" s="26"/>
      <c r="L109" s="26"/>
      <c r="M109" s="26"/>
      <c r="N109" s="26"/>
      <c r="O109" s="35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8"/>
      <c r="CH109" s="28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8"/>
      <c r="CT109" s="28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</row>
    <row r="110" ht="15.75" customHeight="1">
      <c r="G110" s="26"/>
      <c r="H110" s="26"/>
      <c r="I110" s="26"/>
      <c r="J110" s="26"/>
      <c r="K110" s="26"/>
      <c r="L110" s="26"/>
      <c r="M110" s="26"/>
      <c r="N110" s="26"/>
      <c r="O110" s="35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8"/>
      <c r="CH110" s="28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8"/>
      <c r="CT110" s="28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</row>
    <row r="111" ht="15.75" customHeight="1">
      <c r="G111" s="26"/>
      <c r="H111" s="26"/>
      <c r="I111" s="26"/>
      <c r="J111" s="26"/>
      <c r="K111" s="26"/>
      <c r="L111" s="26"/>
      <c r="M111" s="26"/>
      <c r="N111" s="26"/>
      <c r="O111" s="35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8"/>
      <c r="CH111" s="28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8"/>
      <c r="CT111" s="28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</row>
    <row r="112" ht="15.75" customHeight="1">
      <c r="G112" s="26"/>
      <c r="H112" s="26"/>
      <c r="I112" s="26"/>
      <c r="J112" s="26"/>
      <c r="K112" s="26"/>
      <c r="L112" s="26"/>
      <c r="M112" s="26"/>
      <c r="N112" s="26"/>
      <c r="O112" s="35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8"/>
      <c r="CH112" s="28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8"/>
      <c r="CT112" s="28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</row>
    <row r="113" ht="15.75" customHeight="1">
      <c r="G113" s="26"/>
      <c r="H113" s="26"/>
      <c r="I113" s="26"/>
      <c r="J113" s="26"/>
      <c r="K113" s="26"/>
      <c r="L113" s="26"/>
      <c r="M113" s="26"/>
      <c r="N113" s="26"/>
      <c r="O113" s="35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8"/>
      <c r="CH113" s="28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8"/>
      <c r="CT113" s="28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</row>
    <row r="114" ht="15.75" customHeight="1">
      <c r="G114" s="26"/>
      <c r="H114" s="26"/>
      <c r="I114" s="26"/>
      <c r="J114" s="26"/>
      <c r="K114" s="26"/>
      <c r="L114" s="26"/>
      <c r="M114" s="26"/>
      <c r="N114" s="26"/>
      <c r="O114" s="35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8"/>
      <c r="CH114" s="28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8"/>
      <c r="CT114" s="28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</row>
    <row r="115" ht="15.75" customHeight="1">
      <c r="G115" s="26"/>
      <c r="H115" s="26"/>
      <c r="I115" s="26"/>
      <c r="J115" s="26"/>
      <c r="K115" s="26"/>
      <c r="L115" s="26"/>
      <c r="M115" s="26"/>
      <c r="N115" s="26"/>
      <c r="O115" s="35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8"/>
      <c r="CH115" s="28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8"/>
      <c r="CT115" s="28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</row>
    <row r="116" ht="15.75" customHeight="1">
      <c r="G116" s="26"/>
      <c r="H116" s="26"/>
      <c r="I116" s="26"/>
      <c r="J116" s="26"/>
      <c r="K116" s="26"/>
      <c r="L116" s="26"/>
      <c r="M116" s="26"/>
      <c r="N116" s="26"/>
      <c r="O116" s="35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8"/>
      <c r="CH116" s="28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8"/>
      <c r="CT116" s="28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</row>
    <row r="117" ht="15.75" customHeight="1">
      <c r="G117" s="26"/>
      <c r="H117" s="26"/>
      <c r="I117" s="26"/>
      <c r="J117" s="26"/>
      <c r="K117" s="26"/>
      <c r="L117" s="26"/>
      <c r="M117" s="26"/>
      <c r="N117" s="26"/>
      <c r="O117" s="35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8"/>
      <c r="CH117" s="28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8"/>
      <c r="CT117" s="28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</row>
    <row r="118" ht="15.75" customHeight="1">
      <c r="G118" s="26"/>
      <c r="H118" s="26"/>
      <c r="I118" s="26"/>
      <c r="J118" s="26"/>
      <c r="K118" s="26"/>
      <c r="L118" s="26"/>
      <c r="M118" s="26"/>
      <c r="N118" s="26"/>
      <c r="O118" s="35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8"/>
      <c r="CH118" s="28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8"/>
      <c r="CT118" s="28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</row>
    <row r="119" ht="15.75" customHeight="1">
      <c r="G119" s="26"/>
      <c r="H119" s="26"/>
      <c r="I119" s="26"/>
      <c r="J119" s="26"/>
      <c r="K119" s="26"/>
      <c r="L119" s="26"/>
      <c r="M119" s="26"/>
      <c r="N119" s="26"/>
      <c r="O119" s="35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8"/>
      <c r="CH119" s="28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8"/>
      <c r="CT119" s="28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</row>
    <row r="120" ht="15.75" customHeight="1">
      <c r="G120" s="26"/>
      <c r="H120" s="26"/>
      <c r="I120" s="26"/>
      <c r="J120" s="26"/>
      <c r="K120" s="26"/>
      <c r="L120" s="26"/>
      <c r="M120" s="26"/>
      <c r="N120" s="26"/>
      <c r="O120" s="35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8"/>
      <c r="CH120" s="28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8"/>
      <c r="CT120" s="28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</row>
    <row r="121" ht="15.75" customHeight="1">
      <c r="G121" s="26"/>
      <c r="H121" s="26"/>
      <c r="I121" s="26"/>
      <c r="J121" s="26"/>
      <c r="K121" s="26"/>
      <c r="L121" s="26"/>
      <c r="M121" s="26"/>
      <c r="N121" s="26"/>
      <c r="O121" s="35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8"/>
      <c r="CH121" s="28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8"/>
      <c r="CT121" s="28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</row>
    <row r="122" ht="15.75" customHeight="1">
      <c r="G122" s="26"/>
      <c r="H122" s="26"/>
      <c r="I122" s="26"/>
      <c r="J122" s="26"/>
      <c r="K122" s="26"/>
      <c r="L122" s="26"/>
      <c r="M122" s="26"/>
      <c r="N122" s="26"/>
      <c r="O122" s="35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8"/>
      <c r="CH122" s="28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8"/>
      <c r="CT122" s="28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</row>
    <row r="123" ht="15.75" customHeight="1">
      <c r="G123" s="26"/>
      <c r="H123" s="26"/>
      <c r="I123" s="26"/>
      <c r="J123" s="26"/>
      <c r="K123" s="26"/>
      <c r="L123" s="26"/>
      <c r="M123" s="26"/>
      <c r="N123" s="26"/>
      <c r="O123" s="35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8"/>
      <c r="CH123" s="28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8"/>
      <c r="CT123" s="28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</row>
    <row r="124" ht="15.75" customHeight="1">
      <c r="G124" s="26"/>
      <c r="H124" s="26"/>
      <c r="I124" s="26"/>
      <c r="J124" s="26"/>
      <c r="K124" s="26"/>
      <c r="L124" s="26"/>
      <c r="M124" s="26"/>
      <c r="N124" s="26"/>
      <c r="O124" s="35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8"/>
      <c r="CH124" s="28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8"/>
      <c r="CT124" s="28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</row>
    <row r="125" ht="15.75" customHeight="1">
      <c r="G125" s="26"/>
      <c r="H125" s="26"/>
      <c r="I125" s="26"/>
      <c r="J125" s="26"/>
      <c r="K125" s="26"/>
      <c r="L125" s="26"/>
      <c r="M125" s="26"/>
      <c r="N125" s="26"/>
      <c r="O125" s="35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8"/>
      <c r="CH125" s="28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8"/>
      <c r="CT125" s="28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</row>
    <row r="126" ht="15.75" customHeight="1">
      <c r="G126" s="26"/>
      <c r="H126" s="26"/>
      <c r="I126" s="26"/>
      <c r="J126" s="26"/>
      <c r="K126" s="26"/>
      <c r="L126" s="26"/>
      <c r="M126" s="26"/>
      <c r="N126" s="26"/>
      <c r="O126" s="35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8"/>
      <c r="CH126" s="28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8"/>
      <c r="CT126" s="28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</row>
    <row r="127" ht="15.75" customHeight="1">
      <c r="G127" s="26"/>
      <c r="H127" s="26"/>
      <c r="I127" s="26"/>
      <c r="J127" s="26"/>
      <c r="K127" s="26"/>
      <c r="L127" s="26"/>
      <c r="M127" s="26"/>
      <c r="N127" s="26"/>
      <c r="O127" s="35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8"/>
      <c r="CH127" s="28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8"/>
      <c r="CT127" s="28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</row>
    <row r="128" ht="15.75" customHeight="1">
      <c r="G128" s="26"/>
      <c r="H128" s="26"/>
      <c r="I128" s="26"/>
      <c r="J128" s="26"/>
      <c r="K128" s="26"/>
      <c r="L128" s="26"/>
      <c r="M128" s="26"/>
      <c r="N128" s="26"/>
      <c r="O128" s="35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8"/>
      <c r="CH128" s="28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8"/>
      <c r="CT128" s="28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</row>
    <row r="129" ht="15.75" customHeight="1">
      <c r="G129" s="26"/>
      <c r="H129" s="26"/>
      <c r="I129" s="26"/>
      <c r="J129" s="26"/>
      <c r="K129" s="26"/>
      <c r="L129" s="26"/>
      <c r="M129" s="26"/>
      <c r="N129" s="26"/>
      <c r="O129" s="35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8"/>
      <c r="CH129" s="28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8"/>
      <c r="CT129" s="28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</row>
    <row r="130" ht="15.75" customHeight="1">
      <c r="G130" s="26"/>
      <c r="H130" s="26"/>
      <c r="I130" s="26"/>
      <c r="J130" s="26"/>
      <c r="K130" s="26"/>
      <c r="L130" s="26"/>
      <c r="M130" s="26"/>
      <c r="N130" s="26"/>
      <c r="O130" s="35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8"/>
      <c r="CH130" s="28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8"/>
      <c r="CT130" s="28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</row>
    <row r="131" ht="15.75" customHeight="1">
      <c r="G131" s="26"/>
      <c r="H131" s="26"/>
      <c r="I131" s="26"/>
      <c r="J131" s="26"/>
      <c r="K131" s="26"/>
      <c r="L131" s="26"/>
      <c r="M131" s="26"/>
      <c r="N131" s="26"/>
      <c r="O131" s="35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8"/>
      <c r="CH131" s="28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8"/>
      <c r="CT131" s="28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</row>
    <row r="132" ht="15.75" customHeight="1">
      <c r="G132" s="26"/>
      <c r="H132" s="26"/>
      <c r="I132" s="26"/>
      <c r="J132" s="26"/>
      <c r="K132" s="26"/>
      <c r="L132" s="26"/>
      <c r="M132" s="26"/>
      <c r="N132" s="26"/>
      <c r="O132" s="35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8"/>
      <c r="CH132" s="28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8"/>
      <c r="CT132" s="28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</row>
    <row r="133" ht="15.75" customHeight="1">
      <c r="G133" s="26"/>
      <c r="H133" s="26"/>
      <c r="I133" s="26"/>
      <c r="J133" s="26"/>
      <c r="K133" s="26"/>
      <c r="L133" s="26"/>
      <c r="M133" s="26"/>
      <c r="N133" s="26"/>
      <c r="O133" s="35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8"/>
      <c r="CH133" s="28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8"/>
      <c r="CT133" s="28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</row>
    <row r="134" ht="15.75" customHeight="1">
      <c r="G134" s="26"/>
      <c r="H134" s="26"/>
      <c r="I134" s="26"/>
      <c r="J134" s="26"/>
      <c r="K134" s="26"/>
      <c r="L134" s="26"/>
      <c r="M134" s="26"/>
      <c r="N134" s="26"/>
      <c r="O134" s="35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8"/>
      <c r="CH134" s="28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8"/>
      <c r="CT134" s="28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</row>
    <row r="135" ht="15.75" customHeight="1">
      <c r="G135" s="26"/>
      <c r="H135" s="26"/>
      <c r="I135" s="26"/>
      <c r="J135" s="26"/>
      <c r="K135" s="26"/>
      <c r="L135" s="26"/>
      <c r="M135" s="26"/>
      <c r="N135" s="26"/>
      <c r="O135" s="35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8"/>
      <c r="CH135" s="28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8"/>
      <c r="CT135" s="28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</row>
    <row r="136" ht="15.75" customHeight="1">
      <c r="G136" s="26"/>
      <c r="H136" s="26"/>
      <c r="I136" s="26"/>
      <c r="J136" s="26"/>
      <c r="K136" s="26"/>
      <c r="L136" s="26"/>
      <c r="M136" s="26"/>
      <c r="N136" s="26"/>
      <c r="O136" s="35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8"/>
      <c r="CH136" s="28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8"/>
      <c r="CT136" s="28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</row>
    <row r="137" ht="15.75" customHeight="1">
      <c r="G137" s="26"/>
      <c r="H137" s="26"/>
      <c r="I137" s="26"/>
      <c r="J137" s="26"/>
      <c r="K137" s="26"/>
      <c r="L137" s="26"/>
      <c r="M137" s="26"/>
      <c r="N137" s="26"/>
      <c r="O137" s="35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8"/>
      <c r="CH137" s="28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8"/>
      <c r="CT137" s="28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</row>
    <row r="138" ht="15.75" customHeight="1">
      <c r="G138" s="26"/>
      <c r="H138" s="26"/>
      <c r="I138" s="26"/>
      <c r="J138" s="26"/>
      <c r="K138" s="26"/>
      <c r="L138" s="26"/>
      <c r="M138" s="26"/>
      <c r="N138" s="26"/>
      <c r="O138" s="35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8"/>
      <c r="CH138" s="28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8"/>
      <c r="CT138" s="28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</row>
    <row r="139" ht="15.75" customHeight="1">
      <c r="G139" s="26"/>
      <c r="H139" s="26"/>
      <c r="I139" s="26"/>
      <c r="J139" s="26"/>
      <c r="K139" s="26"/>
      <c r="L139" s="26"/>
      <c r="M139" s="26"/>
      <c r="N139" s="26"/>
      <c r="O139" s="35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8"/>
      <c r="CH139" s="28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8"/>
      <c r="CT139" s="28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</row>
    <row r="140" ht="15.75" customHeight="1">
      <c r="G140" s="26"/>
      <c r="H140" s="26"/>
      <c r="I140" s="26"/>
      <c r="J140" s="26"/>
      <c r="K140" s="26"/>
      <c r="L140" s="26"/>
      <c r="M140" s="26"/>
      <c r="N140" s="26"/>
      <c r="O140" s="35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8"/>
      <c r="CH140" s="28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8"/>
      <c r="CT140" s="28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</row>
    <row r="141" ht="15.75" customHeight="1">
      <c r="G141" s="26"/>
      <c r="H141" s="26"/>
      <c r="I141" s="26"/>
      <c r="J141" s="26"/>
      <c r="K141" s="26"/>
      <c r="L141" s="26"/>
      <c r="M141" s="26"/>
      <c r="N141" s="26"/>
      <c r="O141" s="35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8"/>
      <c r="CH141" s="28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8"/>
      <c r="CT141" s="28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</row>
    <row r="142" ht="15.75" customHeight="1">
      <c r="G142" s="26"/>
      <c r="H142" s="26"/>
      <c r="I142" s="26"/>
      <c r="J142" s="26"/>
      <c r="K142" s="26"/>
      <c r="L142" s="26"/>
      <c r="M142" s="26"/>
      <c r="N142" s="26"/>
      <c r="O142" s="35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8"/>
      <c r="CH142" s="28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8"/>
      <c r="CT142" s="28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</row>
    <row r="143" ht="15.75" customHeight="1">
      <c r="G143" s="26"/>
      <c r="H143" s="26"/>
      <c r="I143" s="26"/>
      <c r="J143" s="26"/>
      <c r="K143" s="26"/>
      <c r="L143" s="26"/>
      <c r="M143" s="26"/>
      <c r="N143" s="26"/>
      <c r="O143" s="35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8"/>
      <c r="CH143" s="28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8"/>
      <c r="CT143" s="28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</row>
    <row r="144" ht="15.75" customHeight="1">
      <c r="G144" s="26"/>
      <c r="H144" s="26"/>
      <c r="I144" s="26"/>
      <c r="J144" s="26"/>
      <c r="K144" s="26"/>
      <c r="L144" s="26"/>
      <c r="M144" s="26"/>
      <c r="N144" s="26"/>
      <c r="O144" s="35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8"/>
      <c r="CH144" s="28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8"/>
      <c r="CT144" s="28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</row>
    <row r="145" ht="15.75" customHeight="1">
      <c r="G145" s="26"/>
      <c r="H145" s="26"/>
      <c r="I145" s="26"/>
      <c r="J145" s="26"/>
      <c r="K145" s="26"/>
      <c r="L145" s="26"/>
      <c r="M145" s="26"/>
      <c r="N145" s="26"/>
      <c r="O145" s="35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8"/>
      <c r="CH145" s="28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8"/>
      <c r="CT145" s="28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</row>
    <row r="146" ht="15.75" customHeight="1">
      <c r="G146" s="26"/>
      <c r="H146" s="26"/>
      <c r="I146" s="26"/>
      <c r="J146" s="26"/>
      <c r="K146" s="26"/>
      <c r="L146" s="26"/>
      <c r="M146" s="26"/>
      <c r="N146" s="26"/>
      <c r="O146" s="35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8"/>
      <c r="CH146" s="28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8"/>
      <c r="CT146" s="28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</row>
    <row r="147" ht="15.75" customHeight="1">
      <c r="G147" s="26"/>
      <c r="H147" s="26"/>
      <c r="I147" s="26"/>
      <c r="J147" s="26"/>
      <c r="K147" s="26"/>
      <c r="L147" s="26"/>
      <c r="M147" s="26"/>
      <c r="N147" s="26"/>
      <c r="O147" s="35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8"/>
      <c r="CH147" s="28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8"/>
      <c r="CT147" s="28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</row>
    <row r="148" ht="15.75" customHeight="1">
      <c r="G148" s="26"/>
      <c r="H148" s="26"/>
      <c r="I148" s="26"/>
      <c r="J148" s="26"/>
      <c r="K148" s="26"/>
      <c r="L148" s="26"/>
      <c r="M148" s="26"/>
      <c r="N148" s="26"/>
      <c r="O148" s="35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8"/>
      <c r="CH148" s="28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8"/>
      <c r="CT148" s="28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</row>
    <row r="149" ht="15.75" customHeight="1">
      <c r="G149" s="26"/>
      <c r="H149" s="26"/>
      <c r="I149" s="26"/>
      <c r="J149" s="26"/>
      <c r="K149" s="26"/>
      <c r="L149" s="26"/>
      <c r="M149" s="26"/>
      <c r="N149" s="26"/>
      <c r="O149" s="35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8"/>
      <c r="CH149" s="28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8"/>
      <c r="CT149" s="28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</row>
    <row r="150" ht="15.75" customHeight="1">
      <c r="G150" s="26"/>
      <c r="H150" s="26"/>
      <c r="I150" s="26"/>
      <c r="J150" s="26"/>
      <c r="K150" s="26"/>
      <c r="L150" s="26"/>
      <c r="M150" s="26"/>
      <c r="N150" s="26"/>
      <c r="O150" s="35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8"/>
      <c r="CH150" s="28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8"/>
      <c r="CT150" s="28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</row>
    <row r="151" ht="15.75" customHeight="1">
      <c r="G151" s="26"/>
      <c r="H151" s="26"/>
      <c r="I151" s="26"/>
      <c r="J151" s="26"/>
      <c r="K151" s="26"/>
      <c r="L151" s="26"/>
      <c r="M151" s="26"/>
      <c r="N151" s="26"/>
      <c r="O151" s="35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8"/>
      <c r="CH151" s="28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8"/>
      <c r="CT151" s="28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</row>
    <row r="152" ht="15.75" customHeight="1">
      <c r="G152" s="26"/>
      <c r="H152" s="26"/>
      <c r="I152" s="26"/>
      <c r="J152" s="26"/>
      <c r="K152" s="26"/>
      <c r="L152" s="26"/>
      <c r="M152" s="26"/>
      <c r="N152" s="26"/>
      <c r="O152" s="35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8"/>
      <c r="CH152" s="28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8"/>
      <c r="CT152" s="28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</row>
    <row r="153" ht="15.75" customHeight="1">
      <c r="G153" s="26"/>
      <c r="H153" s="26"/>
      <c r="I153" s="26"/>
      <c r="J153" s="26"/>
      <c r="K153" s="26"/>
      <c r="L153" s="26"/>
      <c r="M153" s="26"/>
      <c r="N153" s="26"/>
      <c r="O153" s="35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8"/>
      <c r="CH153" s="28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8"/>
      <c r="CT153" s="28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</row>
    <row r="154" ht="15.75" customHeight="1">
      <c r="G154" s="26"/>
      <c r="H154" s="26"/>
      <c r="I154" s="26"/>
      <c r="J154" s="26"/>
      <c r="K154" s="26"/>
      <c r="L154" s="26"/>
      <c r="M154" s="26"/>
      <c r="N154" s="26"/>
      <c r="O154" s="35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8"/>
      <c r="CH154" s="28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8"/>
      <c r="CT154" s="28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</row>
    <row r="155" ht="15.75" customHeight="1">
      <c r="G155" s="26"/>
      <c r="H155" s="26"/>
      <c r="I155" s="26"/>
      <c r="J155" s="26"/>
      <c r="K155" s="26"/>
      <c r="L155" s="26"/>
      <c r="M155" s="26"/>
      <c r="N155" s="26"/>
      <c r="O155" s="35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8"/>
      <c r="CH155" s="28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8"/>
      <c r="CT155" s="28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</row>
    <row r="156" ht="15.75" customHeight="1">
      <c r="G156" s="26"/>
      <c r="H156" s="26"/>
      <c r="I156" s="26"/>
      <c r="J156" s="26"/>
      <c r="K156" s="26"/>
      <c r="L156" s="26"/>
      <c r="M156" s="26"/>
      <c r="N156" s="26"/>
      <c r="O156" s="35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8"/>
      <c r="CH156" s="28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8"/>
      <c r="CT156" s="28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</row>
    <row r="157" ht="15.75" customHeight="1">
      <c r="G157" s="26"/>
      <c r="H157" s="26"/>
      <c r="I157" s="26"/>
      <c r="J157" s="26"/>
      <c r="K157" s="26"/>
      <c r="L157" s="26"/>
      <c r="M157" s="26"/>
      <c r="N157" s="26"/>
      <c r="O157" s="35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8"/>
      <c r="CH157" s="28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8"/>
      <c r="CT157" s="28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</row>
    <row r="158" ht="15.75" customHeight="1">
      <c r="G158" s="26"/>
      <c r="H158" s="26"/>
      <c r="I158" s="26"/>
      <c r="J158" s="26"/>
      <c r="K158" s="26"/>
      <c r="L158" s="26"/>
      <c r="M158" s="26"/>
      <c r="N158" s="26"/>
      <c r="O158" s="35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8"/>
      <c r="CH158" s="28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8"/>
      <c r="CT158" s="28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</row>
    <row r="159" ht="15.75" customHeight="1">
      <c r="G159" s="26"/>
      <c r="H159" s="26"/>
      <c r="I159" s="26"/>
      <c r="J159" s="26"/>
      <c r="K159" s="26"/>
      <c r="L159" s="26"/>
      <c r="M159" s="26"/>
      <c r="N159" s="26"/>
      <c r="O159" s="35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8"/>
      <c r="CH159" s="28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8"/>
      <c r="CT159" s="28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</row>
    <row r="160" ht="15.75" customHeight="1">
      <c r="G160" s="26"/>
      <c r="H160" s="26"/>
      <c r="I160" s="26"/>
      <c r="J160" s="26"/>
      <c r="K160" s="26"/>
      <c r="L160" s="26"/>
      <c r="M160" s="26"/>
      <c r="N160" s="26"/>
      <c r="O160" s="35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8"/>
      <c r="CH160" s="28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8"/>
      <c r="CT160" s="28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</row>
    <row r="161" ht="15.75" customHeight="1">
      <c r="G161" s="26"/>
      <c r="H161" s="26"/>
      <c r="I161" s="26"/>
      <c r="J161" s="26"/>
      <c r="K161" s="26"/>
      <c r="L161" s="26"/>
      <c r="M161" s="26"/>
      <c r="N161" s="26"/>
      <c r="O161" s="35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8"/>
      <c r="CH161" s="28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8"/>
      <c r="CT161" s="28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</row>
    <row r="162" ht="15.75" customHeight="1">
      <c r="G162" s="26"/>
      <c r="H162" s="26"/>
      <c r="I162" s="26"/>
      <c r="J162" s="26"/>
      <c r="K162" s="26"/>
      <c r="L162" s="26"/>
      <c r="M162" s="26"/>
      <c r="N162" s="26"/>
      <c r="O162" s="35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8"/>
      <c r="CH162" s="28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8"/>
      <c r="CT162" s="28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</row>
    <row r="163" ht="15.75" customHeight="1">
      <c r="G163" s="26"/>
      <c r="H163" s="26"/>
      <c r="I163" s="26"/>
      <c r="J163" s="26"/>
      <c r="K163" s="26"/>
      <c r="L163" s="26"/>
      <c r="M163" s="26"/>
      <c r="N163" s="26"/>
      <c r="O163" s="35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8"/>
      <c r="CH163" s="28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8"/>
      <c r="CT163" s="28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</row>
    <row r="164" ht="15.75" customHeight="1">
      <c r="G164" s="26"/>
      <c r="H164" s="26"/>
      <c r="I164" s="26"/>
      <c r="J164" s="26"/>
      <c r="K164" s="26"/>
      <c r="L164" s="26"/>
      <c r="M164" s="26"/>
      <c r="N164" s="26"/>
      <c r="O164" s="35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8"/>
      <c r="CH164" s="28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8"/>
      <c r="CT164" s="28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</row>
    <row r="165" ht="15.75" customHeight="1">
      <c r="G165" s="26"/>
      <c r="H165" s="26"/>
      <c r="I165" s="26"/>
      <c r="J165" s="26"/>
      <c r="K165" s="26"/>
      <c r="L165" s="26"/>
      <c r="M165" s="26"/>
      <c r="N165" s="26"/>
      <c r="O165" s="35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8"/>
      <c r="CH165" s="28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8"/>
      <c r="CT165" s="28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</row>
    <row r="166" ht="15.75" customHeight="1">
      <c r="G166" s="26"/>
      <c r="H166" s="26"/>
      <c r="I166" s="26"/>
      <c r="J166" s="26"/>
      <c r="K166" s="26"/>
      <c r="L166" s="26"/>
      <c r="M166" s="26"/>
      <c r="N166" s="26"/>
      <c r="O166" s="35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8"/>
      <c r="CH166" s="28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8"/>
      <c r="CT166" s="28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</row>
    <row r="167" ht="15.75" customHeight="1">
      <c r="G167" s="26"/>
      <c r="H167" s="26"/>
      <c r="I167" s="26"/>
      <c r="J167" s="26"/>
      <c r="K167" s="26"/>
      <c r="L167" s="26"/>
      <c r="M167" s="26"/>
      <c r="N167" s="26"/>
      <c r="O167" s="35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8"/>
      <c r="CH167" s="28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8"/>
      <c r="CT167" s="28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</row>
    <row r="168" ht="15.75" customHeight="1">
      <c r="G168" s="26"/>
      <c r="H168" s="26"/>
      <c r="I168" s="26"/>
      <c r="J168" s="26"/>
      <c r="K168" s="26"/>
      <c r="L168" s="26"/>
      <c r="M168" s="26"/>
      <c r="N168" s="26"/>
      <c r="O168" s="35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8"/>
      <c r="CH168" s="28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8"/>
      <c r="CT168" s="28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</row>
    <row r="169" ht="15.75" customHeight="1">
      <c r="G169" s="26"/>
      <c r="H169" s="26"/>
      <c r="I169" s="26"/>
      <c r="J169" s="26"/>
      <c r="K169" s="26"/>
      <c r="L169" s="26"/>
      <c r="M169" s="26"/>
      <c r="N169" s="26"/>
      <c r="O169" s="35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8"/>
      <c r="CH169" s="28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8"/>
      <c r="CT169" s="28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</row>
    <row r="170" ht="15.75" customHeight="1">
      <c r="G170" s="26"/>
      <c r="H170" s="26"/>
      <c r="I170" s="26"/>
      <c r="J170" s="26"/>
      <c r="K170" s="26"/>
      <c r="L170" s="26"/>
      <c r="M170" s="26"/>
      <c r="N170" s="26"/>
      <c r="O170" s="35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8"/>
      <c r="CH170" s="28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8"/>
      <c r="CT170" s="28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</row>
    <row r="171" ht="15.75" customHeight="1">
      <c r="G171" s="26"/>
      <c r="H171" s="26"/>
      <c r="I171" s="26"/>
      <c r="J171" s="26"/>
      <c r="K171" s="26"/>
      <c r="L171" s="26"/>
      <c r="M171" s="26"/>
      <c r="N171" s="26"/>
      <c r="O171" s="35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8"/>
      <c r="CH171" s="28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8"/>
      <c r="CT171" s="28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</row>
    <row r="172" ht="15.75" customHeight="1">
      <c r="G172" s="26"/>
      <c r="H172" s="26"/>
      <c r="I172" s="26"/>
      <c r="J172" s="26"/>
      <c r="K172" s="26"/>
      <c r="L172" s="26"/>
      <c r="M172" s="26"/>
      <c r="N172" s="26"/>
      <c r="O172" s="35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8"/>
      <c r="CH172" s="28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8"/>
      <c r="CT172" s="28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</row>
    <row r="173" ht="15.75" customHeight="1">
      <c r="G173" s="26"/>
      <c r="H173" s="26"/>
      <c r="I173" s="26"/>
      <c r="J173" s="26"/>
      <c r="K173" s="26"/>
      <c r="L173" s="26"/>
      <c r="M173" s="26"/>
      <c r="N173" s="26"/>
      <c r="O173" s="35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8"/>
      <c r="CH173" s="28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8"/>
      <c r="CT173" s="28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</row>
    <row r="174" ht="15.75" customHeight="1">
      <c r="G174" s="26"/>
      <c r="H174" s="26"/>
      <c r="I174" s="26"/>
      <c r="J174" s="26"/>
      <c r="K174" s="26"/>
      <c r="L174" s="26"/>
      <c r="M174" s="26"/>
      <c r="N174" s="26"/>
      <c r="O174" s="35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8"/>
      <c r="CH174" s="28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8"/>
      <c r="CT174" s="28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</row>
    <row r="175" ht="15.75" customHeight="1">
      <c r="G175" s="26"/>
      <c r="H175" s="26"/>
      <c r="I175" s="26"/>
      <c r="J175" s="26"/>
      <c r="K175" s="26"/>
      <c r="L175" s="26"/>
      <c r="M175" s="26"/>
      <c r="N175" s="26"/>
      <c r="O175" s="35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8"/>
      <c r="CH175" s="28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8"/>
      <c r="CT175" s="28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</row>
    <row r="176" ht="15.75" customHeight="1">
      <c r="G176" s="26"/>
      <c r="H176" s="26"/>
      <c r="I176" s="26"/>
      <c r="J176" s="26"/>
      <c r="K176" s="26"/>
      <c r="L176" s="26"/>
      <c r="M176" s="26"/>
      <c r="N176" s="26"/>
      <c r="O176" s="35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8"/>
      <c r="CH176" s="28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8"/>
      <c r="CT176" s="28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</row>
    <row r="177" ht="15.75" customHeight="1">
      <c r="G177" s="26"/>
      <c r="H177" s="26"/>
      <c r="I177" s="26"/>
      <c r="J177" s="26"/>
      <c r="K177" s="26"/>
      <c r="L177" s="26"/>
      <c r="M177" s="26"/>
      <c r="N177" s="26"/>
      <c r="O177" s="35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8"/>
      <c r="CH177" s="28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8"/>
      <c r="CT177" s="28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</row>
    <row r="178" ht="15.75" customHeight="1">
      <c r="G178" s="26"/>
      <c r="H178" s="26"/>
      <c r="I178" s="26"/>
      <c r="J178" s="26"/>
      <c r="K178" s="26"/>
      <c r="L178" s="26"/>
      <c r="M178" s="26"/>
      <c r="N178" s="26"/>
      <c r="O178" s="35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8"/>
      <c r="CH178" s="28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8"/>
      <c r="CT178" s="28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</row>
    <row r="179" ht="15.75" customHeight="1">
      <c r="G179" s="26"/>
      <c r="H179" s="26"/>
      <c r="I179" s="26"/>
      <c r="J179" s="26"/>
      <c r="K179" s="26"/>
      <c r="L179" s="26"/>
      <c r="M179" s="26"/>
      <c r="N179" s="26"/>
      <c r="O179" s="35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8"/>
      <c r="CH179" s="28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8"/>
      <c r="CT179" s="28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</row>
    <row r="180" ht="15.75" customHeight="1">
      <c r="G180" s="26"/>
      <c r="H180" s="26"/>
      <c r="I180" s="26"/>
      <c r="J180" s="26"/>
      <c r="K180" s="26"/>
      <c r="L180" s="26"/>
      <c r="M180" s="26"/>
      <c r="N180" s="26"/>
      <c r="O180" s="35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8"/>
      <c r="CH180" s="28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8"/>
      <c r="CT180" s="28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</row>
    <row r="181" ht="15.75" customHeight="1">
      <c r="G181" s="26"/>
      <c r="H181" s="26"/>
      <c r="I181" s="26"/>
      <c r="J181" s="26"/>
      <c r="K181" s="26"/>
      <c r="L181" s="26"/>
      <c r="M181" s="26"/>
      <c r="N181" s="26"/>
      <c r="O181" s="35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8"/>
      <c r="CH181" s="28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8"/>
      <c r="CT181" s="28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</row>
    <row r="182" ht="15.75" customHeight="1">
      <c r="G182" s="26"/>
      <c r="H182" s="26"/>
      <c r="I182" s="26"/>
      <c r="J182" s="26"/>
      <c r="K182" s="26"/>
      <c r="L182" s="26"/>
      <c r="M182" s="26"/>
      <c r="N182" s="26"/>
      <c r="O182" s="35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8"/>
      <c r="CH182" s="28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8"/>
      <c r="CT182" s="28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</row>
    <row r="183" ht="15.75" customHeight="1">
      <c r="G183" s="26"/>
      <c r="H183" s="26"/>
      <c r="I183" s="26"/>
      <c r="J183" s="26"/>
      <c r="K183" s="26"/>
      <c r="L183" s="26"/>
      <c r="M183" s="26"/>
      <c r="N183" s="26"/>
      <c r="O183" s="35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8"/>
      <c r="CH183" s="28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8"/>
      <c r="CT183" s="28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</row>
    <row r="184" ht="15.75" customHeight="1">
      <c r="G184" s="26"/>
      <c r="H184" s="26"/>
      <c r="I184" s="26"/>
      <c r="J184" s="26"/>
      <c r="K184" s="26"/>
      <c r="L184" s="26"/>
      <c r="M184" s="26"/>
      <c r="N184" s="26"/>
      <c r="O184" s="35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8"/>
      <c r="CH184" s="28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8"/>
      <c r="CT184" s="28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</row>
    <row r="185" ht="15.75" customHeight="1">
      <c r="G185" s="26"/>
      <c r="H185" s="26"/>
      <c r="I185" s="26"/>
      <c r="J185" s="26"/>
      <c r="K185" s="26"/>
      <c r="L185" s="26"/>
      <c r="M185" s="26"/>
      <c r="N185" s="26"/>
      <c r="O185" s="35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8"/>
      <c r="CH185" s="28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8"/>
      <c r="CT185" s="28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</row>
    <row r="186" ht="15.75" customHeight="1">
      <c r="G186" s="26"/>
      <c r="H186" s="26"/>
      <c r="I186" s="26"/>
      <c r="J186" s="26"/>
      <c r="K186" s="26"/>
      <c r="L186" s="26"/>
      <c r="M186" s="26"/>
      <c r="N186" s="26"/>
      <c r="O186" s="35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8"/>
      <c r="CH186" s="28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8"/>
      <c r="CT186" s="28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</row>
    <row r="187" ht="15.75" customHeight="1">
      <c r="O187" s="35"/>
      <c r="CG187" s="36"/>
      <c r="CH187" s="36"/>
      <c r="CS187" s="36"/>
      <c r="CT187" s="36"/>
    </row>
    <row r="188" ht="15.75" customHeight="1">
      <c r="O188" s="35"/>
      <c r="CG188" s="36"/>
      <c r="CH188" s="36"/>
      <c r="CS188" s="36"/>
      <c r="CT188" s="36"/>
    </row>
    <row r="189" ht="15.75" customHeight="1">
      <c r="O189" s="35"/>
      <c r="CG189" s="36"/>
      <c r="CH189" s="36"/>
      <c r="CS189" s="36"/>
      <c r="CT189" s="36"/>
    </row>
    <row r="190" ht="15.75" customHeight="1">
      <c r="O190" s="35"/>
      <c r="CG190" s="36"/>
      <c r="CH190" s="36"/>
      <c r="CS190" s="36"/>
      <c r="CT190" s="36"/>
    </row>
    <row r="191" ht="15.75" customHeight="1">
      <c r="O191" s="35"/>
      <c r="CG191" s="36"/>
      <c r="CH191" s="36"/>
      <c r="CS191" s="36"/>
      <c r="CT191" s="36"/>
    </row>
    <row r="192" ht="15.75" customHeight="1">
      <c r="O192" s="35"/>
      <c r="CG192" s="36"/>
      <c r="CH192" s="36"/>
      <c r="CS192" s="36"/>
      <c r="CT192" s="36"/>
    </row>
    <row r="193" ht="15.75" customHeight="1">
      <c r="O193" s="35"/>
      <c r="CG193" s="36"/>
      <c r="CH193" s="36"/>
      <c r="CS193" s="36"/>
      <c r="CT193" s="36"/>
    </row>
    <row r="194" ht="15.75" customHeight="1">
      <c r="O194" s="35"/>
      <c r="CG194" s="36"/>
      <c r="CH194" s="36"/>
      <c r="CS194" s="36"/>
      <c r="CT194" s="36"/>
    </row>
    <row r="195" ht="15.75" customHeight="1">
      <c r="O195" s="35"/>
      <c r="CG195" s="36"/>
      <c r="CH195" s="36"/>
      <c r="CS195" s="36"/>
      <c r="CT195" s="36"/>
    </row>
    <row r="196" ht="15.75" customHeight="1">
      <c r="O196" s="35"/>
      <c r="CG196" s="36"/>
      <c r="CH196" s="36"/>
      <c r="CS196" s="36"/>
      <c r="CT196" s="36"/>
    </row>
    <row r="197" ht="15.75" customHeight="1">
      <c r="O197" s="35"/>
      <c r="CG197" s="36"/>
      <c r="CH197" s="36"/>
      <c r="CS197" s="36"/>
      <c r="CT197" s="36"/>
    </row>
    <row r="198" ht="15.75" customHeight="1">
      <c r="O198" s="35"/>
      <c r="CG198" s="36"/>
      <c r="CH198" s="36"/>
      <c r="CS198" s="36"/>
      <c r="CT198" s="36"/>
    </row>
    <row r="199" ht="15.75" customHeight="1">
      <c r="O199" s="35"/>
      <c r="CG199" s="36"/>
      <c r="CH199" s="36"/>
      <c r="CS199" s="36"/>
      <c r="CT199" s="36"/>
    </row>
    <row r="200" ht="15.75" customHeight="1">
      <c r="O200" s="35"/>
      <c r="CG200" s="36"/>
      <c r="CH200" s="36"/>
      <c r="CS200" s="36"/>
      <c r="CT200" s="36"/>
    </row>
    <row r="201" ht="15.75" customHeight="1">
      <c r="O201" s="35"/>
      <c r="CG201" s="36"/>
      <c r="CH201" s="36"/>
      <c r="CS201" s="36"/>
      <c r="CT201" s="36"/>
    </row>
    <row r="202" ht="15.75" customHeight="1">
      <c r="O202" s="35"/>
      <c r="CG202" s="36"/>
      <c r="CH202" s="36"/>
      <c r="CS202" s="36"/>
      <c r="CT202" s="36"/>
    </row>
    <row r="203" ht="15.75" customHeight="1">
      <c r="O203" s="35"/>
      <c r="CG203" s="36"/>
      <c r="CH203" s="36"/>
      <c r="CS203" s="36"/>
      <c r="CT203" s="36"/>
    </row>
    <row r="204" ht="15.75" customHeight="1">
      <c r="O204" s="35"/>
      <c r="CG204" s="36"/>
      <c r="CH204" s="36"/>
      <c r="CS204" s="36"/>
      <c r="CT204" s="36"/>
    </row>
    <row r="205" ht="15.75" customHeight="1">
      <c r="O205" s="35"/>
      <c r="CG205" s="36"/>
      <c r="CH205" s="36"/>
      <c r="CS205" s="36"/>
      <c r="CT205" s="36"/>
    </row>
    <row r="206" ht="15.75" customHeight="1">
      <c r="O206" s="35"/>
      <c r="CG206" s="36"/>
      <c r="CH206" s="36"/>
      <c r="CS206" s="36"/>
      <c r="CT206" s="36"/>
    </row>
    <row r="207" ht="15.75" customHeight="1">
      <c r="O207" s="35"/>
      <c r="CG207" s="36"/>
      <c r="CH207" s="36"/>
      <c r="CS207" s="36"/>
      <c r="CT207" s="36"/>
    </row>
    <row r="208" ht="15.75" customHeight="1">
      <c r="O208" s="35"/>
      <c r="CG208" s="36"/>
      <c r="CH208" s="36"/>
      <c r="CS208" s="36"/>
      <c r="CT208" s="36"/>
    </row>
    <row r="209" ht="15.75" customHeight="1">
      <c r="O209" s="35"/>
      <c r="CG209" s="36"/>
      <c r="CH209" s="36"/>
      <c r="CS209" s="36"/>
      <c r="CT209" s="36"/>
    </row>
    <row r="210" ht="15.75" customHeight="1">
      <c r="O210" s="35"/>
      <c r="CG210" s="36"/>
      <c r="CH210" s="36"/>
      <c r="CS210" s="36"/>
      <c r="CT210" s="36"/>
    </row>
    <row r="211" ht="15.75" customHeight="1">
      <c r="O211" s="35"/>
      <c r="CG211" s="36"/>
      <c r="CH211" s="36"/>
      <c r="CS211" s="36"/>
      <c r="CT211" s="36"/>
    </row>
    <row r="212" ht="15.75" customHeight="1">
      <c r="O212" s="35"/>
      <c r="CG212" s="36"/>
      <c r="CH212" s="36"/>
      <c r="CS212" s="36"/>
      <c r="CT212" s="36"/>
    </row>
    <row r="213" ht="15.75" customHeight="1">
      <c r="O213" s="35"/>
      <c r="CG213" s="36"/>
      <c r="CH213" s="36"/>
      <c r="CS213" s="36"/>
      <c r="CT213" s="36"/>
    </row>
    <row r="214" ht="15.75" customHeight="1">
      <c r="O214" s="35"/>
      <c r="CG214" s="36"/>
      <c r="CH214" s="36"/>
      <c r="CS214" s="36"/>
      <c r="CT214" s="36"/>
    </row>
    <row r="215" ht="15.75" customHeight="1">
      <c r="O215" s="35"/>
      <c r="CG215" s="36"/>
      <c r="CH215" s="36"/>
      <c r="CS215" s="36"/>
      <c r="CT215" s="36"/>
    </row>
    <row r="216" ht="15.75" customHeight="1">
      <c r="O216" s="35"/>
      <c r="CG216" s="36"/>
      <c r="CH216" s="36"/>
      <c r="CS216" s="36"/>
      <c r="CT216" s="36"/>
    </row>
    <row r="217" ht="15.75" customHeight="1">
      <c r="O217" s="35"/>
      <c r="CG217" s="36"/>
      <c r="CH217" s="36"/>
      <c r="CS217" s="36"/>
      <c r="CT217" s="36"/>
    </row>
    <row r="218" ht="15.75" customHeight="1">
      <c r="O218" s="35"/>
      <c r="CG218" s="36"/>
      <c r="CH218" s="36"/>
      <c r="CS218" s="36"/>
      <c r="CT218" s="36"/>
    </row>
    <row r="219" ht="15.75" customHeight="1">
      <c r="O219" s="35"/>
      <c r="CG219" s="36"/>
      <c r="CH219" s="36"/>
      <c r="CS219" s="36"/>
      <c r="CT219" s="36"/>
    </row>
    <row r="220" ht="15.75" customHeight="1">
      <c r="O220" s="35"/>
      <c r="CG220" s="36"/>
      <c r="CH220" s="36"/>
      <c r="CS220" s="36"/>
      <c r="CT220" s="36"/>
    </row>
    <row r="221" ht="15.75" customHeight="1">
      <c r="O221" s="35"/>
      <c r="CG221" s="36"/>
      <c r="CH221" s="36"/>
      <c r="CS221" s="36"/>
      <c r="CT221" s="36"/>
    </row>
    <row r="222" ht="15.75" customHeight="1">
      <c r="O222" s="35"/>
      <c r="CG222" s="36"/>
      <c r="CH222" s="36"/>
      <c r="CS222" s="36"/>
      <c r="CT222" s="36"/>
    </row>
    <row r="223" ht="15.75" customHeight="1">
      <c r="O223" s="35"/>
      <c r="CG223" s="36"/>
      <c r="CH223" s="36"/>
      <c r="CS223" s="36"/>
      <c r="CT223" s="36"/>
    </row>
    <row r="224" ht="15.75" customHeight="1">
      <c r="O224" s="35"/>
      <c r="CG224" s="36"/>
      <c r="CH224" s="36"/>
      <c r="CS224" s="36"/>
      <c r="CT224" s="36"/>
    </row>
    <row r="225" ht="15.75" customHeight="1">
      <c r="O225" s="35"/>
      <c r="CG225" s="36"/>
      <c r="CH225" s="36"/>
      <c r="CS225" s="36"/>
      <c r="CT225" s="36"/>
    </row>
    <row r="226" ht="15.75" customHeight="1">
      <c r="O226" s="35"/>
      <c r="CG226" s="36"/>
      <c r="CH226" s="36"/>
      <c r="CS226" s="36"/>
      <c r="CT226" s="36"/>
    </row>
    <row r="227" ht="15.75" customHeight="1">
      <c r="O227" s="35"/>
      <c r="CG227" s="36"/>
      <c r="CH227" s="36"/>
      <c r="CS227" s="36"/>
      <c r="CT227" s="36"/>
    </row>
    <row r="228" ht="15.75" customHeight="1">
      <c r="O228" s="35"/>
      <c r="CG228" s="36"/>
      <c r="CH228" s="36"/>
      <c r="CS228" s="36"/>
      <c r="CT228" s="36"/>
    </row>
    <row r="229" ht="15.75" customHeight="1">
      <c r="O229" s="35"/>
      <c r="CG229" s="36"/>
      <c r="CH229" s="36"/>
      <c r="CS229" s="36"/>
      <c r="CT229" s="36"/>
    </row>
    <row r="230" ht="15.75" customHeight="1">
      <c r="O230" s="35"/>
      <c r="CG230" s="36"/>
      <c r="CH230" s="36"/>
      <c r="CS230" s="36"/>
      <c r="CT230" s="36"/>
    </row>
    <row r="231" ht="15.75" customHeight="1">
      <c r="O231" s="35"/>
      <c r="CG231" s="36"/>
      <c r="CH231" s="36"/>
      <c r="CS231" s="36"/>
      <c r="CT231" s="36"/>
    </row>
    <row r="232" ht="15.75" customHeight="1">
      <c r="O232" s="35"/>
      <c r="CG232" s="36"/>
      <c r="CH232" s="36"/>
      <c r="CS232" s="36"/>
      <c r="CT232" s="36"/>
    </row>
    <row r="233" ht="15.75" customHeight="1">
      <c r="O233" s="35"/>
      <c r="CG233" s="36"/>
      <c r="CH233" s="36"/>
      <c r="CS233" s="36"/>
      <c r="CT233" s="36"/>
    </row>
    <row r="234" ht="15.75" customHeight="1">
      <c r="O234" s="35"/>
      <c r="CG234" s="36"/>
      <c r="CH234" s="36"/>
      <c r="CS234" s="36"/>
      <c r="CT234" s="36"/>
    </row>
    <row r="235" ht="15.75" customHeight="1">
      <c r="O235" s="35"/>
      <c r="CG235" s="36"/>
      <c r="CH235" s="36"/>
      <c r="CS235" s="36"/>
      <c r="CT235" s="36"/>
    </row>
    <row r="236" ht="15.75" customHeight="1">
      <c r="O236" s="35"/>
      <c r="CG236" s="36"/>
      <c r="CH236" s="36"/>
      <c r="CS236" s="36"/>
      <c r="CT236" s="36"/>
    </row>
    <row r="237" ht="15.75" customHeight="1">
      <c r="O237" s="35"/>
      <c r="CG237" s="36"/>
      <c r="CH237" s="36"/>
      <c r="CS237" s="36"/>
      <c r="CT237" s="36"/>
    </row>
    <row r="238" ht="15.75" customHeight="1">
      <c r="O238" s="35"/>
      <c r="CG238" s="36"/>
      <c r="CH238" s="36"/>
      <c r="CS238" s="36"/>
      <c r="CT238" s="36"/>
    </row>
    <row r="239" ht="15.75" customHeight="1">
      <c r="O239" s="35"/>
      <c r="CG239" s="36"/>
      <c r="CH239" s="36"/>
      <c r="CS239" s="36"/>
      <c r="CT239" s="36"/>
    </row>
    <row r="240" ht="15.75" customHeight="1">
      <c r="O240" s="35"/>
      <c r="CG240" s="36"/>
      <c r="CH240" s="36"/>
      <c r="CS240" s="36"/>
      <c r="CT240" s="36"/>
    </row>
    <row r="241" ht="15.75" customHeight="1">
      <c r="O241" s="35"/>
      <c r="CG241" s="36"/>
      <c r="CH241" s="36"/>
      <c r="CS241" s="36"/>
      <c r="CT241" s="36"/>
    </row>
    <row r="242" ht="15.75" customHeight="1">
      <c r="O242" s="35"/>
      <c r="CG242" s="36"/>
      <c r="CH242" s="36"/>
      <c r="CS242" s="36"/>
      <c r="CT242" s="36"/>
    </row>
    <row r="243" ht="15.75" customHeight="1">
      <c r="O243" s="35"/>
      <c r="CG243" s="36"/>
      <c r="CH243" s="36"/>
      <c r="CS243" s="36"/>
      <c r="CT243" s="36"/>
    </row>
    <row r="244" ht="15.75" customHeight="1">
      <c r="O244" s="35"/>
      <c r="CG244" s="36"/>
      <c r="CH244" s="36"/>
      <c r="CS244" s="36"/>
      <c r="CT244" s="36"/>
    </row>
    <row r="245" ht="15.75" customHeight="1">
      <c r="O245" s="35"/>
      <c r="CG245" s="36"/>
      <c r="CH245" s="36"/>
      <c r="CS245" s="36"/>
      <c r="CT245" s="36"/>
    </row>
    <row r="246" ht="15.75" customHeight="1">
      <c r="O246" s="35"/>
      <c r="CG246" s="36"/>
      <c r="CH246" s="36"/>
      <c r="CS246" s="36"/>
      <c r="CT246" s="36"/>
    </row>
    <row r="247" ht="15.75" customHeight="1">
      <c r="O247" s="35"/>
      <c r="CG247" s="36"/>
      <c r="CH247" s="36"/>
      <c r="CS247" s="36"/>
      <c r="CT247" s="36"/>
    </row>
    <row r="248" ht="15.75" customHeight="1">
      <c r="O248" s="35"/>
      <c r="CG248" s="36"/>
      <c r="CH248" s="36"/>
      <c r="CS248" s="36"/>
      <c r="CT248" s="36"/>
    </row>
    <row r="249" ht="15.75" customHeight="1">
      <c r="O249" s="35"/>
      <c r="CG249" s="36"/>
      <c r="CH249" s="36"/>
      <c r="CS249" s="36"/>
      <c r="CT249" s="36"/>
    </row>
    <row r="250" ht="15.75" customHeight="1">
      <c r="O250" s="35"/>
      <c r="CG250" s="36"/>
      <c r="CH250" s="36"/>
      <c r="CS250" s="36"/>
      <c r="CT250" s="36"/>
    </row>
    <row r="251" ht="15.75" customHeight="1">
      <c r="O251" s="35"/>
      <c r="CG251" s="36"/>
      <c r="CH251" s="36"/>
      <c r="CS251" s="36"/>
      <c r="CT251" s="36"/>
    </row>
    <row r="252" ht="15.75" customHeight="1">
      <c r="O252" s="35"/>
      <c r="CG252" s="36"/>
      <c r="CH252" s="36"/>
      <c r="CS252" s="36"/>
      <c r="CT252" s="36"/>
    </row>
    <row r="253" ht="15.75" customHeight="1">
      <c r="O253" s="35"/>
      <c r="CG253" s="36"/>
      <c r="CH253" s="36"/>
      <c r="CS253" s="36"/>
      <c r="CT253" s="36"/>
    </row>
    <row r="254" ht="15.75" customHeight="1">
      <c r="O254" s="35"/>
      <c r="CG254" s="36"/>
      <c r="CH254" s="36"/>
      <c r="CS254" s="36"/>
      <c r="CT254" s="36"/>
    </row>
    <row r="255" ht="15.75" customHeight="1">
      <c r="O255" s="35"/>
      <c r="CG255" s="36"/>
      <c r="CH255" s="36"/>
      <c r="CS255" s="36"/>
      <c r="CT255" s="36"/>
    </row>
    <row r="256" ht="15.75" customHeight="1">
      <c r="O256" s="35"/>
      <c r="CG256" s="36"/>
      <c r="CH256" s="36"/>
      <c r="CS256" s="36"/>
      <c r="CT256" s="36"/>
    </row>
    <row r="257" ht="15.75" customHeight="1">
      <c r="O257" s="35"/>
      <c r="CG257" s="36"/>
      <c r="CH257" s="36"/>
      <c r="CS257" s="36"/>
      <c r="CT257" s="36"/>
    </row>
    <row r="258" ht="15.75" customHeight="1">
      <c r="O258" s="35"/>
      <c r="CG258" s="36"/>
      <c r="CH258" s="36"/>
      <c r="CS258" s="36"/>
      <c r="CT258" s="36"/>
    </row>
    <row r="259" ht="15.75" customHeight="1">
      <c r="O259" s="35"/>
      <c r="CG259" s="36"/>
      <c r="CH259" s="36"/>
      <c r="CS259" s="36"/>
      <c r="CT259" s="36"/>
    </row>
    <row r="260" ht="15.75" customHeight="1">
      <c r="O260" s="35"/>
      <c r="CG260" s="36"/>
      <c r="CH260" s="36"/>
      <c r="CS260" s="36"/>
      <c r="CT260" s="36"/>
    </row>
    <row r="261" ht="15.75" customHeight="1">
      <c r="O261" s="35"/>
      <c r="CG261" s="36"/>
      <c r="CH261" s="36"/>
      <c r="CS261" s="36"/>
      <c r="CT261" s="36"/>
    </row>
    <row r="262" ht="15.75" customHeight="1">
      <c r="O262" s="35"/>
      <c r="CG262" s="36"/>
      <c r="CH262" s="36"/>
      <c r="CS262" s="36"/>
      <c r="CT262" s="36"/>
    </row>
    <row r="263" ht="15.75" customHeight="1">
      <c r="O263" s="35"/>
      <c r="CG263" s="36"/>
      <c r="CH263" s="36"/>
      <c r="CS263" s="36"/>
      <c r="CT263" s="36"/>
    </row>
    <row r="264" ht="15.75" customHeight="1">
      <c r="O264" s="35"/>
      <c r="CG264" s="36"/>
      <c r="CH264" s="36"/>
      <c r="CS264" s="36"/>
      <c r="CT264" s="36"/>
    </row>
    <row r="265" ht="15.75" customHeight="1">
      <c r="O265" s="35"/>
      <c r="CG265" s="36"/>
      <c r="CH265" s="36"/>
      <c r="CS265" s="36"/>
      <c r="CT265" s="36"/>
    </row>
    <row r="266" ht="15.75" customHeight="1">
      <c r="O266" s="35"/>
      <c r="CG266" s="36"/>
      <c r="CH266" s="36"/>
      <c r="CS266" s="36"/>
      <c r="CT266" s="36"/>
    </row>
    <row r="267" ht="15.75" customHeight="1">
      <c r="O267" s="35"/>
      <c r="CG267" s="36"/>
      <c r="CH267" s="36"/>
      <c r="CS267" s="36"/>
      <c r="CT267" s="36"/>
    </row>
    <row r="268" ht="15.75" customHeight="1">
      <c r="O268" s="35"/>
      <c r="CG268" s="36"/>
      <c r="CH268" s="36"/>
      <c r="CS268" s="36"/>
      <c r="CT268" s="36"/>
    </row>
    <row r="269" ht="15.75" customHeight="1">
      <c r="O269" s="35"/>
      <c r="CG269" s="36"/>
      <c r="CH269" s="36"/>
      <c r="CS269" s="36"/>
      <c r="CT269" s="36"/>
    </row>
    <row r="270" ht="15.75" customHeight="1">
      <c r="O270" s="35"/>
      <c r="CG270" s="36"/>
      <c r="CH270" s="36"/>
      <c r="CS270" s="36"/>
      <c r="CT270" s="36"/>
    </row>
    <row r="271" ht="15.75" customHeight="1">
      <c r="O271" s="35"/>
      <c r="CG271" s="36"/>
      <c r="CH271" s="36"/>
      <c r="CS271" s="36"/>
      <c r="CT271" s="36"/>
    </row>
    <row r="272" ht="15.75" customHeight="1">
      <c r="O272" s="35"/>
      <c r="CG272" s="36"/>
      <c r="CH272" s="36"/>
      <c r="CS272" s="36"/>
      <c r="CT272" s="36"/>
    </row>
    <row r="273" ht="15.75" customHeight="1">
      <c r="O273" s="35"/>
      <c r="CG273" s="36"/>
      <c r="CH273" s="36"/>
      <c r="CS273" s="36"/>
      <c r="CT273" s="36"/>
    </row>
    <row r="274" ht="15.75" customHeight="1">
      <c r="O274" s="35"/>
      <c r="CG274" s="36"/>
      <c r="CH274" s="36"/>
      <c r="CS274" s="36"/>
      <c r="CT274" s="36"/>
    </row>
    <row r="275" ht="15.75" customHeight="1">
      <c r="O275" s="35"/>
      <c r="CG275" s="36"/>
      <c r="CH275" s="36"/>
      <c r="CS275" s="36"/>
      <c r="CT275" s="36"/>
    </row>
    <row r="276" ht="15.75" customHeight="1">
      <c r="O276" s="35"/>
      <c r="CG276" s="36"/>
      <c r="CH276" s="36"/>
      <c r="CS276" s="36"/>
      <c r="CT276" s="36"/>
    </row>
    <row r="277" ht="15.75" customHeight="1">
      <c r="O277" s="35"/>
      <c r="CG277" s="36"/>
      <c r="CH277" s="36"/>
      <c r="CS277" s="36"/>
      <c r="CT277" s="36"/>
    </row>
    <row r="278" ht="15.75" customHeight="1">
      <c r="O278" s="35"/>
      <c r="CG278" s="36"/>
      <c r="CH278" s="36"/>
      <c r="CS278" s="36"/>
      <c r="CT278" s="36"/>
    </row>
    <row r="279" ht="15.75" customHeight="1">
      <c r="O279" s="35"/>
      <c r="CG279" s="36"/>
      <c r="CH279" s="36"/>
      <c r="CS279" s="36"/>
      <c r="CT279" s="36"/>
    </row>
    <row r="280" ht="15.75" customHeight="1">
      <c r="O280" s="35"/>
      <c r="CG280" s="36"/>
      <c r="CH280" s="36"/>
      <c r="CS280" s="36"/>
      <c r="CT280" s="36"/>
    </row>
    <row r="281" ht="15.75" customHeight="1">
      <c r="O281" s="35"/>
      <c r="CG281" s="36"/>
      <c r="CH281" s="36"/>
      <c r="CS281" s="36"/>
      <c r="CT281" s="36"/>
    </row>
    <row r="282" ht="15.75" customHeight="1">
      <c r="O282" s="35"/>
      <c r="CG282" s="36"/>
      <c r="CH282" s="36"/>
      <c r="CS282" s="36"/>
      <c r="CT282" s="36"/>
    </row>
    <row r="283" ht="15.75" customHeight="1">
      <c r="O283" s="35"/>
      <c r="CG283" s="36"/>
      <c r="CH283" s="36"/>
      <c r="CS283" s="36"/>
      <c r="CT283" s="36"/>
    </row>
    <row r="284" ht="15.75" customHeight="1">
      <c r="O284" s="35"/>
      <c r="CG284" s="36"/>
      <c r="CH284" s="36"/>
      <c r="CS284" s="36"/>
      <c r="CT284" s="36"/>
    </row>
    <row r="285" ht="15.75" customHeight="1">
      <c r="O285" s="35"/>
      <c r="CG285" s="36"/>
      <c r="CH285" s="36"/>
      <c r="CS285" s="36"/>
      <c r="CT285" s="36"/>
    </row>
    <row r="286" ht="15.75" customHeight="1">
      <c r="O286" s="35"/>
      <c r="CG286" s="36"/>
      <c r="CH286" s="36"/>
      <c r="CS286" s="36"/>
      <c r="CT286" s="36"/>
    </row>
    <row r="287" ht="15.75" customHeight="1">
      <c r="O287" s="35"/>
      <c r="CG287" s="36"/>
      <c r="CH287" s="36"/>
      <c r="CS287" s="36"/>
      <c r="CT287" s="36"/>
    </row>
    <row r="288" ht="15.75" customHeight="1">
      <c r="O288" s="35"/>
      <c r="CG288" s="36"/>
      <c r="CH288" s="36"/>
      <c r="CS288" s="36"/>
      <c r="CT288" s="36"/>
    </row>
    <row r="289" ht="15.75" customHeight="1">
      <c r="O289" s="35"/>
      <c r="CG289" s="36"/>
      <c r="CH289" s="36"/>
      <c r="CS289" s="36"/>
      <c r="CT289" s="36"/>
    </row>
    <row r="290" ht="15.75" customHeight="1">
      <c r="O290" s="35"/>
      <c r="CG290" s="36"/>
      <c r="CH290" s="36"/>
      <c r="CS290" s="36"/>
      <c r="CT290" s="36"/>
    </row>
    <row r="291" ht="15.75" customHeight="1">
      <c r="O291" s="35"/>
      <c r="CG291" s="36"/>
      <c r="CH291" s="36"/>
      <c r="CS291" s="36"/>
      <c r="CT291" s="36"/>
    </row>
    <row r="292" ht="15.75" customHeight="1">
      <c r="O292" s="35"/>
      <c r="CG292" s="36"/>
      <c r="CH292" s="36"/>
      <c r="CS292" s="36"/>
      <c r="CT292" s="36"/>
    </row>
    <row r="293" ht="15.75" customHeight="1">
      <c r="O293" s="35"/>
      <c r="CG293" s="36"/>
      <c r="CH293" s="36"/>
      <c r="CS293" s="36"/>
      <c r="CT293" s="36"/>
    </row>
    <row r="294" ht="15.75" customHeight="1">
      <c r="O294" s="35"/>
      <c r="CG294" s="36"/>
      <c r="CH294" s="36"/>
      <c r="CS294" s="36"/>
      <c r="CT294" s="36"/>
    </row>
    <row r="295" ht="15.75" customHeight="1">
      <c r="O295" s="35"/>
      <c r="CG295" s="36"/>
      <c r="CH295" s="36"/>
      <c r="CS295" s="36"/>
      <c r="CT295" s="36"/>
    </row>
    <row r="296" ht="15.75" customHeight="1">
      <c r="O296" s="35"/>
      <c r="CG296" s="36"/>
      <c r="CH296" s="36"/>
      <c r="CS296" s="36"/>
      <c r="CT296" s="36"/>
    </row>
    <row r="297" ht="15.75" customHeight="1">
      <c r="O297" s="35"/>
      <c r="CG297" s="36"/>
      <c r="CH297" s="36"/>
      <c r="CS297" s="36"/>
      <c r="CT297" s="36"/>
    </row>
    <row r="298" ht="15.75" customHeight="1">
      <c r="O298" s="35"/>
      <c r="CG298" s="36"/>
      <c r="CH298" s="36"/>
      <c r="CS298" s="36"/>
      <c r="CT298" s="36"/>
    </row>
    <row r="299" ht="15.75" customHeight="1">
      <c r="O299" s="35"/>
      <c r="CG299" s="36"/>
      <c r="CH299" s="36"/>
      <c r="CS299" s="36"/>
      <c r="CT299" s="36"/>
    </row>
    <row r="300" ht="15.75" customHeight="1">
      <c r="O300" s="35"/>
      <c r="CG300" s="36"/>
      <c r="CH300" s="36"/>
      <c r="CS300" s="36"/>
      <c r="CT300" s="36"/>
    </row>
    <row r="301" ht="15.75" customHeight="1">
      <c r="O301" s="35"/>
      <c r="CG301" s="36"/>
      <c r="CH301" s="36"/>
      <c r="CS301" s="36"/>
      <c r="CT301" s="36"/>
    </row>
    <row r="302" ht="15.75" customHeight="1">
      <c r="O302" s="35"/>
      <c r="CG302" s="36"/>
      <c r="CH302" s="36"/>
      <c r="CS302" s="36"/>
      <c r="CT302" s="36"/>
    </row>
    <row r="303" ht="15.75" customHeight="1">
      <c r="O303" s="35"/>
      <c r="CG303" s="36"/>
      <c r="CH303" s="36"/>
      <c r="CS303" s="36"/>
      <c r="CT303" s="36"/>
    </row>
    <row r="304" ht="15.75" customHeight="1">
      <c r="O304" s="35"/>
      <c r="CG304" s="36"/>
      <c r="CH304" s="36"/>
      <c r="CS304" s="36"/>
      <c r="CT304" s="36"/>
    </row>
    <row r="305" ht="15.75" customHeight="1">
      <c r="O305" s="35"/>
      <c r="CG305" s="36"/>
      <c r="CH305" s="36"/>
      <c r="CS305" s="36"/>
      <c r="CT305" s="36"/>
    </row>
    <row r="306" ht="15.75" customHeight="1">
      <c r="O306" s="35"/>
      <c r="CG306" s="36"/>
      <c r="CH306" s="36"/>
      <c r="CS306" s="36"/>
      <c r="CT306" s="36"/>
    </row>
    <row r="307" ht="15.75" customHeight="1">
      <c r="O307" s="35"/>
      <c r="CG307" s="36"/>
      <c r="CH307" s="36"/>
      <c r="CS307" s="36"/>
      <c r="CT307" s="36"/>
    </row>
    <row r="308" ht="15.75" customHeight="1">
      <c r="O308" s="35"/>
      <c r="CG308" s="36"/>
      <c r="CH308" s="36"/>
      <c r="CS308" s="36"/>
      <c r="CT308" s="36"/>
    </row>
    <row r="309" ht="15.75" customHeight="1">
      <c r="O309" s="35"/>
      <c r="CG309" s="36"/>
      <c r="CH309" s="36"/>
      <c r="CS309" s="36"/>
      <c r="CT309" s="36"/>
    </row>
    <row r="310" ht="15.75" customHeight="1">
      <c r="O310" s="35"/>
      <c r="CG310" s="36"/>
      <c r="CH310" s="36"/>
      <c r="CS310" s="36"/>
      <c r="CT310" s="36"/>
    </row>
    <row r="311" ht="15.75" customHeight="1">
      <c r="O311" s="35"/>
      <c r="CG311" s="36"/>
      <c r="CH311" s="36"/>
      <c r="CS311" s="36"/>
      <c r="CT311" s="36"/>
    </row>
    <row r="312" ht="15.75" customHeight="1">
      <c r="O312" s="35"/>
      <c r="CG312" s="36"/>
      <c r="CH312" s="36"/>
      <c r="CS312" s="36"/>
      <c r="CT312" s="36"/>
    </row>
    <row r="313" ht="15.75" customHeight="1">
      <c r="O313" s="35"/>
      <c r="CG313" s="36"/>
      <c r="CH313" s="36"/>
      <c r="CS313" s="36"/>
      <c r="CT313" s="36"/>
    </row>
    <row r="314" ht="15.75" customHeight="1">
      <c r="O314" s="35"/>
      <c r="CG314" s="36"/>
      <c r="CH314" s="36"/>
      <c r="CS314" s="36"/>
      <c r="CT314" s="36"/>
    </row>
    <row r="315" ht="15.75" customHeight="1">
      <c r="O315" s="35"/>
      <c r="CG315" s="36"/>
      <c r="CH315" s="36"/>
      <c r="CS315" s="36"/>
      <c r="CT315" s="36"/>
    </row>
    <row r="316" ht="15.75" customHeight="1">
      <c r="O316" s="35"/>
      <c r="CG316" s="36"/>
      <c r="CH316" s="36"/>
      <c r="CS316" s="36"/>
      <c r="CT316" s="36"/>
    </row>
    <row r="317" ht="15.75" customHeight="1">
      <c r="O317" s="35"/>
      <c r="CG317" s="36"/>
      <c r="CH317" s="36"/>
      <c r="CS317" s="36"/>
      <c r="CT317" s="36"/>
    </row>
    <row r="318" ht="15.75" customHeight="1">
      <c r="O318" s="35"/>
      <c r="CG318" s="36"/>
      <c r="CH318" s="36"/>
      <c r="CS318" s="36"/>
      <c r="CT318" s="36"/>
    </row>
    <row r="319" ht="15.75" customHeight="1">
      <c r="O319" s="35"/>
      <c r="CG319" s="36"/>
      <c r="CH319" s="36"/>
      <c r="CS319" s="36"/>
      <c r="CT319" s="36"/>
    </row>
    <row r="320" ht="15.75" customHeight="1">
      <c r="O320" s="35"/>
      <c r="CG320" s="36"/>
      <c r="CH320" s="36"/>
      <c r="CS320" s="36"/>
      <c r="CT320" s="36"/>
    </row>
    <row r="321" ht="15.75" customHeight="1">
      <c r="O321" s="35"/>
      <c r="CG321" s="36"/>
      <c r="CH321" s="36"/>
      <c r="CS321" s="36"/>
      <c r="CT321" s="36"/>
    </row>
    <row r="322" ht="15.75" customHeight="1">
      <c r="O322" s="35"/>
      <c r="CG322" s="36"/>
      <c r="CH322" s="36"/>
      <c r="CS322" s="36"/>
      <c r="CT322" s="36"/>
    </row>
    <row r="323" ht="15.75" customHeight="1">
      <c r="O323" s="35"/>
      <c r="CG323" s="36"/>
      <c r="CH323" s="36"/>
      <c r="CS323" s="36"/>
      <c r="CT323" s="36"/>
    </row>
    <row r="324" ht="15.75" customHeight="1">
      <c r="O324" s="35"/>
      <c r="CG324" s="36"/>
      <c r="CH324" s="36"/>
      <c r="CS324" s="36"/>
      <c r="CT324" s="36"/>
    </row>
    <row r="325" ht="15.75" customHeight="1">
      <c r="O325" s="35"/>
      <c r="CG325" s="36"/>
      <c r="CH325" s="36"/>
      <c r="CS325" s="36"/>
      <c r="CT325" s="36"/>
    </row>
    <row r="326" ht="15.75" customHeight="1">
      <c r="O326" s="35"/>
      <c r="CG326" s="36"/>
      <c r="CH326" s="36"/>
      <c r="CS326" s="36"/>
      <c r="CT326" s="36"/>
    </row>
    <row r="327" ht="15.75" customHeight="1">
      <c r="O327" s="35"/>
      <c r="CG327" s="36"/>
      <c r="CH327" s="36"/>
      <c r="CS327" s="36"/>
      <c r="CT327" s="36"/>
    </row>
    <row r="328" ht="15.75" customHeight="1">
      <c r="O328" s="35"/>
      <c r="CG328" s="36"/>
      <c r="CH328" s="36"/>
      <c r="CS328" s="36"/>
      <c r="CT328" s="36"/>
    </row>
    <row r="329" ht="15.75" customHeight="1">
      <c r="O329" s="35"/>
      <c r="CG329" s="36"/>
      <c r="CH329" s="36"/>
      <c r="CS329" s="36"/>
      <c r="CT329" s="36"/>
    </row>
    <row r="330" ht="15.75" customHeight="1">
      <c r="O330" s="35"/>
      <c r="CG330" s="36"/>
      <c r="CH330" s="36"/>
      <c r="CS330" s="36"/>
      <c r="CT330" s="36"/>
    </row>
    <row r="331" ht="15.75" customHeight="1">
      <c r="O331" s="35"/>
      <c r="CG331" s="36"/>
      <c r="CH331" s="36"/>
      <c r="CS331" s="36"/>
      <c r="CT331" s="36"/>
    </row>
    <row r="332" ht="15.75" customHeight="1">
      <c r="O332" s="35"/>
      <c r="CG332" s="36"/>
      <c r="CH332" s="36"/>
      <c r="CS332" s="36"/>
      <c r="CT332" s="36"/>
    </row>
    <row r="333" ht="15.75" customHeight="1">
      <c r="O333" s="35"/>
      <c r="CG333" s="36"/>
      <c r="CH333" s="36"/>
      <c r="CS333" s="36"/>
      <c r="CT333" s="36"/>
    </row>
    <row r="334" ht="15.75" customHeight="1">
      <c r="O334" s="35"/>
      <c r="CG334" s="36"/>
      <c r="CH334" s="36"/>
      <c r="CS334" s="36"/>
      <c r="CT334" s="36"/>
    </row>
    <row r="335" ht="15.75" customHeight="1">
      <c r="O335" s="35"/>
      <c r="CG335" s="36"/>
      <c r="CH335" s="36"/>
      <c r="CS335" s="36"/>
      <c r="CT335" s="36"/>
    </row>
    <row r="336" ht="15.75" customHeight="1">
      <c r="O336" s="35"/>
      <c r="CG336" s="36"/>
      <c r="CH336" s="36"/>
      <c r="CS336" s="36"/>
      <c r="CT336" s="36"/>
    </row>
    <row r="337" ht="15.75" customHeight="1">
      <c r="O337" s="35"/>
      <c r="CG337" s="36"/>
      <c r="CH337" s="36"/>
      <c r="CS337" s="36"/>
      <c r="CT337" s="36"/>
    </row>
    <row r="338" ht="15.75" customHeight="1">
      <c r="O338" s="35"/>
      <c r="CG338" s="36"/>
      <c r="CH338" s="36"/>
      <c r="CS338" s="36"/>
      <c r="CT338" s="36"/>
    </row>
    <row r="339" ht="15.75" customHeight="1">
      <c r="O339" s="35"/>
      <c r="CG339" s="36"/>
      <c r="CH339" s="36"/>
      <c r="CS339" s="36"/>
      <c r="CT339" s="36"/>
    </row>
    <row r="340" ht="15.75" customHeight="1">
      <c r="O340" s="35"/>
      <c r="CG340" s="36"/>
      <c r="CH340" s="36"/>
      <c r="CS340" s="36"/>
      <c r="CT340" s="36"/>
    </row>
    <row r="341" ht="15.75" customHeight="1">
      <c r="O341" s="35"/>
      <c r="CG341" s="36"/>
      <c r="CH341" s="36"/>
      <c r="CS341" s="36"/>
      <c r="CT341" s="36"/>
    </row>
    <row r="342" ht="15.75" customHeight="1">
      <c r="O342" s="35"/>
      <c r="CG342" s="36"/>
      <c r="CH342" s="36"/>
      <c r="CS342" s="36"/>
      <c r="CT342" s="36"/>
    </row>
    <row r="343" ht="15.75" customHeight="1">
      <c r="O343" s="35"/>
      <c r="CG343" s="36"/>
      <c r="CH343" s="36"/>
      <c r="CS343" s="36"/>
      <c r="CT343" s="36"/>
    </row>
    <row r="344" ht="15.75" customHeight="1">
      <c r="O344" s="35"/>
      <c r="CG344" s="36"/>
      <c r="CH344" s="36"/>
      <c r="CS344" s="36"/>
      <c r="CT344" s="36"/>
    </row>
    <row r="345" ht="15.75" customHeight="1">
      <c r="O345" s="35"/>
      <c r="CG345" s="36"/>
      <c r="CH345" s="36"/>
      <c r="CS345" s="36"/>
      <c r="CT345" s="36"/>
    </row>
    <row r="346" ht="15.75" customHeight="1">
      <c r="O346" s="35"/>
      <c r="CG346" s="36"/>
      <c r="CH346" s="36"/>
      <c r="CS346" s="36"/>
      <c r="CT346" s="36"/>
    </row>
    <row r="347" ht="15.75" customHeight="1">
      <c r="O347" s="35"/>
      <c r="CG347" s="36"/>
      <c r="CH347" s="36"/>
      <c r="CS347" s="36"/>
      <c r="CT347" s="36"/>
    </row>
    <row r="348" ht="15.75" customHeight="1">
      <c r="O348" s="35"/>
      <c r="CG348" s="36"/>
      <c r="CH348" s="36"/>
      <c r="CS348" s="36"/>
      <c r="CT348" s="36"/>
    </row>
    <row r="349" ht="15.75" customHeight="1">
      <c r="O349" s="35"/>
      <c r="CG349" s="36"/>
      <c r="CH349" s="36"/>
      <c r="CS349" s="36"/>
      <c r="CT349" s="36"/>
    </row>
    <row r="350" ht="15.75" customHeight="1">
      <c r="O350" s="35"/>
      <c r="CG350" s="36"/>
      <c r="CH350" s="36"/>
      <c r="CS350" s="36"/>
      <c r="CT350" s="36"/>
    </row>
    <row r="351" ht="15.75" customHeight="1">
      <c r="O351" s="35"/>
      <c r="CG351" s="36"/>
      <c r="CH351" s="36"/>
      <c r="CS351" s="36"/>
      <c r="CT351" s="36"/>
    </row>
    <row r="352" ht="15.75" customHeight="1">
      <c r="O352" s="35"/>
      <c r="CG352" s="36"/>
      <c r="CH352" s="36"/>
      <c r="CS352" s="36"/>
      <c r="CT352" s="36"/>
    </row>
    <row r="353" ht="15.75" customHeight="1">
      <c r="O353" s="35"/>
      <c r="CG353" s="36"/>
      <c r="CH353" s="36"/>
      <c r="CS353" s="36"/>
      <c r="CT353" s="36"/>
    </row>
    <row r="354" ht="15.75" customHeight="1">
      <c r="O354" s="35"/>
      <c r="CG354" s="36"/>
      <c r="CH354" s="36"/>
      <c r="CS354" s="36"/>
      <c r="CT354" s="36"/>
    </row>
    <row r="355" ht="15.75" customHeight="1">
      <c r="O355" s="35"/>
      <c r="CG355" s="36"/>
      <c r="CH355" s="36"/>
      <c r="CS355" s="36"/>
      <c r="CT355" s="36"/>
    </row>
    <row r="356" ht="15.75" customHeight="1">
      <c r="O356" s="35"/>
      <c r="CG356" s="36"/>
      <c r="CH356" s="36"/>
      <c r="CS356" s="36"/>
      <c r="CT356" s="36"/>
    </row>
    <row r="357" ht="15.75" customHeight="1">
      <c r="O357" s="35"/>
      <c r="CG357" s="36"/>
      <c r="CH357" s="36"/>
      <c r="CS357" s="36"/>
      <c r="CT357" s="36"/>
    </row>
    <row r="358" ht="15.75" customHeight="1">
      <c r="O358" s="35"/>
      <c r="CG358" s="36"/>
      <c r="CH358" s="36"/>
      <c r="CS358" s="36"/>
      <c r="CT358" s="36"/>
    </row>
    <row r="359" ht="15.75" customHeight="1">
      <c r="O359" s="35"/>
      <c r="CG359" s="36"/>
      <c r="CH359" s="36"/>
      <c r="CS359" s="36"/>
      <c r="CT359" s="36"/>
    </row>
    <row r="360" ht="15.75" customHeight="1">
      <c r="O360" s="35"/>
      <c r="CG360" s="36"/>
      <c r="CH360" s="36"/>
      <c r="CS360" s="36"/>
      <c r="CT360" s="36"/>
    </row>
    <row r="361" ht="15.75" customHeight="1">
      <c r="O361" s="35"/>
      <c r="CG361" s="36"/>
      <c r="CH361" s="36"/>
      <c r="CS361" s="36"/>
      <c r="CT361" s="36"/>
    </row>
    <row r="362" ht="15.75" customHeight="1">
      <c r="O362" s="35"/>
      <c r="CG362" s="36"/>
      <c r="CH362" s="36"/>
      <c r="CS362" s="36"/>
      <c r="CT362" s="36"/>
    </row>
    <row r="363" ht="15.75" customHeight="1">
      <c r="O363" s="35"/>
      <c r="CG363" s="36"/>
      <c r="CH363" s="36"/>
      <c r="CS363" s="36"/>
      <c r="CT363" s="36"/>
    </row>
    <row r="364" ht="15.75" customHeight="1">
      <c r="O364" s="35"/>
      <c r="CG364" s="36"/>
      <c r="CH364" s="36"/>
      <c r="CS364" s="36"/>
      <c r="CT364" s="36"/>
    </row>
    <row r="365" ht="15.75" customHeight="1">
      <c r="O365" s="35"/>
      <c r="CG365" s="36"/>
      <c r="CH365" s="36"/>
      <c r="CS365" s="36"/>
      <c r="CT365" s="36"/>
    </row>
    <row r="366" ht="15.75" customHeight="1">
      <c r="O366" s="35"/>
      <c r="CG366" s="36"/>
      <c r="CH366" s="36"/>
      <c r="CS366" s="36"/>
      <c r="CT366" s="36"/>
    </row>
    <row r="367" ht="15.75" customHeight="1">
      <c r="O367" s="35"/>
      <c r="CG367" s="36"/>
      <c r="CH367" s="36"/>
      <c r="CS367" s="36"/>
      <c r="CT367" s="36"/>
    </row>
    <row r="368" ht="15.75" customHeight="1">
      <c r="O368" s="35"/>
      <c r="CG368" s="36"/>
      <c r="CH368" s="36"/>
      <c r="CS368" s="36"/>
      <c r="CT368" s="36"/>
    </row>
    <row r="369" ht="15.75" customHeight="1">
      <c r="O369" s="35"/>
      <c r="CG369" s="36"/>
      <c r="CH369" s="36"/>
      <c r="CS369" s="36"/>
      <c r="CT369" s="36"/>
    </row>
    <row r="370" ht="15.75" customHeight="1">
      <c r="O370" s="35"/>
      <c r="CG370" s="36"/>
      <c r="CH370" s="36"/>
      <c r="CS370" s="36"/>
      <c r="CT370" s="36"/>
    </row>
    <row r="371" ht="15.75" customHeight="1">
      <c r="O371" s="35"/>
      <c r="CG371" s="36"/>
      <c r="CH371" s="36"/>
      <c r="CS371" s="36"/>
      <c r="CT371" s="36"/>
    </row>
    <row r="372" ht="15.75" customHeight="1">
      <c r="O372" s="35"/>
      <c r="CG372" s="36"/>
      <c r="CH372" s="36"/>
      <c r="CS372" s="36"/>
      <c r="CT372" s="36"/>
    </row>
    <row r="373" ht="15.75" customHeight="1">
      <c r="O373" s="35"/>
      <c r="CG373" s="36"/>
      <c r="CH373" s="36"/>
      <c r="CS373" s="36"/>
      <c r="CT373" s="36"/>
    </row>
    <row r="374" ht="15.75" customHeight="1">
      <c r="O374" s="35"/>
      <c r="CG374" s="36"/>
      <c r="CH374" s="36"/>
      <c r="CS374" s="36"/>
      <c r="CT374" s="36"/>
    </row>
    <row r="375" ht="15.75" customHeight="1">
      <c r="O375" s="35"/>
      <c r="CG375" s="36"/>
      <c r="CH375" s="36"/>
      <c r="CS375" s="36"/>
      <c r="CT375" s="36"/>
    </row>
    <row r="376" ht="15.75" customHeight="1">
      <c r="O376" s="35"/>
      <c r="CG376" s="36"/>
      <c r="CH376" s="36"/>
      <c r="CS376" s="36"/>
      <c r="CT376" s="36"/>
    </row>
    <row r="377" ht="15.75" customHeight="1">
      <c r="O377" s="35"/>
      <c r="CG377" s="36"/>
      <c r="CH377" s="36"/>
      <c r="CS377" s="36"/>
      <c r="CT377" s="36"/>
    </row>
    <row r="378" ht="15.75" customHeight="1">
      <c r="O378" s="35"/>
      <c r="CG378" s="36"/>
      <c r="CH378" s="36"/>
      <c r="CS378" s="36"/>
      <c r="CT378" s="36"/>
    </row>
    <row r="379" ht="15.75" customHeight="1">
      <c r="O379" s="35"/>
      <c r="CG379" s="36"/>
      <c r="CH379" s="36"/>
      <c r="CS379" s="36"/>
      <c r="CT379" s="36"/>
    </row>
    <row r="380" ht="15.75" customHeight="1">
      <c r="O380" s="35"/>
      <c r="CG380" s="36"/>
      <c r="CH380" s="36"/>
      <c r="CS380" s="36"/>
      <c r="CT380" s="36"/>
    </row>
    <row r="381" ht="15.75" customHeight="1">
      <c r="O381" s="35"/>
      <c r="CG381" s="36"/>
      <c r="CH381" s="36"/>
      <c r="CS381" s="36"/>
      <c r="CT381" s="36"/>
    </row>
    <row r="382" ht="15.75" customHeight="1">
      <c r="O382" s="35"/>
      <c r="CG382" s="36"/>
      <c r="CH382" s="36"/>
      <c r="CS382" s="36"/>
      <c r="CT382" s="36"/>
    </row>
    <row r="383" ht="15.75" customHeight="1">
      <c r="O383" s="35"/>
      <c r="CG383" s="36"/>
      <c r="CH383" s="36"/>
      <c r="CS383" s="36"/>
      <c r="CT383" s="36"/>
    </row>
    <row r="384" ht="15.75" customHeight="1">
      <c r="O384" s="35"/>
      <c r="CG384" s="36"/>
      <c r="CH384" s="36"/>
      <c r="CS384" s="36"/>
      <c r="CT384" s="36"/>
    </row>
    <row r="385" ht="15.75" customHeight="1">
      <c r="O385" s="35"/>
      <c r="CG385" s="36"/>
      <c r="CH385" s="36"/>
      <c r="CS385" s="36"/>
      <c r="CT385" s="36"/>
    </row>
    <row r="386" ht="15.75" customHeight="1">
      <c r="O386" s="35"/>
      <c r="CG386" s="36"/>
      <c r="CH386" s="36"/>
      <c r="CS386" s="36"/>
      <c r="CT386" s="36"/>
    </row>
    <row r="387" ht="15.75" customHeight="1">
      <c r="O387" s="35"/>
      <c r="CG387" s="36"/>
      <c r="CH387" s="36"/>
      <c r="CS387" s="36"/>
      <c r="CT387" s="36"/>
    </row>
    <row r="388" ht="15.75" customHeight="1">
      <c r="O388" s="35"/>
      <c r="CG388" s="36"/>
      <c r="CH388" s="36"/>
      <c r="CS388" s="36"/>
      <c r="CT388" s="36"/>
    </row>
    <row r="389" ht="15.75" customHeight="1">
      <c r="O389" s="35"/>
      <c r="CG389" s="36"/>
      <c r="CH389" s="36"/>
      <c r="CS389" s="36"/>
      <c r="CT389" s="36"/>
    </row>
    <row r="390" ht="15.75" customHeight="1">
      <c r="O390" s="35"/>
      <c r="CG390" s="36"/>
      <c r="CH390" s="36"/>
      <c r="CS390" s="36"/>
      <c r="CT390" s="36"/>
    </row>
    <row r="391" ht="15.75" customHeight="1">
      <c r="O391" s="35"/>
      <c r="CG391" s="36"/>
      <c r="CH391" s="36"/>
      <c r="CS391" s="36"/>
      <c r="CT391" s="36"/>
    </row>
    <row r="392" ht="15.75" customHeight="1">
      <c r="O392" s="35"/>
      <c r="CG392" s="36"/>
      <c r="CH392" s="36"/>
      <c r="CS392" s="36"/>
      <c r="CT392" s="36"/>
    </row>
    <row r="393" ht="15.75" customHeight="1">
      <c r="O393" s="35"/>
      <c r="CG393" s="36"/>
      <c r="CH393" s="36"/>
      <c r="CS393" s="36"/>
      <c r="CT393" s="36"/>
    </row>
    <row r="394" ht="15.75" customHeight="1">
      <c r="O394" s="35"/>
      <c r="CG394" s="36"/>
      <c r="CH394" s="36"/>
      <c r="CS394" s="36"/>
      <c r="CT394" s="36"/>
    </row>
    <row r="395" ht="15.75" customHeight="1">
      <c r="O395" s="35"/>
      <c r="CG395" s="36"/>
      <c r="CH395" s="36"/>
      <c r="CS395" s="36"/>
      <c r="CT395" s="36"/>
    </row>
    <row r="396" ht="15.75" customHeight="1">
      <c r="O396" s="35"/>
      <c r="CG396" s="36"/>
      <c r="CH396" s="36"/>
      <c r="CS396" s="36"/>
      <c r="CT396" s="36"/>
    </row>
    <row r="397" ht="15.75" customHeight="1">
      <c r="O397" s="35"/>
      <c r="CG397" s="36"/>
      <c r="CH397" s="36"/>
      <c r="CS397" s="36"/>
      <c r="CT397" s="36"/>
    </row>
    <row r="398" ht="15.75" customHeight="1">
      <c r="O398" s="35"/>
      <c r="CG398" s="36"/>
      <c r="CH398" s="36"/>
      <c r="CS398" s="36"/>
      <c r="CT398" s="36"/>
    </row>
    <row r="399" ht="15.75" customHeight="1">
      <c r="O399" s="35"/>
      <c r="CG399" s="36"/>
      <c r="CH399" s="36"/>
      <c r="CS399" s="36"/>
      <c r="CT399" s="36"/>
    </row>
    <row r="400" ht="15.75" customHeight="1">
      <c r="O400" s="35"/>
      <c r="CG400" s="36"/>
      <c r="CH400" s="36"/>
      <c r="CS400" s="36"/>
      <c r="CT400" s="36"/>
    </row>
    <row r="401" ht="15.75" customHeight="1">
      <c r="O401" s="35"/>
      <c r="CG401" s="36"/>
      <c r="CH401" s="36"/>
      <c r="CS401" s="36"/>
      <c r="CT401" s="36"/>
    </row>
    <row r="402" ht="15.75" customHeight="1">
      <c r="O402" s="35"/>
      <c r="CG402" s="36"/>
      <c r="CH402" s="36"/>
      <c r="CS402" s="36"/>
      <c r="CT402" s="36"/>
    </row>
    <row r="403" ht="15.75" customHeight="1">
      <c r="O403" s="35"/>
      <c r="CG403" s="36"/>
      <c r="CH403" s="36"/>
      <c r="CS403" s="36"/>
      <c r="CT403" s="36"/>
    </row>
    <row r="404" ht="15.75" customHeight="1">
      <c r="O404" s="35"/>
      <c r="CG404" s="36"/>
      <c r="CH404" s="36"/>
      <c r="CS404" s="36"/>
      <c r="CT404" s="36"/>
    </row>
    <row r="405" ht="15.75" customHeight="1">
      <c r="O405" s="35"/>
      <c r="CG405" s="36"/>
      <c r="CH405" s="36"/>
      <c r="CS405" s="36"/>
      <c r="CT405" s="36"/>
    </row>
    <row r="406" ht="15.75" customHeight="1">
      <c r="O406" s="35"/>
      <c r="CG406" s="36"/>
      <c r="CH406" s="36"/>
      <c r="CS406" s="36"/>
      <c r="CT406" s="36"/>
    </row>
    <row r="407" ht="15.75" customHeight="1">
      <c r="O407" s="35"/>
      <c r="CG407" s="36"/>
      <c r="CH407" s="36"/>
      <c r="CS407" s="36"/>
      <c r="CT407" s="36"/>
    </row>
    <row r="408" ht="15.75" customHeight="1">
      <c r="O408" s="35"/>
      <c r="CG408" s="36"/>
      <c r="CH408" s="36"/>
      <c r="CS408" s="36"/>
      <c r="CT408" s="36"/>
    </row>
    <row r="409" ht="15.75" customHeight="1">
      <c r="O409" s="35"/>
      <c r="CG409" s="36"/>
      <c r="CH409" s="36"/>
      <c r="CS409" s="36"/>
      <c r="CT409" s="36"/>
    </row>
    <row r="410" ht="15.75" customHeight="1">
      <c r="O410" s="35"/>
      <c r="CG410" s="36"/>
      <c r="CH410" s="36"/>
      <c r="CS410" s="36"/>
      <c r="CT410" s="36"/>
    </row>
    <row r="411" ht="15.75" customHeight="1">
      <c r="O411" s="35"/>
      <c r="CG411" s="36"/>
      <c r="CH411" s="36"/>
      <c r="CS411" s="36"/>
      <c r="CT411" s="36"/>
    </row>
    <row r="412" ht="15.75" customHeight="1">
      <c r="O412" s="35"/>
      <c r="CG412" s="36"/>
      <c r="CH412" s="36"/>
      <c r="CS412" s="36"/>
      <c r="CT412" s="36"/>
    </row>
    <row r="413" ht="15.75" customHeight="1">
      <c r="O413" s="35"/>
      <c r="CG413" s="36"/>
      <c r="CH413" s="36"/>
      <c r="CS413" s="36"/>
      <c r="CT413" s="36"/>
    </row>
    <row r="414" ht="15.75" customHeight="1">
      <c r="O414" s="35"/>
      <c r="CG414" s="36"/>
      <c r="CH414" s="36"/>
      <c r="CS414" s="36"/>
      <c r="CT414" s="36"/>
    </row>
    <row r="415" ht="15.75" customHeight="1">
      <c r="O415" s="35"/>
      <c r="CG415" s="36"/>
      <c r="CH415" s="36"/>
      <c r="CS415" s="36"/>
      <c r="CT415" s="36"/>
    </row>
    <row r="416" ht="15.75" customHeight="1">
      <c r="O416" s="35"/>
      <c r="CG416" s="36"/>
      <c r="CH416" s="36"/>
      <c r="CS416" s="36"/>
      <c r="CT416" s="36"/>
    </row>
    <row r="417" ht="15.75" customHeight="1">
      <c r="O417" s="35"/>
      <c r="CG417" s="36"/>
      <c r="CH417" s="36"/>
      <c r="CS417" s="36"/>
      <c r="CT417" s="36"/>
    </row>
    <row r="418" ht="15.75" customHeight="1">
      <c r="O418" s="35"/>
      <c r="CG418" s="36"/>
      <c r="CH418" s="36"/>
      <c r="CS418" s="36"/>
      <c r="CT418" s="36"/>
    </row>
    <row r="419" ht="15.75" customHeight="1">
      <c r="O419" s="35"/>
      <c r="CG419" s="36"/>
      <c r="CH419" s="36"/>
      <c r="CS419" s="36"/>
      <c r="CT419" s="36"/>
    </row>
    <row r="420" ht="15.75" customHeight="1">
      <c r="O420" s="35"/>
      <c r="CG420" s="36"/>
      <c r="CH420" s="36"/>
      <c r="CS420" s="36"/>
      <c r="CT420" s="36"/>
    </row>
    <row r="421" ht="15.75" customHeight="1">
      <c r="O421" s="35"/>
      <c r="CG421" s="36"/>
      <c r="CH421" s="36"/>
      <c r="CS421" s="36"/>
      <c r="CT421" s="36"/>
    </row>
    <row r="422" ht="15.75" customHeight="1">
      <c r="O422" s="35"/>
      <c r="CG422" s="36"/>
      <c r="CH422" s="36"/>
      <c r="CS422" s="36"/>
      <c r="CT422" s="36"/>
    </row>
    <row r="423" ht="15.75" customHeight="1">
      <c r="O423" s="35"/>
      <c r="CG423" s="36"/>
      <c r="CH423" s="36"/>
      <c r="CS423" s="36"/>
      <c r="CT423" s="36"/>
    </row>
    <row r="424" ht="15.75" customHeight="1">
      <c r="O424" s="35"/>
      <c r="CG424" s="36"/>
      <c r="CH424" s="36"/>
      <c r="CS424" s="36"/>
      <c r="CT424" s="36"/>
    </row>
    <row r="425" ht="15.75" customHeight="1">
      <c r="O425" s="35"/>
      <c r="CG425" s="36"/>
      <c r="CH425" s="36"/>
      <c r="CS425" s="36"/>
      <c r="CT425" s="36"/>
    </row>
    <row r="426" ht="15.75" customHeight="1">
      <c r="O426" s="35"/>
      <c r="CG426" s="36"/>
      <c r="CH426" s="36"/>
      <c r="CS426" s="36"/>
      <c r="CT426" s="36"/>
    </row>
    <row r="427" ht="15.75" customHeight="1">
      <c r="O427" s="35"/>
      <c r="CG427" s="36"/>
      <c r="CH427" s="36"/>
      <c r="CS427" s="36"/>
      <c r="CT427" s="36"/>
    </row>
    <row r="428" ht="15.75" customHeight="1">
      <c r="O428" s="35"/>
      <c r="CG428" s="36"/>
      <c r="CH428" s="36"/>
      <c r="CS428" s="36"/>
      <c r="CT428" s="36"/>
    </row>
    <row r="429" ht="15.75" customHeight="1">
      <c r="O429" s="35"/>
      <c r="CG429" s="36"/>
      <c r="CH429" s="36"/>
      <c r="CS429" s="36"/>
      <c r="CT429" s="36"/>
    </row>
    <row r="430" ht="15.75" customHeight="1">
      <c r="O430" s="35"/>
      <c r="CG430" s="36"/>
      <c r="CH430" s="36"/>
      <c r="CS430" s="36"/>
      <c r="CT430" s="36"/>
    </row>
    <row r="431" ht="15.75" customHeight="1">
      <c r="O431" s="35"/>
      <c r="CG431" s="36"/>
      <c r="CH431" s="36"/>
      <c r="CS431" s="36"/>
      <c r="CT431" s="36"/>
    </row>
    <row r="432" ht="15.75" customHeight="1">
      <c r="O432" s="35"/>
      <c r="CG432" s="36"/>
      <c r="CH432" s="36"/>
      <c r="CS432" s="36"/>
      <c r="CT432" s="36"/>
    </row>
    <row r="433" ht="15.75" customHeight="1">
      <c r="O433" s="35"/>
      <c r="CG433" s="36"/>
      <c r="CH433" s="36"/>
      <c r="CS433" s="36"/>
      <c r="CT433" s="36"/>
    </row>
    <row r="434" ht="15.75" customHeight="1">
      <c r="O434" s="35"/>
      <c r="CG434" s="36"/>
      <c r="CH434" s="36"/>
      <c r="CS434" s="36"/>
      <c r="CT434" s="36"/>
    </row>
    <row r="435" ht="15.75" customHeight="1">
      <c r="O435" s="35"/>
      <c r="CG435" s="36"/>
      <c r="CH435" s="36"/>
      <c r="CS435" s="36"/>
      <c r="CT435" s="36"/>
    </row>
    <row r="436" ht="15.75" customHeight="1">
      <c r="O436" s="35"/>
      <c r="CG436" s="36"/>
      <c r="CH436" s="36"/>
      <c r="CS436" s="36"/>
      <c r="CT436" s="36"/>
    </row>
    <row r="437" ht="15.75" customHeight="1">
      <c r="O437" s="35"/>
      <c r="CG437" s="36"/>
      <c r="CH437" s="36"/>
      <c r="CS437" s="36"/>
      <c r="CT437" s="36"/>
    </row>
    <row r="438" ht="15.75" customHeight="1">
      <c r="O438" s="35"/>
      <c r="CG438" s="36"/>
      <c r="CH438" s="36"/>
      <c r="CS438" s="36"/>
      <c r="CT438" s="36"/>
    </row>
    <row r="439" ht="15.75" customHeight="1">
      <c r="O439" s="35"/>
      <c r="CG439" s="36"/>
      <c r="CH439" s="36"/>
      <c r="CS439" s="36"/>
      <c r="CT439" s="36"/>
    </row>
    <row r="440" ht="15.75" customHeight="1">
      <c r="O440" s="35"/>
      <c r="CG440" s="36"/>
      <c r="CH440" s="36"/>
      <c r="CS440" s="36"/>
      <c r="CT440" s="36"/>
    </row>
    <row r="441" ht="15.75" customHeight="1">
      <c r="O441" s="35"/>
      <c r="CG441" s="36"/>
      <c r="CH441" s="36"/>
      <c r="CS441" s="36"/>
      <c r="CT441" s="36"/>
    </row>
    <row r="442" ht="15.75" customHeight="1">
      <c r="O442" s="35"/>
      <c r="CG442" s="36"/>
      <c r="CH442" s="36"/>
      <c r="CS442" s="36"/>
      <c r="CT442" s="36"/>
    </row>
    <row r="443" ht="15.75" customHeight="1">
      <c r="O443" s="35"/>
      <c r="CG443" s="36"/>
      <c r="CH443" s="36"/>
      <c r="CS443" s="36"/>
      <c r="CT443" s="36"/>
    </row>
    <row r="444" ht="15.75" customHeight="1">
      <c r="O444" s="35"/>
      <c r="CG444" s="36"/>
      <c r="CH444" s="36"/>
      <c r="CS444" s="36"/>
      <c r="CT444" s="36"/>
    </row>
    <row r="445" ht="15.75" customHeight="1">
      <c r="O445" s="35"/>
      <c r="CG445" s="36"/>
      <c r="CH445" s="36"/>
      <c r="CS445" s="36"/>
      <c r="CT445" s="36"/>
    </row>
    <row r="446" ht="15.75" customHeight="1">
      <c r="O446" s="35"/>
      <c r="CG446" s="36"/>
      <c r="CH446" s="36"/>
      <c r="CS446" s="36"/>
      <c r="CT446" s="36"/>
    </row>
    <row r="447" ht="15.75" customHeight="1">
      <c r="O447" s="35"/>
      <c r="CG447" s="36"/>
      <c r="CH447" s="36"/>
      <c r="CS447" s="36"/>
      <c r="CT447" s="36"/>
    </row>
    <row r="448" ht="15.75" customHeight="1">
      <c r="O448" s="35"/>
      <c r="CG448" s="36"/>
      <c r="CH448" s="36"/>
      <c r="CS448" s="36"/>
      <c r="CT448" s="36"/>
    </row>
    <row r="449" ht="15.75" customHeight="1">
      <c r="O449" s="35"/>
      <c r="CG449" s="36"/>
      <c r="CH449" s="36"/>
      <c r="CS449" s="36"/>
      <c r="CT449" s="36"/>
    </row>
    <row r="450" ht="15.75" customHeight="1">
      <c r="O450" s="35"/>
      <c r="CG450" s="36"/>
      <c r="CH450" s="36"/>
      <c r="CS450" s="36"/>
      <c r="CT450" s="36"/>
    </row>
    <row r="451" ht="15.75" customHeight="1">
      <c r="O451" s="35"/>
      <c r="CG451" s="36"/>
      <c r="CH451" s="36"/>
      <c r="CS451" s="36"/>
      <c r="CT451" s="36"/>
    </row>
    <row r="452" ht="15.75" customHeight="1">
      <c r="O452" s="35"/>
      <c r="CG452" s="36"/>
      <c r="CH452" s="36"/>
      <c r="CS452" s="36"/>
      <c r="CT452" s="36"/>
    </row>
    <row r="453" ht="15.75" customHeight="1">
      <c r="O453" s="35"/>
      <c r="CG453" s="36"/>
      <c r="CH453" s="36"/>
      <c r="CS453" s="36"/>
      <c r="CT453" s="36"/>
    </row>
    <row r="454" ht="15.75" customHeight="1">
      <c r="O454" s="35"/>
      <c r="CG454" s="36"/>
      <c r="CH454" s="36"/>
      <c r="CS454" s="36"/>
      <c r="CT454" s="36"/>
    </row>
    <row r="455" ht="15.75" customHeight="1">
      <c r="O455" s="35"/>
      <c r="CG455" s="36"/>
      <c r="CH455" s="36"/>
      <c r="CS455" s="36"/>
      <c r="CT455" s="36"/>
    </row>
    <row r="456" ht="15.75" customHeight="1">
      <c r="O456" s="35"/>
      <c r="CG456" s="36"/>
      <c r="CH456" s="36"/>
      <c r="CS456" s="36"/>
      <c r="CT456" s="36"/>
    </row>
    <row r="457" ht="15.75" customHeight="1">
      <c r="O457" s="35"/>
      <c r="CG457" s="36"/>
      <c r="CH457" s="36"/>
      <c r="CS457" s="36"/>
      <c r="CT457" s="36"/>
    </row>
    <row r="458" ht="15.75" customHeight="1">
      <c r="O458" s="35"/>
      <c r="CG458" s="36"/>
      <c r="CH458" s="36"/>
      <c r="CS458" s="36"/>
      <c r="CT458" s="36"/>
    </row>
    <row r="459" ht="15.75" customHeight="1">
      <c r="O459" s="35"/>
      <c r="CG459" s="36"/>
      <c r="CH459" s="36"/>
      <c r="CS459" s="36"/>
      <c r="CT459" s="36"/>
    </row>
    <row r="460" ht="15.75" customHeight="1">
      <c r="O460" s="35"/>
      <c r="CG460" s="36"/>
      <c r="CH460" s="36"/>
      <c r="CS460" s="36"/>
      <c r="CT460" s="36"/>
    </row>
    <row r="461" ht="15.75" customHeight="1">
      <c r="O461" s="35"/>
      <c r="CG461" s="36"/>
      <c r="CH461" s="36"/>
      <c r="CS461" s="36"/>
      <c r="CT461" s="36"/>
    </row>
    <row r="462" ht="15.75" customHeight="1">
      <c r="O462" s="35"/>
      <c r="CG462" s="36"/>
      <c r="CH462" s="36"/>
      <c r="CS462" s="36"/>
      <c r="CT462" s="36"/>
    </row>
    <row r="463" ht="15.75" customHeight="1">
      <c r="O463" s="35"/>
      <c r="CG463" s="36"/>
      <c r="CH463" s="36"/>
      <c r="CS463" s="36"/>
      <c r="CT463" s="36"/>
    </row>
    <row r="464" ht="15.75" customHeight="1">
      <c r="O464" s="35"/>
      <c r="CG464" s="36"/>
      <c r="CH464" s="36"/>
      <c r="CS464" s="36"/>
      <c r="CT464" s="36"/>
    </row>
    <row r="465" ht="15.75" customHeight="1">
      <c r="O465" s="35"/>
      <c r="CG465" s="36"/>
      <c r="CH465" s="36"/>
      <c r="CS465" s="36"/>
      <c r="CT465" s="36"/>
    </row>
    <row r="466" ht="15.75" customHeight="1">
      <c r="O466" s="35"/>
      <c r="CG466" s="36"/>
      <c r="CH466" s="36"/>
      <c r="CS466" s="36"/>
      <c r="CT466" s="36"/>
    </row>
    <row r="467" ht="15.75" customHeight="1">
      <c r="O467" s="35"/>
      <c r="CG467" s="36"/>
      <c r="CH467" s="36"/>
      <c r="CS467" s="36"/>
      <c r="CT467" s="36"/>
    </row>
    <row r="468" ht="15.75" customHeight="1">
      <c r="O468" s="35"/>
      <c r="CG468" s="36"/>
      <c r="CH468" s="36"/>
      <c r="CS468" s="36"/>
      <c r="CT468" s="36"/>
    </row>
    <row r="469" ht="15.75" customHeight="1">
      <c r="O469" s="35"/>
      <c r="CG469" s="36"/>
      <c r="CH469" s="36"/>
      <c r="CS469" s="36"/>
      <c r="CT469" s="36"/>
    </row>
    <row r="470" ht="15.75" customHeight="1">
      <c r="O470" s="35"/>
      <c r="CG470" s="36"/>
      <c r="CH470" s="36"/>
      <c r="CS470" s="36"/>
      <c r="CT470" s="36"/>
    </row>
    <row r="471" ht="15.75" customHeight="1">
      <c r="O471" s="35"/>
      <c r="CG471" s="36"/>
      <c r="CH471" s="36"/>
      <c r="CS471" s="36"/>
      <c r="CT471" s="36"/>
    </row>
    <row r="472" ht="15.75" customHeight="1">
      <c r="O472" s="35"/>
      <c r="CG472" s="36"/>
      <c r="CH472" s="36"/>
      <c r="CS472" s="36"/>
      <c r="CT472" s="36"/>
    </row>
    <row r="473" ht="15.75" customHeight="1">
      <c r="O473" s="35"/>
      <c r="CG473" s="36"/>
      <c r="CH473" s="36"/>
      <c r="CS473" s="36"/>
      <c r="CT473" s="36"/>
    </row>
    <row r="474" ht="15.75" customHeight="1">
      <c r="O474" s="35"/>
      <c r="CG474" s="36"/>
      <c r="CH474" s="36"/>
      <c r="CS474" s="36"/>
      <c r="CT474" s="36"/>
    </row>
    <row r="475" ht="15.75" customHeight="1">
      <c r="O475" s="35"/>
      <c r="CG475" s="36"/>
      <c r="CH475" s="36"/>
      <c r="CS475" s="36"/>
      <c r="CT475" s="36"/>
    </row>
    <row r="476" ht="15.75" customHeight="1">
      <c r="O476" s="35"/>
      <c r="CG476" s="36"/>
      <c r="CH476" s="36"/>
      <c r="CS476" s="36"/>
      <c r="CT476" s="36"/>
    </row>
    <row r="477" ht="15.75" customHeight="1">
      <c r="O477" s="35"/>
      <c r="CG477" s="36"/>
      <c r="CH477" s="36"/>
      <c r="CS477" s="36"/>
      <c r="CT477" s="36"/>
    </row>
    <row r="478" ht="15.75" customHeight="1">
      <c r="O478" s="35"/>
      <c r="CG478" s="36"/>
      <c r="CH478" s="36"/>
      <c r="CS478" s="36"/>
      <c r="CT478" s="36"/>
    </row>
    <row r="479" ht="15.75" customHeight="1">
      <c r="O479" s="35"/>
      <c r="CG479" s="36"/>
      <c r="CH479" s="36"/>
      <c r="CS479" s="36"/>
      <c r="CT479" s="36"/>
    </row>
    <row r="480" ht="15.75" customHeight="1">
      <c r="O480" s="35"/>
      <c r="CG480" s="36"/>
      <c r="CH480" s="36"/>
      <c r="CS480" s="36"/>
      <c r="CT480" s="36"/>
    </row>
    <row r="481" ht="15.75" customHeight="1">
      <c r="O481" s="35"/>
      <c r="CG481" s="36"/>
      <c r="CH481" s="36"/>
      <c r="CS481" s="36"/>
      <c r="CT481" s="36"/>
    </row>
    <row r="482" ht="15.75" customHeight="1">
      <c r="O482" s="35"/>
      <c r="CG482" s="36"/>
      <c r="CH482" s="36"/>
      <c r="CS482" s="36"/>
      <c r="CT482" s="36"/>
    </row>
    <row r="483" ht="15.75" customHeight="1">
      <c r="O483" s="35"/>
      <c r="CG483" s="36"/>
      <c r="CH483" s="36"/>
      <c r="CS483" s="36"/>
      <c r="CT483" s="36"/>
    </row>
    <row r="484" ht="15.75" customHeight="1">
      <c r="O484" s="35"/>
      <c r="CG484" s="36"/>
      <c r="CH484" s="36"/>
      <c r="CS484" s="36"/>
      <c r="CT484" s="36"/>
    </row>
    <row r="485" ht="15.75" customHeight="1">
      <c r="O485" s="35"/>
      <c r="CG485" s="36"/>
      <c r="CH485" s="36"/>
      <c r="CS485" s="36"/>
      <c r="CT485" s="36"/>
    </row>
    <row r="486" ht="15.75" customHeight="1">
      <c r="O486" s="35"/>
      <c r="CG486" s="36"/>
      <c r="CH486" s="36"/>
      <c r="CS486" s="36"/>
      <c r="CT486" s="36"/>
    </row>
    <row r="487" ht="15.75" customHeight="1">
      <c r="O487" s="35"/>
      <c r="CG487" s="36"/>
      <c r="CH487" s="36"/>
      <c r="CS487" s="36"/>
      <c r="CT487" s="36"/>
    </row>
    <row r="488" ht="15.75" customHeight="1">
      <c r="O488" s="35"/>
      <c r="CG488" s="36"/>
      <c r="CH488" s="36"/>
      <c r="CS488" s="36"/>
      <c r="CT488" s="36"/>
    </row>
    <row r="489" ht="15.75" customHeight="1">
      <c r="O489" s="35"/>
      <c r="CG489" s="36"/>
      <c r="CH489" s="36"/>
      <c r="CS489" s="36"/>
      <c r="CT489" s="36"/>
    </row>
    <row r="490" ht="15.75" customHeight="1">
      <c r="O490" s="35"/>
      <c r="CG490" s="36"/>
      <c r="CH490" s="36"/>
      <c r="CS490" s="36"/>
      <c r="CT490" s="36"/>
    </row>
    <row r="491" ht="15.75" customHeight="1">
      <c r="O491" s="35"/>
      <c r="CG491" s="36"/>
      <c r="CH491" s="36"/>
      <c r="CS491" s="36"/>
      <c r="CT491" s="36"/>
    </row>
    <row r="492" ht="15.75" customHeight="1">
      <c r="O492" s="35"/>
      <c r="CG492" s="36"/>
      <c r="CH492" s="36"/>
      <c r="CS492" s="36"/>
      <c r="CT492" s="36"/>
    </row>
    <row r="493" ht="15.75" customHeight="1">
      <c r="O493" s="35"/>
      <c r="CG493" s="36"/>
      <c r="CH493" s="36"/>
      <c r="CS493" s="36"/>
      <c r="CT493" s="36"/>
    </row>
    <row r="494" ht="15.75" customHeight="1">
      <c r="O494" s="35"/>
      <c r="CG494" s="36"/>
      <c r="CH494" s="36"/>
      <c r="CS494" s="36"/>
      <c r="CT494" s="36"/>
    </row>
    <row r="495" ht="15.75" customHeight="1">
      <c r="O495" s="35"/>
      <c r="CG495" s="36"/>
      <c r="CH495" s="36"/>
      <c r="CS495" s="36"/>
      <c r="CT495" s="36"/>
    </row>
    <row r="496" ht="15.75" customHeight="1">
      <c r="O496" s="35"/>
      <c r="CG496" s="36"/>
      <c r="CH496" s="36"/>
      <c r="CS496" s="36"/>
      <c r="CT496" s="36"/>
    </row>
    <row r="497" ht="15.75" customHeight="1">
      <c r="O497" s="35"/>
      <c r="CG497" s="36"/>
      <c r="CH497" s="36"/>
      <c r="CS497" s="36"/>
      <c r="CT497" s="36"/>
    </row>
    <row r="498" ht="15.75" customHeight="1">
      <c r="O498" s="35"/>
      <c r="CG498" s="36"/>
      <c r="CH498" s="36"/>
      <c r="CS498" s="36"/>
      <c r="CT498" s="36"/>
    </row>
    <row r="499" ht="15.75" customHeight="1">
      <c r="O499" s="35"/>
      <c r="CG499" s="36"/>
      <c r="CH499" s="36"/>
      <c r="CS499" s="36"/>
      <c r="CT499" s="36"/>
    </row>
    <row r="500" ht="15.75" customHeight="1">
      <c r="O500" s="35"/>
      <c r="CG500" s="36"/>
      <c r="CH500" s="36"/>
      <c r="CS500" s="36"/>
      <c r="CT500" s="36"/>
    </row>
    <row r="501" ht="15.75" customHeight="1">
      <c r="O501" s="35"/>
      <c r="CG501" s="36"/>
      <c r="CH501" s="36"/>
      <c r="CS501" s="36"/>
      <c r="CT501" s="36"/>
    </row>
    <row r="502" ht="15.75" customHeight="1">
      <c r="O502" s="35"/>
      <c r="CG502" s="36"/>
      <c r="CH502" s="36"/>
      <c r="CS502" s="36"/>
      <c r="CT502" s="36"/>
    </row>
    <row r="503" ht="15.75" customHeight="1">
      <c r="O503" s="35"/>
      <c r="CG503" s="36"/>
      <c r="CH503" s="36"/>
      <c r="CS503" s="36"/>
      <c r="CT503" s="36"/>
    </row>
    <row r="504" ht="15.75" customHeight="1">
      <c r="O504" s="35"/>
      <c r="CG504" s="36"/>
      <c r="CH504" s="36"/>
      <c r="CS504" s="36"/>
      <c r="CT504" s="36"/>
    </row>
    <row r="505" ht="15.75" customHeight="1">
      <c r="O505" s="35"/>
      <c r="CG505" s="36"/>
      <c r="CH505" s="36"/>
      <c r="CS505" s="36"/>
      <c r="CT505" s="36"/>
    </row>
    <row r="506" ht="15.75" customHeight="1">
      <c r="O506" s="35"/>
      <c r="CG506" s="36"/>
      <c r="CH506" s="36"/>
      <c r="CS506" s="36"/>
      <c r="CT506" s="36"/>
    </row>
    <row r="507" ht="15.75" customHeight="1">
      <c r="O507" s="35"/>
      <c r="CG507" s="36"/>
      <c r="CH507" s="36"/>
      <c r="CS507" s="36"/>
      <c r="CT507" s="36"/>
    </row>
    <row r="508" ht="15.75" customHeight="1">
      <c r="O508" s="35"/>
      <c r="CG508" s="36"/>
      <c r="CH508" s="36"/>
      <c r="CS508" s="36"/>
      <c r="CT508" s="36"/>
    </row>
    <row r="509" ht="15.75" customHeight="1">
      <c r="O509" s="35"/>
      <c r="CG509" s="36"/>
      <c r="CH509" s="36"/>
      <c r="CS509" s="36"/>
      <c r="CT509" s="36"/>
    </row>
    <row r="510" ht="15.75" customHeight="1">
      <c r="O510" s="35"/>
      <c r="CG510" s="36"/>
      <c r="CH510" s="36"/>
      <c r="CS510" s="36"/>
      <c r="CT510" s="36"/>
    </row>
    <row r="511" ht="15.75" customHeight="1">
      <c r="O511" s="35"/>
      <c r="CG511" s="36"/>
      <c r="CH511" s="36"/>
      <c r="CS511" s="36"/>
      <c r="CT511" s="36"/>
    </row>
    <row r="512" ht="15.75" customHeight="1">
      <c r="O512" s="35"/>
      <c r="CG512" s="36"/>
      <c r="CH512" s="36"/>
      <c r="CS512" s="36"/>
      <c r="CT512" s="36"/>
    </row>
    <row r="513" ht="15.75" customHeight="1">
      <c r="O513" s="35"/>
      <c r="CG513" s="36"/>
      <c r="CH513" s="36"/>
      <c r="CS513" s="36"/>
      <c r="CT513" s="36"/>
    </row>
    <row r="514" ht="15.75" customHeight="1">
      <c r="O514" s="35"/>
      <c r="CG514" s="36"/>
      <c r="CH514" s="36"/>
      <c r="CS514" s="36"/>
      <c r="CT514" s="36"/>
    </row>
    <row r="515" ht="15.75" customHeight="1">
      <c r="O515" s="35"/>
      <c r="CG515" s="36"/>
      <c r="CH515" s="36"/>
      <c r="CS515" s="36"/>
      <c r="CT515" s="36"/>
    </row>
    <row r="516" ht="15.75" customHeight="1">
      <c r="O516" s="35"/>
      <c r="CG516" s="36"/>
      <c r="CH516" s="36"/>
      <c r="CS516" s="36"/>
      <c r="CT516" s="36"/>
    </row>
    <row r="517" ht="15.75" customHeight="1">
      <c r="O517" s="35"/>
      <c r="CG517" s="36"/>
      <c r="CH517" s="36"/>
      <c r="CS517" s="36"/>
      <c r="CT517" s="36"/>
    </row>
    <row r="518" ht="15.75" customHeight="1">
      <c r="O518" s="35"/>
      <c r="CG518" s="36"/>
      <c r="CH518" s="36"/>
      <c r="CS518" s="36"/>
      <c r="CT518" s="36"/>
    </row>
    <row r="519" ht="15.75" customHeight="1">
      <c r="O519" s="35"/>
      <c r="CG519" s="36"/>
      <c r="CH519" s="36"/>
      <c r="CS519" s="36"/>
      <c r="CT519" s="36"/>
    </row>
    <row r="520" ht="15.75" customHeight="1">
      <c r="O520" s="35"/>
      <c r="CG520" s="36"/>
      <c r="CH520" s="36"/>
      <c r="CS520" s="36"/>
      <c r="CT520" s="36"/>
    </row>
    <row r="521" ht="15.75" customHeight="1">
      <c r="O521" s="35"/>
      <c r="CG521" s="36"/>
      <c r="CH521" s="36"/>
      <c r="CS521" s="36"/>
      <c r="CT521" s="36"/>
    </row>
    <row r="522" ht="15.75" customHeight="1">
      <c r="O522" s="35"/>
      <c r="CG522" s="36"/>
      <c r="CH522" s="36"/>
      <c r="CS522" s="36"/>
      <c r="CT522" s="36"/>
    </row>
    <row r="523" ht="15.75" customHeight="1">
      <c r="O523" s="35"/>
      <c r="CG523" s="36"/>
      <c r="CH523" s="36"/>
      <c r="CS523" s="36"/>
      <c r="CT523" s="36"/>
    </row>
    <row r="524" ht="15.75" customHeight="1">
      <c r="O524" s="35"/>
      <c r="CG524" s="36"/>
      <c r="CH524" s="36"/>
      <c r="CS524" s="36"/>
      <c r="CT524" s="36"/>
    </row>
    <row r="525" ht="15.75" customHeight="1">
      <c r="O525" s="35"/>
      <c r="CG525" s="36"/>
      <c r="CH525" s="36"/>
      <c r="CS525" s="36"/>
      <c r="CT525" s="36"/>
    </row>
    <row r="526" ht="15.75" customHeight="1">
      <c r="O526" s="35"/>
      <c r="CG526" s="36"/>
      <c r="CH526" s="36"/>
      <c r="CS526" s="36"/>
      <c r="CT526" s="36"/>
    </row>
    <row r="527" ht="15.75" customHeight="1">
      <c r="O527" s="35"/>
      <c r="CG527" s="36"/>
      <c r="CH527" s="36"/>
      <c r="CS527" s="36"/>
      <c r="CT527" s="36"/>
    </row>
    <row r="528" ht="15.75" customHeight="1">
      <c r="O528" s="35"/>
      <c r="CG528" s="36"/>
      <c r="CH528" s="36"/>
      <c r="CS528" s="36"/>
      <c r="CT528" s="36"/>
    </row>
    <row r="529" ht="15.75" customHeight="1">
      <c r="O529" s="35"/>
      <c r="CG529" s="36"/>
      <c r="CH529" s="36"/>
      <c r="CS529" s="36"/>
      <c r="CT529" s="36"/>
    </row>
    <row r="530" ht="15.75" customHeight="1">
      <c r="O530" s="35"/>
      <c r="CG530" s="36"/>
      <c r="CH530" s="36"/>
      <c r="CS530" s="36"/>
      <c r="CT530" s="36"/>
    </row>
    <row r="531" ht="15.75" customHeight="1">
      <c r="O531" s="35"/>
      <c r="CG531" s="36"/>
      <c r="CH531" s="36"/>
      <c r="CS531" s="36"/>
      <c r="CT531" s="36"/>
    </row>
    <row r="532" ht="15.75" customHeight="1">
      <c r="O532" s="35"/>
      <c r="CG532" s="36"/>
      <c r="CH532" s="36"/>
      <c r="CS532" s="36"/>
      <c r="CT532" s="36"/>
    </row>
    <row r="533" ht="15.75" customHeight="1">
      <c r="O533" s="35"/>
      <c r="CG533" s="36"/>
      <c r="CH533" s="36"/>
      <c r="CS533" s="36"/>
      <c r="CT533" s="36"/>
    </row>
    <row r="534" ht="15.75" customHeight="1">
      <c r="O534" s="35"/>
      <c r="CG534" s="36"/>
      <c r="CH534" s="36"/>
      <c r="CS534" s="36"/>
      <c r="CT534" s="36"/>
    </row>
    <row r="535" ht="15.75" customHeight="1">
      <c r="O535" s="35"/>
      <c r="CG535" s="36"/>
      <c r="CH535" s="36"/>
      <c r="CS535" s="36"/>
      <c r="CT535" s="36"/>
    </row>
    <row r="536" ht="15.75" customHeight="1">
      <c r="O536" s="35"/>
      <c r="CG536" s="36"/>
      <c r="CH536" s="36"/>
      <c r="CS536" s="36"/>
      <c r="CT536" s="36"/>
    </row>
    <row r="537" ht="15.75" customHeight="1">
      <c r="O537" s="35"/>
      <c r="CG537" s="36"/>
      <c r="CH537" s="36"/>
      <c r="CS537" s="36"/>
      <c r="CT537" s="36"/>
    </row>
    <row r="538" ht="15.75" customHeight="1">
      <c r="O538" s="35"/>
      <c r="CG538" s="36"/>
      <c r="CH538" s="36"/>
      <c r="CS538" s="36"/>
      <c r="CT538" s="36"/>
    </row>
    <row r="539" ht="15.75" customHeight="1">
      <c r="O539" s="35"/>
      <c r="CG539" s="36"/>
      <c r="CH539" s="36"/>
      <c r="CS539" s="36"/>
      <c r="CT539" s="36"/>
    </row>
    <row r="540" ht="15.75" customHeight="1">
      <c r="O540" s="35"/>
      <c r="CG540" s="36"/>
      <c r="CH540" s="36"/>
      <c r="CS540" s="36"/>
      <c r="CT540" s="36"/>
    </row>
    <row r="541" ht="15.75" customHeight="1">
      <c r="O541" s="35"/>
      <c r="CG541" s="36"/>
      <c r="CH541" s="36"/>
      <c r="CS541" s="36"/>
      <c r="CT541" s="36"/>
    </row>
    <row r="542" ht="15.75" customHeight="1">
      <c r="O542" s="35"/>
      <c r="CG542" s="36"/>
      <c r="CH542" s="36"/>
      <c r="CS542" s="36"/>
      <c r="CT542" s="36"/>
    </row>
    <row r="543" ht="15.75" customHeight="1">
      <c r="O543" s="35"/>
      <c r="CG543" s="36"/>
      <c r="CH543" s="36"/>
      <c r="CS543" s="36"/>
      <c r="CT543" s="36"/>
    </row>
    <row r="544" ht="15.75" customHeight="1">
      <c r="O544" s="35"/>
      <c r="CG544" s="36"/>
      <c r="CH544" s="36"/>
      <c r="CS544" s="36"/>
      <c r="CT544" s="36"/>
    </row>
    <row r="545" ht="15.75" customHeight="1">
      <c r="O545" s="35"/>
      <c r="CG545" s="36"/>
      <c r="CH545" s="36"/>
      <c r="CS545" s="36"/>
      <c r="CT545" s="36"/>
    </row>
    <row r="546" ht="15.75" customHeight="1">
      <c r="O546" s="35"/>
      <c r="CG546" s="36"/>
      <c r="CH546" s="36"/>
      <c r="CS546" s="36"/>
      <c r="CT546" s="36"/>
    </row>
    <row r="547" ht="15.75" customHeight="1">
      <c r="O547" s="35"/>
      <c r="CG547" s="36"/>
      <c r="CH547" s="36"/>
      <c r="CS547" s="36"/>
      <c r="CT547" s="36"/>
    </row>
    <row r="548" ht="15.75" customHeight="1">
      <c r="O548" s="35"/>
      <c r="CG548" s="36"/>
      <c r="CH548" s="36"/>
      <c r="CS548" s="36"/>
      <c r="CT548" s="36"/>
    </row>
    <row r="549" ht="15.75" customHeight="1">
      <c r="O549" s="35"/>
      <c r="CG549" s="36"/>
      <c r="CH549" s="36"/>
      <c r="CS549" s="36"/>
      <c r="CT549" s="36"/>
    </row>
    <row r="550" ht="15.75" customHeight="1">
      <c r="O550" s="35"/>
      <c r="CG550" s="36"/>
      <c r="CH550" s="36"/>
      <c r="CS550" s="36"/>
      <c r="CT550" s="36"/>
    </row>
    <row r="551" ht="15.75" customHeight="1">
      <c r="O551" s="35"/>
      <c r="CG551" s="36"/>
      <c r="CH551" s="36"/>
      <c r="CS551" s="36"/>
      <c r="CT551" s="36"/>
    </row>
    <row r="552" ht="15.75" customHeight="1">
      <c r="O552" s="35"/>
      <c r="CG552" s="36"/>
      <c r="CH552" s="36"/>
      <c r="CS552" s="36"/>
      <c r="CT552" s="36"/>
    </row>
    <row r="553" ht="15.75" customHeight="1">
      <c r="O553" s="35"/>
      <c r="CG553" s="36"/>
      <c r="CH553" s="36"/>
      <c r="CS553" s="36"/>
      <c r="CT553" s="36"/>
    </row>
    <row r="554" ht="15.75" customHeight="1">
      <c r="O554" s="35"/>
      <c r="CG554" s="36"/>
      <c r="CH554" s="36"/>
      <c r="CS554" s="36"/>
      <c r="CT554" s="36"/>
    </row>
    <row r="555" ht="15.75" customHeight="1">
      <c r="O555" s="35"/>
      <c r="CG555" s="36"/>
      <c r="CH555" s="36"/>
      <c r="CS555" s="36"/>
      <c r="CT555" s="36"/>
    </row>
    <row r="556" ht="15.75" customHeight="1">
      <c r="O556" s="35"/>
      <c r="CG556" s="36"/>
      <c r="CH556" s="36"/>
      <c r="CS556" s="36"/>
      <c r="CT556" s="36"/>
    </row>
    <row r="557" ht="15.75" customHeight="1">
      <c r="O557" s="35"/>
      <c r="CG557" s="36"/>
      <c r="CH557" s="36"/>
      <c r="CS557" s="36"/>
      <c r="CT557" s="36"/>
    </row>
    <row r="558" ht="15.75" customHeight="1">
      <c r="O558" s="35"/>
      <c r="CG558" s="36"/>
      <c r="CH558" s="36"/>
      <c r="CS558" s="36"/>
      <c r="CT558" s="36"/>
    </row>
    <row r="559" ht="15.75" customHeight="1">
      <c r="O559" s="35"/>
      <c r="CG559" s="36"/>
      <c r="CH559" s="36"/>
      <c r="CS559" s="36"/>
      <c r="CT559" s="36"/>
    </row>
    <row r="560" ht="15.75" customHeight="1">
      <c r="O560" s="35"/>
      <c r="CG560" s="36"/>
      <c r="CH560" s="36"/>
      <c r="CS560" s="36"/>
      <c r="CT560" s="36"/>
    </row>
    <row r="561" ht="15.75" customHeight="1">
      <c r="O561" s="35"/>
      <c r="CG561" s="36"/>
      <c r="CH561" s="36"/>
      <c r="CS561" s="36"/>
      <c r="CT561" s="36"/>
    </row>
    <row r="562" ht="15.75" customHeight="1">
      <c r="O562" s="35"/>
      <c r="CG562" s="36"/>
      <c r="CH562" s="36"/>
      <c r="CS562" s="36"/>
      <c r="CT562" s="36"/>
    </row>
    <row r="563" ht="15.75" customHeight="1">
      <c r="O563" s="35"/>
      <c r="CG563" s="36"/>
      <c r="CH563" s="36"/>
      <c r="CS563" s="36"/>
      <c r="CT563" s="36"/>
    </row>
    <row r="564" ht="15.75" customHeight="1">
      <c r="O564" s="35"/>
      <c r="CG564" s="36"/>
      <c r="CH564" s="36"/>
      <c r="CS564" s="36"/>
      <c r="CT564" s="36"/>
    </row>
    <row r="565" ht="15.75" customHeight="1">
      <c r="O565" s="35"/>
      <c r="CG565" s="36"/>
      <c r="CH565" s="36"/>
      <c r="CS565" s="36"/>
      <c r="CT565" s="36"/>
    </row>
    <row r="566" ht="15.75" customHeight="1">
      <c r="O566" s="35"/>
      <c r="CG566" s="36"/>
      <c r="CH566" s="36"/>
      <c r="CS566" s="36"/>
      <c r="CT566" s="36"/>
    </row>
    <row r="567" ht="15.75" customHeight="1">
      <c r="O567" s="35"/>
      <c r="CG567" s="36"/>
      <c r="CH567" s="36"/>
      <c r="CS567" s="36"/>
      <c r="CT567" s="36"/>
    </row>
    <row r="568" ht="15.75" customHeight="1">
      <c r="O568" s="35"/>
      <c r="CG568" s="36"/>
      <c r="CH568" s="36"/>
      <c r="CS568" s="36"/>
      <c r="CT568" s="36"/>
    </row>
    <row r="569" ht="15.75" customHeight="1">
      <c r="O569" s="35"/>
      <c r="CG569" s="36"/>
      <c r="CH569" s="36"/>
      <c r="CS569" s="36"/>
      <c r="CT569" s="36"/>
    </row>
    <row r="570" ht="15.75" customHeight="1">
      <c r="O570" s="35"/>
      <c r="CG570" s="36"/>
      <c r="CH570" s="36"/>
      <c r="CS570" s="36"/>
      <c r="CT570" s="36"/>
    </row>
    <row r="571" ht="15.75" customHeight="1">
      <c r="O571" s="35"/>
      <c r="CG571" s="36"/>
      <c r="CH571" s="36"/>
      <c r="CS571" s="36"/>
      <c r="CT571" s="36"/>
    </row>
    <row r="572" ht="15.75" customHeight="1">
      <c r="O572" s="35"/>
      <c r="CG572" s="36"/>
      <c r="CH572" s="36"/>
      <c r="CS572" s="36"/>
      <c r="CT572" s="36"/>
    </row>
    <row r="573" ht="15.75" customHeight="1">
      <c r="O573" s="35"/>
      <c r="CG573" s="36"/>
      <c r="CH573" s="36"/>
      <c r="CS573" s="36"/>
      <c r="CT573" s="36"/>
    </row>
    <row r="574" ht="15.75" customHeight="1">
      <c r="O574" s="35"/>
      <c r="CG574" s="36"/>
      <c r="CH574" s="36"/>
      <c r="CS574" s="36"/>
      <c r="CT574" s="36"/>
    </row>
    <row r="575" ht="15.75" customHeight="1">
      <c r="O575" s="35"/>
      <c r="CG575" s="36"/>
      <c r="CH575" s="36"/>
      <c r="CS575" s="36"/>
      <c r="CT575" s="36"/>
    </row>
    <row r="576" ht="15.75" customHeight="1">
      <c r="O576" s="35"/>
      <c r="CG576" s="36"/>
      <c r="CH576" s="36"/>
      <c r="CS576" s="36"/>
      <c r="CT576" s="36"/>
    </row>
    <row r="577" ht="15.75" customHeight="1">
      <c r="O577" s="35"/>
      <c r="CG577" s="36"/>
      <c r="CH577" s="36"/>
      <c r="CS577" s="36"/>
      <c r="CT577" s="36"/>
    </row>
    <row r="578" ht="15.75" customHeight="1">
      <c r="O578" s="35"/>
      <c r="CG578" s="36"/>
      <c r="CH578" s="36"/>
      <c r="CS578" s="36"/>
      <c r="CT578" s="36"/>
    </row>
    <row r="579" ht="15.75" customHeight="1">
      <c r="O579" s="35"/>
      <c r="CG579" s="36"/>
      <c r="CH579" s="36"/>
      <c r="CS579" s="36"/>
      <c r="CT579" s="36"/>
    </row>
    <row r="580" ht="15.75" customHeight="1">
      <c r="O580" s="35"/>
      <c r="CG580" s="36"/>
      <c r="CH580" s="36"/>
      <c r="CS580" s="36"/>
      <c r="CT580" s="36"/>
    </row>
    <row r="581" ht="15.75" customHeight="1">
      <c r="O581" s="35"/>
      <c r="CG581" s="36"/>
      <c r="CH581" s="36"/>
      <c r="CS581" s="36"/>
      <c r="CT581" s="36"/>
    </row>
    <row r="582" ht="15.75" customHeight="1">
      <c r="O582" s="35"/>
      <c r="CG582" s="36"/>
      <c r="CH582" s="36"/>
      <c r="CS582" s="36"/>
      <c r="CT582" s="36"/>
    </row>
    <row r="583" ht="15.75" customHeight="1">
      <c r="O583" s="35"/>
      <c r="CG583" s="36"/>
      <c r="CH583" s="36"/>
      <c r="CS583" s="36"/>
      <c r="CT583" s="36"/>
    </row>
    <row r="584" ht="15.75" customHeight="1">
      <c r="O584" s="35"/>
      <c r="CG584" s="36"/>
      <c r="CH584" s="36"/>
      <c r="CS584" s="36"/>
      <c r="CT584" s="36"/>
    </row>
    <row r="585" ht="15.75" customHeight="1">
      <c r="O585" s="35"/>
      <c r="CG585" s="36"/>
      <c r="CH585" s="36"/>
      <c r="CS585" s="36"/>
      <c r="CT585" s="36"/>
    </row>
    <row r="586" ht="15.75" customHeight="1">
      <c r="O586" s="35"/>
      <c r="CG586" s="36"/>
      <c r="CH586" s="36"/>
      <c r="CS586" s="36"/>
      <c r="CT586" s="36"/>
    </row>
    <row r="587" ht="15.75" customHeight="1">
      <c r="O587" s="35"/>
      <c r="CG587" s="36"/>
      <c r="CH587" s="36"/>
      <c r="CS587" s="36"/>
      <c r="CT587" s="36"/>
    </row>
    <row r="588" ht="15.75" customHeight="1">
      <c r="O588" s="35"/>
      <c r="CG588" s="36"/>
      <c r="CH588" s="36"/>
      <c r="CS588" s="36"/>
      <c r="CT588" s="36"/>
    </row>
    <row r="589" ht="15.75" customHeight="1">
      <c r="O589" s="35"/>
      <c r="CG589" s="36"/>
      <c r="CH589" s="36"/>
      <c r="CS589" s="36"/>
      <c r="CT589" s="36"/>
    </row>
    <row r="590" ht="15.75" customHeight="1">
      <c r="O590" s="35"/>
      <c r="CG590" s="36"/>
      <c r="CH590" s="36"/>
      <c r="CS590" s="36"/>
      <c r="CT590" s="36"/>
    </row>
    <row r="591" ht="15.75" customHeight="1">
      <c r="O591" s="35"/>
      <c r="CG591" s="36"/>
      <c r="CH591" s="36"/>
      <c r="CS591" s="36"/>
      <c r="CT591" s="36"/>
    </row>
    <row r="592" ht="15.75" customHeight="1">
      <c r="O592" s="35"/>
      <c r="CG592" s="36"/>
      <c r="CH592" s="36"/>
      <c r="CS592" s="36"/>
      <c r="CT592" s="36"/>
    </row>
    <row r="593" ht="15.75" customHeight="1">
      <c r="O593" s="35"/>
      <c r="CG593" s="36"/>
      <c r="CH593" s="36"/>
      <c r="CS593" s="36"/>
      <c r="CT593" s="36"/>
    </row>
    <row r="594" ht="15.75" customHeight="1">
      <c r="O594" s="35"/>
      <c r="CG594" s="36"/>
      <c r="CH594" s="36"/>
      <c r="CS594" s="36"/>
      <c r="CT594" s="36"/>
    </row>
    <row r="595" ht="15.75" customHeight="1">
      <c r="O595" s="35"/>
      <c r="CG595" s="36"/>
      <c r="CH595" s="36"/>
      <c r="CS595" s="36"/>
      <c r="CT595" s="36"/>
    </row>
    <row r="596" ht="15.75" customHeight="1">
      <c r="O596" s="35"/>
      <c r="CG596" s="36"/>
      <c r="CH596" s="36"/>
      <c r="CS596" s="36"/>
      <c r="CT596" s="36"/>
    </row>
    <row r="597" ht="15.75" customHeight="1">
      <c r="O597" s="35"/>
      <c r="CG597" s="36"/>
      <c r="CH597" s="36"/>
      <c r="CS597" s="36"/>
      <c r="CT597" s="36"/>
    </row>
    <row r="598" ht="15.75" customHeight="1">
      <c r="O598" s="35"/>
      <c r="CG598" s="36"/>
      <c r="CH598" s="36"/>
      <c r="CS598" s="36"/>
      <c r="CT598" s="36"/>
    </row>
    <row r="599" ht="15.75" customHeight="1">
      <c r="O599" s="35"/>
      <c r="CG599" s="36"/>
      <c r="CH599" s="36"/>
      <c r="CS599" s="36"/>
      <c r="CT599" s="36"/>
    </row>
    <row r="600" ht="15.75" customHeight="1">
      <c r="O600" s="35"/>
      <c r="CG600" s="36"/>
      <c r="CH600" s="36"/>
      <c r="CS600" s="36"/>
      <c r="CT600" s="36"/>
    </row>
    <row r="601" ht="15.75" customHeight="1">
      <c r="O601" s="35"/>
      <c r="CG601" s="36"/>
      <c r="CH601" s="36"/>
      <c r="CS601" s="36"/>
      <c r="CT601" s="36"/>
    </row>
    <row r="602" ht="15.75" customHeight="1">
      <c r="O602" s="35"/>
      <c r="CG602" s="36"/>
      <c r="CH602" s="36"/>
      <c r="CS602" s="36"/>
      <c r="CT602" s="36"/>
    </row>
    <row r="603" ht="15.75" customHeight="1">
      <c r="O603" s="35"/>
      <c r="CG603" s="36"/>
      <c r="CH603" s="36"/>
      <c r="CS603" s="36"/>
      <c r="CT603" s="36"/>
    </row>
    <row r="604" ht="15.75" customHeight="1">
      <c r="O604" s="35"/>
      <c r="CG604" s="36"/>
      <c r="CH604" s="36"/>
      <c r="CS604" s="36"/>
      <c r="CT604" s="36"/>
    </row>
    <row r="605" ht="15.75" customHeight="1">
      <c r="O605" s="35"/>
      <c r="CG605" s="36"/>
      <c r="CH605" s="36"/>
      <c r="CS605" s="36"/>
      <c r="CT605" s="36"/>
    </row>
    <row r="606" ht="15.75" customHeight="1">
      <c r="O606" s="35"/>
      <c r="CG606" s="36"/>
      <c r="CH606" s="36"/>
      <c r="CS606" s="36"/>
      <c r="CT606" s="36"/>
    </row>
    <row r="607" ht="15.75" customHeight="1">
      <c r="O607" s="35"/>
      <c r="CG607" s="36"/>
      <c r="CH607" s="36"/>
      <c r="CS607" s="36"/>
      <c r="CT607" s="36"/>
    </row>
    <row r="608" ht="15.75" customHeight="1">
      <c r="O608" s="35"/>
      <c r="CG608" s="36"/>
      <c r="CH608" s="36"/>
      <c r="CS608" s="36"/>
      <c r="CT608" s="36"/>
    </row>
    <row r="609" ht="15.75" customHeight="1">
      <c r="O609" s="35"/>
      <c r="CG609" s="36"/>
      <c r="CH609" s="36"/>
      <c r="CS609" s="36"/>
      <c r="CT609" s="36"/>
    </row>
    <row r="610" ht="15.75" customHeight="1">
      <c r="O610" s="35"/>
      <c r="CG610" s="36"/>
      <c r="CH610" s="36"/>
      <c r="CS610" s="36"/>
      <c r="CT610" s="36"/>
    </row>
    <row r="611" ht="15.75" customHeight="1">
      <c r="O611" s="35"/>
      <c r="CG611" s="36"/>
      <c r="CH611" s="36"/>
      <c r="CS611" s="36"/>
      <c r="CT611" s="36"/>
    </row>
    <row r="612" ht="15.75" customHeight="1">
      <c r="O612" s="35"/>
      <c r="CG612" s="36"/>
      <c r="CH612" s="36"/>
      <c r="CS612" s="36"/>
      <c r="CT612" s="36"/>
    </row>
    <row r="613" ht="15.75" customHeight="1">
      <c r="O613" s="35"/>
      <c r="CG613" s="36"/>
      <c r="CH613" s="36"/>
      <c r="CS613" s="36"/>
      <c r="CT613" s="36"/>
    </row>
    <row r="614" ht="15.75" customHeight="1">
      <c r="O614" s="35"/>
      <c r="CG614" s="36"/>
      <c r="CH614" s="36"/>
      <c r="CS614" s="36"/>
      <c r="CT614" s="36"/>
    </row>
    <row r="615" ht="15.75" customHeight="1">
      <c r="O615" s="35"/>
      <c r="CG615" s="36"/>
      <c r="CH615" s="36"/>
      <c r="CS615" s="36"/>
      <c r="CT615" s="36"/>
    </row>
    <row r="616" ht="15.75" customHeight="1">
      <c r="O616" s="35"/>
      <c r="CG616" s="36"/>
      <c r="CH616" s="36"/>
      <c r="CS616" s="36"/>
      <c r="CT616" s="36"/>
    </row>
    <row r="617" ht="15.75" customHeight="1">
      <c r="O617" s="35"/>
      <c r="CG617" s="36"/>
      <c r="CH617" s="36"/>
      <c r="CS617" s="36"/>
      <c r="CT617" s="36"/>
    </row>
    <row r="618" ht="15.75" customHeight="1">
      <c r="O618" s="35"/>
      <c r="CG618" s="36"/>
      <c r="CH618" s="36"/>
      <c r="CS618" s="36"/>
      <c r="CT618" s="36"/>
    </row>
    <row r="619" ht="15.75" customHeight="1">
      <c r="O619" s="35"/>
      <c r="CG619" s="36"/>
      <c r="CH619" s="36"/>
      <c r="CS619" s="36"/>
      <c r="CT619" s="36"/>
    </row>
    <row r="620" ht="15.75" customHeight="1">
      <c r="O620" s="35"/>
      <c r="CG620" s="36"/>
      <c r="CH620" s="36"/>
      <c r="CS620" s="36"/>
      <c r="CT620" s="36"/>
    </row>
    <row r="621" ht="15.75" customHeight="1">
      <c r="O621" s="35"/>
      <c r="CG621" s="36"/>
      <c r="CH621" s="36"/>
      <c r="CS621" s="36"/>
      <c r="CT621" s="36"/>
    </row>
    <row r="622" ht="15.75" customHeight="1">
      <c r="O622" s="35"/>
      <c r="CG622" s="36"/>
      <c r="CH622" s="36"/>
      <c r="CS622" s="36"/>
      <c r="CT622" s="36"/>
    </row>
    <row r="623" ht="15.75" customHeight="1">
      <c r="O623" s="35"/>
      <c r="CG623" s="36"/>
      <c r="CH623" s="36"/>
      <c r="CS623" s="36"/>
      <c r="CT623" s="36"/>
    </row>
    <row r="624" ht="15.75" customHeight="1">
      <c r="O624" s="35"/>
      <c r="CG624" s="36"/>
      <c r="CH624" s="36"/>
      <c r="CS624" s="36"/>
      <c r="CT624" s="36"/>
    </row>
    <row r="625" ht="15.75" customHeight="1">
      <c r="O625" s="35"/>
      <c r="CG625" s="36"/>
      <c r="CH625" s="36"/>
      <c r="CS625" s="36"/>
      <c r="CT625" s="36"/>
    </row>
    <row r="626" ht="15.75" customHeight="1">
      <c r="O626" s="35"/>
      <c r="CG626" s="36"/>
      <c r="CH626" s="36"/>
      <c r="CS626" s="36"/>
      <c r="CT626" s="36"/>
    </row>
    <row r="627" ht="15.75" customHeight="1">
      <c r="O627" s="35"/>
      <c r="CG627" s="36"/>
      <c r="CH627" s="36"/>
      <c r="CS627" s="36"/>
      <c r="CT627" s="36"/>
    </row>
    <row r="628" ht="15.75" customHeight="1">
      <c r="O628" s="35"/>
      <c r="CG628" s="36"/>
      <c r="CH628" s="36"/>
      <c r="CS628" s="36"/>
      <c r="CT628" s="36"/>
    </row>
    <row r="629" ht="15.75" customHeight="1">
      <c r="O629" s="35"/>
      <c r="CG629" s="36"/>
      <c r="CH629" s="36"/>
      <c r="CS629" s="36"/>
      <c r="CT629" s="36"/>
    </row>
    <row r="630" ht="15.75" customHeight="1">
      <c r="O630" s="35"/>
      <c r="CG630" s="36"/>
      <c r="CH630" s="36"/>
      <c r="CS630" s="36"/>
      <c r="CT630" s="36"/>
    </row>
    <row r="631" ht="15.75" customHeight="1">
      <c r="O631" s="35"/>
      <c r="CG631" s="36"/>
      <c r="CH631" s="36"/>
      <c r="CS631" s="36"/>
      <c r="CT631" s="36"/>
    </row>
    <row r="632" ht="15.75" customHeight="1">
      <c r="O632" s="35"/>
      <c r="CG632" s="36"/>
      <c r="CH632" s="36"/>
      <c r="CS632" s="36"/>
      <c r="CT632" s="36"/>
    </row>
    <row r="633" ht="15.75" customHeight="1">
      <c r="O633" s="35"/>
      <c r="CG633" s="36"/>
      <c r="CH633" s="36"/>
      <c r="CS633" s="36"/>
      <c r="CT633" s="36"/>
    </row>
    <row r="634" ht="15.75" customHeight="1">
      <c r="O634" s="35"/>
      <c r="CG634" s="36"/>
      <c r="CH634" s="36"/>
      <c r="CS634" s="36"/>
      <c r="CT634" s="36"/>
    </row>
    <row r="635" ht="15.75" customHeight="1">
      <c r="O635" s="35"/>
      <c r="CG635" s="36"/>
      <c r="CH635" s="36"/>
      <c r="CS635" s="36"/>
      <c r="CT635" s="36"/>
    </row>
    <row r="636" ht="15.75" customHeight="1">
      <c r="O636" s="35"/>
      <c r="CG636" s="36"/>
      <c r="CH636" s="36"/>
      <c r="CS636" s="36"/>
      <c r="CT636" s="36"/>
    </row>
    <row r="637" ht="15.75" customHeight="1">
      <c r="O637" s="35"/>
      <c r="CG637" s="36"/>
      <c r="CH637" s="36"/>
      <c r="CS637" s="36"/>
      <c r="CT637" s="36"/>
    </row>
    <row r="638" ht="15.75" customHeight="1">
      <c r="O638" s="35"/>
      <c r="CG638" s="36"/>
      <c r="CH638" s="36"/>
      <c r="CS638" s="36"/>
      <c r="CT638" s="36"/>
    </row>
    <row r="639" ht="15.75" customHeight="1">
      <c r="O639" s="35"/>
      <c r="CG639" s="36"/>
      <c r="CH639" s="36"/>
      <c r="CS639" s="36"/>
      <c r="CT639" s="36"/>
    </row>
    <row r="640" ht="15.75" customHeight="1">
      <c r="O640" s="35"/>
      <c r="CG640" s="36"/>
      <c r="CH640" s="36"/>
      <c r="CS640" s="36"/>
      <c r="CT640" s="36"/>
    </row>
    <row r="641" ht="15.75" customHeight="1">
      <c r="O641" s="35"/>
      <c r="CG641" s="36"/>
      <c r="CH641" s="36"/>
      <c r="CS641" s="36"/>
      <c r="CT641" s="36"/>
    </row>
    <row r="642" ht="15.75" customHeight="1">
      <c r="O642" s="35"/>
      <c r="CG642" s="36"/>
      <c r="CH642" s="36"/>
      <c r="CS642" s="36"/>
      <c r="CT642" s="36"/>
    </row>
    <row r="643" ht="15.75" customHeight="1">
      <c r="O643" s="35"/>
      <c r="CG643" s="36"/>
      <c r="CH643" s="36"/>
      <c r="CS643" s="36"/>
      <c r="CT643" s="36"/>
    </row>
    <row r="644" ht="15.75" customHeight="1">
      <c r="O644" s="35"/>
      <c r="CG644" s="36"/>
      <c r="CH644" s="36"/>
      <c r="CS644" s="36"/>
      <c r="CT644" s="36"/>
    </row>
    <row r="645" ht="15.75" customHeight="1">
      <c r="O645" s="35"/>
      <c r="CG645" s="36"/>
      <c r="CH645" s="36"/>
      <c r="CS645" s="36"/>
      <c r="CT645" s="36"/>
    </row>
    <row r="646" ht="15.75" customHeight="1">
      <c r="O646" s="35"/>
      <c r="CG646" s="36"/>
      <c r="CH646" s="36"/>
      <c r="CS646" s="36"/>
      <c r="CT646" s="36"/>
    </row>
    <row r="647" ht="15.75" customHeight="1">
      <c r="O647" s="35"/>
      <c r="CG647" s="36"/>
      <c r="CH647" s="36"/>
      <c r="CS647" s="36"/>
      <c r="CT647" s="36"/>
    </row>
    <row r="648" ht="15.75" customHeight="1">
      <c r="O648" s="35"/>
      <c r="CG648" s="36"/>
      <c r="CH648" s="36"/>
      <c r="CS648" s="36"/>
      <c r="CT648" s="36"/>
    </row>
    <row r="649" ht="15.75" customHeight="1">
      <c r="O649" s="35"/>
      <c r="CG649" s="36"/>
      <c r="CH649" s="36"/>
      <c r="CS649" s="36"/>
      <c r="CT649" s="36"/>
    </row>
    <row r="650" ht="15.75" customHeight="1">
      <c r="O650" s="35"/>
      <c r="CG650" s="36"/>
      <c r="CH650" s="36"/>
      <c r="CS650" s="36"/>
      <c r="CT650" s="36"/>
    </row>
    <row r="651" ht="15.75" customHeight="1">
      <c r="O651" s="35"/>
      <c r="CG651" s="36"/>
      <c r="CH651" s="36"/>
      <c r="CS651" s="36"/>
      <c r="CT651" s="36"/>
    </row>
    <row r="652" ht="15.75" customHeight="1">
      <c r="O652" s="35"/>
      <c r="CG652" s="36"/>
      <c r="CH652" s="36"/>
      <c r="CS652" s="36"/>
      <c r="CT652" s="36"/>
    </row>
    <row r="653" ht="15.75" customHeight="1">
      <c r="O653" s="35"/>
      <c r="CG653" s="36"/>
      <c r="CH653" s="36"/>
      <c r="CS653" s="36"/>
      <c r="CT653" s="36"/>
    </row>
    <row r="654" ht="15.75" customHeight="1">
      <c r="O654" s="35"/>
      <c r="CG654" s="36"/>
      <c r="CH654" s="36"/>
      <c r="CS654" s="36"/>
      <c r="CT654" s="36"/>
    </row>
    <row r="655" ht="15.75" customHeight="1">
      <c r="O655" s="35"/>
      <c r="CG655" s="36"/>
      <c r="CH655" s="36"/>
      <c r="CS655" s="36"/>
      <c r="CT655" s="36"/>
    </row>
    <row r="656" ht="15.75" customHeight="1">
      <c r="O656" s="35"/>
      <c r="CG656" s="36"/>
      <c r="CH656" s="36"/>
      <c r="CS656" s="36"/>
      <c r="CT656" s="36"/>
    </row>
    <row r="657" ht="15.75" customHeight="1">
      <c r="O657" s="35"/>
      <c r="CG657" s="36"/>
      <c r="CH657" s="36"/>
      <c r="CS657" s="36"/>
      <c r="CT657" s="36"/>
    </row>
    <row r="658" ht="15.75" customHeight="1">
      <c r="O658" s="35"/>
      <c r="CG658" s="36"/>
      <c r="CH658" s="36"/>
      <c r="CS658" s="36"/>
      <c r="CT658" s="36"/>
    </row>
    <row r="659" ht="15.75" customHeight="1">
      <c r="O659" s="35"/>
      <c r="CG659" s="36"/>
      <c r="CH659" s="36"/>
      <c r="CS659" s="36"/>
      <c r="CT659" s="36"/>
    </row>
    <row r="660" ht="15.75" customHeight="1">
      <c r="O660" s="35"/>
      <c r="CG660" s="36"/>
      <c r="CH660" s="36"/>
      <c r="CS660" s="36"/>
      <c r="CT660" s="36"/>
    </row>
    <row r="661" ht="15.75" customHeight="1">
      <c r="O661" s="35"/>
      <c r="CG661" s="36"/>
      <c r="CH661" s="36"/>
      <c r="CS661" s="36"/>
      <c r="CT661" s="36"/>
    </row>
    <row r="662" ht="15.75" customHeight="1">
      <c r="O662" s="35"/>
      <c r="CG662" s="36"/>
      <c r="CH662" s="36"/>
      <c r="CS662" s="36"/>
      <c r="CT662" s="36"/>
    </row>
    <row r="663" ht="15.75" customHeight="1">
      <c r="O663" s="35"/>
      <c r="CG663" s="36"/>
      <c r="CH663" s="36"/>
      <c r="CS663" s="36"/>
      <c r="CT663" s="36"/>
    </row>
    <row r="664" ht="15.75" customHeight="1">
      <c r="O664" s="35"/>
      <c r="CG664" s="36"/>
      <c r="CH664" s="36"/>
      <c r="CS664" s="36"/>
      <c r="CT664" s="36"/>
    </row>
    <row r="665" ht="15.75" customHeight="1">
      <c r="O665" s="35"/>
      <c r="CG665" s="36"/>
      <c r="CH665" s="36"/>
      <c r="CS665" s="36"/>
      <c r="CT665" s="36"/>
    </row>
    <row r="666" ht="15.75" customHeight="1">
      <c r="O666" s="35"/>
      <c r="CG666" s="36"/>
      <c r="CH666" s="36"/>
      <c r="CS666" s="36"/>
      <c r="CT666" s="36"/>
    </row>
    <row r="667" ht="15.75" customHeight="1">
      <c r="O667" s="35"/>
      <c r="CG667" s="36"/>
      <c r="CH667" s="36"/>
      <c r="CS667" s="36"/>
      <c r="CT667" s="36"/>
    </row>
    <row r="668" ht="15.75" customHeight="1">
      <c r="O668" s="35"/>
      <c r="CG668" s="36"/>
      <c r="CH668" s="36"/>
      <c r="CS668" s="36"/>
      <c r="CT668" s="36"/>
    </row>
    <row r="669" ht="15.75" customHeight="1">
      <c r="O669" s="35"/>
      <c r="CG669" s="36"/>
      <c r="CH669" s="36"/>
      <c r="CS669" s="36"/>
      <c r="CT669" s="36"/>
    </row>
    <row r="670" ht="15.75" customHeight="1">
      <c r="O670" s="35"/>
      <c r="CG670" s="36"/>
      <c r="CH670" s="36"/>
      <c r="CS670" s="36"/>
      <c r="CT670" s="36"/>
    </row>
    <row r="671" ht="15.75" customHeight="1">
      <c r="O671" s="35"/>
      <c r="CG671" s="36"/>
      <c r="CH671" s="36"/>
      <c r="CS671" s="36"/>
      <c r="CT671" s="36"/>
    </row>
    <row r="672" ht="15.75" customHeight="1">
      <c r="O672" s="35"/>
      <c r="CG672" s="36"/>
      <c r="CH672" s="36"/>
      <c r="CS672" s="36"/>
      <c r="CT672" s="36"/>
    </row>
    <row r="673" ht="15.75" customHeight="1">
      <c r="O673" s="35"/>
      <c r="CG673" s="36"/>
      <c r="CH673" s="36"/>
      <c r="CS673" s="36"/>
      <c r="CT673" s="36"/>
    </row>
    <row r="674" ht="15.75" customHeight="1">
      <c r="O674" s="35"/>
      <c r="CG674" s="36"/>
      <c r="CH674" s="36"/>
      <c r="CS674" s="36"/>
      <c r="CT674" s="36"/>
    </row>
    <row r="675" ht="15.75" customHeight="1">
      <c r="O675" s="35"/>
      <c r="CG675" s="36"/>
      <c r="CH675" s="36"/>
      <c r="CS675" s="36"/>
      <c r="CT675" s="36"/>
    </row>
    <row r="676" ht="15.75" customHeight="1">
      <c r="O676" s="35"/>
      <c r="CG676" s="36"/>
      <c r="CH676" s="36"/>
      <c r="CS676" s="36"/>
      <c r="CT676" s="36"/>
    </row>
    <row r="677" ht="15.75" customHeight="1">
      <c r="O677" s="35"/>
      <c r="CG677" s="36"/>
      <c r="CH677" s="36"/>
      <c r="CS677" s="36"/>
      <c r="CT677" s="36"/>
    </row>
    <row r="678" ht="15.75" customHeight="1">
      <c r="O678" s="35"/>
      <c r="CG678" s="36"/>
      <c r="CH678" s="36"/>
      <c r="CS678" s="36"/>
      <c r="CT678" s="36"/>
    </row>
    <row r="679" ht="15.75" customHeight="1">
      <c r="O679" s="35"/>
      <c r="CG679" s="36"/>
      <c r="CH679" s="36"/>
      <c r="CS679" s="36"/>
      <c r="CT679" s="36"/>
    </row>
    <row r="680" ht="15.75" customHeight="1">
      <c r="O680" s="35"/>
      <c r="CG680" s="36"/>
      <c r="CH680" s="36"/>
      <c r="CS680" s="36"/>
      <c r="CT680" s="36"/>
    </row>
    <row r="681" ht="15.75" customHeight="1">
      <c r="O681" s="35"/>
      <c r="CG681" s="36"/>
      <c r="CH681" s="36"/>
      <c r="CS681" s="36"/>
      <c r="CT681" s="36"/>
    </row>
    <row r="682" ht="15.75" customHeight="1">
      <c r="O682" s="35"/>
      <c r="CG682" s="36"/>
      <c r="CH682" s="36"/>
      <c r="CS682" s="36"/>
      <c r="CT682" s="36"/>
    </row>
    <row r="683" ht="15.75" customHeight="1">
      <c r="O683" s="35"/>
      <c r="CG683" s="36"/>
      <c r="CH683" s="36"/>
      <c r="CS683" s="36"/>
      <c r="CT683" s="36"/>
    </row>
    <row r="684" ht="15.75" customHeight="1">
      <c r="O684" s="35"/>
      <c r="CG684" s="36"/>
      <c r="CH684" s="36"/>
      <c r="CS684" s="36"/>
      <c r="CT684" s="36"/>
    </row>
    <row r="685" ht="15.75" customHeight="1">
      <c r="O685" s="35"/>
      <c r="CG685" s="36"/>
      <c r="CH685" s="36"/>
      <c r="CS685" s="36"/>
      <c r="CT685" s="36"/>
    </row>
    <row r="686" ht="15.75" customHeight="1">
      <c r="O686" s="35"/>
      <c r="CG686" s="36"/>
      <c r="CH686" s="36"/>
      <c r="CS686" s="36"/>
      <c r="CT686" s="36"/>
    </row>
    <row r="687" ht="15.75" customHeight="1">
      <c r="O687" s="35"/>
      <c r="CG687" s="36"/>
      <c r="CH687" s="36"/>
      <c r="CS687" s="36"/>
      <c r="CT687" s="36"/>
    </row>
    <row r="688" ht="15.75" customHeight="1">
      <c r="O688" s="35"/>
      <c r="CG688" s="36"/>
      <c r="CH688" s="36"/>
      <c r="CS688" s="36"/>
      <c r="CT688" s="36"/>
    </row>
    <row r="689" ht="15.75" customHeight="1">
      <c r="O689" s="35"/>
      <c r="CG689" s="36"/>
      <c r="CH689" s="36"/>
      <c r="CS689" s="36"/>
      <c r="CT689" s="36"/>
    </row>
    <row r="690" ht="15.75" customHeight="1">
      <c r="O690" s="35"/>
      <c r="CG690" s="36"/>
      <c r="CH690" s="36"/>
      <c r="CS690" s="36"/>
      <c r="CT690" s="36"/>
    </row>
    <row r="691" ht="15.75" customHeight="1">
      <c r="O691" s="35"/>
      <c r="CG691" s="36"/>
      <c r="CH691" s="36"/>
      <c r="CS691" s="36"/>
      <c r="CT691" s="36"/>
    </row>
    <row r="692" ht="15.75" customHeight="1">
      <c r="O692" s="35"/>
      <c r="CG692" s="36"/>
      <c r="CH692" s="36"/>
      <c r="CS692" s="36"/>
      <c r="CT692" s="36"/>
    </row>
    <row r="693" ht="15.75" customHeight="1">
      <c r="O693" s="35"/>
      <c r="CG693" s="36"/>
      <c r="CH693" s="36"/>
      <c r="CS693" s="36"/>
      <c r="CT693" s="36"/>
    </row>
    <row r="694" ht="15.75" customHeight="1">
      <c r="O694" s="35"/>
      <c r="CG694" s="36"/>
      <c r="CH694" s="36"/>
      <c r="CS694" s="36"/>
      <c r="CT694" s="36"/>
    </row>
    <row r="695" ht="15.75" customHeight="1">
      <c r="O695" s="35"/>
      <c r="CG695" s="36"/>
      <c r="CH695" s="36"/>
      <c r="CS695" s="36"/>
      <c r="CT695" s="36"/>
    </row>
    <row r="696" ht="15.75" customHeight="1">
      <c r="O696" s="35"/>
      <c r="CG696" s="36"/>
      <c r="CH696" s="36"/>
      <c r="CS696" s="36"/>
      <c r="CT696" s="36"/>
    </row>
    <row r="697" ht="15.75" customHeight="1">
      <c r="O697" s="35"/>
      <c r="CG697" s="36"/>
      <c r="CH697" s="36"/>
      <c r="CS697" s="36"/>
      <c r="CT697" s="36"/>
    </row>
    <row r="698" ht="15.75" customHeight="1">
      <c r="O698" s="35"/>
      <c r="CG698" s="36"/>
      <c r="CH698" s="36"/>
      <c r="CS698" s="36"/>
      <c r="CT698" s="36"/>
    </row>
    <row r="699" ht="15.75" customHeight="1">
      <c r="O699" s="35"/>
      <c r="CG699" s="36"/>
      <c r="CH699" s="36"/>
      <c r="CS699" s="36"/>
      <c r="CT699" s="36"/>
    </row>
    <row r="700" ht="15.75" customHeight="1">
      <c r="O700" s="35"/>
      <c r="CG700" s="36"/>
      <c r="CH700" s="36"/>
      <c r="CS700" s="36"/>
      <c r="CT700" s="36"/>
    </row>
    <row r="701" ht="15.75" customHeight="1">
      <c r="O701" s="35"/>
      <c r="CG701" s="36"/>
      <c r="CH701" s="36"/>
      <c r="CS701" s="36"/>
      <c r="CT701" s="36"/>
    </row>
    <row r="702" ht="15.75" customHeight="1">
      <c r="O702" s="35"/>
      <c r="CG702" s="36"/>
      <c r="CH702" s="36"/>
      <c r="CS702" s="36"/>
      <c r="CT702" s="36"/>
    </row>
    <row r="703" ht="15.75" customHeight="1">
      <c r="O703" s="35"/>
      <c r="CG703" s="36"/>
      <c r="CH703" s="36"/>
      <c r="CS703" s="36"/>
      <c r="CT703" s="36"/>
    </row>
    <row r="704" ht="15.75" customHeight="1">
      <c r="O704" s="35"/>
      <c r="CG704" s="36"/>
      <c r="CH704" s="36"/>
      <c r="CS704" s="36"/>
      <c r="CT704" s="36"/>
    </row>
    <row r="705" ht="15.75" customHeight="1">
      <c r="O705" s="35"/>
      <c r="CG705" s="36"/>
      <c r="CH705" s="36"/>
      <c r="CS705" s="36"/>
      <c r="CT705" s="36"/>
    </row>
    <row r="706" ht="15.75" customHeight="1">
      <c r="O706" s="35"/>
      <c r="CG706" s="36"/>
      <c r="CH706" s="36"/>
      <c r="CS706" s="36"/>
      <c r="CT706" s="36"/>
    </row>
    <row r="707" ht="15.75" customHeight="1">
      <c r="O707" s="35"/>
      <c r="CG707" s="36"/>
      <c r="CH707" s="36"/>
      <c r="CS707" s="36"/>
      <c r="CT707" s="36"/>
    </row>
    <row r="708" ht="15.75" customHeight="1">
      <c r="O708" s="35"/>
      <c r="CG708" s="36"/>
      <c r="CH708" s="36"/>
      <c r="CS708" s="36"/>
      <c r="CT708" s="36"/>
    </row>
    <row r="709" ht="15.75" customHeight="1">
      <c r="O709" s="35"/>
      <c r="CG709" s="36"/>
      <c r="CH709" s="36"/>
      <c r="CS709" s="36"/>
      <c r="CT709" s="36"/>
    </row>
    <row r="710" ht="15.75" customHeight="1">
      <c r="O710" s="35"/>
      <c r="CG710" s="36"/>
      <c r="CH710" s="36"/>
      <c r="CS710" s="36"/>
      <c r="CT710" s="36"/>
    </row>
    <row r="711" ht="15.75" customHeight="1">
      <c r="O711" s="35"/>
      <c r="CG711" s="36"/>
      <c r="CH711" s="36"/>
      <c r="CS711" s="36"/>
      <c r="CT711" s="36"/>
    </row>
    <row r="712" ht="15.75" customHeight="1">
      <c r="O712" s="35"/>
      <c r="CG712" s="36"/>
      <c r="CH712" s="36"/>
      <c r="CS712" s="36"/>
      <c r="CT712" s="36"/>
    </row>
    <row r="713" ht="15.75" customHeight="1">
      <c r="O713" s="35"/>
      <c r="CG713" s="36"/>
      <c r="CH713" s="36"/>
      <c r="CS713" s="36"/>
      <c r="CT713" s="36"/>
    </row>
    <row r="714" ht="15.75" customHeight="1">
      <c r="O714" s="35"/>
      <c r="CG714" s="36"/>
      <c r="CH714" s="36"/>
      <c r="CS714" s="36"/>
      <c r="CT714" s="36"/>
    </row>
    <row r="715" ht="15.75" customHeight="1">
      <c r="O715" s="35"/>
      <c r="CG715" s="36"/>
      <c r="CH715" s="36"/>
      <c r="CS715" s="36"/>
      <c r="CT715" s="36"/>
    </row>
    <row r="716" ht="15.75" customHeight="1">
      <c r="O716" s="35"/>
      <c r="CG716" s="36"/>
      <c r="CH716" s="36"/>
      <c r="CS716" s="36"/>
      <c r="CT716" s="36"/>
    </row>
    <row r="717" ht="15.75" customHeight="1">
      <c r="O717" s="35"/>
      <c r="CG717" s="36"/>
      <c r="CH717" s="36"/>
      <c r="CS717" s="36"/>
      <c r="CT717" s="36"/>
    </row>
    <row r="718" ht="15.75" customHeight="1">
      <c r="O718" s="35"/>
      <c r="CG718" s="36"/>
      <c r="CH718" s="36"/>
      <c r="CS718" s="36"/>
      <c r="CT718" s="36"/>
    </row>
    <row r="719" ht="15.75" customHeight="1">
      <c r="O719" s="35"/>
      <c r="CG719" s="36"/>
      <c r="CH719" s="36"/>
      <c r="CS719" s="36"/>
      <c r="CT719" s="36"/>
    </row>
    <row r="720" ht="15.75" customHeight="1">
      <c r="O720" s="35"/>
      <c r="CG720" s="36"/>
      <c r="CH720" s="36"/>
      <c r="CS720" s="36"/>
      <c r="CT720" s="36"/>
    </row>
    <row r="721" ht="15.75" customHeight="1">
      <c r="O721" s="35"/>
      <c r="CG721" s="36"/>
      <c r="CH721" s="36"/>
      <c r="CS721" s="36"/>
      <c r="CT721" s="36"/>
    </row>
    <row r="722" ht="15.75" customHeight="1">
      <c r="O722" s="35"/>
      <c r="CG722" s="36"/>
      <c r="CH722" s="36"/>
      <c r="CS722" s="36"/>
      <c r="CT722" s="36"/>
    </row>
    <row r="723" ht="15.75" customHeight="1">
      <c r="O723" s="35"/>
      <c r="CG723" s="36"/>
      <c r="CH723" s="36"/>
      <c r="CS723" s="36"/>
      <c r="CT723" s="36"/>
    </row>
    <row r="724" ht="15.75" customHeight="1">
      <c r="O724" s="35"/>
      <c r="CG724" s="36"/>
      <c r="CH724" s="36"/>
      <c r="CS724" s="36"/>
      <c r="CT724" s="36"/>
    </row>
    <row r="725" ht="15.75" customHeight="1">
      <c r="O725" s="35"/>
      <c r="CG725" s="36"/>
      <c r="CH725" s="36"/>
      <c r="CS725" s="36"/>
      <c r="CT725" s="36"/>
    </row>
    <row r="726" ht="15.75" customHeight="1">
      <c r="O726" s="35"/>
      <c r="CG726" s="36"/>
      <c r="CH726" s="36"/>
      <c r="CS726" s="36"/>
      <c r="CT726" s="36"/>
    </row>
    <row r="727" ht="15.75" customHeight="1">
      <c r="O727" s="35"/>
      <c r="CG727" s="36"/>
      <c r="CH727" s="36"/>
      <c r="CS727" s="36"/>
      <c r="CT727" s="36"/>
    </row>
    <row r="728" ht="15.75" customHeight="1">
      <c r="O728" s="35"/>
      <c r="CG728" s="36"/>
      <c r="CH728" s="36"/>
      <c r="CS728" s="36"/>
      <c r="CT728" s="36"/>
    </row>
    <row r="729" ht="15.75" customHeight="1">
      <c r="O729" s="35"/>
      <c r="CG729" s="36"/>
      <c r="CH729" s="36"/>
      <c r="CS729" s="36"/>
      <c r="CT729" s="36"/>
    </row>
    <row r="730" ht="15.75" customHeight="1">
      <c r="O730" s="35"/>
      <c r="CG730" s="36"/>
      <c r="CH730" s="36"/>
      <c r="CS730" s="36"/>
      <c r="CT730" s="36"/>
    </row>
    <row r="731" ht="15.75" customHeight="1">
      <c r="O731" s="35"/>
      <c r="CG731" s="36"/>
      <c r="CH731" s="36"/>
      <c r="CS731" s="36"/>
      <c r="CT731" s="36"/>
    </row>
    <row r="732" ht="15.75" customHeight="1">
      <c r="O732" s="35"/>
      <c r="CG732" s="36"/>
      <c r="CH732" s="36"/>
      <c r="CS732" s="36"/>
      <c r="CT732" s="36"/>
    </row>
    <row r="733" ht="15.75" customHeight="1">
      <c r="O733" s="35"/>
      <c r="CG733" s="36"/>
      <c r="CH733" s="36"/>
      <c r="CS733" s="36"/>
      <c r="CT733" s="36"/>
    </row>
    <row r="734" ht="15.75" customHeight="1">
      <c r="O734" s="35"/>
      <c r="CG734" s="36"/>
      <c r="CH734" s="36"/>
      <c r="CS734" s="36"/>
      <c r="CT734" s="36"/>
    </row>
    <row r="735" ht="15.75" customHeight="1">
      <c r="O735" s="35"/>
      <c r="CG735" s="36"/>
      <c r="CH735" s="36"/>
      <c r="CS735" s="36"/>
      <c r="CT735" s="36"/>
    </row>
    <row r="736" ht="15.75" customHeight="1">
      <c r="O736" s="35"/>
      <c r="CG736" s="36"/>
      <c r="CH736" s="36"/>
      <c r="CS736" s="36"/>
      <c r="CT736" s="36"/>
    </row>
    <row r="737" ht="15.75" customHeight="1">
      <c r="O737" s="35"/>
      <c r="CG737" s="36"/>
      <c r="CH737" s="36"/>
      <c r="CS737" s="36"/>
      <c r="CT737" s="36"/>
    </row>
    <row r="738" ht="15.75" customHeight="1">
      <c r="O738" s="35"/>
      <c r="CG738" s="36"/>
      <c r="CH738" s="36"/>
      <c r="CS738" s="36"/>
      <c r="CT738" s="36"/>
    </row>
    <row r="739" ht="15.75" customHeight="1">
      <c r="O739" s="35"/>
      <c r="CG739" s="36"/>
      <c r="CH739" s="36"/>
      <c r="CS739" s="36"/>
      <c r="CT739" s="36"/>
    </row>
    <row r="740" ht="15.75" customHeight="1">
      <c r="O740" s="35"/>
      <c r="CG740" s="36"/>
      <c r="CH740" s="36"/>
      <c r="CS740" s="36"/>
      <c r="CT740" s="36"/>
    </row>
    <row r="741" ht="15.75" customHeight="1">
      <c r="O741" s="35"/>
      <c r="CG741" s="36"/>
      <c r="CH741" s="36"/>
      <c r="CS741" s="36"/>
      <c r="CT741" s="36"/>
    </row>
    <row r="742" ht="15.75" customHeight="1">
      <c r="O742" s="35"/>
      <c r="CG742" s="36"/>
      <c r="CH742" s="36"/>
      <c r="CS742" s="36"/>
      <c r="CT742" s="36"/>
    </row>
    <row r="743" ht="15.75" customHeight="1">
      <c r="O743" s="35"/>
      <c r="CG743" s="36"/>
      <c r="CH743" s="36"/>
      <c r="CS743" s="36"/>
      <c r="CT743" s="36"/>
    </row>
    <row r="744" ht="15.75" customHeight="1">
      <c r="O744" s="35"/>
      <c r="CG744" s="36"/>
      <c r="CH744" s="36"/>
      <c r="CS744" s="36"/>
      <c r="CT744" s="36"/>
    </row>
    <row r="745" ht="15.75" customHeight="1">
      <c r="O745" s="35"/>
      <c r="CG745" s="36"/>
      <c r="CH745" s="36"/>
      <c r="CS745" s="36"/>
      <c r="CT745" s="36"/>
    </row>
    <row r="746" ht="15.75" customHeight="1">
      <c r="O746" s="35"/>
      <c r="CG746" s="36"/>
      <c r="CH746" s="36"/>
      <c r="CS746" s="36"/>
      <c r="CT746" s="36"/>
    </row>
    <row r="747" ht="15.75" customHeight="1">
      <c r="O747" s="35"/>
      <c r="CG747" s="36"/>
      <c r="CH747" s="36"/>
      <c r="CS747" s="36"/>
      <c r="CT747" s="36"/>
    </row>
    <row r="748" ht="15.75" customHeight="1">
      <c r="O748" s="35"/>
      <c r="CG748" s="36"/>
      <c r="CH748" s="36"/>
      <c r="CS748" s="36"/>
      <c r="CT748" s="36"/>
    </row>
    <row r="749" ht="15.75" customHeight="1">
      <c r="O749" s="35"/>
      <c r="CG749" s="36"/>
      <c r="CH749" s="36"/>
      <c r="CS749" s="36"/>
      <c r="CT749" s="36"/>
    </row>
    <row r="750" ht="15.75" customHeight="1">
      <c r="O750" s="35"/>
      <c r="CG750" s="36"/>
      <c r="CH750" s="36"/>
      <c r="CS750" s="36"/>
      <c r="CT750" s="36"/>
    </row>
    <row r="751" ht="15.75" customHeight="1">
      <c r="O751" s="35"/>
      <c r="CG751" s="36"/>
      <c r="CH751" s="36"/>
      <c r="CS751" s="36"/>
      <c r="CT751" s="36"/>
    </row>
    <row r="752" ht="15.75" customHeight="1">
      <c r="O752" s="35"/>
      <c r="CG752" s="36"/>
      <c r="CH752" s="36"/>
      <c r="CS752" s="36"/>
      <c r="CT752" s="36"/>
    </row>
    <row r="753" ht="15.75" customHeight="1">
      <c r="O753" s="35"/>
      <c r="CG753" s="36"/>
      <c r="CH753" s="36"/>
      <c r="CS753" s="36"/>
      <c r="CT753" s="36"/>
    </row>
    <row r="754" ht="15.75" customHeight="1">
      <c r="O754" s="35"/>
      <c r="CG754" s="36"/>
      <c r="CH754" s="36"/>
      <c r="CS754" s="36"/>
      <c r="CT754" s="36"/>
    </row>
    <row r="755" ht="15.75" customHeight="1">
      <c r="O755" s="35"/>
      <c r="CG755" s="36"/>
      <c r="CH755" s="36"/>
      <c r="CS755" s="36"/>
      <c r="CT755" s="36"/>
    </row>
    <row r="756" ht="15.75" customHeight="1">
      <c r="O756" s="35"/>
      <c r="CG756" s="36"/>
      <c r="CH756" s="36"/>
      <c r="CS756" s="36"/>
      <c r="CT756" s="36"/>
    </row>
    <row r="757" ht="15.75" customHeight="1">
      <c r="O757" s="35"/>
      <c r="CG757" s="36"/>
      <c r="CH757" s="36"/>
      <c r="CS757" s="36"/>
      <c r="CT757" s="36"/>
    </row>
    <row r="758" ht="15.75" customHeight="1">
      <c r="O758" s="35"/>
      <c r="CG758" s="36"/>
      <c r="CH758" s="36"/>
      <c r="CS758" s="36"/>
      <c r="CT758" s="36"/>
    </row>
    <row r="759" ht="15.75" customHeight="1">
      <c r="O759" s="35"/>
      <c r="CG759" s="36"/>
      <c r="CH759" s="36"/>
      <c r="CS759" s="36"/>
      <c r="CT759" s="36"/>
    </row>
    <row r="760" ht="15.75" customHeight="1">
      <c r="O760" s="35"/>
      <c r="CG760" s="36"/>
      <c r="CH760" s="36"/>
      <c r="CS760" s="36"/>
      <c r="CT760" s="36"/>
    </row>
    <row r="761" ht="15.75" customHeight="1">
      <c r="O761" s="35"/>
      <c r="CG761" s="36"/>
      <c r="CH761" s="36"/>
      <c r="CS761" s="36"/>
      <c r="CT761" s="36"/>
    </row>
    <row r="762" ht="15.75" customHeight="1">
      <c r="O762" s="35"/>
      <c r="CG762" s="36"/>
      <c r="CH762" s="36"/>
      <c r="CS762" s="36"/>
      <c r="CT762" s="36"/>
    </row>
    <row r="763" ht="15.75" customHeight="1">
      <c r="O763" s="35"/>
      <c r="CG763" s="36"/>
      <c r="CH763" s="36"/>
      <c r="CS763" s="36"/>
      <c r="CT763" s="36"/>
    </row>
    <row r="764" ht="15.75" customHeight="1">
      <c r="O764" s="35"/>
      <c r="CG764" s="36"/>
      <c r="CH764" s="36"/>
      <c r="CS764" s="36"/>
      <c r="CT764" s="36"/>
    </row>
    <row r="765" ht="15.75" customHeight="1">
      <c r="O765" s="35"/>
      <c r="CG765" s="36"/>
      <c r="CH765" s="36"/>
      <c r="CS765" s="36"/>
      <c r="CT765" s="36"/>
    </row>
    <row r="766" ht="15.75" customHeight="1">
      <c r="O766" s="35"/>
      <c r="CG766" s="36"/>
      <c r="CH766" s="36"/>
      <c r="CS766" s="36"/>
      <c r="CT766" s="36"/>
    </row>
    <row r="767" ht="15.75" customHeight="1">
      <c r="O767" s="35"/>
      <c r="CG767" s="36"/>
      <c r="CH767" s="36"/>
      <c r="CS767" s="36"/>
      <c r="CT767" s="36"/>
    </row>
    <row r="768" ht="15.75" customHeight="1">
      <c r="O768" s="35"/>
      <c r="CG768" s="36"/>
      <c r="CH768" s="36"/>
      <c r="CS768" s="36"/>
      <c r="CT768" s="36"/>
    </row>
    <row r="769" ht="15.75" customHeight="1">
      <c r="O769" s="35"/>
      <c r="CG769" s="36"/>
      <c r="CH769" s="36"/>
      <c r="CS769" s="36"/>
      <c r="CT769" s="36"/>
    </row>
    <row r="770" ht="15.75" customHeight="1">
      <c r="O770" s="35"/>
      <c r="CG770" s="36"/>
      <c r="CH770" s="36"/>
      <c r="CS770" s="36"/>
      <c r="CT770" s="36"/>
    </row>
    <row r="771" ht="15.75" customHeight="1">
      <c r="O771" s="35"/>
      <c r="CG771" s="36"/>
      <c r="CH771" s="36"/>
      <c r="CS771" s="36"/>
      <c r="CT771" s="36"/>
    </row>
    <row r="772" ht="15.75" customHeight="1">
      <c r="O772" s="35"/>
      <c r="CG772" s="36"/>
      <c r="CH772" s="36"/>
      <c r="CS772" s="36"/>
      <c r="CT772" s="36"/>
    </row>
    <row r="773" ht="15.75" customHeight="1">
      <c r="O773" s="35"/>
      <c r="CG773" s="36"/>
      <c r="CH773" s="36"/>
      <c r="CS773" s="36"/>
      <c r="CT773" s="36"/>
    </row>
    <row r="774" ht="15.75" customHeight="1">
      <c r="O774" s="35"/>
      <c r="CG774" s="36"/>
      <c r="CH774" s="36"/>
      <c r="CS774" s="36"/>
      <c r="CT774" s="36"/>
    </row>
    <row r="775" ht="15.75" customHeight="1">
      <c r="O775" s="35"/>
      <c r="CG775" s="36"/>
      <c r="CH775" s="36"/>
      <c r="CS775" s="36"/>
      <c r="CT775" s="36"/>
    </row>
    <row r="776" ht="15.75" customHeight="1">
      <c r="O776" s="35"/>
      <c r="CG776" s="36"/>
      <c r="CH776" s="36"/>
      <c r="CS776" s="36"/>
      <c r="CT776" s="36"/>
    </row>
    <row r="777" ht="15.75" customHeight="1">
      <c r="O777" s="35"/>
      <c r="CG777" s="36"/>
      <c r="CH777" s="36"/>
      <c r="CS777" s="36"/>
      <c r="CT777" s="36"/>
    </row>
    <row r="778" ht="15.75" customHeight="1">
      <c r="O778" s="35"/>
      <c r="CG778" s="36"/>
      <c r="CH778" s="36"/>
      <c r="CS778" s="36"/>
      <c r="CT778" s="36"/>
    </row>
    <row r="779" ht="15.75" customHeight="1">
      <c r="O779" s="35"/>
      <c r="CG779" s="36"/>
      <c r="CH779" s="36"/>
      <c r="CS779" s="36"/>
      <c r="CT779" s="36"/>
    </row>
    <row r="780" ht="15.75" customHeight="1">
      <c r="O780" s="35"/>
      <c r="CG780" s="36"/>
      <c r="CH780" s="36"/>
      <c r="CS780" s="36"/>
      <c r="CT780" s="36"/>
    </row>
    <row r="781" ht="15.75" customHeight="1">
      <c r="O781" s="35"/>
      <c r="CG781" s="36"/>
      <c r="CH781" s="36"/>
      <c r="CS781" s="36"/>
      <c r="CT781" s="36"/>
    </row>
    <row r="782" ht="15.75" customHeight="1">
      <c r="O782" s="35"/>
      <c r="CG782" s="36"/>
      <c r="CH782" s="36"/>
      <c r="CS782" s="36"/>
      <c r="CT782" s="36"/>
    </row>
    <row r="783" ht="15.75" customHeight="1">
      <c r="O783" s="35"/>
      <c r="CG783" s="36"/>
      <c r="CH783" s="36"/>
      <c r="CS783" s="36"/>
      <c r="CT783" s="36"/>
    </row>
    <row r="784" ht="15.75" customHeight="1">
      <c r="O784" s="35"/>
      <c r="CG784" s="36"/>
      <c r="CH784" s="36"/>
      <c r="CS784" s="36"/>
      <c r="CT784" s="36"/>
    </row>
    <row r="785" ht="15.75" customHeight="1">
      <c r="O785" s="35"/>
      <c r="CG785" s="36"/>
      <c r="CH785" s="36"/>
      <c r="CS785" s="36"/>
      <c r="CT785" s="36"/>
    </row>
    <row r="786" ht="15.75" customHeight="1">
      <c r="O786" s="35"/>
      <c r="CG786" s="36"/>
      <c r="CH786" s="36"/>
      <c r="CS786" s="36"/>
      <c r="CT786" s="36"/>
    </row>
    <row r="787" ht="15.75" customHeight="1">
      <c r="O787" s="35"/>
      <c r="CG787" s="36"/>
      <c r="CH787" s="36"/>
      <c r="CS787" s="36"/>
      <c r="CT787" s="36"/>
    </row>
    <row r="788" ht="15.75" customHeight="1">
      <c r="O788" s="35"/>
      <c r="CG788" s="36"/>
      <c r="CH788" s="36"/>
      <c r="CS788" s="36"/>
      <c r="CT788" s="36"/>
    </row>
    <row r="789" ht="15.75" customHeight="1">
      <c r="O789" s="35"/>
      <c r="CG789" s="36"/>
      <c r="CH789" s="36"/>
      <c r="CS789" s="36"/>
      <c r="CT789" s="36"/>
    </row>
    <row r="790" ht="15.75" customHeight="1">
      <c r="O790" s="35"/>
      <c r="CG790" s="36"/>
      <c r="CH790" s="36"/>
      <c r="CS790" s="36"/>
      <c r="CT790" s="36"/>
    </row>
    <row r="791" ht="15.75" customHeight="1">
      <c r="O791" s="35"/>
      <c r="CG791" s="36"/>
      <c r="CH791" s="36"/>
      <c r="CS791" s="36"/>
      <c r="CT791" s="36"/>
    </row>
    <row r="792" ht="15.75" customHeight="1">
      <c r="O792" s="35"/>
      <c r="CG792" s="36"/>
      <c r="CH792" s="36"/>
      <c r="CS792" s="36"/>
      <c r="CT792" s="36"/>
    </row>
    <row r="793" ht="15.75" customHeight="1">
      <c r="O793" s="35"/>
      <c r="CG793" s="36"/>
      <c r="CH793" s="36"/>
      <c r="CS793" s="36"/>
      <c r="CT793" s="36"/>
    </row>
    <row r="794" ht="15.75" customHeight="1">
      <c r="O794" s="35"/>
      <c r="CG794" s="36"/>
      <c r="CH794" s="36"/>
      <c r="CS794" s="36"/>
      <c r="CT794" s="36"/>
    </row>
    <row r="795" ht="15.75" customHeight="1">
      <c r="O795" s="35"/>
      <c r="CG795" s="36"/>
      <c r="CH795" s="36"/>
      <c r="CS795" s="36"/>
      <c r="CT795" s="36"/>
    </row>
    <row r="796" ht="15.75" customHeight="1">
      <c r="O796" s="35"/>
      <c r="CG796" s="36"/>
      <c r="CH796" s="36"/>
      <c r="CS796" s="36"/>
      <c r="CT796" s="36"/>
    </row>
    <row r="797" ht="15.75" customHeight="1">
      <c r="O797" s="35"/>
      <c r="CG797" s="36"/>
      <c r="CH797" s="36"/>
      <c r="CS797" s="36"/>
      <c r="CT797" s="36"/>
    </row>
    <row r="798" ht="15.75" customHeight="1">
      <c r="O798" s="35"/>
      <c r="CG798" s="36"/>
      <c r="CH798" s="36"/>
      <c r="CS798" s="36"/>
      <c r="CT798" s="36"/>
    </row>
    <row r="799" ht="15.75" customHeight="1">
      <c r="O799" s="35"/>
      <c r="CG799" s="36"/>
      <c r="CH799" s="36"/>
      <c r="CS799" s="36"/>
      <c r="CT799" s="36"/>
    </row>
    <row r="800" ht="15.75" customHeight="1">
      <c r="O800" s="35"/>
      <c r="CG800" s="36"/>
      <c r="CH800" s="36"/>
      <c r="CS800" s="36"/>
      <c r="CT800" s="36"/>
    </row>
    <row r="801" ht="15.75" customHeight="1">
      <c r="O801" s="35"/>
      <c r="CG801" s="36"/>
      <c r="CH801" s="36"/>
      <c r="CS801" s="36"/>
      <c r="CT801" s="36"/>
    </row>
    <row r="802" ht="15.75" customHeight="1">
      <c r="O802" s="35"/>
      <c r="CG802" s="36"/>
      <c r="CH802" s="36"/>
      <c r="CS802" s="36"/>
      <c r="CT802" s="36"/>
    </row>
    <row r="803" ht="15.75" customHeight="1">
      <c r="O803" s="35"/>
      <c r="CG803" s="36"/>
      <c r="CH803" s="36"/>
      <c r="CS803" s="36"/>
      <c r="CT803" s="36"/>
    </row>
    <row r="804" ht="15.75" customHeight="1">
      <c r="O804" s="35"/>
      <c r="CG804" s="36"/>
      <c r="CH804" s="36"/>
      <c r="CS804" s="36"/>
      <c r="CT804" s="36"/>
    </row>
    <row r="805" ht="15.75" customHeight="1">
      <c r="O805" s="35"/>
      <c r="CG805" s="36"/>
      <c r="CH805" s="36"/>
      <c r="CS805" s="36"/>
      <c r="CT805" s="36"/>
    </row>
    <row r="806" ht="15.75" customHeight="1">
      <c r="O806" s="35"/>
      <c r="CG806" s="36"/>
      <c r="CH806" s="36"/>
      <c r="CS806" s="36"/>
      <c r="CT806" s="36"/>
    </row>
    <row r="807" ht="15.75" customHeight="1">
      <c r="O807" s="35"/>
      <c r="CG807" s="36"/>
      <c r="CH807" s="36"/>
      <c r="CS807" s="36"/>
      <c r="CT807" s="36"/>
    </row>
    <row r="808" ht="15.75" customHeight="1">
      <c r="O808" s="35"/>
      <c r="CG808" s="36"/>
      <c r="CH808" s="36"/>
      <c r="CS808" s="36"/>
      <c r="CT808" s="36"/>
    </row>
    <row r="809" ht="15.75" customHeight="1">
      <c r="O809" s="35"/>
      <c r="CG809" s="36"/>
      <c r="CH809" s="36"/>
      <c r="CS809" s="36"/>
      <c r="CT809" s="36"/>
    </row>
    <row r="810" ht="15.75" customHeight="1">
      <c r="O810" s="35"/>
      <c r="CG810" s="36"/>
      <c r="CH810" s="36"/>
      <c r="CS810" s="36"/>
      <c r="CT810" s="36"/>
    </row>
    <row r="811" ht="15.75" customHeight="1">
      <c r="O811" s="35"/>
      <c r="CG811" s="36"/>
      <c r="CH811" s="36"/>
      <c r="CS811" s="36"/>
      <c r="CT811" s="36"/>
    </row>
    <row r="812" ht="15.75" customHeight="1">
      <c r="O812" s="35"/>
      <c r="CG812" s="36"/>
      <c r="CH812" s="36"/>
      <c r="CS812" s="36"/>
      <c r="CT812" s="36"/>
    </row>
    <row r="813" ht="15.75" customHeight="1">
      <c r="O813" s="35"/>
      <c r="CG813" s="36"/>
      <c r="CH813" s="36"/>
      <c r="CS813" s="36"/>
      <c r="CT813" s="36"/>
    </row>
    <row r="814" ht="15.75" customHeight="1">
      <c r="O814" s="35"/>
      <c r="CG814" s="36"/>
      <c r="CH814" s="36"/>
      <c r="CS814" s="36"/>
      <c r="CT814" s="36"/>
    </row>
    <row r="815" ht="15.75" customHeight="1">
      <c r="O815" s="35"/>
      <c r="CG815" s="36"/>
      <c r="CH815" s="36"/>
      <c r="CS815" s="36"/>
      <c r="CT815" s="36"/>
    </row>
    <row r="816" ht="15.75" customHeight="1">
      <c r="O816" s="35"/>
      <c r="CG816" s="36"/>
      <c r="CH816" s="36"/>
      <c r="CS816" s="36"/>
      <c r="CT816" s="36"/>
    </row>
    <row r="817" ht="15.75" customHeight="1">
      <c r="O817" s="35"/>
      <c r="CG817" s="36"/>
      <c r="CH817" s="36"/>
      <c r="CS817" s="36"/>
      <c r="CT817" s="36"/>
    </row>
    <row r="818" ht="15.75" customHeight="1">
      <c r="O818" s="35"/>
      <c r="CG818" s="36"/>
      <c r="CH818" s="36"/>
      <c r="CS818" s="36"/>
      <c r="CT818" s="36"/>
    </row>
    <row r="819" ht="15.75" customHeight="1">
      <c r="O819" s="35"/>
      <c r="CG819" s="36"/>
      <c r="CH819" s="36"/>
      <c r="CS819" s="36"/>
      <c r="CT819" s="36"/>
    </row>
    <row r="820" ht="15.75" customHeight="1">
      <c r="O820" s="35"/>
      <c r="CG820" s="36"/>
      <c r="CH820" s="36"/>
      <c r="CS820" s="36"/>
      <c r="CT820" s="36"/>
    </row>
    <row r="821" ht="15.75" customHeight="1">
      <c r="O821" s="35"/>
      <c r="CG821" s="36"/>
      <c r="CH821" s="36"/>
      <c r="CS821" s="36"/>
      <c r="CT821" s="36"/>
    </row>
    <row r="822" ht="15.75" customHeight="1">
      <c r="O822" s="35"/>
      <c r="CG822" s="36"/>
      <c r="CH822" s="36"/>
      <c r="CS822" s="36"/>
      <c r="CT822" s="36"/>
    </row>
    <row r="823" ht="15.75" customHeight="1">
      <c r="O823" s="35"/>
      <c r="CG823" s="36"/>
      <c r="CH823" s="36"/>
      <c r="CS823" s="36"/>
      <c r="CT823" s="36"/>
    </row>
    <row r="824" ht="15.75" customHeight="1">
      <c r="O824" s="35"/>
      <c r="CG824" s="36"/>
      <c r="CH824" s="36"/>
      <c r="CS824" s="36"/>
      <c r="CT824" s="36"/>
    </row>
    <row r="825" ht="15.75" customHeight="1">
      <c r="O825" s="35"/>
      <c r="CG825" s="36"/>
      <c r="CH825" s="36"/>
      <c r="CS825" s="36"/>
      <c r="CT825" s="36"/>
    </row>
    <row r="826" ht="15.75" customHeight="1">
      <c r="O826" s="35"/>
      <c r="CG826" s="36"/>
      <c r="CH826" s="36"/>
      <c r="CS826" s="36"/>
      <c r="CT826" s="36"/>
    </row>
    <row r="827" ht="15.75" customHeight="1">
      <c r="O827" s="35"/>
      <c r="CG827" s="36"/>
      <c r="CH827" s="36"/>
      <c r="CS827" s="36"/>
      <c r="CT827" s="36"/>
    </row>
    <row r="828" ht="15.75" customHeight="1">
      <c r="O828" s="35"/>
      <c r="CG828" s="36"/>
      <c r="CH828" s="36"/>
      <c r="CS828" s="36"/>
      <c r="CT828" s="36"/>
    </row>
    <row r="829" ht="15.75" customHeight="1">
      <c r="O829" s="35"/>
      <c r="CG829" s="36"/>
      <c r="CH829" s="36"/>
      <c r="CS829" s="36"/>
      <c r="CT829" s="36"/>
    </row>
    <row r="830" ht="15.75" customHeight="1">
      <c r="O830" s="35"/>
      <c r="CG830" s="36"/>
      <c r="CH830" s="36"/>
      <c r="CS830" s="36"/>
      <c r="CT830" s="36"/>
    </row>
    <row r="831" ht="15.75" customHeight="1">
      <c r="O831" s="35"/>
      <c r="CG831" s="36"/>
      <c r="CH831" s="36"/>
      <c r="CS831" s="36"/>
      <c r="CT831" s="36"/>
    </row>
    <row r="832" ht="15.75" customHeight="1">
      <c r="O832" s="35"/>
      <c r="CG832" s="36"/>
      <c r="CH832" s="36"/>
      <c r="CS832" s="36"/>
      <c r="CT832" s="36"/>
    </row>
    <row r="833" ht="15.75" customHeight="1">
      <c r="O833" s="35"/>
      <c r="CG833" s="36"/>
      <c r="CH833" s="36"/>
      <c r="CS833" s="36"/>
      <c r="CT833" s="36"/>
    </row>
    <row r="834" ht="15.75" customHeight="1">
      <c r="O834" s="35"/>
      <c r="CG834" s="36"/>
      <c r="CH834" s="36"/>
      <c r="CS834" s="36"/>
      <c r="CT834" s="36"/>
    </row>
    <row r="835" ht="15.75" customHeight="1">
      <c r="O835" s="35"/>
      <c r="CG835" s="36"/>
      <c r="CH835" s="36"/>
      <c r="CS835" s="36"/>
      <c r="CT835" s="36"/>
    </row>
    <row r="836" ht="15.75" customHeight="1">
      <c r="O836" s="35"/>
      <c r="CG836" s="36"/>
      <c r="CH836" s="36"/>
      <c r="CS836" s="36"/>
      <c r="CT836" s="36"/>
    </row>
    <row r="837" ht="15.75" customHeight="1">
      <c r="O837" s="35"/>
      <c r="CG837" s="36"/>
      <c r="CH837" s="36"/>
      <c r="CS837" s="36"/>
      <c r="CT837" s="36"/>
    </row>
    <row r="838" ht="15.75" customHeight="1">
      <c r="O838" s="35"/>
      <c r="CG838" s="36"/>
      <c r="CH838" s="36"/>
      <c r="CS838" s="36"/>
      <c r="CT838" s="36"/>
    </row>
    <row r="839" ht="15.75" customHeight="1">
      <c r="O839" s="35"/>
      <c r="CG839" s="36"/>
      <c r="CH839" s="36"/>
      <c r="CS839" s="36"/>
      <c r="CT839" s="36"/>
    </row>
    <row r="840" ht="15.75" customHeight="1">
      <c r="O840" s="35"/>
      <c r="CG840" s="36"/>
      <c r="CH840" s="36"/>
      <c r="CS840" s="36"/>
      <c r="CT840" s="36"/>
    </row>
    <row r="841" ht="15.75" customHeight="1">
      <c r="O841" s="35"/>
      <c r="CG841" s="36"/>
      <c r="CH841" s="36"/>
      <c r="CS841" s="36"/>
      <c r="CT841" s="36"/>
    </row>
    <row r="842" ht="15.75" customHeight="1">
      <c r="O842" s="35"/>
      <c r="CG842" s="36"/>
      <c r="CH842" s="36"/>
      <c r="CS842" s="36"/>
      <c r="CT842" s="36"/>
    </row>
    <row r="843" ht="15.75" customHeight="1">
      <c r="O843" s="35"/>
      <c r="CG843" s="36"/>
      <c r="CH843" s="36"/>
      <c r="CS843" s="36"/>
      <c r="CT843" s="36"/>
    </row>
    <row r="844" ht="15.75" customHeight="1">
      <c r="O844" s="35"/>
      <c r="CG844" s="36"/>
      <c r="CH844" s="36"/>
      <c r="CS844" s="36"/>
      <c r="CT844" s="36"/>
    </row>
    <row r="845" ht="15.75" customHeight="1">
      <c r="O845" s="35"/>
      <c r="CG845" s="36"/>
      <c r="CH845" s="36"/>
      <c r="CS845" s="36"/>
      <c r="CT845" s="36"/>
    </row>
    <row r="846" ht="15.75" customHeight="1">
      <c r="O846" s="35"/>
      <c r="CG846" s="36"/>
      <c r="CH846" s="36"/>
      <c r="CS846" s="36"/>
      <c r="CT846" s="36"/>
    </row>
    <row r="847" ht="15.75" customHeight="1">
      <c r="O847" s="35"/>
      <c r="CG847" s="36"/>
      <c r="CH847" s="36"/>
      <c r="CS847" s="36"/>
      <c r="CT847" s="36"/>
    </row>
    <row r="848" ht="15.75" customHeight="1">
      <c r="O848" s="35"/>
      <c r="CG848" s="36"/>
      <c r="CH848" s="36"/>
      <c r="CS848" s="36"/>
      <c r="CT848" s="36"/>
    </row>
    <row r="849" ht="15.75" customHeight="1">
      <c r="O849" s="35"/>
      <c r="CG849" s="36"/>
      <c r="CH849" s="36"/>
      <c r="CS849" s="36"/>
      <c r="CT849" s="36"/>
    </row>
    <row r="850" ht="15.75" customHeight="1">
      <c r="O850" s="35"/>
      <c r="CG850" s="36"/>
      <c r="CH850" s="36"/>
      <c r="CS850" s="36"/>
      <c r="CT850" s="36"/>
    </row>
    <row r="851" ht="15.75" customHeight="1">
      <c r="O851" s="35"/>
      <c r="CG851" s="36"/>
      <c r="CH851" s="36"/>
      <c r="CS851" s="36"/>
      <c r="CT851" s="36"/>
    </row>
    <row r="852" ht="15.75" customHeight="1">
      <c r="O852" s="35"/>
      <c r="CG852" s="36"/>
      <c r="CH852" s="36"/>
      <c r="CS852" s="36"/>
      <c r="CT852" s="36"/>
    </row>
    <row r="853" ht="15.75" customHeight="1">
      <c r="O853" s="35"/>
      <c r="CG853" s="36"/>
      <c r="CH853" s="36"/>
      <c r="CS853" s="36"/>
      <c r="CT853" s="36"/>
    </row>
    <row r="854" ht="15.75" customHeight="1">
      <c r="O854" s="35"/>
      <c r="CG854" s="36"/>
      <c r="CH854" s="36"/>
      <c r="CS854" s="36"/>
      <c r="CT854" s="36"/>
    </row>
    <row r="855" ht="15.75" customHeight="1">
      <c r="O855" s="35"/>
      <c r="CG855" s="36"/>
      <c r="CH855" s="36"/>
      <c r="CS855" s="36"/>
      <c r="CT855" s="36"/>
    </row>
    <row r="856" ht="15.75" customHeight="1">
      <c r="O856" s="35"/>
      <c r="CG856" s="36"/>
      <c r="CH856" s="36"/>
      <c r="CS856" s="36"/>
      <c r="CT856" s="36"/>
    </row>
    <row r="857" ht="15.75" customHeight="1">
      <c r="O857" s="35"/>
      <c r="CG857" s="36"/>
      <c r="CH857" s="36"/>
      <c r="CS857" s="36"/>
      <c r="CT857" s="36"/>
    </row>
    <row r="858" ht="15.75" customHeight="1">
      <c r="O858" s="35"/>
      <c r="CG858" s="36"/>
      <c r="CH858" s="36"/>
      <c r="CS858" s="36"/>
      <c r="CT858" s="36"/>
    </row>
    <row r="859" ht="15.75" customHeight="1">
      <c r="O859" s="35"/>
      <c r="CG859" s="36"/>
      <c r="CH859" s="36"/>
      <c r="CS859" s="36"/>
      <c r="CT859" s="36"/>
    </row>
    <row r="860" ht="15.75" customHeight="1">
      <c r="O860" s="35"/>
      <c r="CG860" s="36"/>
      <c r="CH860" s="36"/>
      <c r="CS860" s="36"/>
      <c r="CT860" s="36"/>
    </row>
    <row r="861" ht="15.75" customHeight="1">
      <c r="O861" s="35"/>
      <c r="CG861" s="36"/>
      <c r="CH861" s="36"/>
      <c r="CS861" s="36"/>
      <c r="CT861" s="36"/>
    </row>
    <row r="862" ht="15.75" customHeight="1">
      <c r="O862" s="35"/>
      <c r="CG862" s="36"/>
      <c r="CH862" s="36"/>
      <c r="CS862" s="36"/>
      <c r="CT862" s="36"/>
    </row>
    <row r="863" ht="15.75" customHeight="1">
      <c r="O863" s="35"/>
      <c r="CG863" s="36"/>
      <c r="CH863" s="36"/>
      <c r="CS863" s="36"/>
      <c r="CT863" s="36"/>
    </row>
    <row r="864" ht="15.75" customHeight="1">
      <c r="O864" s="35"/>
      <c r="CG864" s="36"/>
      <c r="CH864" s="36"/>
      <c r="CS864" s="36"/>
      <c r="CT864" s="36"/>
    </row>
    <row r="865" ht="15.75" customHeight="1">
      <c r="O865" s="35"/>
      <c r="CG865" s="36"/>
      <c r="CH865" s="36"/>
      <c r="CS865" s="36"/>
      <c r="CT865" s="36"/>
    </row>
    <row r="866" ht="15.75" customHeight="1">
      <c r="O866" s="35"/>
      <c r="CG866" s="36"/>
      <c r="CH866" s="36"/>
      <c r="CS866" s="36"/>
      <c r="CT866" s="36"/>
    </row>
    <row r="867" ht="15.75" customHeight="1">
      <c r="O867" s="35"/>
      <c r="CG867" s="36"/>
      <c r="CH867" s="36"/>
      <c r="CS867" s="36"/>
      <c r="CT867" s="36"/>
    </row>
    <row r="868" ht="15.75" customHeight="1">
      <c r="O868" s="35"/>
      <c r="CG868" s="36"/>
      <c r="CH868" s="36"/>
      <c r="CS868" s="36"/>
      <c r="CT868" s="36"/>
    </row>
    <row r="869" ht="15.75" customHeight="1">
      <c r="O869" s="35"/>
      <c r="CG869" s="36"/>
      <c r="CH869" s="36"/>
      <c r="CS869" s="36"/>
      <c r="CT869" s="36"/>
    </row>
    <row r="870" ht="15.75" customHeight="1">
      <c r="O870" s="35"/>
      <c r="CG870" s="36"/>
      <c r="CH870" s="36"/>
      <c r="CS870" s="36"/>
      <c r="CT870" s="36"/>
    </row>
    <row r="871" ht="15.75" customHeight="1">
      <c r="O871" s="35"/>
      <c r="CG871" s="36"/>
      <c r="CH871" s="36"/>
      <c r="CS871" s="36"/>
      <c r="CT871" s="36"/>
    </row>
    <row r="872" ht="15.75" customHeight="1">
      <c r="O872" s="35"/>
      <c r="CG872" s="36"/>
      <c r="CH872" s="36"/>
      <c r="CS872" s="36"/>
      <c r="CT872" s="36"/>
    </row>
    <row r="873" ht="15.75" customHeight="1">
      <c r="O873" s="35"/>
      <c r="CG873" s="36"/>
      <c r="CH873" s="36"/>
      <c r="CS873" s="36"/>
      <c r="CT873" s="36"/>
    </row>
    <row r="874" ht="15.75" customHeight="1">
      <c r="O874" s="35"/>
      <c r="CG874" s="36"/>
      <c r="CH874" s="36"/>
      <c r="CS874" s="36"/>
      <c r="CT874" s="36"/>
    </row>
    <row r="875" ht="15.75" customHeight="1">
      <c r="O875" s="35"/>
      <c r="CG875" s="36"/>
      <c r="CH875" s="36"/>
      <c r="CS875" s="36"/>
      <c r="CT875" s="36"/>
    </row>
    <row r="876" ht="15.75" customHeight="1">
      <c r="O876" s="35"/>
      <c r="CG876" s="36"/>
      <c r="CH876" s="36"/>
      <c r="CS876" s="36"/>
      <c r="CT876" s="36"/>
    </row>
    <row r="877" ht="15.75" customHeight="1">
      <c r="O877" s="35"/>
      <c r="CG877" s="36"/>
      <c r="CH877" s="36"/>
      <c r="CS877" s="36"/>
      <c r="CT877" s="36"/>
    </row>
    <row r="878" ht="15.75" customHeight="1">
      <c r="O878" s="35"/>
      <c r="CG878" s="36"/>
      <c r="CH878" s="36"/>
      <c r="CS878" s="36"/>
      <c r="CT878" s="36"/>
    </row>
    <row r="879" ht="15.75" customHeight="1">
      <c r="O879" s="35"/>
      <c r="CG879" s="36"/>
      <c r="CH879" s="36"/>
      <c r="CS879" s="36"/>
      <c r="CT879" s="36"/>
    </row>
    <row r="880" ht="15.75" customHeight="1">
      <c r="O880" s="35"/>
      <c r="CG880" s="36"/>
      <c r="CH880" s="36"/>
      <c r="CS880" s="36"/>
      <c r="CT880" s="36"/>
    </row>
    <row r="881" ht="15.75" customHeight="1">
      <c r="O881" s="35"/>
      <c r="CG881" s="36"/>
      <c r="CH881" s="36"/>
      <c r="CS881" s="36"/>
      <c r="CT881" s="36"/>
    </row>
    <row r="882" ht="15.75" customHeight="1">
      <c r="O882" s="35"/>
      <c r="CG882" s="36"/>
      <c r="CH882" s="36"/>
      <c r="CS882" s="36"/>
      <c r="CT882" s="36"/>
    </row>
    <row r="883" ht="15.75" customHeight="1">
      <c r="O883" s="35"/>
      <c r="CG883" s="36"/>
      <c r="CH883" s="36"/>
      <c r="CS883" s="36"/>
      <c r="CT883" s="36"/>
    </row>
    <row r="884" ht="15.75" customHeight="1">
      <c r="O884" s="35"/>
      <c r="CG884" s="36"/>
      <c r="CH884" s="36"/>
      <c r="CS884" s="36"/>
      <c r="CT884" s="36"/>
    </row>
    <row r="885" ht="15.75" customHeight="1">
      <c r="O885" s="35"/>
      <c r="CG885" s="36"/>
      <c r="CH885" s="36"/>
      <c r="CS885" s="36"/>
      <c r="CT885" s="36"/>
    </row>
    <row r="886" ht="15.75" customHeight="1">
      <c r="O886" s="35"/>
      <c r="CG886" s="36"/>
      <c r="CH886" s="36"/>
      <c r="CS886" s="36"/>
      <c r="CT886" s="36"/>
    </row>
    <row r="887" ht="15.75" customHeight="1">
      <c r="O887" s="35"/>
      <c r="CG887" s="36"/>
      <c r="CH887" s="36"/>
      <c r="CS887" s="36"/>
      <c r="CT887" s="36"/>
    </row>
    <row r="888" ht="15.75" customHeight="1">
      <c r="O888" s="35"/>
      <c r="CG888" s="36"/>
      <c r="CH888" s="36"/>
      <c r="CS888" s="36"/>
      <c r="CT888" s="36"/>
    </row>
    <row r="889" ht="15.75" customHeight="1">
      <c r="O889" s="35"/>
      <c r="CG889" s="36"/>
      <c r="CH889" s="36"/>
      <c r="CS889" s="36"/>
      <c r="CT889" s="36"/>
    </row>
    <row r="890" ht="15.75" customHeight="1">
      <c r="O890" s="35"/>
      <c r="CG890" s="36"/>
      <c r="CH890" s="36"/>
      <c r="CS890" s="36"/>
      <c r="CT890" s="36"/>
    </row>
    <row r="891" ht="15.75" customHeight="1">
      <c r="O891" s="35"/>
      <c r="CG891" s="36"/>
      <c r="CH891" s="36"/>
      <c r="CS891" s="36"/>
      <c r="CT891" s="36"/>
    </row>
    <row r="892" ht="15.75" customHeight="1">
      <c r="O892" s="35"/>
      <c r="CG892" s="36"/>
      <c r="CH892" s="36"/>
      <c r="CS892" s="36"/>
      <c r="CT892" s="36"/>
    </row>
    <row r="893" ht="15.75" customHeight="1">
      <c r="O893" s="35"/>
      <c r="CG893" s="36"/>
      <c r="CH893" s="36"/>
      <c r="CS893" s="36"/>
      <c r="CT893" s="36"/>
    </row>
    <row r="894" ht="15.75" customHeight="1">
      <c r="O894" s="35"/>
      <c r="CG894" s="36"/>
      <c r="CH894" s="36"/>
      <c r="CS894" s="36"/>
      <c r="CT894" s="36"/>
    </row>
    <row r="895" ht="15.75" customHeight="1">
      <c r="O895" s="35"/>
      <c r="CG895" s="36"/>
      <c r="CH895" s="36"/>
      <c r="CS895" s="36"/>
      <c r="CT895" s="36"/>
    </row>
    <row r="896" ht="15.75" customHeight="1">
      <c r="O896" s="35"/>
      <c r="CG896" s="36"/>
      <c r="CH896" s="36"/>
      <c r="CS896" s="36"/>
      <c r="CT896" s="36"/>
    </row>
    <row r="897" ht="15.75" customHeight="1">
      <c r="O897" s="35"/>
      <c r="CG897" s="36"/>
      <c r="CH897" s="36"/>
      <c r="CS897" s="36"/>
      <c r="CT897" s="36"/>
    </row>
    <row r="898" ht="15.75" customHeight="1">
      <c r="O898" s="35"/>
      <c r="CG898" s="36"/>
      <c r="CH898" s="36"/>
      <c r="CS898" s="36"/>
      <c r="CT898" s="36"/>
    </row>
    <row r="899" ht="15.75" customHeight="1">
      <c r="O899" s="35"/>
      <c r="CG899" s="36"/>
      <c r="CH899" s="36"/>
      <c r="CS899" s="36"/>
      <c r="CT899" s="36"/>
    </row>
    <row r="900" ht="15.75" customHeight="1">
      <c r="O900" s="35"/>
      <c r="CG900" s="36"/>
      <c r="CH900" s="36"/>
      <c r="CS900" s="36"/>
      <c r="CT900" s="36"/>
    </row>
    <row r="901" ht="15.75" customHeight="1">
      <c r="O901" s="35"/>
      <c r="CG901" s="36"/>
      <c r="CH901" s="36"/>
      <c r="CS901" s="36"/>
      <c r="CT901" s="36"/>
    </row>
    <row r="902" ht="15.75" customHeight="1">
      <c r="O902" s="35"/>
      <c r="CG902" s="36"/>
      <c r="CH902" s="36"/>
      <c r="CS902" s="36"/>
      <c r="CT902" s="36"/>
    </row>
    <row r="903" ht="15.75" customHeight="1">
      <c r="O903" s="35"/>
      <c r="CG903" s="36"/>
      <c r="CH903" s="36"/>
      <c r="CS903" s="36"/>
      <c r="CT903" s="36"/>
    </row>
    <row r="904" ht="15.75" customHeight="1">
      <c r="O904" s="35"/>
      <c r="CG904" s="36"/>
      <c r="CH904" s="36"/>
      <c r="CS904" s="36"/>
      <c r="CT904" s="36"/>
    </row>
    <row r="905" ht="15.75" customHeight="1">
      <c r="O905" s="35"/>
      <c r="CG905" s="36"/>
      <c r="CH905" s="36"/>
      <c r="CS905" s="36"/>
      <c r="CT905" s="36"/>
    </row>
    <row r="906" ht="15.75" customHeight="1">
      <c r="O906" s="35"/>
      <c r="CG906" s="36"/>
      <c r="CH906" s="36"/>
      <c r="CS906" s="36"/>
      <c r="CT906" s="36"/>
    </row>
    <row r="907" ht="15.75" customHeight="1">
      <c r="O907" s="35"/>
      <c r="CG907" s="36"/>
      <c r="CH907" s="36"/>
      <c r="CS907" s="36"/>
      <c r="CT907" s="36"/>
    </row>
    <row r="908" ht="15.75" customHeight="1">
      <c r="O908" s="35"/>
      <c r="CG908" s="36"/>
      <c r="CH908" s="36"/>
      <c r="CS908" s="36"/>
      <c r="CT908" s="36"/>
    </row>
    <row r="909" ht="15.75" customHeight="1">
      <c r="O909" s="35"/>
      <c r="CG909" s="36"/>
      <c r="CH909" s="36"/>
      <c r="CS909" s="36"/>
      <c r="CT909" s="36"/>
    </row>
    <row r="910" ht="15.75" customHeight="1">
      <c r="O910" s="35"/>
      <c r="CG910" s="36"/>
      <c r="CH910" s="36"/>
      <c r="CS910" s="36"/>
      <c r="CT910" s="36"/>
    </row>
    <row r="911" ht="15.75" customHeight="1">
      <c r="O911" s="35"/>
      <c r="CG911" s="36"/>
      <c r="CH911" s="36"/>
      <c r="CS911" s="36"/>
      <c r="CT911" s="36"/>
    </row>
    <row r="912" ht="15.75" customHeight="1">
      <c r="O912" s="35"/>
      <c r="CG912" s="36"/>
      <c r="CH912" s="36"/>
      <c r="CS912" s="36"/>
      <c r="CT912" s="36"/>
    </row>
    <row r="913" ht="15.75" customHeight="1">
      <c r="O913" s="35"/>
      <c r="CG913" s="36"/>
      <c r="CH913" s="36"/>
      <c r="CS913" s="36"/>
      <c r="CT913" s="36"/>
    </row>
    <row r="914" ht="15.75" customHeight="1">
      <c r="O914" s="35"/>
      <c r="CG914" s="36"/>
      <c r="CH914" s="36"/>
      <c r="CS914" s="36"/>
      <c r="CT914" s="36"/>
    </row>
    <row r="915" ht="15.75" customHeight="1">
      <c r="O915" s="35"/>
      <c r="CG915" s="36"/>
      <c r="CH915" s="36"/>
      <c r="CS915" s="36"/>
      <c r="CT915" s="36"/>
    </row>
    <row r="916" ht="15.75" customHeight="1">
      <c r="O916" s="35"/>
      <c r="CG916" s="36"/>
      <c r="CH916" s="36"/>
      <c r="CS916" s="36"/>
      <c r="CT916" s="36"/>
    </row>
    <row r="917" ht="15.75" customHeight="1">
      <c r="O917" s="35"/>
      <c r="CG917" s="36"/>
      <c r="CH917" s="36"/>
      <c r="CS917" s="36"/>
      <c r="CT917" s="36"/>
    </row>
    <row r="918" ht="15.75" customHeight="1">
      <c r="O918" s="35"/>
      <c r="CG918" s="36"/>
      <c r="CH918" s="36"/>
      <c r="CS918" s="36"/>
      <c r="CT918" s="36"/>
    </row>
    <row r="919" ht="15.75" customHeight="1">
      <c r="O919" s="35"/>
      <c r="CG919" s="36"/>
      <c r="CH919" s="36"/>
      <c r="CS919" s="36"/>
      <c r="CT919" s="36"/>
    </row>
    <row r="920" ht="15.75" customHeight="1">
      <c r="O920" s="35"/>
      <c r="CG920" s="36"/>
      <c r="CH920" s="36"/>
      <c r="CS920" s="36"/>
      <c r="CT920" s="36"/>
    </row>
    <row r="921" ht="15.75" customHeight="1">
      <c r="O921" s="35"/>
      <c r="CG921" s="36"/>
      <c r="CH921" s="36"/>
      <c r="CS921" s="36"/>
      <c r="CT921" s="36"/>
    </row>
    <row r="922" ht="15.75" customHeight="1">
      <c r="O922" s="35"/>
      <c r="CG922" s="36"/>
      <c r="CH922" s="36"/>
      <c r="CS922" s="36"/>
      <c r="CT922" s="36"/>
    </row>
    <row r="923" ht="15.75" customHeight="1">
      <c r="O923" s="35"/>
      <c r="CG923" s="36"/>
      <c r="CH923" s="36"/>
      <c r="CS923" s="36"/>
      <c r="CT923" s="36"/>
    </row>
    <row r="924" ht="15.75" customHeight="1">
      <c r="O924" s="35"/>
      <c r="CG924" s="36"/>
      <c r="CH924" s="36"/>
      <c r="CS924" s="36"/>
      <c r="CT924" s="36"/>
    </row>
    <row r="925" ht="15.75" customHeight="1">
      <c r="O925" s="35"/>
      <c r="CG925" s="36"/>
      <c r="CH925" s="36"/>
      <c r="CS925" s="36"/>
      <c r="CT925" s="36"/>
    </row>
    <row r="926" ht="15.75" customHeight="1">
      <c r="O926" s="35"/>
      <c r="CG926" s="36"/>
      <c r="CH926" s="36"/>
      <c r="CS926" s="36"/>
      <c r="CT926" s="36"/>
    </row>
    <row r="927" ht="15.75" customHeight="1">
      <c r="O927" s="35"/>
      <c r="CG927" s="36"/>
      <c r="CH927" s="36"/>
      <c r="CS927" s="36"/>
      <c r="CT927" s="36"/>
    </row>
    <row r="928" ht="15.75" customHeight="1">
      <c r="O928" s="35"/>
      <c r="CG928" s="36"/>
      <c r="CH928" s="36"/>
      <c r="CS928" s="36"/>
      <c r="CT928" s="36"/>
    </row>
    <row r="929" ht="15.75" customHeight="1">
      <c r="O929" s="35"/>
      <c r="CG929" s="36"/>
      <c r="CH929" s="36"/>
      <c r="CS929" s="36"/>
      <c r="CT929" s="36"/>
    </row>
    <row r="930" ht="15.75" customHeight="1">
      <c r="O930" s="35"/>
      <c r="CG930" s="36"/>
      <c r="CH930" s="36"/>
      <c r="CS930" s="36"/>
      <c r="CT930" s="36"/>
    </row>
    <row r="931" ht="15.75" customHeight="1">
      <c r="O931" s="35"/>
      <c r="CG931" s="36"/>
      <c r="CH931" s="36"/>
      <c r="CS931" s="36"/>
      <c r="CT931" s="36"/>
    </row>
    <row r="932" ht="15.75" customHeight="1">
      <c r="O932" s="35"/>
      <c r="CG932" s="36"/>
      <c r="CH932" s="36"/>
      <c r="CS932" s="36"/>
      <c r="CT932" s="36"/>
    </row>
    <row r="933" ht="15.75" customHeight="1">
      <c r="O933" s="35"/>
      <c r="CG933" s="36"/>
      <c r="CH933" s="36"/>
      <c r="CS933" s="36"/>
      <c r="CT933" s="36"/>
    </row>
    <row r="934" ht="15.75" customHeight="1">
      <c r="O934" s="35"/>
      <c r="CG934" s="36"/>
      <c r="CH934" s="36"/>
      <c r="CS934" s="36"/>
      <c r="CT934" s="36"/>
    </row>
    <row r="935" ht="15.75" customHeight="1">
      <c r="O935" s="35"/>
      <c r="CG935" s="36"/>
      <c r="CH935" s="36"/>
      <c r="CS935" s="36"/>
      <c r="CT935" s="36"/>
    </row>
    <row r="936" ht="15.75" customHeight="1">
      <c r="O936" s="35"/>
      <c r="CG936" s="36"/>
      <c r="CH936" s="36"/>
      <c r="CS936" s="36"/>
      <c r="CT936" s="36"/>
    </row>
    <row r="937" ht="15.75" customHeight="1">
      <c r="O937" s="35"/>
      <c r="CG937" s="36"/>
      <c r="CH937" s="36"/>
      <c r="CS937" s="36"/>
      <c r="CT937" s="36"/>
    </row>
    <row r="938" ht="15.75" customHeight="1">
      <c r="O938" s="35"/>
      <c r="CG938" s="36"/>
      <c r="CH938" s="36"/>
      <c r="CS938" s="36"/>
      <c r="CT938" s="36"/>
    </row>
    <row r="939" ht="15.75" customHeight="1">
      <c r="O939" s="35"/>
      <c r="CG939" s="36"/>
      <c r="CH939" s="36"/>
      <c r="CS939" s="36"/>
      <c r="CT939" s="36"/>
    </row>
    <row r="940" ht="15.75" customHeight="1">
      <c r="O940" s="35"/>
      <c r="CG940" s="36"/>
      <c r="CH940" s="36"/>
      <c r="CS940" s="36"/>
      <c r="CT940" s="36"/>
    </row>
    <row r="941" ht="15.75" customHeight="1">
      <c r="O941" s="35"/>
      <c r="CG941" s="36"/>
      <c r="CH941" s="36"/>
      <c r="CS941" s="36"/>
      <c r="CT941" s="36"/>
    </row>
    <row r="942" ht="15.75" customHeight="1">
      <c r="O942" s="35"/>
      <c r="CG942" s="36"/>
      <c r="CH942" s="36"/>
      <c r="CS942" s="36"/>
      <c r="CT942" s="36"/>
    </row>
    <row r="943" ht="15.75" customHeight="1">
      <c r="O943" s="35"/>
      <c r="CG943" s="36"/>
      <c r="CH943" s="36"/>
      <c r="CS943" s="36"/>
      <c r="CT943" s="36"/>
    </row>
    <row r="944" ht="15.75" customHeight="1">
      <c r="O944" s="35"/>
      <c r="CG944" s="36"/>
      <c r="CH944" s="36"/>
      <c r="CS944" s="36"/>
      <c r="CT944" s="36"/>
    </row>
    <row r="945" ht="15.75" customHeight="1">
      <c r="O945" s="35"/>
      <c r="CG945" s="36"/>
      <c r="CH945" s="36"/>
      <c r="CS945" s="36"/>
      <c r="CT945" s="36"/>
    </row>
    <row r="946" ht="15.75" customHeight="1">
      <c r="O946" s="35"/>
      <c r="CG946" s="36"/>
      <c r="CH946" s="36"/>
      <c r="CS946" s="36"/>
      <c r="CT946" s="36"/>
    </row>
    <row r="947" ht="15.75" customHeight="1">
      <c r="O947" s="35"/>
      <c r="CG947" s="36"/>
      <c r="CH947" s="36"/>
      <c r="CS947" s="36"/>
      <c r="CT947" s="36"/>
    </row>
    <row r="948" ht="15.75" customHeight="1">
      <c r="O948" s="35"/>
      <c r="CG948" s="36"/>
      <c r="CH948" s="36"/>
      <c r="CS948" s="36"/>
      <c r="CT948" s="36"/>
    </row>
    <row r="949" ht="15.75" customHeight="1">
      <c r="O949" s="35"/>
      <c r="CG949" s="36"/>
      <c r="CH949" s="36"/>
      <c r="CS949" s="36"/>
      <c r="CT949" s="36"/>
    </row>
    <row r="950" ht="15.75" customHeight="1">
      <c r="O950" s="35"/>
      <c r="CG950" s="36"/>
      <c r="CH950" s="36"/>
      <c r="CS950" s="36"/>
      <c r="CT950" s="36"/>
    </row>
    <row r="951" ht="15.75" customHeight="1">
      <c r="O951" s="35"/>
      <c r="CG951" s="36"/>
      <c r="CH951" s="36"/>
      <c r="CS951" s="36"/>
      <c r="CT951" s="36"/>
    </row>
    <row r="952" ht="15.75" customHeight="1">
      <c r="O952" s="35"/>
      <c r="CG952" s="36"/>
      <c r="CH952" s="36"/>
      <c r="CS952" s="36"/>
      <c r="CT952" s="36"/>
    </row>
    <row r="953" ht="15.75" customHeight="1">
      <c r="O953" s="35"/>
      <c r="CG953" s="36"/>
      <c r="CH953" s="36"/>
      <c r="CS953" s="36"/>
      <c r="CT953" s="36"/>
    </row>
    <row r="954" ht="15.75" customHeight="1">
      <c r="O954" s="35"/>
      <c r="CG954" s="36"/>
      <c r="CH954" s="36"/>
      <c r="CS954" s="36"/>
      <c r="CT954" s="36"/>
    </row>
    <row r="955" ht="15.75" customHeight="1">
      <c r="O955" s="35"/>
      <c r="CG955" s="36"/>
      <c r="CH955" s="36"/>
      <c r="CS955" s="36"/>
      <c r="CT955" s="36"/>
    </row>
    <row r="956" ht="15.75" customHeight="1">
      <c r="O956" s="35"/>
      <c r="CG956" s="36"/>
      <c r="CH956" s="36"/>
      <c r="CS956" s="36"/>
      <c r="CT956" s="36"/>
    </row>
    <row r="957" ht="15.75" customHeight="1">
      <c r="O957" s="35"/>
      <c r="CG957" s="36"/>
      <c r="CH957" s="36"/>
      <c r="CS957" s="36"/>
      <c r="CT957" s="36"/>
    </row>
    <row r="958" ht="15.75" customHeight="1">
      <c r="O958" s="35"/>
      <c r="CG958" s="36"/>
      <c r="CH958" s="36"/>
      <c r="CS958" s="36"/>
      <c r="CT958" s="36"/>
    </row>
    <row r="959" ht="15.75" customHeight="1">
      <c r="O959" s="35"/>
      <c r="CG959" s="36"/>
      <c r="CH959" s="36"/>
      <c r="CS959" s="36"/>
      <c r="CT959" s="36"/>
    </row>
    <row r="960" ht="15.75" customHeight="1">
      <c r="O960" s="37"/>
      <c r="CG960" s="36"/>
      <c r="CH960" s="36"/>
      <c r="CS960" s="36"/>
      <c r="CT960" s="36"/>
    </row>
    <row r="961" ht="15.75" customHeight="1">
      <c r="O961" s="37"/>
      <c r="CG961" s="36"/>
      <c r="CH961" s="36"/>
      <c r="CS961" s="36"/>
      <c r="CT961" s="36"/>
    </row>
    <row r="962" ht="15.75" customHeight="1">
      <c r="O962" s="37"/>
      <c r="CG962" s="36"/>
      <c r="CH962" s="36"/>
      <c r="CS962" s="36"/>
      <c r="CT962" s="36"/>
    </row>
    <row r="963" ht="15.75" customHeight="1">
      <c r="O963" s="37"/>
      <c r="CG963" s="36"/>
      <c r="CH963" s="36"/>
      <c r="CS963" s="36"/>
      <c r="CT963" s="36"/>
    </row>
    <row r="964" ht="15.75" customHeight="1">
      <c r="O964" s="37"/>
      <c r="CG964" s="36"/>
      <c r="CH964" s="36"/>
      <c r="CS964" s="36"/>
      <c r="CT964" s="36"/>
    </row>
    <row r="965" ht="15.75" customHeight="1">
      <c r="O965" s="37"/>
      <c r="CG965" s="36"/>
      <c r="CH965" s="36"/>
      <c r="CS965" s="36"/>
      <c r="CT965" s="36"/>
    </row>
    <row r="966" ht="15.75" customHeight="1">
      <c r="O966" s="37"/>
      <c r="CG966" s="36"/>
      <c r="CH966" s="36"/>
      <c r="CS966" s="36"/>
      <c r="CT966" s="36"/>
    </row>
    <row r="967" ht="15.75" customHeight="1">
      <c r="O967" s="37"/>
      <c r="CG967" s="36"/>
      <c r="CH967" s="36"/>
      <c r="CS967" s="36"/>
      <c r="CT967" s="36"/>
    </row>
    <row r="968" ht="15.75" customHeight="1">
      <c r="O968" s="37"/>
      <c r="CG968" s="36"/>
      <c r="CH968" s="36"/>
      <c r="CS968" s="36"/>
      <c r="CT968" s="36"/>
    </row>
    <row r="969" ht="15.75" customHeight="1">
      <c r="O969" s="37"/>
      <c r="CG969" s="36"/>
      <c r="CH969" s="36"/>
      <c r="CS969" s="36"/>
      <c r="CT969" s="36"/>
    </row>
    <row r="970" ht="15.75" customHeight="1">
      <c r="O970" s="37"/>
      <c r="CG970" s="36"/>
      <c r="CH970" s="36"/>
      <c r="CS970" s="36"/>
      <c r="CT970" s="36"/>
    </row>
    <row r="971" ht="15.75" customHeight="1">
      <c r="O971" s="37"/>
      <c r="CG971" s="36"/>
      <c r="CH971" s="36"/>
      <c r="CS971" s="36"/>
      <c r="CT971" s="36"/>
    </row>
    <row r="972" ht="15.75" customHeight="1">
      <c r="O972" s="37"/>
      <c r="CG972" s="36"/>
      <c r="CH972" s="36"/>
      <c r="CS972" s="36"/>
      <c r="CT972" s="36"/>
    </row>
    <row r="973" ht="15.75" customHeight="1">
      <c r="O973" s="37"/>
      <c r="CG973" s="36"/>
      <c r="CH973" s="36"/>
      <c r="CS973" s="36"/>
      <c r="CT973" s="36"/>
    </row>
    <row r="974" ht="15.75" customHeight="1">
      <c r="O974" s="37"/>
      <c r="CG974" s="36"/>
      <c r="CH974" s="36"/>
      <c r="CS974" s="36"/>
      <c r="CT974" s="36"/>
    </row>
    <row r="975" ht="15.75" customHeight="1">
      <c r="O975" s="37"/>
      <c r="CG975" s="36"/>
      <c r="CH975" s="36"/>
      <c r="CS975" s="36"/>
      <c r="CT975" s="36"/>
    </row>
    <row r="976" ht="15.75" customHeight="1">
      <c r="O976" s="37"/>
      <c r="CG976" s="36"/>
      <c r="CH976" s="36"/>
      <c r="CS976" s="36"/>
      <c r="CT976" s="36"/>
    </row>
    <row r="977" ht="15.75" customHeight="1">
      <c r="O977" s="37"/>
      <c r="CG977" s="36"/>
      <c r="CH977" s="36"/>
      <c r="CS977" s="36"/>
      <c r="CT977" s="36"/>
    </row>
    <row r="978" ht="15.75" customHeight="1">
      <c r="O978" s="37"/>
      <c r="CG978" s="36"/>
      <c r="CH978" s="36"/>
      <c r="CS978" s="36"/>
      <c r="CT978" s="36"/>
    </row>
    <row r="979" ht="15.75" customHeight="1">
      <c r="O979" s="37"/>
      <c r="CG979" s="36"/>
      <c r="CH979" s="36"/>
      <c r="CS979" s="36"/>
      <c r="CT979" s="36"/>
    </row>
    <row r="980" ht="15.75" customHeight="1">
      <c r="O980" s="37"/>
      <c r="CG980" s="36"/>
      <c r="CH980" s="36"/>
      <c r="CS980" s="36"/>
      <c r="CT980" s="36"/>
    </row>
    <row r="981" ht="15.75" customHeight="1">
      <c r="O981" s="37"/>
      <c r="CG981" s="36"/>
      <c r="CH981" s="36"/>
      <c r="CS981" s="36"/>
      <c r="CT981" s="36"/>
    </row>
    <row r="982" ht="15.75" customHeight="1">
      <c r="O982" s="37"/>
      <c r="CG982" s="36"/>
      <c r="CH982" s="36"/>
      <c r="CS982" s="36"/>
      <c r="CT982" s="36"/>
    </row>
    <row r="983" ht="15.75" customHeight="1">
      <c r="O983" s="37"/>
      <c r="CG983" s="36"/>
      <c r="CH983" s="36"/>
      <c r="CS983" s="36"/>
      <c r="CT983" s="36"/>
    </row>
    <row r="984" ht="15.75" customHeight="1">
      <c r="O984" s="37"/>
      <c r="CG984" s="36"/>
      <c r="CH984" s="36"/>
      <c r="CS984" s="36"/>
      <c r="CT984" s="36"/>
    </row>
    <row r="985" ht="15.75" customHeight="1">
      <c r="O985" s="37"/>
      <c r="CG985" s="36"/>
      <c r="CH985" s="36"/>
      <c r="CS985" s="36"/>
      <c r="CT985" s="36"/>
    </row>
    <row r="986" ht="15.75" customHeight="1">
      <c r="O986" s="37"/>
      <c r="CG986" s="36"/>
      <c r="CH986" s="36"/>
      <c r="CS986" s="36"/>
      <c r="CT986" s="36"/>
    </row>
    <row r="987" ht="15.75" customHeight="1">
      <c r="O987" s="37"/>
      <c r="CG987" s="36"/>
      <c r="CH987" s="36"/>
      <c r="CS987" s="36"/>
      <c r="CT987" s="36"/>
    </row>
    <row r="988" ht="15.75" customHeight="1">
      <c r="O988" s="37"/>
      <c r="CG988" s="36"/>
      <c r="CH988" s="36"/>
      <c r="CS988" s="36"/>
      <c r="CT988" s="36"/>
    </row>
    <row r="989" ht="15.75" customHeight="1">
      <c r="O989" s="37"/>
      <c r="CG989" s="36"/>
      <c r="CH989" s="36"/>
      <c r="CS989" s="36"/>
      <c r="CT989" s="36"/>
    </row>
    <row r="990" ht="15.75" customHeight="1">
      <c r="O990" s="37"/>
      <c r="CG990" s="36"/>
      <c r="CH990" s="36"/>
      <c r="CS990" s="36"/>
      <c r="CT990" s="36"/>
    </row>
    <row r="991" ht="15.75" customHeight="1">
      <c r="O991" s="37"/>
      <c r="CG991" s="36"/>
      <c r="CH991" s="36"/>
      <c r="CS991" s="36"/>
      <c r="CT991" s="36"/>
    </row>
    <row r="992" ht="15.75" customHeight="1">
      <c r="O992" s="37"/>
      <c r="CG992" s="36"/>
      <c r="CH992" s="36"/>
      <c r="CS992" s="36"/>
      <c r="CT992" s="36"/>
    </row>
    <row r="993" ht="15.75" customHeight="1">
      <c r="O993" s="37"/>
      <c r="CG993" s="36"/>
      <c r="CH993" s="36"/>
      <c r="CS993" s="36"/>
      <c r="CT993" s="36"/>
    </row>
    <row r="994" ht="15.75" customHeight="1">
      <c r="O994" s="37"/>
      <c r="CG994" s="36"/>
      <c r="CH994" s="36"/>
      <c r="CS994" s="36"/>
      <c r="CT994" s="36"/>
    </row>
    <row r="995" ht="15.75" customHeight="1">
      <c r="O995" s="37"/>
      <c r="CG995" s="36"/>
      <c r="CH995" s="36"/>
      <c r="CS995" s="36"/>
      <c r="CT995" s="36"/>
    </row>
    <row r="996" ht="15.75" customHeight="1">
      <c r="O996" s="37"/>
      <c r="CG996" s="36"/>
      <c r="CH996" s="36"/>
      <c r="CS996" s="36"/>
      <c r="CT996" s="36"/>
    </row>
    <row r="997" ht="15.75" customHeight="1">
      <c r="O997" s="37"/>
      <c r="CG997" s="36"/>
      <c r="CH997" s="36"/>
      <c r="CS997" s="36"/>
      <c r="CT997" s="36"/>
    </row>
    <row r="998" ht="15.75" customHeight="1">
      <c r="O998" s="37"/>
      <c r="CG998" s="36"/>
      <c r="CH998" s="36"/>
      <c r="CS998" s="36"/>
      <c r="CT998" s="36"/>
    </row>
    <row r="999" ht="15.75" customHeight="1">
      <c r="O999" s="37"/>
      <c r="CG999" s="36"/>
      <c r="CH999" s="36"/>
      <c r="CS999" s="36"/>
      <c r="CT999" s="36"/>
    </row>
    <row r="1000" ht="15.75" customHeight="1">
      <c r="O1000" s="37"/>
      <c r="CG1000" s="36"/>
      <c r="CH1000" s="36"/>
      <c r="CS1000" s="36"/>
      <c r="CT1000" s="36"/>
    </row>
  </sheetData>
  <autoFilter ref="$A$1:$DH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8.0"/>
    <col customWidth="1" min="4" max="4" width="10.25"/>
    <col customWidth="1" min="5" max="5" width="7.88"/>
    <col customWidth="1" min="6" max="6" width="24.38"/>
    <col customWidth="1" min="7" max="7" width="11.0"/>
    <col customWidth="1" min="8" max="8" width="32.63"/>
    <col customWidth="1" min="9" max="9" width="11.0"/>
    <col customWidth="1" min="10" max="10" width="34.0"/>
    <col customWidth="1" min="11" max="11" width="11.0"/>
  </cols>
  <sheetData>
    <row r="1">
      <c r="A1" s="1" t="s">
        <v>0</v>
      </c>
      <c r="B1" s="1" t="s">
        <v>1</v>
      </c>
      <c r="C1" s="38" t="s">
        <v>2</v>
      </c>
      <c r="D1" s="38" t="s">
        <v>5</v>
      </c>
      <c r="E1" s="39" t="s">
        <v>364</v>
      </c>
      <c r="F1" s="39" t="s">
        <v>365</v>
      </c>
      <c r="G1" s="39" t="s">
        <v>14</v>
      </c>
      <c r="H1" s="39" t="s">
        <v>366</v>
      </c>
      <c r="I1" s="39" t="s">
        <v>14</v>
      </c>
      <c r="J1" s="39" t="s">
        <v>367</v>
      </c>
      <c r="K1" s="39" t="s">
        <v>14</v>
      </c>
    </row>
    <row r="2">
      <c r="A2" s="7">
        <v>1856.0</v>
      </c>
      <c r="B2" s="8" t="s">
        <v>38</v>
      </c>
      <c r="C2" s="40" t="s">
        <v>368</v>
      </c>
      <c r="D2" s="23" t="s">
        <v>90</v>
      </c>
      <c r="E2" s="41" t="s">
        <v>369</v>
      </c>
      <c r="F2" s="42" t="s">
        <v>370</v>
      </c>
      <c r="G2" s="43" t="b">
        <v>1</v>
      </c>
      <c r="H2" s="42" t="s">
        <v>371</v>
      </c>
      <c r="I2" s="43" t="b">
        <v>1</v>
      </c>
      <c r="J2" s="42" t="s">
        <v>372</v>
      </c>
      <c r="K2" s="44" t="b">
        <v>0</v>
      </c>
    </row>
    <row r="3">
      <c r="A3" s="7">
        <v>1856.0</v>
      </c>
      <c r="B3" s="8" t="s">
        <v>38</v>
      </c>
      <c r="C3" s="40" t="s">
        <v>373</v>
      </c>
      <c r="D3" s="23" t="s">
        <v>354</v>
      </c>
      <c r="E3" s="41" t="s">
        <v>374</v>
      </c>
      <c r="F3" s="45" t="s">
        <v>375</v>
      </c>
      <c r="G3" s="46" t="b">
        <v>1</v>
      </c>
      <c r="H3" s="45" t="s">
        <v>376</v>
      </c>
      <c r="I3" s="46" t="b">
        <v>1</v>
      </c>
      <c r="J3" s="45" t="s">
        <v>377</v>
      </c>
      <c r="K3" s="47" t="b">
        <v>0</v>
      </c>
    </row>
    <row r="4">
      <c r="A4" s="7">
        <v>1856.0</v>
      </c>
      <c r="B4" s="8" t="s">
        <v>38</v>
      </c>
      <c r="C4" s="40" t="s">
        <v>378</v>
      </c>
      <c r="D4" s="23" t="s">
        <v>41</v>
      </c>
      <c r="E4" s="41" t="s">
        <v>379</v>
      </c>
      <c r="F4" s="45" t="s">
        <v>380</v>
      </c>
      <c r="G4" s="46" t="b">
        <v>1</v>
      </c>
      <c r="H4" s="45" t="s">
        <v>381</v>
      </c>
      <c r="I4" s="46" t="b">
        <v>1</v>
      </c>
      <c r="J4" s="45" t="s">
        <v>382</v>
      </c>
      <c r="K4" s="47" t="b">
        <v>0</v>
      </c>
    </row>
    <row r="5">
      <c r="A5" s="7">
        <v>1856.0</v>
      </c>
      <c r="B5" s="8" t="s">
        <v>38</v>
      </c>
      <c r="C5" s="40" t="s">
        <v>383</v>
      </c>
      <c r="D5" s="23" t="s">
        <v>149</v>
      </c>
      <c r="E5" s="41" t="s">
        <v>384</v>
      </c>
      <c r="F5" s="45" t="s">
        <v>385</v>
      </c>
      <c r="G5" s="46" t="b">
        <v>1</v>
      </c>
      <c r="H5" s="45" t="s">
        <v>386</v>
      </c>
      <c r="I5" s="46" t="b">
        <v>1</v>
      </c>
      <c r="J5" s="45" t="s">
        <v>387</v>
      </c>
      <c r="K5" s="47" t="b">
        <v>0</v>
      </c>
    </row>
    <row r="6">
      <c r="A6" s="7">
        <v>1856.0</v>
      </c>
      <c r="B6" s="8" t="s">
        <v>38</v>
      </c>
      <c r="C6" s="48" t="s">
        <v>388</v>
      </c>
      <c r="D6" s="23" t="s">
        <v>110</v>
      </c>
      <c r="E6" s="41" t="s">
        <v>389</v>
      </c>
      <c r="F6" s="45" t="s">
        <v>390</v>
      </c>
      <c r="G6" s="46" t="b">
        <v>1</v>
      </c>
      <c r="H6" s="45" t="s">
        <v>391</v>
      </c>
      <c r="I6" s="46" t="b">
        <v>1</v>
      </c>
      <c r="J6" s="45" t="s">
        <v>392</v>
      </c>
      <c r="K6" s="47" t="b">
        <v>0</v>
      </c>
    </row>
    <row r="7">
      <c r="C7" s="49"/>
      <c r="D7" s="50"/>
      <c r="E7" s="41"/>
      <c r="F7" s="41"/>
      <c r="G7" s="41"/>
      <c r="H7" s="41"/>
      <c r="I7" s="41"/>
      <c r="J7" s="41"/>
      <c r="K7" s="41"/>
    </row>
    <row r="8">
      <c r="E8" s="41"/>
      <c r="F8" s="41"/>
      <c r="G8" s="41"/>
      <c r="H8" s="41"/>
      <c r="I8" s="41"/>
      <c r="J8" s="41"/>
      <c r="K8" s="41"/>
    </row>
    <row r="9">
      <c r="E9" s="41"/>
      <c r="F9" s="41"/>
      <c r="G9" s="41"/>
      <c r="H9" s="41"/>
      <c r="I9" s="41"/>
      <c r="J9" s="41"/>
      <c r="K9" s="41"/>
    </row>
    <row r="10">
      <c r="E10" s="41"/>
      <c r="F10" s="41"/>
      <c r="G10" s="41"/>
      <c r="H10" s="41"/>
      <c r="I10" s="41"/>
      <c r="J10" s="41"/>
      <c r="K10" s="41"/>
    </row>
    <row r="11">
      <c r="E11" s="41"/>
      <c r="F11" s="41"/>
      <c r="G11" s="41"/>
      <c r="H11" s="41"/>
      <c r="I11" s="41"/>
      <c r="J11" s="41"/>
      <c r="K11" s="41"/>
    </row>
    <row r="12">
      <c r="E12" s="41"/>
      <c r="F12" s="41"/>
      <c r="G12" s="41"/>
      <c r="H12" s="41"/>
      <c r="I12" s="41"/>
      <c r="J12" s="41"/>
      <c r="K12" s="41"/>
    </row>
    <row r="13">
      <c r="E13" s="41"/>
      <c r="F13" s="41"/>
      <c r="G13" s="41"/>
      <c r="H13" s="41"/>
      <c r="I13" s="41"/>
      <c r="J13" s="41"/>
      <c r="K13" s="41"/>
    </row>
    <row r="14">
      <c r="E14" s="41"/>
      <c r="F14" s="41"/>
      <c r="G14" s="41"/>
      <c r="H14" s="41"/>
      <c r="I14" s="41"/>
      <c r="J14" s="41"/>
      <c r="K14" s="41"/>
    </row>
    <row r="15">
      <c r="E15" s="41"/>
      <c r="F15" s="41"/>
      <c r="G15" s="41"/>
      <c r="H15" s="41"/>
      <c r="I15" s="41"/>
      <c r="J15" s="41"/>
      <c r="K15" s="41"/>
    </row>
    <row r="16">
      <c r="E16" s="41"/>
      <c r="F16" s="41"/>
      <c r="G16" s="41"/>
      <c r="H16" s="41"/>
      <c r="I16" s="41"/>
      <c r="J16" s="41"/>
      <c r="K16" s="41"/>
    </row>
    <row r="17">
      <c r="E17" s="41"/>
      <c r="F17" s="41"/>
      <c r="G17" s="41"/>
      <c r="H17" s="41"/>
      <c r="I17" s="41"/>
      <c r="J17" s="41"/>
      <c r="K17" s="41"/>
    </row>
    <row r="18">
      <c r="E18" s="41"/>
      <c r="F18" s="41"/>
      <c r="G18" s="41"/>
      <c r="H18" s="41"/>
      <c r="I18" s="41"/>
      <c r="J18" s="41"/>
      <c r="K18" s="41"/>
    </row>
    <row r="19">
      <c r="E19" s="41"/>
      <c r="F19" s="41"/>
      <c r="G19" s="41"/>
      <c r="H19" s="41"/>
      <c r="I19" s="41"/>
      <c r="J19" s="41"/>
      <c r="K19" s="41"/>
    </row>
    <row r="20">
      <c r="E20" s="41"/>
      <c r="F20" s="41"/>
      <c r="G20" s="41"/>
      <c r="H20" s="41"/>
      <c r="I20" s="41"/>
      <c r="J20" s="41"/>
      <c r="K20" s="41"/>
    </row>
    <row r="21">
      <c r="E21" s="41"/>
      <c r="F21" s="41"/>
      <c r="G21" s="41"/>
      <c r="H21" s="41"/>
      <c r="I21" s="41"/>
      <c r="J21" s="41"/>
      <c r="K21" s="41"/>
    </row>
    <row r="22">
      <c r="E22" s="41"/>
      <c r="F22" s="41"/>
      <c r="G22" s="41"/>
      <c r="H22" s="41"/>
      <c r="I22" s="41"/>
      <c r="J22" s="41"/>
      <c r="K22" s="41"/>
    </row>
    <row r="23">
      <c r="E23" s="41"/>
      <c r="F23" s="41"/>
      <c r="G23" s="41"/>
      <c r="H23" s="41"/>
      <c r="I23" s="41"/>
      <c r="J23" s="41"/>
      <c r="K23" s="41"/>
    </row>
    <row r="24">
      <c r="E24" s="41"/>
      <c r="F24" s="41"/>
      <c r="G24" s="41"/>
      <c r="H24" s="41"/>
      <c r="I24" s="41"/>
      <c r="J24" s="41"/>
      <c r="K24" s="41"/>
    </row>
    <row r="25">
      <c r="E25" s="41"/>
      <c r="F25" s="41"/>
      <c r="G25" s="41"/>
      <c r="H25" s="41"/>
      <c r="I25" s="41"/>
      <c r="J25" s="41"/>
      <c r="K25" s="41"/>
    </row>
    <row r="26">
      <c r="E26" s="41"/>
      <c r="F26" s="41"/>
      <c r="G26" s="41"/>
      <c r="H26" s="41"/>
      <c r="I26" s="41"/>
      <c r="J26" s="41"/>
      <c r="K26" s="41"/>
    </row>
    <row r="27">
      <c r="E27" s="41"/>
      <c r="F27" s="41"/>
      <c r="G27" s="41"/>
      <c r="H27" s="41"/>
      <c r="I27" s="41"/>
      <c r="J27" s="41"/>
      <c r="K27" s="41"/>
    </row>
    <row r="28">
      <c r="E28" s="41"/>
      <c r="F28" s="41"/>
      <c r="G28" s="41"/>
      <c r="H28" s="41"/>
      <c r="I28" s="41"/>
      <c r="J28" s="41"/>
      <c r="K28" s="41"/>
    </row>
    <row r="29">
      <c r="E29" s="41"/>
      <c r="F29" s="41"/>
      <c r="G29" s="41"/>
      <c r="H29" s="41"/>
      <c r="I29" s="41"/>
      <c r="J29" s="41"/>
      <c r="K29" s="41"/>
    </row>
    <row r="30">
      <c r="E30" s="41"/>
      <c r="F30" s="41"/>
      <c r="G30" s="41"/>
      <c r="H30" s="41"/>
      <c r="I30" s="41"/>
      <c r="J30" s="41"/>
      <c r="K30" s="41"/>
    </row>
    <row r="31">
      <c r="E31" s="41"/>
      <c r="F31" s="41"/>
      <c r="G31" s="41"/>
      <c r="H31" s="41"/>
      <c r="I31" s="41"/>
      <c r="J31" s="41"/>
      <c r="K31" s="41"/>
    </row>
    <row r="32">
      <c r="E32" s="41"/>
      <c r="F32" s="41"/>
      <c r="G32" s="41"/>
      <c r="H32" s="41"/>
      <c r="I32" s="41"/>
      <c r="J32" s="41"/>
      <c r="K32" s="41"/>
    </row>
    <row r="33">
      <c r="E33" s="41"/>
      <c r="F33" s="41"/>
      <c r="G33" s="41"/>
      <c r="H33" s="41"/>
      <c r="I33" s="41"/>
      <c r="J33" s="41"/>
      <c r="K33" s="41"/>
    </row>
    <row r="34">
      <c r="E34" s="41"/>
      <c r="F34" s="41"/>
      <c r="G34" s="41"/>
      <c r="H34" s="41"/>
      <c r="I34" s="41"/>
      <c r="J34" s="41"/>
      <c r="K34" s="41"/>
    </row>
    <row r="35">
      <c r="E35" s="41"/>
      <c r="F35" s="41"/>
      <c r="G35" s="41"/>
      <c r="H35" s="41"/>
      <c r="I35" s="41"/>
      <c r="J35" s="41"/>
      <c r="K35" s="41"/>
    </row>
    <row r="36">
      <c r="E36" s="41"/>
      <c r="F36" s="41"/>
      <c r="G36" s="41"/>
      <c r="H36" s="41"/>
      <c r="I36" s="41"/>
      <c r="J36" s="41"/>
      <c r="K36" s="41"/>
    </row>
    <row r="37">
      <c r="E37" s="41"/>
      <c r="F37" s="41"/>
      <c r="G37" s="41"/>
      <c r="H37" s="41"/>
      <c r="I37" s="41"/>
      <c r="J37" s="41"/>
      <c r="K37" s="41"/>
    </row>
    <row r="38">
      <c r="E38" s="41"/>
      <c r="F38" s="41"/>
      <c r="G38" s="41"/>
      <c r="H38" s="41"/>
      <c r="I38" s="41"/>
      <c r="J38" s="41"/>
      <c r="K38" s="41"/>
    </row>
    <row r="39">
      <c r="E39" s="41"/>
      <c r="F39" s="41"/>
      <c r="G39" s="41"/>
      <c r="H39" s="41"/>
      <c r="I39" s="41"/>
      <c r="J39" s="41"/>
      <c r="K39" s="41"/>
    </row>
    <row r="40">
      <c r="E40" s="41"/>
      <c r="F40" s="41"/>
      <c r="G40" s="41"/>
      <c r="H40" s="41"/>
      <c r="I40" s="41"/>
      <c r="J40" s="41"/>
      <c r="K40" s="41"/>
    </row>
    <row r="41">
      <c r="E41" s="41"/>
      <c r="F41" s="41"/>
      <c r="G41" s="41"/>
      <c r="H41" s="41"/>
      <c r="I41" s="41"/>
      <c r="J41" s="41"/>
      <c r="K41" s="41"/>
    </row>
    <row r="42">
      <c r="E42" s="41"/>
      <c r="F42" s="41"/>
      <c r="G42" s="41"/>
      <c r="H42" s="41"/>
      <c r="I42" s="41"/>
      <c r="J42" s="41"/>
      <c r="K42" s="41"/>
    </row>
    <row r="43">
      <c r="E43" s="41"/>
      <c r="F43" s="41"/>
      <c r="G43" s="41"/>
      <c r="H43" s="41"/>
      <c r="I43" s="41"/>
      <c r="J43" s="41"/>
      <c r="K43" s="41"/>
    </row>
    <row r="44">
      <c r="E44" s="41"/>
      <c r="F44" s="41"/>
      <c r="G44" s="41"/>
      <c r="H44" s="41"/>
      <c r="I44" s="41"/>
      <c r="J44" s="41"/>
      <c r="K44" s="41"/>
    </row>
    <row r="45">
      <c r="E45" s="41"/>
      <c r="F45" s="41"/>
      <c r="G45" s="41"/>
      <c r="H45" s="41"/>
      <c r="I45" s="41"/>
      <c r="J45" s="41"/>
      <c r="K45" s="41"/>
    </row>
    <row r="46">
      <c r="E46" s="41"/>
      <c r="F46" s="41"/>
      <c r="G46" s="41"/>
      <c r="H46" s="41"/>
      <c r="I46" s="41"/>
      <c r="J46" s="41"/>
      <c r="K46" s="41"/>
    </row>
    <row r="47">
      <c r="E47" s="41"/>
      <c r="F47" s="41"/>
      <c r="G47" s="41"/>
      <c r="H47" s="41"/>
      <c r="I47" s="41"/>
      <c r="J47" s="41"/>
      <c r="K47" s="41"/>
    </row>
    <row r="48">
      <c r="E48" s="41"/>
      <c r="F48" s="41"/>
      <c r="G48" s="41"/>
      <c r="H48" s="41"/>
      <c r="I48" s="41"/>
      <c r="J48" s="41"/>
      <c r="K48" s="41"/>
    </row>
    <row r="49">
      <c r="E49" s="41"/>
      <c r="F49" s="41"/>
      <c r="G49" s="41"/>
      <c r="H49" s="41"/>
      <c r="I49" s="41"/>
      <c r="J49" s="41"/>
      <c r="K49" s="41"/>
    </row>
    <row r="50">
      <c r="E50" s="41"/>
      <c r="F50" s="41"/>
      <c r="G50" s="41"/>
      <c r="H50" s="41"/>
      <c r="I50" s="41"/>
      <c r="J50" s="41"/>
      <c r="K50" s="41"/>
    </row>
    <row r="51">
      <c r="E51" s="41"/>
      <c r="F51" s="41"/>
      <c r="G51" s="41"/>
      <c r="H51" s="41"/>
      <c r="I51" s="41"/>
      <c r="J51" s="41"/>
      <c r="K51" s="41"/>
    </row>
    <row r="52">
      <c r="E52" s="41"/>
      <c r="F52" s="41"/>
      <c r="G52" s="41"/>
      <c r="H52" s="41"/>
      <c r="I52" s="41"/>
      <c r="J52" s="41"/>
      <c r="K52" s="41"/>
    </row>
    <row r="53">
      <c r="E53" s="41"/>
      <c r="F53" s="41"/>
      <c r="G53" s="41"/>
      <c r="H53" s="41"/>
      <c r="I53" s="41"/>
      <c r="J53" s="41"/>
      <c r="K53" s="41"/>
    </row>
    <row r="54">
      <c r="E54" s="41"/>
      <c r="F54" s="41"/>
      <c r="G54" s="41"/>
      <c r="H54" s="41"/>
      <c r="I54" s="41"/>
      <c r="J54" s="41"/>
      <c r="K54" s="41"/>
    </row>
    <row r="55">
      <c r="E55" s="41"/>
      <c r="F55" s="41"/>
      <c r="G55" s="41"/>
      <c r="H55" s="41"/>
      <c r="I55" s="41"/>
      <c r="J55" s="41"/>
      <c r="K55" s="41"/>
    </row>
    <row r="56">
      <c r="E56" s="41"/>
      <c r="F56" s="41"/>
      <c r="G56" s="41"/>
      <c r="H56" s="41"/>
      <c r="I56" s="41"/>
      <c r="J56" s="41"/>
      <c r="K56" s="41"/>
    </row>
    <row r="57">
      <c r="E57" s="41"/>
      <c r="F57" s="41"/>
      <c r="G57" s="41"/>
      <c r="H57" s="41"/>
      <c r="I57" s="41"/>
      <c r="J57" s="41"/>
      <c r="K57" s="41"/>
    </row>
    <row r="58">
      <c r="E58" s="41"/>
      <c r="F58" s="41"/>
      <c r="G58" s="41"/>
      <c r="H58" s="41"/>
      <c r="I58" s="41"/>
      <c r="J58" s="41"/>
      <c r="K58" s="41"/>
    </row>
    <row r="59">
      <c r="E59" s="41"/>
      <c r="F59" s="41"/>
      <c r="G59" s="41"/>
      <c r="H59" s="41"/>
      <c r="I59" s="41"/>
      <c r="J59" s="41"/>
      <c r="K59" s="41"/>
    </row>
    <row r="60">
      <c r="E60" s="41"/>
      <c r="F60" s="41"/>
      <c r="G60" s="41"/>
      <c r="H60" s="41"/>
      <c r="I60" s="41"/>
      <c r="J60" s="41"/>
      <c r="K60" s="41"/>
    </row>
    <row r="61">
      <c r="E61" s="41"/>
      <c r="F61" s="41"/>
      <c r="G61" s="41"/>
      <c r="H61" s="41"/>
      <c r="I61" s="41"/>
      <c r="J61" s="41"/>
      <c r="K61" s="41"/>
    </row>
    <row r="62">
      <c r="E62" s="41"/>
      <c r="F62" s="41"/>
      <c r="G62" s="41"/>
      <c r="H62" s="41"/>
      <c r="I62" s="41"/>
      <c r="J62" s="41"/>
      <c r="K62" s="41"/>
    </row>
    <row r="63">
      <c r="E63" s="41"/>
      <c r="F63" s="41"/>
      <c r="G63" s="41"/>
      <c r="H63" s="41"/>
      <c r="I63" s="41"/>
      <c r="J63" s="41"/>
      <c r="K63" s="41"/>
    </row>
    <row r="64">
      <c r="E64" s="41"/>
      <c r="F64" s="41"/>
      <c r="G64" s="41"/>
      <c r="H64" s="41"/>
      <c r="I64" s="41"/>
      <c r="J64" s="41"/>
      <c r="K64" s="41"/>
    </row>
    <row r="65">
      <c r="E65" s="41"/>
      <c r="F65" s="41"/>
      <c r="G65" s="41"/>
      <c r="H65" s="41"/>
      <c r="I65" s="41"/>
      <c r="J65" s="41"/>
      <c r="K65" s="41"/>
    </row>
    <row r="66">
      <c r="E66" s="41"/>
      <c r="F66" s="41"/>
      <c r="G66" s="41"/>
      <c r="H66" s="41"/>
      <c r="I66" s="41"/>
      <c r="J66" s="41"/>
      <c r="K66" s="41"/>
    </row>
    <row r="67">
      <c r="E67" s="41"/>
      <c r="F67" s="41"/>
      <c r="G67" s="41"/>
      <c r="H67" s="41"/>
      <c r="I67" s="41"/>
      <c r="J67" s="41"/>
      <c r="K67" s="41"/>
    </row>
    <row r="68">
      <c r="E68" s="41"/>
      <c r="F68" s="41"/>
      <c r="G68" s="41"/>
      <c r="H68" s="41"/>
      <c r="I68" s="41"/>
      <c r="J68" s="41"/>
      <c r="K68" s="41"/>
    </row>
    <row r="69">
      <c r="E69" s="41"/>
      <c r="F69" s="41"/>
      <c r="G69" s="41"/>
      <c r="H69" s="41"/>
      <c r="I69" s="41"/>
      <c r="J69" s="41"/>
      <c r="K69" s="41"/>
    </row>
    <row r="70">
      <c r="E70" s="41"/>
      <c r="F70" s="41"/>
      <c r="G70" s="41"/>
      <c r="H70" s="41"/>
      <c r="I70" s="41"/>
      <c r="J70" s="41"/>
      <c r="K70" s="41"/>
    </row>
    <row r="71">
      <c r="E71" s="41"/>
      <c r="F71" s="41"/>
      <c r="G71" s="41"/>
      <c r="H71" s="41"/>
      <c r="I71" s="41"/>
      <c r="J71" s="41"/>
      <c r="K71" s="41"/>
    </row>
    <row r="72">
      <c r="E72" s="41"/>
      <c r="F72" s="41"/>
      <c r="G72" s="41"/>
      <c r="H72" s="41"/>
      <c r="I72" s="41"/>
      <c r="J72" s="41"/>
      <c r="K72" s="41"/>
    </row>
    <row r="73">
      <c r="E73" s="41"/>
      <c r="F73" s="41"/>
      <c r="G73" s="41"/>
      <c r="H73" s="41"/>
      <c r="I73" s="41"/>
      <c r="J73" s="41"/>
      <c r="K73" s="41"/>
    </row>
    <row r="74">
      <c r="E74" s="41"/>
      <c r="F74" s="41"/>
      <c r="G74" s="41"/>
      <c r="H74" s="41"/>
      <c r="I74" s="41"/>
      <c r="J74" s="41"/>
      <c r="K74" s="41"/>
    </row>
    <row r="75">
      <c r="E75" s="41"/>
      <c r="F75" s="41"/>
      <c r="G75" s="41"/>
      <c r="H75" s="41"/>
      <c r="I75" s="41"/>
      <c r="J75" s="41"/>
      <c r="K75" s="41"/>
    </row>
    <row r="76">
      <c r="E76" s="41"/>
      <c r="F76" s="41"/>
      <c r="G76" s="41"/>
      <c r="H76" s="41"/>
      <c r="I76" s="41"/>
      <c r="J76" s="41"/>
      <c r="K76" s="41"/>
    </row>
    <row r="77">
      <c r="E77" s="41"/>
      <c r="F77" s="41"/>
      <c r="G77" s="41"/>
      <c r="H77" s="41"/>
      <c r="I77" s="41"/>
      <c r="J77" s="41"/>
      <c r="K77" s="41"/>
    </row>
    <row r="78">
      <c r="E78" s="41"/>
      <c r="F78" s="41"/>
      <c r="G78" s="41"/>
      <c r="H78" s="41"/>
      <c r="I78" s="41"/>
      <c r="J78" s="41"/>
      <c r="K78" s="41"/>
    </row>
    <row r="79">
      <c r="E79" s="41"/>
      <c r="F79" s="41"/>
      <c r="G79" s="41"/>
      <c r="H79" s="41"/>
      <c r="I79" s="41"/>
      <c r="J79" s="41"/>
      <c r="K79" s="41"/>
    </row>
    <row r="80">
      <c r="E80" s="41"/>
      <c r="F80" s="41"/>
      <c r="G80" s="41"/>
      <c r="H80" s="41"/>
      <c r="I80" s="41"/>
      <c r="J80" s="41"/>
      <c r="K80" s="41"/>
    </row>
    <row r="81">
      <c r="E81" s="41"/>
      <c r="F81" s="41"/>
      <c r="G81" s="41"/>
      <c r="H81" s="41"/>
      <c r="I81" s="41"/>
      <c r="J81" s="41"/>
      <c r="K81" s="41"/>
    </row>
    <row r="82">
      <c r="E82" s="41"/>
      <c r="F82" s="41"/>
      <c r="G82" s="41"/>
      <c r="H82" s="41"/>
      <c r="I82" s="41"/>
      <c r="J82" s="41"/>
      <c r="K82" s="41"/>
    </row>
    <row r="83">
      <c r="E83" s="41"/>
      <c r="F83" s="41"/>
      <c r="G83" s="41"/>
      <c r="H83" s="41"/>
      <c r="I83" s="41"/>
      <c r="J83" s="41"/>
      <c r="K83" s="41"/>
    </row>
    <row r="84">
      <c r="E84" s="41"/>
      <c r="F84" s="41"/>
      <c r="G84" s="41"/>
      <c r="H84" s="41"/>
      <c r="I84" s="41"/>
      <c r="J84" s="41"/>
      <c r="K84" s="41"/>
    </row>
    <row r="85">
      <c r="E85" s="41"/>
      <c r="F85" s="41"/>
      <c r="G85" s="41"/>
      <c r="H85" s="41"/>
      <c r="I85" s="41"/>
      <c r="J85" s="41"/>
      <c r="K85" s="41"/>
    </row>
    <row r="86">
      <c r="E86" s="41"/>
      <c r="F86" s="41"/>
      <c r="G86" s="41"/>
      <c r="H86" s="41"/>
      <c r="I86" s="41"/>
      <c r="J86" s="41"/>
      <c r="K86" s="41"/>
    </row>
    <row r="87">
      <c r="E87" s="41"/>
      <c r="F87" s="41"/>
      <c r="G87" s="41"/>
      <c r="H87" s="41"/>
      <c r="I87" s="41"/>
      <c r="J87" s="41"/>
      <c r="K87" s="41"/>
    </row>
    <row r="88">
      <c r="E88" s="41"/>
      <c r="F88" s="41"/>
      <c r="G88" s="41"/>
      <c r="H88" s="41"/>
      <c r="I88" s="41"/>
      <c r="J88" s="41"/>
      <c r="K88" s="41"/>
    </row>
    <row r="89">
      <c r="E89" s="41"/>
      <c r="F89" s="41"/>
      <c r="G89" s="41"/>
      <c r="H89" s="41"/>
      <c r="I89" s="41"/>
      <c r="J89" s="41"/>
      <c r="K89" s="41"/>
    </row>
    <row r="90">
      <c r="E90" s="41"/>
      <c r="F90" s="41"/>
      <c r="G90" s="41"/>
      <c r="H90" s="41"/>
      <c r="I90" s="41"/>
      <c r="J90" s="41"/>
      <c r="K90" s="41"/>
    </row>
    <row r="91">
      <c r="E91" s="41"/>
      <c r="F91" s="41"/>
      <c r="G91" s="41"/>
      <c r="H91" s="41"/>
      <c r="I91" s="41"/>
      <c r="J91" s="41"/>
      <c r="K91" s="41"/>
    </row>
    <row r="92">
      <c r="E92" s="41"/>
      <c r="F92" s="41"/>
      <c r="G92" s="41"/>
      <c r="H92" s="41"/>
      <c r="I92" s="41"/>
      <c r="J92" s="41"/>
      <c r="K92" s="41"/>
    </row>
    <row r="93">
      <c r="E93" s="41"/>
      <c r="F93" s="41"/>
      <c r="G93" s="41"/>
      <c r="H93" s="41"/>
      <c r="I93" s="41"/>
      <c r="J93" s="41"/>
      <c r="K93" s="41"/>
    </row>
    <row r="94">
      <c r="E94" s="41"/>
      <c r="F94" s="41"/>
      <c r="G94" s="41"/>
      <c r="H94" s="41"/>
      <c r="I94" s="41"/>
      <c r="J94" s="41"/>
      <c r="K94" s="41"/>
    </row>
    <row r="95">
      <c r="E95" s="41"/>
      <c r="F95" s="41"/>
      <c r="G95" s="41"/>
      <c r="H95" s="41"/>
      <c r="I95" s="41"/>
      <c r="J95" s="41"/>
      <c r="K95" s="41"/>
    </row>
    <row r="96">
      <c r="E96" s="41"/>
      <c r="F96" s="41"/>
      <c r="G96" s="41"/>
      <c r="H96" s="41"/>
      <c r="I96" s="41"/>
      <c r="J96" s="41"/>
      <c r="K96" s="41"/>
    </row>
    <row r="97">
      <c r="E97" s="41"/>
      <c r="F97" s="41"/>
      <c r="G97" s="41"/>
      <c r="H97" s="41"/>
      <c r="I97" s="41"/>
      <c r="J97" s="41"/>
      <c r="K97" s="41"/>
    </row>
    <row r="98">
      <c r="E98" s="41"/>
      <c r="F98" s="41"/>
      <c r="G98" s="41"/>
      <c r="H98" s="41"/>
      <c r="I98" s="41"/>
      <c r="J98" s="41"/>
      <c r="K98" s="41"/>
    </row>
    <row r="99">
      <c r="E99" s="41"/>
      <c r="F99" s="41"/>
      <c r="G99" s="41"/>
      <c r="H99" s="41"/>
      <c r="I99" s="41"/>
      <c r="J99" s="41"/>
      <c r="K99" s="41"/>
    </row>
    <row r="100">
      <c r="E100" s="41"/>
      <c r="F100" s="41"/>
      <c r="G100" s="41"/>
      <c r="H100" s="41"/>
      <c r="I100" s="41"/>
      <c r="J100" s="41"/>
      <c r="K100" s="41"/>
    </row>
    <row r="101">
      <c r="E101" s="41"/>
      <c r="F101" s="41"/>
      <c r="G101" s="41"/>
      <c r="H101" s="41"/>
      <c r="I101" s="41"/>
      <c r="J101" s="41"/>
      <c r="K101" s="41"/>
    </row>
    <row r="102">
      <c r="E102" s="41"/>
      <c r="F102" s="41"/>
      <c r="G102" s="41"/>
      <c r="H102" s="41"/>
      <c r="I102" s="41"/>
      <c r="J102" s="41"/>
      <c r="K102" s="41"/>
    </row>
    <row r="103">
      <c r="E103" s="41"/>
      <c r="F103" s="41"/>
      <c r="G103" s="41"/>
      <c r="H103" s="41"/>
      <c r="I103" s="41"/>
      <c r="J103" s="41"/>
      <c r="K103" s="41"/>
    </row>
    <row r="104">
      <c r="E104" s="41"/>
      <c r="F104" s="41"/>
      <c r="G104" s="41"/>
      <c r="H104" s="41"/>
      <c r="I104" s="41"/>
      <c r="J104" s="41"/>
      <c r="K104" s="41"/>
    </row>
    <row r="105">
      <c r="E105" s="41"/>
      <c r="F105" s="41"/>
      <c r="G105" s="41"/>
      <c r="H105" s="41"/>
      <c r="I105" s="41"/>
      <c r="J105" s="41"/>
      <c r="K105" s="41"/>
    </row>
    <row r="106">
      <c r="E106" s="41"/>
      <c r="F106" s="41"/>
      <c r="G106" s="41"/>
      <c r="H106" s="41"/>
      <c r="I106" s="41"/>
      <c r="J106" s="41"/>
      <c r="K106" s="41"/>
    </row>
    <row r="107">
      <c r="E107" s="41"/>
      <c r="F107" s="41"/>
      <c r="G107" s="41"/>
      <c r="H107" s="41"/>
      <c r="I107" s="41"/>
      <c r="J107" s="41"/>
      <c r="K107" s="41"/>
    </row>
    <row r="108">
      <c r="E108" s="41"/>
      <c r="F108" s="41"/>
      <c r="G108" s="41"/>
      <c r="H108" s="41"/>
      <c r="I108" s="41"/>
      <c r="J108" s="41"/>
      <c r="K108" s="41"/>
    </row>
    <row r="109">
      <c r="E109" s="41"/>
      <c r="F109" s="41"/>
      <c r="G109" s="41"/>
      <c r="H109" s="41"/>
      <c r="I109" s="41"/>
      <c r="J109" s="41"/>
      <c r="K109" s="41"/>
    </row>
    <row r="110">
      <c r="E110" s="41"/>
      <c r="F110" s="41"/>
      <c r="G110" s="41"/>
      <c r="H110" s="41"/>
      <c r="I110" s="41"/>
      <c r="J110" s="41"/>
      <c r="K110" s="41"/>
    </row>
    <row r="111">
      <c r="E111" s="41"/>
      <c r="F111" s="41"/>
      <c r="G111" s="41"/>
      <c r="H111" s="41"/>
      <c r="I111" s="41"/>
      <c r="J111" s="41"/>
      <c r="K111" s="41"/>
    </row>
    <row r="112">
      <c r="E112" s="41"/>
      <c r="F112" s="41"/>
      <c r="G112" s="41"/>
      <c r="H112" s="41"/>
      <c r="I112" s="41"/>
      <c r="J112" s="41"/>
      <c r="K112" s="41"/>
    </row>
    <row r="113">
      <c r="E113" s="41"/>
      <c r="F113" s="41"/>
      <c r="G113" s="41"/>
      <c r="H113" s="41"/>
      <c r="I113" s="41"/>
      <c r="J113" s="41"/>
      <c r="K113" s="41"/>
    </row>
    <row r="114">
      <c r="E114" s="41"/>
      <c r="F114" s="41"/>
      <c r="G114" s="41"/>
      <c r="H114" s="41"/>
      <c r="I114" s="41"/>
      <c r="J114" s="41"/>
      <c r="K114" s="41"/>
    </row>
    <row r="115">
      <c r="E115" s="41"/>
      <c r="F115" s="41"/>
      <c r="G115" s="41"/>
      <c r="H115" s="41"/>
      <c r="I115" s="41"/>
      <c r="J115" s="41"/>
      <c r="K115" s="41"/>
    </row>
    <row r="116">
      <c r="E116" s="41"/>
      <c r="F116" s="41"/>
      <c r="G116" s="41"/>
      <c r="H116" s="41"/>
      <c r="I116" s="41"/>
      <c r="J116" s="41"/>
      <c r="K116" s="41"/>
    </row>
    <row r="117">
      <c r="E117" s="41"/>
      <c r="F117" s="41"/>
      <c r="G117" s="41"/>
      <c r="H117" s="41"/>
      <c r="I117" s="41"/>
      <c r="J117" s="41"/>
      <c r="K117" s="41"/>
    </row>
    <row r="118">
      <c r="E118" s="41"/>
      <c r="F118" s="41"/>
      <c r="G118" s="41"/>
      <c r="H118" s="41"/>
      <c r="I118" s="41"/>
      <c r="J118" s="41"/>
      <c r="K118" s="41"/>
    </row>
    <row r="119">
      <c r="E119" s="41"/>
      <c r="F119" s="41"/>
      <c r="G119" s="41"/>
      <c r="H119" s="41"/>
      <c r="I119" s="41"/>
      <c r="J119" s="41"/>
      <c r="K119" s="41"/>
    </row>
    <row r="120">
      <c r="E120" s="41"/>
      <c r="F120" s="41"/>
      <c r="G120" s="41"/>
      <c r="H120" s="41"/>
      <c r="I120" s="41"/>
      <c r="J120" s="41"/>
      <c r="K120" s="41"/>
    </row>
    <row r="121">
      <c r="E121" s="41"/>
      <c r="F121" s="41"/>
      <c r="G121" s="41"/>
      <c r="H121" s="41"/>
      <c r="I121" s="41"/>
      <c r="J121" s="41"/>
      <c r="K121" s="41"/>
    </row>
    <row r="122">
      <c r="E122" s="41"/>
      <c r="F122" s="41"/>
      <c r="G122" s="41"/>
      <c r="H122" s="41"/>
      <c r="I122" s="41"/>
      <c r="J122" s="41"/>
      <c r="K122" s="41"/>
    </row>
    <row r="123">
      <c r="E123" s="41"/>
      <c r="F123" s="41"/>
      <c r="G123" s="41"/>
      <c r="H123" s="41"/>
      <c r="I123" s="41"/>
      <c r="J123" s="41"/>
      <c r="K123" s="41"/>
    </row>
    <row r="124">
      <c r="E124" s="41"/>
      <c r="F124" s="41"/>
      <c r="G124" s="41"/>
      <c r="H124" s="41"/>
      <c r="I124" s="41"/>
      <c r="J124" s="41"/>
      <c r="K124" s="41"/>
    </row>
    <row r="125">
      <c r="E125" s="41"/>
      <c r="F125" s="41"/>
      <c r="G125" s="41"/>
      <c r="H125" s="41"/>
      <c r="I125" s="41"/>
      <c r="J125" s="41"/>
      <c r="K125" s="41"/>
    </row>
    <row r="126">
      <c r="E126" s="41"/>
      <c r="F126" s="41"/>
      <c r="G126" s="41"/>
      <c r="H126" s="41"/>
      <c r="I126" s="41"/>
      <c r="J126" s="41"/>
      <c r="K126" s="41"/>
    </row>
    <row r="127">
      <c r="E127" s="41"/>
      <c r="F127" s="41"/>
      <c r="G127" s="41"/>
      <c r="H127" s="41"/>
      <c r="I127" s="41"/>
      <c r="J127" s="41"/>
      <c r="K127" s="41"/>
    </row>
    <row r="128">
      <c r="E128" s="41"/>
      <c r="F128" s="41"/>
      <c r="G128" s="41"/>
      <c r="H128" s="41"/>
      <c r="I128" s="41"/>
      <c r="J128" s="41"/>
      <c r="K128" s="41"/>
    </row>
    <row r="129">
      <c r="E129" s="41"/>
      <c r="F129" s="41"/>
      <c r="G129" s="41"/>
      <c r="H129" s="41"/>
      <c r="I129" s="41"/>
      <c r="J129" s="41"/>
      <c r="K129" s="41"/>
    </row>
    <row r="130">
      <c r="E130" s="41"/>
      <c r="F130" s="41"/>
      <c r="G130" s="41"/>
      <c r="H130" s="41"/>
      <c r="I130" s="41"/>
      <c r="J130" s="41"/>
      <c r="K130" s="41"/>
    </row>
    <row r="131">
      <c r="E131" s="41"/>
      <c r="F131" s="41"/>
      <c r="G131" s="41"/>
      <c r="H131" s="41"/>
      <c r="I131" s="41"/>
      <c r="J131" s="41"/>
      <c r="K131" s="41"/>
    </row>
    <row r="132">
      <c r="E132" s="41"/>
      <c r="F132" s="41"/>
      <c r="G132" s="41"/>
      <c r="H132" s="41"/>
      <c r="I132" s="41"/>
      <c r="J132" s="41"/>
      <c r="K132" s="41"/>
    </row>
    <row r="133">
      <c r="E133" s="41"/>
      <c r="F133" s="41"/>
      <c r="G133" s="41"/>
      <c r="H133" s="41"/>
      <c r="I133" s="41"/>
      <c r="J133" s="41"/>
      <c r="K133" s="41"/>
    </row>
    <row r="134">
      <c r="E134" s="41"/>
      <c r="F134" s="41"/>
      <c r="G134" s="41"/>
      <c r="H134" s="41"/>
      <c r="I134" s="41"/>
      <c r="J134" s="41"/>
      <c r="K134" s="41"/>
    </row>
    <row r="135">
      <c r="E135" s="41"/>
      <c r="F135" s="41"/>
      <c r="G135" s="41"/>
      <c r="H135" s="41"/>
      <c r="I135" s="41"/>
      <c r="J135" s="41"/>
      <c r="K135" s="41"/>
    </row>
    <row r="136">
      <c r="E136" s="41"/>
      <c r="F136" s="41"/>
      <c r="G136" s="41"/>
      <c r="H136" s="41"/>
      <c r="I136" s="41"/>
      <c r="J136" s="41"/>
      <c r="K136" s="41"/>
    </row>
    <row r="137">
      <c r="E137" s="41"/>
      <c r="F137" s="41"/>
      <c r="G137" s="41"/>
      <c r="H137" s="41"/>
      <c r="I137" s="41"/>
      <c r="J137" s="41"/>
      <c r="K137" s="41"/>
    </row>
    <row r="138">
      <c r="E138" s="41"/>
      <c r="F138" s="41"/>
      <c r="G138" s="41"/>
      <c r="H138" s="41"/>
      <c r="I138" s="41"/>
      <c r="J138" s="41"/>
      <c r="K138" s="41"/>
    </row>
    <row r="139">
      <c r="E139" s="41"/>
      <c r="F139" s="41"/>
      <c r="G139" s="41"/>
      <c r="H139" s="41"/>
      <c r="I139" s="41"/>
      <c r="J139" s="41"/>
      <c r="K139" s="41"/>
    </row>
    <row r="140">
      <c r="E140" s="41"/>
      <c r="F140" s="41"/>
      <c r="G140" s="41"/>
      <c r="H140" s="41"/>
      <c r="I140" s="41"/>
      <c r="J140" s="41"/>
      <c r="K140" s="41"/>
    </row>
    <row r="141">
      <c r="E141" s="41"/>
      <c r="F141" s="41"/>
      <c r="G141" s="41"/>
      <c r="H141" s="41"/>
      <c r="I141" s="41"/>
      <c r="J141" s="41"/>
      <c r="K141" s="41"/>
    </row>
    <row r="142">
      <c r="E142" s="41"/>
      <c r="F142" s="41"/>
      <c r="G142" s="41"/>
      <c r="H142" s="41"/>
      <c r="I142" s="41"/>
      <c r="J142" s="41"/>
      <c r="K142" s="41"/>
    </row>
    <row r="143">
      <c r="E143" s="41"/>
      <c r="F143" s="41"/>
      <c r="G143" s="41"/>
      <c r="H143" s="41"/>
      <c r="I143" s="41"/>
      <c r="J143" s="41"/>
      <c r="K143" s="41"/>
    </row>
    <row r="144">
      <c r="E144" s="41"/>
      <c r="F144" s="41"/>
      <c r="G144" s="41"/>
      <c r="H144" s="41"/>
      <c r="I144" s="41"/>
      <c r="J144" s="41"/>
      <c r="K144" s="41"/>
    </row>
    <row r="145">
      <c r="E145" s="41"/>
      <c r="F145" s="41"/>
      <c r="G145" s="41"/>
      <c r="H145" s="41"/>
      <c r="I145" s="41"/>
      <c r="J145" s="41"/>
      <c r="K145" s="41"/>
    </row>
    <row r="146">
      <c r="E146" s="41"/>
      <c r="F146" s="41"/>
      <c r="G146" s="41"/>
      <c r="H146" s="41"/>
      <c r="I146" s="41"/>
      <c r="J146" s="41"/>
      <c r="K146" s="41"/>
    </row>
    <row r="147">
      <c r="E147" s="41"/>
      <c r="F147" s="41"/>
      <c r="G147" s="41"/>
      <c r="H147" s="41"/>
      <c r="I147" s="41"/>
      <c r="J147" s="41"/>
      <c r="K147" s="41"/>
    </row>
    <row r="148">
      <c r="E148" s="41"/>
      <c r="F148" s="41"/>
      <c r="G148" s="41"/>
      <c r="H148" s="41"/>
      <c r="I148" s="41"/>
      <c r="J148" s="41"/>
      <c r="K148" s="41"/>
    </row>
    <row r="149">
      <c r="E149" s="41"/>
      <c r="F149" s="41"/>
      <c r="G149" s="41"/>
      <c r="H149" s="41"/>
      <c r="I149" s="41"/>
      <c r="J149" s="41"/>
      <c r="K149" s="41"/>
    </row>
    <row r="150">
      <c r="E150" s="41"/>
      <c r="F150" s="41"/>
      <c r="G150" s="41"/>
      <c r="H150" s="41"/>
      <c r="I150" s="41"/>
      <c r="J150" s="41"/>
      <c r="K150" s="41"/>
    </row>
    <row r="151">
      <c r="E151" s="41"/>
      <c r="F151" s="41"/>
      <c r="G151" s="41"/>
      <c r="H151" s="41"/>
      <c r="I151" s="41"/>
      <c r="J151" s="41"/>
      <c r="K151" s="41"/>
    </row>
    <row r="152">
      <c r="E152" s="41"/>
      <c r="F152" s="41"/>
      <c r="G152" s="41"/>
      <c r="H152" s="41"/>
      <c r="I152" s="41"/>
      <c r="J152" s="41"/>
      <c r="K152" s="41"/>
    </row>
    <row r="153">
      <c r="E153" s="41"/>
      <c r="F153" s="41"/>
      <c r="G153" s="41"/>
      <c r="H153" s="41"/>
      <c r="I153" s="41"/>
      <c r="J153" s="41"/>
      <c r="K153" s="41"/>
    </row>
    <row r="154">
      <c r="E154" s="41"/>
      <c r="F154" s="41"/>
      <c r="G154" s="41"/>
      <c r="H154" s="41"/>
      <c r="I154" s="41"/>
      <c r="J154" s="41"/>
      <c r="K154" s="41"/>
    </row>
    <row r="155">
      <c r="E155" s="41"/>
      <c r="F155" s="41"/>
      <c r="G155" s="41"/>
      <c r="H155" s="41"/>
      <c r="I155" s="41"/>
      <c r="J155" s="41"/>
      <c r="K155" s="41"/>
    </row>
    <row r="156">
      <c r="E156" s="41"/>
      <c r="F156" s="41"/>
      <c r="G156" s="41"/>
      <c r="H156" s="41"/>
      <c r="I156" s="41"/>
      <c r="J156" s="41"/>
      <c r="K156" s="41"/>
    </row>
    <row r="157">
      <c r="E157" s="41"/>
      <c r="F157" s="41"/>
      <c r="G157" s="41"/>
      <c r="H157" s="41"/>
      <c r="I157" s="41"/>
      <c r="J157" s="41"/>
      <c r="K157" s="41"/>
    </row>
    <row r="158">
      <c r="E158" s="41"/>
      <c r="F158" s="41"/>
      <c r="G158" s="41"/>
      <c r="H158" s="41"/>
      <c r="I158" s="41"/>
      <c r="J158" s="41"/>
      <c r="K158" s="41"/>
    </row>
    <row r="159">
      <c r="E159" s="41"/>
      <c r="F159" s="41"/>
      <c r="G159" s="41"/>
      <c r="H159" s="41"/>
      <c r="I159" s="41"/>
      <c r="J159" s="41"/>
      <c r="K159" s="41"/>
    </row>
    <row r="160">
      <c r="E160" s="41"/>
      <c r="F160" s="41"/>
      <c r="G160" s="41"/>
      <c r="H160" s="41"/>
      <c r="I160" s="41"/>
      <c r="J160" s="41"/>
      <c r="K160" s="41"/>
    </row>
    <row r="161">
      <c r="E161" s="41"/>
      <c r="F161" s="41"/>
      <c r="G161" s="41"/>
      <c r="H161" s="41"/>
      <c r="I161" s="41"/>
      <c r="J161" s="41"/>
      <c r="K161" s="41"/>
    </row>
    <row r="162">
      <c r="E162" s="41"/>
      <c r="F162" s="41"/>
      <c r="G162" s="41"/>
      <c r="H162" s="41"/>
      <c r="I162" s="41"/>
      <c r="J162" s="41"/>
      <c r="K162" s="41"/>
    </row>
    <row r="163">
      <c r="E163" s="41"/>
      <c r="F163" s="41"/>
      <c r="G163" s="41"/>
      <c r="H163" s="41"/>
      <c r="I163" s="41"/>
      <c r="J163" s="41"/>
      <c r="K163" s="41"/>
    </row>
    <row r="164">
      <c r="E164" s="41"/>
      <c r="F164" s="41"/>
      <c r="G164" s="41"/>
      <c r="H164" s="41"/>
      <c r="I164" s="41"/>
      <c r="J164" s="41"/>
      <c r="K164" s="41"/>
    </row>
    <row r="165">
      <c r="E165" s="41"/>
      <c r="F165" s="41"/>
      <c r="G165" s="41"/>
      <c r="H165" s="41"/>
      <c r="I165" s="41"/>
      <c r="J165" s="41"/>
      <c r="K165" s="41"/>
    </row>
    <row r="166">
      <c r="E166" s="41"/>
      <c r="F166" s="41"/>
      <c r="G166" s="41"/>
      <c r="H166" s="41"/>
      <c r="I166" s="41"/>
      <c r="J166" s="41"/>
      <c r="K166" s="41"/>
    </row>
    <row r="167">
      <c r="E167" s="41"/>
      <c r="F167" s="41"/>
      <c r="G167" s="41"/>
      <c r="H167" s="41"/>
      <c r="I167" s="41"/>
      <c r="J167" s="41"/>
      <c r="K167" s="41"/>
    </row>
    <row r="168">
      <c r="E168" s="41"/>
      <c r="F168" s="41"/>
      <c r="G168" s="41"/>
      <c r="H168" s="41"/>
      <c r="I168" s="41"/>
      <c r="J168" s="41"/>
      <c r="K168" s="41"/>
    </row>
    <row r="169">
      <c r="E169" s="41"/>
      <c r="F169" s="41"/>
      <c r="G169" s="41"/>
      <c r="H169" s="41"/>
      <c r="I169" s="41"/>
      <c r="J169" s="41"/>
      <c r="K169" s="41"/>
    </row>
    <row r="170">
      <c r="E170" s="41"/>
      <c r="F170" s="41"/>
      <c r="G170" s="41"/>
      <c r="H170" s="41"/>
      <c r="I170" s="41"/>
      <c r="J170" s="41"/>
      <c r="K170" s="41"/>
    </row>
    <row r="171">
      <c r="E171" s="41"/>
      <c r="F171" s="41"/>
      <c r="G171" s="41"/>
      <c r="H171" s="41"/>
      <c r="I171" s="41"/>
      <c r="J171" s="41"/>
      <c r="K171" s="41"/>
    </row>
    <row r="172">
      <c r="E172" s="41"/>
      <c r="F172" s="41"/>
      <c r="G172" s="41"/>
      <c r="H172" s="41"/>
      <c r="I172" s="41"/>
      <c r="J172" s="41"/>
      <c r="K172" s="41"/>
    </row>
    <row r="173">
      <c r="E173" s="41"/>
      <c r="F173" s="41"/>
      <c r="G173" s="41"/>
      <c r="H173" s="41"/>
      <c r="I173" s="41"/>
      <c r="J173" s="41"/>
      <c r="K173" s="41"/>
    </row>
    <row r="174">
      <c r="E174" s="41"/>
      <c r="F174" s="41"/>
      <c r="G174" s="41"/>
      <c r="H174" s="41"/>
      <c r="I174" s="41"/>
      <c r="J174" s="41"/>
      <c r="K174" s="41"/>
    </row>
    <row r="175">
      <c r="E175" s="41"/>
      <c r="F175" s="41"/>
      <c r="G175" s="41"/>
      <c r="H175" s="41"/>
      <c r="I175" s="41"/>
      <c r="J175" s="41"/>
      <c r="K175" s="41"/>
    </row>
    <row r="176">
      <c r="E176" s="41"/>
      <c r="F176" s="41"/>
      <c r="G176" s="41"/>
      <c r="H176" s="41"/>
      <c r="I176" s="41"/>
      <c r="J176" s="41"/>
      <c r="K176" s="41"/>
    </row>
    <row r="177">
      <c r="E177" s="41"/>
      <c r="F177" s="41"/>
      <c r="G177" s="41"/>
      <c r="H177" s="41"/>
      <c r="I177" s="41"/>
      <c r="J177" s="41"/>
      <c r="K177" s="41"/>
    </row>
    <row r="178">
      <c r="E178" s="41"/>
      <c r="F178" s="41"/>
      <c r="G178" s="41"/>
      <c r="H178" s="41"/>
      <c r="I178" s="41"/>
      <c r="J178" s="41"/>
      <c r="K178" s="41"/>
    </row>
    <row r="179">
      <c r="E179" s="41"/>
      <c r="F179" s="41"/>
      <c r="G179" s="41"/>
      <c r="H179" s="41"/>
      <c r="I179" s="41"/>
      <c r="J179" s="41"/>
      <c r="K179" s="41"/>
    </row>
    <row r="180">
      <c r="E180" s="41"/>
      <c r="F180" s="41"/>
      <c r="G180" s="41"/>
      <c r="H180" s="41"/>
      <c r="I180" s="41"/>
      <c r="J180" s="41"/>
      <c r="K180" s="41"/>
    </row>
    <row r="181">
      <c r="E181" s="41"/>
      <c r="F181" s="41"/>
      <c r="G181" s="41"/>
      <c r="H181" s="41"/>
      <c r="I181" s="41"/>
      <c r="J181" s="41"/>
      <c r="K181" s="41"/>
    </row>
    <row r="182">
      <c r="E182" s="41"/>
      <c r="F182" s="41"/>
      <c r="G182" s="41"/>
      <c r="H182" s="41"/>
      <c r="I182" s="41"/>
      <c r="J182" s="41"/>
      <c r="K182" s="41"/>
    </row>
    <row r="183">
      <c r="E183" s="41"/>
      <c r="F183" s="41"/>
      <c r="G183" s="41"/>
      <c r="H183" s="41"/>
      <c r="I183" s="41"/>
      <c r="J183" s="41"/>
      <c r="K183" s="41"/>
    </row>
    <row r="184">
      <c r="E184" s="41"/>
      <c r="F184" s="41"/>
      <c r="G184" s="41"/>
      <c r="H184" s="41"/>
      <c r="I184" s="41"/>
      <c r="J184" s="41"/>
      <c r="K184" s="41"/>
    </row>
    <row r="185">
      <c r="E185" s="41"/>
      <c r="F185" s="41"/>
      <c r="G185" s="41"/>
      <c r="H185" s="41"/>
      <c r="I185" s="41"/>
      <c r="J185" s="41"/>
      <c r="K185" s="41"/>
    </row>
    <row r="186">
      <c r="E186" s="41"/>
      <c r="F186" s="41"/>
      <c r="G186" s="41"/>
      <c r="H186" s="41"/>
      <c r="I186" s="41"/>
      <c r="J186" s="41"/>
      <c r="K186" s="41"/>
    </row>
    <row r="187">
      <c r="E187" s="41"/>
      <c r="F187" s="41"/>
      <c r="G187" s="41"/>
      <c r="H187" s="41"/>
      <c r="I187" s="41"/>
      <c r="J187" s="41"/>
      <c r="K187" s="41"/>
    </row>
    <row r="188">
      <c r="E188" s="41"/>
      <c r="F188" s="41"/>
      <c r="G188" s="41"/>
      <c r="H188" s="41"/>
      <c r="I188" s="41"/>
      <c r="J188" s="41"/>
      <c r="K188" s="41"/>
    </row>
    <row r="189">
      <c r="E189" s="41"/>
      <c r="F189" s="41"/>
      <c r="G189" s="41"/>
      <c r="H189" s="41"/>
      <c r="I189" s="41"/>
      <c r="J189" s="41"/>
      <c r="K189" s="41"/>
    </row>
    <row r="190">
      <c r="E190" s="41"/>
      <c r="F190" s="41"/>
      <c r="G190" s="41"/>
      <c r="H190" s="41"/>
      <c r="I190" s="41"/>
      <c r="J190" s="41"/>
      <c r="K190" s="41"/>
    </row>
    <row r="191">
      <c r="E191" s="41"/>
      <c r="F191" s="41"/>
      <c r="G191" s="41"/>
      <c r="H191" s="41"/>
      <c r="I191" s="41"/>
      <c r="J191" s="41"/>
      <c r="K191" s="41"/>
    </row>
    <row r="192">
      <c r="E192" s="41"/>
      <c r="F192" s="41"/>
      <c r="G192" s="41"/>
      <c r="H192" s="41"/>
      <c r="I192" s="41"/>
      <c r="J192" s="41"/>
      <c r="K192" s="41"/>
    </row>
    <row r="193">
      <c r="E193" s="41"/>
      <c r="F193" s="41"/>
      <c r="G193" s="41"/>
      <c r="H193" s="41"/>
      <c r="I193" s="41"/>
      <c r="J193" s="41"/>
      <c r="K193" s="41"/>
    </row>
    <row r="194">
      <c r="E194" s="41"/>
      <c r="F194" s="41"/>
      <c r="G194" s="41"/>
      <c r="H194" s="41"/>
      <c r="I194" s="41"/>
      <c r="J194" s="41"/>
      <c r="K194" s="41"/>
    </row>
    <row r="195">
      <c r="E195" s="41"/>
      <c r="F195" s="41"/>
      <c r="G195" s="41"/>
      <c r="H195" s="41"/>
      <c r="I195" s="41"/>
      <c r="J195" s="41"/>
      <c r="K195" s="41"/>
    </row>
    <row r="196">
      <c r="E196" s="41"/>
      <c r="F196" s="41"/>
      <c r="G196" s="41"/>
      <c r="H196" s="41"/>
      <c r="I196" s="41"/>
      <c r="J196" s="41"/>
      <c r="K196" s="41"/>
    </row>
    <row r="197">
      <c r="E197" s="41"/>
      <c r="F197" s="41"/>
      <c r="G197" s="41"/>
      <c r="H197" s="41"/>
      <c r="I197" s="41"/>
      <c r="J197" s="41"/>
      <c r="K197" s="41"/>
    </row>
    <row r="198">
      <c r="E198" s="41"/>
      <c r="F198" s="41"/>
      <c r="G198" s="41"/>
      <c r="H198" s="41"/>
      <c r="I198" s="41"/>
      <c r="J198" s="41"/>
      <c r="K198" s="41"/>
    </row>
    <row r="199">
      <c r="E199" s="41"/>
      <c r="F199" s="41"/>
      <c r="G199" s="41"/>
      <c r="H199" s="41"/>
      <c r="I199" s="41"/>
      <c r="J199" s="41"/>
      <c r="K199" s="41"/>
    </row>
    <row r="200">
      <c r="E200" s="41"/>
      <c r="F200" s="41"/>
      <c r="G200" s="41"/>
      <c r="H200" s="41"/>
      <c r="I200" s="41"/>
      <c r="J200" s="41"/>
      <c r="K200" s="41"/>
    </row>
    <row r="201">
      <c r="E201" s="41"/>
      <c r="F201" s="41"/>
      <c r="G201" s="41"/>
      <c r="H201" s="41"/>
      <c r="I201" s="41"/>
      <c r="J201" s="41"/>
      <c r="K201" s="41"/>
    </row>
    <row r="202">
      <c r="E202" s="41"/>
      <c r="F202" s="41"/>
      <c r="G202" s="41"/>
      <c r="H202" s="41"/>
      <c r="I202" s="41"/>
      <c r="J202" s="41"/>
      <c r="K202" s="41"/>
    </row>
    <row r="203">
      <c r="E203" s="41"/>
      <c r="F203" s="41"/>
      <c r="G203" s="41"/>
      <c r="H203" s="41"/>
      <c r="I203" s="41"/>
      <c r="J203" s="41"/>
      <c r="K203" s="41"/>
    </row>
    <row r="204">
      <c r="E204" s="41"/>
      <c r="F204" s="41"/>
      <c r="G204" s="41"/>
      <c r="H204" s="41"/>
      <c r="I204" s="41"/>
      <c r="J204" s="41"/>
      <c r="K204" s="41"/>
    </row>
    <row r="205">
      <c r="E205" s="41"/>
      <c r="F205" s="41"/>
      <c r="G205" s="41"/>
      <c r="H205" s="41"/>
      <c r="I205" s="41"/>
      <c r="J205" s="41"/>
      <c r="K205" s="41"/>
    </row>
    <row r="206">
      <c r="E206" s="41"/>
      <c r="F206" s="41"/>
      <c r="G206" s="41"/>
      <c r="H206" s="41"/>
      <c r="I206" s="41"/>
      <c r="J206" s="41"/>
      <c r="K206" s="41"/>
    </row>
    <row r="207">
      <c r="E207" s="41"/>
      <c r="F207" s="41"/>
      <c r="G207" s="41"/>
      <c r="H207" s="41"/>
      <c r="I207" s="41"/>
      <c r="J207" s="41"/>
      <c r="K207" s="41"/>
    </row>
    <row r="208">
      <c r="E208" s="41"/>
      <c r="F208" s="41"/>
      <c r="G208" s="41"/>
      <c r="H208" s="41"/>
      <c r="I208" s="41"/>
      <c r="J208" s="41"/>
      <c r="K208" s="41"/>
    </row>
    <row r="209">
      <c r="E209" s="41"/>
      <c r="F209" s="41"/>
      <c r="G209" s="41"/>
      <c r="H209" s="41"/>
      <c r="I209" s="41"/>
      <c r="J209" s="41"/>
      <c r="K209" s="41"/>
    </row>
    <row r="210">
      <c r="E210" s="41"/>
      <c r="F210" s="41"/>
      <c r="G210" s="41"/>
      <c r="H210" s="41"/>
      <c r="I210" s="41"/>
      <c r="J210" s="41"/>
      <c r="K210" s="41"/>
    </row>
    <row r="211">
      <c r="E211" s="41"/>
      <c r="F211" s="41"/>
      <c r="G211" s="41"/>
      <c r="H211" s="41"/>
      <c r="I211" s="41"/>
      <c r="J211" s="41"/>
      <c r="K211" s="41"/>
    </row>
    <row r="212">
      <c r="E212" s="41"/>
      <c r="F212" s="41"/>
      <c r="G212" s="41"/>
      <c r="H212" s="41"/>
      <c r="I212" s="41"/>
      <c r="J212" s="41"/>
      <c r="K212" s="41"/>
    </row>
    <row r="213">
      <c r="E213" s="41"/>
      <c r="F213" s="41"/>
      <c r="G213" s="41"/>
      <c r="H213" s="41"/>
      <c r="I213" s="41"/>
      <c r="J213" s="41"/>
      <c r="K213" s="41"/>
    </row>
    <row r="214">
      <c r="E214" s="41"/>
      <c r="F214" s="41"/>
      <c r="G214" s="41"/>
      <c r="H214" s="41"/>
      <c r="I214" s="41"/>
      <c r="J214" s="41"/>
      <c r="K214" s="41"/>
    </row>
    <row r="215">
      <c r="E215" s="41"/>
      <c r="F215" s="41"/>
      <c r="G215" s="41"/>
      <c r="H215" s="41"/>
      <c r="I215" s="41"/>
      <c r="J215" s="41"/>
      <c r="K215" s="41"/>
    </row>
    <row r="216">
      <c r="E216" s="41"/>
      <c r="F216" s="41"/>
      <c r="G216" s="41"/>
      <c r="H216" s="41"/>
      <c r="I216" s="41"/>
      <c r="J216" s="41"/>
      <c r="K216" s="41"/>
    </row>
    <row r="217">
      <c r="E217" s="41"/>
      <c r="F217" s="41"/>
      <c r="G217" s="41"/>
      <c r="H217" s="41"/>
      <c r="I217" s="41"/>
      <c r="J217" s="41"/>
      <c r="K217" s="41"/>
    </row>
    <row r="218">
      <c r="E218" s="41"/>
      <c r="F218" s="41"/>
      <c r="G218" s="41"/>
      <c r="H218" s="41"/>
      <c r="I218" s="41"/>
      <c r="J218" s="41"/>
      <c r="K218" s="41"/>
    </row>
    <row r="219">
      <c r="E219" s="41"/>
      <c r="F219" s="41"/>
      <c r="G219" s="41"/>
      <c r="H219" s="41"/>
      <c r="I219" s="41"/>
      <c r="J219" s="41"/>
      <c r="K219" s="41"/>
    </row>
    <row r="220">
      <c r="E220" s="41"/>
      <c r="F220" s="41"/>
      <c r="G220" s="41"/>
      <c r="H220" s="41"/>
      <c r="I220" s="41"/>
      <c r="J220" s="41"/>
      <c r="K220" s="41"/>
    </row>
    <row r="221">
      <c r="E221" s="41"/>
      <c r="F221" s="41"/>
      <c r="G221" s="41"/>
      <c r="H221" s="41"/>
      <c r="I221" s="41"/>
      <c r="J221" s="41"/>
      <c r="K221" s="41"/>
    </row>
    <row r="222">
      <c r="E222" s="41"/>
      <c r="F222" s="41"/>
      <c r="G222" s="41"/>
      <c r="H222" s="41"/>
      <c r="I222" s="41"/>
      <c r="J222" s="41"/>
      <c r="K222" s="41"/>
    </row>
    <row r="223">
      <c r="E223" s="41"/>
      <c r="F223" s="41"/>
      <c r="G223" s="41"/>
      <c r="H223" s="41"/>
      <c r="I223" s="41"/>
      <c r="J223" s="41"/>
      <c r="K223" s="41"/>
    </row>
    <row r="224">
      <c r="E224" s="41"/>
      <c r="F224" s="41"/>
      <c r="G224" s="41"/>
      <c r="H224" s="41"/>
      <c r="I224" s="41"/>
      <c r="J224" s="41"/>
      <c r="K224" s="41"/>
    </row>
    <row r="225">
      <c r="E225" s="41"/>
      <c r="F225" s="41"/>
      <c r="G225" s="41"/>
      <c r="H225" s="41"/>
      <c r="I225" s="41"/>
      <c r="J225" s="41"/>
      <c r="K225" s="41"/>
    </row>
    <row r="226">
      <c r="E226" s="41"/>
      <c r="F226" s="41"/>
      <c r="G226" s="41"/>
      <c r="H226" s="41"/>
      <c r="I226" s="41"/>
      <c r="J226" s="41"/>
      <c r="K226" s="41"/>
    </row>
    <row r="227">
      <c r="E227" s="41"/>
      <c r="F227" s="41"/>
      <c r="G227" s="41"/>
      <c r="H227" s="41"/>
      <c r="I227" s="41"/>
      <c r="J227" s="41"/>
      <c r="K227" s="41"/>
    </row>
    <row r="228">
      <c r="E228" s="41"/>
      <c r="F228" s="41"/>
      <c r="G228" s="41"/>
      <c r="H228" s="41"/>
      <c r="I228" s="41"/>
      <c r="J228" s="41"/>
      <c r="K228" s="41"/>
    </row>
    <row r="229">
      <c r="E229" s="41"/>
      <c r="F229" s="41"/>
      <c r="G229" s="41"/>
      <c r="H229" s="41"/>
      <c r="I229" s="41"/>
      <c r="J229" s="41"/>
      <c r="K229" s="41"/>
    </row>
    <row r="230">
      <c r="E230" s="41"/>
      <c r="F230" s="41"/>
      <c r="G230" s="41"/>
      <c r="H230" s="41"/>
      <c r="I230" s="41"/>
      <c r="J230" s="41"/>
      <c r="K230" s="41"/>
    </row>
    <row r="231">
      <c r="E231" s="41"/>
      <c r="F231" s="41"/>
      <c r="G231" s="41"/>
      <c r="H231" s="41"/>
      <c r="I231" s="41"/>
      <c r="J231" s="41"/>
      <c r="K231" s="41"/>
    </row>
    <row r="232">
      <c r="E232" s="41"/>
      <c r="F232" s="41"/>
      <c r="G232" s="41"/>
      <c r="H232" s="41"/>
      <c r="I232" s="41"/>
      <c r="J232" s="41"/>
      <c r="K232" s="41"/>
    </row>
    <row r="233">
      <c r="E233" s="41"/>
      <c r="F233" s="41"/>
      <c r="G233" s="41"/>
      <c r="H233" s="41"/>
      <c r="I233" s="41"/>
      <c r="J233" s="41"/>
      <c r="K233" s="41"/>
    </row>
    <row r="234">
      <c r="E234" s="41"/>
      <c r="F234" s="41"/>
      <c r="G234" s="41"/>
      <c r="H234" s="41"/>
      <c r="I234" s="41"/>
      <c r="J234" s="41"/>
      <c r="K234" s="41"/>
    </row>
    <row r="235">
      <c r="E235" s="41"/>
      <c r="F235" s="41"/>
      <c r="G235" s="41"/>
      <c r="H235" s="41"/>
      <c r="I235" s="41"/>
      <c r="J235" s="41"/>
      <c r="K235" s="41"/>
    </row>
    <row r="236">
      <c r="E236" s="41"/>
      <c r="F236" s="41"/>
      <c r="G236" s="41"/>
      <c r="H236" s="41"/>
      <c r="I236" s="41"/>
      <c r="J236" s="41"/>
      <c r="K236" s="41"/>
    </row>
    <row r="237">
      <c r="E237" s="41"/>
      <c r="F237" s="41"/>
      <c r="G237" s="41"/>
      <c r="H237" s="41"/>
      <c r="I237" s="41"/>
      <c r="J237" s="41"/>
      <c r="K237" s="41"/>
    </row>
    <row r="238">
      <c r="E238" s="41"/>
      <c r="F238" s="41"/>
      <c r="G238" s="41"/>
      <c r="H238" s="41"/>
      <c r="I238" s="41"/>
      <c r="J238" s="41"/>
      <c r="K238" s="41"/>
    </row>
    <row r="239">
      <c r="E239" s="41"/>
      <c r="F239" s="41"/>
      <c r="G239" s="41"/>
      <c r="H239" s="41"/>
      <c r="I239" s="41"/>
      <c r="J239" s="41"/>
      <c r="K239" s="41"/>
    </row>
    <row r="240">
      <c r="E240" s="41"/>
      <c r="F240" s="41"/>
      <c r="G240" s="41"/>
      <c r="H240" s="41"/>
      <c r="I240" s="41"/>
      <c r="J240" s="41"/>
      <c r="K240" s="41"/>
    </row>
    <row r="241">
      <c r="E241" s="41"/>
      <c r="F241" s="41"/>
      <c r="G241" s="41"/>
      <c r="H241" s="41"/>
      <c r="I241" s="41"/>
      <c r="J241" s="41"/>
      <c r="K241" s="41"/>
    </row>
    <row r="242">
      <c r="E242" s="41"/>
      <c r="F242" s="41"/>
      <c r="G242" s="41"/>
      <c r="H242" s="41"/>
      <c r="I242" s="41"/>
      <c r="J242" s="41"/>
      <c r="K242" s="41"/>
    </row>
    <row r="243">
      <c r="E243" s="41"/>
      <c r="F243" s="41"/>
      <c r="G243" s="41"/>
      <c r="H243" s="41"/>
      <c r="I243" s="41"/>
      <c r="J243" s="41"/>
      <c r="K243" s="41"/>
    </row>
    <row r="244">
      <c r="E244" s="41"/>
      <c r="F244" s="41"/>
      <c r="G244" s="41"/>
      <c r="H244" s="41"/>
      <c r="I244" s="41"/>
      <c r="J244" s="41"/>
      <c r="K244" s="41"/>
    </row>
    <row r="245">
      <c r="E245" s="41"/>
      <c r="F245" s="41"/>
      <c r="G245" s="41"/>
      <c r="H245" s="41"/>
      <c r="I245" s="41"/>
      <c r="J245" s="41"/>
      <c r="K245" s="41"/>
    </row>
    <row r="246">
      <c r="E246" s="41"/>
      <c r="F246" s="41"/>
      <c r="G246" s="41"/>
      <c r="H246" s="41"/>
      <c r="I246" s="41"/>
      <c r="J246" s="41"/>
      <c r="K246" s="41"/>
    </row>
    <row r="247">
      <c r="E247" s="41"/>
      <c r="F247" s="41"/>
      <c r="G247" s="41"/>
      <c r="H247" s="41"/>
      <c r="I247" s="41"/>
      <c r="J247" s="41"/>
      <c r="K247" s="41"/>
    </row>
    <row r="248">
      <c r="E248" s="41"/>
      <c r="F248" s="41"/>
      <c r="G248" s="41"/>
      <c r="H248" s="41"/>
      <c r="I248" s="41"/>
      <c r="J248" s="41"/>
      <c r="K248" s="41"/>
    </row>
    <row r="249">
      <c r="E249" s="41"/>
      <c r="F249" s="41"/>
      <c r="G249" s="41"/>
      <c r="H249" s="41"/>
      <c r="I249" s="41"/>
      <c r="J249" s="41"/>
      <c r="K249" s="41"/>
    </row>
    <row r="250">
      <c r="E250" s="41"/>
      <c r="F250" s="41"/>
      <c r="G250" s="41"/>
      <c r="H250" s="41"/>
      <c r="I250" s="41"/>
      <c r="J250" s="41"/>
      <c r="K250" s="41"/>
    </row>
    <row r="251">
      <c r="E251" s="41"/>
      <c r="F251" s="41"/>
      <c r="G251" s="41"/>
      <c r="H251" s="41"/>
      <c r="I251" s="41"/>
      <c r="J251" s="41"/>
      <c r="K251" s="41"/>
    </row>
    <row r="252">
      <c r="E252" s="41"/>
      <c r="F252" s="41"/>
      <c r="G252" s="41"/>
      <c r="H252" s="41"/>
      <c r="I252" s="41"/>
      <c r="J252" s="41"/>
      <c r="K252" s="41"/>
    </row>
    <row r="253">
      <c r="E253" s="41"/>
      <c r="F253" s="41"/>
      <c r="G253" s="41"/>
      <c r="H253" s="41"/>
      <c r="I253" s="41"/>
      <c r="J253" s="41"/>
      <c r="K253" s="41"/>
    </row>
    <row r="254">
      <c r="E254" s="41"/>
      <c r="F254" s="41"/>
      <c r="G254" s="41"/>
      <c r="H254" s="41"/>
      <c r="I254" s="41"/>
      <c r="J254" s="41"/>
      <c r="K254" s="41"/>
    </row>
    <row r="255">
      <c r="E255" s="41"/>
      <c r="F255" s="41"/>
      <c r="G255" s="41"/>
      <c r="H255" s="41"/>
      <c r="I255" s="41"/>
      <c r="J255" s="41"/>
      <c r="K255" s="41"/>
    </row>
    <row r="256">
      <c r="E256" s="41"/>
      <c r="F256" s="41"/>
      <c r="G256" s="41"/>
      <c r="H256" s="41"/>
      <c r="I256" s="41"/>
      <c r="J256" s="41"/>
      <c r="K256" s="41"/>
    </row>
    <row r="257">
      <c r="E257" s="41"/>
      <c r="F257" s="41"/>
      <c r="G257" s="41"/>
      <c r="H257" s="41"/>
      <c r="I257" s="41"/>
      <c r="J257" s="41"/>
      <c r="K257" s="41"/>
    </row>
    <row r="258">
      <c r="E258" s="41"/>
      <c r="F258" s="41"/>
      <c r="G258" s="41"/>
      <c r="H258" s="41"/>
      <c r="I258" s="41"/>
      <c r="J258" s="41"/>
      <c r="K258" s="41"/>
    </row>
    <row r="259">
      <c r="E259" s="41"/>
      <c r="F259" s="41"/>
      <c r="G259" s="41"/>
      <c r="H259" s="41"/>
      <c r="I259" s="41"/>
      <c r="J259" s="41"/>
      <c r="K259" s="41"/>
    </row>
    <row r="260">
      <c r="E260" s="41"/>
      <c r="F260" s="41"/>
      <c r="G260" s="41"/>
      <c r="H260" s="41"/>
      <c r="I260" s="41"/>
      <c r="J260" s="41"/>
      <c r="K260" s="41"/>
    </row>
    <row r="261">
      <c r="E261" s="41"/>
      <c r="F261" s="41"/>
      <c r="G261" s="41"/>
      <c r="H261" s="41"/>
      <c r="I261" s="41"/>
      <c r="J261" s="41"/>
      <c r="K261" s="41"/>
    </row>
    <row r="262">
      <c r="E262" s="41"/>
      <c r="F262" s="41"/>
      <c r="G262" s="41"/>
      <c r="H262" s="41"/>
      <c r="I262" s="41"/>
      <c r="J262" s="41"/>
      <c r="K262" s="41"/>
    </row>
    <row r="263">
      <c r="E263" s="41"/>
      <c r="F263" s="41"/>
      <c r="G263" s="41"/>
      <c r="H263" s="41"/>
      <c r="I263" s="41"/>
      <c r="J263" s="41"/>
      <c r="K263" s="41"/>
    </row>
    <row r="264">
      <c r="E264" s="41"/>
      <c r="F264" s="41"/>
      <c r="G264" s="41"/>
      <c r="H264" s="41"/>
      <c r="I264" s="41"/>
      <c r="J264" s="41"/>
      <c r="K264" s="41"/>
    </row>
    <row r="265">
      <c r="E265" s="41"/>
      <c r="F265" s="41"/>
      <c r="G265" s="41"/>
      <c r="H265" s="41"/>
      <c r="I265" s="41"/>
      <c r="J265" s="41"/>
      <c r="K265" s="41"/>
    </row>
    <row r="266">
      <c r="E266" s="41"/>
      <c r="F266" s="41"/>
      <c r="G266" s="41"/>
      <c r="H266" s="41"/>
      <c r="I266" s="41"/>
      <c r="J266" s="41"/>
      <c r="K266" s="41"/>
    </row>
    <row r="267">
      <c r="E267" s="41"/>
      <c r="F267" s="41"/>
      <c r="G267" s="41"/>
      <c r="H267" s="41"/>
      <c r="I267" s="41"/>
      <c r="J267" s="41"/>
      <c r="K267" s="41"/>
    </row>
    <row r="268">
      <c r="E268" s="41"/>
      <c r="F268" s="41"/>
      <c r="G268" s="41"/>
      <c r="H268" s="41"/>
      <c r="I268" s="41"/>
      <c r="J268" s="41"/>
      <c r="K268" s="41"/>
    </row>
    <row r="269">
      <c r="E269" s="41"/>
      <c r="F269" s="41"/>
      <c r="G269" s="41"/>
      <c r="H269" s="41"/>
      <c r="I269" s="41"/>
      <c r="J269" s="41"/>
      <c r="K269" s="41"/>
    </row>
    <row r="270">
      <c r="E270" s="41"/>
      <c r="F270" s="41"/>
      <c r="G270" s="41"/>
      <c r="H270" s="41"/>
      <c r="I270" s="41"/>
      <c r="J270" s="41"/>
      <c r="K270" s="41"/>
    </row>
    <row r="271">
      <c r="E271" s="41"/>
      <c r="F271" s="41"/>
      <c r="G271" s="41"/>
      <c r="H271" s="41"/>
      <c r="I271" s="41"/>
      <c r="J271" s="41"/>
      <c r="K271" s="41"/>
    </row>
    <row r="272">
      <c r="E272" s="41"/>
      <c r="F272" s="41"/>
      <c r="G272" s="41"/>
      <c r="H272" s="41"/>
      <c r="I272" s="41"/>
      <c r="J272" s="41"/>
      <c r="K272" s="41"/>
    </row>
    <row r="273">
      <c r="E273" s="41"/>
      <c r="F273" s="41"/>
      <c r="G273" s="41"/>
      <c r="H273" s="41"/>
      <c r="I273" s="41"/>
      <c r="J273" s="41"/>
      <c r="K273" s="41"/>
    </row>
    <row r="274">
      <c r="E274" s="41"/>
      <c r="F274" s="41"/>
      <c r="G274" s="41"/>
      <c r="H274" s="41"/>
      <c r="I274" s="41"/>
      <c r="J274" s="41"/>
      <c r="K274" s="41"/>
    </row>
    <row r="275">
      <c r="E275" s="41"/>
      <c r="F275" s="41"/>
      <c r="G275" s="41"/>
      <c r="H275" s="41"/>
      <c r="I275" s="41"/>
      <c r="J275" s="41"/>
      <c r="K275" s="41"/>
    </row>
    <row r="276">
      <c r="E276" s="41"/>
      <c r="F276" s="41"/>
      <c r="G276" s="41"/>
      <c r="H276" s="41"/>
      <c r="I276" s="41"/>
      <c r="J276" s="41"/>
      <c r="K276" s="41"/>
    </row>
    <row r="277">
      <c r="E277" s="41"/>
      <c r="F277" s="41"/>
      <c r="G277" s="41"/>
      <c r="H277" s="41"/>
      <c r="I277" s="41"/>
      <c r="J277" s="41"/>
      <c r="K277" s="41"/>
    </row>
    <row r="278">
      <c r="E278" s="41"/>
      <c r="F278" s="41"/>
      <c r="G278" s="41"/>
      <c r="H278" s="41"/>
      <c r="I278" s="41"/>
      <c r="J278" s="41"/>
      <c r="K278" s="41"/>
    </row>
    <row r="279">
      <c r="E279" s="41"/>
      <c r="F279" s="41"/>
      <c r="G279" s="41"/>
      <c r="H279" s="41"/>
      <c r="I279" s="41"/>
      <c r="J279" s="41"/>
      <c r="K279" s="41"/>
    </row>
    <row r="280">
      <c r="E280" s="41"/>
      <c r="F280" s="41"/>
      <c r="G280" s="41"/>
      <c r="H280" s="41"/>
      <c r="I280" s="41"/>
      <c r="J280" s="41"/>
      <c r="K280" s="41"/>
    </row>
    <row r="281">
      <c r="E281" s="41"/>
      <c r="F281" s="41"/>
      <c r="G281" s="41"/>
      <c r="H281" s="41"/>
      <c r="I281" s="41"/>
      <c r="J281" s="41"/>
      <c r="K281" s="41"/>
    </row>
    <row r="282">
      <c r="E282" s="41"/>
      <c r="F282" s="41"/>
      <c r="G282" s="41"/>
      <c r="H282" s="41"/>
      <c r="I282" s="41"/>
      <c r="J282" s="41"/>
      <c r="K282" s="41"/>
    </row>
    <row r="283">
      <c r="E283" s="41"/>
      <c r="F283" s="41"/>
      <c r="G283" s="41"/>
      <c r="H283" s="41"/>
      <c r="I283" s="41"/>
      <c r="J283" s="41"/>
      <c r="K283" s="41"/>
    </row>
    <row r="284">
      <c r="E284" s="41"/>
      <c r="F284" s="41"/>
      <c r="G284" s="41"/>
      <c r="H284" s="41"/>
      <c r="I284" s="41"/>
      <c r="J284" s="41"/>
      <c r="K284" s="41"/>
    </row>
    <row r="285">
      <c r="E285" s="41"/>
      <c r="F285" s="41"/>
      <c r="G285" s="41"/>
      <c r="H285" s="41"/>
      <c r="I285" s="41"/>
      <c r="J285" s="41"/>
      <c r="K285" s="41"/>
    </row>
    <row r="286">
      <c r="E286" s="41"/>
      <c r="F286" s="41"/>
      <c r="G286" s="41"/>
      <c r="H286" s="41"/>
      <c r="I286" s="41"/>
      <c r="J286" s="41"/>
      <c r="K286" s="41"/>
    </row>
    <row r="287">
      <c r="E287" s="41"/>
      <c r="F287" s="41"/>
      <c r="G287" s="41"/>
      <c r="H287" s="41"/>
      <c r="I287" s="41"/>
      <c r="J287" s="41"/>
      <c r="K287" s="41"/>
    </row>
    <row r="288">
      <c r="E288" s="41"/>
      <c r="F288" s="41"/>
      <c r="G288" s="41"/>
      <c r="H288" s="41"/>
      <c r="I288" s="41"/>
      <c r="J288" s="41"/>
      <c r="K288" s="41"/>
    </row>
    <row r="289">
      <c r="E289" s="41"/>
      <c r="F289" s="41"/>
      <c r="G289" s="41"/>
      <c r="H289" s="41"/>
      <c r="I289" s="41"/>
      <c r="J289" s="41"/>
      <c r="K289" s="41"/>
    </row>
    <row r="290">
      <c r="E290" s="41"/>
      <c r="F290" s="41"/>
      <c r="G290" s="41"/>
      <c r="H290" s="41"/>
      <c r="I290" s="41"/>
      <c r="J290" s="41"/>
      <c r="K290" s="41"/>
    </row>
    <row r="291">
      <c r="E291" s="41"/>
      <c r="F291" s="41"/>
      <c r="G291" s="41"/>
      <c r="H291" s="41"/>
      <c r="I291" s="41"/>
      <c r="J291" s="41"/>
      <c r="K291" s="41"/>
    </row>
    <row r="292">
      <c r="E292" s="41"/>
      <c r="F292" s="41"/>
      <c r="G292" s="41"/>
      <c r="H292" s="41"/>
      <c r="I292" s="41"/>
      <c r="J292" s="41"/>
      <c r="K292" s="41"/>
    </row>
    <row r="293">
      <c r="E293" s="41"/>
      <c r="F293" s="41"/>
      <c r="G293" s="41"/>
      <c r="H293" s="41"/>
      <c r="I293" s="41"/>
      <c r="J293" s="41"/>
      <c r="K293" s="41"/>
    </row>
    <row r="294">
      <c r="E294" s="41"/>
      <c r="F294" s="41"/>
      <c r="G294" s="41"/>
      <c r="H294" s="41"/>
      <c r="I294" s="41"/>
      <c r="J294" s="41"/>
      <c r="K294" s="41"/>
    </row>
    <row r="295">
      <c r="E295" s="41"/>
      <c r="F295" s="41"/>
      <c r="G295" s="41"/>
      <c r="H295" s="41"/>
      <c r="I295" s="41"/>
      <c r="J295" s="41"/>
      <c r="K295" s="41"/>
    </row>
    <row r="296">
      <c r="E296" s="41"/>
      <c r="F296" s="41"/>
      <c r="G296" s="41"/>
      <c r="H296" s="41"/>
      <c r="I296" s="41"/>
      <c r="J296" s="41"/>
      <c r="K296" s="41"/>
    </row>
    <row r="297">
      <c r="E297" s="41"/>
      <c r="F297" s="41"/>
      <c r="G297" s="41"/>
      <c r="H297" s="41"/>
      <c r="I297" s="41"/>
      <c r="J297" s="41"/>
      <c r="K297" s="41"/>
    </row>
    <row r="298">
      <c r="E298" s="41"/>
      <c r="F298" s="41"/>
      <c r="G298" s="41"/>
      <c r="H298" s="41"/>
      <c r="I298" s="41"/>
      <c r="J298" s="41"/>
      <c r="K298" s="41"/>
    </row>
    <row r="299">
      <c r="E299" s="41"/>
      <c r="F299" s="41"/>
      <c r="G299" s="41"/>
      <c r="H299" s="41"/>
      <c r="I299" s="41"/>
      <c r="J299" s="41"/>
      <c r="K299" s="41"/>
    </row>
    <row r="300">
      <c r="E300" s="41"/>
      <c r="F300" s="41"/>
      <c r="G300" s="41"/>
      <c r="H300" s="41"/>
      <c r="I300" s="41"/>
      <c r="J300" s="41"/>
      <c r="K300" s="41"/>
    </row>
    <row r="301">
      <c r="E301" s="41"/>
      <c r="F301" s="41"/>
      <c r="G301" s="41"/>
      <c r="H301" s="41"/>
      <c r="I301" s="41"/>
      <c r="J301" s="41"/>
      <c r="K301" s="41"/>
    </row>
    <row r="302">
      <c r="E302" s="41"/>
      <c r="F302" s="41"/>
      <c r="G302" s="41"/>
      <c r="H302" s="41"/>
      <c r="I302" s="41"/>
      <c r="J302" s="41"/>
      <c r="K302" s="41"/>
    </row>
    <row r="303">
      <c r="E303" s="41"/>
      <c r="F303" s="41"/>
      <c r="G303" s="41"/>
      <c r="H303" s="41"/>
      <c r="I303" s="41"/>
      <c r="J303" s="41"/>
      <c r="K303" s="41"/>
    </row>
    <row r="304">
      <c r="E304" s="41"/>
      <c r="F304" s="41"/>
      <c r="G304" s="41"/>
      <c r="H304" s="41"/>
      <c r="I304" s="41"/>
      <c r="J304" s="41"/>
      <c r="K304" s="41"/>
    </row>
    <row r="305">
      <c r="E305" s="41"/>
      <c r="F305" s="41"/>
      <c r="G305" s="41"/>
      <c r="H305" s="41"/>
      <c r="I305" s="41"/>
      <c r="J305" s="41"/>
      <c r="K305" s="41"/>
    </row>
    <row r="306">
      <c r="E306" s="41"/>
      <c r="F306" s="41"/>
      <c r="G306" s="41"/>
      <c r="H306" s="41"/>
      <c r="I306" s="41"/>
      <c r="J306" s="41"/>
      <c r="K306" s="41"/>
    </row>
    <row r="307">
      <c r="E307" s="41"/>
      <c r="F307" s="41"/>
      <c r="G307" s="41"/>
      <c r="H307" s="41"/>
      <c r="I307" s="41"/>
      <c r="J307" s="41"/>
      <c r="K307" s="41"/>
    </row>
    <row r="308">
      <c r="E308" s="41"/>
      <c r="F308" s="41"/>
      <c r="G308" s="41"/>
      <c r="H308" s="41"/>
      <c r="I308" s="41"/>
      <c r="J308" s="41"/>
      <c r="K308" s="41"/>
    </row>
    <row r="309">
      <c r="E309" s="41"/>
      <c r="F309" s="41"/>
      <c r="G309" s="41"/>
      <c r="H309" s="41"/>
      <c r="I309" s="41"/>
      <c r="J309" s="41"/>
      <c r="K309" s="41"/>
    </row>
    <row r="310">
      <c r="E310" s="41"/>
      <c r="F310" s="41"/>
      <c r="G310" s="41"/>
      <c r="H310" s="41"/>
      <c r="I310" s="41"/>
      <c r="J310" s="41"/>
      <c r="K310" s="41"/>
    </row>
    <row r="311">
      <c r="E311" s="41"/>
      <c r="F311" s="41"/>
      <c r="G311" s="41"/>
      <c r="H311" s="41"/>
      <c r="I311" s="41"/>
      <c r="J311" s="41"/>
      <c r="K311" s="41"/>
    </row>
    <row r="312">
      <c r="E312" s="41"/>
      <c r="F312" s="41"/>
      <c r="G312" s="41"/>
      <c r="H312" s="41"/>
      <c r="I312" s="41"/>
      <c r="J312" s="41"/>
      <c r="K312" s="41"/>
    </row>
    <row r="313">
      <c r="E313" s="41"/>
      <c r="F313" s="41"/>
      <c r="G313" s="41"/>
      <c r="H313" s="41"/>
      <c r="I313" s="41"/>
      <c r="J313" s="41"/>
      <c r="K313" s="41"/>
    </row>
    <row r="314">
      <c r="E314" s="41"/>
      <c r="F314" s="41"/>
      <c r="G314" s="41"/>
      <c r="H314" s="41"/>
      <c r="I314" s="41"/>
      <c r="J314" s="41"/>
      <c r="K314" s="41"/>
    </row>
    <row r="315">
      <c r="E315" s="41"/>
      <c r="F315" s="41"/>
      <c r="G315" s="41"/>
      <c r="H315" s="41"/>
      <c r="I315" s="41"/>
      <c r="J315" s="41"/>
      <c r="K315" s="41"/>
    </row>
    <row r="316">
      <c r="E316" s="41"/>
      <c r="F316" s="41"/>
      <c r="G316" s="41"/>
      <c r="H316" s="41"/>
      <c r="I316" s="41"/>
      <c r="J316" s="41"/>
      <c r="K316" s="41"/>
    </row>
    <row r="317">
      <c r="E317" s="41"/>
      <c r="F317" s="41"/>
      <c r="G317" s="41"/>
      <c r="H317" s="41"/>
      <c r="I317" s="41"/>
      <c r="J317" s="41"/>
      <c r="K317" s="41"/>
    </row>
    <row r="318">
      <c r="E318" s="41"/>
      <c r="F318" s="41"/>
      <c r="G318" s="41"/>
      <c r="H318" s="41"/>
      <c r="I318" s="41"/>
      <c r="J318" s="41"/>
      <c r="K318" s="41"/>
    </row>
    <row r="319">
      <c r="E319" s="41"/>
      <c r="F319" s="41"/>
      <c r="G319" s="41"/>
      <c r="H319" s="41"/>
      <c r="I319" s="41"/>
      <c r="J319" s="41"/>
      <c r="K319" s="41"/>
    </row>
    <row r="320">
      <c r="E320" s="41"/>
      <c r="F320" s="41"/>
      <c r="G320" s="41"/>
      <c r="H320" s="41"/>
      <c r="I320" s="41"/>
      <c r="J320" s="41"/>
      <c r="K320" s="41"/>
    </row>
    <row r="321">
      <c r="E321" s="41"/>
      <c r="F321" s="41"/>
      <c r="G321" s="41"/>
      <c r="H321" s="41"/>
      <c r="I321" s="41"/>
      <c r="J321" s="41"/>
      <c r="K321" s="41"/>
    </row>
    <row r="322">
      <c r="E322" s="41"/>
      <c r="F322" s="41"/>
      <c r="G322" s="41"/>
      <c r="H322" s="41"/>
      <c r="I322" s="41"/>
      <c r="J322" s="41"/>
      <c r="K322" s="41"/>
    </row>
    <row r="323">
      <c r="E323" s="41"/>
      <c r="F323" s="41"/>
      <c r="G323" s="41"/>
      <c r="H323" s="41"/>
      <c r="I323" s="41"/>
      <c r="J323" s="41"/>
      <c r="K323" s="41"/>
    </row>
    <row r="324">
      <c r="E324" s="41"/>
      <c r="F324" s="41"/>
      <c r="G324" s="41"/>
      <c r="H324" s="41"/>
      <c r="I324" s="41"/>
      <c r="J324" s="41"/>
      <c r="K324" s="41"/>
    </row>
    <row r="325">
      <c r="E325" s="41"/>
      <c r="F325" s="41"/>
      <c r="G325" s="41"/>
      <c r="H325" s="41"/>
      <c r="I325" s="41"/>
      <c r="J325" s="41"/>
      <c r="K325" s="41"/>
    </row>
    <row r="326">
      <c r="E326" s="41"/>
      <c r="F326" s="41"/>
      <c r="G326" s="41"/>
      <c r="H326" s="41"/>
      <c r="I326" s="41"/>
      <c r="J326" s="41"/>
      <c r="K326" s="41"/>
    </row>
    <row r="327">
      <c r="E327" s="41"/>
      <c r="F327" s="41"/>
      <c r="G327" s="41"/>
      <c r="H327" s="41"/>
      <c r="I327" s="41"/>
      <c r="J327" s="41"/>
      <c r="K327" s="41"/>
    </row>
    <row r="328">
      <c r="E328" s="41"/>
      <c r="F328" s="41"/>
      <c r="G328" s="41"/>
      <c r="H328" s="41"/>
      <c r="I328" s="41"/>
      <c r="J328" s="41"/>
      <c r="K328" s="41"/>
    </row>
    <row r="329">
      <c r="E329" s="41"/>
      <c r="F329" s="41"/>
      <c r="G329" s="41"/>
      <c r="H329" s="41"/>
      <c r="I329" s="41"/>
      <c r="J329" s="41"/>
      <c r="K329" s="41"/>
    </row>
    <row r="330">
      <c r="E330" s="41"/>
      <c r="F330" s="41"/>
      <c r="G330" s="41"/>
      <c r="H330" s="41"/>
      <c r="I330" s="41"/>
      <c r="J330" s="41"/>
      <c r="K330" s="41"/>
    </row>
    <row r="331">
      <c r="E331" s="41"/>
      <c r="F331" s="41"/>
      <c r="G331" s="41"/>
      <c r="H331" s="41"/>
      <c r="I331" s="41"/>
      <c r="J331" s="41"/>
      <c r="K331" s="41"/>
    </row>
    <row r="332">
      <c r="E332" s="41"/>
      <c r="F332" s="41"/>
      <c r="G332" s="41"/>
      <c r="H332" s="41"/>
      <c r="I332" s="41"/>
      <c r="J332" s="41"/>
      <c r="K332" s="41"/>
    </row>
    <row r="333">
      <c r="E333" s="41"/>
      <c r="F333" s="41"/>
      <c r="G333" s="41"/>
      <c r="H333" s="41"/>
      <c r="I333" s="41"/>
      <c r="J333" s="41"/>
      <c r="K333" s="41"/>
    </row>
    <row r="334">
      <c r="E334" s="41"/>
      <c r="F334" s="41"/>
      <c r="G334" s="41"/>
      <c r="H334" s="41"/>
      <c r="I334" s="41"/>
      <c r="J334" s="41"/>
      <c r="K334" s="41"/>
    </row>
    <row r="335">
      <c r="E335" s="41"/>
      <c r="F335" s="41"/>
      <c r="G335" s="41"/>
      <c r="H335" s="41"/>
      <c r="I335" s="41"/>
      <c r="J335" s="41"/>
      <c r="K335" s="41"/>
    </row>
    <row r="336">
      <c r="E336" s="41"/>
      <c r="F336" s="41"/>
      <c r="G336" s="41"/>
      <c r="H336" s="41"/>
      <c r="I336" s="41"/>
      <c r="J336" s="41"/>
      <c r="K336" s="41"/>
    </row>
    <row r="337">
      <c r="E337" s="41"/>
      <c r="F337" s="41"/>
      <c r="G337" s="41"/>
      <c r="H337" s="41"/>
      <c r="I337" s="41"/>
      <c r="J337" s="41"/>
      <c r="K337" s="41"/>
    </row>
    <row r="338">
      <c r="E338" s="41"/>
      <c r="F338" s="41"/>
      <c r="G338" s="41"/>
      <c r="H338" s="41"/>
      <c r="I338" s="41"/>
      <c r="J338" s="41"/>
      <c r="K338" s="41"/>
    </row>
    <row r="339">
      <c r="E339" s="41"/>
      <c r="F339" s="41"/>
      <c r="G339" s="41"/>
      <c r="H339" s="41"/>
      <c r="I339" s="41"/>
      <c r="J339" s="41"/>
      <c r="K339" s="41"/>
    </row>
    <row r="340">
      <c r="E340" s="41"/>
      <c r="F340" s="41"/>
      <c r="G340" s="41"/>
      <c r="H340" s="41"/>
      <c r="I340" s="41"/>
      <c r="J340" s="41"/>
      <c r="K340" s="41"/>
    </row>
    <row r="341">
      <c r="E341" s="41"/>
      <c r="F341" s="41"/>
      <c r="G341" s="41"/>
      <c r="H341" s="41"/>
      <c r="I341" s="41"/>
      <c r="J341" s="41"/>
      <c r="K341" s="41"/>
    </row>
    <row r="342">
      <c r="E342" s="41"/>
      <c r="F342" s="41"/>
      <c r="G342" s="41"/>
      <c r="H342" s="41"/>
      <c r="I342" s="41"/>
      <c r="J342" s="41"/>
      <c r="K342" s="41"/>
    </row>
    <row r="343">
      <c r="E343" s="41"/>
      <c r="F343" s="41"/>
      <c r="G343" s="41"/>
      <c r="H343" s="41"/>
      <c r="I343" s="41"/>
      <c r="J343" s="41"/>
      <c r="K343" s="41"/>
    </row>
    <row r="344">
      <c r="E344" s="41"/>
      <c r="F344" s="41"/>
      <c r="G344" s="41"/>
      <c r="H344" s="41"/>
      <c r="I344" s="41"/>
      <c r="J344" s="41"/>
      <c r="K344" s="41"/>
    </row>
    <row r="345">
      <c r="E345" s="41"/>
      <c r="F345" s="41"/>
      <c r="G345" s="41"/>
      <c r="H345" s="41"/>
      <c r="I345" s="41"/>
      <c r="J345" s="41"/>
      <c r="K345" s="41"/>
    </row>
    <row r="346">
      <c r="E346" s="41"/>
      <c r="F346" s="41"/>
      <c r="G346" s="41"/>
      <c r="H346" s="41"/>
      <c r="I346" s="41"/>
      <c r="J346" s="41"/>
      <c r="K346" s="41"/>
    </row>
    <row r="347">
      <c r="E347" s="41"/>
      <c r="F347" s="41"/>
      <c r="G347" s="41"/>
      <c r="H347" s="41"/>
      <c r="I347" s="41"/>
      <c r="J347" s="41"/>
      <c r="K347" s="41"/>
    </row>
    <row r="348">
      <c r="E348" s="41"/>
      <c r="F348" s="41"/>
      <c r="G348" s="41"/>
      <c r="H348" s="41"/>
      <c r="I348" s="41"/>
      <c r="J348" s="41"/>
      <c r="K348" s="41"/>
    </row>
    <row r="349">
      <c r="E349" s="41"/>
      <c r="F349" s="41"/>
      <c r="G349" s="41"/>
      <c r="H349" s="41"/>
      <c r="I349" s="41"/>
      <c r="J349" s="41"/>
      <c r="K349" s="41"/>
    </row>
    <row r="350">
      <c r="E350" s="41"/>
      <c r="F350" s="41"/>
      <c r="G350" s="41"/>
      <c r="H350" s="41"/>
      <c r="I350" s="41"/>
      <c r="J350" s="41"/>
      <c r="K350" s="41"/>
    </row>
    <row r="351">
      <c r="E351" s="41"/>
      <c r="F351" s="41"/>
      <c r="G351" s="41"/>
      <c r="H351" s="41"/>
      <c r="I351" s="41"/>
      <c r="J351" s="41"/>
      <c r="K351" s="41"/>
    </row>
    <row r="352">
      <c r="E352" s="41"/>
      <c r="F352" s="41"/>
      <c r="G352" s="41"/>
      <c r="H352" s="41"/>
      <c r="I352" s="41"/>
      <c r="J352" s="41"/>
      <c r="K352" s="41"/>
    </row>
    <row r="353">
      <c r="E353" s="41"/>
      <c r="F353" s="41"/>
      <c r="G353" s="41"/>
      <c r="H353" s="41"/>
      <c r="I353" s="41"/>
      <c r="J353" s="41"/>
      <c r="K353" s="41"/>
    </row>
    <row r="354">
      <c r="E354" s="41"/>
      <c r="F354" s="41"/>
      <c r="G354" s="41"/>
      <c r="H354" s="41"/>
      <c r="I354" s="41"/>
      <c r="J354" s="41"/>
      <c r="K354" s="41"/>
    </row>
    <row r="355">
      <c r="E355" s="41"/>
      <c r="F355" s="41"/>
      <c r="G355" s="41"/>
      <c r="H355" s="41"/>
      <c r="I355" s="41"/>
      <c r="J355" s="41"/>
      <c r="K355" s="41"/>
    </row>
    <row r="356">
      <c r="E356" s="41"/>
      <c r="F356" s="41"/>
      <c r="G356" s="41"/>
      <c r="H356" s="41"/>
      <c r="I356" s="41"/>
      <c r="J356" s="41"/>
      <c r="K356" s="41"/>
    </row>
    <row r="357">
      <c r="E357" s="41"/>
      <c r="F357" s="41"/>
      <c r="G357" s="41"/>
      <c r="H357" s="41"/>
      <c r="I357" s="41"/>
      <c r="J357" s="41"/>
      <c r="K357" s="41"/>
    </row>
    <row r="358">
      <c r="E358" s="41"/>
      <c r="F358" s="41"/>
      <c r="G358" s="41"/>
      <c r="H358" s="41"/>
      <c r="I358" s="41"/>
      <c r="J358" s="41"/>
      <c r="K358" s="41"/>
    </row>
    <row r="359">
      <c r="E359" s="41"/>
      <c r="F359" s="41"/>
      <c r="G359" s="41"/>
      <c r="H359" s="41"/>
      <c r="I359" s="41"/>
      <c r="J359" s="41"/>
      <c r="K359" s="41"/>
    </row>
    <row r="360">
      <c r="E360" s="41"/>
      <c r="F360" s="41"/>
      <c r="G360" s="41"/>
      <c r="H360" s="41"/>
      <c r="I360" s="41"/>
      <c r="J360" s="41"/>
      <c r="K360" s="41"/>
    </row>
    <row r="361">
      <c r="E361" s="41"/>
      <c r="F361" s="41"/>
      <c r="G361" s="41"/>
      <c r="H361" s="41"/>
      <c r="I361" s="41"/>
      <c r="J361" s="41"/>
      <c r="K361" s="41"/>
    </row>
    <row r="362">
      <c r="E362" s="41"/>
      <c r="F362" s="41"/>
      <c r="G362" s="41"/>
      <c r="H362" s="41"/>
      <c r="I362" s="41"/>
      <c r="J362" s="41"/>
      <c r="K362" s="41"/>
    </row>
    <row r="363">
      <c r="E363" s="41"/>
      <c r="F363" s="41"/>
      <c r="G363" s="41"/>
      <c r="H363" s="41"/>
      <c r="I363" s="41"/>
      <c r="J363" s="41"/>
      <c r="K363" s="41"/>
    </row>
    <row r="364">
      <c r="E364" s="41"/>
      <c r="F364" s="41"/>
      <c r="G364" s="41"/>
      <c r="H364" s="41"/>
      <c r="I364" s="41"/>
      <c r="J364" s="41"/>
      <c r="K364" s="41"/>
    </row>
    <row r="365">
      <c r="E365" s="41"/>
      <c r="F365" s="41"/>
      <c r="G365" s="41"/>
      <c r="H365" s="41"/>
      <c r="I365" s="41"/>
      <c r="J365" s="41"/>
      <c r="K365" s="41"/>
    </row>
    <row r="366">
      <c r="E366" s="41"/>
      <c r="F366" s="41"/>
      <c r="G366" s="41"/>
      <c r="H366" s="41"/>
      <c r="I366" s="41"/>
      <c r="J366" s="41"/>
      <c r="K366" s="41"/>
    </row>
    <row r="367">
      <c r="E367" s="41"/>
      <c r="F367" s="41"/>
      <c r="G367" s="41"/>
      <c r="H367" s="41"/>
      <c r="I367" s="41"/>
      <c r="J367" s="41"/>
      <c r="K367" s="41"/>
    </row>
    <row r="368">
      <c r="E368" s="41"/>
      <c r="F368" s="41"/>
      <c r="G368" s="41"/>
      <c r="H368" s="41"/>
      <c r="I368" s="41"/>
      <c r="J368" s="41"/>
      <c r="K368" s="41"/>
    </row>
    <row r="369">
      <c r="E369" s="41"/>
      <c r="F369" s="41"/>
      <c r="G369" s="41"/>
      <c r="H369" s="41"/>
      <c r="I369" s="41"/>
      <c r="J369" s="41"/>
      <c r="K369" s="41"/>
    </row>
    <row r="370">
      <c r="E370" s="41"/>
      <c r="F370" s="41"/>
      <c r="G370" s="41"/>
      <c r="H370" s="41"/>
      <c r="I370" s="41"/>
      <c r="J370" s="41"/>
      <c r="K370" s="41"/>
    </row>
    <row r="371">
      <c r="E371" s="41"/>
      <c r="F371" s="41"/>
      <c r="G371" s="41"/>
      <c r="H371" s="41"/>
      <c r="I371" s="41"/>
      <c r="J371" s="41"/>
      <c r="K371" s="41"/>
    </row>
    <row r="372">
      <c r="E372" s="41"/>
      <c r="F372" s="41"/>
      <c r="G372" s="41"/>
      <c r="H372" s="41"/>
      <c r="I372" s="41"/>
      <c r="J372" s="41"/>
      <c r="K372" s="41"/>
    </row>
    <row r="373">
      <c r="E373" s="41"/>
      <c r="F373" s="41"/>
      <c r="G373" s="41"/>
      <c r="H373" s="41"/>
      <c r="I373" s="41"/>
      <c r="J373" s="41"/>
      <c r="K373" s="41"/>
    </row>
    <row r="374">
      <c r="E374" s="41"/>
      <c r="F374" s="41"/>
      <c r="G374" s="41"/>
      <c r="H374" s="41"/>
      <c r="I374" s="41"/>
      <c r="J374" s="41"/>
      <c r="K374" s="41"/>
    </row>
    <row r="375">
      <c r="E375" s="41"/>
      <c r="F375" s="41"/>
      <c r="G375" s="41"/>
      <c r="H375" s="41"/>
      <c r="I375" s="41"/>
      <c r="J375" s="41"/>
      <c r="K375" s="41"/>
    </row>
    <row r="376">
      <c r="E376" s="41"/>
      <c r="F376" s="41"/>
      <c r="G376" s="41"/>
      <c r="H376" s="41"/>
      <c r="I376" s="41"/>
      <c r="J376" s="41"/>
      <c r="K376" s="41"/>
    </row>
    <row r="377">
      <c r="E377" s="41"/>
      <c r="F377" s="41"/>
      <c r="G377" s="41"/>
      <c r="H377" s="41"/>
      <c r="I377" s="41"/>
      <c r="J377" s="41"/>
      <c r="K377" s="41"/>
    </row>
    <row r="378">
      <c r="E378" s="41"/>
      <c r="F378" s="41"/>
      <c r="G378" s="41"/>
      <c r="H378" s="41"/>
      <c r="I378" s="41"/>
      <c r="J378" s="41"/>
      <c r="K378" s="41"/>
    </row>
    <row r="379">
      <c r="E379" s="41"/>
      <c r="F379" s="41"/>
      <c r="G379" s="41"/>
      <c r="H379" s="41"/>
      <c r="I379" s="41"/>
      <c r="J379" s="41"/>
      <c r="K379" s="41"/>
    </row>
    <row r="380">
      <c r="E380" s="41"/>
      <c r="F380" s="41"/>
      <c r="G380" s="41"/>
      <c r="H380" s="41"/>
      <c r="I380" s="41"/>
      <c r="J380" s="41"/>
      <c r="K380" s="41"/>
    </row>
    <row r="381">
      <c r="E381" s="41"/>
      <c r="F381" s="41"/>
      <c r="G381" s="41"/>
      <c r="H381" s="41"/>
      <c r="I381" s="41"/>
      <c r="J381" s="41"/>
      <c r="K381" s="41"/>
    </row>
    <row r="382">
      <c r="E382" s="41"/>
      <c r="F382" s="41"/>
      <c r="G382" s="41"/>
      <c r="H382" s="41"/>
      <c r="I382" s="41"/>
      <c r="J382" s="41"/>
      <c r="K382" s="41"/>
    </row>
    <row r="383">
      <c r="E383" s="41"/>
      <c r="F383" s="41"/>
      <c r="G383" s="41"/>
      <c r="H383" s="41"/>
      <c r="I383" s="41"/>
      <c r="J383" s="41"/>
      <c r="K383" s="41"/>
    </row>
    <row r="384">
      <c r="E384" s="41"/>
      <c r="F384" s="41"/>
      <c r="G384" s="41"/>
      <c r="H384" s="41"/>
      <c r="I384" s="41"/>
      <c r="J384" s="41"/>
      <c r="K384" s="41"/>
    </row>
    <row r="385">
      <c r="E385" s="41"/>
      <c r="F385" s="41"/>
      <c r="G385" s="41"/>
      <c r="H385" s="41"/>
      <c r="I385" s="41"/>
      <c r="J385" s="41"/>
      <c r="K385" s="41"/>
    </row>
    <row r="386">
      <c r="E386" s="41"/>
      <c r="F386" s="41"/>
      <c r="G386" s="41"/>
      <c r="H386" s="41"/>
      <c r="I386" s="41"/>
      <c r="J386" s="41"/>
      <c r="K386" s="41"/>
    </row>
    <row r="387">
      <c r="E387" s="41"/>
      <c r="F387" s="41"/>
      <c r="G387" s="41"/>
      <c r="H387" s="41"/>
      <c r="I387" s="41"/>
      <c r="J387" s="41"/>
      <c r="K387" s="41"/>
    </row>
    <row r="388">
      <c r="E388" s="41"/>
      <c r="F388" s="41"/>
      <c r="G388" s="41"/>
      <c r="H388" s="41"/>
      <c r="I388" s="41"/>
      <c r="J388" s="41"/>
      <c r="K388" s="41"/>
    </row>
    <row r="389">
      <c r="E389" s="41"/>
      <c r="F389" s="41"/>
      <c r="G389" s="41"/>
      <c r="H389" s="41"/>
      <c r="I389" s="41"/>
      <c r="J389" s="41"/>
      <c r="K389" s="41"/>
    </row>
    <row r="390">
      <c r="E390" s="41"/>
      <c r="F390" s="41"/>
      <c r="G390" s="41"/>
      <c r="H390" s="41"/>
      <c r="I390" s="41"/>
      <c r="J390" s="41"/>
      <c r="K390" s="41"/>
    </row>
    <row r="391">
      <c r="E391" s="41"/>
      <c r="F391" s="41"/>
      <c r="G391" s="41"/>
      <c r="H391" s="41"/>
      <c r="I391" s="41"/>
      <c r="J391" s="41"/>
      <c r="K391" s="41"/>
    </row>
    <row r="392">
      <c r="E392" s="41"/>
      <c r="F392" s="41"/>
      <c r="G392" s="41"/>
      <c r="H392" s="41"/>
      <c r="I392" s="41"/>
      <c r="J392" s="41"/>
      <c r="K392" s="41"/>
    </row>
    <row r="393">
      <c r="E393" s="41"/>
      <c r="F393" s="41"/>
      <c r="G393" s="41"/>
      <c r="H393" s="41"/>
      <c r="I393" s="41"/>
      <c r="J393" s="41"/>
      <c r="K393" s="41"/>
    </row>
    <row r="394">
      <c r="E394" s="41"/>
      <c r="F394" s="41"/>
      <c r="G394" s="41"/>
      <c r="H394" s="41"/>
      <c r="I394" s="41"/>
      <c r="J394" s="41"/>
      <c r="K394" s="41"/>
    </row>
    <row r="395">
      <c r="E395" s="41"/>
      <c r="F395" s="41"/>
      <c r="G395" s="41"/>
      <c r="H395" s="41"/>
      <c r="I395" s="41"/>
      <c r="J395" s="41"/>
      <c r="K395" s="41"/>
    </row>
    <row r="396">
      <c r="E396" s="41"/>
      <c r="F396" s="41"/>
      <c r="G396" s="41"/>
      <c r="H396" s="41"/>
      <c r="I396" s="41"/>
      <c r="J396" s="41"/>
      <c r="K396" s="41"/>
    </row>
    <row r="397">
      <c r="E397" s="41"/>
      <c r="F397" s="41"/>
      <c r="G397" s="41"/>
      <c r="H397" s="41"/>
      <c r="I397" s="41"/>
      <c r="J397" s="41"/>
      <c r="K397" s="41"/>
    </row>
    <row r="398">
      <c r="E398" s="41"/>
      <c r="F398" s="41"/>
      <c r="G398" s="41"/>
      <c r="H398" s="41"/>
      <c r="I398" s="41"/>
      <c r="J398" s="41"/>
      <c r="K398" s="41"/>
    </row>
    <row r="399">
      <c r="E399" s="41"/>
      <c r="F399" s="41"/>
      <c r="G399" s="41"/>
      <c r="H399" s="41"/>
      <c r="I399" s="41"/>
      <c r="J399" s="41"/>
      <c r="K399" s="41"/>
    </row>
    <row r="400">
      <c r="E400" s="41"/>
      <c r="F400" s="41"/>
      <c r="G400" s="41"/>
      <c r="H400" s="41"/>
      <c r="I400" s="41"/>
      <c r="J400" s="41"/>
      <c r="K400" s="41"/>
    </row>
    <row r="401">
      <c r="E401" s="41"/>
      <c r="F401" s="41"/>
      <c r="G401" s="41"/>
      <c r="H401" s="41"/>
      <c r="I401" s="41"/>
      <c r="J401" s="41"/>
      <c r="K401" s="41"/>
    </row>
    <row r="402">
      <c r="E402" s="41"/>
      <c r="F402" s="41"/>
      <c r="G402" s="41"/>
      <c r="H402" s="41"/>
      <c r="I402" s="41"/>
      <c r="J402" s="41"/>
      <c r="K402" s="41"/>
    </row>
    <row r="403">
      <c r="E403" s="41"/>
      <c r="F403" s="41"/>
      <c r="G403" s="41"/>
      <c r="H403" s="41"/>
      <c r="I403" s="41"/>
      <c r="J403" s="41"/>
      <c r="K403" s="41"/>
    </row>
    <row r="404">
      <c r="E404" s="41"/>
      <c r="F404" s="41"/>
      <c r="G404" s="41"/>
      <c r="H404" s="41"/>
      <c r="I404" s="41"/>
      <c r="J404" s="41"/>
      <c r="K404" s="41"/>
    </row>
    <row r="405">
      <c r="E405" s="41"/>
      <c r="F405" s="41"/>
      <c r="G405" s="41"/>
      <c r="H405" s="41"/>
      <c r="I405" s="41"/>
      <c r="J405" s="41"/>
      <c r="K405" s="41"/>
    </row>
    <row r="406">
      <c r="E406" s="41"/>
      <c r="F406" s="41"/>
      <c r="G406" s="41"/>
      <c r="H406" s="41"/>
      <c r="I406" s="41"/>
      <c r="J406" s="41"/>
      <c r="K406" s="41"/>
    </row>
    <row r="407">
      <c r="E407" s="41"/>
      <c r="F407" s="41"/>
      <c r="G407" s="41"/>
      <c r="H407" s="41"/>
      <c r="I407" s="41"/>
      <c r="J407" s="41"/>
      <c r="K407" s="41"/>
    </row>
    <row r="408">
      <c r="E408" s="41"/>
      <c r="F408" s="41"/>
      <c r="G408" s="41"/>
      <c r="H408" s="41"/>
      <c r="I408" s="41"/>
      <c r="J408" s="41"/>
      <c r="K408" s="41"/>
    </row>
    <row r="409">
      <c r="E409" s="41"/>
      <c r="F409" s="41"/>
      <c r="G409" s="41"/>
      <c r="H409" s="41"/>
      <c r="I409" s="41"/>
      <c r="J409" s="41"/>
      <c r="K409" s="41"/>
    </row>
    <row r="410">
      <c r="E410" s="41"/>
      <c r="F410" s="41"/>
      <c r="G410" s="41"/>
      <c r="H410" s="41"/>
      <c r="I410" s="41"/>
      <c r="J410" s="41"/>
      <c r="K410" s="41"/>
    </row>
    <row r="411">
      <c r="E411" s="41"/>
      <c r="F411" s="41"/>
      <c r="G411" s="41"/>
      <c r="H411" s="41"/>
      <c r="I411" s="41"/>
      <c r="J411" s="41"/>
      <c r="K411" s="41"/>
    </row>
    <row r="412">
      <c r="E412" s="41"/>
      <c r="F412" s="41"/>
      <c r="G412" s="41"/>
      <c r="H412" s="41"/>
      <c r="I412" s="41"/>
      <c r="J412" s="41"/>
      <c r="K412" s="41"/>
    </row>
    <row r="413">
      <c r="E413" s="41"/>
      <c r="F413" s="41"/>
      <c r="G413" s="41"/>
      <c r="H413" s="41"/>
      <c r="I413" s="41"/>
      <c r="J413" s="41"/>
      <c r="K413" s="41"/>
    </row>
    <row r="414">
      <c r="E414" s="41"/>
      <c r="F414" s="41"/>
      <c r="G414" s="41"/>
      <c r="H414" s="41"/>
      <c r="I414" s="41"/>
      <c r="J414" s="41"/>
      <c r="K414" s="41"/>
    </row>
    <row r="415">
      <c r="E415" s="41"/>
      <c r="F415" s="41"/>
      <c r="G415" s="41"/>
      <c r="H415" s="41"/>
      <c r="I415" s="41"/>
      <c r="J415" s="41"/>
      <c r="K415" s="41"/>
    </row>
    <row r="416">
      <c r="E416" s="41"/>
      <c r="F416" s="41"/>
      <c r="G416" s="41"/>
      <c r="H416" s="41"/>
      <c r="I416" s="41"/>
      <c r="J416" s="41"/>
      <c r="K416" s="41"/>
    </row>
    <row r="417">
      <c r="E417" s="41"/>
      <c r="F417" s="41"/>
      <c r="G417" s="41"/>
      <c r="H417" s="41"/>
      <c r="I417" s="41"/>
      <c r="J417" s="41"/>
      <c r="K417" s="41"/>
    </row>
    <row r="418">
      <c r="E418" s="41"/>
      <c r="F418" s="41"/>
      <c r="G418" s="41"/>
      <c r="H418" s="41"/>
      <c r="I418" s="41"/>
      <c r="J418" s="41"/>
      <c r="K418" s="41"/>
    </row>
    <row r="419">
      <c r="E419" s="41"/>
      <c r="F419" s="41"/>
      <c r="G419" s="41"/>
      <c r="H419" s="41"/>
      <c r="I419" s="41"/>
      <c r="J419" s="41"/>
      <c r="K419" s="41"/>
    </row>
    <row r="420">
      <c r="E420" s="41"/>
      <c r="F420" s="41"/>
      <c r="G420" s="41"/>
      <c r="H420" s="41"/>
      <c r="I420" s="41"/>
      <c r="J420" s="41"/>
      <c r="K420" s="41"/>
    </row>
    <row r="421">
      <c r="E421" s="41"/>
      <c r="F421" s="41"/>
      <c r="G421" s="41"/>
      <c r="H421" s="41"/>
      <c r="I421" s="41"/>
      <c r="J421" s="41"/>
      <c r="K421" s="41"/>
    </row>
    <row r="422">
      <c r="E422" s="41"/>
      <c r="F422" s="41"/>
      <c r="G422" s="41"/>
      <c r="H422" s="41"/>
      <c r="I422" s="41"/>
      <c r="J422" s="41"/>
      <c r="K422" s="41"/>
    </row>
    <row r="423">
      <c r="E423" s="41"/>
      <c r="F423" s="41"/>
      <c r="G423" s="41"/>
      <c r="H423" s="41"/>
      <c r="I423" s="41"/>
      <c r="J423" s="41"/>
      <c r="K423" s="41"/>
    </row>
    <row r="424">
      <c r="E424" s="41"/>
      <c r="F424" s="41"/>
      <c r="G424" s="41"/>
      <c r="H424" s="41"/>
      <c r="I424" s="41"/>
      <c r="J424" s="41"/>
      <c r="K424" s="41"/>
    </row>
    <row r="425">
      <c r="E425" s="41"/>
      <c r="F425" s="41"/>
      <c r="G425" s="41"/>
      <c r="H425" s="41"/>
      <c r="I425" s="41"/>
      <c r="J425" s="41"/>
      <c r="K425" s="41"/>
    </row>
    <row r="426">
      <c r="E426" s="41"/>
      <c r="F426" s="41"/>
      <c r="G426" s="41"/>
      <c r="H426" s="41"/>
      <c r="I426" s="41"/>
      <c r="J426" s="41"/>
      <c r="K426" s="41"/>
    </row>
    <row r="427">
      <c r="E427" s="41"/>
      <c r="F427" s="41"/>
      <c r="G427" s="41"/>
      <c r="H427" s="41"/>
      <c r="I427" s="41"/>
      <c r="J427" s="41"/>
      <c r="K427" s="41"/>
    </row>
    <row r="428">
      <c r="E428" s="41"/>
      <c r="F428" s="41"/>
      <c r="G428" s="41"/>
      <c r="H428" s="41"/>
      <c r="I428" s="41"/>
      <c r="J428" s="41"/>
      <c r="K428" s="41"/>
    </row>
    <row r="429">
      <c r="E429" s="41"/>
      <c r="F429" s="41"/>
      <c r="G429" s="41"/>
      <c r="H429" s="41"/>
      <c r="I429" s="41"/>
      <c r="J429" s="41"/>
      <c r="K429" s="41"/>
    </row>
    <row r="430">
      <c r="E430" s="41"/>
      <c r="F430" s="41"/>
      <c r="G430" s="41"/>
      <c r="H430" s="41"/>
      <c r="I430" s="41"/>
      <c r="J430" s="41"/>
      <c r="K430" s="41"/>
    </row>
    <row r="431">
      <c r="E431" s="41"/>
      <c r="F431" s="41"/>
      <c r="G431" s="41"/>
      <c r="H431" s="41"/>
      <c r="I431" s="41"/>
      <c r="J431" s="41"/>
      <c r="K431" s="41"/>
    </row>
    <row r="432">
      <c r="E432" s="41"/>
      <c r="F432" s="41"/>
      <c r="G432" s="41"/>
      <c r="H432" s="41"/>
      <c r="I432" s="41"/>
      <c r="J432" s="41"/>
      <c r="K432" s="41"/>
    </row>
    <row r="433">
      <c r="E433" s="41"/>
      <c r="F433" s="41"/>
      <c r="G433" s="41"/>
      <c r="H433" s="41"/>
      <c r="I433" s="41"/>
      <c r="J433" s="41"/>
      <c r="K433" s="41"/>
    </row>
    <row r="434">
      <c r="E434" s="41"/>
      <c r="F434" s="41"/>
      <c r="G434" s="41"/>
      <c r="H434" s="41"/>
      <c r="I434" s="41"/>
      <c r="J434" s="41"/>
      <c r="K434" s="41"/>
    </row>
    <row r="435">
      <c r="E435" s="41"/>
      <c r="F435" s="41"/>
      <c r="G435" s="41"/>
      <c r="H435" s="41"/>
      <c r="I435" s="41"/>
      <c r="J435" s="41"/>
      <c r="K435" s="41"/>
    </row>
    <row r="436">
      <c r="E436" s="41"/>
      <c r="F436" s="41"/>
      <c r="G436" s="41"/>
      <c r="H436" s="41"/>
      <c r="I436" s="41"/>
      <c r="J436" s="41"/>
      <c r="K436" s="41"/>
    </row>
    <row r="437">
      <c r="E437" s="41"/>
      <c r="F437" s="41"/>
      <c r="G437" s="41"/>
      <c r="H437" s="41"/>
      <c r="I437" s="41"/>
      <c r="J437" s="41"/>
      <c r="K437" s="41"/>
    </row>
    <row r="438">
      <c r="E438" s="41"/>
      <c r="F438" s="41"/>
      <c r="G438" s="41"/>
      <c r="H438" s="41"/>
      <c r="I438" s="41"/>
      <c r="J438" s="41"/>
      <c r="K438" s="41"/>
    </row>
    <row r="439">
      <c r="E439" s="41"/>
      <c r="F439" s="41"/>
      <c r="G439" s="41"/>
      <c r="H439" s="41"/>
      <c r="I439" s="41"/>
      <c r="J439" s="41"/>
      <c r="K439" s="41"/>
    </row>
    <row r="440">
      <c r="E440" s="41"/>
      <c r="F440" s="41"/>
      <c r="G440" s="41"/>
      <c r="H440" s="41"/>
      <c r="I440" s="41"/>
      <c r="J440" s="41"/>
      <c r="K440" s="41"/>
    </row>
    <row r="441">
      <c r="E441" s="41"/>
      <c r="F441" s="41"/>
      <c r="G441" s="41"/>
      <c r="H441" s="41"/>
      <c r="I441" s="41"/>
      <c r="J441" s="41"/>
      <c r="K441" s="41"/>
    </row>
    <row r="442">
      <c r="E442" s="41"/>
      <c r="F442" s="41"/>
      <c r="G442" s="41"/>
      <c r="H442" s="41"/>
      <c r="I442" s="41"/>
      <c r="J442" s="41"/>
      <c r="K442" s="41"/>
    </row>
    <row r="443">
      <c r="E443" s="41"/>
      <c r="F443" s="41"/>
      <c r="G443" s="41"/>
      <c r="H443" s="41"/>
      <c r="I443" s="41"/>
      <c r="J443" s="41"/>
      <c r="K443" s="41"/>
    </row>
    <row r="444">
      <c r="E444" s="41"/>
      <c r="F444" s="41"/>
      <c r="G444" s="41"/>
      <c r="H444" s="41"/>
      <c r="I444" s="41"/>
      <c r="J444" s="41"/>
      <c r="K444" s="41"/>
    </row>
    <row r="445">
      <c r="E445" s="41"/>
      <c r="F445" s="41"/>
      <c r="G445" s="41"/>
      <c r="H445" s="41"/>
      <c r="I445" s="41"/>
      <c r="J445" s="41"/>
      <c r="K445" s="41"/>
    </row>
    <row r="446">
      <c r="E446" s="41"/>
      <c r="F446" s="41"/>
      <c r="G446" s="41"/>
      <c r="H446" s="41"/>
      <c r="I446" s="41"/>
      <c r="J446" s="41"/>
      <c r="K446" s="41"/>
    </row>
    <row r="447">
      <c r="E447" s="41"/>
      <c r="F447" s="41"/>
      <c r="G447" s="41"/>
      <c r="H447" s="41"/>
      <c r="I447" s="41"/>
      <c r="J447" s="41"/>
      <c r="K447" s="41"/>
    </row>
    <row r="448">
      <c r="E448" s="41"/>
      <c r="F448" s="41"/>
      <c r="G448" s="41"/>
      <c r="H448" s="41"/>
      <c r="I448" s="41"/>
      <c r="J448" s="41"/>
      <c r="K448" s="41"/>
    </row>
    <row r="449">
      <c r="E449" s="41"/>
      <c r="F449" s="41"/>
      <c r="G449" s="41"/>
      <c r="H449" s="41"/>
      <c r="I449" s="41"/>
      <c r="J449" s="41"/>
      <c r="K449" s="41"/>
    </row>
    <row r="450">
      <c r="E450" s="41"/>
      <c r="F450" s="41"/>
      <c r="G450" s="41"/>
      <c r="H450" s="41"/>
      <c r="I450" s="41"/>
      <c r="J450" s="41"/>
      <c r="K450" s="41"/>
    </row>
    <row r="451">
      <c r="E451" s="41"/>
      <c r="F451" s="41"/>
      <c r="G451" s="41"/>
      <c r="H451" s="41"/>
      <c r="I451" s="41"/>
      <c r="J451" s="41"/>
      <c r="K451" s="41"/>
    </row>
    <row r="452">
      <c r="E452" s="41"/>
      <c r="F452" s="41"/>
      <c r="G452" s="41"/>
      <c r="H452" s="41"/>
      <c r="I452" s="41"/>
      <c r="J452" s="41"/>
      <c r="K452" s="41"/>
    </row>
    <row r="453">
      <c r="E453" s="41"/>
      <c r="F453" s="41"/>
      <c r="G453" s="41"/>
      <c r="H453" s="41"/>
      <c r="I453" s="41"/>
      <c r="J453" s="41"/>
      <c r="K453" s="41"/>
    </row>
    <row r="454">
      <c r="E454" s="41"/>
      <c r="F454" s="41"/>
      <c r="G454" s="41"/>
      <c r="H454" s="41"/>
      <c r="I454" s="41"/>
      <c r="J454" s="41"/>
      <c r="K454" s="41"/>
    </row>
    <row r="455">
      <c r="E455" s="41"/>
      <c r="F455" s="41"/>
      <c r="G455" s="41"/>
      <c r="H455" s="41"/>
      <c r="I455" s="41"/>
      <c r="J455" s="41"/>
      <c r="K455" s="41"/>
    </row>
    <row r="456">
      <c r="E456" s="41"/>
      <c r="F456" s="41"/>
      <c r="G456" s="41"/>
      <c r="H456" s="41"/>
      <c r="I456" s="41"/>
      <c r="J456" s="41"/>
      <c r="K456" s="41"/>
    </row>
    <row r="457">
      <c r="E457" s="41"/>
      <c r="F457" s="41"/>
      <c r="G457" s="41"/>
      <c r="H457" s="41"/>
      <c r="I457" s="41"/>
      <c r="J457" s="41"/>
      <c r="K457" s="41"/>
    </row>
    <row r="458">
      <c r="E458" s="41"/>
      <c r="F458" s="41"/>
      <c r="G458" s="41"/>
      <c r="H458" s="41"/>
      <c r="I458" s="41"/>
      <c r="J458" s="41"/>
      <c r="K458" s="41"/>
    </row>
    <row r="459">
      <c r="E459" s="41"/>
      <c r="F459" s="41"/>
      <c r="G459" s="41"/>
      <c r="H459" s="41"/>
      <c r="I459" s="41"/>
      <c r="J459" s="41"/>
      <c r="K459" s="41"/>
    </row>
    <row r="460">
      <c r="E460" s="41"/>
      <c r="F460" s="41"/>
      <c r="G460" s="41"/>
      <c r="H460" s="41"/>
      <c r="I460" s="41"/>
      <c r="J460" s="41"/>
      <c r="K460" s="41"/>
    </row>
    <row r="461">
      <c r="E461" s="41"/>
      <c r="F461" s="41"/>
      <c r="G461" s="41"/>
      <c r="H461" s="41"/>
      <c r="I461" s="41"/>
      <c r="J461" s="41"/>
      <c r="K461" s="41"/>
    </row>
    <row r="462">
      <c r="E462" s="41"/>
      <c r="F462" s="41"/>
      <c r="G462" s="41"/>
      <c r="H462" s="41"/>
      <c r="I462" s="41"/>
      <c r="J462" s="41"/>
      <c r="K462" s="41"/>
    </row>
    <row r="463">
      <c r="E463" s="41"/>
      <c r="F463" s="41"/>
      <c r="G463" s="41"/>
      <c r="H463" s="41"/>
      <c r="I463" s="41"/>
      <c r="J463" s="41"/>
      <c r="K463" s="41"/>
    </row>
    <row r="464">
      <c r="E464" s="41"/>
      <c r="F464" s="41"/>
      <c r="G464" s="41"/>
      <c r="H464" s="41"/>
      <c r="I464" s="41"/>
      <c r="J464" s="41"/>
      <c r="K464" s="41"/>
    </row>
    <row r="465">
      <c r="E465" s="41"/>
      <c r="F465" s="41"/>
      <c r="G465" s="41"/>
      <c r="H465" s="41"/>
      <c r="I465" s="41"/>
      <c r="J465" s="41"/>
      <c r="K465" s="41"/>
    </row>
    <row r="466">
      <c r="E466" s="41"/>
      <c r="F466" s="41"/>
      <c r="G466" s="41"/>
      <c r="H466" s="41"/>
      <c r="I466" s="41"/>
      <c r="J466" s="41"/>
      <c r="K466" s="41"/>
    </row>
    <row r="467">
      <c r="E467" s="41"/>
      <c r="F467" s="41"/>
      <c r="G467" s="41"/>
      <c r="H467" s="41"/>
      <c r="I467" s="41"/>
      <c r="J467" s="41"/>
      <c r="K467" s="41"/>
    </row>
    <row r="468">
      <c r="E468" s="41"/>
      <c r="F468" s="41"/>
      <c r="G468" s="41"/>
      <c r="H468" s="41"/>
      <c r="I468" s="41"/>
      <c r="J468" s="41"/>
      <c r="K468" s="41"/>
    </row>
    <row r="469">
      <c r="E469" s="41"/>
      <c r="F469" s="41"/>
      <c r="G469" s="41"/>
      <c r="H469" s="41"/>
      <c r="I469" s="41"/>
      <c r="J469" s="41"/>
      <c r="K469" s="41"/>
    </row>
    <row r="470">
      <c r="E470" s="41"/>
      <c r="F470" s="41"/>
      <c r="G470" s="41"/>
      <c r="H470" s="41"/>
      <c r="I470" s="41"/>
      <c r="J470" s="41"/>
      <c r="K470" s="41"/>
    </row>
    <row r="471">
      <c r="E471" s="41"/>
      <c r="F471" s="41"/>
      <c r="G471" s="41"/>
      <c r="H471" s="41"/>
      <c r="I471" s="41"/>
      <c r="J471" s="41"/>
      <c r="K471" s="41"/>
    </row>
    <row r="472">
      <c r="E472" s="41"/>
      <c r="F472" s="41"/>
      <c r="G472" s="41"/>
      <c r="H472" s="41"/>
      <c r="I472" s="41"/>
      <c r="J472" s="41"/>
      <c r="K472" s="41"/>
    </row>
    <row r="473">
      <c r="E473" s="41"/>
      <c r="F473" s="41"/>
      <c r="G473" s="41"/>
      <c r="H473" s="41"/>
      <c r="I473" s="41"/>
      <c r="J473" s="41"/>
      <c r="K473" s="41"/>
    </row>
    <row r="474">
      <c r="E474" s="41"/>
      <c r="F474" s="41"/>
      <c r="G474" s="41"/>
      <c r="H474" s="41"/>
      <c r="I474" s="41"/>
      <c r="J474" s="41"/>
      <c r="K474" s="41"/>
    </row>
    <row r="475">
      <c r="E475" s="41"/>
      <c r="F475" s="41"/>
      <c r="G475" s="41"/>
      <c r="H475" s="41"/>
      <c r="I475" s="41"/>
      <c r="J475" s="41"/>
      <c r="K475" s="41"/>
    </row>
    <row r="476">
      <c r="E476" s="41"/>
      <c r="F476" s="41"/>
      <c r="G476" s="41"/>
      <c r="H476" s="41"/>
      <c r="I476" s="41"/>
      <c r="J476" s="41"/>
      <c r="K476" s="41"/>
    </row>
    <row r="477">
      <c r="E477" s="41"/>
      <c r="F477" s="41"/>
      <c r="G477" s="41"/>
      <c r="H477" s="41"/>
      <c r="I477" s="41"/>
      <c r="J477" s="41"/>
      <c r="K477" s="41"/>
    </row>
    <row r="478">
      <c r="E478" s="41"/>
      <c r="F478" s="41"/>
      <c r="G478" s="41"/>
      <c r="H478" s="41"/>
      <c r="I478" s="41"/>
      <c r="J478" s="41"/>
      <c r="K478" s="41"/>
    </row>
    <row r="479">
      <c r="E479" s="41"/>
      <c r="F479" s="41"/>
      <c r="G479" s="41"/>
      <c r="H479" s="41"/>
      <c r="I479" s="41"/>
      <c r="J479" s="41"/>
      <c r="K479" s="41"/>
    </row>
    <row r="480">
      <c r="E480" s="41"/>
      <c r="F480" s="41"/>
      <c r="G480" s="41"/>
      <c r="H480" s="41"/>
      <c r="I480" s="41"/>
      <c r="J480" s="41"/>
      <c r="K480" s="41"/>
    </row>
    <row r="481">
      <c r="E481" s="41"/>
      <c r="F481" s="41"/>
      <c r="G481" s="41"/>
      <c r="H481" s="41"/>
      <c r="I481" s="41"/>
      <c r="J481" s="41"/>
      <c r="K481" s="41"/>
    </row>
    <row r="482">
      <c r="E482" s="41"/>
      <c r="F482" s="41"/>
      <c r="G482" s="41"/>
      <c r="H482" s="41"/>
      <c r="I482" s="41"/>
      <c r="J482" s="41"/>
      <c r="K482" s="41"/>
    </row>
    <row r="483">
      <c r="E483" s="41"/>
      <c r="F483" s="41"/>
      <c r="G483" s="41"/>
      <c r="H483" s="41"/>
      <c r="I483" s="41"/>
      <c r="J483" s="41"/>
      <c r="K483" s="41"/>
    </row>
    <row r="484">
      <c r="E484" s="41"/>
      <c r="F484" s="41"/>
      <c r="G484" s="41"/>
      <c r="H484" s="41"/>
      <c r="I484" s="41"/>
      <c r="J484" s="41"/>
      <c r="K484" s="41"/>
    </row>
    <row r="485">
      <c r="E485" s="41"/>
      <c r="F485" s="41"/>
      <c r="G485" s="41"/>
      <c r="H485" s="41"/>
      <c r="I485" s="41"/>
      <c r="J485" s="41"/>
      <c r="K485" s="41"/>
    </row>
    <row r="486">
      <c r="E486" s="41"/>
      <c r="F486" s="41"/>
      <c r="G486" s="41"/>
      <c r="H486" s="41"/>
      <c r="I486" s="41"/>
      <c r="J486" s="41"/>
      <c r="K486" s="41"/>
    </row>
    <row r="487">
      <c r="E487" s="41"/>
      <c r="F487" s="41"/>
      <c r="G487" s="41"/>
      <c r="H487" s="41"/>
      <c r="I487" s="41"/>
      <c r="J487" s="41"/>
      <c r="K487" s="41"/>
    </row>
    <row r="488">
      <c r="E488" s="41"/>
      <c r="F488" s="41"/>
      <c r="G488" s="41"/>
      <c r="H488" s="41"/>
      <c r="I488" s="41"/>
      <c r="J488" s="41"/>
      <c r="K488" s="41"/>
    </row>
    <row r="489">
      <c r="E489" s="41"/>
      <c r="F489" s="41"/>
      <c r="G489" s="41"/>
      <c r="H489" s="41"/>
      <c r="I489" s="41"/>
      <c r="J489" s="41"/>
      <c r="K489" s="41"/>
    </row>
    <row r="490">
      <c r="E490" s="41"/>
      <c r="F490" s="41"/>
      <c r="G490" s="41"/>
      <c r="H490" s="41"/>
      <c r="I490" s="41"/>
      <c r="J490" s="41"/>
      <c r="K490" s="41"/>
    </row>
    <row r="491">
      <c r="E491" s="41"/>
      <c r="F491" s="41"/>
      <c r="G491" s="41"/>
      <c r="H491" s="41"/>
      <c r="I491" s="41"/>
      <c r="J491" s="41"/>
      <c r="K491" s="41"/>
    </row>
    <row r="492">
      <c r="E492" s="41"/>
      <c r="F492" s="41"/>
      <c r="G492" s="41"/>
      <c r="H492" s="41"/>
      <c r="I492" s="41"/>
      <c r="J492" s="41"/>
      <c r="K492" s="41"/>
    </row>
    <row r="493">
      <c r="E493" s="41"/>
      <c r="F493" s="41"/>
      <c r="G493" s="41"/>
      <c r="H493" s="41"/>
      <c r="I493" s="41"/>
      <c r="J493" s="41"/>
      <c r="K493" s="41"/>
    </row>
    <row r="494">
      <c r="E494" s="41"/>
      <c r="F494" s="41"/>
      <c r="G494" s="41"/>
      <c r="H494" s="41"/>
      <c r="I494" s="41"/>
      <c r="J494" s="41"/>
      <c r="K494" s="41"/>
    </row>
    <row r="495">
      <c r="E495" s="41"/>
      <c r="F495" s="41"/>
      <c r="G495" s="41"/>
      <c r="H495" s="41"/>
      <c r="I495" s="41"/>
      <c r="J495" s="41"/>
      <c r="K495" s="41"/>
    </row>
    <row r="496">
      <c r="E496" s="41"/>
      <c r="F496" s="41"/>
      <c r="G496" s="41"/>
      <c r="H496" s="41"/>
      <c r="I496" s="41"/>
      <c r="J496" s="41"/>
      <c r="K496" s="41"/>
    </row>
    <row r="497">
      <c r="E497" s="41"/>
      <c r="F497" s="41"/>
      <c r="G497" s="41"/>
      <c r="H497" s="41"/>
      <c r="I497" s="41"/>
      <c r="J497" s="41"/>
      <c r="K497" s="41"/>
    </row>
    <row r="498">
      <c r="E498" s="41"/>
      <c r="F498" s="41"/>
      <c r="G498" s="41"/>
      <c r="H498" s="41"/>
      <c r="I498" s="41"/>
      <c r="J498" s="41"/>
      <c r="K498" s="41"/>
    </row>
    <row r="499">
      <c r="E499" s="41"/>
      <c r="F499" s="41"/>
      <c r="G499" s="41"/>
      <c r="H499" s="41"/>
      <c r="I499" s="41"/>
      <c r="J499" s="41"/>
      <c r="K499" s="41"/>
    </row>
    <row r="500">
      <c r="E500" s="41"/>
      <c r="F500" s="41"/>
      <c r="G500" s="41"/>
      <c r="H500" s="41"/>
      <c r="I500" s="41"/>
      <c r="J500" s="41"/>
      <c r="K500" s="41"/>
    </row>
    <row r="501">
      <c r="E501" s="41"/>
      <c r="F501" s="41"/>
      <c r="G501" s="41"/>
      <c r="H501" s="41"/>
      <c r="I501" s="41"/>
      <c r="J501" s="41"/>
      <c r="K501" s="41"/>
    </row>
    <row r="502">
      <c r="E502" s="41"/>
      <c r="F502" s="41"/>
      <c r="G502" s="41"/>
      <c r="H502" s="41"/>
      <c r="I502" s="41"/>
      <c r="J502" s="41"/>
      <c r="K502" s="41"/>
    </row>
    <row r="503">
      <c r="E503" s="41"/>
      <c r="F503" s="41"/>
      <c r="G503" s="41"/>
      <c r="H503" s="41"/>
      <c r="I503" s="41"/>
      <c r="J503" s="41"/>
      <c r="K503" s="41"/>
    </row>
    <row r="504">
      <c r="E504" s="41"/>
      <c r="F504" s="41"/>
      <c r="G504" s="41"/>
      <c r="H504" s="41"/>
      <c r="I504" s="41"/>
      <c r="J504" s="41"/>
      <c r="K504" s="41"/>
    </row>
    <row r="505">
      <c r="E505" s="41"/>
      <c r="F505" s="41"/>
      <c r="G505" s="41"/>
      <c r="H505" s="41"/>
      <c r="I505" s="41"/>
      <c r="J505" s="41"/>
      <c r="K505" s="41"/>
    </row>
    <row r="506">
      <c r="E506" s="41"/>
      <c r="F506" s="41"/>
      <c r="G506" s="41"/>
      <c r="H506" s="41"/>
      <c r="I506" s="41"/>
      <c r="J506" s="41"/>
      <c r="K506" s="41"/>
    </row>
    <row r="507">
      <c r="E507" s="41"/>
      <c r="F507" s="41"/>
      <c r="G507" s="41"/>
      <c r="H507" s="41"/>
      <c r="I507" s="41"/>
      <c r="J507" s="41"/>
      <c r="K507" s="41"/>
    </row>
    <row r="508">
      <c r="E508" s="41"/>
      <c r="F508" s="41"/>
      <c r="G508" s="41"/>
      <c r="H508" s="41"/>
      <c r="I508" s="41"/>
      <c r="J508" s="41"/>
      <c r="K508" s="41"/>
    </row>
    <row r="509">
      <c r="E509" s="41"/>
      <c r="F509" s="41"/>
      <c r="G509" s="41"/>
      <c r="H509" s="41"/>
      <c r="I509" s="41"/>
      <c r="J509" s="41"/>
      <c r="K509" s="41"/>
    </row>
    <row r="510">
      <c r="E510" s="41"/>
      <c r="F510" s="41"/>
      <c r="G510" s="41"/>
      <c r="H510" s="41"/>
      <c r="I510" s="41"/>
      <c r="J510" s="41"/>
      <c r="K510" s="41"/>
    </row>
    <row r="511">
      <c r="E511" s="41"/>
      <c r="F511" s="41"/>
      <c r="G511" s="41"/>
      <c r="H511" s="41"/>
      <c r="I511" s="41"/>
      <c r="J511" s="41"/>
      <c r="K511" s="41"/>
    </row>
    <row r="512">
      <c r="E512" s="41"/>
      <c r="F512" s="41"/>
      <c r="G512" s="41"/>
      <c r="H512" s="41"/>
      <c r="I512" s="41"/>
      <c r="J512" s="41"/>
      <c r="K512" s="41"/>
    </row>
    <row r="513">
      <c r="E513" s="41"/>
      <c r="F513" s="41"/>
      <c r="G513" s="41"/>
      <c r="H513" s="41"/>
      <c r="I513" s="41"/>
      <c r="J513" s="41"/>
      <c r="K513" s="41"/>
    </row>
    <row r="514">
      <c r="E514" s="41"/>
      <c r="F514" s="41"/>
      <c r="G514" s="41"/>
      <c r="H514" s="41"/>
      <c r="I514" s="41"/>
      <c r="J514" s="41"/>
      <c r="K514" s="41"/>
    </row>
    <row r="515">
      <c r="E515" s="41"/>
      <c r="F515" s="41"/>
      <c r="G515" s="41"/>
      <c r="H515" s="41"/>
      <c r="I515" s="41"/>
      <c r="J515" s="41"/>
      <c r="K515" s="41"/>
    </row>
    <row r="516">
      <c r="E516" s="41"/>
      <c r="F516" s="41"/>
      <c r="G516" s="41"/>
      <c r="H516" s="41"/>
      <c r="I516" s="41"/>
      <c r="J516" s="41"/>
      <c r="K516" s="41"/>
    </row>
    <row r="517">
      <c r="E517" s="41"/>
      <c r="F517" s="41"/>
      <c r="G517" s="41"/>
      <c r="H517" s="41"/>
      <c r="I517" s="41"/>
      <c r="J517" s="41"/>
      <c r="K517" s="41"/>
    </row>
    <row r="518">
      <c r="E518" s="41"/>
      <c r="F518" s="41"/>
      <c r="G518" s="41"/>
      <c r="H518" s="41"/>
      <c r="I518" s="41"/>
      <c r="J518" s="41"/>
      <c r="K518" s="41"/>
    </row>
    <row r="519">
      <c r="E519" s="41"/>
      <c r="F519" s="41"/>
      <c r="G519" s="41"/>
      <c r="H519" s="41"/>
      <c r="I519" s="41"/>
      <c r="J519" s="41"/>
      <c r="K519" s="41"/>
    </row>
    <row r="520">
      <c r="E520" s="41"/>
      <c r="F520" s="41"/>
      <c r="G520" s="41"/>
      <c r="H520" s="41"/>
      <c r="I520" s="41"/>
      <c r="J520" s="41"/>
      <c r="K520" s="41"/>
    </row>
    <row r="521">
      <c r="E521" s="41"/>
      <c r="F521" s="41"/>
      <c r="G521" s="41"/>
      <c r="H521" s="41"/>
      <c r="I521" s="41"/>
      <c r="J521" s="41"/>
      <c r="K521" s="41"/>
    </row>
    <row r="522">
      <c r="E522" s="41"/>
      <c r="F522" s="41"/>
      <c r="G522" s="41"/>
      <c r="H522" s="41"/>
      <c r="I522" s="41"/>
      <c r="J522" s="41"/>
      <c r="K522" s="41"/>
    </row>
    <row r="523">
      <c r="E523" s="41"/>
      <c r="F523" s="41"/>
      <c r="G523" s="41"/>
      <c r="H523" s="41"/>
      <c r="I523" s="41"/>
      <c r="J523" s="41"/>
      <c r="K523" s="41"/>
    </row>
    <row r="524">
      <c r="E524" s="41"/>
      <c r="F524" s="41"/>
      <c r="G524" s="41"/>
      <c r="H524" s="41"/>
      <c r="I524" s="41"/>
      <c r="J524" s="41"/>
      <c r="K524" s="41"/>
    </row>
    <row r="525">
      <c r="E525" s="41"/>
      <c r="F525" s="41"/>
      <c r="G525" s="41"/>
      <c r="H525" s="41"/>
      <c r="I525" s="41"/>
      <c r="J525" s="41"/>
      <c r="K525" s="41"/>
    </row>
    <row r="526">
      <c r="E526" s="41"/>
      <c r="F526" s="41"/>
      <c r="G526" s="41"/>
      <c r="H526" s="41"/>
      <c r="I526" s="41"/>
      <c r="J526" s="41"/>
      <c r="K526" s="41"/>
    </row>
    <row r="527">
      <c r="E527" s="41"/>
      <c r="F527" s="41"/>
      <c r="G527" s="41"/>
      <c r="H527" s="41"/>
      <c r="I527" s="41"/>
      <c r="J527" s="41"/>
      <c r="K527" s="41"/>
    </row>
    <row r="528">
      <c r="E528" s="41"/>
      <c r="F528" s="41"/>
      <c r="G528" s="41"/>
      <c r="H528" s="41"/>
      <c r="I528" s="41"/>
      <c r="J528" s="41"/>
      <c r="K528" s="41"/>
    </row>
    <row r="529">
      <c r="E529" s="41"/>
      <c r="F529" s="41"/>
      <c r="G529" s="41"/>
      <c r="H529" s="41"/>
      <c r="I529" s="41"/>
      <c r="J529" s="41"/>
      <c r="K529" s="41"/>
    </row>
    <row r="530">
      <c r="E530" s="41"/>
      <c r="F530" s="41"/>
      <c r="G530" s="41"/>
      <c r="H530" s="41"/>
      <c r="I530" s="41"/>
      <c r="J530" s="41"/>
      <c r="K530" s="41"/>
    </row>
    <row r="531">
      <c r="E531" s="41"/>
      <c r="F531" s="41"/>
      <c r="G531" s="41"/>
      <c r="H531" s="41"/>
      <c r="I531" s="41"/>
      <c r="J531" s="41"/>
      <c r="K531" s="41"/>
    </row>
    <row r="532">
      <c r="E532" s="41"/>
      <c r="F532" s="41"/>
      <c r="G532" s="41"/>
      <c r="H532" s="41"/>
      <c r="I532" s="41"/>
      <c r="J532" s="41"/>
      <c r="K532" s="41"/>
    </row>
    <row r="533">
      <c r="E533" s="41"/>
      <c r="F533" s="41"/>
      <c r="G533" s="41"/>
      <c r="H533" s="41"/>
      <c r="I533" s="41"/>
      <c r="J533" s="41"/>
      <c r="K533" s="41"/>
    </row>
    <row r="534">
      <c r="E534" s="41"/>
      <c r="F534" s="41"/>
      <c r="G534" s="41"/>
      <c r="H534" s="41"/>
      <c r="I534" s="41"/>
      <c r="J534" s="41"/>
      <c r="K534" s="41"/>
    </row>
    <row r="535">
      <c r="E535" s="41"/>
      <c r="F535" s="41"/>
      <c r="G535" s="41"/>
      <c r="H535" s="41"/>
      <c r="I535" s="41"/>
      <c r="J535" s="41"/>
      <c r="K535" s="41"/>
    </row>
    <row r="536">
      <c r="E536" s="41"/>
      <c r="F536" s="41"/>
      <c r="G536" s="41"/>
      <c r="H536" s="41"/>
      <c r="I536" s="41"/>
      <c r="J536" s="41"/>
      <c r="K536" s="41"/>
    </row>
    <row r="537">
      <c r="E537" s="41"/>
      <c r="F537" s="41"/>
      <c r="G537" s="41"/>
      <c r="H537" s="41"/>
      <c r="I537" s="41"/>
      <c r="J537" s="41"/>
      <c r="K537" s="41"/>
    </row>
    <row r="538">
      <c r="E538" s="41"/>
      <c r="F538" s="41"/>
      <c r="G538" s="41"/>
      <c r="H538" s="41"/>
      <c r="I538" s="41"/>
      <c r="J538" s="41"/>
      <c r="K538" s="41"/>
    </row>
    <row r="539">
      <c r="E539" s="41"/>
      <c r="F539" s="41"/>
      <c r="G539" s="41"/>
      <c r="H539" s="41"/>
      <c r="I539" s="41"/>
      <c r="J539" s="41"/>
      <c r="K539" s="41"/>
    </row>
    <row r="540">
      <c r="E540" s="41"/>
      <c r="F540" s="41"/>
      <c r="G540" s="41"/>
      <c r="H540" s="41"/>
      <c r="I540" s="41"/>
      <c r="J540" s="41"/>
      <c r="K540" s="41"/>
    </row>
    <row r="541">
      <c r="E541" s="41"/>
      <c r="F541" s="41"/>
      <c r="G541" s="41"/>
      <c r="H541" s="41"/>
      <c r="I541" s="41"/>
      <c r="J541" s="41"/>
      <c r="K541" s="41"/>
    </row>
    <row r="542">
      <c r="E542" s="41"/>
      <c r="F542" s="41"/>
      <c r="G542" s="41"/>
      <c r="H542" s="41"/>
      <c r="I542" s="41"/>
      <c r="J542" s="41"/>
      <c r="K542" s="41"/>
    </row>
    <row r="543">
      <c r="E543" s="41"/>
      <c r="F543" s="41"/>
      <c r="G543" s="41"/>
      <c r="H543" s="41"/>
      <c r="I543" s="41"/>
      <c r="J543" s="41"/>
      <c r="K543" s="41"/>
    </row>
    <row r="544">
      <c r="E544" s="41"/>
      <c r="F544" s="41"/>
      <c r="G544" s="41"/>
      <c r="H544" s="41"/>
      <c r="I544" s="41"/>
      <c r="J544" s="41"/>
      <c r="K544" s="41"/>
    </row>
    <row r="545">
      <c r="E545" s="41"/>
      <c r="F545" s="41"/>
      <c r="G545" s="41"/>
      <c r="H545" s="41"/>
      <c r="I545" s="41"/>
      <c r="J545" s="41"/>
      <c r="K545" s="41"/>
    </row>
    <row r="546">
      <c r="E546" s="41"/>
      <c r="F546" s="41"/>
      <c r="G546" s="41"/>
      <c r="H546" s="41"/>
      <c r="I546" s="41"/>
      <c r="J546" s="41"/>
      <c r="K546" s="41"/>
    </row>
    <row r="547">
      <c r="E547" s="41"/>
      <c r="F547" s="41"/>
      <c r="G547" s="41"/>
      <c r="H547" s="41"/>
      <c r="I547" s="41"/>
      <c r="J547" s="41"/>
      <c r="K547" s="41"/>
    </row>
    <row r="548">
      <c r="E548" s="41"/>
      <c r="F548" s="41"/>
      <c r="G548" s="41"/>
      <c r="H548" s="41"/>
      <c r="I548" s="41"/>
      <c r="J548" s="41"/>
      <c r="K548" s="41"/>
    </row>
    <row r="549">
      <c r="E549" s="41"/>
      <c r="F549" s="41"/>
      <c r="G549" s="41"/>
      <c r="H549" s="41"/>
      <c r="I549" s="41"/>
      <c r="J549" s="41"/>
      <c r="K549" s="41"/>
    </row>
    <row r="550">
      <c r="E550" s="41"/>
      <c r="F550" s="41"/>
      <c r="G550" s="41"/>
      <c r="H550" s="41"/>
      <c r="I550" s="41"/>
      <c r="J550" s="41"/>
      <c r="K550" s="41"/>
    </row>
    <row r="551">
      <c r="E551" s="41"/>
      <c r="F551" s="41"/>
      <c r="G551" s="41"/>
      <c r="H551" s="41"/>
      <c r="I551" s="41"/>
      <c r="J551" s="41"/>
      <c r="K551" s="41"/>
    </row>
    <row r="552">
      <c r="E552" s="41"/>
      <c r="F552" s="41"/>
      <c r="G552" s="41"/>
      <c r="H552" s="41"/>
      <c r="I552" s="41"/>
      <c r="J552" s="41"/>
      <c r="K552" s="41"/>
    </row>
    <row r="553">
      <c r="E553" s="41"/>
      <c r="F553" s="41"/>
      <c r="G553" s="41"/>
      <c r="H553" s="41"/>
      <c r="I553" s="41"/>
      <c r="J553" s="41"/>
      <c r="K553" s="41"/>
    </row>
    <row r="554">
      <c r="E554" s="41"/>
      <c r="F554" s="41"/>
      <c r="G554" s="41"/>
      <c r="H554" s="41"/>
      <c r="I554" s="41"/>
      <c r="J554" s="41"/>
      <c r="K554" s="41"/>
    </row>
    <row r="555">
      <c r="E555" s="41"/>
      <c r="F555" s="41"/>
      <c r="G555" s="41"/>
      <c r="H555" s="41"/>
      <c r="I555" s="41"/>
      <c r="J555" s="41"/>
      <c r="K555" s="41"/>
    </row>
    <row r="556">
      <c r="E556" s="41"/>
      <c r="F556" s="41"/>
      <c r="G556" s="41"/>
      <c r="H556" s="41"/>
      <c r="I556" s="41"/>
      <c r="J556" s="41"/>
      <c r="K556" s="41"/>
    </row>
    <row r="557">
      <c r="E557" s="41"/>
      <c r="F557" s="41"/>
      <c r="G557" s="41"/>
      <c r="H557" s="41"/>
      <c r="I557" s="41"/>
      <c r="J557" s="41"/>
      <c r="K557" s="41"/>
    </row>
    <row r="558">
      <c r="E558" s="41"/>
      <c r="F558" s="41"/>
      <c r="G558" s="41"/>
      <c r="H558" s="41"/>
      <c r="I558" s="41"/>
      <c r="J558" s="41"/>
      <c r="K558" s="41"/>
    </row>
    <row r="559">
      <c r="E559" s="41"/>
      <c r="F559" s="41"/>
      <c r="G559" s="41"/>
      <c r="H559" s="41"/>
      <c r="I559" s="41"/>
      <c r="J559" s="41"/>
      <c r="K559" s="41"/>
    </row>
    <row r="560">
      <c r="E560" s="41"/>
      <c r="F560" s="41"/>
      <c r="G560" s="41"/>
      <c r="H560" s="41"/>
      <c r="I560" s="41"/>
      <c r="J560" s="41"/>
      <c r="K560" s="41"/>
    </row>
    <row r="561">
      <c r="E561" s="41"/>
      <c r="F561" s="41"/>
      <c r="G561" s="41"/>
      <c r="H561" s="41"/>
      <c r="I561" s="41"/>
      <c r="J561" s="41"/>
      <c r="K561" s="41"/>
    </row>
    <row r="562">
      <c r="E562" s="41"/>
      <c r="F562" s="41"/>
      <c r="G562" s="41"/>
      <c r="H562" s="41"/>
      <c r="I562" s="41"/>
      <c r="J562" s="41"/>
      <c r="K562" s="41"/>
    </row>
    <row r="563">
      <c r="E563" s="41"/>
      <c r="F563" s="41"/>
      <c r="G563" s="41"/>
      <c r="H563" s="41"/>
      <c r="I563" s="41"/>
      <c r="J563" s="41"/>
      <c r="K563" s="41"/>
    </row>
    <row r="564">
      <c r="E564" s="41"/>
      <c r="F564" s="41"/>
      <c r="G564" s="41"/>
      <c r="H564" s="41"/>
      <c r="I564" s="41"/>
      <c r="J564" s="41"/>
      <c r="K564" s="41"/>
    </row>
    <row r="565">
      <c r="E565" s="41"/>
      <c r="F565" s="41"/>
      <c r="G565" s="41"/>
      <c r="H565" s="41"/>
      <c r="I565" s="41"/>
      <c r="J565" s="41"/>
      <c r="K565" s="41"/>
    </row>
    <row r="566">
      <c r="E566" s="41"/>
      <c r="F566" s="41"/>
      <c r="G566" s="41"/>
      <c r="H566" s="41"/>
      <c r="I566" s="41"/>
      <c r="J566" s="41"/>
      <c r="K566" s="41"/>
    </row>
    <row r="567">
      <c r="E567" s="41"/>
      <c r="F567" s="41"/>
      <c r="G567" s="41"/>
      <c r="H567" s="41"/>
      <c r="I567" s="41"/>
      <c r="J567" s="41"/>
      <c r="K567" s="41"/>
    </row>
    <row r="568">
      <c r="E568" s="41"/>
      <c r="F568" s="41"/>
      <c r="G568" s="41"/>
      <c r="H568" s="41"/>
      <c r="I568" s="41"/>
      <c r="J568" s="41"/>
      <c r="K568" s="41"/>
    </row>
    <row r="569">
      <c r="E569" s="41"/>
      <c r="F569" s="41"/>
      <c r="G569" s="41"/>
      <c r="H569" s="41"/>
      <c r="I569" s="41"/>
      <c r="J569" s="41"/>
      <c r="K569" s="41"/>
    </row>
    <row r="570">
      <c r="E570" s="41"/>
      <c r="F570" s="41"/>
      <c r="G570" s="41"/>
      <c r="H570" s="41"/>
      <c r="I570" s="41"/>
      <c r="J570" s="41"/>
      <c r="K570" s="41"/>
    </row>
    <row r="571">
      <c r="E571" s="41"/>
      <c r="F571" s="41"/>
      <c r="G571" s="41"/>
      <c r="H571" s="41"/>
      <c r="I571" s="41"/>
      <c r="J571" s="41"/>
      <c r="K571" s="41"/>
    </row>
    <row r="572">
      <c r="E572" s="41"/>
      <c r="F572" s="41"/>
      <c r="G572" s="41"/>
      <c r="H572" s="41"/>
      <c r="I572" s="41"/>
      <c r="J572" s="41"/>
      <c r="K572" s="41"/>
    </row>
    <row r="573">
      <c r="E573" s="41"/>
      <c r="F573" s="41"/>
      <c r="G573" s="41"/>
      <c r="H573" s="41"/>
      <c r="I573" s="41"/>
      <c r="J573" s="41"/>
      <c r="K573" s="41"/>
    </row>
    <row r="574">
      <c r="E574" s="41"/>
      <c r="F574" s="41"/>
      <c r="G574" s="41"/>
      <c r="H574" s="41"/>
      <c r="I574" s="41"/>
      <c r="J574" s="41"/>
      <c r="K574" s="41"/>
    </row>
    <row r="575">
      <c r="E575" s="41"/>
      <c r="F575" s="41"/>
      <c r="G575" s="41"/>
      <c r="H575" s="41"/>
      <c r="I575" s="41"/>
      <c r="J575" s="41"/>
      <c r="K575" s="41"/>
    </row>
    <row r="576">
      <c r="E576" s="41"/>
      <c r="F576" s="41"/>
      <c r="G576" s="41"/>
      <c r="H576" s="41"/>
      <c r="I576" s="41"/>
      <c r="J576" s="41"/>
      <c r="K576" s="41"/>
    </row>
    <row r="577">
      <c r="E577" s="41"/>
      <c r="F577" s="41"/>
      <c r="G577" s="41"/>
      <c r="H577" s="41"/>
      <c r="I577" s="41"/>
      <c r="J577" s="41"/>
      <c r="K577" s="41"/>
    </row>
    <row r="578">
      <c r="E578" s="41"/>
      <c r="F578" s="41"/>
      <c r="G578" s="41"/>
      <c r="H578" s="41"/>
      <c r="I578" s="41"/>
      <c r="J578" s="41"/>
      <c r="K578" s="41"/>
    </row>
    <row r="579">
      <c r="E579" s="41"/>
      <c r="F579" s="41"/>
      <c r="G579" s="41"/>
      <c r="H579" s="41"/>
      <c r="I579" s="41"/>
      <c r="J579" s="41"/>
      <c r="K579" s="41"/>
    </row>
    <row r="580">
      <c r="E580" s="41"/>
      <c r="F580" s="41"/>
      <c r="G580" s="41"/>
      <c r="H580" s="41"/>
      <c r="I580" s="41"/>
      <c r="J580" s="41"/>
      <c r="K580" s="41"/>
    </row>
    <row r="581">
      <c r="E581" s="41"/>
      <c r="F581" s="41"/>
      <c r="G581" s="41"/>
      <c r="H581" s="41"/>
      <c r="I581" s="41"/>
      <c r="J581" s="41"/>
      <c r="K581" s="41"/>
    </row>
    <row r="582">
      <c r="E582" s="41"/>
      <c r="F582" s="41"/>
      <c r="G582" s="41"/>
      <c r="H582" s="41"/>
      <c r="I582" s="41"/>
      <c r="J582" s="41"/>
      <c r="K582" s="41"/>
    </row>
    <row r="583">
      <c r="E583" s="41"/>
      <c r="F583" s="41"/>
      <c r="G583" s="41"/>
      <c r="H583" s="41"/>
      <c r="I583" s="41"/>
      <c r="J583" s="41"/>
      <c r="K583" s="41"/>
    </row>
    <row r="584">
      <c r="E584" s="41"/>
      <c r="F584" s="41"/>
      <c r="G584" s="41"/>
      <c r="H584" s="41"/>
      <c r="I584" s="41"/>
      <c r="J584" s="41"/>
      <c r="K584" s="41"/>
    </row>
    <row r="585">
      <c r="E585" s="41"/>
      <c r="F585" s="41"/>
      <c r="G585" s="41"/>
      <c r="H585" s="41"/>
      <c r="I585" s="41"/>
      <c r="J585" s="41"/>
      <c r="K585" s="41"/>
    </row>
    <row r="586">
      <c r="E586" s="41"/>
      <c r="F586" s="41"/>
      <c r="G586" s="41"/>
      <c r="H586" s="41"/>
      <c r="I586" s="41"/>
      <c r="J586" s="41"/>
      <c r="K586" s="41"/>
    </row>
    <row r="587">
      <c r="E587" s="41"/>
      <c r="F587" s="41"/>
      <c r="G587" s="41"/>
      <c r="H587" s="41"/>
      <c r="I587" s="41"/>
      <c r="J587" s="41"/>
      <c r="K587" s="41"/>
    </row>
    <row r="588">
      <c r="E588" s="41"/>
      <c r="F588" s="41"/>
      <c r="G588" s="41"/>
      <c r="H588" s="41"/>
      <c r="I588" s="41"/>
      <c r="J588" s="41"/>
      <c r="K588" s="41"/>
    </row>
    <row r="589">
      <c r="E589" s="41"/>
      <c r="F589" s="41"/>
      <c r="G589" s="41"/>
      <c r="H589" s="41"/>
      <c r="I589" s="41"/>
      <c r="J589" s="41"/>
      <c r="K589" s="41"/>
    </row>
    <row r="590">
      <c r="E590" s="41"/>
      <c r="F590" s="41"/>
      <c r="G590" s="41"/>
      <c r="H590" s="41"/>
      <c r="I590" s="41"/>
      <c r="J590" s="41"/>
      <c r="K590" s="41"/>
    </row>
    <row r="591">
      <c r="E591" s="41"/>
      <c r="F591" s="41"/>
      <c r="G591" s="41"/>
      <c r="H591" s="41"/>
      <c r="I591" s="41"/>
      <c r="J591" s="41"/>
      <c r="K591" s="41"/>
    </row>
    <row r="592">
      <c r="E592" s="41"/>
      <c r="F592" s="41"/>
      <c r="G592" s="41"/>
      <c r="H592" s="41"/>
      <c r="I592" s="41"/>
      <c r="J592" s="41"/>
      <c r="K592" s="41"/>
    </row>
    <row r="593">
      <c r="E593" s="41"/>
      <c r="F593" s="41"/>
      <c r="G593" s="41"/>
      <c r="H593" s="41"/>
      <c r="I593" s="41"/>
      <c r="J593" s="41"/>
      <c r="K593" s="41"/>
    </row>
    <row r="594">
      <c r="E594" s="41"/>
      <c r="F594" s="41"/>
      <c r="G594" s="41"/>
      <c r="H594" s="41"/>
      <c r="I594" s="41"/>
      <c r="J594" s="41"/>
      <c r="K594" s="41"/>
    </row>
    <row r="595">
      <c r="E595" s="41"/>
      <c r="F595" s="41"/>
      <c r="G595" s="41"/>
      <c r="H595" s="41"/>
      <c r="I595" s="41"/>
      <c r="J595" s="41"/>
      <c r="K595" s="41"/>
    </row>
    <row r="596">
      <c r="E596" s="41"/>
      <c r="F596" s="41"/>
      <c r="G596" s="41"/>
      <c r="H596" s="41"/>
      <c r="I596" s="41"/>
      <c r="J596" s="41"/>
      <c r="K596" s="41"/>
    </row>
    <row r="597">
      <c r="E597" s="41"/>
      <c r="F597" s="41"/>
      <c r="G597" s="41"/>
      <c r="H597" s="41"/>
      <c r="I597" s="41"/>
      <c r="J597" s="41"/>
      <c r="K597" s="41"/>
    </row>
    <row r="598">
      <c r="E598" s="41"/>
      <c r="F598" s="41"/>
      <c r="G598" s="41"/>
      <c r="H598" s="41"/>
      <c r="I598" s="41"/>
      <c r="J598" s="41"/>
      <c r="K598" s="41"/>
    </row>
    <row r="599">
      <c r="E599" s="41"/>
      <c r="F599" s="41"/>
      <c r="G599" s="41"/>
      <c r="H599" s="41"/>
      <c r="I599" s="41"/>
      <c r="J599" s="41"/>
      <c r="K599" s="41"/>
    </row>
    <row r="600">
      <c r="E600" s="41"/>
      <c r="F600" s="41"/>
      <c r="G600" s="41"/>
      <c r="H600" s="41"/>
      <c r="I600" s="41"/>
      <c r="J600" s="41"/>
      <c r="K600" s="41"/>
    </row>
    <row r="601">
      <c r="E601" s="41"/>
      <c r="F601" s="41"/>
      <c r="G601" s="41"/>
      <c r="H601" s="41"/>
      <c r="I601" s="41"/>
      <c r="J601" s="41"/>
      <c r="K601" s="41"/>
    </row>
    <row r="602">
      <c r="E602" s="41"/>
      <c r="F602" s="41"/>
      <c r="G602" s="41"/>
      <c r="H602" s="41"/>
      <c r="I602" s="41"/>
      <c r="J602" s="41"/>
      <c r="K602" s="41"/>
    </row>
    <row r="603">
      <c r="E603" s="41"/>
      <c r="F603" s="41"/>
      <c r="G603" s="41"/>
      <c r="H603" s="41"/>
      <c r="I603" s="41"/>
      <c r="J603" s="41"/>
      <c r="K603" s="41"/>
    </row>
    <row r="604">
      <c r="E604" s="41"/>
      <c r="F604" s="41"/>
      <c r="G604" s="41"/>
      <c r="H604" s="41"/>
      <c r="I604" s="41"/>
      <c r="J604" s="41"/>
      <c r="K604" s="41"/>
    </row>
    <row r="605">
      <c r="E605" s="41"/>
      <c r="F605" s="41"/>
      <c r="G605" s="41"/>
      <c r="H605" s="41"/>
      <c r="I605" s="41"/>
      <c r="J605" s="41"/>
      <c r="K605" s="41"/>
    </row>
    <row r="606">
      <c r="E606" s="41"/>
      <c r="F606" s="41"/>
      <c r="G606" s="41"/>
      <c r="H606" s="41"/>
      <c r="I606" s="41"/>
      <c r="J606" s="41"/>
      <c r="K606" s="41"/>
    </row>
    <row r="607">
      <c r="E607" s="41"/>
      <c r="F607" s="41"/>
      <c r="G607" s="41"/>
      <c r="H607" s="41"/>
      <c r="I607" s="41"/>
      <c r="J607" s="41"/>
      <c r="K607" s="41"/>
    </row>
    <row r="608">
      <c r="E608" s="41"/>
      <c r="F608" s="41"/>
      <c r="G608" s="41"/>
      <c r="H608" s="41"/>
      <c r="I608" s="41"/>
      <c r="J608" s="41"/>
      <c r="K608" s="41"/>
    </row>
    <row r="609">
      <c r="E609" s="41"/>
      <c r="F609" s="41"/>
      <c r="G609" s="41"/>
      <c r="H609" s="41"/>
      <c r="I609" s="41"/>
      <c r="J609" s="41"/>
      <c r="K609" s="41"/>
    </row>
    <row r="610">
      <c r="E610" s="41"/>
      <c r="F610" s="41"/>
      <c r="G610" s="41"/>
      <c r="H610" s="41"/>
      <c r="I610" s="41"/>
      <c r="J610" s="41"/>
      <c r="K610" s="41"/>
    </row>
    <row r="611">
      <c r="E611" s="41"/>
      <c r="F611" s="41"/>
      <c r="G611" s="41"/>
      <c r="H611" s="41"/>
      <c r="I611" s="41"/>
      <c r="J611" s="41"/>
      <c r="K611" s="41"/>
    </row>
    <row r="612">
      <c r="E612" s="41"/>
      <c r="F612" s="41"/>
      <c r="G612" s="41"/>
      <c r="H612" s="41"/>
      <c r="I612" s="41"/>
      <c r="J612" s="41"/>
      <c r="K612" s="41"/>
    </row>
    <row r="613">
      <c r="E613" s="41"/>
      <c r="F613" s="41"/>
      <c r="G613" s="41"/>
      <c r="H613" s="41"/>
      <c r="I613" s="41"/>
      <c r="J613" s="41"/>
      <c r="K613" s="41"/>
    </row>
    <row r="614">
      <c r="E614" s="41"/>
      <c r="F614" s="41"/>
      <c r="G614" s="41"/>
      <c r="H614" s="41"/>
      <c r="I614" s="41"/>
      <c r="J614" s="41"/>
      <c r="K614" s="41"/>
    </row>
    <row r="615">
      <c r="E615" s="41"/>
      <c r="F615" s="41"/>
      <c r="G615" s="41"/>
      <c r="H615" s="41"/>
      <c r="I615" s="41"/>
      <c r="J615" s="41"/>
      <c r="K615" s="41"/>
    </row>
    <row r="616">
      <c r="E616" s="41"/>
      <c r="F616" s="41"/>
      <c r="G616" s="41"/>
      <c r="H616" s="41"/>
      <c r="I616" s="41"/>
      <c r="J616" s="41"/>
      <c r="K616" s="41"/>
    </row>
    <row r="617">
      <c r="E617" s="41"/>
      <c r="F617" s="41"/>
      <c r="G617" s="41"/>
      <c r="H617" s="41"/>
      <c r="I617" s="41"/>
      <c r="J617" s="41"/>
      <c r="K617" s="41"/>
    </row>
    <row r="618">
      <c r="E618" s="41"/>
      <c r="F618" s="41"/>
      <c r="G618" s="41"/>
      <c r="H618" s="41"/>
      <c r="I618" s="41"/>
      <c r="J618" s="41"/>
      <c r="K618" s="41"/>
    </row>
    <row r="619">
      <c r="E619" s="41"/>
      <c r="F619" s="41"/>
      <c r="G619" s="41"/>
      <c r="H619" s="41"/>
      <c r="I619" s="41"/>
      <c r="J619" s="41"/>
      <c r="K619" s="41"/>
    </row>
    <row r="620">
      <c r="E620" s="41"/>
      <c r="F620" s="41"/>
      <c r="G620" s="41"/>
      <c r="H620" s="41"/>
      <c r="I620" s="41"/>
      <c r="J620" s="41"/>
      <c r="K620" s="41"/>
    </row>
    <row r="621">
      <c r="E621" s="41"/>
      <c r="F621" s="41"/>
      <c r="G621" s="41"/>
      <c r="H621" s="41"/>
      <c r="I621" s="41"/>
      <c r="J621" s="41"/>
      <c r="K621" s="41"/>
    </row>
    <row r="622">
      <c r="E622" s="41"/>
      <c r="F622" s="41"/>
      <c r="G622" s="41"/>
      <c r="H622" s="41"/>
      <c r="I622" s="41"/>
      <c r="J622" s="41"/>
      <c r="K622" s="41"/>
    </row>
    <row r="623">
      <c r="E623" s="41"/>
      <c r="F623" s="41"/>
      <c r="G623" s="41"/>
      <c r="H623" s="41"/>
      <c r="I623" s="41"/>
      <c r="J623" s="41"/>
      <c r="K623" s="41"/>
    </row>
    <row r="624">
      <c r="E624" s="41"/>
      <c r="F624" s="41"/>
      <c r="G624" s="41"/>
      <c r="H624" s="41"/>
      <c r="I624" s="41"/>
      <c r="J624" s="41"/>
      <c r="K624" s="41"/>
    </row>
    <row r="625">
      <c r="E625" s="41"/>
      <c r="F625" s="41"/>
      <c r="G625" s="41"/>
      <c r="H625" s="41"/>
      <c r="I625" s="41"/>
      <c r="J625" s="41"/>
      <c r="K625" s="41"/>
    </row>
    <row r="626">
      <c r="E626" s="41"/>
      <c r="F626" s="41"/>
      <c r="G626" s="41"/>
      <c r="H626" s="41"/>
      <c r="I626" s="41"/>
      <c r="J626" s="41"/>
      <c r="K626" s="41"/>
    </row>
    <row r="627">
      <c r="E627" s="41"/>
      <c r="F627" s="41"/>
      <c r="G627" s="41"/>
      <c r="H627" s="41"/>
      <c r="I627" s="41"/>
      <c r="J627" s="41"/>
      <c r="K627" s="41"/>
    </row>
    <row r="628">
      <c r="E628" s="41"/>
      <c r="F628" s="41"/>
      <c r="G628" s="41"/>
      <c r="H628" s="41"/>
      <c r="I628" s="41"/>
      <c r="J628" s="41"/>
      <c r="K628" s="41"/>
    </row>
    <row r="629">
      <c r="E629" s="41"/>
      <c r="F629" s="41"/>
      <c r="G629" s="41"/>
      <c r="H629" s="41"/>
      <c r="I629" s="41"/>
      <c r="J629" s="41"/>
      <c r="K629" s="41"/>
    </row>
    <row r="630">
      <c r="E630" s="41"/>
      <c r="F630" s="41"/>
      <c r="G630" s="41"/>
      <c r="H630" s="41"/>
      <c r="I630" s="41"/>
      <c r="J630" s="41"/>
      <c r="K630" s="41"/>
    </row>
    <row r="631">
      <c r="E631" s="41"/>
      <c r="F631" s="41"/>
      <c r="G631" s="41"/>
      <c r="H631" s="41"/>
      <c r="I631" s="41"/>
      <c r="J631" s="41"/>
      <c r="K631" s="41"/>
    </row>
    <row r="632">
      <c r="E632" s="41"/>
      <c r="F632" s="41"/>
      <c r="G632" s="41"/>
      <c r="H632" s="41"/>
      <c r="I632" s="41"/>
      <c r="J632" s="41"/>
      <c r="K632" s="41"/>
    </row>
    <row r="633">
      <c r="E633" s="41"/>
      <c r="F633" s="41"/>
      <c r="G633" s="41"/>
      <c r="H633" s="41"/>
      <c r="I633" s="41"/>
      <c r="J633" s="41"/>
      <c r="K633" s="41"/>
    </row>
    <row r="634">
      <c r="E634" s="41"/>
      <c r="F634" s="41"/>
      <c r="G634" s="41"/>
      <c r="H634" s="41"/>
      <c r="I634" s="41"/>
      <c r="J634" s="41"/>
      <c r="K634" s="41"/>
    </row>
    <row r="635">
      <c r="E635" s="41"/>
      <c r="F635" s="41"/>
      <c r="G635" s="41"/>
      <c r="H635" s="41"/>
      <c r="I635" s="41"/>
      <c r="J635" s="41"/>
      <c r="K635" s="41"/>
    </row>
    <row r="636">
      <c r="E636" s="41"/>
      <c r="F636" s="41"/>
      <c r="G636" s="41"/>
      <c r="H636" s="41"/>
      <c r="I636" s="41"/>
      <c r="J636" s="41"/>
      <c r="K636" s="41"/>
    </row>
    <row r="637">
      <c r="E637" s="41"/>
      <c r="F637" s="41"/>
      <c r="G637" s="41"/>
      <c r="H637" s="41"/>
      <c r="I637" s="41"/>
      <c r="J637" s="41"/>
      <c r="K637" s="41"/>
    </row>
    <row r="638">
      <c r="E638" s="41"/>
      <c r="F638" s="41"/>
      <c r="G638" s="41"/>
      <c r="H638" s="41"/>
      <c r="I638" s="41"/>
      <c r="J638" s="41"/>
      <c r="K638" s="41"/>
    </row>
    <row r="639">
      <c r="E639" s="41"/>
      <c r="F639" s="41"/>
      <c r="G639" s="41"/>
      <c r="H639" s="41"/>
      <c r="I639" s="41"/>
      <c r="J639" s="41"/>
      <c r="K639" s="41"/>
    </row>
    <row r="640">
      <c r="E640" s="41"/>
      <c r="F640" s="41"/>
      <c r="G640" s="41"/>
      <c r="H640" s="41"/>
      <c r="I640" s="41"/>
      <c r="J640" s="41"/>
      <c r="K640" s="41"/>
    </row>
    <row r="641">
      <c r="E641" s="41"/>
      <c r="F641" s="41"/>
      <c r="G641" s="41"/>
      <c r="H641" s="41"/>
      <c r="I641" s="41"/>
      <c r="J641" s="41"/>
      <c r="K641" s="41"/>
    </row>
    <row r="642">
      <c r="E642" s="41"/>
      <c r="F642" s="41"/>
      <c r="G642" s="41"/>
      <c r="H642" s="41"/>
      <c r="I642" s="41"/>
      <c r="J642" s="41"/>
      <c r="K642" s="41"/>
    </row>
    <row r="643">
      <c r="E643" s="41"/>
      <c r="F643" s="41"/>
      <c r="G643" s="41"/>
      <c r="H643" s="41"/>
      <c r="I643" s="41"/>
      <c r="J643" s="41"/>
      <c r="K643" s="41"/>
    </row>
    <row r="644">
      <c r="E644" s="41"/>
      <c r="F644" s="41"/>
      <c r="G644" s="41"/>
      <c r="H644" s="41"/>
      <c r="I644" s="41"/>
      <c r="J644" s="41"/>
      <c r="K644" s="41"/>
    </row>
    <row r="645">
      <c r="E645" s="41"/>
      <c r="F645" s="41"/>
      <c r="G645" s="41"/>
      <c r="H645" s="41"/>
      <c r="I645" s="41"/>
      <c r="J645" s="41"/>
      <c r="K645" s="41"/>
    </row>
    <row r="646">
      <c r="E646" s="41"/>
      <c r="F646" s="41"/>
      <c r="G646" s="41"/>
      <c r="H646" s="41"/>
      <c r="I646" s="41"/>
      <c r="J646" s="41"/>
      <c r="K646" s="41"/>
    </row>
    <row r="647">
      <c r="E647" s="41"/>
      <c r="F647" s="41"/>
      <c r="G647" s="41"/>
      <c r="H647" s="41"/>
      <c r="I647" s="41"/>
      <c r="J647" s="41"/>
      <c r="K647" s="41"/>
    </row>
    <row r="648">
      <c r="E648" s="41"/>
      <c r="F648" s="41"/>
      <c r="G648" s="41"/>
      <c r="H648" s="41"/>
      <c r="I648" s="41"/>
      <c r="J648" s="41"/>
      <c r="K648" s="41"/>
    </row>
    <row r="649">
      <c r="E649" s="41"/>
      <c r="F649" s="41"/>
      <c r="G649" s="41"/>
      <c r="H649" s="41"/>
      <c r="I649" s="41"/>
      <c r="J649" s="41"/>
      <c r="K649" s="41"/>
    </row>
    <row r="650">
      <c r="E650" s="41"/>
      <c r="F650" s="41"/>
      <c r="G650" s="41"/>
      <c r="H650" s="41"/>
      <c r="I650" s="41"/>
      <c r="J650" s="41"/>
      <c r="K650" s="41"/>
    </row>
    <row r="651">
      <c r="E651" s="41"/>
      <c r="F651" s="41"/>
      <c r="G651" s="41"/>
      <c r="H651" s="41"/>
      <c r="I651" s="41"/>
      <c r="J651" s="41"/>
      <c r="K651" s="41"/>
    </row>
    <row r="652">
      <c r="E652" s="41"/>
      <c r="F652" s="41"/>
      <c r="G652" s="41"/>
      <c r="H652" s="41"/>
      <c r="I652" s="41"/>
      <c r="J652" s="41"/>
      <c r="K652" s="41"/>
    </row>
    <row r="653">
      <c r="E653" s="41"/>
      <c r="F653" s="41"/>
      <c r="G653" s="41"/>
      <c r="H653" s="41"/>
      <c r="I653" s="41"/>
      <c r="J653" s="41"/>
      <c r="K653" s="41"/>
    </row>
    <row r="654">
      <c r="E654" s="41"/>
      <c r="F654" s="41"/>
      <c r="G654" s="41"/>
      <c r="H654" s="41"/>
      <c r="I654" s="41"/>
      <c r="J654" s="41"/>
      <c r="K654" s="41"/>
    </row>
    <row r="655">
      <c r="E655" s="41"/>
      <c r="F655" s="41"/>
      <c r="G655" s="41"/>
      <c r="H655" s="41"/>
      <c r="I655" s="41"/>
      <c r="J655" s="41"/>
      <c r="K655" s="41"/>
    </row>
    <row r="656">
      <c r="E656" s="41"/>
      <c r="F656" s="41"/>
      <c r="G656" s="41"/>
      <c r="H656" s="41"/>
      <c r="I656" s="41"/>
      <c r="J656" s="41"/>
      <c r="K656" s="41"/>
    </row>
    <row r="657">
      <c r="E657" s="41"/>
      <c r="F657" s="41"/>
      <c r="G657" s="41"/>
      <c r="H657" s="41"/>
      <c r="I657" s="41"/>
      <c r="J657" s="41"/>
      <c r="K657" s="41"/>
    </row>
    <row r="658">
      <c r="E658" s="41"/>
      <c r="F658" s="41"/>
      <c r="G658" s="41"/>
      <c r="H658" s="41"/>
      <c r="I658" s="41"/>
      <c r="J658" s="41"/>
      <c r="K658" s="41"/>
    </row>
    <row r="659">
      <c r="E659" s="41"/>
      <c r="F659" s="41"/>
      <c r="G659" s="41"/>
      <c r="H659" s="41"/>
      <c r="I659" s="41"/>
      <c r="J659" s="41"/>
      <c r="K659" s="41"/>
    </row>
    <row r="660">
      <c r="E660" s="41"/>
      <c r="F660" s="41"/>
      <c r="G660" s="41"/>
      <c r="H660" s="41"/>
      <c r="I660" s="41"/>
      <c r="J660" s="41"/>
      <c r="K660" s="41"/>
    </row>
    <row r="661">
      <c r="E661" s="41"/>
      <c r="F661" s="41"/>
      <c r="G661" s="41"/>
      <c r="H661" s="41"/>
      <c r="I661" s="41"/>
      <c r="J661" s="41"/>
      <c r="K661" s="41"/>
    </row>
    <row r="662">
      <c r="E662" s="41"/>
      <c r="F662" s="41"/>
      <c r="G662" s="41"/>
      <c r="H662" s="41"/>
      <c r="I662" s="41"/>
      <c r="J662" s="41"/>
      <c r="K662" s="41"/>
    </row>
    <row r="663">
      <c r="E663" s="41"/>
      <c r="F663" s="41"/>
      <c r="G663" s="41"/>
      <c r="H663" s="41"/>
      <c r="I663" s="41"/>
      <c r="J663" s="41"/>
      <c r="K663" s="41"/>
    </row>
    <row r="664">
      <c r="E664" s="41"/>
      <c r="F664" s="41"/>
      <c r="G664" s="41"/>
      <c r="H664" s="41"/>
      <c r="I664" s="41"/>
      <c r="J664" s="41"/>
      <c r="K664" s="41"/>
    </row>
    <row r="665">
      <c r="E665" s="41"/>
      <c r="F665" s="41"/>
      <c r="G665" s="41"/>
      <c r="H665" s="41"/>
      <c r="I665" s="41"/>
      <c r="J665" s="41"/>
      <c r="K665" s="41"/>
    </row>
    <row r="666">
      <c r="E666" s="41"/>
      <c r="F666" s="41"/>
      <c r="G666" s="41"/>
      <c r="H666" s="41"/>
      <c r="I666" s="41"/>
      <c r="J666" s="41"/>
      <c r="K666" s="41"/>
    </row>
    <row r="667">
      <c r="E667" s="41"/>
      <c r="F667" s="41"/>
      <c r="G667" s="41"/>
      <c r="H667" s="41"/>
      <c r="I667" s="41"/>
      <c r="J667" s="41"/>
      <c r="K667" s="41"/>
    </row>
    <row r="668">
      <c r="E668" s="41"/>
      <c r="F668" s="41"/>
      <c r="G668" s="41"/>
      <c r="H668" s="41"/>
      <c r="I668" s="41"/>
      <c r="J668" s="41"/>
      <c r="K668" s="41"/>
    </row>
    <row r="669">
      <c r="E669" s="41"/>
      <c r="F669" s="41"/>
      <c r="G669" s="41"/>
      <c r="H669" s="41"/>
      <c r="I669" s="41"/>
      <c r="J669" s="41"/>
      <c r="K669" s="41"/>
    </row>
    <row r="670">
      <c r="E670" s="41"/>
      <c r="F670" s="41"/>
      <c r="G670" s="41"/>
      <c r="H670" s="41"/>
      <c r="I670" s="41"/>
      <c r="J670" s="41"/>
      <c r="K670" s="41"/>
    </row>
    <row r="671">
      <c r="E671" s="41"/>
      <c r="F671" s="41"/>
      <c r="G671" s="41"/>
      <c r="H671" s="41"/>
      <c r="I671" s="41"/>
      <c r="J671" s="41"/>
      <c r="K671" s="41"/>
    </row>
    <row r="672">
      <c r="E672" s="41"/>
      <c r="F672" s="41"/>
      <c r="G672" s="41"/>
      <c r="H672" s="41"/>
      <c r="I672" s="41"/>
      <c r="J672" s="41"/>
      <c r="K672" s="41"/>
    </row>
    <row r="673">
      <c r="E673" s="41"/>
      <c r="F673" s="41"/>
      <c r="G673" s="41"/>
      <c r="H673" s="41"/>
      <c r="I673" s="41"/>
      <c r="J673" s="41"/>
      <c r="K673" s="41"/>
    </row>
    <row r="674">
      <c r="E674" s="41"/>
      <c r="F674" s="41"/>
      <c r="G674" s="41"/>
      <c r="H674" s="41"/>
      <c r="I674" s="41"/>
      <c r="J674" s="41"/>
      <c r="K674" s="41"/>
    </row>
    <row r="675">
      <c r="E675" s="41"/>
      <c r="F675" s="41"/>
      <c r="G675" s="41"/>
      <c r="H675" s="41"/>
      <c r="I675" s="41"/>
      <c r="J675" s="41"/>
      <c r="K675" s="41"/>
    </row>
    <row r="676">
      <c r="E676" s="41"/>
      <c r="F676" s="41"/>
      <c r="G676" s="41"/>
      <c r="H676" s="41"/>
      <c r="I676" s="41"/>
      <c r="J676" s="41"/>
      <c r="K676" s="41"/>
    </row>
    <row r="677">
      <c r="E677" s="41"/>
      <c r="F677" s="41"/>
      <c r="G677" s="41"/>
      <c r="H677" s="41"/>
      <c r="I677" s="41"/>
      <c r="J677" s="41"/>
      <c r="K677" s="41"/>
    </row>
    <row r="678">
      <c r="E678" s="41"/>
      <c r="F678" s="41"/>
      <c r="G678" s="41"/>
      <c r="H678" s="41"/>
      <c r="I678" s="41"/>
      <c r="J678" s="41"/>
      <c r="K678" s="41"/>
    </row>
    <row r="679">
      <c r="E679" s="41"/>
      <c r="F679" s="41"/>
      <c r="G679" s="41"/>
      <c r="H679" s="41"/>
      <c r="I679" s="41"/>
      <c r="J679" s="41"/>
      <c r="K679" s="41"/>
    </row>
    <row r="680">
      <c r="E680" s="41"/>
      <c r="F680" s="41"/>
      <c r="G680" s="41"/>
      <c r="H680" s="41"/>
      <c r="I680" s="41"/>
      <c r="J680" s="41"/>
      <c r="K680" s="41"/>
    </row>
    <row r="681">
      <c r="E681" s="41"/>
      <c r="F681" s="41"/>
      <c r="G681" s="41"/>
      <c r="H681" s="41"/>
      <c r="I681" s="41"/>
      <c r="J681" s="41"/>
      <c r="K681" s="41"/>
    </row>
    <row r="682">
      <c r="E682" s="41"/>
      <c r="F682" s="41"/>
      <c r="G682" s="41"/>
      <c r="H682" s="41"/>
      <c r="I682" s="41"/>
      <c r="J682" s="41"/>
      <c r="K682" s="41"/>
    </row>
    <row r="683">
      <c r="E683" s="41"/>
      <c r="F683" s="41"/>
      <c r="G683" s="41"/>
      <c r="H683" s="41"/>
      <c r="I683" s="41"/>
      <c r="J683" s="41"/>
      <c r="K683" s="41"/>
    </row>
    <row r="684">
      <c r="E684" s="41"/>
      <c r="F684" s="41"/>
      <c r="G684" s="41"/>
      <c r="H684" s="41"/>
      <c r="I684" s="41"/>
      <c r="J684" s="41"/>
      <c r="K684" s="41"/>
    </row>
    <row r="685">
      <c r="E685" s="41"/>
      <c r="F685" s="41"/>
      <c r="G685" s="41"/>
      <c r="H685" s="41"/>
      <c r="I685" s="41"/>
      <c r="J685" s="41"/>
      <c r="K685" s="41"/>
    </row>
    <row r="686">
      <c r="E686" s="41"/>
      <c r="F686" s="41"/>
      <c r="G686" s="41"/>
      <c r="H686" s="41"/>
      <c r="I686" s="41"/>
      <c r="J686" s="41"/>
      <c r="K686" s="41"/>
    </row>
    <row r="687">
      <c r="E687" s="41"/>
      <c r="F687" s="41"/>
      <c r="G687" s="41"/>
      <c r="H687" s="41"/>
      <c r="I687" s="41"/>
      <c r="J687" s="41"/>
      <c r="K687" s="41"/>
    </row>
    <row r="688">
      <c r="E688" s="41"/>
      <c r="F688" s="41"/>
      <c r="G688" s="41"/>
      <c r="H688" s="41"/>
      <c r="I688" s="41"/>
      <c r="J688" s="41"/>
      <c r="K688" s="41"/>
    </row>
    <row r="689">
      <c r="E689" s="41"/>
      <c r="F689" s="41"/>
      <c r="G689" s="41"/>
      <c r="H689" s="41"/>
      <c r="I689" s="41"/>
      <c r="J689" s="41"/>
      <c r="K689" s="41"/>
    </row>
    <row r="690">
      <c r="E690" s="41"/>
      <c r="F690" s="41"/>
      <c r="G690" s="41"/>
      <c r="H690" s="41"/>
      <c r="I690" s="41"/>
      <c r="J690" s="41"/>
      <c r="K690" s="41"/>
    </row>
    <row r="691">
      <c r="E691" s="41"/>
      <c r="F691" s="41"/>
      <c r="G691" s="41"/>
      <c r="H691" s="41"/>
      <c r="I691" s="41"/>
      <c r="J691" s="41"/>
      <c r="K691" s="41"/>
    </row>
    <row r="692">
      <c r="E692" s="41"/>
      <c r="F692" s="41"/>
      <c r="G692" s="41"/>
      <c r="H692" s="41"/>
      <c r="I692" s="41"/>
      <c r="J692" s="41"/>
      <c r="K692" s="41"/>
    </row>
    <row r="693">
      <c r="E693" s="41"/>
      <c r="F693" s="41"/>
      <c r="G693" s="41"/>
      <c r="H693" s="41"/>
      <c r="I693" s="41"/>
      <c r="J693" s="41"/>
      <c r="K693" s="41"/>
    </row>
    <row r="694">
      <c r="E694" s="41"/>
      <c r="F694" s="41"/>
      <c r="G694" s="41"/>
      <c r="H694" s="41"/>
      <c r="I694" s="41"/>
      <c r="J694" s="41"/>
      <c r="K694" s="41"/>
    </row>
    <row r="695">
      <c r="E695" s="41"/>
      <c r="F695" s="41"/>
      <c r="G695" s="41"/>
      <c r="H695" s="41"/>
      <c r="I695" s="41"/>
      <c r="J695" s="41"/>
      <c r="K695" s="41"/>
    </row>
    <row r="696">
      <c r="E696" s="41"/>
      <c r="F696" s="41"/>
      <c r="G696" s="41"/>
      <c r="H696" s="41"/>
      <c r="I696" s="41"/>
      <c r="J696" s="41"/>
      <c r="K696" s="41"/>
    </row>
    <row r="697">
      <c r="E697" s="41"/>
      <c r="F697" s="41"/>
      <c r="G697" s="41"/>
      <c r="H697" s="41"/>
      <c r="I697" s="41"/>
      <c r="J697" s="41"/>
      <c r="K697" s="41"/>
    </row>
    <row r="698">
      <c r="E698" s="41"/>
      <c r="F698" s="41"/>
      <c r="G698" s="41"/>
      <c r="H698" s="41"/>
      <c r="I698" s="41"/>
      <c r="J698" s="41"/>
      <c r="K698" s="41"/>
    </row>
    <row r="699">
      <c r="E699" s="41"/>
      <c r="F699" s="41"/>
      <c r="G699" s="41"/>
      <c r="H699" s="41"/>
      <c r="I699" s="41"/>
      <c r="J699" s="41"/>
      <c r="K699" s="41"/>
    </row>
    <row r="700">
      <c r="E700" s="41"/>
      <c r="F700" s="41"/>
      <c r="G700" s="41"/>
      <c r="H700" s="41"/>
      <c r="I700" s="41"/>
      <c r="J700" s="41"/>
      <c r="K700" s="41"/>
    </row>
    <row r="701">
      <c r="E701" s="41"/>
      <c r="F701" s="41"/>
      <c r="G701" s="41"/>
      <c r="H701" s="41"/>
      <c r="I701" s="41"/>
      <c r="J701" s="41"/>
      <c r="K701" s="41"/>
    </row>
    <row r="702">
      <c r="E702" s="41"/>
      <c r="F702" s="41"/>
      <c r="G702" s="41"/>
      <c r="H702" s="41"/>
      <c r="I702" s="41"/>
      <c r="J702" s="41"/>
      <c r="K702" s="41"/>
    </row>
    <row r="703">
      <c r="E703" s="41"/>
      <c r="F703" s="41"/>
      <c r="G703" s="41"/>
      <c r="H703" s="41"/>
      <c r="I703" s="41"/>
      <c r="J703" s="41"/>
      <c r="K703" s="41"/>
    </row>
    <row r="704">
      <c r="E704" s="41"/>
      <c r="F704" s="41"/>
      <c r="G704" s="41"/>
      <c r="H704" s="41"/>
      <c r="I704" s="41"/>
      <c r="J704" s="41"/>
      <c r="K704" s="41"/>
    </row>
    <row r="705">
      <c r="E705" s="41"/>
      <c r="F705" s="41"/>
      <c r="G705" s="41"/>
      <c r="H705" s="41"/>
      <c r="I705" s="41"/>
      <c r="J705" s="41"/>
      <c r="K705" s="41"/>
    </row>
    <row r="706">
      <c r="E706" s="41"/>
      <c r="F706" s="41"/>
      <c r="G706" s="41"/>
      <c r="H706" s="41"/>
      <c r="I706" s="41"/>
      <c r="J706" s="41"/>
      <c r="K706" s="41"/>
    </row>
    <row r="707">
      <c r="E707" s="41"/>
      <c r="F707" s="41"/>
      <c r="G707" s="41"/>
      <c r="H707" s="41"/>
      <c r="I707" s="41"/>
      <c r="J707" s="41"/>
      <c r="K707" s="41"/>
    </row>
    <row r="708">
      <c r="E708" s="41"/>
      <c r="F708" s="41"/>
      <c r="G708" s="41"/>
      <c r="H708" s="41"/>
      <c r="I708" s="41"/>
      <c r="J708" s="41"/>
      <c r="K708" s="41"/>
    </row>
    <row r="709">
      <c r="E709" s="41"/>
      <c r="F709" s="41"/>
      <c r="G709" s="41"/>
      <c r="H709" s="41"/>
      <c r="I709" s="41"/>
      <c r="J709" s="41"/>
      <c r="K709" s="41"/>
    </row>
    <row r="710">
      <c r="E710" s="41"/>
      <c r="F710" s="41"/>
      <c r="G710" s="41"/>
      <c r="H710" s="41"/>
      <c r="I710" s="41"/>
      <c r="J710" s="41"/>
      <c r="K710" s="41"/>
    </row>
    <row r="711">
      <c r="E711" s="41"/>
      <c r="F711" s="41"/>
      <c r="G711" s="41"/>
      <c r="H711" s="41"/>
      <c r="I711" s="41"/>
      <c r="J711" s="41"/>
      <c r="K711" s="41"/>
    </row>
    <row r="712">
      <c r="E712" s="41"/>
      <c r="F712" s="41"/>
      <c r="G712" s="41"/>
      <c r="H712" s="41"/>
      <c r="I712" s="41"/>
      <c r="J712" s="41"/>
      <c r="K712" s="41"/>
    </row>
    <row r="713">
      <c r="E713" s="41"/>
      <c r="F713" s="41"/>
      <c r="G713" s="41"/>
      <c r="H713" s="41"/>
      <c r="I713" s="41"/>
      <c r="J713" s="41"/>
      <c r="K713" s="41"/>
    </row>
    <row r="714">
      <c r="E714" s="41"/>
      <c r="F714" s="41"/>
      <c r="G714" s="41"/>
      <c r="H714" s="41"/>
      <c r="I714" s="41"/>
      <c r="J714" s="41"/>
      <c r="K714" s="41"/>
    </row>
    <row r="715">
      <c r="E715" s="41"/>
      <c r="F715" s="41"/>
      <c r="G715" s="41"/>
      <c r="H715" s="41"/>
      <c r="I715" s="41"/>
      <c r="J715" s="41"/>
      <c r="K715" s="41"/>
    </row>
    <row r="716">
      <c r="E716" s="41"/>
      <c r="F716" s="41"/>
      <c r="G716" s="41"/>
      <c r="H716" s="41"/>
      <c r="I716" s="41"/>
      <c r="J716" s="41"/>
      <c r="K716" s="41"/>
    </row>
    <row r="717">
      <c r="E717" s="41"/>
      <c r="F717" s="41"/>
      <c r="G717" s="41"/>
      <c r="H717" s="41"/>
      <c r="I717" s="41"/>
      <c r="J717" s="41"/>
      <c r="K717" s="41"/>
    </row>
    <row r="718">
      <c r="E718" s="41"/>
      <c r="F718" s="41"/>
      <c r="G718" s="41"/>
      <c r="H718" s="41"/>
      <c r="I718" s="41"/>
      <c r="J718" s="41"/>
      <c r="K718" s="41"/>
    </row>
    <row r="719">
      <c r="E719" s="41"/>
      <c r="F719" s="41"/>
      <c r="G719" s="41"/>
      <c r="H719" s="41"/>
      <c r="I719" s="41"/>
      <c r="J719" s="41"/>
      <c r="K719" s="41"/>
    </row>
    <row r="720">
      <c r="E720" s="41"/>
      <c r="F720" s="41"/>
      <c r="G720" s="41"/>
      <c r="H720" s="41"/>
      <c r="I720" s="41"/>
      <c r="J720" s="41"/>
      <c r="K720" s="41"/>
    </row>
    <row r="721">
      <c r="E721" s="41"/>
      <c r="F721" s="41"/>
      <c r="G721" s="41"/>
      <c r="H721" s="41"/>
      <c r="I721" s="41"/>
      <c r="J721" s="41"/>
      <c r="K721" s="41"/>
    </row>
    <row r="722">
      <c r="E722" s="41"/>
      <c r="F722" s="41"/>
      <c r="G722" s="41"/>
      <c r="H722" s="41"/>
      <c r="I722" s="41"/>
      <c r="J722" s="41"/>
      <c r="K722" s="41"/>
    </row>
    <row r="723">
      <c r="E723" s="41"/>
      <c r="F723" s="41"/>
      <c r="G723" s="41"/>
      <c r="H723" s="41"/>
      <c r="I723" s="41"/>
      <c r="J723" s="41"/>
      <c r="K723" s="41"/>
    </row>
    <row r="724">
      <c r="E724" s="41"/>
      <c r="F724" s="41"/>
      <c r="G724" s="41"/>
      <c r="H724" s="41"/>
      <c r="I724" s="41"/>
      <c r="J724" s="41"/>
      <c r="K724" s="41"/>
    </row>
    <row r="725">
      <c r="E725" s="41"/>
      <c r="F725" s="41"/>
      <c r="G725" s="41"/>
      <c r="H725" s="41"/>
      <c r="I725" s="41"/>
      <c r="J725" s="41"/>
      <c r="K725" s="41"/>
    </row>
    <row r="726">
      <c r="E726" s="41"/>
      <c r="F726" s="41"/>
      <c r="G726" s="41"/>
      <c r="H726" s="41"/>
      <c r="I726" s="41"/>
      <c r="J726" s="41"/>
      <c r="K726" s="41"/>
    </row>
    <row r="727">
      <c r="E727" s="41"/>
      <c r="F727" s="41"/>
      <c r="G727" s="41"/>
      <c r="H727" s="41"/>
      <c r="I727" s="41"/>
      <c r="J727" s="41"/>
      <c r="K727" s="41"/>
    </row>
    <row r="728">
      <c r="E728" s="41"/>
      <c r="F728" s="41"/>
      <c r="G728" s="41"/>
      <c r="H728" s="41"/>
      <c r="I728" s="41"/>
      <c r="J728" s="41"/>
      <c r="K728" s="41"/>
    </row>
    <row r="729">
      <c r="E729" s="41"/>
      <c r="F729" s="41"/>
      <c r="G729" s="41"/>
      <c r="H729" s="41"/>
      <c r="I729" s="41"/>
      <c r="J729" s="41"/>
      <c r="K729" s="41"/>
    </row>
    <row r="730">
      <c r="E730" s="41"/>
      <c r="F730" s="41"/>
      <c r="G730" s="41"/>
      <c r="H730" s="41"/>
      <c r="I730" s="41"/>
      <c r="J730" s="41"/>
      <c r="K730" s="41"/>
    </row>
    <row r="731">
      <c r="E731" s="41"/>
      <c r="F731" s="41"/>
      <c r="G731" s="41"/>
      <c r="H731" s="41"/>
      <c r="I731" s="41"/>
      <c r="J731" s="41"/>
      <c r="K731" s="41"/>
    </row>
    <row r="732">
      <c r="E732" s="41"/>
      <c r="F732" s="41"/>
      <c r="G732" s="41"/>
      <c r="H732" s="41"/>
      <c r="I732" s="41"/>
      <c r="J732" s="41"/>
      <c r="K732" s="41"/>
    </row>
    <row r="733">
      <c r="E733" s="41"/>
      <c r="F733" s="41"/>
      <c r="G733" s="41"/>
      <c r="H733" s="41"/>
      <c r="I733" s="41"/>
      <c r="J733" s="41"/>
      <c r="K733" s="41"/>
    </row>
    <row r="734">
      <c r="E734" s="41"/>
      <c r="F734" s="41"/>
      <c r="G734" s="41"/>
      <c r="H734" s="41"/>
      <c r="I734" s="41"/>
      <c r="J734" s="41"/>
      <c r="K734" s="41"/>
    </row>
    <row r="735">
      <c r="E735" s="41"/>
      <c r="F735" s="41"/>
      <c r="G735" s="41"/>
      <c r="H735" s="41"/>
      <c r="I735" s="41"/>
      <c r="J735" s="41"/>
      <c r="K735" s="41"/>
    </row>
    <row r="736">
      <c r="E736" s="41"/>
      <c r="F736" s="41"/>
      <c r="G736" s="41"/>
      <c r="H736" s="41"/>
      <c r="I736" s="41"/>
      <c r="J736" s="41"/>
      <c r="K736" s="41"/>
    </row>
    <row r="737">
      <c r="E737" s="41"/>
      <c r="F737" s="41"/>
      <c r="G737" s="41"/>
      <c r="H737" s="41"/>
      <c r="I737" s="41"/>
      <c r="J737" s="41"/>
      <c r="K737" s="41"/>
    </row>
    <row r="738">
      <c r="E738" s="41"/>
      <c r="F738" s="41"/>
      <c r="G738" s="41"/>
      <c r="H738" s="41"/>
      <c r="I738" s="41"/>
      <c r="J738" s="41"/>
      <c r="K738" s="41"/>
    </row>
    <row r="739">
      <c r="E739" s="41"/>
      <c r="F739" s="41"/>
      <c r="G739" s="41"/>
      <c r="H739" s="41"/>
      <c r="I739" s="41"/>
      <c r="J739" s="41"/>
      <c r="K739" s="41"/>
    </row>
    <row r="740">
      <c r="E740" s="41"/>
      <c r="F740" s="41"/>
      <c r="G740" s="41"/>
      <c r="H740" s="41"/>
      <c r="I740" s="41"/>
      <c r="J740" s="41"/>
      <c r="K740" s="41"/>
    </row>
    <row r="741">
      <c r="E741" s="41"/>
      <c r="F741" s="41"/>
      <c r="G741" s="41"/>
      <c r="H741" s="41"/>
      <c r="I741" s="41"/>
      <c r="J741" s="41"/>
      <c r="K741" s="41"/>
    </row>
    <row r="742">
      <c r="E742" s="41"/>
      <c r="F742" s="41"/>
      <c r="G742" s="41"/>
      <c r="H742" s="41"/>
      <c r="I742" s="41"/>
      <c r="J742" s="41"/>
      <c r="K742" s="41"/>
    </row>
    <row r="743">
      <c r="E743" s="41"/>
      <c r="F743" s="41"/>
      <c r="G743" s="41"/>
      <c r="H743" s="41"/>
      <c r="I743" s="41"/>
      <c r="J743" s="41"/>
      <c r="K743" s="41"/>
    </row>
    <row r="744">
      <c r="E744" s="41"/>
      <c r="F744" s="41"/>
      <c r="G744" s="41"/>
      <c r="H744" s="41"/>
      <c r="I744" s="41"/>
      <c r="J744" s="41"/>
      <c r="K744" s="41"/>
    </row>
    <row r="745">
      <c r="E745" s="41"/>
      <c r="F745" s="41"/>
      <c r="G745" s="41"/>
      <c r="H745" s="41"/>
      <c r="I745" s="41"/>
      <c r="J745" s="41"/>
      <c r="K745" s="41"/>
    </row>
    <row r="746">
      <c r="E746" s="41"/>
      <c r="F746" s="41"/>
      <c r="G746" s="41"/>
      <c r="H746" s="41"/>
      <c r="I746" s="41"/>
      <c r="J746" s="41"/>
      <c r="K746" s="41"/>
    </row>
    <row r="747">
      <c r="E747" s="41"/>
      <c r="F747" s="41"/>
      <c r="G747" s="41"/>
      <c r="H747" s="41"/>
      <c r="I747" s="41"/>
      <c r="J747" s="41"/>
      <c r="K747" s="41"/>
    </row>
    <row r="748">
      <c r="E748" s="41"/>
      <c r="F748" s="41"/>
      <c r="G748" s="41"/>
      <c r="H748" s="41"/>
      <c r="I748" s="41"/>
      <c r="J748" s="41"/>
      <c r="K748" s="41"/>
    </row>
    <row r="749">
      <c r="E749" s="41"/>
      <c r="F749" s="41"/>
      <c r="G749" s="41"/>
      <c r="H749" s="41"/>
      <c r="I749" s="41"/>
      <c r="J749" s="41"/>
      <c r="K749" s="41"/>
    </row>
    <row r="750">
      <c r="E750" s="41"/>
      <c r="F750" s="41"/>
      <c r="G750" s="41"/>
      <c r="H750" s="41"/>
      <c r="I750" s="41"/>
      <c r="J750" s="41"/>
      <c r="K750" s="41"/>
    </row>
    <row r="751">
      <c r="E751" s="41"/>
      <c r="F751" s="41"/>
      <c r="G751" s="41"/>
      <c r="H751" s="41"/>
      <c r="I751" s="41"/>
      <c r="J751" s="41"/>
      <c r="K751" s="41"/>
    </row>
    <row r="752">
      <c r="E752" s="41"/>
      <c r="F752" s="41"/>
      <c r="G752" s="41"/>
      <c r="H752" s="41"/>
      <c r="I752" s="41"/>
      <c r="J752" s="41"/>
      <c r="K752" s="41"/>
    </row>
    <row r="753">
      <c r="E753" s="41"/>
      <c r="F753" s="41"/>
      <c r="G753" s="41"/>
      <c r="H753" s="41"/>
      <c r="I753" s="41"/>
      <c r="J753" s="41"/>
      <c r="K753" s="41"/>
    </row>
    <row r="754">
      <c r="E754" s="41"/>
      <c r="F754" s="41"/>
      <c r="G754" s="41"/>
      <c r="H754" s="41"/>
      <c r="I754" s="41"/>
      <c r="J754" s="41"/>
      <c r="K754" s="41"/>
    </row>
    <row r="755">
      <c r="E755" s="41"/>
      <c r="F755" s="41"/>
      <c r="G755" s="41"/>
      <c r="H755" s="41"/>
      <c r="I755" s="41"/>
      <c r="J755" s="41"/>
      <c r="K755" s="41"/>
    </row>
    <row r="756">
      <c r="E756" s="41"/>
      <c r="F756" s="41"/>
      <c r="G756" s="41"/>
      <c r="H756" s="41"/>
      <c r="I756" s="41"/>
      <c r="J756" s="41"/>
      <c r="K756" s="41"/>
    </row>
    <row r="757">
      <c r="E757" s="41"/>
      <c r="F757" s="41"/>
      <c r="G757" s="41"/>
      <c r="H757" s="41"/>
      <c r="I757" s="41"/>
      <c r="J757" s="41"/>
      <c r="K757" s="41"/>
    </row>
    <row r="758">
      <c r="E758" s="41"/>
      <c r="F758" s="41"/>
      <c r="G758" s="41"/>
      <c r="H758" s="41"/>
      <c r="I758" s="41"/>
      <c r="J758" s="41"/>
      <c r="K758" s="41"/>
    </row>
    <row r="759">
      <c r="E759" s="41"/>
      <c r="F759" s="41"/>
      <c r="G759" s="41"/>
      <c r="H759" s="41"/>
      <c r="I759" s="41"/>
      <c r="J759" s="41"/>
      <c r="K759" s="41"/>
    </row>
    <row r="760">
      <c r="E760" s="41"/>
      <c r="F760" s="41"/>
      <c r="G760" s="41"/>
      <c r="H760" s="41"/>
      <c r="I760" s="41"/>
      <c r="J760" s="41"/>
      <c r="K760" s="41"/>
    </row>
    <row r="761">
      <c r="E761" s="41"/>
      <c r="F761" s="41"/>
      <c r="G761" s="41"/>
      <c r="H761" s="41"/>
      <c r="I761" s="41"/>
      <c r="J761" s="41"/>
      <c r="K761" s="41"/>
    </row>
    <row r="762">
      <c r="E762" s="41"/>
      <c r="F762" s="41"/>
      <c r="G762" s="41"/>
      <c r="H762" s="41"/>
      <c r="I762" s="41"/>
      <c r="J762" s="41"/>
      <c r="K762" s="41"/>
    </row>
    <row r="763">
      <c r="E763" s="41"/>
      <c r="F763" s="41"/>
      <c r="G763" s="41"/>
      <c r="H763" s="41"/>
      <c r="I763" s="41"/>
      <c r="J763" s="41"/>
      <c r="K763" s="41"/>
    </row>
    <row r="764">
      <c r="E764" s="41"/>
      <c r="F764" s="41"/>
      <c r="G764" s="41"/>
      <c r="H764" s="41"/>
      <c r="I764" s="41"/>
      <c r="J764" s="41"/>
      <c r="K764" s="41"/>
    </row>
    <row r="765">
      <c r="E765" s="41"/>
      <c r="F765" s="41"/>
      <c r="G765" s="41"/>
      <c r="H765" s="41"/>
      <c r="I765" s="41"/>
      <c r="J765" s="41"/>
      <c r="K765" s="41"/>
    </row>
    <row r="766">
      <c r="E766" s="41"/>
      <c r="F766" s="41"/>
      <c r="G766" s="41"/>
      <c r="H766" s="41"/>
      <c r="I766" s="41"/>
      <c r="J766" s="41"/>
      <c r="K766" s="41"/>
    </row>
    <row r="767">
      <c r="E767" s="41"/>
      <c r="F767" s="41"/>
      <c r="G767" s="41"/>
      <c r="H767" s="41"/>
      <c r="I767" s="41"/>
      <c r="J767" s="41"/>
      <c r="K767" s="41"/>
    </row>
    <row r="768">
      <c r="E768" s="41"/>
      <c r="F768" s="41"/>
      <c r="G768" s="41"/>
      <c r="H768" s="41"/>
      <c r="I768" s="41"/>
      <c r="J768" s="41"/>
      <c r="K768" s="41"/>
    </row>
    <row r="769">
      <c r="E769" s="41"/>
      <c r="F769" s="41"/>
      <c r="G769" s="41"/>
      <c r="H769" s="41"/>
      <c r="I769" s="41"/>
      <c r="J769" s="41"/>
      <c r="K769" s="41"/>
    </row>
    <row r="770">
      <c r="E770" s="41"/>
      <c r="F770" s="41"/>
      <c r="G770" s="41"/>
      <c r="H770" s="41"/>
      <c r="I770" s="41"/>
      <c r="J770" s="41"/>
      <c r="K770" s="41"/>
    </row>
    <row r="771">
      <c r="E771" s="41"/>
      <c r="F771" s="41"/>
      <c r="G771" s="41"/>
      <c r="H771" s="41"/>
      <c r="I771" s="41"/>
      <c r="J771" s="41"/>
      <c r="K771" s="41"/>
    </row>
    <row r="772">
      <c r="E772" s="41"/>
      <c r="F772" s="41"/>
      <c r="G772" s="41"/>
      <c r="H772" s="41"/>
      <c r="I772" s="41"/>
      <c r="J772" s="41"/>
      <c r="K772" s="41"/>
    </row>
    <row r="773">
      <c r="E773" s="41"/>
      <c r="F773" s="41"/>
      <c r="G773" s="41"/>
      <c r="H773" s="41"/>
      <c r="I773" s="41"/>
      <c r="J773" s="41"/>
      <c r="K773" s="41"/>
    </row>
    <row r="774">
      <c r="E774" s="41"/>
      <c r="F774" s="41"/>
      <c r="G774" s="41"/>
      <c r="H774" s="41"/>
      <c r="I774" s="41"/>
      <c r="J774" s="41"/>
      <c r="K774" s="41"/>
    </row>
    <row r="775">
      <c r="E775" s="41"/>
      <c r="F775" s="41"/>
      <c r="G775" s="41"/>
      <c r="H775" s="41"/>
      <c r="I775" s="41"/>
      <c r="J775" s="41"/>
      <c r="K775" s="41"/>
    </row>
    <row r="776">
      <c r="E776" s="41"/>
      <c r="F776" s="41"/>
      <c r="G776" s="41"/>
      <c r="H776" s="41"/>
      <c r="I776" s="41"/>
      <c r="J776" s="41"/>
      <c r="K776" s="41"/>
    </row>
    <row r="777">
      <c r="E777" s="41"/>
      <c r="F777" s="41"/>
      <c r="G777" s="41"/>
      <c r="H777" s="41"/>
      <c r="I777" s="41"/>
      <c r="J777" s="41"/>
      <c r="K777" s="41"/>
    </row>
    <row r="778">
      <c r="E778" s="41"/>
      <c r="F778" s="41"/>
      <c r="G778" s="41"/>
      <c r="H778" s="41"/>
      <c r="I778" s="41"/>
      <c r="J778" s="41"/>
      <c r="K778" s="41"/>
    </row>
    <row r="779">
      <c r="E779" s="41"/>
      <c r="F779" s="41"/>
      <c r="G779" s="41"/>
      <c r="H779" s="41"/>
      <c r="I779" s="41"/>
      <c r="J779" s="41"/>
      <c r="K779" s="41"/>
    </row>
    <row r="780">
      <c r="E780" s="41"/>
      <c r="F780" s="41"/>
      <c r="G780" s="41"/>
      <c r="H780" s="41"/>
      <c r="I780" s="41"/>
      <c r="J780" s="41"/>
      <c r="K780" s="41"/>
    </row>
    <row r="781">
      <c r="E781" s="41"/>
      <c r="F781" s="41"/>
      <c r="G781" s="41"/>
      <c r="H781" s="41"/>
      <c r="I781" s="41"/>
      <c r="J781" s="41"/>
      <c r="K781" s="41"/>
    </row>
    <row r="782">
      <c r="E782" s="41"/>
      <c r="F782" s="41"/>
      <c r="G782" s="41"/>
      <c r="H782" s="41"/>
      <c r="I782" s="41"/>
      <c r="J782" s="41"/>
      <c r="K782" s="41"/>
    </row>
    <row r="783">
      <c r="E783" s="41"/>
      <c r="F783" s="41"/>
      <c r="G783" s="41"/>
      <c r="H783" s="41"/>
      <c r="I783" s="41"/>
      <c r="J783" s="41"/>
      <c r="K783" s="41"/>
    </row>
    <row r="784">
      <c r="E784" s="41"/>
      <c r="F784" s="41"/>
      <c r="G784" s="41"/>
      <c r="H784" s="41"/>
      <c r="I784" s="41"/>
      <c r="J784" s="41"/>
      <c r="K784" s="41"/>
    </row>
    <row r="785">
      <c r="E785" s="41"/>
      <c r="F785" s="41"/>
      <c r="G785" s="41"/>
      <c r="H785" s="41"/>
      <c r="I785" s="41"/>
      <c r="J785" s="41"/>
      <c r="K785" s="41"/>
    </row>
    <row r="786">
      <c r="E786" s="41"/>
      <c r="F786" s="41"/>
      <c r="G786" s="41"/>
      <c r="H786" s="41"/>
      <c r="I786" s="41"/>
      <c r="J786" s="41"/>
      <c r="K786" s="41"/>
    </row>
    <row r="787">
      <c r="E787" s="41"/>
      <c r="F787" s="41"/>
      <c r="G787" s="41"/>
      <c r="H787" s="41"/>
      <c r="I787" s="41"/>
      <c r="J787" s="41"/>
      <c r="K787" s="41"/>
    </row>
    <row r="788">
      <c r="E788" s="41"/>
      <c r="F788" s="41"/>
      <c r="G788" s="41"/>
      <c r="H788" s="41"/>
      <c r="I788" s="41"/>
      <c r="J788" s="41"/>
      <c r="K788" s="41"/>
    </row>
    <row r="789">
      <c r="E789" s="41"/>
      <c r="F789" s="41"/>
      <c r="G789" s="41"/>
      <c r="H789" s="41"/>
      <c r="I789" s="41"/>
      <c r="J789" s="41"/>
      <c r="K789" s="41"/>
    </row>
    <row r="790">
      <c r="E790" s="41"/>
      <c r="F790" s="41"/>
      <c r="G790" s="41"/>
      <c r="H790" s="41"/>
      <c r="I790" s="41"/>
      <c r="J790" s="41"/>
      <c r="K790" s="41"/>
    </row>
    <row r="791">
      <c r="E791" s="41"/>
      <c r="F791" s="41"/>
      <c r="G791" s="41"/>
      <c r="H791" s="41"/>
      <c r="I791" s="41"/>
      <c r="J791" s="41"/>
      <c r="K791" s="41"/>
    </row>
    <row r="792">
      <c r="E792" s="41"/>
      <c r="F792" s="41"/>
      <c r="G792" s="41"/>
      <c r="H792" s="41"/>
      <c r="I792" s="41"/>
      <c r="J792" s="41"/>
      <c r="K792" s="41"/>
    </row>
    <row r="793">
      <c r="E793" s="41"/>
      <c r="F793" s="41"/>
      <c r="G793" s="41"/>
      <c r="H793" s="41"/>
      <c r="I793" s="41"/>
      <c r="J793" s="41"/>
      <c r="K793" s="41"/>
    </row>
    <row r="794">
      <c r="E794" s="41"/>
      <c r="F794" s="41"/>
      <c r="G794" s="41"/>
      <c r="H794" s="41"/>
      <c r="I794" s="41"/>
      <c r="J794" s="41"/>
      <c r="K794" s="41"/>
    </row>
    <row r="795">
      <c r="E795" s="41"/>
      <c r="F795" s="41"/>
      <c r="G795" s="41"/>
      <c r="H795" s="41"/>
      <c r="I795" s="41"/>
      <c r="J795" s="41"/>
      <c r="K795" s="41"/>
    </row>
    <row r="796">
      <c r="E796" s="41"/>
      <c r="F796" s="41"/>
      <c r="G796" s="41"/>
      <c r="H796" s="41"/>
      <c r="I796" s="41"/>
      <c r="J796" s="41"/>
      <c r="K796" s="41"/>
    </row>
    <row r="797">
      <c r="E797" s="41"/>
      <c r="F797" s="41"/>
      <c r="G797" s="41"/>
      <c r="H797" s="41"/>
      <c r="I797" s="41"/>
      <c r="J797" s="41"/>
      <c r="K797" s="41"/>
    </row>
    <row r="798">
      <c r="E798" s="41"/>
      <c r="F798" s="41"/>
      <c r="G798" s="41"/>
      <c r="H798" s="41"/>
      <c r="I798" s="41"/>
      <c r="J798" s="41"/>
      <c r="K798" s="41"/>
    </row>
    <row r="799">
      <c r="E799" s="41"/>
      <c r="F799" s="41"/>
      <c r="G799" s="41"/>
      <c r="H799" s="41"/>
      <c r="I799" s="41"/>
      <c r="J799" s="41"/>
      <c r="K799" s="41"/>
    </row>
    <row r="800">
      <c r="E800" s="41"/>
      <c r="F800" s="41"/>
      <c r="G800" s="41"/>
      <c r="H800" s="41"/>
      <c r="I800" s="41"/>
      <c r="J800" s="41"/>
      <c r="K800" s="41"/>
    </row>
    <row r="801">
      <c r="E801" s="41"/>
      <c r="F801" s="41"/>
      <c r="G801" s="41"/>
      <c r="H801" s="41"/>
      <c r="I801" s="41"/>
      <c r="J801" s="41"/>
      <c r="K801" s="41"/>
    </row>
    <row r="802">
      <c r="E802" s="41"/>
      <c r="F802" s="41"/>
      <c r="G802" s="41"/>
      <c r="H802" s="41"/>
      <c r="I802" s="41"/>
      <c r="J802" s="41"/>
      <c r="K802" s="41"/>
    </row>
    <row r="803">
      <c r="E803" s="41"/>
      <c r="F803" s="41"/>
      <c r="G803" s="41"/>
      <c r="H803" s="41"/>
      <c r="I803" s="41"/>
      <c r="J803" s="41"/>
      <c r="K803" s="41"/>
    </row>
    <row r="804">
      <c r="E804" s="41"/>
      <c r="F804" s="41"/>
      <c r="G804" s="41"/>
      <c r="H804" s="41"/>
      <c r="I804" s="41"/>
      <c r="J804" s="41"/>
      <c r="K804" s="41"/>
    </row>
    <row r="805">
      <c r="E805" s="41"/>
      <c r="F805" s="41"/>
      <c r="G805" s="41"/>
      <c r="H805" s="41"/>
      <c r="I805" s="41"/>
      <c r="J805" s="41"/>
      <c r="K805" s="41"/>
    </row>
    <row r="806">
      <c r="E806" s="41"/>
      <c r="F806" s="41"/>
      <c r="G806" s="41"/>
      <c r="H806" s="41"/>
      <c r="I806" s="41"/>
      <c r="J806" s="41"/>
      <c r="K806" s="41"/>
    </row>
    <row r="807">
      <c r="E807" s="41"/>
      <c r="F807" s="41"/>
      <c r="G807" s="41"/>
      <c r="H807" s="41"/>
      <c r="I807" s="41"/>
      <c r="J807" s="41"/>
      <c r="K807" s="41"/>
    </row>
    <row r="808">
      <c r="E808" s="41"/>
      <c r="F808" s="41"/>
      <c r="G808" s="41"/>
      <c r="H808" s="41"/>
      <c r="I808" s="41"/>
      <c r="J808" s="41"/>
      <c r="K808" s="41"/>
    </row>
    <row r="809">
      <c r="E809" s="41"/>
      <c r="F809" s="41"/>
      <c r="G809" s="41"/>
      <c r="H809" s="41"/>
      <c r="I809" s="41"/>
      <c r="J809" s="41"/>
      <c r="K809" s="41"/>
    </row>
    <row r="810">
      <c r="E810" s="41"/>
      <c r="F810" s="41"/>
      <c r="G810" s="41"/>
      <c r="H810" s="41"/>
      <c r="I810" s="41"/>
      <c r="J810" s="41"/>
      <c r="K810" s="41"/>
    </row>
    <row r="811">
      <c r="E811" s="41"/>
      <c r="F811" s="41"/>
      <c r="G811" s="41"/>
      <c r="H811" s="41"/>
      <c r="I811" s="41"/>
      <c r="J811" s="41"/>
      <c r="K811" s="41"/>
    </row>
    <row r="812">
      <c r="E812" s="41"/>
      <c r="F812" s="41"/>
      <c r="G812" s="41"/>
      <c r="H812" s="41"/>
      <c r="I812" s="41"/>
      <c r="J812" s="41"/>
      <c r="K812" s="41"/>
    </row>
    <row r="813">
      <c r="E813" s="41"/>
      <c r="F813" s="41"/>
      <c r="G813" s="41"/>
      <c r="H813" s="41"/>
      <c r="I813" s="41"/>
      <c r="J813" s="41"/>
      <c r="K813" s="41"/>
    </row>
    <row r="814">
      <c r="E814" s="41"/>
      <c r="F814" s="41"/>
      <c r="G814" s="41"/>
      <c r="H814" s="41"/>
      <c r="I814" s="41"/>
      <c r="J814" s="41"/>
      <c r="K814" s="41"/>
    </row>
    <row r="815">
      <c r="E815" s="41"/>
      <c r="F815" s="41"/>
      <c r="G815" s="41"/>
      <c r="H815" s="41"/>
      <c r="I815" s="41"/>
      <c r="J815" s="41"/>
      <c r="K815" s="41"/>
    </row>
    <row r="816">
      <c r="E816" s="41"/>
      <c r="F816" s="41"/>
      <c r="G816" s="41"/>
      <c r="H816" s="41"/>
      <c r="I816" s="41"/>
      <c r="J816" s="41"/>
      <c r="K816" s="41"/>
    </row>
    <row r="817">
      <c r="E817" s="41"/>
      <c r="F817" s="41"/>
      <c r="G817" s="41"/>
      <c r="H817" s="41"/>
      <c r="I817" s="41"/>
      <c r="J817" s="41"/>
      <c r="K817" s="41"/>
    </row>
    <row r="818">
      <c r="E818" s="41"/>
      <c r="F818" s="41"/>
      <c r="G818" s="41"/>
      <c r="H818" s="41"/>
      <c r="I818" s="41"/>
      <c r="J818" s="41"/>
      <c r="K818" s="41"/>
    </row>
    <row r="819">
      <c r="E819" s="41"/>
      <c r="F819" s="41"/>
      <c r="G819" s="41"/>
      <c r="H819" s="41"/>
      <c r="I819" s="41"/>
      <c r="J819" s="41"/>
      <c r="K819" s="41"/>
    </row>
    <row r="820">
      <c r="E820" s="41"/>
      <c r="F820" s="41"/>
      <c r="G820" s="41"/>
      <c r="H820" s="41"/>
      <c r="I820" s="41"/>
      <c r="J820" s="41"/>
      <c r="K820" s="41"/>
    </row>
    <row r="821">
      <c r="E821" s="41"/>
      <c r="F821" s="41"/>
      <c r="G821" s="41"/>
      <c r="H821" s="41"/>
      <c r="I821" s="41"/>
      <c r="J821" s="41"/>
      <c r="K821" s="41"/>
    </row>
    <row r="822">
      <c r="E822" s="41"/>
      <c r="F822" s="41"/>
      <c r="G822" s="41"/>
      <c r="H822" s="41"/>
      <c r="I822" s="41"/>
      <c r="J822" s="41"/>
      <c r="K822" s="41"/>
    </row>
    <row r="823">
      <c r="E823" s="41"/>
      <c r="F823" s="41"/>
      <c r="G823" s="41"/>
      <c r="H823" s="41"/>
      <c r="I823" s="41"/>
      <c r="J823" s="41"/>
      <c r="K823" s="41"/>
    </row>
    <row r="824">
      <c r="E824" s="41"/>
      <c r="F824" s="41"/>
      <c r="G824" s="41"/>
      <c r="H824" s="41"/>
      <c r="I824" s="41"/>
      <c r="J824" s="41"/>
      <c r="K824" s="41"/>
    </row>
    <row r="825">
      <c r="E825" s="41"/>
      <c r="F825" s="41"/>
      <c r="G825" s="41"/>
      <c r="H825" s="41"/>
      <c r="I825" s="41"/>
      <c r="J825" s="41"/>
      <c r="K825" s="41"/>
    </row>
    <row r="826">
      <c r="E826" s="41"/>
      <c r="F826" s="41"/>
      <c r="G826" s="41"/>
      <c r="H826" s="41"/>
      <c r="I826" s="41"/>
      <c r="J826" s="41"/>
      <c r="K826" s="41"/>
    </row>
    <row r="827">
      <c r="E827" s="41"/>
      <c r="F827" s="41"/>
      <c r="G827" s="41"/>
      <c r="H827" s="41"/>
      <c r="I827" s="41"/>
      <c r="J827" s="41"/>
      <c r="K827" s="41"/>
    </row>
    <row r="828">
      <c r="E828" s="41"/>
      <c r="F828" s="41"/>
      <c r="G828" s="41"/>
      <c r="H828" s="41"/>
      <c r="I828" s="41"/>
      <c r="J828" s="41"/>
      <c r="K828" s="41"/>
    </row>
    <row r="829">
      <c r="E829" s="41"/>
      <c r="F829" s="41"/>
      <c r="G829" s="41"/>
      <c r="H829" s="41"/>
      <c r="I829" s="41"/>
      <c r="J829" s="41"/>
      <c r="K829" s="41"/>
    </row>
    <row r="830">
      <c r="E830" s="41"/>
      <c r="F830" s="41"/>
      <c r="G830" s="41"/>
      <c r="H830" s="41"/>
      <c r="I830" s="41"/>
      <c r="J830" s="41"/>
      <c r="K830" s="41"/>
    </row>
    <row r="831">
      <c r="E831" s="41"/>
      <c r="F831" s="41"/>
      <c r="G831" s="41"/>
      <c r="H831" s="41"/>
      <c r="I831" s="41"/>
      <c r="J831" s="41"/>
      <c r="K831" s="41"/>
    </row>
    <row r="832">
      <c r="E832" s="41"/>
      <c r="F832" s="41"/>
      <c r="G832" s="41"/>
      <c r="H832" s="41"/>
      <c r="I832" s="41"/>
      <c r="J832" s="41"/>
      <c r="K832" s="41"/>
    </row>
    <row r="833">
      <c r="E833" s="41"/>
      <c r="F833" s="41"/>
      <c r="G833" s="41"/>
      <c r="H833" s="41"/>
      <c r="I833" s="41"/>
      <c r="J833" s="41"/>
      <c r="K833" s="41"/>
    </row>
    <row r="834">
      <c r="E834" s="41"/>
      <c r="F834" s="41"/>
      <c r="G834" s="41"/>
      <c r="H834" s="41"/>
      <c r="I834" s="41"/>
      <c r="J834" s="41"/>
      <c r="K834" s="41"/>
    </row>
    <row r="835">
      <c r="E835" s="41"/>
      <c r="F835" s="41"/>
      <c r="G835" s="41"/>
      <c r="H835" s="41"/>
      <c r="I835" s="41"/>
      <c r="J835" s="41"/>
      <c r="K835" s="41"/>
    </row>
    <row r="836">
      <c r="E836" s="41"/>
      <c r="F836" s="41"/>
      <c r="G836" s="41"/>
      <c r="H836" s="41"/>
      <c r="I836" s="41"/>
      <c r="J836" s="41"/>
      <c r="K836" s="41"/>
    </row>
    <row r="837">
      <c r="E837" s="41"/>
      <c r="F837" s="41"/>
      <c r="G837" s="41"/>
      <c r="H837" s="41"/>
      <c r="I837" s="41"/>
      <c r="J837" s="41"/>
      <c r="K837" s="41"/>
    </row>
    <row r="838">
      <c r="E838" s="41"/>
      <c r="F838" s="41"/>
      <c r="G838" s="41"/>
      <c r="H838" s="41"/>
      <c r="I838" s="41"/>
      <c r="J838" s="41"/>
      <c r="K838" s="41"/>
    </row>
    <row r="839">
      <c r="E839" s="41"/>
      <c r="F839" s="41"/>
      <c r="G839" s="41"/>
      <c r="H839" s="41"/>
      <c r="I839" s="41"/>
      <c r="J839" s="41"/>
      <c r="K839" s="41"/>
    </row>
    <row r="840">
      <c r="E840" s="41"/>
      <c r="F840" s="41"/>
      <c r="G840" s="41"/>
      <c r="H840" s="41"/>
      <c r="I840" s="41"/>
      <c r="J840" s="41"/>
      <c r="K840" s="41"/>
    </row>
    <row r="841">
      <c r="E841" s="41"/>
      <c r="F841" s="41"/>
      <c r="G841" s="41"/>
      <c r="H841" s="41"/>
      <c r="I841" s="41"/>
      <c r="J841" s="41"/>
      <c r="K841" s="41"/>
    </row>
    <row r="842">
      <c r="E842" s="41"/>
      <c r="F842" s="41"/>
      <c r="G842" s="41"/>
      <c r="H842" s="41"/>
      <c r="I842" s="41"/>
      <c r="J842" s="41"/>
      <c r="K842" s="41"/>
    </row>
    <row r="843">
      <c r="E843" s="41"/>
      <c r="F843" s="41"/>
      <c r="G843" s="41"/>
      <c r="H843" s="41"/>
      <c r="I843" s="41"/>
      <c r="J843" s="41"/>
      <c r="K843" s="41"/>
    </row>
    <row r="844">
      <c r="E844" s="41"/>
      <c r="F844" s="41"/>
      <c r="G844" s="41"/>
      <c r="H844" s="41"/>
      <c r="I844" s="41"/>
      <c r="J844" s="41"/>
      <c r="K844" s="41"/>
    </row>
    <row r="845">
      <c r="E845" s="41"/>
      <c r="F845" s="41"/>
      <c r="G845" s="41"/>
      <c r="H845" s="41"/>
      <c r="I845" s="41"/>
      <c r="J845" s="41"/>
      <c r="K845" s="41"/>
    </row>
    <row r="846">
      <c r="E846" s="41"/>
      <c r="F846" s="41"/>
      <c r="G846" s="41"/>
      <c r="H846" s="41"/>
      <c r="I846" s="41"/>
      <c r="J846" s="41"/>
      <c r="K846" s="41"/>
    </row>
    <row r="847">
      <c r="E847" s="41"/>
      <c r="F847" s="41"/>
      <c r="G847" s="41"/>
      <c r="H847" s="41"/>
      <c r="I847" s="41"/>
      <c r="J847" s="41"/>
      <c r="K847" s="41"/>
    </row>
    <row r="848">
      <c r="E848" s="41"/>
      <c r="F848" s="41"/>
      <c r="G848" s="41"/>
      <c r="H848" s="41"/>
      <c r="I848" s="41"/>
      <c r="J848" s="41"/>
      <c r="K848" s="41"/>
    </row>
    <row r="849">
      <c r="E849" s="41"/>
      <c r="F849" s="41"/>
      <c r="G849" s="41"/>
      <c r="H849" s="41"/>
      <c r="I849" s="41"/>
      <c r="J849" s="41"/>
      <c r="K849" s="41"/>
    </row>
    <row r="850">
      <c r="E850" s="41"/>
      <c r="F850" s="41"/>
      <c r="G850" s="41"/>
      <c r="H850" s="41"/>
      <c r="I850" s="41"/>
      <c r="J850" s="41"/>
      <c r="K850" s="41"/>
    </row>
    <row r="851">
      <c r="E851" s="41"/>
      <c r="F851" s="41"/>
      <c r="G851" s="41"/>
      <c r="H851" s="41"/>
      <c r="I851" s="41"/>
      <c r="J851" s="41"/>
      <c r="K851" s="41"/>
    </row>
    <row r="852">
      <c r="E852" s="41"/>
      <c r="F852" s="41"/>
      <c r="G852" s="41"/>
      <c r="H852" s="41"/>
      <c r="I852" s="41"/>
      <c r="J852" s="41"/>
      <c r="K852" s="41"/>
    </row>
    <row r="853">
      <c r="E853" s="41"/>
      <c r="F853" s="41"/>
      <c r="G853" s="41"/>
      <c r="H853" s="41"/>
      <c r="I853" s="41"/>
      <c r="J853" s="41"/>
      <c r="K853" s="41"/>
    </row>
    <row r="854">
      <c r="E854" s="41"/>
      <c r="F854" s="41"/>
      <c r="G854" s="41"/>
      <c r="H854" s="41"/>
      <c r="I854" s="41"/>
      <c r="J854" s="41"/>
      <c r="K854" s="41"/>
    </row>
    <row r="855">
      <c r="E855" s="41"/>
      <c r="F855" s="41"/>
      <c r="G855" s="41"/>
      <c r="H855" s="41"/>
      <c r="I855" s="41"/>
      <c r="J855" s="41"/>
      <c r="K855" s="41"/>
    </row>
    <row r="856">
      <c r="E856" s="41"/>
      <c r="F856" s="41"/>
      <c r="G856" s="41"/>
      <c r="H856" s="41"/>
      <c r="I856" s="41"/>
      <c r="J856" s="41"/>
      <c r="K856" s="41"/>
    </row>
    <row r="857">
      <c r="E857" s="41"/>
      <c r="F857" s="41"/>
      <c r="G857" s="41"/>
      <c r="H857" s="41"/>
      <c r="I857" s="41"/>
      <c r="J857" s="41"/>
      <c r="K857" s="41"/>
    </row>
    <row r="858">
      <c r="E858" s="41"/>
      <c r="F858" s="41"/>
      <c r="G858" s="41"/>
      <c r="H858" s="41"/>
      <c r="I858" s="41"/>
      <c r="J858" s="41"/>
      <c r="K858" s="41"/>
    </row>
    <row r="859">
      <c r="E859" s="41"/>
      <c r="F859" s="41"/>
      <c r="G859" s="41"/>
      <c r="H859" s="41"/>
      <c r="I859" s="41"/>
      <c r="J859" s="41"/>
      <c r="K859" s="41"/>
    </row>
    <row r="860">
      <c r="E860" s="41"/>
      <c r="F860" s="41"/>
      <c r="G860" s="41"/>
      <c r="H860" s="41"/>
      <c r="I860" s="41"/>
      <c r="J860" s="41"/>
      <c r="K860" s="41"/>
    </row>
    <row r="861">
      <c r="E861" s="41"/>
      <c r="F861" s="41"/>
      <c r="G861" s="41"/>
      <c r="H861" s="41"/>
      <c r="I861" s="41"/>
      <c r="J861" s="41"/>
      <c r="K861" s="41"/>
    </row>
    <row r="862">
      <c r="E862" s="41"/>
      <c r="F862" s="41"/>
      <c r="G862" s="41"/>
      <c r="H862" s="41"/>
      <c r="I862" s="41"/>
      <c r="J862" s="41"/>
      <c r="K862" s="41"/>
    </row>
    <row r="863">
      <c r="E863" s="41"/>
      <c r="F863" s="41"/>
      <c r="G863" s="41"/>
      <c r="H863" s="41"/>
      <c r="I863" s="41"/>
      <c r="J863" s="41"/>
      <c r="K863" s="41"/>
    </row>
    <row r="864">
      <c r="E864" s="41"/>
      <c r="F864" s="41"/>
      <c r="G864" s="41"/>
      <c r="H864" s="41"/>
      <c r="I864" s="41"/>
      <c r="J864" s="41"/>
      <c r="K864" s="41"/>
    </row>
    <row r="865">
      <c r="E865" s="41"/>
      <c r="F865" s="41"/>
      <c r="G865" s="41"/>
      <c r="H865" s="41"/>
      <c r="I865" s="41"/>
      <c r="J865" s="41"/>
      <c r="K865" s="41"/>
    </row>
    <row r="866">
      <c r="E866" s="41"/>
      <c r="F866" s="41"/>
      <c r="G866" s="41"/>
      <c r="H866" s="41"/>
      <c r="I866" s="41"/>
      <c r="J866" s="41"/>
      <c r="K866" s="41"/>
    </row>
    <row r="867">
      <c r="E867" s="41"/>
      <c r="F867" s="41"/>
      <c r="G867" s="41"/>
      <c r="H867" s="41"/>
      <c r="I867" s="41"/>
      <c r="J867" s="41"/>
      <c r="K867" s="41"/>
    </row>
    <row r="868">
      <c r="E868" s="41"/>
      <c r="F868" s="41"/>
      <c r="G868" s="41"/>
      <c r="H868" s="41"/>
      <c r="I868" s="41"/>
      <c r="J868" s="41"/>
      <c r="K868" s="41"/>
    </row>
    <row r="869">
      <c r="E869" s="41"/>
      <c r="F869" s="41"/>
      <c r="G869" s="41"/>
      <c r="H869" s="41"/>
      <c r="I869" s="41"/>
      <c r="J869" s="41"/>
      <c r="K869" s="41"/>
    </row>
    <row r="870">
      <c r="E870" s="41"/>
      <c r="F870" s="41"/>
      <c r="G870" s="41"/>
      <c r="H870" s="41"/>
      <c r="I870" s="41"/>
      <c r="J870" s="41"/>
      <c r="K870" s="41"/>
    </row>
    <row r="871">
      <c r="E871" s="41"/>
      <c r="F871" s="41"/>
      <c r="G871" s="41"/>
      <c r="H871" s="41"/>
      <c r="I871" s="41"/>
      <c r="J871" s="41"/>
      <c r="K871" s="41"/>
    </row>
    <row r="872">
      <c r="E872" s="41"/>
      <c r="F872" s="41"/>
      <c r="G872" s="41"/>
      <c r="H872" s="41"/>
      <c r="I872" s="41"/>
      <c r="J872" s="41"/>
      <c r="K872" s="41"/>
    </row>
    <row r="873">
      <c r="E873" s="41"/>
      <c r="F873" s="41"/>
      <c r="G873" s="41"/>
      <c r="H873" s="41"/>
      <c r="I873" s="41"/>
      <c r="J873" s="41"/>
      <c r="K873" s="41"/>
    </row>
    <row r="874">
      <c r="E874" s="41"/>
      <c r="F874" s="41"/>
      <c r="G874" s="41"/>
      <c r="H874" s="41"/>
      <c r="I874" s="41"/>
      <c r="J874" s="41"/>
      <c r="K874" s="41"/>
    </row>
    <row r="875">
      <c r="E875" s="41"/>
      <c r="F875" s="41"/>
      <c r="G875" s="41"/>
      <c r="H875" s="41"/>
      <c r="I875" s="41"/>
      <c r="J875" s="41"/>
      <c r="K875" s="41"/>
    </row>
    <row r="876">
      <c r="E876" s="41"/>
      <c r="F876" s="41"/>
      <c r="G876" s="41"/>
      <c r="H876" s="41"/>
      <c r="I876" s="41"/>
      <c r="J876" s="41"/>
      <c r="K876" s="41"/>
    </row>
    <row r="877">
      <c r="E877" s="41"/>
      <c r="F877" s="41"/>
      <c r="G877" s="41"/>
      <c r="H877" s="41"/>
      <c r="I877" s="41"/>
      <c r="J877" s="41"/>
      <c r="K877" s="41"/>
    </row>
    <row r="878">
      <c r="E878" s="41"/>
      <c r="F878" s="41"/>
      <c r="G878" s="41"/>
      <c r="H878" s="41"/>
      <c r="I878" s="41"/>
      <c r="J878" s="41"/>
      <c r="K878" s="41"/>
    </row>
    <row r="879">
      <c r="E879" s="41"/>
      <c r="F879" s="41"/>
      <c r="G879" s="41"/>
      <c r="H879" s="41"/>
      <c r="I879" s="41"/>
      <c r="J879" s="41"/>
      <c r="K879" s="41"/>
    </row>
    <row r="880">
      <c r="E880" s="41"/>
      <c r="F880" s="41"/>
      <c r="G880" s="41"/>
      <c r="H880" s="41"/>
      <c r="I880" s="41"/>
      <c r="J880" s="41"/>
      <c r="K880" s="41"/>
    </row>
    <row r="881">
      <c r="E881" s="41"/>
      <c r="F881" s="41"/>
      <c r="G881" s="41"/>
      <c r="H881" s="41"/>
      <c r="I881" s="41"/>
      <c r="J881" s="41"/>
      <c r="K881" s="41"/>
    </row>
    <row r="882">
      <c r="E882" s="41"/>
      <c r="F882" s="41"/>
      <c r="G882" s="41"/>
      <c r="H882" s="41"/>
      <c r="I882" s="41"/>
      <c r="J882" s="41"/>
      <c r="K882" s="41"/>
    </row>
    <row r="883">
      <c r="E883" s="41"/>
      <c r="F883" s="41"/>
      <c r="G883" s="41"/>
      <c r="H883" s="41"/>
      <c r="I883" s="41"/>
      <c r="J883" s="41"/>
      <c r="K883" s="41"/>
    </row>
    <row r="884">
      <c r="E884" s="41"/>
      <c r="F884" s="41"/>
      <c r="G884" s="41"/>
      <c r="H884" s="41"/>
      <c r="I884" s="41"/>
      <c r="J884" s="41"/>
      <c r="K884" s="41"/>
    </row>
    <row r="885">
      <c r="E885" s="41"/>
      <c r="F885" s="41"/>
      <c r="G885" s="41"/>
      <c r="H885" s="41"/>
      <c r="I885" s="41"/>
      <c r="J885" s="41"/>
      <c r="K885" s="41"/>
    </row>
    <row r="886">
      <c r="E886" s="41"/>
      <c r="F886" s="41"/>
      <c r="G886" s="41"/>
      <c r="H886" s="41"/>
      <c r="I886" s="41"/>
      <c r="J886" s="41"/>
      <c r="K886" s="41"/>
    </row>
    <row r="887">
      <c r="E887" s="41"/>
      <c r="F887" s="41"/>
      <c r="G887" s="41"/>
      <c r="H887" s="41"/>
      <c r="I887" s="41"/>
      <c r="J887" s="41"/>
      <c r="K887" s="41"/>
    </row>
    <row r="888">
      <c r="E888" s="41"/>
      <c r="F888" s="41"/>
      <c r="G888" s="41"/>
      <c r="H888" s="41"/>
      <c r="I888" s="41"/>
      <c r="J888" s="41"/>
      <c r="K888" s="41"/>
    </row>
    <row r="889">
      <c r="E889" s="41"/>
      <c r="F889" s="41"/>
      <c r="G889" s="41"/>
      <c r="H889" s="41"/>
      <c r="I889" s="41"/>
      <c r="J889" s="41"/>
      <c r="K889" s="41"/>
    </row>
    <row r="890">
      <c r="E890" s="41"/>
      <c r="F890" s="41"/>
      <c r="G890" s="41"/>
      <c r="H890" s="41"/>
      <c r="I890" s="41"/>
      <c r="J890" s="41"/>
      <c r="K890" s="41"/>
    </row>
    <row r="891">
      <c r="E891" s="41"/>
      <c r="F891" s="41"/>
      <c r="G891" s="41"/>
      <c r="H891" s="41"/>
      <c r="I891" s="41"/>
      <c r="J891" s="41"/>
      <c r="K891" s="41"/>
    </row>
    <row r="892">
      <c r="E892" s="41"/>
      <c r="F892" s="41"/>
      <c r="G892" s="41"/>
      <c r="H892" s="41"/>
      <c r="I892" s="41"/>
      <c r="J892" s="41"/>
      <c r="K892" s="41"/>
    </row>
    <row r="893">
      <c r="E893" s="41"/>
      <c r="F893" s="41"/>
      <c r="G893" s="41"/>
      <c r="H893" s="41"/>
      <c r="I893" s="41"/>
      <c r="J893" s="41"/>
      <c r="K893" s="41"/>
    </row>
    <row r="894">
      <c r="E894" s="41"/>
      <c r="F894" s="41"/>
      <c r="G894" s="41"/>
      <c r="H894" s="41"/>
      <c r="I894" s="41"/>
      <c r="J894" s="41"/>
      <c r="K894" s="41"/>
    </row>
    <row r="895">
      <c r="E895" s="41"/>
      <c r="F895" s="41"/>
      <c r="G895" s="41"/>
      <c r="H895" s="41"/>
      <c r="I895" s="41"/>
      <c r="J895" s="41"/>
      <c r="K895" s="41"/>
    </row>
    <row r="896">
      <c r="E896" s="41"/>
      <c r="F896" s="41"/>
      <c r="G896" s="41"/>
      <c r="H896" s="41"/>
      <c r="I896" s="41"/>
      <c r="J896" s="41"/>
      <c r="K896" s="41"/>
    </row>
    <row r="897">
      <c r="E897" s="41"/>
      <c r="F897" s="41"/>
      <c r="G897" s="41"/>
      <c r="H897" s="41"/>
      <c r="I897" s="41"/>
      <c r="J897" s="41"/>
      <c r="K897" s="41"/>
    </row>
    <row r="898">
      <c r="E898" s="41"/>
      <c r="F898" s="41"/>
      <c r="G898" s="41"/>
      <c r="H898" s="41"/>
      <c r="I898" s="41"/>
      <c r="J898" s="41"/>
      <c r="K898" s="41"/>
    </row>
    <row r="899">
      <c r="E899" s="41"/>
      <c r="F899" s="41"/>
      <c r="G899" s="41"/>
      <c r="H899" s="41"/>
      <c r="I899" s="41"/>
      <c r="J899" s="41"/>
      <c r="K899" s="41"/>
    </row>
    <row r="900">
      <c r="E900" s="41"/>
      <c r="F900" s="41"/>
      <c r="G900" s="41"/>
      <c r="H900" s="41"/>
      <c r="I900" s="41"/>
      <c r="J900" s="41"/>
      <c r="K900" s="41"/>
    </row>
    <row r="901">
      <c r="E901" s="41"/>
      <c r="F901" s="41"/>
      <c r="G901" s="41"/>
      <c r="H901" s="41"/>
      <c r="I901" s="41"/>
      <c r="J901" s="41"/>
      <c r="K901" s="41"/>
    </row>
    <row r="902">
      <c r="E902" s="41"/>
      <c r="F902" s="41"/>
      <c r="G902" s="41"/>
      <c r="H902" s="41"/>
      <c r="I902" s="41"/>
      <c r="J902" s="41"/>
      <c r="K902" s="41"/>
    </row>
    <row r="903">
      <c r="E903" s="41"/>
      <c r="F903" s="41"/>
      <c r="G903" s="41"/>
      <c r="H903" s="41"/>
      <c r="I903" s="41"/>
      <c r="J903" s="41"/>
      <c r="K903" s="41"/>
    </row>
    <row r="904">
      <c r="E904" s="41"/>
      <c r="F904" s="41"/>
      <c r="G904" s="41"/>
      <c r="H904" s="41"/>
      <c r="I904" s="41"/>
      <c r="J904" s="41"/>
      <c r="K904" s="41"/>
    </row>
    <row r="905">
      <c r="E905" s="41"/>
      <c r="F905" s="41"/>
      <c r="G905" s="41"/>
      <c r="H905" s="41"/>
      <c r="I905" s="41"/>
      <c r="J905" s="41"/>
      <c r="K905" s="41"/>
    </row>
    <row r="906">
      <c r="E906" s="41"/>
      <c r="F906" s="41"/>
      <c r="G906" s="41"/>
      <c r="H906" s="41"/>
      <c r="I906" s="41"/>
      <c r="J906" s="41"/>
      <c r="K906" s="41"/>
    </row>
    <row r="907">
      <c r="E907" s="41"/>
      <c r="F907" s="41"/>
      <c r="G907" s="41"/>
      <c r="H907" s="41"/>
      <c r="I907" s="41"/>
      <c r="J907" s="41"/>
      <c r="K907" s="41"/>
    </row>
    <row r="908">
      <c r="E908" s="41"/>
      <c r="F908" s="41"/>
      <c r="G908" s="41"/>
      <c r="H908" s="41"/>
      <c r="I908" s="41"/>
      <c r="J908" s="41"/>
      <c r="K908" s="41"/>
    </row>
    <row r="909">
      <c r="E909" s="41"/>
      <c r="F909" s="41"/>
      <c r="G909" s="41"/>
      <c r="H909" s="41"/>
      <c r="I909" s="41"/>
      <c r="J909" s="41"/>
      <c r="K909" s="41"/>
    </row>
    <row r="910">
      <c r="E910" s="41"/>
      <c r="F910" s="41"/>
      <c r="G910" s="41"/>
      <c r="H910" s="41"/>
      <c r="I910" s="41"/>
      <c r="J910" s="41"/>
      <c r="K910" s="41"/>
    </row>
    <row r="911">
      <c r="E911" s="41"/>
      <c r="F911" s="41"/>
      <c r="G911" s="41"/>
      <c r="H911" s="41"/>
      <c r="I911" s="41"/>
      <c r="J911" s="41"/>
      <c r="K911" s="41"/>
    </row>
    <row r="912">
      <c r="E912" s="41"/>
      <c r="F912" s="41"/>
      <c r="G912" s="41"/>
      <c r="H912" s="41"/>
      <c r="I912" s="41"/>
      <c r="J912" s="41"/>
      <c r="K912" s="41"/>
    </row>
    <row r="913">
      <c r="E913" s="41"/>
      <c r="F913" s="41"/>
      <c r="G913" s="41"/>
      <c r="H913" s="41"/>
      <c r="I913" s="41"/>
      <c r="J913" s="41"/>
      <c r="K913" s="41"/>
    </row>
    <row r="914">
      <c r="E914" s="41"/>
      <c r="F914" s="41"/>
      <c r="G914" s="41"/>
      <c r="H914" s="41"/>
      <c r="I914" s="41"/>
      <c r="J914" s="41"/>
      <c r="K914" s="41"/>
    </row>
    <row r="915">
      <c r="E915" s="41"/>
      <c r="F915" s="41"/>
      <c r="G915" s="41"/>
      <c r="H915" s="41"/>
      <c r="I915" s="41"/>
      <c r="J915" s="41"/>
      <c r="K915" s="41"/>
    </row>
    <row r="916">
      <c r="E916" s="41"/>
      <c r="F916" s="41"/>
      <c r="G916" s="41"/>
      <c r="H916" s="41"/>
      <c r="I916" s="41"/>
      <c r="J916" s="41"/>
      <c r="K916" s="41"/>
    </row>
    <row r="917">
      <c r="E917" s="41"/>
      <c r="F917" s="41"/>
      <c r="G917" s="41"/>
      <c r="H917" s="41"/>
      <c r="I917" s="41"/>
      <c r="J917" s="41"/>
      <c r="K917" s="41"/>
    </row>
    <row r="918">
      <c r="E918" s="41"/>
      <c r="F918" s="41"/>
      <c r="G918" s="41"/>
      <c r="H918" s="41"/>
      <c r="I918" s="41"/>
      <c r="J918" s="41"/>
      <c r="K918" s="41"/>
    </row>
    <row r="919">
      <c r="E919" s="41"/>
      <c r="F919" s="41"/>
      <c r="G919" s="41"/>
      <c r="H919" s="41"/>
      <c r="I919" s="41"/>
      <c r="J919" s="41"/>
      <c r="K919" s="41"/>
    </row>
    <row r="920">
      <c r="E920" s="41"/>
      <c r="F920" s="41"/>
      <c r="G920" s="41"/>
      <c r="H920" s="41"/>
      <c r="I920" s="41"/>
      <c r="J920" s="41"/>
      <c r="K920" s="41"/>
    </row>
    <row r="921">
      <c r="E921" s="41"/>
      <c r="F921" s="41"/>
      <c r="G921" s="41"/>
      <c r="H921" s="41"/>
      <c r="I921" s="41"/>
      <c r="J921" s="41"/>
      <c r="K921" s="41"/>
    </row>
    <row r="922">
      <c r="E922" s="41"/>
      <c r="F922" s="41"/>
      <c r="G922" s="41"/>
      <c r="H922" s="41"/>
      <c r="I922" s="41"/>
      <c r="J922" s="41"/>
      <c r="K922" s="41"/>
    </row>
    <row r="923">
      <c r="E923" s="41"/>
      <c r="F923" s="41"/>
      <c r="G923" s="41"/>
      <c r="H923" s="41"/>
      <c r="I923" s="41"/>
      <c r="J923" s="41"/>
      <c r="K923" s="41"/>
    </row>
    <row r="924">
      <c r="E924" s="41"/>
      <c r="F924" s="41"/>
      <c r="G924" s="41"/>
      <c r="H924" s="41"/>
      <c r="I924" s="41"/>
      <c r="J924" s="41"/>
      <c r="K924" s="41"/>
    </row>
    <row r="925">
      <c r="E925" s="41"/>
      <c r="F925" s="41"/>
      <c r="G925" s="41"/>
      <c r="H925" s="41"/>
      <c r="I925" s="41"/>
      <c r="J925" s="41"/>
      <c r="K925" s="41"/>
    </row>
    <row r="926">
      <c r="E926" s="41"/>
      <c r="F926" s="41"/>
      <c r="G926" s="41"/>
      <c r="H926" s="41"/>
      <c r="I926" s="41"/>
      <c r="J926" s="41"/>
      <c r="K926" s="41"/>
    </row>
    <row r="927">
      <c r="E927" s="41"/>
      <c r="F927" s="41"/>
      <c r="G927" s="41"/>
      <c r="H927" s="41"/>
      <c r="I927" s="41"/>
      <c r="J927" s="41"/>
      <c r="K927" s="41"/>
    </row>
    <row r="928">
      <c r="E928" s="41"/>
      <c r="F928" s="41"/>
      <c r="G928" s="41"/>
      <c r="H928" s="41"/>
      <c r="I928" s="41"/>
      <c r="J928" s="41"/>
      <c r="K928" s="41"/>
    </row>
    <row r="929">
      <c r="E929" s="41"/>
      <c r="F929" s="41"/>
      <c r="G929" s="41"/>
      <c r="H929" s="41"/>
      <c r="I929" s="41"/>
      <c r="J929" s="41"/>
      <c r="K929" s="41"/>
    </row>
    <row r="930">
      <c r="E930" s="41"/>
      <c r="F930" s="41"/>
      <c r="G930" s="41"/>
      <c r="H930" s="41"/>
      <c r="I930" s="41"/>
      <c r="J930" s="41"/>
      <c r="K930" s="41"/>
    </row>
    <row r="931">
      <c r="E931" s="41"/>
      <c r="F931" s="41"/>
      <c r="G931" s="41"/>
      <c r="H931" s="41"/>
      <c r="I931" s="41"/>
      <c r="J931" s="41"/>
      <c r="K931" s="41"/>
    </row>
    <row r="932">
      <c r="E932" s="41"/>
      <c r="F932" s="41"/>
      <c r="G932" s="41"/>
      <c r="H932" s="41"/>
      <c r="I932" s="41"/>
      <c r="J932" s="41"/>
      <c r="K932" s="41"/>
    </row>
    <row r="933">
      <c r="E933" s="41"/>
      <c r="F933" s="41"/>
      <c r="G933" s="41"/>
      <c r="H933" s="41"/>
      <c r="I933" s="41"/>
      <c r="J933" s="41"/>
      <c r="K933" s="41"/>
    </row>
    <row r="934">
      <c r="E934" s="41"/>
      <c r="F934" s="41"/>
      <c r="G934" s="41"/>
      <c r="H934" s="41"/>
      <c r="I934" s="41"/>
      <c r="J934" s="41"/>
      <c r="K934" s="41"/>
    </row>
    <row r="935">
      <c r="E935" s="41"/>
      <c r="F935" s="41"/>
      <c r="G935" s="41"/>
      <c r="H935" s="41"/>
      <c r="I935" s="41"/>
      <c r="J935" s="41"/>
      <c r="K935" s="41"/>
    </row>
    <row r="936">
      <c r="E936" s="41"/>
      <c r="F936" s="41"/>
      <c r="G936" s="41"/>
      <c r="H936" s="41"/>
      <c r="I936" s="41"/>
      <c r="J936" s="41"/>
      <c r="K936" s="41"/>
    </row>
    <row r="937">
      <c r="E937" s="41"/>
      <c r="F937" s="41"/>
      <c r="G937" s="41"/>
      <c r="H937" s="41"/>
      <c r="I937" s="41"/>
      <c r="J937" s="41"/>
      <c r="K937" s="41"/>
    </row>
    <row r="938">
      <c r="E938" s="41"/>
      <c r="F938" s="41"/>
      <c r="G938" s="41"/>
      <c r="H938" s="41"/>
      <c r="I938" s="41"/>
      <c r="J938" s="41"/>
      <c r="K938" s="41"/>
    </row>
    <row r="939">
      <c r="E939" s="41"/>
      <c r="F939" s="41"/>
      <c r="G939" s="41"/>
      <c r="H939" s="41"/>
      <c r="I939" s="41"/>
      <c r="J939" s="41"/>
      <c r="K939" s="41"/>
    </row>
    <row r="940">
      <c r="E940" s="41"/>
      <c r="F940" s="41"/>
      <c r="G940" s="41"/>
      <c r="H940" s="41"/>
      <c r="I940" s="41"/>
      <c r="J940" s="41"/>
      <c r="K940" s="41"/>
    </row>
    <row r="941">
      <c r="E941" s="41"/>
      <c r="F941" s="41"/>
      <c r="G941" s="41"/>
      <c r="H941" s="41"/>
      <c r="I941" s="41"/>
      <c r="J941" s="41"/>
      <c r="K941" s="41"/>
    </row>
    <row r="942">
      <c r="E942" s="41"/>
      <c r="F942" s="41"/>
      <c r="G942" s="41"/>
      <c r="H942" s="41"/>
      <c r="I942" s="41"/>
      <c r="J942" s="41"/>
      <c r="K942" s="41"/>
    </row>
    <row r="943">
      <c r="E943" s="41"/>
      <c r="F943" s="41"/>
      <c r="G943" s="41"/>
      <c r="H943" s="41"/>
      <c r="I943" s="41"/>
      <c r="J943" s="41"/>
      <c r="K943" s="41"/>
    </row>
    <row r="944">
      <c r="E944" s="41"/>
      <c r="F944" s="41"/>
      <c r="G944" s="41"/>
      <c r="H944" s="41"/>
      <c r="I944" s="41"/>
      <c r="J944" s="41"/>
      <c r="K944" s="41"/>
    </row>
    <row r="945">
      <c r="E945" s="41"/>
      <c r="F945" s="41"/>
      <c r="G945" s="41"/>
      <c r="H945" s="41"/>
      <c r="I945" s="41"/>
      <c r="J945" s="41"/>
      <c r="K945" s="41"/>
    </row>
    <row r="946">
      <c r="E946" s="41"/>
      <c r="F946" s="41"/>
      <c r="G946" s="41"/>
      <c r="H946" s="41"/>
      <c r="I946" s="41"/>
      <c r="J946" s="41"/>
      <c r="K946" s="41"/>
    </row>
    <row r="947">
      <c r="E947" s="41"/>
      <c r="F947" s="41"/>
      <c r="G947" s="41"/>
      <c r="H947" s="41"/>
      <c r="I947" s="41"/>
      <c r="J947" s="41"/>
      <c r="K947" s="41"/>
    </row>
    <row r="948">
      <c r="E948" s="41"/>
      <c r="F948" s="41"/>
      <c r="G948" s="41"/>
      <c r="H948" s="41"/>
      <c r="I948" s="41"/>
      <c r="J948" s="41"/>
      <c r="K948" s="41"/>
    </row>
    <row r="949">
      <c r="E949" s="41"/>
      <c r="F949" s="41"/>
      <c r="G949" s="41"/>
      <c r="H949" s="41"/>
      <c r="I949" s="41"/>
      <c r="J949" s="41"/>
      <c r="K949" s="41"/>
    </row>
    <row r="950">
      <c r="E950" s="41"/>
      <c r="F950" s="41"/>
      <c r="G950" s="41"/>
      <c r="H950" s="41"/>
      <c r="I950" s="41"/>
      <c r="J950" s="41"/>
      <c r="K950" s="41"/>
    </row>
    <row r="951">
      <c r="E951" s="41"/>
      <c r="F951" s="41"/>
      <c r="G951" s="41"/>
      <c r="H951" s="41"/>
      <c r="I951" s="41"/>
      <c r="J951" s="41"/>
      <c r="K951" s="41"/>
    </row>
    <row r="952">
      <c r="E952" s="41"/>
      <c r="F952" s="41"/>
      <c r="G952" s="41"/>
      <c r="H952" s="41"/>
      <c r="I952" s="41"/>
      <c r="J952" s="41"/>
      <c r="K952" s="41"/>
    </row>
    <row r="953">
      <c r="E953" s="41"/>
      <c r="F953" s="41"/>
      <c r="G953" s="41"/>
      <c r="H953" s="41"/>
      <c r="I953" s="41"/>
      <c r="J953" s="41"/>
      <c r="K953" s="41"/>
    </row>
    <row r="954">
      <c r="E954" s="41"/>
      <c r="F954" s="41"/>
      <c r="G954" s="41"/>
      <c r="H954" s="41"/>
      <c r="I954" s="41"/>
      <c r="J954" s="41"/>
      <c r="K954" s="41"/>
    </row>
    <row r="955">
      <c r="E955" s="41"/>
      <c r="F955" s="41"/>
      <c r="G955" s="41"/>
      <c r="H955" s="41"/>
      <c r="I955" s="41"/>
      <c r="J955" s="41"/>
      <c r="K955" s="41"/>
    </row>
    <row r="956">
      <c r="E956" s="41"/>
      <c r="F956" s="41"/>
      <c r="G956" s="41"/>
      <c r="H956" s="41"/>
      <c r="I956" s="41"/>
      <c r="J956" s="41"/>
      <c r="K956" s="41"/>
    </row>
    <row r="957">
      <c r="E957" s="41"/>
      <c r="F957" s="41"/>
      <c r="G957" s="41"/>
      <c r="H957" s="41"/>
      <c r="I957" s="41"/>
      <c r="J957" s="41"/>
      <c r="K957" s="41"/>
    </row>
    <row r="958">
      <c r="E958" s="41"/>
      <c r="F958" s="41"/>
      <c r="G958" s="41"/>
      <c r="H958" s="41"/>
      <c r="I958" s="41"/>
      <c r="J958" s="41"/>
      <c r="K958" s="41"/>
    </row>
    <row r="959">
      <c r="E959" s="41"/>
      <c r="F959" s="41"/>
      <c r="G959" s="41"/>
      <c r="H959" s="41"/>
      <c r="I959" s="41"/>
      <c r="J959" s="41"/>
      <c r="K959" s="41"/>
    </row>
    <row r="960">
      <c r="E960" s="41"/>
      <c r="F960" s="41"/>
      <c r="G960" s="41"/>
      <c r="H960" s="41"/>
      <c r="I960" s="41"/>
      <c r="J960" s="41"/>
      <c r="K960" s="41"/>
    </row>
    <row r="961">
      <c r="E961" s="41"/>
      <c r="F961" s="41"/>
      <c r="G961" s="41"/>
      <c r="H961" s="41"/>
      <c r="I961" s="41"/>
      <c r="J961" s="41"/>
      <c r="K961" s="41"/>
    </row>
    <row r="962">
      <c r="E962" s="41"/>
      <c r="F962" s="41"/>
      <c r="G962" s="41"/>
      <c r="H962" s="41"/>
      <c r="I962" s="41"/>
      <c r="J962" s="41"/>
      <c r="K962" s="41"/>
    </row>
    <row r="963">
      <c r="E963" s="41"/>
      <c r="F963" s="41"/>
      <c r="G963" s="41"/>
      <c r="H963" s="41"/>
      <c r="I963" s="41"/>
      <c r="J963" s="41"/>
      <c r="K963" s="41"/>
    </row>
    <row r="964">
      <c r="E964" s="41"/>
      <c r="F964" s="41"/>
      <c r="G964" s="41"/>
      <c r="H964" s="41"/>
      <c r="I964" s="41"/>
      <c r="J964" s="41"/>
      <c r="K964" s="41"/>
    </row>
    <row r="965">
      <c r="E965" s="41"/>
      <c r="F965" s="41"/>
      <c r="G965" s="41"/>
      <c r="H965" s="41"/>
      <c r="I965" s="41"/>
      <c r="J965" s="41"/>
      <c r="K965" s="41"/>
    </row>
    <row r="966">
      <c r="E966" s="41"/>
      <c r="F966" s="41"/>
      <c r="G966" s="41"/>
      <c r="H966" s="41"/>
      <c r="I966" s="41"/>
      <c r="J966" s="41"/>
      <c r="K966" s="41"/>
    </row>
    <row r="967">
      <c r="E967" s="41"/>
      <c r="F967" s="41"/>
      <c r="G967" s="41"/>
      <c r="H967" s="41"/>
      <c r="I967" s="41"/>
      <c r="J967" s="41"/>
      <c r="K967" s="41"/>
    </row>
    <row r="968">
      <c r="E968" s="41"/>
      <c r="F968" s="41"/>
      <c r="G968" s="41"/>
      <c r="H968" s="41"/>
      <c r="I968" s="41"/>
      <c r="J968" s="41"/>
      <c r="K968" s="41"/>
    </row>
    <row r="969">
      <c r="E969" s="41"/>
      <c r="F969" s="41"/>
      <c r="G969" s="41"/>
      <c r="H969" s="41"/>
      <c r="I969" s="41"/>
      <c r="J969" s="41"/>
      <c r="K969" s="41"/>
    </row>
    <row r="970">
      <c r="E970" s="41"/>
      <c r="F970" s="41"/>
      <c r="G970" s="41"/>
      <c r="H970" s="41"/>
      <c r="I970" s="41"/>
      <c r="J970" s="41"/>
      <c r="K970" s="41"/>
    </row>
    <row r="971">
      <c r="E971" s="41"/>
      <c r="F971" s="41"/>
      <c r="G971" s="41"/>
      <c r="H971" s="41"/>
      <c r="I971" s="41"/>
      <c r="J971" s="41"/>
      <c r="K971" s="41"/>
    </row>
    <row r="972">
      <c r="E972" s="41"/>
      <c r="F972" s="41"/>
      <c r="G972" s="41"/>
      <c r="H972" s="41"/>
      <c r="I972" s="41"/>
      <c r="J972" s="41"/>
      <c r="K972" s="41"/>
    </row>
    <row r="973">
      <c r="E973" s="41"/>
      <c r="F973" s="41"/>
      <c r="G973" s="41"/>
      <c r="H973" s="41"/>
      <c r="I973" s="41"/>
      <c r="J973" s="41"/>
      <c r="K973" s="41"/>
    </row>
    <row r="974">
      <c r="E974" s="41"/>
      <c r="F974" s="41"/>
      <c r="G974" s="41"/>
      <c r="H974" s="41"/>
      <c r="I974" s="41"/>
      <c r="J974" s="41"/>
      <c r="K974" s="41"/>
    </row>
    <row r="975">
      <c r="E975" s="41"/>
      <c r="F975" s="41"/>
      <c r="G975" s="41"/>
      <c r="H975" s="41"/>
      <c r="I975" s="41"/>
      <c r="J975" s="41"/>
      <c r="K975" s="41"/>
    </row>
    <row r="976">
      <c r="E976" s="41"/>
      <c r="F976" s="41"/>
      <c r="G976" s="41"/>
      <c r="H976" s="41"/>
      <c r="I976" s="41"/>
      <c r="J976" s="41"/>
      <c r="K976" s="41"/>
    </row>
    <row r="977">
      <c r="E977" s="41"/>
      <c r="F977" s="41"/>
      <c r="G977" s="41"/>
      <c r="H977" s="41"/>
      <c r="I977" s="41"/>
      <c r="J977" s="41"/>
      <c r="K977" s="41"/>
    </row>
    <row r="978">
      <c r="E978" s="41"/>
      <c r="F978" s="41"/>
      <c r="G978" s="41"/>
      <c r="H978" s="41"/>
      <c r="I978" s="41"/>
      <c r="J978" s="41"/>
      <c r="K978" s="41"/>
    </row>
    <row r="979">
      <c r="E979" s="41"/>
      <c r="F979" s="41"/>
      <c r="G979" s="41"/>
      <c r="H979" s="41"/>
      <c r="I979" s="41"/>
      <c r="J979" s="41"/>
      <c r="K979" s="41"/>
    </row>
    <row r="980">
      <c r="E980" s="41"/>
      <c r="F980" s="41"/>
      <c r="G980" s="41"/>
      <c r="H980" s="41"/>
      <c r="I980" s="41"/>
      <c r="J980" s="41"/>
      <c r="K980" s="41"/>
    </row>
    <row r="981">
      <c r="E981" s="41"/>
      <c r="F981" s="41"/>
      <c r="G981" s="41"/>
      <c r="H981" s="41"/>
      <c r="I981" s="41"/>
      <c r="J981" s="41"/>
      <c r="K981" s="41"/>
    </row>
    <row r="982">
      <c r="E982" s="41"/>
      <c r="F982" s="41"/>
      <c r="G982" s="41"/>
      <c r="H982" s="41"/>
      <c r="I982" s="41"/>
      <c r="J982" s="41"/>
      <c r="K982" s="41"/>
    </row>
    <row r="983">
      <c r="E983" s="41"/>
      <c r="F983" s="41"/>
      <c r="G983" s="41"/>
      <c r="H983" s="41"/>
      <c r="I983" s="41"/>
      <c r="J983" s="41"/>
      <c r="K983" s="41"/>
    </row>
    <row r="984">
      <c r="E984" s="41"/>
      <c r="F984" s="41"/>
      <c r="G984" s="41"/>
      <c r="H984" s="41"/>
      <c r="I984" s="41"/>
      <c r="J984" s="41"/>
      <c r="K984" s="41"/>
    </row>
    <row r="985">
      <c r="E985" s="41"/>
      <c r="F985" s="41"/>
      <c r="G985" s="41"/>
      <c r="H985" s="41"/>
      <c r="I985" s="41"/>
      <c r="J985" s="41"/>
      <c r="K985" s="41"/>
    </row>
    <row r="986">
      <c r="E986" s="41"/>
      <c r="F986" s="41"/>
      <c r="G986" s="41"/>
      <c r="H986" s="41"/>
      <c r="I986" s="41"/>
      <c r="J986" s="41"/>
      <c r="K986" s="41"/>
    </row>
    <row r="987">
      <c r="E987" s="41"/>
      <c r="F987" s="41"/>
      <c r="G987" s="41"/>
      <c r="H987" s="41"/>
      <c r="I987" s="41"/>
      <c r="J987" s="41"/>
      <c r="K987" s="41"/>
    </row>
    <row r="988">
      <c r="E988" s="41"/>
      <c r="F988" s="41"/>
      <c r="G988" s="41"/>
      <c r="H988" s="41"/>
      <c r="I988" s="41"/>
      <c r="J988" s="41"/>
      <c r="K988" s="41"/>
    </row>
    <row r="989">
      <c r="E989" s="41"/>
      <c r="F989" s="41"/>
      <c r="G989" s="41"/>
      <c r="H989" s="41"/>
      <c r="I989" s="41"/>
      <c r="J989" s="41"/>
      <c r="K989" s="41"/>
    </row>
    <row r="990">
      <c r="E990" s="41"/>
      <c r="F990" s="41"/>
      <c r="G990" s="41"/>
      <c r="H990" s="41"/>
      <c r="I990" s="41"/>
      <c r="J990" s="41"/>
      <c r="K990" s="41"/>
    </row>
    <row r="991">
      <c r="E991" s="41"/>
      <c r="F991" s="41"/>
      <c r="G991" s="41"/>
      <c r="H991" s="41"/>
      <c r="I991" s="41"/>
      <c r="J991" s="41"/>
      <c r="K991" s="41"/>
    </row>
    <row r="992">
      <c r="E992" s="41"/>
      <c r="F992" s="41"/>
      <c r="G992" s="41"/>
      <c r="H992" s="41"/>
      <c r="I992" s="41"/>
      <c r="J992" s="41"/>
      <c r="K992" s="41"/>
    </row>
    <row r="993">
      <c r="E993" s="41"/>
      <c r="F993" s="41"/>
      <c r="G993" s="41"/>
      <c r="H993" s="41"/>
      <c r="I993" s="41"/>
      <c r="J993" s="41"/>
      <c r="K993" s="41"/>
    </row>
    <row r="994">
      <c r="E994" s="41"/>
      <c r="F994" s="41"/>
      <c r="G994" s="41"/>
      <c r="H994" s="41"/>
      <c r="I994" s="41"/>
      <c r="J994" s="41"/>
      <c r="K994" s="41"/>
    </row>
    <row r="995">
      <c r="E995" s="41"/>
      <c r="F995" s="41"/>
      <c r="G995" s="41"/>
      <c r="H995" s="41"/>
      <c r="I995" s="41"/>
      <c r="J995" s="41"/>
      <c r="K995" s="41"/>
    </row>
    <row r="996">
      <c r="E996" s="41"/>
      <c r="F996" s="41"/>
      <c r="G996" s="41"/>
      <c r="H996" s="41"/>
      <c r="I996" s="41"/>
      <c r="J996" s="41"/>
      <c r="K996" s="41"/>
    </row>
    <row r="997">
      <c r="E997" s="41"/>
      <c r="F997" s="41"/>
      <c r="G997" s="41"/>
      <c r="H997" s="41"/>
      <c r="I997" s="41"/>
      <c r="J997" s="41"/>
      <c r="K997" s="41"/>
    </row>
    <row r="998">
      <c r="E998" s="41"/>
      <c r="F998" s="41"/>
      <c r="G998" s="41"/>
      <c r="H998" s="41"/>
      <c r="I998" s="41"/>
      <c r="J998" s="41"/>
      <c r="K998" s="41"/>
    </row>
    <row r="999">
      <c r="E999" s="41"/>
      <c r="F999" s="41"/>
      <c r="G999" s="41"/>
      <c r="H999" s="41"/>
      <c r="I999" s="41"/>
      <c r="J999" s="41"/>
      <c r="K999" s="41"/>
    </row>
    <row r="1000">
      <c r="E1000" s="41"/>
      <c r="F1000" s="41"/>
      <c r="G1000" s="41"/>
      <c r="H1000" s="41"/>
      <c r="I1000" s="41"/>
      <c r="J1000" s="41"/>
      <c r="K1000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1.88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46.88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1.75"/>
    <col customWidth="1" min="50" max="50" width="11.5"/>
    <col customWidth="1" min="5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393</v>
      </c>
      <c r="H1" s="2" t="s">
        <v>7</v>
      </c>
      <c r="I1" s="2" t="s">
        <v>394</v>
      </c>
      <c r="J1" s="2" t="s">
        <v>14</v>
      </c>
      <c r="K1" s="2" t="s">
        <v>9</v>
      </c>
      <c r="L1" s="2" t="s">
        <v>10</v>
      </c>
      <c r="M1" s="2" t="s">
        <v>395</v>
      </c>
      <c r="N1" s="2" t="s">
        <v>7</v>
      </c>
      <c r="O1" s="2" t="s">
        <v>9</v>
      </c>
      <c r="P1" s="2" t="s">
        <v>10</v>
      </c>
      <c r="Q1" s="2" t="s">
        <v>396</v>
      </c>
      <c r="R1" s="2" t="s">
        <v>14</v>
      </c>
      <c r="S1" s="2" t="s">
        <v>9</v>
      </c>
      <c r="T1" s="2" t="s">
        <v>10</v>
      </c>
      <c r="U1" s="2" t="s">
        <v>397</v>
      </c>
      <c r="V1" s="2" t="s">
        <v>14</v>
      </c>
      <c r="W1" s="2" t="s">
        <v>398</v>
      </c>
      <c r="X1" s="2" t="s">
        <v>399</v>
      </c>
      <c r="Y1" s="2" t="s">
        <v>400</v>
      </c>
      <c r="Z1" s="2" t="s">
        <v>14</v>
      </c>
      <c r="AA1" s="2" t="s">
        <v>398</v>
      </c>
      <c r="AB1" s="2" t="s">
        <v>10</v>
      </c>
      <c r="AC1" s="2" t="s">
        <v>401</v>
      </c>
      <c r="AD1" s="2" t="s">
        <v>14</v>
      </c>
      <c r="AE1" s="2" t="s">
        <v>9</v>
      </c>
      <c r="AF1" s="2" t="s">
        <v>399</v>
      </c>
      <c r="AG1" s="2" t="s">
        <v>402</v>
      </c>
      <c r="AH1" s="2" t="s">
        <v>14</v>
      </c>
      <c r="AI1" s="2" t="s">
        <v>9</v>
      </c>
      <c r="AJ1" s="2" t="s">
        <v>10</v>
      </c>
      <c r="AK1" s="2" t="s">
        <v>403</v>
      </c>
      <c r="AL1" s="2" t="s">
        <v>14</v>
      </c>
      <c r="AM1" s="2" t="s">
        <v>9</v>
      </c>
      <c r="AN1" s="2" t="s">
        <v>10</v>
      </c>
      <c r="AO1" s="2" t="s">
        <v>404</v>
      </c>
      <c r="AP1" s="2" t="s">
        <v>14</v>
      </c>
      <c r="AQ1" s="2" t="s">
        <v>9</v>
      </c>
      <c r="AR1" s="2" t="s">
        <v>10</v>
      </c>
      <c r="AS1" s="2" t="s">
        <v>405</v>
      </c>
      <c r="AT1" s="2" t="s">
        <v>14</v>
      </c>
      <c r="AU1" s="2" t="s">
        <v>398</v>
      </c>
      <c r="AV1" s="2" t="s">
        <v>10</v>
      </c>
      <c r="AW1" s="51" t="s">
        <v>406</v>
      </c>
      <c r="AX1" s="51" t="s">
        <v>14</v>
      </c>
      <c r="AY1" s="52"/>
      <c r="AZ1" s="52"/>
      <c r="BA1" s="52"/>
      <c r="BB1" s="52"/>
      <c r="BC1" s="52"/>
      <c r="BD1" s="52"/>
      <c r="BE1" s="52"/>
    </row>
    <row r="2" ht="15.75" customHeight="1">
      <c r="A2" s="7">
        <v>1856.0</v>
      </c>
      <c r="B2" s="13" t="s">
        <v>407</v>
      </c>
      <c r="C2" s="9" t="str">
        <f t="shared" ref="C2:C14" si="1">CONCATENATE(D2,"_",F2)</f>
        <v>TK-01_ATF</v>
      </c>
      <c r="D2" s="10" t="s">
        <v>39</v>
      </c>
      <c r="E2" s="11" t="s">
        <v>40</v>
      </c>
      <c r="F2" s="10" t="s">
        <v>41</v>
      </c>
      <c r="G2" s="14" t="s">
        <v>408</v>
      </c>
      <c r="H2" s="17">
        <v>0.0</v>
      </c>
      <c r="I2" s="14" t="s">
        <v>409</v>
      </c>
      <c r="J2" s="17">
        <v>0.0</v>
      </c>
      <c r="K2" s="15" t="str">
        <f t="shared" ref="K2:K14" si="2">MID(I2,13,6)</f>
        <v>LSW-01</v>
      </c>
      <c r="L2" s="18" t="s">
        <v>49</v>
      </c>
      <c r="M2" s="14" t="s">
        <v>410</v>
      </c>
      <c r="N2" s="17">
        <v>0.0</v>
      </c>
      <c r="O2" s="15" t="str">
        <f t="shared" ref="O2:O14" si="3">MID(M2,13,6)</f>
        <v>RDR-01</v>
      </c>
      <c r="P2" s="18" t="s">
        <v>53</v>
      </c>
      <c r="Q2" s="14" t="s">
        <v>411</v>
      </c>
      <c r="R2" s="17">
        <v>0.0</v>
      </c>
      <c r="S2" s="15" t="str">
        <f t="shared" ref="S2:S14" si="4">MID(Q2,5,8)</f>
        <v>ROSOV-01</v>
      </c>
      <c r="T2" s="18" t="s">
        <v>57</v>
      </c>
      <c r="U2" s="19"/>
      <c r="V2" s="19"/>
      <c r="W2" s="19"/>
      <c r="X2" s="19"/>
      <c r="Y2" s="14" t="s">
        <v>412</v>
      </c>
      <c r="Z2" s="17">
        <v>0.0</v>
      </c>
      <c r="AA2" s="15" t="str">
        <f t="shared" ref="AA2:AA14" si="5">MID(Y2,5,8)</f>
        <v>ROSOV-02</v>
      </c>
      <c r="AB2" s="18" t="s">
        <v>61</v>
      </c>
      <c r="AC2" s="19"/>
      <c r="AD2" s="19"/>
      <c r="AE2" s="19"/>
      <c r="AF2" s="19"/>
      <c r="AG2" s="20" t="s">
        <v>413</v>
      </c>
      <c r="AH2" s="17">
        <v>0.0</v>
      </c>
      <c r="AI2" s="15" t="str">
        <f t="shared" ref="AI2:AI14" si="6">MID(AG2,5,7)</f>
        <v>MOV-001</v>
      </c>
      <c r="AJ2" s="18" t="s">
        <v>65</v>
      </c>
      <c r="AK2" s="19"/>
      <c r="AL2" s="19"/>
      <c r="AM2" s="19"/>
      <c r="AN2" s="19"/>
      <c r="AO2" s="19"/>
      <c r="AP2" s="19"/>
      <c r="AQ2" s="19"/>
      <c r="AR2" s="19"/>
      <c r="AS2" s="20" t="s">
        <v>414</v>
      </c>
      <c r="AT2" s="17">
        <v>0.0</v>
      </c>
      <c r="AU2" s="15" t="str">
        <f t="shared" ref="AU2:AU14" si="7">MID(AS2,5,7)</f>
        <v>MOV-002</v>
      </c>
      <c r="AV2" s="18" t="s">
        <v>68</v>
      </c>
      <c r="AW2" s="4"/>
      <c r="AX2" s="4"/>
    </row>
    <row r="3" ht="15.75" customHeight="1">
      <c r="A3" s="7">
        <v>1856.0</v>
      </c>
      <c r="B3" s="13" t="s">
        <v>407</v>
      </c>
      <c r="C3" s="9" t="str">
        <f t="shared" si="1"/>
        <v>TK-02_ATF</v>
      </c>
      <c r="D3" s="23" t="s">
        <v>70</v>
      </c>
      <c r="E3" s="24" t="s">
        <v>40</v>
      </c>
      <c r="F3" s="23" t="s">
        <v>41</v>
      </c>
      <c r="G3" s="14" t="s">
        <v>415</v>
      </c>
      <c r="H3" s="17">
        <v>0.0</v>
      </c>
      <c r="I3" s="14" t="s">
        <v>416</v>
      </c>
      <c r="J3" s="17">
        <v>0.0</v>
      </c>
      <c r="K3" s="15" t="str">
        <f t="shared" si="2"/>
        <v>LSW-02</v>
      </c>
      <c r="L3" s="18" t="s">
        <v>49</v>
      </c>
      <c r="M3" s="14" t="s">
        <v>417</v>
      </c>
      <c r="N3" s="17">
        <v>0.0</v>
      </c>
      <c r="O3" s="15" t="str">
        <f t="shared" si="3"/>
        <v>RDR-02</v>
      </c>
      <c r="P3" s="18" t="s">
        <v>53</v>
      </c>
      <c r="Q3" s="14" t="s">
        <v>418</v>
      </c>
      <c r="R3" s="17">
        <v>0.0</v>
      </c>
      <c r="S3" s="15" t="str">
        <f t="shared" si="4"/>
        <v>ROSOV-03</v>
      </c>
      <c r="T3" s="18" t="s">
        <v>57</v>
      </c>
      <c r="U3" s="3"/>
      <c r="V3" s="3"/>
      <c r="W3" s="3"/>
      <c r="X3" s="3"/>
      <c r="Y3" s="14" t="s">
        <v>419</v>
      </c>
      <c r="Z3" s="17">
        <v>0.0</v>
      </c>
      <c r="AA3" s="15" t="str">
        <f t="shared" si="5"/>
        <v>ROSOV-04</v>
      </c>
      <c r="AB3" s="18" t="s">
        <v>61</v>
      </c>
      <c r="AC3" s="3"/>
      <c r="AD3" s="3"/>
      <c r="AE3" s="3"/>
      <c r="AF3" s="3"/>
      <c r="AG3" s="20" t="s">
        <v>420</v>
      </c>
      <c r="AH3" s="17">
        <v>0.0</v>
      </c>
      <c r="AI3" s="15" t="str">
        <f t="shared" si="6"/>
        <v>MOV-003</v>
      </c>
      <c r="AJ3" s="18" t="s">
        <v>65</v>
      </c>
      <c r="AK3" s="3"/>
      <c r="AL3" s="3"/>
      <c r="AM3" s="3"/>
      <c r="AN3" s="3"/>
      <c r="AO3" s="3"/>
      <c r="AP3" s="3"/>
      <c r="AQ3" s="3"/>
      <c r="AR3" s="3"/>
      <c r="AS3" s="20" t="s">
        <v>421</v>
      </c>
      <c r="AT3" s="17">
        <v>0.0</v>
      </c>
      <c r="AU3" s="15" t="str">
        <f t="shared" si="7"/>
        <v>MOV-004</v>
      </c>
      <c r="AV3" s="18" t="s">
        <v>68</v>
      </c>
      <c r="AW3" s="53"/>
      <c r="AX3" s="53"/>
    </row>
    <row r="4" ht="15.75" customHeight="1">
      <c r="A4" s="7">
        <v>1856.0</v>
      </c>
      <c r="B4" s="13" t="s">
        <v>407</v>
      </c>
      <c r="C4" s="9" t="str">
        <f t="shared" si="1"/>
        <v>TK-03_BS VI HSD</v>
      </c>
      <c r="D4" s="23" t="s">
        <v>89</v>
      </c>
      <c r="E4" s="24" t="s">
        <v>40</v>
      </c>
      <c r="F4" s="23" t="s">
        <v>90</v>
      </c>
      <c r="G4" s="14" t="s">
        <v>422</v>
      </c>
      <c r="H4" s="17">
        <v>0.0</v>
      </c>
      <c r="I4" s="14" t="s">
        <v>423</v>
      </c>
      <c r="J4" s="17">
        <v>0.0</v>
      </c>
      <c r="K4" s="15" t="str">
        <f t="shared" si="2"/>
        <v>LSW-03</v>
      </c>
      <c r="L4" s="18" t="s">
        <v>49</v>
      </c>
      <c r="M4" s="14" t="s">
        <v>424</v>
      </c>
      <c r="N4" s="17">
        <v>0.0</v>
      </c>
      <c r="O4" s="15" t="str">
        <f t="shared" si="3"/>
        <v>RDR-03</v>
      </c>
      <c r="P4" s="18" t="s">
        <v>53</v>
      </c>
      <c r="Q4" s="14" t="s">
        <v>425</v>
      </c>
      <c r="R4" s="17">
        <v>0.0</v>
      </c>
      <c r="S4" s="15" t="str">
        <f t="shared" si="4"/>
        <v>ROSOV-05</v>
      </c>
      <c r="T4" s="18" t="s">
        <v>57</v>
      </c>
      <c r="U4" s="3"/>
      <c r="V4" s="3"/>
      <c r="W4" s="3"/>
      <c r="X4" s="3"/>
      <c r="Y4" s="14" t="s">
        <v>426</v>
      </c>
      <c r="Z4" s="17">
        <v>0.0</v>
      </c>
      <c r="AA4" s="15" t="str">
        <f t="shared" si="5"/>
        <v>ROSOV-06</v>
      </c>
      <c r="AB4" s="18" t="s">
        <v>61</v>
      </c>
      <c r="AC4" s="3"/>
      <c r="AD4" s="3"/>
      <c r="AE4" s="3"/>
      <c r="AF4" s="3"/>
      <c r="AG4" s="20" t="s">
        <v>427</v>
      </c>
      <c r="AH4" s="17">
        <v>0.0</v>
      </c>
      <c r="AI4" s="15" t="str">
        <f t="shared" si="6"/>
        <v>MOV-005</v>
      </c>
      <c r="AJ4" s="18" t="s">
        <v>65</v>
      </c>
      <c r="AK4" s="3"/>
      <c r="AL4" s="3"/>
      <c r="AM4" s="3"/>
      <c r="AN4" s="3"/>
      <c r="AO4" s="3"/>
      <c r="AP4" s="3"/>
      <c r="AQ4" s="3"/>
      <c r="AR4" s="3"/>
      <c r="AS4" s="20" t="s">
        <v>428</v>
      </c>
      <c r="AT4" s="17">
        <v>0.0</v>
      </c>
      <c r="AU4" s="15" t="str">
        <f t="shared" si="7"/>
        <v>MOV-006</v>
      </c>
      <c r="AV4" s="18" t="s">
        <v>68</v>
      </c>
      <c r="AW4" s="53"/>
      <c r="AX4" s="53"/>
    </row>
    <row r="5" ht="15.75" customHeight="1">
      <c r="A5" s="7">
        <v>1856.0</v>
      </c>
      <c r="B5" s="13" t="s">
        <v>407</v>
      </c>
      <c r="C5" s="9" t="str">
        <f t="shared" si="1"/>
        <v>TK-04_BS VI MS</v>
      </c>
      <c r="D5" s="23" t="s">
        <v>109</v>
      </c>
      <c r="E5" s="24" t="s">
        <v>40</v>
      </c>
      <c r="F5" s="23" t="s">
        <v>110</v>
      </c>
      <c r="G5" s="14" t="s">
        <v>429</v>
      </c>
      <c r="H5" s="17">
        <v>0.0</v>
      </c>
      <c r="I5" s="14" t="s">
        <v>430</v>
      </c>
      <c r="J5" s="17">
        <v>0.0</v>
      </c>
      <c r="K5" s="15" t="str">
        <f t="shared" si="2"/>
        <v>LSW-04</v>
      </c>
      <c r="L5" s="18" t="s">
        <v>49</v>
      </c>
      <c r="M5" s="14" t="s">
        <v>431</v>
      </c>
      <c r="N5" s="17">
        <v>0.0</v>
      </c>
      <c r="O5" s="15" t="str">
        <f t="shared" si="3"/>
        <v>RDR-04</v>
      </c>
      <c r="P5" s="18" t="s">
        <v>53</v>
      </c>
      <c r="Q5" s="14" t="s">
        <v>432</v>
      </c>
      <c r="R5" s="17">
        <v>0.0</v>
      </c>
      <c r="S5" s="15" t="str">
        <f t="shared" si="4"/>
        <v>ROSOV-07</v>
      </c>
      <c r="T5" s="18" t="s">
        <v>57</v>
      </c>
      <c r="U5" s="3"/>
      <c r="V5" s="3"/>
      <c r="W5" s="3"/>
      <c r="X5" s="3"/>
      <c r="Y5" s="14" t="s">
        <v>433</v>
      </c>
      <c r="Z5" s="17">
        <v>0.0</v>
      </c>
      <c r="AA5" s="15" t="str">
        <f t="shared" si="5"/>
        <v>ROSOV-08</v>
      </c>
      <c r="AB5" s="18" t="s">
        <v>61</v>
      </c>
      <c r="AC5" s="3"/>
      <c r="AD5" s="3"/>
      <c r="AE5" s="3"/>
      <c r="AF5" s="3"/>
      <c r="AG5" s="20" t="s">
        <v>434</v>
      </c>
      <c r="AH5" s="17">
        <v>0.0</v>
      </c>
      <c r="AI5" s="15" t="str">
        <f t="shared" si="6"/>
        <v>MOV-007</v>
      </c>
      <c r="AJ5" s="18" t="s">
        <v>65</v>
      </c>
      <c r="AK5" s="3"/>
      <c r="AL5" s="3"/>
      <c r="AM5" s="3"/>
      <c r="AN5" s="3"/>
      <c r="AO5" s="3"/>
      <c r="AP5" s="3"/>
      <c r="AQ5" s="3"/>
      <c r="AR5" s="3"/>
      <c r="AS5" s="20" t="s">
        <v>435</v>
      </c>
      <c r="AT5" s="17">
        <v>0.0</v>
      </c>
      <c r="AU5" s="15" t="str">
        <f t="shared" si="7"/>
        <v>MOV-008</v>
      </c>
      <c r="AV5" s="18" t="s">
        <v>68</v>
      </c>
      <c r="AW5" s="53"/>
      <c r="AX5" s="53"/>
    </row>
    <row r="6" ht="15.75" customHeight="1">
      <c r="A6" s="7">
        <v>1856.0</v>
      </c>
      <c r="B6" s="13" t="s">
        <v>407</v>
      </c>
      <c r="C6" s="9" t="str">
        <f t="shared" si="1"/>
        <v>TK-05_BS VI MS</v>
      </c>
      <c r="D6" s="23" t="s">
        <v>129</v>
      </c>
      <c r="E6" s="24" t="s">
        <v>40</v>
      </c>
      <c r="F6" s="23" t="s">
        <v>110</v>
      </c>
      <c r="G6" s="14" t="s">
        <v>436</v>
      </c>
      <c r="H6" s="17">
        <v>0.0</v>
      </c>
      <c r="I6" s="14" t="s">
        <v>437</v>
      </c>
      <c r="J6" s="17">
        <v>0.0</v>
      </c>
      <c r="K6" s="15" t="str">
        <f t="shared" si="2"/>
        <v>LSW-05</v>
      </c>
      <c r="L6" s="18" t="s">
        <v>49</v>
      </c>
      <c r="M6" s="14" t="s">
        <v>438</v>
      </c>
      <c r="N6" s="17">
        <v>0.0</v>
      </c>
      <c r="O6" s="15" t="str">
        <f t="shared" si="3"/>
        <v>RDR-05</v>
      </c>
      <c r="P6" s="18" t="s">
        <v>53</v>
      </c>
      <c r="Q6" s="14" t="s">
        <v>439</v>
      </c>
      <c r="R6" s="17">
        <v>0.0</v>
      </c>
      <c r="S6" s="15" t="str">
        <f t="shared" si="4"/>
        <v>ROSOV-09</v>
      </c>
      <c r="T6" s="18" t="s">
        <v>57</v>
      </c>
      <c r="U6" s="3"/>
      <c r="V6" s="3"/>
      <c r="W6" s="3"/>
      <c r="X6" s="3"/>
      <c r="Y6" s="14" t="s">
        <v>440</v>
      </c>
      <c r="Z6" s="17">
        <v>0.0</v>
      </c>
      <c r="AA6" s="15" t="str">
        <f t="shared" si="5"/>
        <v>ROSOV-10</v>
      </c>
      <c r="AB6" s="18" t="s">
        <v>61</v>
      </c>
      <c r="AC6" s="3"/>
      <c r="AD6" s="3"/>
      <c r="AE6" s="3"/>
      <c r="AF6" s="3"/>
      <c r="AG6" s="20" t="s">
        <v>441</v>
      </c>
      <c r="AH6" s="17">
        <v>0.0</v>
      </c>
      <c r="AI6" s="15" t="str">
        <f t="shared" si="6"/>
        <v>MOV-009</v>
      </c>
      <c r="AJ6" s="18" t="s">
        <v>65</v>
      </c>
      <c r="AK6" s="3"/>
      <c r="AL6" s="3"/>
      <c r="AM6" s="3"/>
      <c r="AN6" s="3"/>
      <c r="AO6" s="3"/>
      <c r="AP6" s="3"/>
      <c r="AQ6" s="3"/>
      <c r="AR6" s="3"/>
      <c r="AS6" s="20" t="s">
        <v>442</v>
      </c>
      <c r="AT6" s="17">
        <v>0.0</v>
      </c>
      <c r="AU6" s="15" t="str">
        <f t="shared" si="7"/>
        <v>MOV-010</v>
      </c>
      <c r="AV6" s="18" t="s">
        <v>68</v>
      </c>
      <c r="AW6" s="53"/>
      <c r="AX6" s="53"/>
    </row>
    <row r="7" ht="15.75" customHeight="1">
      <c r="A7" s="7">
        <v>1856.0</v>
      </c>
      <c r="B7" s="13" t="s">
        <v>407</v>
      </c>
      <c r="C7" s="9" t="str">
        <f t="shared" si="1"/>
        <v>TK-06_ETHANOL</v>
      </c>
      <c r="D7" s="23" t="s">
        <v>148</v>
      </c>
      <c r="E7" s="24" t="s">
        <v>40</v>
      </c>
      <c r="F7" s="23" t="s">
        <v>149</v>
      </c>
      <c r="G7" s="14" t="s">
        <v>443</v>
      </c>
      <c r="H7" s="17">
        <v>0.0</v>
      </c>
      <c r="I7" s="14" t="s">
        <v>444</v>
      </c>
      <c r="J7" s="17">
        <v>0.0</v>
      </c>
      <c r="K7" s="15" t="str">
        <f t="shared" si="2"/>
        <v>LSW-06</v>
      </c>
      <c r="L7" s="18" t="s">
        <v>49</v>
      </c>
      <c r="M7" s="14" t="s">
        <v>445</v>
      </c>
      <c r="N7" s="17">
        <v>0.0</v>
      </c>
      <c r="O7" s="15" t="str">
        <f t="shared" si="3"/>
        <v>RDR-06</v>
      </c>
      <c r="P7" s="18" t="s">
        <v>53</v>
      </c>
      <c r="Q7" s="14" t="s">
        <v>446</v>
      </c>
      <c r="R7" s="17">
        <v>0.0</v>
      </c>
      <c r="S7" s="15" t="str">
        <f t="shared" si="4"/>
        <v>ROSOV-11</v>
      </c>
      <c r="T7" s="18" t="s">
        <v>57</v>
      </c>
      <c r="U7" s="3"/>
      <c r="V7" s="3"/>
      <c r="W7" s="3"/>
      <c r="X7" s="3"/>
      <c r="Y7" s="14" t="s">
        <v>447</v>
      </c>
      <c r="Z7" s="17">
        <v>0.0</v>
      </c>
      <c r="AA7" s="15" t="str">
        <f t="shared" si="5"/>
        <v>ROSOV-12</v>
      </c>
      <c r="AB7" s="18" t="s">
        <v>61</v>
      </c>
      <c r="AC7" s="3"/>
      <c r="AD7" s="3"/>
      <c r="AE7" s="3"/>
      <c r="AF7" s="3"/>
      <c r="AG7" s="20" t="s">
        <v>448</v>
      </c>
      <c r="AH7" s="17">
        <v>0.0</v>
      </c>
      <c r="AI7" s="15" t="str">
        <f t="shared" si="6"/>
        <v>MOV-011</v>
      </c>
      <c r="AJ7" s="18" t="s">
        <v>65</v>
      </c>
      <c r="AK7" s="3"/>
      <c r="AL7" s="3"/>
      <c r="AM7" s="3"/>
      <c r="AN7" s="3"/>
      <c r="AO7" s="3"/>
      <c r="AP7" s="3"/>
      <c r="AQ7" s="3"/>
      <c r="AR7" s="3"/>
      <c r="AS7" s="20" t="s">
        <v>449</v>
      </c>
      <c r="AT7" s="17">
        <v>0.0</v>
      </c>
      <c r="AU7" s="15" t="str">
        <f t="shared" si="7"/>
        <v>MOV-012</v>
      </c>
      <c r="AV7" s="18" t="s">
        <v>68</v>
      </c>
      <c r="AW7" s="53"/>
      <c r="AX7" s="53"/>
    </row>
    <row r="8" ht="15.75" customHeight="1">
      <c r="A8" s="7">
        <v>1856.0</v>
      </c>
      <c r="B8" s="13" t="s">
        <v>407</v>
      </c>
      <c r="C8" s="9" t="str">
        <f t="shared" si="1"/>
        <v>TK-12_BS VI MS</v>
      </c>
      <c r="D8" s="23" t="s">
        <v>195</v>
      </c>
      <c r="E8" s="24" t="s">
        <v>40</v>
      </c>
      <c r="F8" s="23" t="s">
        <v>110</v>
      </c>
      <c r="G8" s="14" t="s">
        <v>450</v>
      </c>
      <c r="H8" s="17">
        <v>0.0</v>
      </c>
      <c r="I8" s="14" t="s">
        <v>451</v>
      </c>
      <c r="J8" s="17">
        <v>0.0</v>
      </c>
      <c r="K8" s="15" t="str">
        <f t="shared" si="2"/>
        <v>LSW-07</v>
      </c>
      <c r="L8" s="18" t="s">
        <v>49</v>
      </c>
      <c r="M8" s="14" t="s">
        <v>452</v>
      </c>
      <c r="N8" s="17">
        <v>0.0</v>
      </c>
      <c r="O8" s="15" t="str">
        <f t="shared" si="3"/>
        <v>RDR-07</v>
      </c>
      <c r="P8" s="18" t="s">
        <v>53</v>
      </c>
      <c r="Q8" s="14" t="s">
        <v>453</v>
      </c>
      <c r="R8" s="17">
        <v>0.0</v>
      </c>
      <c r="S8" s="15" t="str">
        <f t="shared" si="4"/>
        <v>ROSOV-13</v>
      </c>
      <c r="T8" s="18" t="s">
        <v>57</v>
      </c>
      <c r="U8" s="3"/>
      <c r="V8" s="3"/>
      <c r="W8" s="3"/>
      <c r="X8" s="3"/>
      <c r="Y8" s="14" t="s">
        <v>454</v>
      </c>
      <c r="Z8" s="17">
        <v>0.0</v>
      </c>
      <c r="AA8" s="15" t="str">
        <f t="shared" si="5"/>
        <v>ROSOV-14</v>
      </c>
      <c r="AB8" s="18" t="s">
        <v>61</v>
      </c>
      <c r="AC8" s="3"/>
      <c r="AD8" s="3"/>
      <c r="AE8" s="3"/>
      <c r="AF8" s="3"/>
      <c r="AG8" s="20" t="s">
        <v>455</v>
      </c>
      <c r="AH8" s="17">
        <v>0.0</v>
      </c>
      <c r="AI8" s="15" t="str">
        <f t="shared" si="6"/>
        <v>MOV-013</v>
      </c>
      <c r="AJ8" s="18" t="s">
        <v>65</v>
      </c>
      <c r="AK8" s="3"/>
      <c r="AL8" s="3"/>
      <c r="AM8" s="3"/>
      <c r="AN8" s="3"/>
      <c r="AO8" s="3"/>
      <c r="AP8" s="3"/>
      <c r="AQ8" s="3"/>
      <c r="AR8" s="3"/>
      <c r="AS8" s="20" t="s">
        <v>456</v>
      </c>
      <c r="AT8" s="17">
        <v>0.0</v>
      </c>
      <c r="AU8" s="15" t="str">
        <f t="shared" si="7"/>
        <v>MOV-014</v>
      </c>
      <c r="AV8" s="18" t="s">
        <v>68</v>
      </c>
      <c r="AW8" s="53"/>
      <c r="AX8" s="53"/>
    </row>
    <row r="9" ht="15.75" customHeight="1">
      <c r="A9" s="7">
        <v>1856.0</v>
      </c>
      <c r="B9" s="13" t="s">
        <v>407</v>
      </c>
      <c r="C9" s="9" t="str">
        <f t="shared" si="1"/>
        <v>TK-13_ATF</v>
      </c>
      <c r="D9" s="23" t="s">
        <v>214</v>
      </c>
      <c r="E9" s="24" t="s">
        <v>40</v>
      </c>
      <c r="F9" s="23" t="s">
        <v>41</v>
      </c>
      <c r="G9" s="14" t="s">
        <v>457</v>
      </c>
      <c r="H9" s="17">
        <v>0.0</v>
      </c>
      <c r="I9" s="14" t="s">
        <v>458</v>
      </c>
      <c r="J9" s="17">
        <v>0.0</v>
      </c>
      <c r="K9" s="15" t="str">
        <f t="shared" si="2"/>
        <v>LSW-11</v>
      </c>
      <c r="L9" s="18" t="s">
        <v>49</v>
      </c>
      <c r="M9" s="14" t="s">
        <v>459</v>
      </c>
      <c r="N9" s="17">
        <v>0.0</v>
      </c>
      <c r="O9" s="15" t="str">
        <f t="shared" si="3"/>
        <v>RDR-11</v>
      </c>
      <c r="P9" s="18" t="s">
        <v>53</v>
      </c>
      <c r="Q9" s="14" t="s">
        <v>460</v>
      </c>
      <c r="R9" s="17">
        <v>0.0</v>
      </c>
      <c r="S9" s="15" t="str">
        <f t="shared" si="4"/>
        <v>ROSOV-39</v>
      </c>
      <c r="T9" s="18" t="s">
        <v>57</v>
      </c>
      <c r="U9" s="3"/>
      <c r="V9" s="3"/>
      <c r="W9" s="3"/>
      <c r="X9" s="3"/>
      <c r="Y9" s="14" t="s">
        <v>461</v>
      </c>
      <c r="Z9" s="17">
        <v>0.0</v>
      </c>
      <c r="AA9" s="15" t="str">
        <f t="shared" si="5"/>
        <v>ROSOV-40</v>
      </c>
      <c r="AB9" s="18" t="s">
        <v>61</v>
      </c>
      <c r="AC9" s="3"/>
      <c r="AD9" s="3"/>
      <c r="AE9" s="3"/>
      <c r="AF9" s="3"/>
      <c r="AG9" s="20" t="s">
        <v>462</v>
      </c>
      <c r="AH9" s="17">
        <v>0.0</v>
      </c>
      <c r="AI9" s="15" t="str">
        <f t="shared" si="6"/>
        <v>MOV-032</v>
      </c>
      <c r="AJ9" s="18" t="s">
        <v>65</v>
      </c>
      <c r="AK9" s="3"/>
      <c r="AL9" s="3"/>
      <c r="AM9" s="3"/>
      <c r="AN9" s="3"/>
      <c r="AO9" s="3"/>
      <c r="AP9" s="3"/>
      <c r="AQ9" s="3"/>
      <c r="AR9" s="3"/>
      <c r="AS9" s="20" t="s">
        <v>463</v>
      </c>
      <c r="AT9" s="17">
        <v>0.0</v>
      </c>
      <c r="AU9" s="15" t="str">
        <f t="shared" si="7"/>
        <v>MOV-033</v>
      </c>
      <c r="AV9" s="18" t="s">
        <v>68</v>
      </c>
      <c r="AW9" s="53"/>
      <c r="AX9" s="53"/>
    </row>
    <row r="10" ht="15.75" customHeight="1">
      <c r="A10" s="7">
        <v>1856.0</v>
      </c>
      <c r="B10" s="13" t="s">
        <v>407</v>
      </c>
      <c r="C10" s="9" t="str">
        <f t="shared" si="1"/>
        <v>TK-14_ETHANOL</v>
      </c>
      <c r="D10" s="23" t="s">
        <v>233</v>
      </c>
      <c r="E10" s="24" t="s">
        <v>40</v>
      </c>
      <c r="F10" s="23" t="s">
        <v>149</v>
      </c>
      <c r="G10" s="14" t="s">
        <v>464</v>
      </c>
      <c r="H10" s="17">
        <v>0.0</v>
      </c>
      <c r="I10" s="14" t="s">
        <v>465</v>
      </c>
      <c r="J10" s="17">
        <v>0.0</v>
      </c>
      <c r="K10" s="15" t="str">
        <f t="shared" si="2"/>
        <v>LSW-08</v>
      </c>
      <c r="L10" s="18" t="s">
        <v>49</v>
      </c>
      <c r="M10" s="14" t="s">
        <v>466</v>
      </c>
      <c r="N10" s="17">
        <v>0.0</v>
      </c>
      <c r="O10" s="15" t="str">
        <f t="shared" si="3"/>
        <v>RDR-08</v>
      </c>
      <c r="P10" s="18" t="s">
        <v>53</v>
      </c>
      <c r="Q10" s="14" t="s">
        <v>467</v>
      </c>
      <c r="R10" s="17">
        <v>0.0</v>
      </c>
      <c r="S10" s="15" t="str">
        <f t="shared" si="4"/>
        <v>ROSOV-15</v>
      </c>
      <c r="T10" s="18" t="s">
        <v>57</v>
      </c>
      <c r="U10" s="3"/>
      <c r="V10" s="3"/>
      <c r="W10" s="3"/>
      <c r="X10" s="3"/>
      <c r="Y10" s="14" t="s">
        <v>468</v>
      </c>
      <c r="Z10" s="17">
        <v>0.0</v>
      </c>
      <c r="AA10" s="15" t="str">
        <f t="shared" si="5"/>
        <v>ROSOV-16</v>
      </c>
      <c r="AB10" s="18" t="s">
        <v>61</v>
      </c>
      <c r="AC10" s="3"/>
      <c r="AD10" s="3"/>
      <c r="AE10" s="3"/>
      <c r="AF10" s="3"/>
      <c r="AG10" s="20" t="s">
        <v>469</v>
      </c>
      <c r="AH10" s="17">
        <v>0.0</v>
      </c>
      <c r="AI10" s="15" t="str">
        <f t="shared" si="6"/>
        <v>MOV-015</v>
      </c>
      <c r="AJ10" s="18" t="s">
        <v>65</v>
      </c>
      <c r="AK10" s="3"/>
      <c r="AL10" s="3"/>
      <c r="AM10" s="3"/>
      <c r="AN10" s="3"/>
      <c r="AO10" s="3"/>
      <c r="AP10" s="3"/>
      <c r="AQ10" s="3"/>
      <c r="AR10" s="3"/>
      <c r="AS10" s="20" t="s">
        <v>470</v>
      </c>
      <c r="AT10" s="17">
        <v>0.0</v>
      </c>
      <c r="AU10" s="15" t="str">
        <f t="shared" si="7"/>
        <v>MOV-016</v>
      </c>
      <c r="AV10" s="18" t="s">
        <v>68</v>
      </c>
      <c r="AW10" s="53"/>
      <c r="AX10" s="53"/>
    </row>
    <row r="11" ht="15.75" customHeight="1">
      <c r="A11" s="7">
        <v>1856.0</v>
      </c>
      <c r="B11" s="13" t="s">
        <v>407</v>
      </c>
      <c r="C11" s="9" t="str">
        <f t="shared" si="1"/>
        <v>TK-15_BS VI HSD</v>
      </c>
      <c r="D11" s="23" t="s">
        <v>252</v>
      </c>
      <c r="E11" s="24" t="s">
        <v>40</v>
      </c>
      <c r="F11" s="23" t="s">
        <v>90</v>
      </c>
      <c r="G11" s="14" t="s">
        <v>471</v>
      </c>
      <c r="H11" s="17">
        <v>0.0</v>
      </c>
      <c r="I11" s="14" t="s">
        <v>472</v>
      </c>
      <c r="J11" s="17">
        <v>0.0</v>
      </c>
      <c r="K11" s="15" t="str">
        <f t="shared" si="2"/>
        <v>LSW-09</v>
      </c>
      <c r="L11" s="18" t="s">
        <v>49</v>
      </c>
      <c r="M11" s="14" t="s">
        <v>473</v>
      </c>
      <c r="N11" s="17">
        <v>0.0</v>
      </c>
      <c r="O11" s="15" t="str">
        <f t="shared" si="3"/>
        <v>RDR-09</v>
      </c>
      <c r="P11" s="18" t="s">
        <v>53</v>
      </c>
      <c r="Q11" s="14" t="s">
        <v>474</v>
      </c>
      <c r="R11" s="17">
        <v>0.0</v>
      </c>
      <c r="S11" s="15" t="str">
        <f t="shared" si="4"/>
        <v>ROSOV-17</v>
      </c>
      <c r="T11" s="18" t="s">
        <v>57</v>
      </c>
      <c r="U11" s="3"/>
      <c r="V11" s="3"/>
      <c r="W11" s="3"/>
      <c r="X11" s="3"/>
      <c r="Y11" s="14" t="s">
        <v>475</v>
      </c>
      <c r="Z11" s="17">
        <v>0.0</v>
      </c>
      <c r="AA11" s="15" t="str">
        <f t="shared" si="5"/>
        <v>ROSOV-18</v>
      </c>
      <c r="AB11" s="18" t="s">
        <v>61</v>
      </c>
      <c r="AC11" s="3"/>
      <c r="AD11" s="3"/>
      <c r="AE11" s="3"/>
      <c r="AF11" s="3"/>
      <c r="AG11" s="20" t="s">
        <v>476</v>
      </c>
      <c r="AH11" s="17">
        <v>0.0</v>
      </c>
      <c r="AI11" s="15" t="str">
        <f t="shared" si="6"/>
        <v>MOV-017</v>
      </c>
      <c r="AJ11" s="18" t="s">
        <v>65</v>
      </c>
      <c r="AK11" s="3"/>
      <c r="AL11" s="3"/>
      <c r="AM11" s="3"/>
      <c r="AN11" s="3"/>
      <c r="AO11" s="3"/>
      <c r="AP11" s="3"/>
      <c r="AQ11" s="3"/>
      <c r="AR11" s="3"/>
      <c r="AS11" s="20" t="s">
        <v>477</v>
      </c>
      <c r="AT11" s="17">
        <v>0.0</v>
      </c>
      <c r="AU11" s="15" t="str">
        <f t="shared" si="7"/>
        <v>MOV-018</v>
      </c>
      <c r="AV11" s="18" t="s">
        <v>68</v>
      </c>
      <c r="AW11" s="53"/>
      <c r="AX11" s="53"/>
    </row>
    <row r="12" ht="15.75" customHeight="1">
      <c r="A12" s="7">
        <v>1856.0</v>
      </c>
      <c r="B12" s="13" t="s">
        <v>407</v>
      </c>
      <c r="C12" s="9" t="str">
        <f t="shared" si="1"/>
        <v>TK-16_BS VI HSD</v>
      </c>
      <c r="D12" s="23" t="s">
        <v>271</v>
      </c>
      <c r="E12" s="24" t="s">
        <v>40</v>
      </c>
      <c r="F12" s="23" t="s">
        <v>90</v>
      </c>
      <c r="G12" s="14" t="s">
        <v>478</v>
      </c>
      <c r="H12" s="17">
        <v>0.0</v>
      </c>
      <c r="I12" s="14" t="s">
        <v>479</v>
      </c>
      <c r="J12" s="17">
        <v>0.0</v>
      </c>
      <c r="K12" s="15" t="str">
        <f t="shared" si="2"/>
        <v>LSW-10</v>
      </c>
      <c r="L12" s="18" t="s">
        <v>49</v>
      </c>
      <c r="M12" s="14" t="s">
        <v>480</v>
      </c>
      <c r="N12" s="17">
        <v>0.0</v>
      </c>
      <c r="O12" s="15" t="str">
        <f t="shared" si="3"/>
        <v>RDR-10</v>
      </c>
      <c r="P12" s="18" t="s">
        <v>53</v>
      </c>
      <c r="Q12" s="14" t="s">
        <v>481</v>
      </c>
      <c r="R12" s="17">
        <v>0.0</v>
      </c>
      <c r="S12" s="15" t="str">
        <f t="shared" si="4"/>
        <v>ROSOV-19</v>
      </c>
      <c r="T12" s="18" t="s">
        <v>57</v>
      </c>
      <c r="U12" s="3"/>
      <c r="V12" s="3"/>
      <c r="W12" s="3"/>
      <c r="X12" s="3"/>
      <c r="Y12" s="14" t="s">
        <v>482</v>
      </c>
      <c r="Z12" s="17">
        <v>0.0</v>
      </c>
      <c r="AA12" s="15" t="str">
        <f t="shared" si="5"/>
        <v>ROSOV-20</v>
      </c>
      <c r="AB12" s="18" t="s">
        <v>61</v>
      </c>
      <c r="AC12" s="3"/>
      <c r="AD12" s="3"/>
      <c r="AE12" s="3"/>
      <c r="AF12" s="3"/>
      <c r="AG12" s="20" t="s">
        <v>483</v>
      </c>
      <c r="AH12" s="17">
        <v>0.0</v>
      </c>
      <c r="AI12" s="15" t="str">
        <f t="shared" si="6"/>
        <v>MOV-019</v>
      </c>
      <c r="AJ12" s="18" t="s">
        <v>65</v>
      </c>
      <c r="AK12" s="3"/>
      <c r="AL12" s="3"/>
      <c r="AM12" s="3"/>
      <c r="AN12" s="3"/>
      <c r="AO12" s="3"/>
      <c r="AP12" s="3"/>
      <c r="AQ12" s="3"/>
      <c r="AR12" s="3"/>
      <c r="AS12" s="20" t="s">
        <v>484</v>
      </c>
      <c r="AT12" s="17">
        <v>0.0</v>
      </c>
      <c r="AU12" s="15" t="str">
        <f t="shared" si="7"/>
        <v>MOV-020</v>
      </c>
      <c r="AV12" s="18" t="s">
        <v>68</v>
      </c>
      <c r="AW12" s="53"/>
      <c r="AX12" s="53"/>
    </row>
    <row r="13" ht="15.75" customHeight="1">
      <c r="A13" s="7">
        <v>1856.0</v>
      </c>
      <c r="B13" s="13" t="s">
        <v>407</v>
      </c>
      <c r="C13" s="9" t="str">
        <f t="shared" si="1"/>
        <v>TK-23_ATF</v>
      </c>
      <c r="D13" s="23" t="s">
        <v>316</v>
      </c>
      <c r="E13" s="24" t="s">
        <v>169</v>
      </c>
      <c r="F13" s="23" t="s">
        <v>41</v>
      </c>
      <c r="G13" s="14" t="s">
        <v>485</v>
      </c>
      <c r="H13" s="17">
        <v>0.0</v>
      </c>
      <c r="I13" s="14" t="s">
        <v>486</v>
      </c>
      <c r="J13" s="17">
        <v>0.0</v>
      </c>
      <c r="K13" s="15" t="str">
        <f t="shared" si="2"/>
        <v>LSW-12</v>
      </c>
      <c r="L13" s="18" t="s">
        <v>49</v>
      </c>
      <c r="M13" s="14" t="s">
        <v>487</v>
      </c>
      <c r="N13" s="17">
        <v>0.0</v>
      </c>
      <c r="O13" s="15" t="str">
        <f t="shared" si="3"/>
        <v>RDR-12</v>
      </c>
      <c r="P13" s="18" t="s">
        <v>53</v>
      </c>
      <c r="Q13" s="14" t="s">
        <v>488</v>
      </c>
      <c r="R13" s="17">
        <v>0.0</v>
      </c>
      <c r="S13" s="15" t="str">
        <f t="shared" si="4"/>
        <v>ROSOV-41</v>
      </c>
      <c r="T13" s="18" t="s">
        <v>57</v>
      </c>
      <c r="U13" s="3"/>
      <c r="V13" s="3"/>
      <c r="W13" s="3"/>
      <c r="X13" s="3"/>
      <c r="Y13" s="14" t="s">
        <v>489</v>
      </c>
      <c r="Z13" s="17">
        <v>0.0</v>
      </c>
      <c r="AA13" s="15" t="str">
        <f t="shared" si="5"/>
        <v>ROSOV-42</v>
      </c>
      <c r="AB13" s="18" t="s">
        <v>61</v>
      </c>
      <c r="AC13" s="3"/>
      <c r="AD13" s="3"/>
      <c r="AE13" s="3"/>
      <c r="AF13" s="3"/>
      <c r="AG13" s="20" t="s">
        <v>490</v>
      </c>
      <c r="AH13" s="17">
        <v>0.0</v>
      </c>
      <c r="AI13" s="15" t="str">
        <f t="shared" si="6"/>
        <v>MOV-034</v>
      </c>
      <c r="AJ13" s="18" t="s">
        <v>65</v>
      </c>
      <c r="AK13" s="3"/>
      <c r="AL13" s="3"/>
      <c r="AM13" s="3"/>
      <c r="AN13" s="3"/>
      <c r="AO13" s="3"/>
      <c r="AP13" s="3"/>
      <c r="AQ13" s="3"/>
      <c r="AR13" s="3"/>
      <c r="AS13" s="20" t="s">
        <v>491</v>
      </c>
      <c r="AT13" s="17">
        <v>0.0</v>
      </c>
      <c r="AU13" s="15" t="str">
        <f t="shared" si="7"/>
        <v>MOV-035</v>
      </c>
      <c r="AV13" s="18" t="s">
        <v>68</v>
      </c>
      <c r="AW13" s="53"/>
      <c r="AX13" s="53"/>
    </row>
    <row r="14" ht="15.75" customHeight="1">
      <c r="A14" s="7">
        <v>1856.0</v>
      </c>
      <c r="B14" s="13" t="s">
        <v>407</v>
      </c>
      <c r="C14" s="9" t="str">
        <f t="shared" si="1"/>
        <v>TK-24_ATF</v>
      </c>
      <c r="D14" s="23" t="s">
        <v>335</v>
      </c>
      <c r="E14" s="24" t="s">
        <v>169</v>
      </c>
      <c r="F14" s="23" t="s">
        <v>41</v>
      </c>
      <c r="G14" s="14" t="s">
        <v>492</v>
      </c>
      <c r="H14" s="17">
        <v>0.0</v>
      </c>
      <c r="I14" s="14" t="s">
        <v>493</v>
      </c>
      <c r="J14" s="17">
        <v>0.0</v>
      </c>
      <c r="K14" s="15" t="str">
        <f t="shared" si="2"/>
        <v>LSW-13</v>
      </c>
      <c r="L14" s="18" t="s">
        <v>49</v>
      </c>
      <c r="M14" s="14" t="s">
        <v>494</v>
      </c>
      <c r="N14" s="17">
        <v>0.0</v>
      </c>
      <c r="O14" s="15" t="str">
        <f t="shared" si="3"/>
        <v>RDR-13</v>
      </c>
      <c r="P14" s="18" t="s">
        <v>53</v>
      </c>
      <c r="Q14" s="14" t="s">
        <v>495</v>
      </c>
      <c r="R14" s="17">
        <v>0.0</v>
      </c>
      <c r="S14" s="15" t="str">
        <f t="shared" si="4"/>
        <v>ROSOV-43</v>
      </c>
      <c r="T14" s="18" t="s">
        <v>57</v>
      </c>
      <c r="U14" s="3"/>
      <c r="V14" s="3"/>
      <c r="W14" s="3"/>
      <c r="X14" s="3"/>
      <c r="Y14" s="14" t="s">
        <v>496</v>
      </c>
      <c r="Z14" s="17">
        <v>0.0</v>
      </c>
      <c r="AA14" s="15" t="str">
        <f t="shared" si="5"/>
        <v>ROSOV-44</v>
      </c>
      <c r="AB14" s="18" t="s">
        <v>61</v>
      </c>
      <c r="AC14" s="3"/>
      <c r="AD14" s="3"/>
      <c r="AE14" s="3"/>
      <c r="AF14" s="3"/>
      <c r="AG14" s="20" t="s">
        <v>497</v>
      </c>
      <c r="AH14" s="17">
        <v>0.0</v>
      </c>
      <c r="AI14" s="15" t="str">
        <f t="shared" si="6"/>
        <v>MOV-036</v>
      </c>
      <c r="AJ14" s="18" t="s">
        <v>65</v>
      </c>
      <c r="AK14" s="3"/>
      <c r="AL14" s="3"/>
      <c r="AM14" s="3"/>
      <c r="AN14" s="3"/>
      <c r="AO14" s="3"/>
      <c r="AP14" s="3"/>
      <c r="AQ14" s="3"/>
      <c r="AR14" s="3"/>
      <c r="AS14" s="20" t="s">
        <v>498</v>
      </c>
      <c r="AT14" s="17">
        <v>0.0</v>
      </c>
      <c r="AU14" s="15" t="str">
        <f t="shared" si="7"/>
        <v>MOV-037</v>
      </c>
      <c r="AV14" s="18" t="s">
        <v>68</v>
      </c>
      <c r="AW14" s="53"/>
      <c r="AX14" s="53"/>
    </row>
    <row r="15" ht="15.75" customHeight="1">
      <c r="G15" s="34"/>
      <c r="H15" s="34"/>
      <c r="I15" s="26"/>
      <c r="J15" s="26"/>
      <c r="K15" s="26"/>
      <c r="L15" s="26"/>
      <c r="M15" s="26"/>
      <c r="N15" s="26"/>
      <c r="O15" s="26"/>
      <c r="P15" s="26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</row>
    <row r="16" ht="15.75" customHeight="1">
      <c r="G16" s="35"/>
      <c r="H16" s="35"/>
      <c r="I16" s="26"/>
      <c r="J16" s="26"/>
      <c r="K16" s="26"/>
      <c r="L16" s="26"/>
      <c r="M16" s="26"/>
      <c r="N16" s="26"/>
      <c r="O16" s="26"/>
      <c r="P16" s="26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ht="15.75" customHeight="1">
      <c r="G17" s="35"/>
      <c r="H17" s="35"/>
      <c r="I17" s="26"/>
      <c r="J17" s="26"/>
      <c r="K17" s="26"/>
      <c r="L17" s="26"/>
      <c r="M17" s="26"/>
      <c r="N17" s="26"/>
      <c r="O17" s="26"/>
      <c r="P17" s="26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ht="15.75" customHeight="1">
      <c r="G18" s="35"/>
      <c r="H18" s="35"/>
      <c r="I18" s="26"/>
      <c r="J18" s="26"/>
      <c r="K18" s="26"/>
      <c r="L18" s="26"/>
      <c r="M18" s="26"/>
      <c r="N18" s="26"/>
      <c r="O18" s="26"/>
      <c r="P18" s="26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ht="15.75" customHeight="1">
      <c r="G19" s="35"/>
      <c r="H19" s="35"/>
      <c r="I19" s="26"/>
      <c r="J19" s="26"/>
      <c r="K19" s="26"/>
      <c r="L19" s="26"/>
      <c r="M19" s="26"/>
      <c r="N19" s="26"/>
      <c r="O19" s="26"/>
      <c r="P19" s="26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ht="15.75" customHeight="1">
      <c r="G20" s="35"/>
      <c r="H20" s="35"/>
      <c r="I20" s="26"/>
      <c r="J20" s="26"/>
      <c r="K20" s="26"/>
      <c r="L20" s="26"/>
      <c r="M20" s="26"/>
      <c r="N20" s="26"/>
      <c r="O20" s="26"/>
      <c r="P20" s="26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ht="15.75" customHeight="1">
      <c r="G21" s="35"/>
      <c r="H21" s="35"/>
      <c r="I21" s="26"/>
      <c r="J21" s="26"/>
      <c r="K21" s="26"/>
      <c r="L21" s="26"/>
      <c r="M21" s="26"/>
      <c r="N21" s="26"/>
      <c r="O21" s="26"/>
      <c r="P21" s="26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ht="15.75" customHeight="1">
      <c r="G22" s="35"/>
      <c r="H22" s="35"/>
      <c r="I22" s="26"/>
      <c r="J22" s="26"/>
      <c r="K22" s="26"/>
      <c r="L22" s="26"/>
      <c r="M22" s="26"/>
      <c r="N22" s="26"/>
      <c r="O22" s="26"/>
      <c r="P22" s="26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ht="15.75" customHeight="1">
      <c r="G23" s="35"/>
      <c r="H23" s="35"/>
      <c r="I23" s="26"/>
      <c r="J23" s="26"/>
      <c r="K23" s="26"/>
      <c r="L23" s="26"/>
      <c r="M23" s="26"/>
      <c r="N23" s="26"/>
      <c r="O23" s="26"/>
      <c r="P23" s="26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ht="15.75" customHeight="1">
      <c r="G24" s="35"/>
      <c r="H24" s="35"/>
      <c r="I24" s="26"/>
      <c r="J24" s="26"/>
      <c r="K24" s="26"/>
      <c r="L24" s="26"/>
      <c r="M24" s="26"/>
      <c r="N24" s="26"/>
      <c r="O24" s="26"/>
      <c r="P24" s="26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ht="15.75" customHeight="1">
      <c r="G25" s="35"/>
      <c r="H25" s="35"/>
      <c r="I25" s="26"/>
      <c r="J25" s="26"/>
      <c r="K25" s="26"/>
      <c r="L25" s="26"/>
      <c r="M25" s="26"/>
      <c r="N25" s="26"/>
      <c r="O25" s="26"/>
      <c r="P25" s="26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ht="15.75" customHeight="1">
      <c r="G26" s="35"/>
      <c r="H26" s="35"/>
      <c r="I26" s="26"/>
      <c r="J26" s="26"/>
      <c r="K26" s="26"/>
      <c r="L26" s="26"/>
      <c r="M26" s="26"/>
      <c r="N26" s="26"/>
      <c r="O26" s="26"/>
      <c r="P26" s="26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ht="15.75" customHeight="1">
      <c r="G27" s="35"/>
      <c r="H27" s="35"/>
      <c r="I27" s="26"/>
      <c r="J27" s="26"/>
      <c r="K27" s="26"/>
      <c r="L27" s="26"/>
      <c r="M27" s="26"/>
      <c r="N27" s="26"/>
      <c r="O27" s="26"/>
      <c r="P27" s="26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ht="15.75" customHeight="1">
      <c r="G28" s="35"/>
      <c r="H28" s="35"/>
      <c r="I28" s="26"/>
      <c r="J28" s="26"/>
      <c r="K28" s="26"/>
      <c r="L28" s="26"/>
      <c r="M28" s="26"/>
      <c r="N28" s="26"/>
      <c r="O28" s="26"/>
      <c r="P28" s="26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ht="15.75" customHeight="1">
      <c r="G29" s="35"/>
      <c r="H29" s="35"/>
      <c r="I29" s="26"/>
      <c r="J29" s="26"/>
      <c r="K29" s="26"/>
      <c r="L29" s="26"/>
      <c r="M29" s="26"/>
      <c r="N29" s="26"/>
      <c r="O29" s="26"/>
      <c r="P29" s="26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ht="15.75" customHeight="1">
      <c r="G30" s="35"/>
      <c r="H30" s="35"/>
      <c r="I30" s="26"/>
      <c r="J30" s="26"/>
      <c r="K30" s="26"/>
      <c r="L30" s="26"/>
      <c r="M30" s="26"/>
      <c r="N30" s="26"/>
      <c r="O30" s="26"/>
      <c r="P30" s="26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ht="15.75" customHeight="1">
      <c r="G31" s="35"/>
      <c r="H31" s="35"/>
      <c r="I31" s="26"/>
      <c r="J31" s="26"/>
      <c r="K31" s="26"/>
      <c r="L31" s="26"/>
      <c r="M31" s="26"/>
      <c r="N31" s="26"/>
      <c r="O31" s="26"/>
      <c r="P31" s="26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ht="15.75" customHeight="1">
      <c r="G32" s="35"/>
      <c r="H32" s="35"/>
      <c r="I32" s="26"/>
      <c r="J32" s="26"/>
      <c r="K32" s="26"/>
      <c r="L32" s="26"/>
      <c r="M32" s="26"/>
      <c r="N32" s="26"/>
      <c r="O32" s="26"/>
      <c r="P32" s="26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ht="15.75" customHeight="1">
      <c r="G33" s="35"/>
      <c r="H33" s="35"/>
      <c r="I33" s="26"/>
      <c r="J33" s="26"/>
      <c r="K33" s="26"/>
      <c r="L33" s="26"/>
      <c r="M33" s="26"/>
      <c r="N33" s="26"/>
      <c r="O33" s="26"/>
      <c r="P33" s="26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ht="15.75" customHeight="1">
      <c r="G34" s="35"/>
      <c r="H34" s="35"/>
      <c r="I34" s="26"/>
      <c r="J34" s="26"/>
      <c r="K34" s="26"/>
      <c r="L34" s="26"/>
      <c r="M34" s="26"/>
      <c r="N34" s="26"/>
      <c r="O34" s="26"/>
      <c r="P34" s="26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ht="15.75" customHeight="1">
      <c r="G35" s="35"/>
      <c r="H35" s="35"/>
      <c r="I35" s="26"/>
      <c r="J35" s="26"/>
      <c r="K35" s="26"/>
      <c r="L35" s="26"/>
      <c r="M35" s="26"/>
      <c r="N35" s="26"/>
      <c r="O35" s="26"/>
      <c r="P35" s="26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ht="15.75" customHeight="1">
      <c r="G36" s="35"/>
      <c r="H36" s="35"/>
      <c r="I36" s="26"/>
      <c r="J36" s="26"/>
      <c r="K36" s="26"/>
      <c r="L36" s="26"/>
      <c r="M36" s="26"/>
      <c r="N36" s="26"/>
      <c r="O36" s="26"/>
      <c r="P36" s="26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ht="15.75" customHeight="1">
      <c r="G37" s="35"/>
      <c r="H37" s="35"/>
      <c r="I37" s="26"/>
      <c r="J37" s="26"/>
      <c r="K37" s="26"/>
      <c r="L37" s="26"/>
      <c r="M37" s="26"/>
      <c r="N37" s="26"/>
      <c r="O37" s="26"/>
      <c r="P37" s="2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ht="15.75" customHeight="1">
      <c r="G38" s="35"/>
      <c r="H38" s="35"/>
      <c r="I38" s="26"/>
      <c r="J38" s="26"/>
      <c r="K38" s="26"/>
      <c r="L38" s="26"/>
      <c r="M38" s="26"/>
      <c r="N38" s="26"/>
      <c r="O38" s="26"/>
      <c r="P38" s="2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ht="15.75" customHeight="1">
      <c r="G39" s="35"/>
      <c r="H39" s="35"/>
      <c r="I39" s="26"/>
      <c r="J39" s="26"/>
      <c r="K39" s="26"/>
      <c r="L39" s="26"/>
      <c r="M39" s="26"/>
      <c r="N39" s="26"/>
      <c r="O39" s="26"/>
      <c r="P39" s="2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ht="15.75" customHeight="1">
      <c r="G40" s="35"/>
      <c r="H40" s="35"/>
      <c r="I40" s="26"/>
      <c r="J40" s="26"/>
      <c r="K40" s="26"/>
      <c r="L40" s="26"/>
      <c r="M40" s="26"/>
      <c r="N40" s="26"/>
      <c r="O40" s="26"/>
      <c r="P40" s="2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ht="15.75" customHeight="1">
      <c r="G41" s="35"/>
      <c r="H41" s="35"/>
      <c r="I41" s="26"/>
      <c r="J41" s="26"/>
      <c r="K41" s="26"/>
      <c r="L41" s="26"/>
      <c r="M41" s="26"/>
      <c r="N41" s="26"/>
      <c r="O41" s="26"/>
      <c r="P41" s="2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ht="15.75" customHeight="1">
      <c r="G42" s="35"/>
      <c r="H42" s="35"/>
      <c r="I42" s="26"/>
      <c r="J42" s="26"/>
      <c r="K42" s="26"/>
      <c r="L42" s="26"/>
      <c r="M42" s="26"/>
      <c r="N42" s="26"/>
      <c r="O42" s="26"/>
      <c r="P42" s="2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ht="15.75" customHeight="1">
      <c r="G43" s="35"/>
      <c r="H43" s="35"/>
      <c r="I43" s="26"/>
      <c r="J43" s="26"/>
      <c r="K43" s="26"/>
      <c r="L43" s="26"/>
      <c r="M43" s="26"/>
      <c r="N43" s="26"/>
      <c r="O43" s="26"/>
      <c r="P43" s="2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ht="15.75" customHeight="1">
      <c r="G44" s="35"/>
      <c r="H44" s="35"/>
      <c r="I44" s="26"/>
      <c r="J44" s="26"/>
      <c r="K44" s="26"/>
      <c r="L44" s="26"/>
      <c r="M44" s="26"/>
      <c r="N44" s="26"/>
      <c r="O44" s="26"/>
      <c r="P44" s="2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</row>
    <row r="45" ht="15.75" customHeight="1">
      <c r="G45" s="35"/>
      <c r="H45" s="35"/>
      <c r="I45" s="26"/>
      <c r="J45" s="26"/>
      <c r="K45" s="26"/>
      <c r="L45" s="26"/>
      <c r="M45" s="26"/>
      <c r="N45" s="26"/>
      <c r="O45" s="26"/>
      <c r="P45" s="2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</row>
    <row r="46" ht="15.75" customHeight="1">
      <c r="G46" s="35"/>
      <c r="H46" s="35"/>
      <c r="I46" s="26"/>
      <c r="J46" s="26"/>
      <c r="K46" s="26"/>
      <c r="L46" s="26"/>
      <c r="M46" s="26"/>
      <c r="N46" s="26"/>
      <c r="O46" s="26"/>
      <c r="P46" s="26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</row>
    <row r="47" ht="15.75" customHeight="1">
      <c r="G47" s="35"/>
      <c r="H47" s="35"/>
      <c r="I47" s="26"/>
      <c r="J47" s="26"/>
      <c r="K47" s="26"/>
      <c r="L47" s="26"/>
      <c r="M47" s="26"/>
      <c r="N47" s="26"/>
      <c r="O47" s="26"/>
      <c r="P47" s="26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</row>
    <row r="48" ht="15.75" customHeight="1">
      <c r="G48" s="35"/>
      <c r="H48" s="35"/>
      <c r="I48" s="26"/>
      <c r="J48" s="26"/>
      <c r="K48" s="26"/>
      <c r="L48" s="26"/>
      <c r="M48" s="26"/>
      <c r="N48" s="26"/>
      <c r="O48" s="26"/>
      <c r="P48" s="26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</row>
    <row r="49" ht="15.75" customHeight="1">
      <c r="G49" s="35"/>
      <c r="H49" s="35"/>
      <c r="I49" s="26"/>
      <c r="J49" s="26"/>
      <c r="K49" s="26"/>
      <c r="L49" s="26"/>
      <c r="M49" s="26"/>
      <c r="N49" s="26"/>
      <c r="O49" s="26"/>
      <c r="P49" s="26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</row>
    <row r="50" ht="15.75" customHeight="1">
      <c r="G50" s="35"/>
      <c r="H50" s="35"/>
      <c r="I50" s="26"/>
      <c r="J50" s="26"/>
      <c r="K50" s="26"/>
      <c r="L50" s="26"/>
      <c r="M50" s="26"/>
      <c r="N50" s="26"/>
      <c r="O50" s="26"/>
      <c r="P50" s="26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</row>
    <row r="51" ht="15.75" customHeight="1">
      <c r="G51" s="35"/>
      <c r="H51" s="35"/>
      <c r="I51" s="26"/>
      <c r="J51" s="26"/>
      <c r="K51" s="26"/>
      <c r="L51" s="26"/>
      <c r="M51" s="26"/>
      <c r="N51" s="26"/>
      <c r="O51" s="26"/>
      <c r="P51" s="26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</row>
    <row r="52" ht="15.75" customHeight="1">
      <c r="G52" s="35"/>
      <c r="H52" s="35"/>
      <c r="I52" s="26"/>
      <c r="J52" s="26"/>
      <c r="K52" s="26"/>
      <c r="L52" s="26"/>
      <c r="M52" s="26"/>
      <c r="N52" s="26"/>
      <c r="O52" s="26"/>
      <c r="P52" s="26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</row>
    <row r="53" ht="15.75" customHeight="1">
      <c r="G53" s="35"/>
      <c r="H53" s="35"/>
      <c r="I53" s="26"/>
      <c r="J53" s="26"/>
      <c r="K53" s="26"/>
      <c r="L53" s="26"/>
      <c r="M53" s="26"/>
      <c r="N53" s="26"/>
      <c r="O53" s="26"/>
      <c r="P53" s="26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</row>
    <row r="54" ht="15.75" customHeight="1">
      <c r="G54" s="35"/>
      <c r="H54" s="35"/>
      <c r="I54" s="26"/>
      <c r="J54" s="26"/>
      <c r="K54" s="26"/>
      <c r="L54" s="26"/>
      <c r="M54" s="26"/>
      <c r="N54" s="26"/>
      <c r="O54" s="26"/>
      <c r="P54" s="26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</row>
    <row r="55" ht="15.75" customHeight="1">
      <c r="G55" s="35"/>
      <c r="H55" s="35"/>
      <c r="I55" s="26"/>
      <c r="J55" s="26"/>
      <c r="K55" s="26"/>
      <c r="L55" s="26"/>
      <c r="M55" s="26"/>
      <c r="N55" s="26"/>
      <c r="O55" s="26"/>
      <c r="P55" s="26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</row>
    <row r="56" ht="15.75" customHeight="1">
      <c r="G56" s="35"/>
      <c r="H56" s="35"/>
      <c r="I56" s="26"/>
      <c r="J56" s="26"/>
      <c r="K56" s="26"/>
      <c r="L56" s="26"/>
      <c r="M56" s="26"/>
      <c r="N56" s="26"/>
      <c r="O56" s="26"/>
      <c r="P56" s="26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</row>
    <row r="57" ht="15.75" customHeight="1">
      <c r="G57" s="35"/>
      <c r="H57" s="35"/>
      <c r="I57" s="26"/>
      <c r="J57" s="26"/>
      <c r="K57" s="26"/>
      <c r="L57" s="26"/>
      <c r="M57" s="26"/>
      <c r="N57" s="26"/>
      <c r="O57" s="26"/>
      <c r="P57" s="26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</row>
    <row r="58" ht="15.75" customHeight="1">
      <c r="G58" s="35"/>
      <c r="H58" s="35"/>
      <c r="I58" s="26"/>
      <c r="J58" s="26"/>
      <c r="K58" s="26"/>
      <c r="L58" s="26"/>
      <c r="M58" s="26"/>
      <c r="N58" s="26"/>
      <c r="O58" s="26"/>
      <c r="P58" s="26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</row>
    <row r="59" ht="15.75" customHeight="1">
      <c r="G59" s="35"/>
      <c r="H59" s="35"/>
      <c r="I59" s="26"/>
      <c r="J59" s="26"/>
      <c r="K59" s="26"/>
      <c r="L59" s="26"/>
      <c r="M59" s="26"/>
      <c r="N59" s="26"/>
      <c r="O59" s="26"/>
      <c r="P59" s="26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</row>
    <row r="60" ht="15.75" customHeight="1">
      <c r="G60" s="35"/>
      <c r="H60" s="35"/>
      <c r="I60" s="26"/>
      <c r="J60" s="26"/>
      <c r="K60" s="26"/>
      <c r="L60" s="26"/>
      <c r="M60" s="26"/>
      <c r="N60" s="26"/>
      <c r="O60" s="26"/>
      <c r="P60" s="26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</row>
    <row r="61" ht="15.75" customHeight="1">
      <c r="G61" s="35"/>
      <c r="H61" s="35"/>
      <c r="I61" s="26"/>
      <c r="J61" s="26"/>
      <c r="K61" s="26"/>
      <c r="L61" s="26"/>
      <c r="M61" s="26"/>
      <c r="N61" s="26"/>
      <c r="O61" s="26"/>
      <c r="P61" s="26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</row>
    <row r="62" ht="15.75" customHeight="1">
      <c r="G62" s="35"/>
      <c r="H62" s="35"/>
      <c r="I62" s="26"/>
      <c r="J62" s="26"/>
      <c r="K62" s="26"/>
      <c r="L62" s="26"/>
      <c r="M62" s="26"/>
      <c r="N62" s="26"/>
      <c r="O62" s="26"/>
      <c r="P62" s="26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</row>
    <row r="63" ht="15.75" customHeight="1">
      <c r="G63" s="35"/>
      <c r="H63" s="35"/>
      <c r="I63" s="26"/>
      <c r="J63" s="26"/>
      <c r="K63" s="26"/>
      <c r="L63" s="26"/>
      <c r="M63" s="26"/>
      <c r="N63" s="26"/>
      <c r="O63" s="26"/>
      <c r="P63" s="26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</row>
    <row r="64" ht="15.75" customHeight="1">
      <c r="G64" s="35"/>
      <c r="H64" s="35"/>
      <c r="I64" s="26"/>
      <c r="J64" s="26"/>
      <c r="K64" s="26"/>
      <c r="L64" s="26"/>
      <c r="M64" s="26"/>
      <c r="N64" s="26"/>
      <c r="O64" s="26"/>
      <c r="P64" s="26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</row>
    <row r="65" ht="15.75" customHeight="1">
      <c r="G65" s="35"/>
      <c r="H65" s="35"/>
      <c r="I65" s="26"/>
      <c r="J65" s="26"/>
      <c r="K65" s="26"/>
      <c r="L65" s="26"/>
      <c r="M65" s="26"/>
      <c r="N65" s="26"/>
      <c r="O65" s="26"/>
      <c r="P65" s="26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</row>
    <row r="66" ht="15.75" customHeight="1">
      <c r="G66" s="35"/>
      <c r="H66" s="35"/>
      <c r="I66" s="26"/>
      <c r="J66" s="26"/>
      <c r="K66" s="26"/>
      <c r="L66" s="26"/>
      <c r="M66" s="26"/>
      <c r="N66" s="26"/>
      <c r="O66" s="26"/>
      <c r="P66" s="26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</row>
    <row r="67" ht="15.75" customHeight="1">
      <c r="G67" s="35"/>
      <c r="H67" s="35"/>
      <c r="I67" s="26"/>
      <c r="J67" s="26"/>
      <c r="K67" s="26"/>
      <c r="L67" s="26"/>
      <c r="M67" s="26"/>
      <c r="N67" s="26"/>
      <c r="O67" s="26"/>
      <c r="P67" s="26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</row>
    <row r="68" ht="15.75" customHeight="1">
      <c r="G68" s="35"/>
      <c r="H68" s="35"/>
      <c r="I68" s="26"/>
      <c r="J68" s="26"/>
      <c r="K68" s="26"/>
      <c r="L68" s="26"/>
      <c r="M68" s="26"/>
      <c r="N68" s="26"/>
      <c r="O68" s="26"/>
      <c r="P68" s="26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</row>
    <row r="69" ht="15.75" customHeight="1">
      <c r="G69" s="35"/>
      <c r="H69" s="35"/>
      <c r="I69" s="26"/>
      <c r="J69" s="26"/>
      <c r="K69" s="26"/>
      <c r="L69" s="26"/>
      <c r="M69" s="26"/>
      <c r="N69" s="26"/>
      <c r="O69" s="26"/>
      <c r="P69" s="26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</row>
    <row r="70" ht="15.75" customHeight="1">
      <c r="G70" s="35"/>
      <c r="H70" s="35"/>
      <c r="I70" s="26"/>
      <c r="J70" s="26"/>
      <c r="K70" s="26"/>
      <c r="L70" s="26"/>
      <c r="M70" s="26"/>
      <c r="N70" s="26"/>
      <c r="O70" s="26"/>
      <c r="P70" s="26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</row>
    <row r="71" ht="15.75" customHeight="1">
      <c r="G71" s="35"/>
      <c r="H71" s="35"/>
      <c r="I71" s="26"/>
      <c r="J71" s="26"/>
      <c r="K71" s="26"/>
      <c r="L71" s="26"/>
      <c r="M71" s="26"/>
      <c r="N71" s="26"/>
      <c r="O71" s="26"/>
      <c r="P71" s="26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</row>
    <row r="72" ht="15.75" customHeight="1">
      <c r="G72" s="35"/>
      <c r="H72" s="35"/>
      <c r="I72" s="26"/>
      <c r="J72" s="26"/>
      <c r="K72" s="26"/>
      <c r="L72" s="26"/>
      <c r="M72" s="26"/>
      <c r="N72" s="26"/>
      <c r="O72" s="26"/>
      <c r="P72" s="26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</row>
    <row r="73" ht="15.75" customHeight="1">
      <c r="G73" s="35"/>
      <c r="H73" s="35"/>
      <c r="I73" s="26"/>
      <c r="J73" s="26"/>
      <c r="K73" s="26"/>
      <c r="L73" s="26"/>
      <c r="M73" s="26"/>
      <c r="N73" s="26"/>
      <c r="O73" s="26"/>
      <c r="P73" s="26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</row>
    <row r="74" ht="15.75" customHeight="1">
      <c r="G74" s="35"/>
      <c r="H74" s="35"/>
      <c r="I74" s="26"/>
      <c r="J74" s="26"/>
      <c r="K74" s="26"/>
      <c r="L74" s="26"/>
      <c r="M74" s="26"/>
      <c r="N74" s="26"/>
      <c r="O74" s="26"/>
      <c r="P74" s="26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</row>
    <row r="75" ht="15.75" customHeight="1">
      <c r="G75" s="35"/>
      <c r="H75" s="35"/>
      <c r="I75" s="26"/>
      <c r="J75" s="26"/>
      <c r="K75" s="26"/>
      <c r="L75" s="26"/>
      <c r="M75" s="26"/>
      <c r="N75" s="26"/>
      <c r="O75" s="26"/>
      <c r="P75" s="26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</row>
    <row r="76" ht="15.75" customHeight="1">
      <c r="G76" s="35"/>
      <c r="H76" s="35"/>
      <c r="I76" s="26"/>
      <c r="J76" s="26"/>
      <c r="K76" s="26"/>
      <c r="L76" s="26"/>
      <c r="M76" s="26"/>
      <c r="N76" s="26"/>
      <c r="O76" s="26"/>
      <c r="P76" s="26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</row>
    <row r="77" ht="15.75" customHeight="1">
      <c r="G77" s="35"/>
      <c r="H77" s="35"/>
      <c r="I77" s="26"/>
      <c r="J77" s="26"/>
      <c r="K77" s="26"/>
      <c r="L77" s="26"/>
      <c r="M77" s="26"/>
      <c r="N77" s="26"/>
      <c r="O77" s="26"/>
      <c r="P77" s="26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</row>
    <row r="78" ht="15.75" customHeight="1">
      <c r="G78" s="35"/>
      <c r="H78" s="35"/>
      <c r="I78" s="26"/>
      <c r="J78" s="26"/>
      <c r="K78" s="26"/>
      <c r="L78" s="26"/>
      <c r="M78" s="26"/>
      <c r="N78" s="26"/>
      <c r="O78" s="26"/>
      <c r="P78" s="26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</row>
    <row r="79" ht="15.75" customHeight="1">
      <c r="G79" s="35"/>
      <c r="H79" s="35"/>
      <c r="I79" s="26"/>
      <c r="J79" s="26"/>
      <c r="K79" s="26"/>
      <c r="L79" s="26"/>
      <c r="M79" s="26"/>
      <c r="N79" s="26"/>
      <c r="O79" s="26"/>
      <c r="P79" s="26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</row>
    <row r="80" ht="15.75" customHeight="1">
      <c r="G80" s="35"/>
      <c r="H80" s="35"/>
      <c r="I80" s="26"/>
      <c r="J80" s="26"/>
      <c r="K80" s="26"/>
      <c r="L80" s="26"/>
      <c r="M80" s="26"/>
      <c r="N80" s="26"/>
      <c r="O80" s="26"/>
      <c r="P80" s="26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</row>
    <row r="81" ht="15.75" customHeight="1">
      <c r="G81" s="35"/>
      <c r="H81" s="35"/>
      <c r="I81" s="26"/>
      <c r="J81" s="26"/>
      <c r="K81" s="26"/>
      <c r="L81" s="26"/>
      <c r="M81" s="26"/>
      <c r="N81" s="26"/>
      <c r="O81" s="26"/>
      <c r="P81" s="26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</row>
    <row r="82" ht="15.75" customHeight="1">
      <c r="G82" s="35"/>
      <c r="H82" s="35"/>
      <c r="I82" s="26"/>
      <c r="J82" s="26"/>
      <c r="K82" s="26"/>
      <c r="L82" s="26"/>
      <c r="M82" s="26"/>
      <c r="N82" s="26"/>
      <c r="O82" s="26"/>
      <c r="P82" s="26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</row>
    <row r="83" ht="15.75" customHeight="1">
      <c r="G83" s="35"/>
      <c r="H83" s="35"/>
      <c r="I83" s="26"/>
      <c r="J83" s="26"/>
      <c r="K83" s="26"/>
      <c r="L83" s="26"/>
      <c r="M83" s="26"/>
      <c r="N83" s="26"/>
      <c r="O83" s="26"/>
      <c r="P83" s="26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</row>
    <row r="84" ht="15.75" customHeight="1">
      <c r="G84" s="35"/>
      <c r="H84" s="35"/>
      <c r="I84" s="26"/>
      <c r="J84" s="26"/>
      <c r="K84" s="26"/>
      <c r="L84" s="26"/>
      <c r="M84" s="26"/>
      <c r="N84" s="26"/>
      <c r="O84" s="26"/>
      <c r="P84" s="26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</row>
    <row r="85" ht="15.75" customHeight="1">
      <c r="G85" s="35"/>
      <c r="H85" s="35"/>
      <c r="I85" s="26"/>
      <c r="J85" s="26"/>
      <c r="K85" s="26"/>
      <c r="L85" s="26"/>
      <c r="M85" s="26"/>
      <c r="N85" s="26"/>
      <c r="O85" s="26"/>
      <c r="P85" s="26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</row>
    <row r="86" ht="15.75" customHeight="1">
      <c r="G86" s="35"/>
      <c r="H86" s="35"/>
      <c r="I86" s="26"/>
      <c r="J86" s="26"/>
      <c r="K86" s="26"/>
      <c r="L86" s="26"/>
      <c r="M86" s="26"/>
      <c r="N86" s="26"/>
      <c r="O86" s="26"/>
      <c r="P86" s="26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</row>
    <row r="87" ht="15.75" customHeight="1">
      <c r="G87" s="35"/>
      <c r="H87" s="35"/>
      <c r="I87" s="26"/>
      <c r="J87" s="26"/>
      <c r="K87" s="26"/>
      <c r="L87" s="26"/>
      <c r="M87" s="26"/>
      <c r="N87" s="26"/>
      <c r="O87" s="26"/>
      <c r="P87" s="26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</row>
    <row r="88" ht="15.75" customHeight="1">
      <c r="G88" s="35"/>
      <c r="H88" s="35"/>
      <c r="I88" s="26"/>
      <c r="J88" s="26"/>
      <c r="K88" s="26"/>
      <c r="L88" s="26"/>
      <c r="M88" s="26"/>
      <c r="N88" s="26"/>
      <c r="O88" s="26"/>
      <c r="P88" s="26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</row>
    <row r="89" ht="15.75" customHeight="1">
      <c r="G89" s="35"/>
      <c r="H89" s="35"/>
      <c r="I89" s="26"/>
      <c r="J89" s="26"/>
      <c r="K89" s="26"/>
      <c r="L89" s="26"/>
      <c r="M89" s="26"/>
      <c r="N89" s="26"/>
      <c r="O89" s="26"/>
      <c r="P89" s="26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</row>
    <row r="90" ht="15.75" customHeight="1">
      <c r="G90" s="35"/>
      <c r="H90" s="35"/>
      <c r="I90" s="26"/>
      <c r="J90" s="26"/>
      <c r="K90" s="26"/>
      <c r="L90" s="26"/>
      <c r="M90" s="26"/>
      <c r="N90" s="26"/>
      <c r="O90" s="26"/>
      <c r="P90" s="26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</row>
    <row r="91" ht="15.75" customHeight="1">
      <c r="G91" s="35"/>
      <c r="H91" s="35"/>
      <c r="I91" s="26"/>
      <c r="J91" s="26"/>
      <c r="K91" s="26"/>
      <c r="L91" s="26"/>
      <c r="M91" s="26"/>
      <c r="N91" s="26"/>
      <c r="O91" s="26"/>
      <c r="P91" s="26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</row>
    <row r="92" ht="15.75" customHeight="1">
      <c r="G92" s="35"/>
      <c r="H92" s="35"/>
      <c r="I92" s="26"/>
      <c r="J92" s="26"/>
      <c r="K92" s="26"/>
      <c r="L92" s="26"/>
      <c r="M92" s="26"/>
      <c r="N92" s="26"/>
      <c r="O92" s="26"/>
      <c r="P92" s="26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</row>
    <row r="93" ht="15.75" customHeight="1">
      <c r="G93" s="35"/>
      <c r="H93" s="35"/>
      <c r="I93" s="26"/>
      <c r="J93" s="26"/>
      <c r="K93" s="26"/>
      <c r="L93" s="26"/>
      <c r="M93" s="26"/>
      <c r="N93" s="26"/>
      <c r="O93" s="26"/>
      <c r="P93" s="26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</row>
    <row r="94" ht="15.75" customHeight="1">
      <c r="G94" s="35"/>
      <c r="H94" s="35"/>
      <c r="I94" s="26"/>
      <c r="J94" s="26"/>
      <c r="K94" s="26"/>
      <c r="L94" s="26"/>
      <c r="M94" s="26"/>
      <c r="N94" s="26"/>
      <c r="O94" s="26"/>
      <c r="P94" s="26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</row>
    <row r="95" ht="15.75" customHeight="1">
      <c r="G95" s="35"/>
      <c r="H95" s="35"/>
      <c r="I95" s="26"/>
      <c r="J95" s="26"/>
      <c r="K95" s="26"/>
      <c r="L95" s="26"/>
      <c r="M95" s="26"/>
      <c r="N95" s="26"/>
      <c r="O95" s="26"/>
      <c r="P95" s="26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</row>
    <row r="96" ht="15.75" customHeight="1">
      <c r="G96" s="35"/>
      <c r="H96" s="35"/>
      <c r="I96" s="26"/>
      <c r="J96" s="26"/>
      <c r="K96" s="26"/>
      <c r="L96" s="26"/>
      <c r="M96" s="26"/>
      <c r="N96" s="26"/>
      <c r="O96" s="26"/>
      <c r="P96" s="26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</row>
    <row r="97" ht="15.75" customHeight="1">
      <c r="G97" s="35"/>
      <c r="H97" s="35"/>
      <c r="I97" s="26"/>
      <c r="J97" s="26"/>
      <c r="K97" s="26"/>
      <c r="L97" s="26"/>
      <c r="M97" s="26"/>
      <c r="N97" s="26"/>
      <c r="O97" s="26"/>
      <c r="P97" s="26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</row>
    <row r="98" ht="15.75" customHeight="1">
      <c r="G98" s="35"/>
      <c r="H98" s="35"/>
      <c r="I98" s="26"/>
      <c r="J98" s="26"/>
      <c r="K98" s="26"/>
      <c r="L98" s="26"/>
      <c r="M98" s="26"/>
      <c r="N98" s="26"/>
      <c r="O98" s="26"/>
      <c r="P98" s="26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</row>
    <row r="99" ht="15.75" customHeight="1">
      <c r="G99" s="35"/>
      <c r="H99" s="35"/>
      <c r="I99" s="26"/>
      <c r="J99" s="26"/>
      <c r="K99" s="26"/>
      <c r="L99" s="26"/>
      <c r="M99" s="26"/>
      <c r="N99" s="26"/>
      <c r="O99" s="26"/>
      <c r="P99" s="26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</row>
    <row r="100" ht="15.75" customHeight="1">
      <c r="G100" s="35"/>
      <c r="H100" s="35"/>
      <c r="I100" s="26"/>
      <c r="J100" s="26"/>
      <c r="K100" s="26"/>
      <c r="L100" s="26"/>
      <c r="M100" s="26"/>
      <c r="N100" s="26"/>
      <c r="O100" s="26"/>
      <c r="P100" s="26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</row>
    <row r="101" ht="15.75" customHeight="1">
      <c r="G101" s="35"/>
      <c r="H101" s="35"/>
      <c r="I101" s="26"/>
      <c r="J101" s="26"/>
      <c r="K101" s="26"/>
      <c r="L101" s="26"/>
      <c r="M101" s="26"/>
      <c r="N101" s="26"/>
      <c r="O101" s="26"/>
      <c r="P101" s="26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</row>
    <row r="102" ht="15.75" customHeight="1">
      <c r="G102" s="35"/>
      <c r="H102" s="35"/>
      <c r="I102" s="26"/>
      <c r="J102" s="26"/>
      <c r="K102" s="26"/>
      <c r="L102" s="26"/>
      <c r="M102" s="26"/>
      <c r="N102" s="26"/>
      <c r="O102" s="26"/>
      <c r="P102" s="26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</row>
    <row r="103" ht="15.75" customHeight="1">
      <c r="G103" s="35"/>
      <c r="H103" s="35"/>
      <c r="I103" s="26"/>
      <c r="J103" s="26"/>
      <c r="K103" s="26"/>
      <c r="L103" s="26"/>
      <c r="M103" s="26"/>
      <c r="N103" s="26"/>
      <c r="O103" s="26"/>
      <c r="P103" s="26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</row>
    <row r="104" ht="15.75" customHeight="1">
      <c r="G104" s="35"/>
      <c r="H104" s="35"/>
      <c r="I104" s="26"/>
      <c r="J104" s="26"/>
      <c r="K104" s="26"/>
      <c r="L104" s="26"/>
      <c r="M104" s="26"/>
      <c r="N104" s="26"/>
      <c r="O104" s="26"/>
      <c r="P104" s="26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</row>
    <row r="105" ht="15.75" customHeight="1">
      <c r="G105" s="35"/>
      <c r="H105" s="35"/>
      <c r="I105" s="26"/>
      <c r="J105" s="26"/>
      <c r="K105" s="26"/>
      <c r="L105" s="26"/>
      <c r="M105" s="26"/>
      <c r="N105" s="26"/>
      <c r="O105" s="26"/>
      <c r="P105" s="26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</row>
    <row r="106" ht="15.75" customHeight="1">
      <c r="G106" s="35"/>
      <c r="H106" s="35"/>
      <c r="I106" s="26"/>
      <c r="J106" s="26"/>
      <c r="K106" s="26"/>
      <c r="L106" s="26"/>
      <c r="M106" s="26"/>
      <c r="N106" s="26"/>
      <c r="O106" s="26"/>
      <c r="P106" s="26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</row>
    <row r="107" ht="15.75" customHeight="1">
      <c r="G107" s="35"/>
      <c r="H107" s="35"/>
      <c r="I107" s="26"/>
      <c r="J107" s="26"/>
      <c r="K107" s="26"/>
      <c r="L107" s="26"/>
      <c r="M107" s="26"/>
      <c r="N107" s="26"/>
      <c r="O107" s="26"/>
      <c r="P107" s="26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</row>
    <row r="108" ht="15.75" customHeight="1">
      <c r="G108" s="35"/>
      <c r="H108" s="35"/>
      <c r="I108" s="26"/>
      <c r="J108" s="26"/>
      <c r="K108" s="26"/>
      <c r="L108" s="26"/>
      <c r="M108" s="26"/>
      <c r="N108" s="26"/>
      <c r="O108" s="26"/>
      <c r="P108" s="26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</row>
    <row r="109" ht="15.75" customHeight="1">
      <c r="G109" s="35"/>
      <c r="H109" s="35"/>
      <c r="I109" s="26"/>
      <c r="J109" s="26"/>
      <c r="K109" s="26"/>
      <c r="L109" s="26"/>
      <c r="M109" s="26"/>
      <c r="N109" s="26"/>
      <c r="O109" s="26"/>
      <c r="P109" s="26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</row>
    <row r="110" ht="15.75" customHeight="1">
      <c r="G110" s="35"/>
      <c r="H110" s="35"/>
      <c r="I110" s="26"/>
      <c r="J110" s="26"/>
      <c r="K110" s="26"/>
      <c r="L110" s="26"/>
      <c r="M110" s="26"/>
      <c r="N110" s="26"/>
      <c r="O110" s="26"/>
      <c r="P110" s="26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</row>
    <row r="111" ht="15.75" customHeight="1">
      <c r="G111" s="35"/>
      <c r="H111" s="35"/>
      <c r="I111" s="26"/>
      <c r="J111" s="26"/>
      <c r="K111" s="26"/>
      <c r="L111" s="26"/>
      <c r="M111" s="26"/>
      <c r="N111" s="26"/>
      <c r="O111" s="26"/>
      <c r="P111" s="26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</row>
    <row r="112" ht="15.75" customHeight="1">
      <c r="G112" s="35"/>
      <c r="H112" s="35"/>
      <c r="I112" s="26"/>
      <c r="J112" s="26"/>
      <c r="K112" s="26"/>
      <c r="L112" s="26"/>
      <c r="M112" s="26"/>
      <c r="N112" s="26"/>
      <c r="O112" s="26"/>
      <c r="P112" s="26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</row>
    <row r="113" ht="15.75" customHeight="1">
      <c r="G113" s="35"/>
      <c r="H113" s="35"/>
      <c r="I113" s="26"/>
      <c r="J113" s="26"/>
      <c r="K113" s="26"/>
      <c r="L113" s="26"/>
      <c r="M113" s="26"/>
      <c r="N113" s="26"/>
      <c r="O113" s="26"/>
      <c r="P113" s="26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</row>
    <row r="114" ht="15.75" customHeight="1">
      <c r="G114" s="35"/>
      <c r="H114" s="35"/>
      <c r="I114" s="26"/>
      <c r="J114" s="26"/>
      <c r="K114" s="26"/>
      <c r="L114" s="26"/>
      <c r="M114" s="26"/>
      <c r="N114" s="26"/>
      <c r="O114" s="26"/>
      <c r="P114" s="26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</row>
    <row r="115" ht="15.75" customHeight="1">
      <c r="G115" s="35"/>
      <c r="H115" s="35"/>
      <c r="I115" s="26"/>
      <c r="J115" s="26"/>
      <c r="K115" s="26"/>
      <c r="L115" s="26"/>
      <c r="M115" s="26"/>
      <c r="N115" s="26"/>
      <c r="O115" s="26"/>
      <c r="P115" s="26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</row>
    <row r="116" ht="15.75" customHeight="1">
      <c r="G116" s="35"/>
      <c r="H116" s="35"/>
      <c r="I116" s="26"/>
      <c r="J116" s="26"/>
      <c r="K116" s="26"/>
      <c r="L116" s="26"/>
      <c r="M116" s="26"/>
      <c r="N116" s="26"/>
      <c r="O116" s="26"/>
      <c r="P116" s="26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</row>
    <row r="117" ht="15.75" customHeight="1">
      <c r="G117" s="35"/>
      <c r="H117" s="35"/>
      <c r="I117" s="26"/>
      <c r="J117" s="26"/>
      <c r="K117" s="26"/>
      <c r="L117" s="26"/>
      <c r="M117" s="26"/>
      <c r="N117" s="26"/>
      <c r="O117" s="26"/>
      <c r="P117" s="26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</row>
    <row r="118" ht="15.75" customHeight="1">
      <c r="G118" s="35"/>
      <c r="H118" s="35"/>
      <c r="I118" s="26"/>
      <c r="J118" s="26"/>
      <c r="K118" s="26"/>
      <c r="L118" s="26"/>
      <c r="M118" s="26"/>
      <c r="N118" s="26"/>
      <c r="O118" s="26"/>
      <c r="P118" s="26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</row>
    <row r="119" ht="15.75" customHeight="1">
      <c r="G119" s="35"/>
      <c r="H119" s="35"/>
      <c r="I119" s="26"/>
      <c r="J119" s="26"/>
      <c r="K119" s="26"/>
      <c r="L119" s="26"/>
      <c r="M119" s="26"/>
      <c r="N119" s="26"/>
      <c r="O119" s="26"/>
      <c r="P119" s="26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</row>
    <row r="120" ht="15.75" customHeight="1">
      <c r="G120" s="35"/>
      <c r="H120" s="35"/>
      <c r="I120" s="26"/>
      <c r="J120" s="26"/>
      <c r="K120" s="26"/>
      <c r="L120" s="26"/>
      <c r="M120" s="26"/>
      <c r="N120" s="26"/>
      <c r="O120" s="26"/>
      <c r="P120" s="26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</row>
    <row r="121" ht="15.75" customHeight="1">
      <c r="G121" s="35"/>
      <c r="H121" s="35"/>
      <c r="I121" s="26"/>
      <c r="J121" s="26"/>
      <c r="K121" s="26"/>
      <c r="L121" s="26"/>
      <c r="M121" s="26"/>
      <c r="N121" s="26"/>
      <c r="O121" s="26"/>
      <c r="P121" s="26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</row>
    <row r="122" ht="15.75" customHeight="1">
      <c r="G122" s="35"/>
      <c r="H122" s="35"/>
      <c r="I122" s="26"/>
      <c r="J122" s="26"/>
      <c r="K122" s="26"/>
      <c r="L122" s="26"/>
      <c r="M122" s="26"/>
      <c r="N122" s="26"/>
      <c r="O122" s="26"/>
      <c r="P122" s="26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</row>
    <row r="123" ht="15.75" customHeight="1">
      <c r="G123" s="35"/>
      <c r="H123" s="35"/>
      <c r="I123" s="26"/>
      <c r="J123" s="26"/>
      <c r="K123" s="26"/>
      <c r="L123" s="26"/>
      <c r="M123" s="26"/>
      <c r="N123" s="26"/>
      <c r="O123" s="26"/>
      <c r="P123" s="26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</row>
    <row r="124" ht="15.75" customHeight="1">
      <c r="G124" s="35"/>
      <c r="H124" s="35"/>
      <c r="I124" s="26"/>
      <c r="J124" s="26"/>
      <c r="K124" s="26"/>
      <c r="L124" s="26"/>
      <c r="M124" s="26"/>
      <c r="N124" s="26"/>
      <c r="O124" s="26"/>
      <c r="P124" s="26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</row>
    <row r="125" ht="15.75" customHeight="1">
      <c r="G125" s="35"/>
      <c r="H125" s="35"/>
      <c r="I125" s="26"/>
      <c r="J125" s="26"/>
      <c r="K125" s="26"/>
      <c r="L125" s="26"/>
      <c r="M125" s="26"/>
      <c r="N125" s="26"/>
      <c r="O125" s="26"/>
      <c r="P125" s="26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</row>
    <row r="126" ht="15.75" customHeight="1">
      <c r="G126" s="35"/>
      <c r="H126" s="35"/>
      <c r="I126" s="26"/>
      <c r="J126" s="26"/>
      <c r="K126" s="26"/>
      <c r="L126" s="26"/>
      <c r="M126" s="26"/>
      <c r="N126" s="26"/>
      <c r="O126" s="26"/>
      <c r="P126" s="26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</row>
    <row r="127" ht="15.75" customHeight="1">
      <c r="G127" s="35"/>
      <c r="H127" s="35"/>
      <c r="I127" s="26"/>
      <c r="J127" s="26"/>
      <c r="K127" s="26"/>
      <c r="L127" s="26"/>
      <c r="M127" s="26"/>
      <c r="N127" s="26"/>
      <c r="O127" s="26"/>
      <c r="P127" s="26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</row>
    <row r="128" ht="15.75" customHeight="1">
      <c r="G128" s="35"/>
      <c r="H128" s="35"/>
      <c r="I128" s="26"/>
      <c r="J128" s="26"/>
      <c r="K128" s="26"/>
      <c r="L128" s="26"/>
      <c r="M128" s="26"/>
      <c r="N128" s="26"/>
      <c r="O128" s="26"/>
      <c r="P128" s="26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</row>
    <row r="129" ht="15.75" customHeight="1">
      <c r="G129" s="35"/>
      <c r="H129" s="35"/>
      <c r="I129" s="26"/>
      <c r="J129" s="26"/>
      <c r="K129" s="26"/>
      <c r="L129" s="26"/>
      <c r="M129" s="26"/>
      <c r="N129" s="26"/>
      <c r="O129" s="26"/>
      <c r="P129" s="26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</row>
    <row r="130" ht="15.75" customHeight="1">
      <c r="G130" s="35"/>
      <c r="H130" s="35"/>
      <c r="I130" s="26"/>
      <c r="J130" s="26"/>
      <c r="K130" s="26"/>
      <c r="L130" s="26"/>
      <c r="M130" s="26"/>
      <c r="N130" s="26"/>
      <c r="O130" s="26"/>
      <c r="P130" s="26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</row>
    <row r="131" ht="15.75" customHeight="1">
      <c r="G131" s="35"/>
      <c r="H131" s="35"/>
      <c r="I131" s="26"/>
      <c r="J131" s="26"/>
      <c r="K131" s="26"/>
      <c r="L131" s="26"/>
      <c r="M131" s="26"/>
      <c r="N131" s="26"/>
      <c r="O131" s="26"/>
      <c r="P131" s="26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</row>
    <row r="132" ht="15.75" customHeight="1">
      <c r="G132" s="35"/>
      <c r="H132" s="35"/>
      <c r="I132" s="26"/>
      <c r="J132" s="26"/>
      <c r="K132" s="26"/>
      <c r="L132" s="26"/>
      <c r="M132" s="26"/>
      <c r="N132" s="26"/>
      <c r="O132" s="26"/>
      <c r="P132" s="26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</row>
    <row r="133" ht="15.75" customHeight="1">
      <c r="G133" s="35"/>
      <c r="H133" s="35"/>
      <c r="I133" s="26"/>
      <c r="J133" s="26"/>
      <c r="K133" s="26"/>
      <c r="L133" s="26"/>
      <c r="M133" s="26"/>
      <c r="N133" s="26"/>
      <c r="O133" s="26"/>
      <c r="P133" s="26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</row>
    <row r="134" ht="15.75" customHeight="1">
      <c r="G134" s="35"/>
      <c r="H134" s="35"/>
      <c r="I134" s="26"/>
      <c r="J134" s="26"/>
      <c r="K134" s="26"/>
      <c r="L134" s="26"/>
      <c r="M134" s="26"/>
      <c r="N134" s="26"/>
      <c r="O134" s="26"/>
      <c r="P134" s="26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</row>
    <row r="135" ht="15.75" customHeight="1">
      <c r="G135" s="35"/>
      <c r="H135" s="35"/>
      <c r="I135" s="26"/>
      <c r="J135" s="26"/>
      <c r="K135" s="26"/>
      <c r="L135" s="26"/>
      <c r="M135" s="26"/>
      <c r="N135" s="26"/>
      <c r="O135" s="26"/>
      <c r="P135" s="26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</row>
    <row r="136" ht="15.75" customHeight="1">
      <c r="G136" s="35"/>
      <c r="H136" s="35"/>
      <c r="I136" s="26"/>
      <c r="J136" s="26"/>
      <c r="K136" s="26"/>
      <c r="L136" s="26"/>
      <c r="M136" s="26"/>
      <c r="N136" s="26"/>
      <c r="O136" s="26"/>
      <c r="P136" s="26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</row>
    <row r="137" ht="15.75" customHeight="1">
      <c r="G137" s="35"/>
      <c r="H137" s="35"/>
      <c r="I137" s="26"/>
      <c r="J137" s="26"/>
      <c r="K137" s="26"/>
      <c r="L137" s="26"/>
      <c r="M137" s="26"/>
      <c r="N137" s="26"/>
      <c r="O137" s="26"/>
      <c r="P137" s="26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</row>
    <row r="138" ht="15.75" customHeight="1">
      <c r="G138" s="35"/>
      <c r="H138" s="35"/>
      <c r="I138" s="26"/>
      <c r="J138" s="26"/>
      <c r="K138" s="26"/>
      <c r="L138" s="26"/>
      <c r="M138" s="26"/>
      <c r="N138" s="26"/>
      <c r="O138" s="26"/>
      <c r="P138" s="26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</row>
    <row r="139" ht="15.75" customHeight="1">
      <c r="G139" s="35"/>
      <c r="H139" s="35"/>
      <c r="I139" s="26"/>
      <c r="J139" s="26"/>
      <c r="K139" s="26"/>
      <c r="L139" s="26"/>
      <c r="M139" s="26"/>
      <c r="N139" s="26"/>
      <c r="O139" s="26"/>
      <c r="P139" s="26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</row>
    <row r="140" ht="15.75" customHeight="1">
      <c r="G140" s="35"/>
      <c r="H140" s="35"/>
      <c r="I140" s="26"/>
      <c r="J140" s="26"/>
      <c r="K140" s="26"/>
      <c r="L140" s="26"/>
      <c r="M140" s="26"/>
      <c r="N140" s="26"/>
      <c r="O140" s="26"/>
      <c r="P140" s="26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35"/>
    </row>
    <row r="141" ht="15.75" customHeight="1">
      <c r="G141" s="35"/>
      <c r="H141" s="35"/>
      <c r="I141" s="26"/>
      <c r="J141" s="26"/>
      <c r="K141" s="26"/>
      <c r="L141" s="26"/>
      <c r="M141" s="26"/>
      <c r="N141" s="26"/>
      <c r="O141" s="26"/>
      <c r="P141" s="26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5"/>
    </row>
    <row r="142" ht="15.75" customHeight="1">
      <c r="G142" s="35"/>
      <c r="H142" s="35"/>
      <c r="I142" s="26"/>
      <c r="J142" s="26"/>
      <c r="K142" s="26"/>
      <c r="L142" s="26"/>
      <c r="M142" s="26"/>
      <c r="N142" s="26"/>
      <c r="O142" s="26"/>
      <c r="P142" s="26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35"/>
    </row>
    <row r="143" ht="15.75" customHeight="1">
      <c r="G143" s="35"/>
      <c r="H143" s="35"/>
      <c r="I143" s="26"/>
      <c r="J143" s="26"/>
      <c r="K143" s="26"/>
      <c r="L143" s="26"/>
      <c r="M143" s="26"/>
      <c r="N143" s="26"/>
      <c r="O143" s="26"/>
      <c r="P143" s="26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</row>
    <row r="144" ht="15.75" customHeight="1">
      <c r="G144" s="35"/>
      <c r="H144" s="35"/>
      <c r="I144" s="26"/>
      <c r="J144" s="26"/>
      <c r="K144" s="26"/>
      <c r="L144" s="26"/>
      <c r="M144" s="26"/>
      <c r="N144" s="26"/>
      <c r="O144" s="26"/>
      <c r="P144" s="26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</row>
    <row r="145" ht="15.75" customHeight="1">
      <c r="G145" s="35"/>
      <c r="H145" s="35"/>
      <c r="I145" s="26"/>
      <c r="J145" s="26"/>
      <c r="K145" s="26"/>
      <c r="L145" s="26"/>
      <c r="M145" s="26"/>
      <c r="N145" s="26"/>
      <c r="O145" s="26"/>
      <c r="P145" s="26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35"/>
    </row>
    <row r="146" ht="15.75" customHeight="1">
      <c r="G146" s="35"/>
      <c r="H146" s="35"/>
      <c r="I146" s="26"/>
      <c r="J146" s="26"/>
      <c r="K146" s="26"/>
      <c r="L146" s="26"/>
      <c r="M146" s="26"/>
      <c r="N146" s="26"/>
      <c r="O146" s="26"/>
      <c r="P146" s="26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35"/>
    </row>
    <row r="147" ht="15.75" customHeight="1">
      <c r="G147" s="35"/>
      <c r="H147" s="35"/>
      <c r="I147" s="26"/>
      <c r="J147" s="26"/>
      <c r="K147" s="26"/>
      <c r="L147" s="26"/>
      <c r="M147" s="26"/>
      <c r="N147" s="26"/>
      <c r="O147" s="26"/>
      <c r="P147" s="26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35"/>
    </row>
    <row r="148" ht="15.75" customHeight="1">
      <c r="G148" s="35"/>
      <c r="H148" s="35"/>
      <c r="I148" s="26"/>
      <c r="J148" s="26"/>
      <c r="K148" s="26"/>
      <c r="L148" s="26"/>
      <c r="M148" s="26"/>
      <c r="N148" s="26"/>
      <c r="O148" s="26"/>
      <c r="P148" s="26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35"/>
    </row>
    <row r="149" ht="15.75" customHeight="1">
      <c r="G149" s="35"/>
      <c r="H149" s="35"/>
      <c r="I149" s="26"/>
      <c r="J149" s="26"/>
      <c r="K149" s="26"/>
      <c r="L149" s="26"/>
      <c r="M149" s="26"/>
      <c r="N149" s="26"/>
      <c r="O149" s="26"/>
      <c r="P149" s="26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35"/>
    </row>
    <row r="150" ht="15.75" customHeight="1">
      <c r="G150" s="35"/>
      <c r="H150" s="35"/>
      <c r="I150" s="26"/>
      <c r="J150" s="26"/>
      <c r="K150" s="26"/>
      <c r="L150" s="26"/>
      <c r="M150" s="26"/>
      <c r="N150" s="26"/>
      <c r="O150" s="26"/>
      <c r="P150" s="26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35"/>
    </row>
    <row r="151" ht="15.75" customHeight="1">
      <c r="G151" s="35"/>
      <c r="H151" s="35"/>
      <c r="I151" s="26"/>
      <c r="J151" s="26"/>
      <c r="K151" s="26"/>
      <c r="L151" s="26"/>
      <c r="M151" s="26"/>
      <c r="N151" s="26"/>
      <c r="O151" s="26"/>
      <c r="P151" s="26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35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19.13"/>
    <col customWidth="1" min="10" max="10" width="27.0"/>
    <col customWidth="1" min="12" max="12" width="36.88"/>
  </cols>
  <sheetData>
    <row r="1" ht="40.5" customHeight="1">
      <c r="A1" s="54" t="s">
        <v>0</v>
      </c>
      <c r="B1" s="54" t="s">
        <v>1</v>
      </c>
      <c r="C1" s="54" t="s">
        <v>2</v>
      </c>
      <c r="D1" s="54" t="s">
        <v>499</v>
      </c>
      <c r="E1" s="54" t="s">
        <v>500</v>
      </c>
      <c r="F1" s="54" t="s">
        <v>501</v>
      </c>
      <c r="G1" s="1" t="s">
        <v>502</v>
      </c>
      <c r="H1" s="55" t="s">
        <v>503</v>
      </c>
      <c r="I1" s="56" t="s">
        <v>504</v>
      </c>
      <c r="J1" s="55" t="s">
        <v>505</v>
      </c>
      <c r="K1" s="56" t="s">
        <v>506</v>
      </c>
      <c r="L1" s="57" t="s">
        <v>507</v>
      </c>
      <c r="M1" s="58" t="s">
        <v>14</v>
      </c>
    </row>
    <row r="2" ht="15.75" customHeight="1">
      <c r="A2" s="7">
        <v>1856.0</v>
      </c>
      <c r="B2" s="8" t="s">
        <v>38</v>
      </c>
      <c r="C2" s="9" t="str">
        <f t="shared" ref="C2:C25" si="1">CONCATENATE(D2,"_",E2,"_",G2)</f>
        <v>PMP-01_BS VI HSD_DISPATCH</v>
      </c>
      <c r="D2" s="59" t="s">
        <v>508</v>
      </c>
      <c r="E2" s="59" t="s">
        <v>90</v>
      </c>
      <c r="F2" s="59" t="s">
        <v>509</v>
      </c>
      <c r="G2" s="11" t="s">
        <v>510</v>
      </c>
      <c r="H2" s="27" t="s">
        <v>511</v>
      </c>
      <c r="I2" s="60">
        <v>0.0</v>
      </c>
      <c r="J2" s="27" t="s">
        <v>512</v>
      </c>
      <c r="K2" s="60">
        <v>1.0</v>
      </c>
      <c r="L2" s="27" t="s">
        <v>513</v>
      </c>
      <c r="M2" s="60">
        <v>0.0</v>
      </c>
    </row>
    <row r="3" ht="15.75" customHeight="1">
      <c r="A3" s="7">
        <v>1856.0</v>
      </c>
      <c r="B3" s="8" t="s">
        <v>38</v>
      </c>
      <c r="C3" s="9" t="str">
        <f t="shared" si="1"/>
        <v>PMP-02_BS VI HSD_DISPATCH</v>
      </c>
      <c r="D3" s="59" t="s">
        <v>514</v>
      </c>
      <c r="E3" s="59" t="s">
        <v>90</v>
      </c>
      <c r="F3" s="59" t="s">
        <v>509</v>
      </c>
      <c r="G3" s="11" t="s">
        <v>510</v>
      </c>
      <c r="H3" s="27" t="s">
        <v>515</v>
      </c>
      <c r="I3" s="60">
        <v>0.0</v>
      </c>
      <c r="J3" s="27" t="s">
        <v>516</v>
      </c>
      <c r="K3" s="60">
        <v>1.0</v>
      </c>
      <c r="L3" s="61" t="s">
        <v>517</v>
      </c>
      <c r="M3" s="60">
        <v>0.0</v>
      </c>
    </row>
    <row r="4" ht="15.75" customHeight="1">
      <c r="A4" s="7">
        <v>1856.0</v>
      </c>
      <c r="B4" s="8" t="s">
        <v>38</v>
      </c>
      <c r="C4" s="9" t="str">
        <f t="shared" si="1"/>
        <v>PMP-03_BS VI HSD_DISPATCH</v>
      </c>
      <c r="D4" s="59" t="s">
        <v>518</v>
      </c>
      <c r="E4" s="59" t="s">
        <v>90</v>
      </c>
      <c r="F4" s="59" t="s">
        <v>509</v>
      </c>
      <c r="G4" s="11" t="s">
        <v>510</v>
      </c>
      <c r="H4" s="27" t="s">
        <v>519</v>
      </c>
      <c r="I4" s="60">
        <v>0.0</v>
      </c>
      <c r="J4" s="27" t="s">
        <v>520</v>
      </c>
      <c r="K4" s="60">
        <v>1.0</v>
      </c>
      <c r="L4" s="61" t="s">
        <v>521</v>
      </c>
      <c r="M4" s="60">
        <v>0.0</v>
      </c>
    </row>
    <row r="5" ht="15.75" customHeight="1">
      <c r="A5" s="7">
        <v>1856.0</v>
      </c>
      <c r="B5" s="8" t="s">
        <v>38</v>
      </c>
      <c r="C5" s="9" t="str">
        <f t="shared" si="1"/>
        <v>PMP-04_BS VI HSD_DISPATCH</v>
      </c>
      <c r="D5" s="59" t="s">
        <v>522</v>
      </c>
      <c r="E5" s="59" t="s">
        <v>90</v>
      </c>
      <c r="F5" s="59" t="s">
        <v>523</v>
      </c>
      <c r="G5" s="11" t="s">
        <v>510</v>
      </c>
      <c r="H5" s="27" t="s">
        <v>524</v>
      </c>
      <c r="I5" s="60">
        <v>0.0</v>
      </c>
      <c r="J5" s="27" t="s">
        <v>525</v>
      </c>
      <c r="K5" s="60">
        <v>1.0</v>
      </c>
      <c r="L5" s="61" t="s">
        <v>526</v>
      </c>
      <c r="M5" s="60">
        <v>0.0</v>
      </c>
    </row>
    <row r="6" ht="15.75" customHeight="1">
      <c r="A6" s="7">
        <v>1856.0</v>
      </c>
      <c r="B6" s="8" t="s">
        <v>38</v>
      </c>
      <c r="C6" s="9" t="str">
        <f t="shared" si="1"/>
        <v>PMP-05_BS VI MS_DISPATCH</v>
      </c>
      <c r="D6" s="59" t="s">
        <v>527</v>
      </c>
      <c r="E6" s="59" t="s">
        <v>110</v>
      </c>
      <c r="F6" s="59" t="s">
        <v>509</v>
      </c>
      <c r="G6" s="11" t="s">
        <v>510</v>
      </c>
      <c r="H6" s="27" t="s">
        <v>528</v>
      </c>
      <c r="I6" s="60">
        <v>0.0</v>
      </c>
      <c r="J6" s="27" t="s">
        <v>529</v>
      </c>
      <c r="K6" s="60">
        <v>1.0</v>
      </c>
      <c r="L6" s="61" t="s">
        <v>530</v>
      </c>
      <c r="M6" s="60">
        <v>0.0</v>
      </c>
    </row>
    <row r="7" ht="15.75" customHeight="1">
      <c r="A7" s="7">
        <v>1856.0</v>
      </c>
      <c r="B7" s="8" t="s">
        <v>38</v>
      </c>
      <c r="C7" s="9" t="str">
        <f t="shared" si="1"/>
        <v>PMP-06_BS VI MS_DISPATCH</v>
      </c>
      <c r="D7" s="59" t="s">
        <v>531</v>
      </c>
      <c r="E7" s="59" t="s">
        <v>110</v>
      </c>
      <c r="F7" s="59" t="s">
        <v>509</v>
      </c>
      <c r="G7" s="11" t="s">
        <v>510</v>
      </c>
      <c r="H7" s="27" t="s">
        <v>532</v>
      </c>
      <c r="I7" s="60">
        <v>0.0</v>
      </c>
      <c r="J7" s="27" t="s">
        <v>533</v>
      </c>
      <c r="K7" s="60">
        <v>1.0</v>
      </c>
      <c r="L7" s="61" t="s">
        <v>534</v>
      </c>
      <c r="M7" s="60">
        <v>0.0</v>
      </c>
    </row>
    <row r="8" ht="15.75" customHeight="1">
      <c r="A8" s="7">
        <v>1856.0</v>
      </c>
      <c r="B8" s="8" t="s">
        <v>38</v>
      </c>
      <c r="C8" s="9" t="str">
        <f t="shared" si="1"/>
        <v>PMP-07_BS VI MS_DISPATCH</v>
      </c>
      <c r="D8" s="59" t="s">
        <v>535</v>
      </c>
      <c r="E8" s="59" t="s">
        <v>110</v>
      </c>
      <c r="F8" s="59" t="s">
        <v>509</v>
      </c>
      <c r="G8" s="11" t="s">
        <v>510</v>
      </c>
      <c r="H8" s="27" t="s">
        <v>536</v>
      </c>
      <c r="I8" s="60">
        <v>0.0</v>
      </c>
      <c r="J8" s="27" t="s">
        <v>537</v>
      </c>
      <c r="K8" s="60">
        <v>1.0</v>
      </c>
      <c r="L8" s="61" t="s">
        <v>538</v>
      </c>
      <c r="M8" s="60">
        <v>0.0</v>
      </c>
    </row>
    <row r="9" ht="15.75" customHeight="1">
      <c r="A9" s="7">
        <v>1856.0</v>
      </c>
      <c r="B9" s="8" t="s">
        <v>38</v>
      </c>
      <c r="C9" s="9" t="str">
        <f t="shared" si="1"/>
        <v>PMP-08_BS VI MS_DISPATCH</v>
      </c>
      <c r="D9" s="59" t="s">
        <v>539</v>
      </c>
      <c r="E9" s="59" t="s">
        <v>110</v>
      </c>
      <c r="F9" s="59" t="s">
        <v>523</v>
      </c>
      <c r="G9" s="11" t="s">
        <v>510</v>
      </c>
      <c r="H9" s="27" t="s">
        <v>540</v>
      </c>
      <c r="I9" s="60">
        <v>0.0</v>
      </c>
      <c r="J9" s="27" t="s">
        <v>541</v>
      </c>
      <c r="K9" s="60">
        <v>1.0</v>
      </c>
      <c r="L9" s="61" t="s">
        <v>542</v>
      </c>
      <c r="M9" s="60">
        <v>0.0</v>
      </c>
    </row>
    <row r="10" ht="15.75" customHeight="1">
      <c r="A10" s="7">
        <v>1856.0</v>
      </c>
      <c r="B10" s="8" t="s">
        <v>38</v>
      </c>
      <c r="C10" s="9" t="str">
        <f t="shared" si="1"/>
        <v>PMP-09_BS VI MS_DISPATCH</v>
      </c>
      <c r="D10" s="59" t="s">
        <v>543</v>
      </c>
      <c r="E10" s="59" t="s">
        <v>110</v>
      </c>
      <c r="F10" s="59" t="s">
        <v>509</v>
      </c>
      <c r="G10" s="11" t="s">
        <v>510</v>
      </c>
      <c r="H10" s="27" t="s">
        <v>544</v>
      </c>
      <c r="I10" s="60">
        <v>0.0</v>
      </c>
      <c r="J10" s="27" t="s">
        <v>545</v>
      </c>
      <c r="K10" s="60">
        <v>1.0</v>
      </c>
      <c r="L10" s="61" t="s">
        <v>546</v>
      </c>
      <c r="M10" s="60">
        <v>0.0</v>
      </c>
    </row>
    <row r="11" ht="15.75" customHeight="1">
      <c r="A11" s="7">
        <v>1856.0</v>
      </c>
      <c r="B11" s="8" t="s">
        <v>38</v>
      </c>
      <c r="C11" s="9" t="str">
        <f t="shared" si="1"/>
        <v>PMP-11_SKO_DISPATCH</v>
      </c>
      <c r="D11" s="59" t="s">
        <v>547</v>
      </c>
      <c r="E11" s="59" t="s">
        <v>548</v>
      </c>
      <c r="F11" s="59" t="s">
        <v>523</v>
      </c>
      <c r="G11" s="11" t="s">
        <v>510</v>
      </c>
      <c r="H11" s="27" t="s">
        <v>549</v>
      </c>
      <c r="I11" s="60">
        <v>0.0</v>
      </c>
      <c r="J11" s="27" t="s">
        <v>550</v>
      </c>
      <c r="K11" s="60">
        <v>1.0</v>
      </c>
      <c r="L11" s="61" t="s">
        <v>551</v>
      </c>
      <c r="M11" s="60">
        <v>0.0</v>
      </c>
    </row>
    <row r="12" ht="15.75" customHeight="1">
      <c r="A12" s="7">
        <v>1856.0</v>
      </c>
      <c r="B12" s="8" t="s">
        <v>38</v>
      </c>
      <c r="C12" s="9" t="str">
        <f t="shared" si="1"/>
        <v>PMP-18_ETHANOL_DISPATCH</v>
      </c>
      <c r="D12" s="59" t="s">
        <v>552</v>
      </c>
      <c r="E12" s="59" t="s">
        <v>149</v>
      </c>
      <c r="F12" s="59" t="s">
        <v>509</v>
      </c>
      <c r="G12" s="11" t="s">
        <v>510</v>
      </c>
      <c r="H12" s="27" t="s">
        <v>553</v>
      </c>
      <c r="I12" s="60">
        <v>0.0</v>
      </c>
      <c r="J12" s="27" t="s">
        <v>554</v>
      </c>
      <c r="K12" s="60">
        <v>1.0</v>
      </c>
      <c r="L12" s="61" t="s">
        <v>555</v>
      </c>
      <c r="M12" s="60">
        <v>0.0</v>
      </c>
    </row>
    <row r="13" ht="15.75" customHeight="1">
      <c r="A13" s="7">
        <v>1856.0</v>
      </c>
      <c r="B13" s="8" t="s">
        <v>38</v>
      </c>
      <c r="C13" s="9" t="str">
        <f t="shared" si="1"/>
        <v>PMP-19_ETHANOL_DISPATCH</v>
      </c>
      <c r="D13" s="59" t="s">
        <v>556</v>
      </c>
      <c r="E13" s="59" t="s">
        <v>149</v>
      </c>
      <c r="F13" s="59" t="s">
        <v>509</v>
      </c>
      <c r="G13" s="11" t="s">
        <v>510</v>
      </c>
      <c r="H13" s="27" t="s">
        <v>557</v>
      </c>
      <c r="I13" s="60">
        <v>0.0</v>
      </c>
      <c r="J13" s="27" t="s">
        <v>558</v>
      </c>
      <c r="K13" s="60">
        <v>1.0</v>
      </c>
      <c r="L13" s="61" t="s">
        <v>559</v>
      </c>
      <c r="M13" s="60">
        <v>0.0</v>
      </c>
    </row>
    <row r="14" ht="15.75" customHeight="1">
      <c r="A14" s="7">
        <v>1856.0</v>
      </c>
      <c r="B14" s="8" t="s">
        <v>38</v>
      </c>
      <c r="C14" s="9" t="str">
        <f t="shared" si="1"/>
        <v>PMP-20_POWERMS_DISPATCH</v>
      </c>
      <c r="D14" s="59" t="s">
        <v>560</v>
      </c>
      <c r="E14" s="59" t="s">
        <v>561</v>
      </c>
      <c r="F14" s="59" t="s">
        <v>509</v>
      </c>
      <c r="G14" s="11" t="s">
        <v>510</v>
      </c>
      <c r="H14" s="27" t="s">
        <v>562</v>
      </c>
      <c r="I14" s="60">
        <v>0.0</v>
      </c>
      <c r="J14" s="27" t="s">
        <v>563</v>
      </c>
      <c r="K14" s="60">
        <v>1.0</v>
      </c>
      <c r="L14" s="61" t="s">
        <v>564</v>
      </c>
      <c r="M14" s="60">
        <v>0.0</v>
      </c>
    </row>
    <row r="15" ht="15.75" customHeight="1">
      <c r="A15" s="7">
        <v>1856.0</v>
      </c>
      <c r="B15" s="8" t="s">
        <v>38</v>
      </c>
      <c r="C15" s="9" t="str">
        <f t="shared" si="1"/>
        <v>PMP-21_TURBOHSD_DISPATCH</v>
      </c>
      <c r="D15" s="59" t="s">
        <v>565</v>
      </c>
      <c r="E15" s="59" t="s">
        <v>566</v>
      </c>
      <c r="F15" s="59" t="s">
        <v>509</v>
      </c>
      <c r="G15" s="11" t="s">
        <v>510</v>
      </c>
      <c r="H15" s="27" t="s">
        <v>567</v>
      </c>
      <c r="I15" s="60">
        <v>0.0</v>
      </c>
      <c r="J15" s="27" t="s">
        <v>568</v>
      </c>
      <c r="K15" s="60">
        <v>1.0</v>
      </c>
      <c r="L15" s="61" t="s">
        <v>569</v>
      </c>
      <c r="M15" s="60">
        <v>0.0</v>
      </c>
    </row>
    <row r="16" ht="15.75" customHeight="1">
      <c r="A16" s="7">
        <v>1856.0</v>
      </c>
      <c r="B16" s="8" t="s">
        <v>38</v>
      </c>
      <c r="C16" s="9" t="str">
        <f t="shared" si="1"/>
        <v>PMP-22_POWERMS_DISPATCH</v>
      </c>
      <c r="D16" s="59" t="s">
        <v>570</v>
      </c>
      <c r="E16" s="59" t="s">
        <v>561</v>
      </c>
      <c r="F16" s="59" t="s">
        <v>509</v>
      </c>
      <c r="G16" s="11" t="s">
        <v>510</v>
      </c>
      <c r="H16" s="27" t="s">
        <v>571</v>
      </c>
      <c r="I16" s="60">
        <v>0.0</v>
      </c>
      <c r="J16" s="27" t="s">
        <v>572</v>
      </c>
      <c r="K16" s="60">
        <v>1.0</v>
      </c>
      <c r="L16" s="61" t="s">
        <v>573</v>
      </c>
      <c r="M16" s="60">
        <v>0.0</v>
      </c>
    </row>
    <row r="17" ht="15.75" customHeight="1">
      <c r="A17" s="7">
        <v>1856.0</v>
      </c>
      <c r="B17" s="8" t="s">
        <v>38</v>
      </c>
      <c r="C17" s="9" t="str">
        <f t="shared" si="1"/>
        <v>PMP-23_TURBOHSD_DISPATCH</v>
      </c>
      <c r="D17" s="59" t="s">
        <v>574</v>
      </c>
      <c r="E17" s="59" t="s">
        <v>566</v>
      </c>
      <c r="F17" s="59" t="s">
        <v>509</v>
      </c>
      <c r="G17" s="11" t="s">
        <v>510</v>
      </c>
      <c r="H17" s="27" t="s">
        <v>575</v>
      </c>
      <c r="I17" s="60">
        <v>0.0</v>
      </c>
      <c r="J17" s="27" t="s">
        <v>576</v>
      </c>
      <c r="K17" s="60">
        <v>1.0</v>
      </c>
      <c r="L17" s="61" t="s">
        <v>577</v>
      </c>
      <c r="M17" s="60">
        <v>0.0</v>
      </c>
    </row>
    <row r="18" ht="15.75" customHeight="1">
      <c r="A18" s="7">
        <v>1856.0</v>
      </c>
      <c r="B18" s="8" t="s">
        <v>38</v>
      </c>
      <c r="C18" s="9" t="str">
        <f t="shared" si="1"/>
        <v>PMP-24_BS VI HSD_DISPATCH</v>
      </c>
      <c r="D18" s="59" t="s">
        <v>578</v>
      </c>
      <c r="E18" s="59" t="s">
        <v>90</v>
      </c>
      <c r="F18" s="59" t="s">
        <v>523</v>
      </c>
      <c r="G18" s="11" t="s">
        <v>510</v>
      </c>
      <c r="H18" s="27" t="s">
        <v>579</v>
      </c>
      <c r="I18" s="60">
        <v>0.0</v>
      </c>
      <c r="J18" s="27" t="s">
        <v>580</v>
      </c>
      <c r="K18" s="60">
        <v>1.0</v>
      </c>
      <c r="L18" s="61" t="s">
        <v>581</v>
      </c>
      <c r="M18" s="60">
        <v>0.0</v>
      </c>
    </row>
    <row r="19" ht="15.75" customHeight="1">
      <c r="A19" s="7">
        <v>1856.0</v>
      </c>
      <c r="B19" s="8" t="s">
        <v>38</v>
      </c>
      <c r="C19" s="9" t="str">
        <f t="shared" si="1"/>
        <v>PMP-25_BS VI MS_DISPATCH</v>
      </c>
      <c r="D19" s="59" t="s">
        <v>582</v>
      </c>
      <c r="E19" s="59" t="s">
        <v>110</v>
      </c>
      <c r="F19" s="59" t="s">
        <v>523</v>
      </c>
      <c r="G19" s="11" t="s">
        <v>510</v>
      </c>
      <c r="H19" s="27" t="s">
        <v>583</v>
      </c>
      <c r="I19" s="60">
        <v>0.0</v>
      </c>
      <c r="J19" s="27" t="s">
        <v>584</v>
      </c>
      <c r="K19" s="60">
        <v>1.0</v>
      </c>
      <c r="L19" s="61" t="s">
        <v>585</v>
      </c>
      <c r="M19" s="60">
        <v>0.0</v>
      </c>
    </row>
    <row r="20" ht="15.75" customHeight="1">
      <c r="A20" s="7">
        <v>1856.0</v>
      </c>
      <c r="B20" s="8" t="s">
        <v>38</v>
      </c>
      <c r="C20" s="9" t="str">
        <f t="shared" si="1"/>
        <v>PMP-26_ETHANOL_DISPATCH</v>
      </c>
      <c r="D20" s="59" t="s">
        <v>586</v>
      </c>
      <c r="E20" s="59" t="s">
        <v>149</v>
      </c>
      <c r="F20" s="59" t="s">
        <v>509</v>
      </c>
      <c r="G20" s="11" t="s">
        <v>510</v>
      </c>
      <c r="H20" s="27" t="s">
        <v>587</v>
      </c>
      <c r="I20" s="60">
        <v>0.0</v>
      </c>
      <c r="J20" s="27" t="s">
        <v>588</v>
      </c>
      <c r="K20" s="60">
        <v>1.0</v>
      </c>
      <c r="L20" s="61" t="s">
        <v>589</v>
      </c>
      <c r="M20" s="60">
        <v>0.0</v>
      </c>
    </row>
    <row r="21" ht="15.75" customHeight="1">
      <c r="A21" s="7">
        <v>1856.0</v>
      </c>
      <c r="B21" s="8" t="s">
        <v>38</v>
      </c>
      <c r="C21" s="9" t="str">
        <f t="shared" si="1"/>
        <v>PMP-27_BS VI HSD_DISPATCH</v>
      </c>
      <c r="D21" s="59" t="s">
        <v>590</v>
      </c>
      <c r="E21" s="59" t="s">
        <v>90</v>
      </c>
      <c r="F21" s="59" t="s">
        <v>509</v>
      </c>
      <c r="G21" s="11" t="s">
        <v>510</v>
      </c>
      <c r="H21" s="27" t="s">
        <v>591</v>
      </c>
      <c r="I21" s="60">
        <v>0.0</v>
      </c>
      <c r="J21" s="27" t="s">
        <v>592</v>
      </c>
      <c r="K21" s="60">
        <v>1.0</v>
      </c>
      <c r="L21" s="61" t="s">
        <v>593</v>
      </c>
      <c r="M21" s="60">
        <v>0.0</v>
      </c>
    </row>
    <row r="22" ht="15.75" customHeight="1">
      <c r="A22" s="7">
        <v>1856.0</v>
      </c>
      <c r="B22" s="8" t="s">
        <v>38</v>
      </c>
      <c r="C22" s="9" t="str">
        <f t="shared" si="1"/>
        <v>PMP-28_ATF_DISPATCH</v>
      </c>
      <c r="D22" s="59" t="s">
        <v>594</v>
      </c>
      <c r="E22" s="59" t="s">
        <v>41</v>
      </c>
      <c r="F22" s="59" t="s">
        <v>509</v>
      </c>
      <c r="G22" s="11" t="s">
        <v>510</v>
      </c>
      <c r="H22" s="27" t="s">
        <v>595</v>
      </c>
      <c r="I22" s="60">
        <v>0.0</v>
      </c>
      <c r="J22" s="27" t="s">
        <v>596</v>
      </c>
      <c r="K22" s="60">
        <v>1.0</v>
      </c>
      <c r="L22" s="61" t="s">
        <v>597</v>
      </c>
      <c r="M22" s="60">
        <v>0.0</v>
      </c>
    </row>
    <row r="23" ht="15.75" customHeight="1">
      <c r="A23" s="7">
        <v>1856.0</v>
      </c>
      <c r="B23" s="8" t="s">
        <v>38</v>
      </c>
      <c r="C23" s="9" t="str">
        <f t="shared" si="1"/>
        <v>PMP-29_ATF_DISPATCH</v>
      </c>
      <c r="D23" s="59" t="s">
        <v>598</v>
      </c>
      <c r="E23" s="59" t="s">
        <v>41</v>
      </c>
      <c r="F23" s="59" t="s">
        <v>509</v>
      </c>
      <c r="G23" s="11" t="s">
        <v>510</v>
      </c>
      <c r="H23" s="27" t="s">
        <v>599</v>
      </c>
      <c r="I23" s="60">
        <v>0.0</v>
      </c>
      <c r="J23" s="27" t="s">
        <v>600</v>
      </c>
      <c r="K23" s="60">
        <v>1.0</v>
      </c>
      <c r="L23" s="61" t="s">
        <v>601</v>
      </c>
      <c r="M23" s="60">
        <v>0.0</v>
      </c>
    </row>
    <row r="24" ht="15.75" customHeight="1">
      <c r="A24" s="7">
        <v>1856.0</v>
      </c>
      <c r="B24" s="8" t="s">
        <v>38</v>
      </c>
      <c r="C24" s="9" t="str">
        <f t="shared" si="1"/>
        <v>PMP-30_ATF_DISPATCH</v>
      </c>
      <c r="D24" s="59" t="s">
        <v>602</v>
      </c>
      <c r="E24" s="59" t="s">
        <v>41</v>
      </c>
      <c r="F24" s="59" t="s">
        <v>509</v>
      </c>
      <c r="G24" s="11" t="s">
        <v>510</v>
      </c>
      <c r="H24" s="27" t="s">
        <v>603</v>
      </c>
      <c r="I24" s="60">
        <v>0.0</v>
      </c>
      <c r="J24" s="27" t="s">
        <v>604</v>
      </c>
      <c r="K24" s="60">
        <v>1.0</v>
      </c>
      <c r="L24" s="53"/>
      <c r="M24" s="53"/>
    </row>
    <row r="25" ht="15.75" customHeight="1">
      <c r="A25" s="7">
        <v>1856.0</v>
      </c>
      <c r="B25" s="8" t="s">
        <v>38</v>
      </c>
      <c r="C25" s="9" t="str">
        <f t="shared" si="1"/>
        <v>PMP-31_ATF_DISPATCH</v>
      </c>
      <c r="D25" s="59" t="s">
        <v>605</v>
      </c>
      <c r="E25" s="59" t="s">
        <v>41</v>
      </c>
      <c r="F25" s="59" t="s">
        <v>509</v>
      </c>
      <c r="G25" s="11" t="s">
        <v>510</v>
      </c>
      <c r="H25" s="27" t="s">
        <v>606</v>
      </c>
      <c r="I25" s="60">
        <v>0.0</v>
      </c>
      <c r="J25" s="27" t="s">
        <v>607</v>
      </c>
      <c r="K25" s="60">
        <v>1.0</v>
      </c>
      <c r="L25" s="53"/>
      <c r="M25" s="53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21.63"/>
    <col customWidth="1" min="4" max="4" width="7.75"/>
    <col customWidth="1" min="5" max="5" width="8.63"/>
    <col customWidth="1" min="6" max="6" width="9.88"/>
    <col customWidth="1" min="7" max="7" width="13.38"/>
    <col customWidth="1" min="8" max="8" width="15.63"/>
    <col customWidth="1" min="9" max="9" width="11.5"/>
    <col customWidth="1" min="10" max="10" width="27.0"/>
    <col customWidth="1" min="11" max="11" width="11.5"/>
    <col customWidth="1" min="12" max="12" width="40.75"/>
    <col customWidth="1" min="13" max="13" width="11.5"/>
    <col customWidth="1" min="14" max="14" width="33.88"/>
    <col customWidth="1" min="15" max="15" width="11.5"/>
    <col customWidth="1" min="16" max="16" width="16.88"/>
    <col customWidth="1" min="17" max="17" width="11.5"/>
    <col customWidth="1" min="18" max="18" width="16.88"/>
    <col customWidth="1" min="19" max="19" width="11.5"/>
    <col customWidth="1" min="20" max="20" width="37.38"/>
    <col customWidth="1" min="21" max="21" width="11.5"/>
    <col customWidth="1" min="22" max="22" width="17.75"/>
    <col customWidth="1" min="23" max="23" width="11.5"/>
    <col customWidth="1" min="24" max="24" width="21.5"/>
    <col customWidth="1" min="25" max="25" width="11.5"/>
    <col customWidth="1" min="26" max="26" width="36.88"/>
    <col customWidth="1" min="27" max="27" width="11.5"/>
  </cols>
  <sheetData>
    <row r="1">
      <c r="A1" s="62" t="s">
        <v>0</v>
      </c>
      <c r="B1" s="62" t="s">
        <v>1</v>
      </c>
      <c r="C1" s="62" t="s">
        <v>2</v>
      </c>
      <c r="D1" s="62" t="s">
        <v>499</v>
      </c>
      <c r="E1" s="62" t="s">
        <v>500</v>
      </c>
      <c r="F1" s="62" t="s">
        <v>501</v>
      </c>
      <c r="G1" s="62" t="s">
        <v>608</v>
      </c>
      <c r="H1" s="63" t="s">
        <v>503</v>
      </c>
      <c r="I1" s="63" t="s">
        <v>7</v>
      </c>
      <c r="J1" s="63" t="s">
        <v>505</v>
      </c>
      <c r="K1" s="63" t="s">
        <v>7</v>
      </c>
      <c r="L1" s="63" t="s">
        <v>609</v>
      </c>
      <c r="M1" s="63" t="s">
        <v>7</v>
      </c>
      <c r="N1" s="63" t="s">
        <v>610</v>
      </c>
      <c r="O1" s="63" t="s">
        <v>7</v>
      </c>
      <c r="P1" s="63" t="s">
        <v>611</v>
      </c>
      <c r="Q1" s="63" t="s">
        <v>7</v>
      </c>
      <c r="R1" s="63" t="s">
        <v>612</v>
      </c>
      <c r="S1" s="63" t="s">
        <v>7</v>
      </c>
      <c r="T1" s="63" t="s">
        <v>613</v>
      </c>
      <c r="U1" s="63" t="s">
        <v>7</v>
      </c>
      <c r="V1" s="63" t="s">
        <v>614</v>
      </c>
      <c r="W1" s="63" t="s">
        <v>7</v>
      </c>
      <c r="X1" s="63" t="s">
        <v>615</v>
      </c>
      <c r="Y1" s="63" t="s">
        <v>7</v>
      </c>
      <c r="Z1" s="63" t="s">
        <v>616</v>
      </c>
      <c r="AA1" s="63" t="s">
        <v>7</v>
      </c>
    </row>
    <row r="2" ht="15.75" customHeight="1">
      <c r="A2" s="7">
        <v>1856.0</v>
      </c>
      <c r="B2" s="8" t="s">
        <v>38</v>
      </c>
      <c r="C2" s="9" t="str">
        <f t="shared" ref="C2:C8" si="1">CONCATENATE(D2,"_",E2,"_",G2)</f>
        <v>FWP-01_Water_DISPATCH</v>
      </c>
      <c r="D2" s="59" t="s">
        <v>617</v>
      </c>
      <c r="E2" s="59" t="s">
        <v>618</v>
      </c>
      <c r="F2" s="59" t="s">
        <v>619</v>
      </c>
      <c r="G2" s="11" t="s">
        <v>510</v>
      </c>
      <c r="H2" s="27" t="s">
        <v>620</v>
      </c>
      <c r="I2" s="60">
        <v>0.0</v>
      </c>
      <c r="J2" s="27" t="s">
        <v>621</v>
      </c>
      <c r="K2" s="60">
        <v>1.0</v>
      </c>
      <c r="L2" s="11" t="s">
        <v>622</v>
      </c>
      <c r="M2" s="60">
        <v>0.0</v>
      </c>
      <c r="N2" s="11" t="s">
        <v>623</v>
      </c>
      <c r="O2" s="60">
        <v>0.0</v>
      </c>
      <c r="P2" s="11" t="s">
        <v>624</v>
      </c>
      <c r="Q2" s="60">
        <v>0.0</v>
      </c>
      <c r="R2" s="9"/>
      <c r="S2" s="9"/>
      <c r="T2" s="11" t="s">
        <v>625</v>
      </c>
      <c r="U2" s="60">
        <v>0.0</v>
      </c>
      <c r="V2" s="11" t="s">
        <v>626</v>
      </c>
      <c r="W2" s="60">
        <v>0.0</v>
      </c>
      <c r="X2" s="9"/>
      <c r="Y2" s="9"/>
      <c r="Z2" s="11" t="s">
        <v>627</v>
      </c>
      <c r="AA2" s="60">
        <v>0.0</v>
      </c>
    </row>
    <row r="3" ht="15.75" customHeight="1">
      <c r="A3" s="7">
        <v>1856.0</v>
      </c>
      <c r="B3" s="8" t="s">
        <v>38</v>
      </c>
      <c r="C3" s="9" t="str">
        <f t="shared" si="1"/>
        <v>FWP-02_Water_DISPATCH</v>
      </c>
      <c r="D3" s="64" t="s">
        <v>628</v>
      </c>
      <c r="E3" s="64" t="s">
        <v>618</v>
      </c>
      <c r="F3" s="59" t="s">
        <v>619</v>
      </c>
      <c r="G3" s="24" t="s">
        <v>510</v>
      </c>
      <c r="H3" s="61" t="s">
        <v>629</v>
      </c>
      <c r="I3" s="60">
        <v>0.0</v>
      </c>
      <c r="J3" s="61" t="s">
        <v>630</v>
      </c>
      <c r="K3" s="60">
        <v>1.0</v>
      </c>
      <c r="L3" s="24" t="s">
        <v>631</v>
      </c>
      <c r="M3" s="60">
        <v>0.0</v>
      </c>
      <c r="N3" s="24" t="s">
        <v>632</v>
      </c>
      <c r="O3" s="60">
        <v>0.0</v>
      </c>
      <c r="P3" s="24" t="s">
        <v>633</v>
      </c>
      <c r="Q3" s="60">
        <v>0.0</v>
      </c>
      <c r="R3" s="53"/>
      <c r="S3" s="53"/>
      <c r="T3" s="24" t="s">
        <v>634</v>
      </c>
      <c r="U3" s="60">
        <v>0.0</v>
      </c>
      <c r="V3" s="24" t="s">
        <v>635</v>
      </c>
      <c r="W3" s="60">
        <v>0.0</v>
      </c>
      <c r="X3" s="53"/>
      <c r="Y3" s="53"/>
      <c r="Z3" s="24" t="s">
        <v>636</v>
      </c>
      <c r="AA3" s="60">
        <v>0.0</v>
      </c>
    </row>
    <row r="4" ht="15.75" customHeight="1">
      <c r="A4" s="7">
        <v>1856.0</v>
      </c>
      <c r="B4" s="8" t="s">
        <v>38</v>
      </c>
      <c r="C4" s="9" t="str">
        <f t="shared" si="1"/>
        <v>FWP-03_Water_DISPATCH</v>
      </c>
      <c r="D4" s="64" t="s">
        <v>637</v>
      </c>
      <c r="E4" s="64" t="s">
        <v>618</v>
      </c>
      <c r="F4" s="59" t="s">
        <v>619</v>
      </c>
      <c r="G4" s="24" t="s">
        <v>510</v>
      </c>
      <c r="H4" s="61" t="s">
        <v>638</v>
      </c>
      <c r="I4" s="60">
        <v>0.0</v>
      </c>
      <c r="J4" s="61" t="s">
        <v>639</v>
      </c>
      <c r="K4" s="60">
        <v>1.0</v>
      </c>
      <c r="L4" s="24" t="s">
        <v>640</v>
      </c>
      <c r="M4" s="60">
        <v>0.0</v>
      </c>
      <c r="N4" s="24" t="s">
        <v>641</v>
      </c>
      <c r="O4" s="60">
        <v>0.0</v>
      </c>
      <c r="P4" s="24" t="s">
        <v>642</v>
      </c>
      <c r="Q4" s="60">
        <v>0.0</v>
      </c>
      <c r="R4" s="53"/>
      <c r="S4" s="53"/>
      <c r="T4" s="24" t="s">
        <v>643</v>
      </c>
      <c r="U4" s="60">
        <v>0.0</v>
      </c>
      <c r="V4" s="24" t="s">
        <v>644</v>
      </c>
      <c r="W4" s="60">
        <v>0.0</v>
      </c>
      <c r="X4" s="53"/>
      <c r="Y4" s="53"/>
      <c r="Z4" s="24" t="s">
        <v>645</v>
      </c>
      <c r="AA4" s="60">
        <v>0.0</v>
      </c>
    </row>
    <row r="5" ht="15.75" customHeight="1">
      <c r="A5" s="7">
        <v>1856.0</v>
      </c>
      <c r="B5" s="8" t="s">
        <v>38</v>
      </c>
      <c r="C5" s="9" t="str">
        <f t="shared" si="1"/>
        <v>JCY-01_Jockey_DISPATCH</v>
      </c>
      <c r="D5" s="64" t="s">
        <v>646</v>
      </c>
      <c r="E5" s="64" t="s">
        <v>647</v>
      </c>
      <c r="F5" s="59" t="s">
        <v>619</v>
      </c>
      <c r="G5" s="24" t="s">
        <v>510</v>
      </c>
      <c r="H5" s="61" t="s">
        <v>648</v>
      </c>
      <c r="I5" s="60">
        <v>0.0</v>
      </c>
      <c r="J5" s="61" t="s">
        <v>649</v>
      </c>
      <c r="K5" s="60">
        <v>1.0</v>
      </c>
      <c r="L5" s="24" t="s">
        <v>650</v>
      </c>
      <c r="M5" s="60">
        <v>0.0</v>
      </c>
      <c r="N5" s="24" t="s">
        <v>651</v>
      </c>
      <c r="O5" s="60">
        <v>0.0</v>
      </c>
      <c r="P5" s="53"/>
      <c r="Q5" s="53"/>
      <c r="R5" s="53"/>
      <c r="S5" s="53"/>
      <c r="T5" s="24" t="s">
        <v>652</v>
      </c>
      <c r="U5" s="60">
        <v>0.0</v>
      </c>
      <c r="V5" s="24" t="s">
        <v>653</v>
      </c>
      <c r="W5" s="60">
        <v>0.0</v>
      </c>
      <c r="X5" s="53"/>
      <c r="Y5" s="53"/>
      <c r="Z5" s="53"/>
      <c r="AA5" s="53"/>
    </row>
    <row r="6" ht="15.75" customHeight="1">
      <c r="A6" s="7">
        <v>1856.0</v>
      </c>
      <c r="B6" s="8" t="s">
        <v>38</v>
      </c>
      <c r="C6" s="9" t="str">
        <f t="shared" si="1"/>
        <v>JCY-02_Jockey_DISPATCH</v>
      </c>
      <c r="D6" s="64" t="s">
        <v>654</v>
      </c>
      <c r="E6" s="64" t="s">
        <v>647</v>
      </c>
      <c r="F6" s="59" t="s">
        <v>619</v>
      </c>
      <c r="G6" s="24" t="s">
        <v>510</v>
      </c>
      <c r="H6" s="61" t="s">
        <v>655</v>
      </c>
      <c r="I6" s="60">
        <v>0.0</v>
      </c>
      <c r="J6" s="61" t="s">
        <v>656</v>
      </c>
      <c r="K6" s="60">
        <v>1.0</v>
      </c>
      <c r="L6" s="24" t="s">
        <v>657</v>
      </c>
      <c r="M6" s="60">
        <v>0.0</v>
      </c>
      <c r="N6" s="24" t="s">
        <v>658</v>
      </c>
      <c r="O6" s="60">
        <v>0.0</v>
      </c>
      <c r="P6" s="53"/>
      <c r="Q6" s="53"/>
      <c r="R6" s="53"/>
      <c r="S6" s="53"/>
      <c r="T6" s="24" t="s">
        <v>659</v>
      </c>
      <c r="U6" s="60">
        <v>0.0</v>
      </c>
      <c r="V6" s="24" t="s">
        <v>660</v>
      </c>
      <c r="W6" s="60">
        <v>0.0</v>
      </c>
      <c r="X6" s="53"/>
      <c r="Y6" s="53"/>
      <c r="Z6" s="53"/>
      <c r="AA6" s="53"/>
    </row>
    <row r="7" ht="15.75" customHeight="1">
      <c r="A7" s="7">
        <v>1856.0</v>
      </c>
      <c r="B7" s="8" t="s">
        <v>38</v>
      </c>
      <c r="C7" s="9" t="str">
        <f t="shared" si="1"/>
        <v>Farthest Point PT_WATER Pressure_Near Tank no. 01</v>
      </c>
      <c r="D7" s="65" t="s">
        <v>661</v>
      </c>
      <c r="E7" s="65" t="s">
        <v>662</v>
      </c>
      <c r="F7" s="66" t="s">
        <v>663</v>
      </c>
      <c r="G7" s="65" t="s">
        <v>664</v>
      </c>
      <c r="H7" s="53"/>
      <c r="I7" s="53"/>
      <c r="J7" s="53"/>
      <c r="K7" s="53"/>
      <c r="L7" s="61" t="s">
        <v>665</v>
      </c>
      <c r="M7" s="60">
        <v>0.0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ht="15.75" customHeight="1">
      <c r="A8" s="7">
        <v>1856.0</v>
      </c>
      <c r="B8" s="8" t="s">
        <v>38</v>
      </c>
      <c r="C8" s="9" t="str">
        <f t="shared" si="1"/>
        <v>Nearest Point PT_WATER Pressure_FWP pump house</v>
      </c>
      <c r="D8" s="65" t="s">
        <v>666</v>
      </c>
      <c r="E8" s="65" t="s">
        <v>662</v>
      </c>
      <c r="F8" s="66" t="s">
        <v>663</v>
      </c>
      <c r="G8" s="65" t="s">
        <v>667</v>
      </c>
      <c r="H8" s="53"/>
      <c r="I8" s="53"/>
      <c r="J8" s="53"/>
      <c r="K8" s="53"/>
      <c r="L8" s="61" t="s">
        <v>668</v>
      </c>
      <c r="M8" s="60">
        <v>0.0</v>
      </c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ht="15.75" customHeight="1">
      <c r="F9" s="67"/>
    </row>
    <row r="10" ht="15.75" customHeight="1">
      <c r="F10" s="67"/>
    </row>
    <row r="11" ht="15.75" customHeight="1">
      <c r="F11" s="67"/>
    </row>
    <row r="12" ht="15.75" customHeight="1">
      <c r="F12" s="67"/>
    </row>
    <row r="13" ht="15.75" customHeight="1">
      <c r="F13" s="67"/>
    </row>
    <row r="14" ht="15.75" customHeight="1">
      <c r="F14" s="67"/>
    </row>
    <row r="15" ht="15.75" customHeight="1">
      <c r="F15" s="67"/>
    </row>
    <row r="16" ht="15.75" customHeight="1">
      <c r="F16" s="67"/>
    </row>
    <row r="17" ht="15.75" customHeight="1">
      <c r="F17" s="67"/>
    </row>
    <row r="18" ht="15.75" customHeight="1">
      <c r="F18" s="67"/>
    </row>
    <row r="19" ht="15.75" customHeight="1">
      <c r="F19" s="67"/>
    </row>
    <row r="20" ht="15.75" customHeight="1">
      <c r="F20" s="67"/>
    </row>
    <row r="21" ht="15.75" customHeight="1">
      <c r="F21" s="67"/>
    </row>
    <row r="22" ht="15.75" customHeight="1">
      <c r="F22" s="67"/>
    </row>
    <row r="23" ht="15.75" customHeight="1">
      <c r="F23" s="67"/>
    </row>
    <row r="24" ht="15.75" customHeight="1">
      <c r="F24" s="67"/>
    </row>
    <row r="25" ht="15.75" customHeight="1">
      <c r="F25" s="67"/>
    </row>
    <row r="26" ht="15.75" customHeight="1">
      <c r="F26" s="67"/>
    </row>
    <row r="27" ht="15.75" customHeight="1">
      <c r="F27" s="67"/>
    </row>
    <row r="28" ht="15.75" customHeight="1">
      <c r="F28" s="67"/>
    </row>
    <row r="29" ht="15.75" customHeight="1">
      <c r="F29" s="67"/>
    </row>
    <row r="30" ht="15.75" customHeight="1">
      <c r="F30" s="67"/>
    </row>
    <row r="31" ht="15.75" customHeight="1">
      <c r="F31" s="67"/>
    </row>
    <row r="32" ht="15.75" customHeight="1">
      <c r="F32" s="67"/>
    </row>
    <row r="33" ht="15.75" customHeight="1">
      <c r="F33" s="67"/>
    </row>
    <row r="34" ht="15.75" customHeight="1">
      <c r="F34" s="67"/>
    </row>
    <row r="35" ht="15.75" customHeight="1">
      <c r="F35" s="67"/>
    </row>
    <row r="36" ht="15.75" customHeight="1">
      <c r="F36" s="67"/>
    </row>
    <row r="37" ht="15.75" customHeight="1">
      <c r="F37" s="67"/>
    </row>
    <row r="38" ht="15.75" customHeight="1">
      <c r="F38" s="67"/>
    </row>
    <row r="39" ht="15.75" customHeight="1">
      <c r="F39" s="67"/>
    </row>
    <row r="40" ht="15.75" customHeight="1">
      <c r="F40" s="67"/>
    </row>
    <row r="41" ht="15.75" customHeight="1">
      <c r="F41" s="67"/>
    </row>
    <row r="42" ht="15.75" customHeight="1">
      <c r="F42" s="67"/>
    </row>
    <row r="43" ht="15.75" customHeight="1">
      <c r="F43" s="67"/>
    </row>
    <row r="44" ht="15.75" customHeight="1">
      <c r="F44" s="67"/>
    </row>
    <row r="45" ht="15.75" customHeight="1">
      <c r="F45" s="67"/>
    </row>
    <row r="46" ht="15.75" customHeight="1">
      <c r="F46" s="67"/>
    </row>
    <row r="47" ht="15.75" customHeight="1">
      <c r="F47" s="67"/>
    </row>
    <row r="48" ht="15.75" customHeight="1">
      <c r="F48" s="67"/>
    </row>
    <row r="49" ht="15.75" customHeight="1">
      <c r="F49" s="67"/>
    </row>
    <row r="50" ht="15.75" customHeight="1">
      <c r="F50" s="67"/>
    </row>
    <row r="51" ht="15.75" customHeight="1">
      <c r="F51" s="67"/>
    </row>
    <row r="52" ht="15.75" customHeight="1">
      <c r="F52" s="67"/>
    </row>
    <row r="53" ht="15.75" customHeight="1">
      <c r="F53" s="67"/>
    </row>
    <row r="54" ht="15.75" customHeight="1">
      <c r="F54" s="67"/>
    </row>
    <row r="55" ht="15.75" customHeight="1">
      <c r="F55" s="67"/>
    </row>
    <row r="56" ht="15.75" customHeight="1">
      <c r="F56" s="67"/>
    </row>
    <row r="57" ht="15.75" customHeight="1">
      <c r="F57" s="67"/>
    </row>
    <row r="58" ht="15.75" customHeight="1">
      <c r="F58" s="67"/>
    </row>
    <row r="59" ht="15.75" customHeight="1">
      <c r="F59" s="67"/>
    </row>
    <row r="60" ht="15.75" customHeight="1">
      <c r="F60" s="67"/>
    </row>
    <row r="61" ht="15.75" customHeight="1">
      <c r="F61" s="67"/>
    </row>
    <row r="62" ht="15.75" customHeight="1">
      <c r="F62" s="67"/>
    </row>
    <row r="63" ht="15.75" customHeight="1">
      <c r="F63" s="67"/>
    </row>
    <row r="64" ht="15.75" customHeight="1">
      <c r="F64" s="67"/>
    </row>
    <row r="65" ht="15.75" customHeight="1">
      <c r="F65" s="67"/>
    </row>
    <row r="66" ht="15.75" customHeight="1">
      <c r="F66" s="67"/>
    </row>
    <row r="67" ht="15.75" customHeight="1">
      <c r="F67" s="67"/>
    </row>
    <row r="68" ht="15.75" customHeight="1">
      <c r="F68" s="67"/>
    </row>
    <row r="69" ht="15.75" customHeight="1">
      <c r="F69" s="67"/>
    </row>
    <row r="70" ht="15.75" customHeight="1">
      <c r="F70" s="67"/>
    </row>
    <row r="71" ht="15.75" customHeight="1">
      <c r="F71" s="67"/>
    </row>
    <row r="72" ht="15.75" customHeight="1">
      <c r="F72" s="67"/>
    </row>
    <row r="73" ht="15.75" customHeight="1">
      <c r="F73" s="67"/>
    </row>
    <row r="74" ht="15.75" customHeight="1">
      <c r="F74" s="67"/>
    </row>
    <row r="75" ht="15.75" customHeight="1">
      <c r="F75" s="67"/>
    </row>
    <row r="76" ht="15.75" customHeight="1">
      <c r="F76" s="67"/>
    </row>
    <row r="77" ht="15.75" customHeight="1">
      <c r="F77" s="67"/>
    </row>
    <row r="78" ht="15.75" customHeight="1">
      <c r="F78" s="67"/>
    </row>
    <row r="79" ht="15.75" customHeight="1">
      <c r="F79" s="67"/>
    </row>
    <row r="80" ht="15.75" customHeight="1">
      <c r="F80" s="67"/>
    </row>
    <row r="81" ht="15.75" customHeight="1">
      <c r="F81" s="67"/>
    </row>
    <row r="82" ht="15.75" customHeight="1">
      <c r="F82" s="67"/>
    </row>
    <row r="83" ht="15.75" customHeight="1">
      <c r="F83" s="67"/>
    </row>
    <row r="84" ht="15.75" customHeight="1">
      <c r="F84" s="67"/>
    </row>
    <row r="85" ht="15.75" customHeight="1">
      <c r="F85" s="67"/>
    </row>
    <row r="86" ht="15.75" customHeight="1">
      <c r="F86" s="67"/>
    </row>
    <row r="87" ht="15.75" customHeight="1">
      <c r="F87" s="67"/>
    </row>
    <row r="88" ht="15.75" customHeight="1">
      <c r="F88" s="67"/>
    </row>
    <row r="89" ht="15.75" customHeight="1">
      <c r="F89" s="67"/>
    </row>
    <row r="90" ht="15.75" customHeight="1">
      <c r="F90" s="67"/>
    </row>
    <row r="91" ht="15.75" customHeight="1">
      <c r="F91" s="67"/>
    </row>
    <row r="92" ht="15.75" customHeight="1">
      <c r="F92" s="67"/>
    </row>
    <row r="93" ht="15.75" customHeight="1">
      <c r="F93" s="67"/>
    </row>
    <row r="94" ht="15.75" customHeight="1">
      <c r="F94" s="67"/>
    </row>
    <row r="95" ht="15.75" customHeight="1">
      <c r="F95" s="67"/>
    </row>
    <row r="96" ht="15.75" customHeight="1">
      <c r="F96" s="67"/>
    </row>
    <row r="97" ht="15.75" customHeight="1">
      <c r="F97" s="67"/>
    </row>
    <row r="98" ht="15.75" customHeight="1">
      <c r="F98" s="67"/>
    </row>
    <row r="99" ht="15.75" customHeight="1">
      <c r="F99" s="67"/>
    </row>
    <row r="100" ht="15.75" customHeight="1">
      <c r="F100" s="67"/>
    </row>
    <row r="101" ht="15.75" customHeight="1">
      <c r="F101" s="67"/>
    </row>
    <row r="102" ht="15.75" customHeight="1">
      <c r="F102" s="67"/>
    </row>
    <row r="103" ht="15.75" customHeight="1">
      <c r="F103" s="67"/>
    </row>
    <row r="104" ht="15.75" customHeight="1">
      <c r="F104" s="67"/>
    </row>
    <row r="105" ht="15.75" customHeight="1">
      <c r="F105" s="67"/>
    </row>
    <row r="106" ht="15.75" customHeight="1">
      <c r="F106" s="67"/>
    </row>
    <row r="107" ht="15.75" customHeight="1">
      <c r="F107" s="67"/>
    </row>
    <row r="108" ht="15.75" customHeight="1">
      <c r="F108" s="67"/>
    </row>
    <row r="109" ht="15.75" customHeight="1">
      <c r="F109" s="67"/>
    </row>
    <row r="110" ht="15.75" customHeight="1">
      <c r="F110" s="67"/>
    </row>
    <row r="111" ht="15.75" customHeight="1">
      <c r="F111" s="67"/>
    </row>
    <row r="112" ht="15.75" customHeight="1">
      <c r="F112" s="67"/>
    </row>
    <row r="113" ht="15.75" customHeight="1">
      <c r="F113" s="67"/>
    </row>
    <row r="114" ht="15.75" customHeight="1">
      <c r="F114" s="67"/>
    </row>
    <row r="115" ht="15.75" customHeight="1">
      <c r="F115" s="67"/>
    </row>
    <row r="116" ht="15.75" customHeight="1">
      <c r="F116" s="67"/>
    </row>
    <row r="117" ht="15.75" customHeight="1">
      <c r="F117" s="67"/>
    </row>
    <row r="118" ht="15.75" customHeight="1">
      <c r="F118" s="67"/>
    </row>
    <row r="119" ht="15.75" customHeight="1">
      <c r="F119" s="67"/>
    </row>
    <row r="120" ht="15.75" customHeight="1">
      <c r="F120" s="67"/>
    </row>
    <row r="121" ht="15.75" customHeight="1">
      <c r="F121" s="67"/>
    </row>
    <row r="122" ht="15.75" customHeight="1">
      <c r="F122" s="67"/>
    </row>
    <row r="123" ht="15.75" customHeight="1">
      <c r="F123" s="67"/>
    </row>
    <row r="124" ht="15.75" customHeight="1">
      <c r="F124" s="67"/>
    </row>
    <row r="125" ht="15.75" customHeight="1">
      <c r="F125" s="67"/>
    </row>
    <row r="126" ht="15.75" customHeight="1">
      <c r="F126" s="67"/>
    </row>
    <row r="127" ht="15.75" customHeight="1">
      <c r="F127" s="67"/>
    </row>
    <row r="128" ht="15.75" customHeight="1">
      <c r="F128" s="67"/>
    </row>
    <row r="129" ht="15.75" customHeight="1">
      <c r="F129" s="67"/>
    </row>
    <row r="130" ht="15.75" customHeight="1">
      <c r="F130" s="67"/>
    </row>
    <row r="131" ht="15.75" customHeight="1">
      <c r="F131" s="67"/>
    </row>
    <row r="132" ht="15.75" customHeight="1">
      <c r="F132" s="67"/>
    </row>
    <row r="133" ht="15.75" customHeight="1">
      <c r="F133" s="67"/>
    </row>
    <row r="134" ht="15.75" customHeight="1">
      <c r="F134" s="67"/>
    </row>
    <row r="135" ht="15.75" customHeight="1">
      <c r="F135" s="67"/>
    </row>
    <row r="136" ht="15.75" customHeight="1">
      <c r="F136" s="67"/>
    </row>
    <row r="137" ht="15.75" customHeight="1">
      <c r="F137" s="67"/>
    </row>
    <row r="138" ht="15.75" customHeight="1">
      <c r="F138" s="67"/>
    </row>
    <row r="139" ht="15.75" customHeight="1">
      <c r="F139" s="67"/>
    </row>
    <row r="140" ht="15.75" customHeight="1">
      <c r="F140" s="67"/>
    </row>
    <row r="141" ht="15.75" customHeight="1">
      <c r="F141" s="67"/>
    </row>
    <row r="142" ht="15.75" customHeight="1">
      <c r="F142" s="67"/>
    </row>
    <row r="143" ht="15.75" customHeight="1">
      <c r="F143" s="67"/>
    </row>
    <row r="144" ht="15.75" customHeight="1">
      <c r="F144" s="67"/>
    </row>
    <row r="145" ht="15.75" customHeight="1">
      <c r="F145" s="67"/>
    </row>
    <row r="146" ht="15.75" customHeight="1">
      <c r="F146" s="67"/>
    </row>
    <row r="147" ht="15.75" customHeight="1">
      <c r="F147" s="67"/>
    </row>
    <row r="148" ht="15.75" customHeight="1">
      <c r="F148" s="67"/>
    </row>
    <row r="149" ht="15.75" customHeight="1">
      <c r="F149" s="67"/>
    </row>
    <row r="150" ht="15.75" customHeight="1">
      <c r="F150" s="67"/>
    </row>
    <row r="151" ht="15.75" customHeight="1">
      <c r="F151" s="67"/>
    </row>
    <row r="152" ht="15.75" customHeight="1">
      <c r="F152" s="67"/>
    </row>
    <row r="153" ht="15.75" customHeight="1">
      <c r="F153" s="67"/>
    </row>
    <row r="154" ht="15.75" customHeight="1">
      <c r="F154" s="67"/>
    </row>
    <row r="155" ht="15.75" customHeight="1">
      <c r="F155" s="67"/>
    </row>
    <row r="156" ht="15.75" customHeight="1">
      <c r="F156" s="67"/>
    </row>
    <row r="157" ht="15.75" customHeight="1">
      <c r="F157" s="67"/>
    </row>
    <row r="158" ht="15.75" customHeight="1">
      <c r="F158" s="67"/>
    </row>
    <row r="159" ht="15.75" customHeight="1">
      <c r="F159" s="67"/>
    </row>
    <row r="160" ht="15.75" customHeight="1">
      <c r="F160" s="67"/>
    </row>
    <row r="161" ht="15.75" customHeight="1">
      <c r="F161" s="67"/>
    </row>
    <row r="162" ht="15.75" customHeight="1">
      <c r="F162" s="67"/>
    </row>
    <row r="163" ht="15.75" customHeight="1">
      <c r="F163" s="67"/>
    </row>
    <row r="164" ht="15.75" customHeight="1">
      <c r="F164" s="67"/>
    </row>
    <row r="165" ht="15.75" customHeight="1">
      <c r="F165" s="67"/>
    </row>
    <row r="166" ht="15.75" customHeight="1">
      <c r="F166" s="67"/>
    </row>
    <row r="167" ht="15.75" customHeight="1">
      <c r="F167" s="67"/>
    </row>
    <row r="168" ht="15.75" customHeight="1">
      <c r="F168" s="67"/>
    </row>
    <row r="169" ht="15.75" customHeight="1">
      <c r="F169" s="67"/>
    </row>
    <row r="170" ht="15.75" customHeight="1">
      <c r="F170" s="67"/>
    </row>
    <row r="171" ht="15.75" customHeight="1">
      <c r="F171" s="67"/>
    </row>
    <row r="172" ht="15.75" customHeight="1">
      <c r="F172" s="67"/>
    </row>
    <row r="173" ht="15.75" customHeight="1">
      <c r="F173" s="67"/>
    </row>
    <row r="174" ht="15.75" customHeight="1">
      <c r="F174" s="67"/>
    </row>
    <row r="175" ht="15.75" customHeight="1">
      <c r="F175" s="67"/>
    </row>
    <row r="176" ht="15.75" customHeight="1">
      <c r="F176" s="67"/>
    </row>
    <row r="177" ht="15.75" customHeight="1">
      <c r="F177" s="67"/>
    </row>
    <row r="178" ht="15.75" customHeight="1">
      <c r="F178" s="67"/>
    </row>
    <row r="179" ht="15.75" customHeight="1">
      <c r="F179" s="67"/>
    </row>
    <row r="180" ht="15.75" customHeight="1">
      <c r="F180" s="67"/>
    </row>
    <row r="181" ht="15.75" customHeight="1">
      <c r="F181" s="67"/>
    </row>
    <row r="182" ht="15.75" customHeight="1">
      <c r="F182" s="67"/>
    </row>
    <row r="183" ht="15.75" customHeight="1">
      <c r="F183" s="67"/>
    </row>
    <row r="184" ht="15.75" customHeight="1">
      <c r="F184" s="67"/>
    </row>
    <row r="185" ht="15.75" customHeight="1">
      <c r="F185" s="67"/>
    </row>
    <row r="186" ht="15.75" customHeight="1">
      <c r="F186" s="67"/>
    </row>
    <row r="187" ht="15.75" customHeight="1">
      <c r="F187" s="67"/>
    </row>
    <row r="188" ht="15.75" customHeight="1">
      <c r="F188" s="67"/>
    </row>
    <row r="189" ht="15.75" customHeight="1">
      <c r="F189" s="67"/>
    </row>
    <row r="190" ht="15.75" customHeight="1">
      <c r="F190" s="67"/>
    </row>
    <row r="191" ht="15.75" customHeight="1">
      <c r="F191" s="67"/>
    </row>
    <row r="192" ht="15.75" customHeight="1">
      <c r="F192" s="67"/>
    </row>
    <row r="193" ht="15.75" customHeight="1">
      <c r="F193" s="67"/>
    </row>
    <row r="194" ht="15.75" customHeight="1">
      <c r="F194" s="67"/>
    </row>
    <row r="195" ht="15.75" customHeight="1">
      <c r="F195" s="67"/>
    </row>
    <row r="196" ht="15.75" customHeight="1">
      <c r="F196" s="67"/>
    </row>
    <row r="197" ht="15.75" customHeight="1">
      <c r="F197" s="67"/>
    </row>
    <row r="198" ht="15.75" customHeight="1">
      <c r="F198" s="67"/>
    </row>
    <row r="199" ht="15.75" customHeight="1">
      <c r="F199" s="67"/>
    </row>
    <row r="200" ht="15.75" customHeight="1">
      <c r="F200" s="67"/>
    </row>
    <row r="201" ht="15.75" customHeight="1">
      <c r="F201" s="67"/>
    </row>
    <row r="202" ht="15.75" customHeight="1">
      <c r="F202" s="67"/>
    </row>
    <row r="203" ht="15.75" customHeight="1">
      <c r="F203" s="67"/>
    </row>
    <row r="204" ht="15.75" customHeight="1">
      <c r="F204" s="67"/>
    </row>
    <row r="205" ht="15.75" customHeight="1">
      <c r="F205" s="67"/>
    </row>
    <row r="206" ht="15.75" customHeight="1">
      <c r="F206" s="67"/>
    </row>
    <row r="207" ht="15.75" customHeight="1">
      <c r="F207" s="67"/>
    </row>
    <row r="208" ht="15.75" customHeight="1">
      <c r="F208" s="67"/>
    </row>
    <row r="209" ht="15.75" customHeight="1">
      <c r="F209" s="67"/>
    </row>
    <row r="210" ht="15.75" customHeight="1">
      <c r="F210" s="67"/>
    </row>
    <row r="211" ht="15.75" customHeight="1">
      <c r="F211" s="67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68" t="s">
        <v>0</v>
      </c>
      <c r="B1" s="68" t="s">
        <v>1</v>
      </c>
      <c r="C1" s="54" t="s">
        <v>2</v>
      </c>
      <c r="D1" s="54" t="s">
        <v>669</v>
      </c>
      <c r="E1" s="54" t="s">
        <v>1</v>
      </c>
      <c r="F1" s="55" t="s">
        <v>670</v>
      </c>
      <c r="G1" s="56" t="s">
        <v>14</v>
      </c>
      <c r="H1" s="55" t="s">
        <v>671</v>
      </c>
      <c r="I1" s="56" t="s">
        <v>672</v>
      </c>
      <c r="J1" s="55" t="s">
        <v>673</v>
      </c>
      <c r="K1" s="56" t="s">
        <v>14</v>
      </c>
      <c r="L1" s="55" t="s">
        <v>674</v>
      </c>
      <c r="M1" s="56" t="s">
        <v>14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7">
        <v>1856.0</v>
      </c>
      <c r="B2" s="8" t="s">
        <v>38</v>
      </c>
      <c r="C2" s="9" t="str">
        <f t="shared" ref="C2:C5" si="1">CONCATENATE(D2,"_",E2)</f>
        <v>UPS-01_Control Room</v>
      </c>
      <c r="D2" s="59" t="s">
        <v>675</v>
      </c>
      <c r="E2" s="69" t="s">
        <v>676</v>
      </c>
      <c r="F2" s="9"/>
      <c r="G2" s="9"/>
      <c r="H2" s="11" t="s">
        <v>677</v>
      </c>
      <c r="I2" s="60">
        <v>0.0</v>
      </c>
      <c r="J2" s="11" t="s">
        <v>678</v>
      </c>
      <c r="K2" s="60">
        <v>0.0</v>
      </c>
      <c r="L2" s="11" t="s">
        <v>679</v>
      </c>
      <c r="M2" s="60">
        <v>0.0</v>
      </c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7">
        <v>1856.0</v>
      </c>
      <c r="B3" s="8" t="s">
        <v>38</v>
      </c>
      <c r="C3" s="9" t="str">
        <f t="shared" si="1"/>
        <v>UPS-02_Control Room</v>
      </c>
      <c r="D3" s="59" t="s">
        <v>680</v>
      </c>
      <c r="E3" s="69" t="s">
        <v>676</v>
      </c>
      <c r="F3" s="4"/>
      <c r="G3" s="4"/>
      <c r="H3" s="11" t="s">
        <v>681</v>
      </c>
      <c r="I3" s="60">
        <v>0.0</v>
      </c>
      <c r="J3" s="11" t="s">
        <v>682</v>
      </c>
      <c r="K3" s="60">
        <v>0.0</v>
      </c>
      <c r="L3" s="11" t="s">
        <v>683</v>
      </c>
      <c r="M3" s="60">
        <v>0.0</v>
      </c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7">
        <v>1856.0</v>
      </c>
      <c r="B4" s="8" t="s">
        <v>38</v>
      </c>
      <c r="C4" s="9" t="str">
        <f t="shared" si="1"/>
        <v>UPS-03_Control Room</v>
      </c>
      <c r="D4" s="59" t="s">
        <v>684</v>
      </c>
      <c r="E4" s="69" t="s">
        <v>676</v>
      </c>
      <c r="F4" s="4"/>
      <c r="G4" s="4"/>
      <c r="H4" s="11" t="s">
        <v>685</v>
      </c>
      <c r="I4" s="60">
        <v>0.0</v>
      </c>
      <c r="J4" s="11" t="s">
        <v>686</v>
      </c>
      <c r="K4" s="60">
        <v>0.0</v>
      </c>
      <c r="L4" s="11" t="s">
        <v>687</v>
      </c>
      <c r="M4" s="60">
        <v>0.0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7">
        <v>1856.0</v>
      </c>
      <c r="B5" s="8" t="s">
        <v>38</v>
      </c>
      <c r="C5" s="9" t="str">
        <f t="shared" si="1"/>
        <v>UPS-04_Control Room</v>
      </c>
      <c r="D5" s="59" t="s">
        <v>688</v>
      </c>
      <c r="E5" s="69" t="s">
        <v>676</v>
      </c>
      <c r="F5" s="4"/>
      <c r="G5" s="4"/>
      <c r="H5" s="11" t="s">
        <v>689</v>
      </c>
      <c r="I5" s="60">
        <v>0.0</v>
      </c>
      <c r="J5" s="11" t="s">
        <v>690</v>
      </c>
      <c r="K5" s="60">
        <v>0.0</v>
      </c>
      <c r="L5" s="11" t="s">
        <v>691</v>
      </c>
      <c r="M5" s="60">
        <v>0.0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9.63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32.75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25.5"/>
    <col customWidth="1" min="27" max="27" width="12.38"/>
    <col customWidth="1" min="28" max="28" width="9.0"/>
    <col customWidth="1" min="29" max="29" width="11.38"/>
  </cols>
  <sheetData>
    <row r="1">
      <c r="A1" s="68" t="s">
        <v>0</v>
      </c>
      <c r="B1" s="68" t="s">
        <v>1</v>
      </c>
      <c r="C1" s="54" t="s">
        <v>2</v>
      </c>
      <c r="D1" s="54" t="s">
        <v>692</v>
      </c>
      <c r="E1" s="54" t="s">
        <v>1</v>
      </c>
      <c r="F1" s="55" t="s">
        <v>693</v>
      </c>
      <c r="G1" s="56" t="s">
        <v>14</v>
      </c>
      <c r="H1" s="55" t="s">
        <v>9</v>
      </c>
      <c r="I1" s="55" t="s">
        <v>399</v>
      </c>
      <c r="J1" s="55" t="s">
        <v>694</v>
      </c>
      <c r="K1" s="56" t="s">
        <v>14</v>
      </c>
      <c r="L1" s="55" t="s">
        <v>9</v>
      </c>
      <c r="M1" s="55" t="s">
        <v>10</v>
      </c>
      <c r="N1" s="55" t="s">
        <v>695</v>
      </c>
      <c r="O1" s="56" t="s">
        <v>14</v>
      </c>
      <c r="P1" s="55" t="s">
        <v>398</v>
      </c>
      <c r="Q1" s="55" t="s">
        <v>10</v>
      </c>
      <c r="R1" s="55" t="s">
        <v>696</v>
      </c>
      <c r="S1" s="56" t="s">
        <v>14</v>
      </c>
      <c r="T1" s="55" t="s">
        <v>9</v>
      </c>
      <c r="U1" s="55" t="s">
        <v>697</v>
      </c>
      <c r="V1" s="55" t="s">
        <v>698</v>
      </c>
      <c r="W1" s="56" t="s">
        <v>14</v>
      </c>
      <c r="X1" s="55" t="s">
        <v>398</v>
      </c>
      <c r="Y1" s="55" t="s">
        <v>10</v>
      </c>
      <c r="Z1" s="55" t="s">
        <v>699</v>
      </c>
      <c r="AA1" s="56" t="s">
        <v>14</v>
      </c>
      <c r="AB1" s="55" t="s">
        <v>9</v>
      </c>
      <c r="AC1" s="55" t="s">
        <v>10</v>
      </c>
    </row>
    <row r="2" ht="15.75" customHeight="1">
      <c r="A2" s="70">
        <v>1856.0</v>
      </c>
      <c r="B2" s="71" t="s">
        <v>38</v>
      </c>
      <c r="C2" s="9" t="str">
        <f t="shared" ref="C2:C3" si="1">CONCATENATE(D2,"_",E2)</f>
        <v>GEPLC_Process PLC</v>
      </c>
      <c r="D2" s="9" t="s">
        <v>700</v>
      </c>
      <c r="E2" s="69" t="s">
        <v>701</v>
      </c>
      <c r="F2" s="11" t="s">
        <v>702</v>
      </c>
      <c r="G2" s="60">
        <v>1.0</v>
      </c>
      <c r="H2" s="66" t="s">
        <v>703</v>
      </c>
      <c r="I2" s="66" t="s">
        <v>704</v>
      </c>
      <c r="J2" s="11" t="s">
        <v>705</v>
      </c>
      <c r="K2" s="60">
        <v>1.0</v>
      </c>
      <c r="L2" s="66" t="s">
        <v>703</v>
      </c>
      <c r="M2" s="40" t="s">
        <v>706</v>
      </c>
      <c r="N2" s="11"/>
      <c r="O2" s="11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5.75" customHeight="1">
      <c r="A3" s="70">
        <v>1856.0</v>
      </c>
      <c r="B3" s="71" t="s">
        <v>38</v>
      </c>
      <c r="C3" s="9" t="str">
        <f t="shared" si="1"/>
        <v>SFT PLC_Safety PLC</v>
      </c>
      <c r="D3" s="66" t="s">
        <v>707</v>
      </c>
      <c r="E3" s="72" t="s">
        <v>708</v>
      </c>
      <c r="F3" s="11" t="s">
        <v>709</v>
      </c>
      <c r="G3" s="60">
        <v>1.0</v>
      </c>
      <c r="H3" s="66" t="s">
        <v>710</v>
      </c>
      <c r="I3" s="66" t="s">
        <v>704</v>
      </c>
      <c r="J3" s="11" t="s">
        <v>711</v>
      </c>
      <c r="K3" s="60">
        <v>1.0</v>
      </c>
      <c r="L3" s="66" t="s">
        <v>710</v>
      </c>
      <c r="M3" s="40" t="s">
        <v>706</v>
      </c>
      <c r="N3" s="11" t="s">
        <v>712</v>
      </c>
      <c r="O3" s="60">
        <v>0.0</v>
      </c>
      <c r="P3" s="66" t="s">
        <v>710</v>
      </c>
      <c r="Q3" s="66" t="s">
        <v>704</v>
      </c>
      <c r="R3" s="11" t="s">
        <v>713</v>
      </c>
      <c r="S3" s="60">
        <v>0.0</v>
      </c>
      <c r="T3" s="66" t="s">
        <v>710</v>
      </c>
      <c r="U3" s="40" t="s">
        <v>706</v>
      </c>
      <c r="V3" s="11" t="s">
        <v>714</v>
      </c>
      <c r="W3" s="60">
        <v>0.0</v>
      </c>
      <c r="X3" s="66" t="s">
        <v>710</v>
      </c>
      <c r="Y3" s="66" t="s">
        <v>704</v>
      </c>
      <c r="Z3" s="11" t="s">
        <v>715</v>
      </c>
      <c r="AA3" s="60">
        <v>0.0</v>
      </c>
      <c r="AB3" s="66" t="s">
        <v>710</v>
      </c>
      <c r="AC3" s="40" t="s">
        <v>706</v>
      </c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9.63"/>
    <col customWidth="1" min="3" max="3" width="37.75"/>
    <col customWidth="1" min="5" max="5" width="10.5"/>
    <col customWidth="1" min="7" max="7" width="35.63"/>
    <col customWidth="1" min="9" max="9" width="35.63"/>
    <col customWidth="1" min="11" max="11" width="31.75"/>
    <col customWidth="1" min="13" max="13" width="36.75"/>
    <col customWidth="1" min="15" max="15" width="28.75"/>
    <col customWidth="1" min="17" max="17" width="29.75"/>
  </cols>
  <sheetData>
    <row r="1">
      <c r="A1" s="68" t="s">
        <v>0</v>
      </c>
      <c r="B1" s="68" t="s">
        <v>1</v>
      </c>
      <c r="C1" s="54" t="s">
        <v>2</v>
      </c>
      <c r="D1" s="54" t="s">
        <v>716</v>
      </c>
      <c r="E1" s="54" t="s">
        <v>717</v>
      </c>
      <c r="F1" s="54" t="s">
        <v>1</v>
      </c>
      <c r="G1" s="55" t="s">
        <v>718</v>
      </c>
      <c r="H1" s="56" t="s">
        <v>14</v>
      </c>
      <c r="I1" s="55" t="s">
        <v>719</v>
      </c>
      <c r="J1" s="56" t="s">
        <v>14</v>
      </c>
      <c r="K1" s="55" t="s">
        <v>720</v>
      </c>
      <c r="L1" s="56" t="s">
        <v>14</v>
      </c>
      <c r="M1" s="55" t="s">
        <v>721</v>
      </c>
      <c r="N1" s="56" t="s">
        <v>14</v>
      </c>
      <c r="O1" s="55" t="s">
        <v>722</v>
      </c>
      <c r="P1" s="56" t="s">
        <v>14</v>
      </c>
      <c r="Q1" s="73" t="s">
        <v>723</v>
      </c>
      <c r="R1" s="66" t="s">
        <v>7</v>
      </c>
    </row>
    <row r="2">
      <c r="A2" s="70">
        <v>1856.0</v>
      </c>
      <c r="B2" s="71" t="s">
        <v>38</v>
      </c>
      <c r="C2" s="27" t="str">
        <f t="shared" ref="C2:C20" si="1">CONCATENATE(D2,"_",E2,"_",F2)</f>
        <v>HDS-01_OPENPATH_TANK - 05</v>
      </c>
      <c r="D2" s="10" t="s">
        <v>724</v>
      </c>
      <c r="E2" s="74" t="s">
        <v>725</v>
      </c>
      <c r="F2" s="10" t="s">
        <v>726</v>
      </c>
      <c r="G2" s="28" t="s">
        <v>727</v>
      </c>
      <c r="H2" s="75">
        <v>0.0</v>
      </c>
      <c r="I2" s="28" t="s">
        <v>728</v>
      </c>
      <c r="J2" s="75">
        <v>0.0</v>
      </c>
      <c r="K2" s="28" t="s">
        <v>729</v>
      </c>
      <c r="L2" s="75">
        <v>0.0</v>
      </c>
      <c r="M2" s="28" t="s">
        <v>730</v>
      </c>
      <c r="N2" s="75">
        <v>0.0</v>
      </c>
      <c r="O2" s="28" t="s">
        <v>731</v>
      </c>
      <c r="P2" s="75">
        <v>0.0</v>
      </c>
      <c r="Q2" s="76" t="s">
        <v>732</v>
      </c>
      <c r="R2" s="75">
        <v>0.0</v>
      </c>
    </row>
    <row r="3">
      <c r="A3" s="70">
        <v>1856.0</v>
      </c>
      <c r="B3" s="71" t="s">
        <v>38</v>
      </c>
      <c r="C3" s="27" t="str">
        <f t="shared" si="1"/>
        <v>HDS-02_OPENPATH_TTL PUMP HOUSE</v>
      </c>
      <c r="D3" s="23" t="s">
        <v>733</v>
      </c>
      <c r="E3" s="74" t="s">
        <v>725</v>
      </c>
      <c r="F3" s="23" t="s">
        <v>734</v>
      </c>
      <c r="G3" s="36" t="s">
        <v>735</v>
      </c>
      <c r="H3" s="75">
        <v>0.0</v>
      </c>
      <c r="I3" s="36" t="s">
        <v>736</v>
      </c>
      <c r="J3" s="75">
        <v>0.0</v>
      </c>
      <c r="K3" s="36" t="s">
        <v>737</v>
      </c>
      <c r="L3" s="75">
        <v>0.0</v>
      </c>
      <c r="M3" s="36" t="s">
        <v>738</v>
      </c>
      <c r="N3" s="75">
        <v>0.0</v>
      </c>
      <c r="O3" s="36" t="s">
        <v>739</v>
      </c>
      <c r="P3" s="75">
        <v>0.0</v>
      </c>
      <c r="Q3" s="76" t="s">
        <v>732</v>
      </c>
      <c r="R3" s="75">
        <v>0.0</v>
      </c>
    </row>
    <row r="4">
      <c r="A4" s="70">
        <v>1856.0</v>
      </c>
      <c r="B4" s="71" t="s">
        <v>38</v>
      </c>
      <c r="C4" s="27" t="str">
        <f t="shared" si="1"/>
        <v>HDS-03_OPENPATH_TWL PUMP HOUSE</v>
      </c>
      <c r="D4" s="23" t="s">
        <v>740</v>
      </c>
      <c r="E4" s="74" t="s">
        <v>725</v>
      </c>
      <c r="F4" s="23" t="s">
        <v>741</v>
      </c>
      <c r="G4" s="36" t="s">
        <v>742</v>
      </c>
      <c r="H4" s="75">
        <v>0.0</v>
      </c>
      <c r="I4" s="36" t="s">
        <v>743</v>
      </c>
      <c r="J4" s="75">
        <v>0.0</v>
      </c>
      <c r="K4" s="36" t="s">
        <v>744</v>
      </c>
      <c r="L4" s="75">
        <v>0.0</v>
      </c>
      <c r="M4" s="36" t="s">
        <v>745</v>
      </c>
      <c r="N4" s="75">
        <v>0.0</v>
      </c>
      <c r="O4" s="36" t="s">
        <v>746</v>
      </c>
      <c r="P4" s="75">
        <v>0.0</v>
      </c>
      <c r="Q4" s="76" t="s">
        <v>732</v>
      </c>
      <c r="R4" s="75">
        <v>0.0</v>
      </c>
    </row>
    <row r="5">
      <c r="A5" s="70">
        <v>1856.0</v>
      </c>
      <c r="B5" s="71" t="s">
        <v>38</v>
      </c>
      <c r="C5" s="27" t="str">
        <f t="shared" si="1"/>
        <v>HDS-04_OPENPATH_TANK - 14</v>
      </c>
      <c r="D5" s="23" t="s">
        <v>747</v>
      </c>
      <c r="E5" s="74" t="s">
        <v>725</v>
      </c>
      <c r="F5" s="23" t="s">
        <v>748</v>
      </c>
      <c r="G5" s="36" t="s">
        <v>749</v>
      </c>
      <c r="H5" s="75">
        <v>0.0</v>
      </c>
      <c r="I5" s="36" t="s">
        <v>750</v>
      </c>
      <c r="J5" s="75">
        <v>0.0</v>
      </c>
      <c r="K5" s="36" t="s">
        <v>751</v>
      </c>
      <c r="L5" s="75">
        <v>0.0</v>
      </c>
      <c r="M5" s="36" t="s">
        <v>752</v>
      </c>
      <c r="N5" s="75">
        <v>0.0</v>
      </c>
      <c r="O5" s="36" t="s">
        <v>753</v>
      </c>
      <c r="P5" s="75">
        <v>0.0</v>
      </c>
      <c r="Q5" s="76" t="s">
        <v>732</v>
      </c>
      <c r="R5" s="75">
        <v>0.0</v>
      </c>
    </row>
    <row r="6">
      <c r="A6" s="70">
        <v>1856.0</v>
      </c>
      <c r="B6" s="71" t="s">
        <v>38</v>
      </c>
      <c r="C6" s="27" t="str">
        <f t="shared" si="1"/>
        <v>HDS-05_OPENPATH_TANK - 12</v>
      </c>
      <c r="D6" s="23" t="s">
        <v>754</v>
      </c>
      <c r="E6" s="74" t="s">
        <v>725</v>
      </c>
      <c r="F6" s="23" t="s">
        <v>755</v>
      </c>
      <c r="G6" s="36" t="s">
        <v>756</v>
      </c>
      <c r="H6" s="75">
        <v>0.0</v>
      </c>
      <c r="I6" s="36" t="s">
        <v>757</v>
      </c>
      <c r="J6" s="75">
        <v>0.0</v>
      </c>
      <c r="K6" s="36" t="s">
        <v>758</v>
      </c>
      <c r="L6" s="75">
        <v>0.0</v>
      </c>
      <c r="M6" s="36" t="s">
        <v>759</v>
      </c>
      <c r="N6" s="75">
        <v>0.0</v>
      </c>
      <c r="O6" s="36" t="s">
        <v>760</v>
      </c>
      <c r="P6" s="75">
        <v>0.0</v>
      </c>
      <c r="Q6" s="76" t="s">
        <v>732</v>
      </c>
      <c r="R6" s="75">
        <v>0.0</v>
      </c>
    </row>
    <row r="7">
      <c r="A7" s="70">
        <v>1856.0</v>
      </c>
      <c r="B7" s="71" t="s">
        <v>38</v>
      </c>
      <c r="C7" s="27" t="str">
        <f t="shared" si="1"/>
        <v>HDS-06_OPENPATH_TANK - 06</v>
      </c>
      <c r="D7" s="23" t="s">
        <v>761</v>
      </c>
      <c r="E7" s="74" t="s">
        <v>725</v>
      </c>
      <c r="F7" s="23" t="s">
        <v>762</v>
      </c>
      <c r="G7" s="36" t="s">
        <v>763</v>
      </c>
      <c r="H7" s="75">
        <v>0.0</v>
      </c>
      <c r="I7" s="36" t="s">
        <v>764</v>
      </c>
      <c r="J7" s="75">
        <v>0.0</v>
      </c>
      <c r="K7" s="36" t="s">
        <v>765</v>
      </c>
      <c r="L7" s="75">
        <v>0.0</v>
      </c>
      <c r="M7" s="36" t="s">
        <v>766</v>
      </c>
      <c r="N7" s="75">
        <v>0.0</v>
      </c>
      <c r="O7" s="36" t="s">
        <v>767</v>
      </c>
      <c r="P7" s="75">
        <v>0.0</v>
      </c>
      <c r="Q7" s="76" t="s">
        <v>732</v>
      </c>
      <c r="R7" s="75">
        <v>0.0</v>
      </c>
    </row>
    <row r="8">
      <c r="A8" s="70">
        <v>1856.0</v>
      </c>
      <c r="B8" s="71" t="s">
        <v>38</v>
      </c>
      <c r="C8" s="27" t="str">
        <f t="shared" si="1"/>
        <v>HDS-07_FIXEDTYPE_TANK - 05 / 06</v>
      </c>
      <c r="D8" s="23" t="s">
        <v>768</v>
      </c>
      <c r="E8" s="74" t="s">
        <v>769</v>
      </c>
      <c r="F8" s="23" t="s">
        <v>770</v>
      </c>
      <c r="G8" s="36" t="s">
        <v>771</v>
      </c>
      <c r="H8" s="75">
        <v>0.0</v>
      </c>
      <c r="I8" s="36" t="s">
        <v>772</v>
      </c>
      <c r="J8" s="75">
        <v>0.0</v>
      </c>
      <c r="K8" s="36" t="s">
        <v>773</v>
      </c>
      <c r="L8" s="75">
        <v>0.0</v>
      </c>
      <c r="M8" s="36" t="s">
        <v>774</v>
      </c>
      <c r="N8" s="75">
        <v>0.0</v>
      </c>
      <c r="O8" s="36" t="s">
        <v>775</v>
      </c>
      <c r="P8" s="75">
        <v>0.0</v>
      </c>
      <c r="Q8" s="76" t="s">
        <v>732</v>
      </c>
      <c r="R8" s="75">
        <v>0.0</v>
      </c>
    </row>
    <row r="9">
      <c r="A9" s="70">
        <v>1856.0</v>
      </c>
      <c r="B9" s="71" t="s">
        <v>38</v>
      </c>
      <c r="C9" s="27" t="str">
        <f t="shared" si="1"/>
        <v>HDS-08_FIXEDTYPE_TANK - 12 / 14</v>
      </c>
      <c r="D9" s="23" t="s">
        <v>776</v>
      </c>
      <c r="E9" s="74" t="s">
        <v>769</v>
      </c>
      <c r="F9" s="23" t="s">
        <v>777</v>
      </c>
      <c r="G9" s="36" t="s">
        <v>778</v>
      </c>
      <c r="H9" s="75">
        <v>0.0</v>
      </c>
      <c r="I9" s="36" t="s">
        <v>779</v>
      </c>
      <c r="J9" s="75">
        <v>0.0</v>
      </c>
      <c r="K9" s="36" t="s">
        <v>780</v>
      </c>
      <c r="L9" s="75">
        <v>0.0</v>
      </c>
      <c r="M9" s="36" t="s">
        <v>781</v>
      </c>
      <c r="N9" s="75">
        <v>0.0</v>
      </c>
      <c r="O9" s="36" t="s">
        <v>782</v>
      </c>
      <c r="P9" s="75">
        <v>0.0</v>
      </c>
      <c r="Q9" s="76" t="s">
        <v>732</v>
      </c>
      <c r="R9" s="75">
        <v>0.0</v>
      </c>
    </row>
    <row r="10">
      <c r="A10" s="70">
        <v>1856.0</v>
      </c>
      <c r="B10" s="71" t="s">
        <v>38</v>
      </c>
      <c r="C10" s="27" t="str">
        <f t="shared" si="1"/>
        <v>HDS-09_POINTTYPE_TANK 12 MOV</v>
      </c>
      <c r="D10" s="23" t="s">
        <v>783</v>
      </c>
      <c r="E10" s="74" t="s">
        <v>784</v>
      </c>
      <c r="F10" s="23" t="s">
        <v>785</v>
      </c>
      <c r="G10" s="36" t="s">
        <v>786</v>
      </c>
      <c r="H10" s="75">
        <v>0.0</v>
      </c>
      <c r="I10" s="36" t="s">
        <v>787</v>
      </c>
      <c r="J10" s="75">
        <v>0.0</v>
      </c>
      <c r="K10" s="36" t="s">
        <v>788</v>
      </c>
      <c r="L10" s="75">
        <v>0.0</v>
      </c>
      <c r="M10" s="36" t="s">
        <v>789</v>
      </c>
      <c r="N10" s="75">
        <v>0.0</v>
      </c>
      <c r="O10" s="36" t="s">
        <v>790</v>
      </c>
      <c r="P10" s="75">
        <v>0.0</v>
      </c>
      <c r="Q10" s="76" t="s">
        <v>732</v>
      </c>
      <c r="R10" s="75">
        <v>0.0</v>
      </c>
    </row>
    <row r="11">
      <c r="A11" s="70">
        <v>1856.0</v>
      </c>
      <c r="B11" s="71" t="s">
        <v>38</v>
      </c>
      <c r="C11" s="27" t="str">
        <f t="shared" si="1"/>
        <v>HDS-10_POINTTYPE_TANK 14 MOV</v>
      </c>
      <c r="D11" s="23" t="s">
        <v>791</v>
      </c>
      <c r="E11" s="74" t="s">
        <v>784</v>
      </c>
      <c r="F11" s="23" t="s">
        <v>792</v>
      </c>
      <c r="G11" s="36" t="s">
        <v>793</v>
      </c>
      <c r="H11" s="75">
        <v>0.0</v>
      </c>
      <c r="I11" s="36" t="s">
        <v>794</v>
      </c>
      <c r="J11" s="75">
        <v>0.0</v>
      </c>
      <c r="K11" s="36" t="s">
        <v>795</v>
      </c>
      <c r="L11" s="75">
        <v>0.0</v>
      </c>
      <c r="M11" s="36" t="s">
        <v>796</v>
      </c>
      <c r="N11" s="75">
        <v>0.0</v>
      </c>
      <c r="O11" s="36" t="s">
        <v>797</v>
      </c>
      <c r="P11" s="75">
        <v>0.0</v>
      </c>
      <c r="Q11" s="76" t="s">
        <v>732</v>
      </c>
      <c r="R11" s="75">
        <v>0.0</v>
      </c>
    </row>
    <row r="12">
      <c r="A12" s="70">
        <v>1856.0</v>
      </c>
      <c r="B12" s="71" t="s">
        <v>38</v>
      </c>
      <c r="C12" s="27" t="str">
        <f t="shared" si="1"/>
        <v>HDS-11_POINTTYPE_TANK 05 MOV</v>
      </c>
      <c r="D12" s="23" t="s">
        <v>798</v>
      </c>
      <c r="E12" s="74" t="s">
        <v>784</v>
      </c>
      <c r="F12" s="23" t="s">
        <v>799</v>
      </c>
      <c r="G12" s="36" t="s">
        <v>800</v>
      </c>
      <c r="H12" s="75">
        <v>0.0</v>
      </c>
      <c r="I12" s="36" t="s">
        <v>801</v>
      </c>
      <c r="J12" s="75">
        <v>0.0</v>
      </c>
      <c r="K12" s="36" t="s">
        <v>802</v>
      </c>
      <c r="L12" s="75">
        <v>0.0</v>
      </c>
      <c r="M12" s="36" t="s">
        <v>803</v>
      </c>
      <c r="N12" s="75">
        <v>0.0</v>
      </c>
      <c r="O12" s="36" t="s">
        <v>804</v>
      </c>
      <c r="P12" s="75">
        <v>0.0</v>
      </c>
      <c r="Q12" s="76" t="s">
        <v>732</v>
      </c>
      <c r="R12" s="75">
        <v>0.0</v>
      </c>
    </row>
    <row r="13">
      <c r="A13" s="70">
        <v>1856.0</v>
      </c>
      <c r="B13" s="71" t="s">
        <v>38</v>
      </c>
      <c r="C13" s="27" t="str">
        <f t="shared" si="1"/>
        <v>HDS-12_POINTTYPE_TANK 06 MOV</v>
      </c>
      <c r="D13" s="23" t="s">
        <v>805</v>
      </c>
      <c r="E13" s="74" t="s">
        <v>784</v>
      </c>
      <c r="F13" s="23" t="s">
        <v>806</v>
      </c>
      <c r="G13" s="36" t="s">
        <v>807</v>
      </c>
      <c r="H13" s="75">
        <v>0.0</v>
      </c>
      <c r="I13" s="36" t="s">
        <v>808</v>
      </c>
      <c r="J13" s="75">
        <v>0.0</v>
      </c>
      <c r="K13" s="36" t="s">
        <v>809</v>
      </c>
      <c r="L13" s="75">
        <v>0.0</v>
      </c>
      <c r="M13" s="36" t="s">
        <v>810</v>
      </c>
      <c r="N13" s="75">
        <v>0.0</v>
      </c>
      <c r="O13" s="36" t="s">
        <v>811</v>
      </c>
      <c r="P13" s="75">
        <v>0.0</v>
      </c>
      <c r="Q13" s="76" t="s">
        <v>732</v>
      </c>
      <c r="R13" s="75">
        <v>0.0</v>
      </c>
    </row>
    <row r="14">
      <c r="A14" s="70">
        <v>1856.0</v>
      </c>
      <c r="B14" s="71" t="s">
        <v>38</v>
      </c>
      <c r="C14" s="27" t="str">
        <f t="shared" si="1"/>
        <v>HDS-13_POINTTYPE_TTL PH MOV</v>
      </c>
      <c r="D14" s="23" t="s">
        <v>812</v>
      </c>
      <c r="E14" s="74" t="s">
        <v>784</v>
      </c>
      <c r="F14" s="23" t="s">
        <v>813</v>
      </c>
      <c r="G14" s="36" t="s">
        <v>814</v>
      </c>
      <c r="H14" s="75">
        <v>0.0</v>
      </c>
      <c r="I14" s="36" t="s">
        <v>815</v>
      </c>
      <c r="J14" s="75">
        <v>0.0</v>
      </c>
      <c r="K14" s="36" t="s">
        <v>816</v>
      </c>
      <c r="L14" s="75">
        <v>0.0</v>
      </c>
      <c r="M14" s="36" t="s">
        <v>817</v>
      </c>
      <c r="N14" s="75">
        <v>0.0</v>
      </c>
      <c r="O14" s="36" t="s">
        <v>818</v>
      </c>
      <c r="P14" s="75">
        <v>0.0</v>
      </c>
      <c r="Q14" s="76" t="s">
        <v>732</v>
      </c>
      <c r="R14" s="75">
        <v>0.0</v>
      </c>
    </row>
    <row r="15">
      <c r="A15" s="70">
        <v>1856.0</v>
      </c>
      <c r="B15" s="71" t="s">
        <v>38</v>
      </c>
      <c r="C15" s="27" t="str">
        <f t="shared" si="1"/>
        <v>HDS-14_POINTTYPE_TANK WAGON PH</v>
      </c>
      <c r="D15" s="23" t="s">
        <v>819</v>
      </c>
      <c r="E15" s="74" t="s">
        <v>784</v>
      </c>
      <c r="F15" s="23" t="s">
        <v>820</v>
      </c>
      <c r="G15" s="36" t="s">
        <v>821</v>
      </c>
      <c r="H15" s="75">
        <v>0.0</v>
      </c>
      <c r="I15" s="36" t="s">
        <v>822</v>
      </c>
      <c r="J15" s="75">
        <v>0.0</v>
      </c>
      <c r="K15" s="36" t="s">
        <v>823</v>
      </c>
      <c r="L15" s="75">
        <v>0.0</v>
      </c>
      <c r="M15" s="36" t="s">
        <v>824</v>
      </c>
      <c r="N15" s="75">
        <v>0.0</v>
      </c>
      <c r="O15" s="36" t="s">
        <v>825</v>
      </c>
      <c r="P15" s="75">
        <v>0.0</v>
      </c>
      <c r="Q15" s="76" t="s">
        <v>732</v>
      </c>
      <c r="R15" s="75">
        <v>0.0</v>
      </c>
    </row>
    <row r="16">
      <c r="A16" s="70">
        <v>1856.0</v>
      </c>
      <c r="B16" s="71" t="s">
        <v>38</v>
      </c>
      <c r="C16" s="27" t="str">
        <f t="shared" si="1"/>
        <v>HDS-15_POINTTYPE_TW SIDING</v>
      </c>
      <c r="D16" s="23" t="s">
        <v>826</v>
      </c>
      <c r="E16" s="74" t="s">
        <v>784</v>
      </c>
      <c r="F16" s="23" t="s">
        <v>827</v>
      </c>
      <c r="G16" s="36" t="s">
        <v>828</v>
      </c>
      <c r="H16" s="75">
        <v>0.0</v>
      </c>
      <c r="I16" s="36" t="s">
        <v>829</v>
      </c>
      <c r="J16" s="75">
        <v>0.0</v>
      </c>
      <c r="K16" s="36" t="s">
        <v>830</v>
      </c>
      <c r="L16" s="75">
        <v>0.0</v>
      </c>
      <c r="M16" s="36" t="s">
        <v>831</v>
      </c>
      <c r="N16" s="75">
        <v>0.0</v>
      </c>
      <c r="O16" s="36" t="s">
        <v>832</v>
      </c>
      <c r="P16" s="75">
        <v>0.0</v>
      </c>
      <c r="Q16" s="76" t="s">
        <v>732</v>
      </c>
      <c r="R16" s="75">
        <v>0.0</v>
      </c>
    </row>
    <row r="17">
      <c r="A17" s="70">
        <v>1856.0</v>
      </c>
      <c r="B17" s="71" t="s">
        <v>38</v>
      </c>
      <c r="C17" s="27" t="str">
        <f t="shared" si="1"/>
        <v>HDS-16_OPENPATH_TANK - 03</v>
      </c>
      <c r="D17" s="23" t="s">
        <v>833</v>
      </c>
      <c r="E17" s="74" t="s">
        <v>725</v>
      </c>
      <c r="F17" s="23" t="s">
        <v>834</v>
      </c>
      <c r="G17" s="36" t="s">
        <v>835</v>
      </c>
      <c r="H17" s="75">
        <v>0.0</v>
      </c>
      <c r="I17" s="36" t="s">
        <v>836</v>
      </c>
      <c r="J17" s="75">
        <v>0.0</v>
      </c>
      <c r="K17" s="36" t="s">
        <v>837</v>
      </c>
      <c r="L17" s="75">
        <v>0.0</v>
      </c>
      <c r="M17" s="36" t="s">
        <v>838</v>
      </c>
      <c r="N17" s="75">
        <v>0.0</v>
      </c>
      <c r="O17" s="36" t="s">
        <v>839</v>
      </c>
      <c r="P17" s="75">
        <v>0.0</v>
      </c>
      <c r="Q17" s="76" t="s">
        <v>732</v>
      </c>
      <c r="R17" s="75">
        <v>0.0</v>
      </c>
    </row>
    <row r="18">
      <c r="A18" s="70">
        <v>1856.0</v>
      </c>
      <c r="B18" s="71" t="s">
        <v>38</v>
      </c>
      <c r="C18" s="27" t="str">
        <f t="shared" si="1"/>
        <v>HDS-17_POINTTYPE_TANK - 04</v>
      </c>
      <c r="D18" s="23" t="s">
        <v>840</v>
      </c>
      <c r="E18" s="74" t="s">
        <v>784</v>
      </c>
      <c r="F18" s="23" t="s">
        <v>841</v>
      </c>
      <c r="G18" s="36" t="s">
        <v>842</v>
      </c>
      <c r="H18" s="75">
        <v>0.0</v>
      </c>
      <c r="I18" s="36" t="s">
        <v>843</v>
      </c>
      <c r="J18" s="75">
        <v>0.0</v>
      </c>
      <c r="K18" s="36" t="s">
        <v>844</v>
      </c>
      <c r="L18" s="75">
        <v>0.0</v>
      </c>
      <c r="M18" s="36" t="s">
        <v>845</v>
      </c>
      <c r="N18" s="75">
        <v>0.0</v>
      </c>
      <c r="O18" s="36" t="s">
        <v>846</v>
      </c>
      <c r="P18" s="75">
        <v>0.0</v>
      </c>
      <c r="Q18" s="76" t="s">
        <v>732</v>
      </c>
      <c r="R18" s="75">
        <v>0.0</v>
      </c>
    </row>
    <row r="19">
      <c r="A19" s="70">
        <v>1856.0</v>
      </c>
      <c r="B19" s="71" t="s">
        <v>38</v>
      </c>
      <c r="C19" s="27" t="str">
        <f t="shared" si="1"/>
        <v>HDS-18_OPENPATH_ETH PH MANIFOLD</v>
      </c>
      <c r="D19" s="23" t="s">
        <v>847</v>
      </c>
      <c r="E19" s="74" t="s">
        <v>725</v>
      </c>
      <c r="F19" s="23" t="s">
        <v>848</v>
      </c>
      <c r="G19" s="36" t="s">
        <v>849</v>
      </c>
      <c r="H19" s="75">
        <v>0.0</v>
      </c>
      <c r="I19" s="36" t="s">
        <v>850</v>
      </c>
      <c r="J19" s="75">
        <v>0.0</v>
      </c>
      <c r="K19" s="36" t="s">
        <v>851</v>
      </c>
      <c r="L19" s="75">
        <v>0.0</v>
      </c>
      <c r="M19" s="36" t="s">
        <v>852</v>
      </c>
      <c r="N19" s="75">
        <v>0.0</v>
      </c>
      <c r="O19" s="36" t="s">
        <v>853</v>
      </c>
      <c r="P19" s="75">
        <v>0.0</v>
      </c>
      <c r="Q19" s="76" t="s">
        <v>732</v>
      </c>
      <c r="R19" s="75">
        <v>0.0</v>
      </c>
    </row>
    <row r="20">
      <c r="A20" s="70">
        <v>1856.0</v>
      </c>
      <c r="B20" s="71" t="s">
        <v>38</v>
      </c>
      <c r="C20" s="27" t="str">
        <f t="shared" si="1"/>
        <v>HDS-19_OPENPATH_ETH PH MANIFOLD</v>
      </c>
      <c r="D20" s="23" t="s">
        <v>854</v>
      </c>
      <c r="E20" s="74" t="s">
        <v>725</v>
      </c>
      <c r="F20" s="23" t="s">
        <v>848</v>
      </c>
      <c r="G20" s="36" t="s">
        <v>855</v>
      </c>
      <c r="H20" s="75">
        <v>0.0</v>
      </c>
      <c r="I20" s="36" t="s">
        <v>856</v>
      </c>
      <c r="J20" s="75">
        <v>0.0</v>
      </c>
      <c r="K20" s="36" t="s">
        <v>857</v>
      </c>
      <c r="L20" s="75">
        <v>0.0</v>
      </c>
      <c r="M20" s="36" t="s">
        <v>858</v>
      </c>
      <c r="N20" s="75">
        <v>0.0</v>
      </c>
      <c r="O20" s="36" t="s">
        <v>859</v>
      </c>
      <c r="P20" s="75">
        <v>0.0</v>
      </c>
      <c r="Q20" s="76" t="s">
        <v>732</v>
      </c>
      <c r="R20" s="7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40.13"/>
  </cols>
  <sheetData>
    <row r="1" ht="15.75" customHeight="1">
      <c r="A1" s="54" t="s">
        <v>0</v>
      </c>
      <c r="B1" s="54" t="s">
        <v>1</v>
      </c>
      <c r="C1" s="54" t="s">
        <v>860</v>
      </c>
      <c r="D1" s="55" t="s">
        <v>861</v>
      </c>
      <c r="E1" s="56" t="s">
        <v>14</v>
      </c>
      <c r="F1" s="77" t="s">
        <v>862</v>
      </c>
      <c r="G1" s="4" t="s">
        <v>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5.75" customHeight="1">
      <c r="A2" s="70">
        <v>1856.0</v>
      </c>
      <c r="B2" s="71" t="s">
        <v>38</v>
      </c>
      <c r="C2" s="10" t="s">
        <v>863</v>
      </c>
      <c r="D2" s="78" t="s">
        <v>864</v>
      </c>
      <c r="E2" s="79">
        <v>0.0</v>
      </c>
      <c r="F2" s="76" t="s">
        <v>732</v>
      </c>
      <c r="G2" s="79">
        <v>0.0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5.75" customHeight="1">
      <c r="A3" s="70">
        <v>1856.0</v>
      </c>
      <c r="B3" s="71" t="s">
        <v>38</v>
      </c>
      <c r="C3" s="10" t="s">
        <v>865</v>
      </c>
      <c r="D3" s="78" t="s">
        <v>866</v>
      </c>
      <c r="E3" s="79">
        <v>0.0</v>
      </c>
      <c r="F3" s="76" t="s">
        <v>732</v>
      </c>
      <c r="G3" s="79">
        <v>0.0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5.75" customHeight="1">
      <c r="A4" s="70">
        <v>1856.0</v>
      </c>
      <c r="B4" s="71" t="s">
        <v>38</v>
      </c>
      <c r="C4" s="10" t="s">
        <v>867</v>
      </c>
      <c r="D4" s="78" t="s">
        <v>868</v>
      </c>
      <c r="E4" s="79">
        <v>0.0</v>
      </c>
      <c r="F4" s="76" t="s">
        <v>732</v>
      </c>
      <c r="G4" s="79">
        <v>0.0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5.75" customHeight="1">
      <c r="A5" s="70">
        <v>1856.0</v>
      </c>
      <c r="B5" s="71" t="s">
        <v>38</v>
      </c>
      <c r="C5" s="10" t="s">
        <v>869</v>
      </c>
      <c r="D5" s="78" t="s">
        <v>870</v>
      </c>
      <c r="E5" s="79">
        <v>0.0</v>
      </c>
      <c r="F5" s="76" t="s">
        <v>732</v>
      </c>
      <c r="G5" s="79">
        <v>0.0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5.75" customHeight="1">
      <c r="A6" s="70">
        <v>1856.0</v>
      </c>
      <c r="B6" s="71" t="s">
        <v>38</v>
      </c>
      <c r="C6" s="10" t="s">
        <v>871</v>
      </c>
      <c r="D6" s="78" t="s">
        <v>872</v>
      </c>
      <c r="E6" s="79">
        <v>0.0</v>
      </c>
      <c r="F6" s="76" t="s">
        <v>732</v>
      </c>
      <c r="G6" s="79">
        <v>0.0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5.75" customHeight="1">
      <c r="A7" s="70">
        <v>1856.0</v>
      </c>
      <c r="B7" s="71" t="s">
        <v>38</v>
      </c>
      <c r="C7" s="10" t="s">
        <v>873</v>
      </c>
      <c r="D7" s="78" t="s">
        <v>874</v>
      </c>
      <c r="E7" s="79">
        <v>0.0</v>
      </c>
      <c r="F7" s="76" t="s">
        <v>732</v>
      </c>
      <c r="G7" s="79">
        <v>0.0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8.13"/>
  </cols>
  <sheetData>
    <row r="1" ht="15.75" customHeight="1">
      <c r="A1" s="54" t="s">
        <v>0</v>
      </c>
      <c r="B1" s="54" t="s">
        <v>1</v>
      </c>
      <c r="C1" s="54" t="s">
        <v>875</v>
      </c>
      <c r="D1" s="55" t="s">
        <v>876</v>
      </c>
      <c r="E1" s="56" t="s">
        <v>7</v>
      </c>
      <c r="F1" s="55" t="s">
        <v>877</v>
      </c>
      <c r="G1" s="56" t="s">
        <v>7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ht="15.75" customHeight="1">
      <c r="A2" s="70">
        <v>1856.0</v>
      </c>
      <c r="B2" s="71" t="s">
        <v>38</v>
      </c>
      <c r="C2" s="11" t="s">
        <v>878</v>
      </c>
      <c r="D2" s="80" t="s">
        <v>879</v>
      </c>
      <c r="E2" s="81">
        <v>0.0</v>
      </c>
      <c r="F2" s="80" t="s">
        <v>880</v>
      </c>
      <c r="G2" s="81">
        <v>1.0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</row>
    <row r="3" ht="15.75" customHeight="1">
      <c r="A3" s="70">
        <v>1856.0</v>
      </c>
      <c r="B3" s="71" t="s">
        <v>38</v>
      </c>
      <c r="C3" s="11" t="s">
        <v>881</v>
      </c>
      <c r="D3" s="80" t="s">
        <v>882</v>
      </c>
      <c r="E3" s="81">
        <v>0.0</v>
      </c>
      <c r="F3" s="80" t="s">
        <v>883</v>
      </c>
      <c r="G3" s="81">
        <v>1.0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ht="15.75" customHeigh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ht="15.75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ht="15.75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ht="15.75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ht="15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ht="15.75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</row>
    <row r="203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</row>
    <row r="204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</row>
    <row r="205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</row>
    <row r="20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</row>
    <row r="207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</row>
    <row r="208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</row>
    <row r="20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</row>
    <row r="21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</row>
    <row r="211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</row>
    <row r="212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</row>
    <row r="213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</row>
    <row r="214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</row>
    <row r="215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</row>
    <row r="217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</row>
    <row r="218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54" t="s">
        <v>0</v>
      </c>
      <c r="B1" s="54" t="s">
        <v>1</v>
      </c>
      <c r="C1" s="54" t="s">
        <v>2</v>
      </c>
      <c r="D1" s="54" t="s">
        <v>884</v>
      </c>
      <c r="E1" s="54" t="s">
        <v>885</v>
      </c>
      <c r="F1" s="55" t="s">
        <v>886</v>
      </c>
      <c r="G1" s="56" t="s">
        <v>14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ht="15.75" customHeight="1">
      <c r="A2" s="70">
        <v>1856.0</v>
      </c>
      <c r="B2" s="71" t="s">
        <v>38</v>
      </c>
      <c r="C2" s="9" t="str">
        <f t="shared" ref="C2:C16" si="1">CONCATENATE(D2,"_",E2)</f>
        <v>1_HOOTER_FIELD_1</v>
      </c>
      <c r="D2" s="11">
        <v>1.0</v>
      </c>
      <c r="E2" s="10" t="s">
        <v>887</v>
      </c>
      <c r="F2" s="82" t="s">
        <v>888</v>
      </c>
      <c r="G2" s="79">
        <v>0.0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15.75" customHeight="1">
      <c r="A3" s="70">
        <v>1856.0</v>
      </c>
      <c r="B3" s="71" t="s">
        <v>38</v>
      </c>
      <c r="C3" s="9" t="str">
        <f t="shared" si="1"/>
        <v>2_HOOTER_FIELD_10</v>
      </c>
      <c r="D3" s="11">
        <v>2.0</v>
      </c>
      <c r="E3" s="10" t="s">
        <v>889</v>
      </c>
      <c r="F3" s="82" t="s">
        <v>890</v>
      </c>
      <c r="G3" s="79">
        <v>0.0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ht="15.75" customHeight="1">
      <c r="A4" s="70">
        <v>1856.0</v>
      </c>
      <c r="B4" s="71" t="s">
        <v>38</v>
      </c>
      <c r="C4" s="9" t="str">
        <f t="shared" si="1"/>
        <v>3_HOOTER_FIELD_11</v>
      </c>
      <c r="D4" s="11">
        <v>3.0</v>
      </c>
      <c r="E4" s="10" t="s">
        <v>891</v>
      </c>
      <c r="F4" s="82" t="s">
        <v>892</v>
      </c>
      <c r="G4" s="79">
        <v>0.0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ht="15.75" customHeight="1">
      <c r="A5" s="70">
        <v>1856.0</v>
      </c>
      <c r="B5" s="71" t="s">
        <v>38</v>
      </c>
      <c r="C5" s="9" t="str">
        <f t="shared" si="1"/>
        <v>4_HOOTER_FIELD_12</v>
      </c>
      <c r="D5" s="11">
        <v>4.0</v>
      </c>
      <c r="E5" s="10" t="s">
        <v>893</v>
      </c>
      <c r="F5" s="82" t="s">
        <v>894</v>
      </c>
      <c r="G5" s="79">
        <v>0.0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ht="15.75" customHeight="1">
      <c r="A6" s="70">
        <v>1856.0</v>
      </c>
      <c r="B6" s="71" t="s">
        <v>38</v>
      </c>
      <c r="C6" s="9" t="str">
        <f t="shared" si="1"/>
        <v>5_HOOTER_FIELD_13</v>
      </c>
      <c r="D6" s="11">
        <v>5.0</v>
      </c>
      <c r="E6" s="10" t="s">
        <v>895</v>
      </c>
      <c r="F6" s="82" t="s">
        <v>896</v>
      </c>
      <c r="G6" s="79">
        <v>0.0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ht="15.75" customHeight="1">
      <c r="A7" s="70">
        <v>1856.0</v>
      </c>
      <c r="B7" s="71" t="s">
        <v>38</v>
      </c>
      <c r="C7" s="9" t="str">
        <f t="shared" si="1"/>
        <v>6_HOOTER_FIELD_14</v>
      </c>
      <c r="D7" s="11">
        <v>6.0</v>
      </c>
      <c r="E7" s="10" t="s">
        <v>897</v>
      </c>
      <c r="F7" s="82" t="s">
        <v>898</v>
      </c>
      <c r="G7" s="79">
        <v>0.0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ht="15.75" customHeight="1">
      <c r="A8" s="70">
        <v>1856.0</v>
      </c>
      <c r="B8" s="71" t="s">
        <v>38</v>
      </c>
      <c r="C8" s="9" t="str">
        <f t="shared" si="1"/>
        <v>7_HOOTER_FIELD_15</v>
      </c>
      <c r="D8" s="11">
        <v>7.0</v>
      </c>
      <c r="E8" s="10" t="s">
        <v>899</v>
      </c>
      <c r="F8" s="82" t="s">
        <v>900</v>
      </c>
      <c r="G8" s="79">
        <v>0.0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ht="15.75" customHeight="1">
      <c r="A9" s="70">
        <v>1856.0</v>
      </c>
      <c r="B9" s="71" t="s">
        <v>38</v>
      </c>
      <c r="C9" s="9" t="str">
        <f t="shared" si="1"/>
        <v>8_HOOTER_FIELD_16</v>
      </c>
      <c r="D9" s="11">
        <v>8.0</v>
      </c>
      <c r="E9" s="10" t="s">
        <v>901</v>
      </c>
      <c r="F9" s="82" t="s">
        <v>902</v>
      </c>
      <c r="G9" s="79">
        <v>0.0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ht="15.75" customHeight="1">
      <c r="A10" s="70">
        <v>1856.0</v>
      </c>
      <c r="B10" s="71" t="s">
        <v>38</v>
      </c>
      <c r="C10" s="9" t="str">
        <f t="shared" si="1"/>
        <v>9_HOOTER_FIELD_2</v>
      </c>
      <c r="D10" s="11">
        <v>9.0</v>
      </c>
      <c r="E10" s="83" t="s">
        <v>903</v>
      </c>
      <c r="F10" s="82" t="s">
        <v>904</v>
      </c>
      <c r="G10" s="79">
        <v>0.0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ht="15.75" customHeight="1">
      <c r="A11" s="70">
        <v>1856.0</v>
      </c>
      <c r="B11" s="71" t="s">
        <v>38</v>
      </c>
      <c r="C11" s="9" t="str">
        <f t="shared" si="1"/>
        <v>10_HOOTER_FIELD_3</v>
      </c>
      <c r="D11" s="11">
        <v>10.0</v>
      </c>
      <c r="E11" s="83" t="s">
        <v>905</v>
      </c>
      <c r="F11" s="82" t="s">
        <v>906</v>
      </c>
      <c r="G11" s="79">
        <v>0.0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ht="15.75" customHeight="1">
      <c r="A12" s="70">
        <v>1856.0</v>
      </c>
      <c r="B12" s="71" t="s">
        <v>38</v>
      </c>
      <c r="C12" s="9" t="str">
        <f t="shared" si="1"/>
        <v>11_HOOTER_FIELD_4</v>
      </c>
      <c r="D12" s="11">
        <v>11.0</v>
      </c>
      <c r="E12" s="83" t="s">
        <v>907</v>
      </c>
      <c r="F12" s="82" t="s">
        <v>908</v>
      </c>
      <c r="G12" s="79">
        <v>0.0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ht="15.75" customHeight="1">
      <c r="A13" s="70">
        <v>1856.0</v>
      </c>
      <c r="B13" s="71" t="s">
        <v>38</v>
      </c>
      <c r="C13" s="9" t="str">
        <f t="shared" si="1"/>
        <v>12_HOOTER_FIELD_5</v>
      </c>
      <c r="D13" s="11">
        <v>12.0</v>
      </c>
      <c r="E13" s="83" t="s">
        <v>909</v>
      </c>
      <c r="F13" s="82" t="s">
        <v>910</v>
      </c>
      <c r="G13" s="79">
        <v>0.0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ht="15.75" customHeight="1">
      <c r="A14" s="70">
        <v>1856.0</v>
      </c>
      <c r="B14" s="71" t="s">
        <v>38</v>
      </c>
      <c r="C14" s="9" t="str">
        <f t="shared" si="1"/>
        <v>13_HOOTER_FIELD_6</v>
      </c>
      <c r="D14" s="11">
        <v>13.0</v>
      </c>
      <c r="E14" s="83" t="s">
        <v>911</v>
      </c>
      <c r="F14" s="82" t="s">
        <v>912</v>
      </c>
      <c r="G14" s="79">
        <v>0.0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ht="15.75" customHeight="1">
      <c r="A15" s="70">
        <v>1856.0</v>
      </c>
      <c r="B15" s="71" t="s">
        <v>38</v>
      </c>
      <c r="C15" s="9" t="str">
        <f t="shared" si="1"/>
        <v>14_HOOTER_FIELD_7</v>
      </c>
      <c r="D15" s="11">
        <v>14.0</v>
      </c>
      <c r="E15" s="83" t="s">
        <v>913</v>
      </c>
      <c r="F15" s="82" t="s">
        <v>914</v>
      </c>
      <c r="G15" s="79">
        <v>0.0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ht="15.75" customHeight="1">
      <c r="A16" s="70">
        <v>1856.0</v>
      </c>
      <c r="B16" s="71" t="s">
        <v>38</v>
      </c>
      <c r="C16" s="9" t="str">
        <f t="shared" si="1"/>
        <v>15_ANY_HOOTER_FOR_HCD_FIELD</v>
      </c>
      <c r="D16" s="11">
        <v>15.0</v>
      </c>
      <c r="E16" s="83" t="s">
        <v>915</v>
      </c>
      <c r="F16" s="82" t="s">
        <v>916</v>
      </c>
      <c r="G16" s="79">
        <v>0.0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25.38"/>
    <col customWidth="1" min="4" max="4" width="6.88"/>
    <col customWidth="1" min="5" max="5" width="10.5"/>
    <col customWidth="1" min="6" max="6" width="9.0"/>
    <col customWidth="1" min="7" max="7" width="11.25"/>
    <col customWidth="1" min="8" max="8" width="11.5"/>
    <col customWidth="1" min="9" max="9" width="24.13"/>
    <col customWidth="1" min="10" max="10" width="11.5"/>
    <col customWidth="1" min="11" max="11" width="36.63"/>
    <col customWidth="1" min="12" max="12" width="11.5"/>
    <col customWidth="1" min="13" max="13" width="16.5"/>
    <col customWidth="1" min="14" max="14" width="11.5"/>
    <col customWidth="1" min="15" max="15" width="25.75"/>
    <col customWidth="1" min="16" max="16" width="11.5"/>
    <col customWidth="1" min="17" max="17" width="24.63"/>
    <col customWidth="1" min="18" max="18" width="11.5"/>
    <col customWidth="1" min="19" max="19" width="21.63"/>
    <col customWidth="1" min="20" max="20" width="11.5"/>
    <col customWidth="1" min="21" max="21" width="13.75"/>
    <col customWidth="1" min="22" max="22" width="11.5"/>
    <col customWidth="1" min="23" max="23" width="23.5"/>
    <col customWidth="1" min="24" max="24" width="11.5"/>
    <col customWidth="1" min="25" max="25" width="12.5"/>
    <col customWidth="1" min="26" max="26" width="11.5"/>
    <col customWidth="1" min="27" max="27" width="29.25"/>
    <col customWidth="1" min="28" max="28" width="11.5"/>
    <col customWidth="1" min="29" max="29" width="39.38"/>
    <col customWidth="1" min="30" max="30" width="11.5"/>
  </cols>
  <sheetData>
    <row r="1">
      <c r="A1" s="84" t="s">
        <v>0</v>
      </c>
      <c r="B1" s="84" t="s">
        <v>1</v>
      </c>
      <c r="C1" s="84" t="s">
        <v>2</v>
      </c>
      <c r="D1" s="84" t="s">
        <v>917</v>
      </c>
      <c r="E1" s="84" t="s">
        <v>918</v>
      </c>
      <c r="F1" s="84" t="s">
        <v>1</v>
      </c>
      <c r="G1" s="85" t="s">
        <v>919</v>
      </c>
      <c r="H1" s="86" t="s">
        <v>14</v>
      </c>
      <c r="I1" s="85" t="s">
        <v>920</v>
      </c>
      <c r="J1" s="86" t="s">
        <v>14</v>
      </c>
      <c r="K1" s="87" t="s">
        <v>921</v>
      </c>
      <c r="L1" s="86" t="s">
        <v>14</v>
      </c>
      <c r="M1" s="87" t="s">
        <v>922</v>
      </c>
      <c r="N1" s="86" t="s">
        <v>14</v>
      </c>
      <c r="O1" s="87" t="s">
        <v>923</v>
      </c>
      <c r="P1" s="86" t="s">
        <v>14</v>
      </c>
      <c r="Q1" s="87" t="s">
        <v>924</v>
      </c>
      <c r="R1" s="86" t="s">
        <v>14</v>
      </c>
      <c r="S1" s="87" t="s">
        <v>925</v>
      </c>
      <c r="T1" s="86" t="s">
        <v>14</v>
      </c>
      <c r="U1" s="87" t="s">
        <v>926</v>
      </c>
      <c r="V1" s="86" t="s">
        <v>14</v>
      </c>
      <c r="W1" s="87" t="s">
        <v>927</v>
      </c>
      <c r="X1" s="86" t="s">
        <v>14</v>
      </c>
      <c r="Y1" s="87" t="s">
        <v>928</v>
      </c>
      <c r="Z1" s="86" t="s">
        <v>14</v>
      </c>
      <c r="AA1" s="87" t="s">
        <v>929</v>
      </c>
      <c r="AB1" s="86" t="s">
        <v>14</v>
      </c>
      <c r="AC1" s="87" t="s">
        <v>930</v>
      </c>
      <c r="AD1" s="86" t="s">
        <v>14</v>
      </c>
    </row>
    <row r="2" ht="15.75" customHeight="1">
      <c r="A2" s="7">
        <v>1856.0</v>
      </c>
      <c r="B2" s="8" t="s">
        <v>38</v>
      </c>
      <c r="C2" s="9" t="str">
        <f t="shared" ref="C2:C19" si="1">CONCATENATE(D2,"_",F2)</f>
        <v>ESD-01_LOCATION INCHARGE</v>
      </c>
      <c r="D2" s="10" t="s">
        <v>931</v>
      </c>
      <c r="E2" s="10" t="s">
        <v>932</v>
      </c>
      <c r="F2" s="10" t="s">
        <v>933</v>
      </c>
      <c r="G2" s="27" t="s">
        <v>934</v>
      </c>
      <c r="H2" s="60">
        <v>0.0</v>
      </c>
      <c r="I2" s="88" t="s">
        <v>935</v>
      </c>
      <c r="J2" s="60">
        <v>0.0</v>
      </c>
      <c r="K2" s="27" t="s">
        <v>936</v>
      </c>
      <c r="L2" s="60">
        <v>0.0</v>
      </c>
      <c r="M2" s="27" t="s">
        <v>937</v>
      </c>
      <c r="N2" s="60">
        <v>0.0</v>
      </c>
      <c r="O2" s="27" t="s">
        <v>938</v>
      </c>
      <c r="P2" s="60">
        <v>0.0</v>
      </c>
      <c r="Q2" s="27" t="s">
        <v>939</v>
      </c>
      <c r="R2" s="60">
        <v>0.0</v>
      </c>
      <c r="S2" s="27" t="s">
        <v>940</v>
      </c>
      <c r="T2" s="60">
        <v>0.0</v>
      </c>
      <c r="U2" s="27" t="s">
        <v>941</v>
      </c>
      <c r="V2" s="60">
        <v>0.0</v>
      </c>
      <c r="W2" s="27" t="s">
        <v>942</v>
      </c>
      <c r="X2" s="60">
        <v>0.0</v>
      </c>
      <c r="Y2" s="27" t="s">
        <v>943</v>
      </c>
      <c r="Z2" s="60">
        <v>0.0</v>
      </c>
      <c r="AA2" s="27" t="s">
        <v>944</v>
      </c>
      <c r="AB2" s="60">
        <v>0.0</v>
      </c>
      <c r="AC2" s="27" t="s">
        <v>945</v>
      </c>
      <c r="AD2" s="60">
        <v>0.0</v>
      </c>
    </row>
    <row r="3" ht="15.75" customHeight="1">
      <c r="A3" s="7">
        <v>1856.0</v>
      </c>
      <c r="B3" s="8" t="s">
        <v>38</v>
      </c>
      <c r="C3" s="9" t="str">
        <f t="shared" si="1"/>
        <v>ESD-02_CONTROL ROOM</v>
      </c>
      <c r="D3" s="10" t="s">
        <v>946</v>
      </c>
      <c r="E3" s="10" t="s">
        <v>947</v>
      </c>
      <c r="F3" s="10" t="s">
        <v>948</v>
      </c>
      <c r="G3" s="27" t="s">
        <v>949</v>
      </c>
      <c r="H3" s="60">
        <v>0.0</v>
      </c>
      <c r="I3" s="27" t="s">
        <v>950</v>
      </c>
      <c r="J3" s="60">
        <v>0.0</v>
      </c>
      <c r="K3" s="27" t="s">
        <v>936</v>
      </c>
      <c r="L3" s="60">
        <v>0.0</v>
      </c>
      <c r="M3" s="27" t="s">
        <v>937</v>
      </c>
      <c r="N3" s="60">
        <v>0.0</v>
      </c>
      <c r="O3" s="27" t="s">
        <v>938</v>
      </c>
      <c r="P3" s="60">
        <v>0.0</v>
      </c>
      <c r="Q3" s="27" t="s">
        <v>939</v>
      </c>
      <c r="R3" s="60">
        <v>0.0</v>
      </c>
      <c r="S3" s="27" t="s">
        <v>940</v>
      </c>
      <c r="T3" s="60">
        <v>0.0</v>
      </c>
      <c r="U3" s="27" t="s">
        <v>941</v>
      </c>
      <c r="V3" s="60">
        <v>0.0</v>
      </c>
      <c r="W3" s="27" t="s">
        <v>942</v>
      </c>
      <c r="X3" s="60">
        <v>0.0</v>
      </c>
      <c r="Y3" s="27" t="s">
        <v>943</v>
      </c>
      <c r="Z3" s="60">
        <v>0.0</v>
      </c>
      <c r="AA3" s="27" t="s">
        <v>944</v>
      </c>
      <c r="AB3" s="60">
        <v>0.0</v>
      </c>
      <c r="AC3" s="27" t="s">
        <v>945</v>
      </c>
      <c r="AD3" s="60">
        <v>0.0</v>
      </c>
    </row>
    <row r="4" ht="15.75" customHeight="1">
      <c r="A4" s="7">
        <v>1856.0</v>
      </c>
      <c r="B4" s="8" t="s">
        <v>38</v>
      </c>
      <c r="C4" s="9" t="str">
        <f t="shared" si="1"/>
        <v>ESD-03_TLF GANTRY AREA</v>
      </c>
      <c r="D4" s="10" t="s">
        <v>951</v>
      </c>
      <c r="E4" s="10" t="s">
        <v>952</v>
      </c>
      <c r="F4" s="10" t="s">
        <v>953</v>
      </c>
      <c r="G4" s="27" t="s">
        <v>954</v>
      </c>
      <c r="H4" s="60">
        <v>0.0</v>
      </c>
      <c r="I4" s="27" t="s">
        <v>955</v>
      </c>
      <c r="J4" s="60">
        <v>0.0</v>
      </c>
      <c r="K4" s="27" t="s">
        <v>936</v>
      </c>
      <c r="L4" s="60">
        <v>0.0</v>
      </c>
      <c r="M4" s="27" t="s">
        <v>937</v>
      </c>
      <c r="N4" s="60">
        <v>0.0</v>
      </c>
      <c r="O4" s="27" t="s">
        <v>938</v>
      </c>
      <c r="P4" s="60">
        <v>0.0</v>
      </c>
      <c r="Q4" s="27" t="s">
        <v>939</v>
      </c>
      <c r="R4" s="60">
        <v>0.0</v>
      </c>
      <c r="S4" s="27" t="s">
        <v>940</v>
      </c>
      <c r="T4" s="60">
        <v>0.0</v>
      </c>
      <c r="U4" s="27" t="s">
        <v>941</v>
      </c>
      <c r="V4" s="60">
        <v>0.0</v>
      </c>
      <c r="W4" s="27" t="s">
        <v>942</v>
      </c>
      <c r="X4" s="60">
        <v>0.0</v>
      </c>
      <c r="Y4" s="27" t="s">
        <v>943</v>
      </c>
      <c r="Z4" s="60">
        <v>0.0</v>
      </c>
      <c r="AA4" s="27" t="s">
        <v>944</v>
      </c>
      <c r="AB4" s="60">
        <v>0.0</v>
      </c>
      <c r="AC4" s="27" t="s">
        <v>945</v>
      </c>
      <c r="AD4" s="60">
        <v>0.0</v>
      </c>
    </row>
    <row r="5" ht="15.75" customHeight="1">
      <c r="A5" s="7">
        <v>1856.0</v>
      </c>
      <c r="B5" s="8" t="s">
        <v>38</v>
      </c>
      <c r="C5" s="9" t="str">
        <f t="shared" si="1"/>
        <v>ESD-04_MCC ROOM</v>
      </c>
      <c r="D5" s="10" t="s">
        <v>956</v>
      </c>
      <c r="E5" s="10" t="s">
        <v>957</v>
      </c>
      <c r="F5" s="10" t="s">
        <v>958</v>
      </c>
      <c r="G5" s="27" t="s">
        <v>959</v>
      </c>
      <c r="H5" s="60">
        <v>0.0</v>
      </c>
      <c r="I5" s="27" t="s">
        <v>960</v>
      </c>
      <c r="J5" s="60">
        <v>0.0</v>
      </c>
      <c r="K5" s="27" t="s">
        <v>936</v>
      </c>
      <c r="L5" s="60">
        <v>0.0</v>
      </c>
      <c r="M5" s="27" t="s">
        <v>937</v>
      </c>
      <c r="N5" s="60">
        <v>0.0</v>
      </c>
      <c r="O5" s="27" t="s">
        <v>938</v>
      </c>
      <c r="P5" s="60">
        <v>0.0</v>
      </c>
      <c r="Q5" s="27" t="s">
        <v>939</v>
      </c>
      <c r="R5" s="60">
        <v>0.0</v>
      </c>
      <c r="S5" s="27" t="s">
        <v>940</v>
      </c>
      <c r="T5" s="60">
        <v>0.0</v>
      </c>
      <c r="U5" s="27" t="s">
        <v>941</v>
      </c>
      <c r="V5" s="60">
        <v>0.0</v>
      </c>
      <c r="W5" s="27" t="s">
        <v>942</v>
      </c>
      <c r="X5" s="60">
        <v>0.0</v>
      </c>
      <c r="Y5" s="27" t="s">
        <v>943</v>
      </c>
      <c r="Z5" s="60">
        <v>0.0</v>
      </c>
      <c r="AA5" s="27" t="s">
        <v>944</v>
      </c>
      <c r="AB5" s="60">
        <v>0.0</v>
      </c>
      <c r="AC5" s="27" t="s">
        <v>945</v>
      </c>
      <c r="AD5" s="60">
        <v>0.0</v>
      </c>
    </row>
    <row r="6" ht="15.75" customHeight="1">
      <c r="A6" s="7">
        <v>1856.0</v>
      </c>
      <c r="B6" s="8" t="s">
        <v>38</v>
      </c>
      <c r="C6" s="9" t="str">
        <f t="shared" si="1"/>
        <v>ESD-05_LUBES</v>
      </c>
      <c r="D6" s="10" t="s">
        <v>961</v>
      </c>
      <c r="E6" s="10" t="s">
        <v>962</v>
      </c>
      <c r="F6" s="10" t="s">
        <v>963</v>
      </c>
      <c r="G6" s="27" t="s">
        <v>964</v>
      </c>
      <c r="H6" s="60">
        <v>0.0</v>
      </c>
      <c r="I6" s="27" t="s">
        <v>965</v>
      </c>
      <c r="J6" s="60">
        <v>0.0</v>
      </c>
      <c r="K6" s="27" t="s">
        <v>936</v>
      </c>
      <c r="L6" s="60">
        <v>0.0</v>
      </c>
      <c r="M6" s="27" t="s">
        <v>937</v>
      </c>
      <c r="N6" s="60">
        <v>0.0</v>
      </c>
      <c r="O6" s="27" t="s">
        <v>938</v>
      </c>
      <c r="P6" s="60">
        <v>0.0</v>
      </c>
      <c r="Q6" s="27" t="s">
        <v>939</v>
      </c>
      <c r="R6" s="60">
        <v>0.0</v>
      </c>
      <c r="S6" s="27" t="s">
        <v>940</v>
      </c>
      <c r="T6" s="60">
        <v>0.0</v>
      </c>
      <c r="U6" s="27" t="s">
        <v>941</v>
      </c>
      <c r="V6" s="60">
        <v>0.0</v>
      </c>
      <c r="W6" s="27" t="s">
        <v>942</v>
      </c>
      <c r="X6" s="60">
        <v>0.0</v>
      </c>
      <c r="Y6" s="27" t="s">
        <v>943</v>
      </c>
      <c r="Z6" s="60">
        <v>0.0</v>
      </c>
      <c r="AA6" s="27" t="s">
        <v>944</v>
      </c>
      <c r="AB6" s="60">
        <v>0.0</v>
      </c>
      <c r="AC6" s="27" t="s">
        <v>945</v>
      </c>
      <c r="AD6" s="60">
        <v>0.0</v>
      </c>
    </row>
    <row r="7" ht="15.75" customHeight="1">
      <c r="A7" s="7">
        <v>1856.0</v>
      </c>
      <c r="B7" s="8" t="s">
        <v>38</v>
      </c>
      <c r="C7" s="9" t="str">
        <f t="shared" si="1"/>
        <v>ESD-06_SECURITY ROOM</v>
      </c>
      <c r="D7" s="10" t="s">
        <v>966</v>
      </c>
      <c r="E7" s="10" t="s">
        <v>967</v>
      </c>
      <c r="F7" s="10" t="s">
        <v>968</v>
      </c>
      <c r="G7" s="27" t="s">
        <v>969</v>
      </c>
      <c r="H7" s="60">
        <v>0.0</v>
      </c>
      <c r="I7" s="27" t="s">
        <v>970</v>
      </c>
      <c r="J7" s="60">
        <v>0.0</v>
      </c>
      <c r="K7" s="27" t="s">
        <v>936</v>
      </c>
      <c r="L7" s="60">
        <v>0.0</v>
      </c>
      <c r="M7" s="27" t="s">
        <v>937</v>
      </c>
      <c r="N7" s="60">
        <v>0.0</v>
      </c>
      <c r="O7" s="27" t="s">
        <v>938</v>
      </c>
      <c r="P7" s="60">
        <v>0.0</v>
      </c>
      <c r="Q7" s="27" t="s">
        <v>939</v>
      </c>
      <c r="R7" s="60">
        <v>0.0</v>
      </c>
      <c r="S7" s="27" t="s">
        <v>940</v>
      </c>
      <c r="T7" s="60">
        <v>0.0</v>
      </c>
      <c r="U7" s="27" t="s">
        <v>941</v>
      </c>
      <c r="V7" s="60">
        <v>0.0</v>
      </c>
      <c r="W7" s="27" t="s">
        <v>942</v>
      </c>
      <c r="X7" s="60">
        <v>0.0</v>
      </c>
      <c r="Y7" s="27" t="s">
        <v>943</v>
      </c>
      <c r="Z7" s="60">
        <v>0.0</v>
      </c>
      <c r="AA7" s="27" t="s">
        <v>944</v>
      </c>
      <c r="AB7" s="60">
        <v>0.0</v>
      </c>
      <c r="AC7" s="27" t="s">
        <v>945</v>
      </c>
      <c r="AD7" s="60">
        <v>0.0</v>
      </c>
    </row>
    <row r="8" ht="15.75" customHeight="1">
      <c r="A8" s="7">
        <v>1856.0</v>
      </c>
      <c r="B8" s="8" t="s">
        <v>38</v>
      </c>
      <c r="C8" s="9" t="str">
        <f t="shared" si="1"/>
        <v>ESD-08_TLF PMP HOUSE</v>
      </c>
      <c r="D8" s="10" t="s">
        <v>971</v>
      </c>
      <c r="E8" s="10" t="s">
        <v>972</v>
      </c>
      <c r="F8" s="10" t="s">
        <v>973</v>
      </c>
      <c r="G8" s="27" t="s">
        <v>974</v>
      </c>
      <c r="H8" s="60">
        <v>0.0</v>
      </c>
      <c r="I8" s="27" t="s">
        <v>975</v>
      </c>
      <c r="J8" s="60">
        <v>0.0</v>
      </c>
      <c r="K8" s="27" t="s">
        <v>936</v>
      </c>
      <c r="L8" s="60">
        <v>0.0</v>
      </c>
      <c r="M8" s="27" t="s">
        <v>937</v>
      </c>
      <c r="N8" s="60">
        <v>0.0</v>
      </c>
      <c r="O8" s="27" t="s">
        <v>938</v>
      </c>
      <c r="P8" s="60">
        <v>0.0</v>
      </c>
      <c r="Q8" s="27" t="s">
        <v>939</v>
      </c>
      <c r="R8" s="60">
        <v>0.0</v>
      </c>
      <c r="S8" s="27" t="s">
        <v>940</v>
      </c>
      <c r="T8" s="60">
        <v>0.0</v>
      </c>
      <c r="U8" s="27" t="s">
        <v>941</v>
      </c>
      <c r="V8" s="60">
        <v>0.0</v>
      </c>
      <c r="W8" s="27" t="s">
        <v>942</v>
      </c>
      <c r="X8" s="60">
        <v>0.0</v>
      </c>
      <c r="Y8" s="27" t="s">
        <v>943</v>
      </c>
      <c r="Z8" s="60">
        <v>0.0</v>
      </c>
      <c r="AA8" s="27" t="s">
        <v>944</v>
      </c>
      <c r="AB8" s="60">
        <v>0.0</v>
      </c>
      <c r="AC8" s="27" t="s">
        <v>945</v>
      </c>
      <c r="AD8" s="60">
        <v>0.0</v>
      </c>
    </row>
    <row r="9" ht="15.75" customHeight="1">
      <c r="A9" s="7">
        <v>1856.0</v>
      </c>
      <c r="B9" s="8" t="s">
        <v>38</v>
      </c>
      <c r="C9" s="9" t="str">
        <f t="shared" si="1"/>
        <v>ESD-09_NEAR TK - 01</v>
      </c>
      <c r="D9" s="10" t="s">
        <v>976</v>
      </c>
      <c r="E9" s="10" t="s">
        <v>977</v>
      </c>
      <c r="F9" s="10" t="s">
        <v>978</v>
      </c>
      <c r="G9" s="27" t="s">
        <v>979</v>
      </c>
      <c r="H9" s="60">
        <v>0.0</v>
      </c>
      <c r="I9" s="27" t="s">
        <v>980</v>
      </c>
      <c r="J9" s="60">
        <v>0.0</v>
      </c>
      <c r="K9" s="27" t="s">
        <v>936</v>
      </c>
      <c r="L9" s="60">
        <v>0.0</v>
      </c>
      <c r="M9" s="27" t="s">
        <v>937</v>
      </c>
      <c r="N9" s="60">
        <v>0.0</v>
      </c>
      <c r="O9" s="27" t="s">
        <v>938</v>
      </c>
      <c r="P9" s="60">
        <v>0.0</v>
      </c>
      <c r="Q9" s="27" t="s">
        <v>939</v>
      </c>
      <c r="R9" s="60">
        <v>0.0</v>
      </c>
      <c r="S9" s="27" t="s">
        <v>940</v>
      </c>
      <c r="T9" s="60">
        <v>0.0</v>
      </c>
      <c r="U9" s="27" t="s">
        <v>941</v>
      </c>
      <c r="V9" s="60">
        <v>0.0</v>
      </c>
      <c r="W9" s="27" t="s">
        <v>942</v>
      </c>
      <c r="X9" s="60">
        <v>0.0</v>
      </c>
      <c r="Y9" s="27" t="s">
        <v>943</v>
      </c>
      <c r="Z9" s="60">
        <v>0.0</v>
      </c>
      <c r="AA9" s="27" t="s">
        <v>944</v>
      </c>
      <c r="AB9" s="60">
        <v>0.0</v>
      </c>
      <c r="AC9" s="27" t="s">
        <v>945</v>
      </c>
      <c r="AD9" s="60">
        <v>0.0</v>
      </c>
    </row>
    <row r="10" ht="15.75" customHeight="1">
      <c r="A10" s="7">
        <v>1856.0</v>
      </c>
      <c r="B10" s="8" t="s">
        <v>38</v>
      </c>
      <c r="C10" s="9" t="str">
        <f t="shared" si="1"/>
        <v>ESD-10_NEAR TK - 04</v>
      </c>
      <c r="D10" s="10" t="s">
        <v>981</v>
      </c>
      <c r="E10" s="10" t="s">
        <v>982</v>
      </c>
      <c r="F10" s="10" t="s">
        <v>983</v>
      </c>
      <c r="G10" s="27" t="s">
        <v>984</v>
      </c>
      <c r="H10" s="60">
        <v>0.0</v>
      </c>
      <c r="I10" s="27" t="s">
        <v>985</v>
      </c>
      <c r="J10" s="60">
        <v>0.0</v>
      </c>
      <c r="K10" s="27" t="s">
        <v>936</v>
      </c>
      <c r="L10" s="60">
        <v>0.0</v>
      </c>
      <c r="M10" s="27" t="s">
        <v>937</v>
      </c>
      <c r="N10" s="60">
        <v>0.0</v>
      </c>
      <c r="O10" s="27" t="s">
        <v>938</v>
      </c>
      <c r="P10" s="60">
        <v>0.0</v>
      </c>
      <c r="Q10" s="27" t="s">
        <v>939</v>
      </c>
      <c r="R10" s="60">
        <v>0.0</v>
      </c>
      <c r="S10" s="27" t="s">
        <v>940</v>
      </c>
      <c r="T10" s="60">
        <v>0.0</v>
      </c>
      <c r="U10" s="27" t="s">
        <v>941</v>
      </c>
      <c r="V10" s="60">
        <v>0.0</v>
      </c>
      <c r="W10" s="27" t="s">
        <v>942</v>
      </c>
      <c r="X10" s="60">
        <v>0.0</v>
      </c>
      <c r="Y10" s="27" t="s">
        <v>943</v>
      </c>
      <c r="Z10" s="60">
        <v>0.0</v>
      </c>
      <c r="AA10" s="27" t="s">
        <v>944</v>
      </c>
      <c r="AB10" s="60">
        <v>0.0</v>
      </c>
      <c r="AC10" s="27" t="s">
        <v>945</v>
      </c>
      <c r="AD10" s="60">
        <v>0.0</v>
      </c>
    </row>
    <row r="11" ht="15.75" customHeight="1">
      <c r="A11" s="7">
        <v>1856.0</v>
      </c>
      <c r="B11" s="8" t="s">
        <v>38</v>
      </c>
      <c r="C11" s="9" t="str">
        <f t="shared" si="1"/>
        <v>ESD-11_NEAR TK - 16</v>
      </c>
      <c r="D11" s="10" t="s">
        <v>986</v>
      </c>
      <c r="E11" s="10" t="s">
        <v>987</v>
      </c>
      <c r="F11" s="10" t="s">
        <v>988</v>
      </c>
      <c r="G11" s="27" t="s">
        <v>989</v>
      </c>
      <c r="H11" s="60">
        <v>0.0</v>
      </c>
      <c r="I11" s="27" t="s">
        <v>990</v>
      </c>
      <c r="J11" s="60">
        <v>0.0</v>
      </c>
      <c r="K11" s="27" t="s">
        <v>936</v>
      </c>
      <c r="L11" s="60">
        <v>0.0</v>
      </c>
      <c r="M11" s="27" t="s">
        <v>937</v>
      </c>
      <c r="N11" s="60">
        <v>0.0</v>
      </c>
      <c r="O11" s="27" t="s">
        <v>938</v>
      </c>
      <c r="P11" s="60">
        <v>0.0</v>
      </c>
      <c r="Q11" s="27" t="s">
        <v>939</v>
      </c>
      <c r="R11" s="60">
        <v>0.0</v>
      </c>
      <c r="S11" s="27" t="s">
        <v>940</v>
      </c>
      <c r="T11" s="60">
        <v>0.0</v>
      </c>
      <c r="U11" s="27" t="s">
        <v>941</v>
      </c>
      <c r="V11" s="60">
        <v>0.0</v>
      </c>
      <c r="W11" s="27" t="s">
        <v>942</v>
      </c>
      <c r="X11" s="60">
        <v>0.0</v>
      </c>
      <c r="Y11" s="27" t="s">
        <v>943</v>
      </c>
      <c r="Z11" s="60">
        <v>0.0</v>
      </c>
      <c r="AA11" s="27" t="s">
        <v>944</v>
      </c>
      <c r="AB11" s="60">
        <v>0.0</v>
      </c>
      <c r="AC11" s="27" t="s">
        <v>945</v>
      </c>
      <c r="AD11" s="60">
        <v>0.0</v>
      </c>
    </row>
    <row r="12" ht="15.75" customHeight="1">
      <c r="A12" s="7">
        <v>1856.0</v>
      </c>
      <c r="B12" s="8" t="s">
        <v>38</v>
      </c>
      <c r="C12" s="9" t="str">
        <f t="shared" si="1"/>
        <v>ESD-12_NEAR TK - 15</v>
      </c>
      <c r="D12" s="10" t="s">
        <v>991</v>
      </c>
      <c r="E12" s="10" t="s">
        <v>992</v>
      </c>
      <c r="F12" s="10" t="s">
        <v>993</v>
      </c>
      <c r="G12" s="27" t="s">
        <v>994</v>
      </c>
      <c r="H12" s="60">
        <v>0.0</v>
      </c>
      <c r="I12" s="27" t="s">
        <v>995</v>
      </c>
      <c r="J12" s="60">
        <v>0.0</v>
      </c>
      <c r="K12" s="27" t="s">
        <v>936</v>
      </c>
      <c r="L12" s="60">
        <v>0.0</v>
      </c>
      <c r="M12" s="27" t="s">
        <v>937</v>
      </c>
      <c r="N12" s="60">
        <v>0.0</v>
      </c>
      <c r="O12" s="27" t="s">
        <v>938</v>
      </c>
      <c r="P12" s="60">
        <v>0.0</v>
      </c>
      <c r="Q12" s="27" t="s">
        <v>939</v>
      </c>
      <c r="R12" s="60">
        <v>0.0</v>
      </c>
      <c r="S12" s="27" t="s">
        <v>940</v>
      </c>
      <c r="T12" s="60">
        <v>0.0</v>
      </c>
      <c r="U12" s="27" t="s">
        <v>941</v>
      </c>
      <c r="V12" s="60">
        <v>0.0</v>
      </c>
      <c r="W12" s="27" t="s">
        <v>942</v>
      </c>
      <c r="X12" s="60">
        <v>0.0</v>
      </c>
      <c r="Y12" s="27" t="s">
        <v>943</v>
      </c>
      <c r="Z12" s="60">
        <v>0.0</v>
      </c>
      <c r="AA12" s="27" t="s">
        <v>944</v>
      </c>
      <c r="AB12" s="60">
        <v>0.0</v>
      </c>
      <c r="AC12" s="27" t="s">
        <v>945</v>
      </c>
      <c r="AD12" s="60">
        <v>0.0</v>
      </c>
    </row>
    <row r="13" ht="15.75" customHeight="1">
      <c r="A13" s="7">
        <v>1856.0</v>
      </c>
      <c r="B13" s="8" t="s">
        <v>38</v>
      </c>
      <c r="C13" s="9" t="str">
        <f t="shared" si="1"/>
        <v>ESD-14_CENTRAL ESD</v>
      </c>
      <c r="D13" s="10" t="s">
        <v>996</v>
      </c>
      <c r="E13" s="10" t="s">
        <v>997</v>
      </c>
      <c r="F13" s="10" t="s">
        <v>998</v>
      </c>
      <c r="G13" s="27" t="s">
        <v>999</v>
      </c>
      <c r="H13" s="60">
        <v>0.0</v>
      </c>
      <c r="I13" s="27"/>
      <c r="J13" s="27"/>
      <c r="K13" s="27" t="s">
        <v>936</v>
      </c>
      <c r="L13" s="60">
        <v>0.0</v>
      </c>
      <c r="M13" s="27" t="s">
        <v>937</v>
      </c>
      <c r="N13" s="60">
        <v>0.0</v>
      </c>
      <c r="O13" s="27" t="s">
        <v>938</v>
      </c>
      <c r="P13" s="60">
        <v>0.0</v>
      </c>
      <c r="Q13" s="27" t="s">
        <v>939</v>
      </c>
      <c r="R13" s="60">
        <v>0.0</v>
      </c>
      <c r="S13" s="27" t="s">
        <v>940</v>
      </c>
      <c r="T13" s="60">
        <v>0.0</v>
      </c>
      <c r="U13" s="27" t="s">
        <v>941</v>
      </c>
      <c r="V13" s="60">
        <v>0.0</v>
      </c>
      <c r="W13" s="27" t="s">
        <v>942</v>
      </c>
      <c r="X13" s="60">
        <v>0.0</v>
      </c>
      <c r="Y13" s="27" t="s">
        <v>943</v>
      </c>
      <c r="Z13" s="60">
        <v>0.0</v>
      </c>
      <c r="AA13" s="27" t="s">
        <v>944</v>
      </c>
      <c r="AB13" s="60">
        <v>0.0</v>
      </c>
      <c r="AC13" s="27" t="s">
        <v>945</v>
      </c>
      <c r="AD13" s="60">
        <v>0.0</v>
      </c>
    </row>
    <row r="14" ht="15.75" customHeight="1">
      <c r="A14" s="7">
        <v>1856.0</v>
      </c>
      <c r="B14" s="8" t="s">
        <v>38</v>
      </c>
      <c r="C14" s="9" t="str">
        <f t="shared" si="1"/>
        <v>ESD-17_WAGON SIDING - 1</v>
      </c>
      <c r="D14" s="10" t="s">
        <v>1000</v>
      </c>
      <c r="E14" s="10" t="s">
        <v>1000</v>
      </c>
      <c r="F14" s="10" t="s">
        <v>1001</v>
      </c>
      <c r="G14" s="27" t="s">
        <v>1002</v>
      </c>
      <c r="H14" s="60">
        <v>0.0</v>
      </c>
      <c r="I14" s="27"/>
      <c r="J14" s="27"/>
      <c r="K14" s="27" t="s">
        <v>936</v>
      </c>
      <c r="L14" s="60">
        <v>0.0</v>
      </c>
      <c r="M14" s="27" t="s">
        <v>937</v>
      </c>
      <c r="N14" s="60">
        <v>0.0</v>
      </c>
      <c r="O14" s="27" t="s">
        <v>938</v>
      </c>
      <c r="P14" s="60">
        <v>0.0</v>
      </c>
      <c r="Q14" s="27" t="s">
        <v>939</v>
      </c>
      <c r="R14" s="60">
        <v>0.0</v>
      </c>
      <c r="S14" s="27" t="s">
        <v>940</v>
      </c>
      <c r="T14" s="60">
        <v>0.0</v>
      </c>
      <c r="U14" s="27" t="s">
        <v>941</v>
      </c>
      <c r="V14" s="60">
        <v>0.0</v>
      </c>
      <c r="W14" s="27" t="s">
        <v>942</v>
      </c>
      <c r="X14" s="60">
        <v>0.0</v>
      </c>
      <c r="Y14" s="27" t="s">
        <v>943</v>
      </c>
      <c r="Z14" s="60">
        <v>0.0</v>
      </c>
      <c r="AA14" s="27" t="s">
        <v>944</v>
      </c>
      <c r="AB14" s="60">
        <v>0.0</v>
      </c>
      <c r="AC14" s="27" t="s">
        <v>945</v>
      </c>
      <c r="AD14" s="60">
        <v>0.0</v>
      </c>
    </row>
    <row r="15" ht="15.75" customHeight="1">
      <c r="A15" s="7">
        <v>1856.0</v>
      </c>
      <c r="B15" s="8" t="s">
        <v>38</v>
      </c>
      <c r="C15" s="9" t="str">
        <f t="shared" si="1"/>
        <v>ESD-19_WAGON SIDING - 2</v>
      </c>
      <c r="D15" s="10" t="s">
        <v>1003</v>
      </c>
      <c r="E15" s="10" t="s">
        <v>1003</v>
      </c>
      <c r="F15" s="10" t="s">
        <v>1004</v>
      </c>
      <c r="G15" s="27" t="s">
        <v>1005</v>
      </c>
      <c r="H15" s="60">
        <v>0.0</v>
      </c>
      <c r="I15" s="27" t="s">
        <v>1006</v>
      </c>
      <c r="J15" s="60">
        <v>0.0</v>
      </c>
      <c r="K15" s="27" t="s">
        <v>936</v>
      </c>
      <c r="L15" s="60">
        <v>0.0</v>
      </c>
      <c r="M15" s="27" t="s">
        <v>937</v>
      </c>
      <c r="N15" s="60">
        <v>0.0</v>
      </c>
      <c r="O15" s="27" t="s">
        <v>938</v>
      </c>
      <c r="P15" s="60">
        <v>0.0</v>
      </c>
      <c r="Q15" s="27" t="s">
        <v>939</v>
      </c>
      <c r="R15" s="60">
        <v>0.0</v>
      </c>
      <c r="S15" s="27" t="s">
        <v>940</v>
      </c>
      <c r="T15" s="60">
        <v>0.0</v>
      </c>
      <c r="U15" s="27" t="s">
        <v>941</v>
      </c>
      <c r="V15" s="60">
        <v>0.0</v>
      </c>
      <c r="W15" s="27" t="s">
        <v>942</v>
      </c>
      <c r="X15" s="60">
        <v>0.0</v>
      </c>
      <c r="Y15" s="27" t="s">
        <v>943</v>
      </c>
      <c r="Z15" s="60">
        <v>0.0</v>
      </c>
      <c r="AA15" s="27" t="s">
        <v>944</v>
      </c>
      <c r="AB15" s="60">
        <v>0.0</v>
      </c>
      <c r="AC15" s="27" t="s">
        <v>945</v>
      </c>
      <c r="AD15" s="60">
        <v>0.0</v>
      </c>
    </row>
    <row r="16" ht="15.75" customHeight="1">
      <c r="A16" s="7">
        <v>1856.0</v>
      </c>
      <c r="B16" s="8" t="s">
        <v>38</v>
      </c>
      <c r="C16" s="9" t="str">
        <f t="shared" si="1"/>
        <v>ESD-20_WAGON SIDING - 3</v>
      </c>
      <c r="D16" s="10" t="s">
        <v>1007</v>
      </c>
      <c r="E16" s="10" t="s">
        <v>1007</v>
      </c>
      <c r="F16" s="10" t="s">
        <v>1008</v>
      </c>
      <c r="G16" s="27" t="s">
        <v>1009</v>
      </c>
      <c r="H16" s="60">
        <v>0.0</v>
      </c>
      <c r="I16" s="27" t="s">
        <v>1010</v>
      </c>
      <c r="J16" s="60">
        <v>0.0</v>
      </c>
      <c r="K16" s="27" t="s">
        <v>936</v>
      </c>
      <c r="L16" s="60">
        <v>0.0</v>
      </c>
      <c r="M16" s="27" t="s">
        <v>937</v>
      </c>
      <c r="N16" s="60">
        <v>0.0</v>
      </c>
      <c r="O16" s="27" t="s">
        <v>938</v>
      </c>
      <c r="P16" s="60">
        <v>0.0</v>
      </c>
      <c r="Q16" s="27" t="s">
        <v>939</v>
      </c>
      <c r="R16" s="60">
        <v>0.0</v>
      </c>
      <c r="S16" s="27" t="s">
        <v>940</v>
      </c>
      <c r="T16" s="60">
        <v>0.0</v>
      </c>
      <c r="U16" s="27" t="s">
        <v>941</v>
      </c>
      <c r="V16" s="60">
        <v>0.0</v>
      </c>
      <c r="W16" s="27" t="s">
        <v>942</v>
      </c>
      <c r="X16" s="60">
        <v>0.0</v>
      </c>
      <c r="Y16" s="27" t="s">
        <v>943</v>
      </c>
      <c r="Z16" s="60">
        <v>0.0</v>
      </c>
      <c r="AA16" s="27" t="s">
        <v>944</v>
      </c>
      <c r="AB16" s="60">
        <v>0.0</v>
      </c>
      <c r="AC16" s="27" t="s">
        <v>945</v>
      </c>
      <c r="AD16" s="60">
        <v>0.0</v>
      </c>
    </row>
    <row r="17" ht="15.75" customHeight="1">
      <c r="A17" s="7">
        <v>1856.0</v>
      </c>
      <c r="B17" s="8" t="s">
        <v>38</v>
      </c>
      <c r="C17" s="9" t="str">
        <f t="shared" si="1"/>
        <v>ESD-21_TANK 13</v>
      </c>
      <c r="D17" s="10" t="s">
        <v>1011</v>
      </c>
      <c r="E17" s="10" t="s">
        <v>1011</v>
      </c>
      <c r="F17" s="10" t="s">
        <v>1012</v>
      </c>
      <c r="G17" s="27" t="s">
        <v>1013</v>
      </c>
      <c r="H17" s="60">
        <v>0.0</v>
      </c>
      <c r="I17" s="27" t="s">
        <v>1014</v>
      </c>
      <c r="J17" s="60">
        <v>0.0</v>
      </c>
      <c r="K17" s="27" t="s">
        <v>936</v>
      </c>
      <c r="L17" s="60">
        <v>0.0</v>
      </c>
      <c r="M17" s="27" t="s">
        <v>937</v>
      </c>
      <c r="N17" s="60">
        <v>0.0</v>
      </c>
      <c r="O17" s="27" t="s">
        <v>938</v>
      </c>
      <c r="P17" s="60">
        <v>0.0</v>
      </c>
      <c r="Q17" s="27" t="s">
        <v>939</v>
      </c>
      <c r="R17" s="60">
        <v>0.0</v>
      </c>
      <c r="S17" s="27" t="s">
        <v>940</v>
      </c>
      <c r="T17" s="60">
        <v>0.0</v>
      </c>
      <c r="U17" s="27" t="s">
        <v>941</v>
      </c>
      <c r="V17" s="60">
        <v>0.0</v>
      </c>
      <c r="W17" s="27" t="s">
        <v>942</v>
      </c>
      <c r="X17" s="60">
        <v>0.0</v>
      </c>
      <c r="Y17" s="27" t="s">
        <v>943</v>
      </c>
      <c r="Z17" s="60">
        <v>0.0</v>
      </c>
      <c r="AA17" s="27" t="s">
        <v>944</v>
      </c>
      <c r="AB17" s="60">
        <v>0.0</v>
      </c>
      <c r="AC17" s="27" t="s">
        <v>945</v>
      </c>
      <c r="AD17" s="60">
        <v>0.0</v>
      </c>
    </row>
    <row r="18" ht="15.75" customHeight="1">
      <c r="A18" s="7">
        <v>1856.0</v>
      </c>
      <c r="B18" s="8" t="s">
        <v>38</v>
      </c>
      <c r="C18" s="9" t="str">
        <f t="shared" si="1"/>
        <v>ESD-22_INFRONT AFS CR</v>
      </c>
      <c r="D18" s="10" t="s">
        <v>1015</v>
      </c>
      <c r="E18" s="10" t="s">
        <v>1015</v>
      </c>
      <c r="F18" s="10" t="s">
        <v>1016</v>
      </c>
      <c r="G18" s="27" t="s">
        <v>1017</v>
      </c>
      <c r="H18" s="60">
        <v>0.0</v>
      </c>
      <c r="I18" s="27" t="s">
        <v>1018</v>
      </c>
      <c r="J18" s="60">
        <v>0.0</v>
      </c>
      <c r="K18" s="27" t="s">
        <v>936</v>
      </c>
      <c r="L18" s="60">
        <v>0.0</v>
      </c>
      <c r="M18" s="27" t="s">
        <v>937</v>
      </c>
      <c r="N18" s="60">
        <v>0.0</v>
      </c>
      <c r="O18" s="27" t="s">
        <v>938</v>
      </c>
      <c r="P18" s="60">
        <v>0.0</v>
      </c>
      <c r="Q18" s="27" t="s">
        <v>939</v>
      </c>
      <c r="R18" s="60">
        <v>0.0</v>
      </c>
      <c r="S18" s="27" t="s">
        <v>940</v>
      </c>
      <c r="T18" s="60">
        <v>0.0</v>
      </c>
      <c r="U18" s="27" t="s">
        <v>941</v>
      </c>
      <c r="V18" s="60">
        <v>0.0</v>
      </c>
      <c r="W18" s="27" t="s">
        <v>942</v>
      </c>
      <c r="X18" s="60">
        <v>0.0</v>
      </c>
      <c r="Y18" s="27" t="s">
        <v>943</v>
      </c>
      <c r="Z18" s="60">
        <v>0.0</v>
      </c>
      <c r="AA18" s="27" t="s">
        <v>944</v>
      </c>
      <c r="AB18" s="60">
        <v>0.0</v>
      </c>
      <c r="AC18" s="27" t="s">
        <v>945</v>
      </c>
      <c r="AD18" s="60">
        <v>0.0</v>
      </c>
    </row>
    <row r="19" ht="15.75" customHeight="1">
      <c r="A19" s="7">
        <v>1856.0</v>
      </c>
      <c r="B19" s="8" t="s">
        <v>38</v>
      </c>
      <c r="C19" s="9" t="str">
        <f t="shared" si="1"/>
        <v>ESD-SOFT_SOFT FROM OIC</v>
      </c>
      <c r="D19" s="10" t="s">
        <v>1019</v>
      </c>
      <c r="E19" s="10" t="s">
        <v>1019</v>
      </c>
      <c r="F19" s="10" t="s">
        <v>1020</v>
      </c>
      <c r="G19" s="27" t="s">
        <v>1021</v>
      </c>
      <c r="H19" s="60">
        <v>0.0</v>
      </c>
      <c r="I19" s="4"/>
      <c r="J19" s="4"/>
      <c r="K19" s="27" t="s">
        <v>936</v>
      </c>
      <c r="L19" s="60">
        <v>0.0</v>
      </c>
      <c r="M19" s="27" t="s">
        <v>937</v>
      </c>
      <c r="N19" s="60">
        <v>0.0</v>
      </c>
      <c r="O19" s="27" t="s">
        <v>938</v>
      </c>
      <c r="P19" s="60">
        <v>0.0</v>
      </c>
      <c r="Q19" s="27" t="s">
        <v>939</v>
      </c>
      <c r="R19" s="60">
        <v>0.0</v>
      </c>
      <c r="S19" s="27" t="s">
        <v>940</v>
      </c>
      <c r="T19" s="60">
        <v>0.0</v>
      </c>
      <c r="U19" s="27" t="s">
        <v>941</v>
      </c>
      <c r="V19" s="60">
        <v>0.0</v>
      </c>
      <c r="W19" s="27" t="s">
        <v>942</v>
      </c>
      <c r="X19" s="60">
        <v>0.0</v>
      </c>
      <c r="Y19" s="27" t="s">
        <v>943</v>
      </c>
      <c r="Z19" s="60">
        <v>0.0</v>
      </c>
      <c r="AA19" s="27" t="s">
        <v>944</v>
      </c>
      <c r="AB19" s="60">
        <v>0.0</v>
      </c>
      <c r="AC19" s="27" t="s">
        <v>945</v>
      </c>
      <c r="AD19" s="60">
        <v>0.0</v>
      </c>
    </row>
    <row r="20" ht="15.7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62.5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1022</v>
      </c>
      <c r="E1" s="1" t="s">
        <v>1023</v>
      </c>
      <c r="F1" s="1" t="s">
        <v>1024</v>
      </c>
      <c r="G1" s="1" t="s">
        <v>5</v>
      </c>
      <c r="H1" s="55" t="s">
        <v>1025</v>
      </c>
      <c r="I1" s="55" t="s">
        <v>7</v>
      </c>
      <c r="J1" s="55" t="s">
        <v>1026</v>
      </c>
      <c r="K1" s="55" t="s">
        <v>7</v>
      </c>
      <c r="L1" s="57" t="s">
        <v>1027</v>
      </c>
      <c r="M1" s="57" t="s">
        <v>7</v>
      </c>
      <c r="N1" s="55" t="s">
        <v>1028</v>
      </c>
      <c r="O1" s="55" t="s">
        <v>7</v>
      </c>
      <c r="P1" s="57" t="s">
        <v>1029</v>
      </c>
      <c r="Q1" s="57" t="s">
        <v>7</v>
      </c>
      <c r="R1" s="55" t="s">
        <v>1030</v>
      </c>
      <c r="S1" s="55" t="s">
        <v>7</v>
      </c>
      <c r="T1" s="57" t="s">
        <v>1031</v>
      </c>
      <c r="U1" s="57" t="s">
        <v>7</v>
      </c>
      <c r="V1" s="55" t="s">
        <v>1032</v>
      </c>
      <c r="W1" s="55" t="s">
        <v>7</v>
      </c>
      <c r="X1" s="55" t="s">
        <v>1033</v>
      </c>
      <c r="Y1" s="55" t="s">
        <v>7</v>
      </c>
      <c r="Z1" s="55" t="s">
        <v>1034</v>
      </c>
      <c r="AA1" s="55" t="s">
        <v>7</v>
      </c>
      <c r="AB1" s="55" t="s">
        <v>1035</v>
      </c>
      <c r="AC1" s="55" t="s">
        <v>7</v>
      </c>
      <c r="AD1" s="55" t="s">
        <v>1036</v>
      </c>
      <c r="AE1" s="55" t="s">
        <v>7</v>
      </c>
      <c r="AF1" s="55" t="s">
        <v>1037</v>
      </c>
      <c r="AG1" s="55" t="s">
        <v>7</v>
      </c>
      <c r="AH1" s="89" t="s">
        <v>1038</v>
      </c>
      <c r="AI1" s="90" t="s">
        <v>7</v>
      </c>
      <c r="AJ1" s="56" t="s">
        <v>1039</v>
      </c>
      <c r="AK1" s="56" t="s">
        <v>7</v>
      </c>
      <c r="AL1" s="58" t="s">
        <v>1040</v>
      </c>
      <c r="AM1" s="58" t="s">
        <v>7</v>
      </c>
      <c r="AN1" s="55" t="s">
        <v>1041</v>
      </c>
      <c r="AO1" s="55" t="s">
        <v>14</v>
      </c>
      <c r="AP1" s="55" t="s">
        <v>1042</v>
      </c>
      <c r="AQ1" s="55" t="s">
        <v>7</v>
      </c>
      <c r="AR1" s="57" t="s">
        <v>1043</v>
      </c>
      <c r="AS1" s="57" t="s">
        <v>7</v>
      </c>
    </row>
    <row r="2" ht="15.75" customHeight="1">
      <c r="A2" s="7">
        <v>1856.0</v>
      </c>
      <c r="B2" s="8" t="s">
        <v>38</v>
      </c>
      <c r="C2" s="9" t="str">
        <f t="shared" ref="C2:C22" si="1">CONCATENATE(D2,"_",F2,"_",G2)</f>
        <v>LP 01_BC-501A_BS VI MS</v>
      </c>
      <c r="D2" s="11" t="s">
        <v>1044</v>
      </c>
      <c r="E2" s="11" t="s">
        <v>1045</v>
      </c>
      <c r="F2" s="10" t="s">
        <v>1046</v>
      </c>
      <c r="G2" s="10" t="s">
        <v>110</v>
      </c>
      <c r="H2" s="27" t="s">
        <v>1047</v>
      </c>
      <c r="I2" s="60">
        <v>0.0</v>
      </c>
      <c r="J2" s="27" t="s">
        <v>1048</v>
      </c>
      <c r="K2" s="60">
        <v>0.0</v>
      </c>
      <c r="L2" s="27" t="s">
        <v>1049</v>
      </c>
      <c r="M2" s="60">
        <v>0.0</v>
      </c>
      <c r="N2" s="27" t="s">
        <v>1050</v>
      </c>
      <c r="O2" s="60">
        <v>0.0</v>
      </c>
      <c r="P2" s="27" t="s">
        <v>1051</v>
      </c>
      <c r="Q2" s="60">
        <v>0.0</v>
      </c>
      <c r="R2" s="27" t="s">
        <v>1052</v>
      </c>
      <c r="S2" s="60">
        <v>0.0</v>
      </c>
      <c r="T2" s="27" t="s">
        <v>1053</v>
      </c>
      <c r="U2" s="60">
        <v>0.0</v>
      </c>
      <c r="V2" s="27" t="s">
        <v>1054</v>
      </c>
      <c r="W2" s="60">
        <v>0.0</v>
      </c>
      <c r="X2" s="91" t="s">
        <v>1055</v>
      </c>
      <c r="Y2" s="60">
        <v>0.0</v>
      </c>
      <c r="Z2" s="27" t="s">
        <v>1056</v>
      </c>
      <c r="AA2" s="60">
        <v>0.0</v>
      </c>
      <c r="AB2" s="27" t="s">
        <v>1057</v>
      </c>
      <c r="AC2" s="60">
        <v>0.0</v>
      </c>
      <c r="AD2" s="27" t="s">
        <v>1058</v>
      </c>
      <c r="AE2" s="60">
        <v>0.0</v>
      </c>
      <c r="AF2" s="27" t="s">
        <v>1059</v>
      </c>
      <c r="AG2" s="60">
        <v>0.0</v>
      </c>
      <c r="AH2" s="27" t="s">
        <v>1060</v>
      </c>
      <c r="AI2" s="60">
        <v>0.0</v>
      </c>
      <c r="AJ2" s="27" t="s">
        <v>1061</v>
      </c>
      <c r="AK2" s="60">
        <v>0.0</v>
      </c>
      <c r="AL2" s="27" t="s">
        <v>1062</v>
      </c>
      <c r="AM2" s="60">
        <v>0.0</v>
      </c>
      <c r="AN2" s="27" t="s">
        <v>1063</v>
      </c>
      <c r="AO2" s="60">
        <v>0.0</v>
      </c>
      <c r="AP2" s="27" t="s">
        <v>1064</v>
      </c>
      <c r="AQ2" s="60">
        <v>0.0</v>
      </c>
      <c r="AR2" s="27" t="s">
        <v>1065</v>
      </c>
      <c r="AS2" s="60">
        <v>0.0</v>
      </c>
    </row>
    <row r="3" ht="15.75" customHeight="1">
      <c r="A3" s="7">
        <v>1856.0</v>
      </c>
      <c r="B3" s="8" t="s">
        <v>38</v>
      </c>
      <c r="C3" s="9" t="str">
        <f t="shared" si="1"/>
        <v>LP 02_BC-501B_BS VI HSD</v>
      </c>
      <c r="D3" s="11" t="s">
        <v>1066</v>
      </c>
      <c r="E3" s="11" t="s">
        <v>1045</v>
      </c>
      <c r="F3" s="10" t="s">
        <v>1067</v>
      </c>
      <c r="G3" s="10" t="s">
        <v>90</v>
      </c>
      <c r="H3" s="27" t="s">
        <v>1068</v>
      </c>
      <c r="I3" s="60">
        <v>0.0</v>
      </c>
      <c r="J3" s="27" t="s">
        <v>1069</v>
      </c>
      <c r="K3" s="60">
        <v>0.0</v>
      </c>
      <c r="L3" s="27"/>
      <c r="M3" s="27"/>
      <c r="N3" s="27" t="s">
        <v>1070</v>
      </c>
      <c r="O3" s="60">
        <v>0.0</v>
      </c>
      <c r="P3" s="27"/>
      <c r="Q3" s="27"/>
      <c r="R3" s="27" t="s">
        <v>1071</v>
      </c>
      <c r="S3" s="60">
        <v>0.0</v>
      </c>
      <c r="T3" s="27"/>
      <c r="U3" s="27"/>
      <c r="V3" s="27" t="s">
        <v>1072</v>
      </c>
      <c r="W3" s="60">
        <v>0.0</v>
      </c>
      <c r="X3" s="91" t="s">
        <v>1073</v>
      </c>
      <c r="Y3" s="60">
        <v>0.0</v>
      </c>
      <c r="Z3" s="27" t="s">
        <v>1074</v>
      </c>
      <c r="AA3" s="60">
        <v>0.0</v>
      </c>
      <c r="AB3" s="27" t="s">
        <v>1075</v>
      </c>
      <c r="AC3" s="60">
        <v>0.0</v>
      </c>
      <c r="AD3" s="27" t="s">
        <v>1076</v>
      </c>
      <c r="AE3" s="60">
        <v>0.0</v>
      </c>
      <c r="AF3" s="27" t="s">
        <v>1077</v>
      </c>
      <c r="AG3" s="60">
        <v>0.0</v>
      </c>
      <c r="AH3" s="27" t="s">
        <v>1078</v>
      </c>
      <c r="AI3" s="60">
        <v>0.0</v>
      </c>
      <c r="AJ3" s="27" t="s">
        <v>1079</v>
      </c>
      <c r="AK3" s="60">
        <v>0.0</v>
      </c>
      <c r="AL3" s="27"/>
      <c r="AM3" s="27"/>
      <c r="AN3" s="27" t="s">
        <v>1080</v>
      </c>
      <c r="AO3" s="60">
        <v>0.0</v>
      </c>
      <c r="AP3" s="27" t="s">
        <v>1081</v>
      </c>
      <c r="AQ3" s="60">
        <v>0.0</v>
      </c>
      <c r="AR3" s="27"/>
      <c r="AS3" s="27"/>
    </row>
    <row r="4" ht="15.75" customHeight="1">
      <c r="A4" s="7">
        <v>1856.0</v>
      </c>
      <c r="B4" s="8" t="s">
        <v>38</v>
      </c>
      <c r="C4" s="9" t="str">
        <f t="shared" si="1"/>
        <v>LP 03_BC-502A_BS VI MS</v>
      </c>
      <c r="D4" s="11" t="s">
        <v>1082</v>
      </c>
      <c r="E4" s="11" t="s">
        <v>1045</v>
      </c>
      <c r="F4" s="10" t="s">
        <v>1083</v>
      </c>
      <c r="G4" s="10" t="s">
        <v>110</v>
      </c>
      <c r="H4" s="27" t="s">
        <v>1084</v>
      </c>
      <c r="I4" s="60">
        <v>0.0</v>
      </c>
      <c r="J4" s="27" t="s">
        <v>1085</v>
      </c>
      <c r="K4" s="60">
        <v>0.0</v>
      </c>
      <c r="L4" s="27" t="s">
        <v>1086</v>
      </c>
      <c r="M4" s="60">
        <v>0.0</v>
      </c>
      <c r="N4" s="27" t="s">
        <v>1087</v>
      </c>
      <c r="O4" s="60">
        <v>0.0</v>
      </c>
      <c r="P4" s="27" t="s">
        <v>1088</v>
      </c>
      <c r="Q4" s="60">
        <v>0.0</v>
      </c>
      <c r="R4" s="27" t="s">
        <v>1089</v>
      </c>
      <c r="S4" s="60">
        <v>0.0</v>
      </c>
      <c r="T4" s="27" t="s">
        <v>1090</v>
      </c>
      <c r="U4" s="60">
        <v>0.0</v>
      </c>
      <c r="V4" s="27" t="s">
        <v>1091</v>
      </c>
      <c r="W4" s="60">
        <v>0.0</v>
      </c>
      <c r="X4" s="91" t="s">
        <v>1092</v>
      </c>
      <c r="Y4" s="60">
        <v>0.0</v>
      </c>
      <c r="Z4" s="27" t="s">
        <v>1093</v>
      </c>
      <c r="AA4" s="60">
        <v>0.0</v>
      </c>
      <c r="AB4" s="27" t="s">
        <v>1094</v>
      </c>
      <c r="AC4" s="60">
        <v>0.0</v>
      </c>
      <c r="AD4" s="27" t="s">
        <v>1095</v>
      </c>
      <c r="AE4" s="60">
        <v>0.0</v>
      </c>
      <c r="AF4" s="27" t="s">
        <v>1096</v>
      </c>
      <c r="AG4" s="60">
        <v>0.0</v>
      </c>
      <c r="AH4" s="27" t="s">
        <v>1097</v>
      </c>
      <c r="AI4" s="60">
        <v>0.0</v>
      </c>
      <c r="AJ4" s="27" t="s">
        <v>1098</v>
      </c>
      <c r="AK4" s="60">
        <v>0.0</v>
      </c>
      <c r="AL4" s="27" t="s">
        <v>1099</v>
      </c>
      <c r="AM4" s="60">
        <v>0.0</v>
      </c>
      <c r="AN4" s="27" t="s">
        <v>1100</v>
      </c>
      <c r="AO4" s="60">
        <v>0.0</v>
      </c>
      <c r="AP4" s="27" t="s">
        <v>1101</v>
      </c>
      <c r="AQ4" s="60">
        <v>0.0</v>
      </c>
      <c r="AR4" s="27" t="s">
        <v>1102</v>
      </c>
      <c r="AS4" s="60">
        <v>0.0</v>
      </c>
    </row>
    <row r="5" ht="15.75" customHeight="1">
      <c r="A5" s="7">
        <v>1856.0</v>
      </c>
      <c r="B5" s="8" t="s">
        <v>38</v>
      </c>
      <c r="C5" s="9" t="str">
        <f t="shared" si="1"/>
        <v>LP 04_BC-502B_BS VI HSD</v>
      </c>
      <c r="D5" s="11" t="s">
        <v>1103</v>
      </c>
      <c r="E5" s="11" t="s">
        <v>1045</v>
      </c>
      <c r="F5" s="10" t="s">
        <v>1104</v>
      </c>
      <c r="G5" s="10" t="s">
        <v>90</v>
      </c>
      <c r="H5" s="27" t="s">
        <v>1105</v>
      </c>
      <c r="I5" s="60">
        <v>0.0</v>
      </c>
      <c r="J5" s="27" t="s">
        <v>1106</v>
      </c>
      <c r="K5" s="60">
        <v>0.0</v>
      </c>
      <c r="L5" s="27"/>
      <c r="M5" s="27"/>
      <c r="N5" s="27" t="s">
        <v>1107</v>
      </c>
      <c r="O5" s="60">
        <v>0.0</v>
      </c>
      <c r="P5" s="27"/>
      <c r="Q5" s="27"/>
      <c r="R5" s="27" t="s">
        <v>1108</v>
      </c>
      <c r="S5" s="60">
        <v>0.0</v>
      </c>
      <c r="T5" s="27"/>
      <c r="U5" s="27"/>
      <c r="V5" s="27" t="s">
        <v>1109</v>
      </c>
      <c r="W5" s="60">
        <v>0.0</v>
      </c>
      <c r="X5" s="91" t="s">
        <v>1110</v>
      </c>
      <c r="Y5" s="60">
        <v>0.0</v>
      </c>
      <c r="Z5" s="27" t="s">
        <v>1111</v>
      </c>
      <c r="AA5" s="60">
        <v>0.0</v>
      </c>
      <c r="AB5" s="27" t="s">
        <v>1112</v>
      </c>
      <c r="AC5" s="60">
        <v>0.0</v>
      </c>
      <c r="AD5" s="27" t="s">
        <v>1113</v>
      </c>
      <c r="AE5" s="60">
        <v>0.0</v>
      </c>
      <c r="AF5" s="27" t="s">
        <v>1114</v>
      </c>
      <c r="AG5" s="60">
        <v>0.0</v>
      </c>
      <c r="AH5" s="27" t="s">
        <v>1115</v>
      </c>
      <c r="AI5" s="60">
        <v>0.0</v>
      </c>
      <c r="AJ5" s="27" t="s">
        <v>1116</v>
      </c>
      <c r="AK5" s="60">
        <v>0.0</v>
      </c>
      <c r="AL5" s="27"/>
      <c r="AM5" s="27"/>
      <c r="AN5" s="27" t="s">
        <v>1117</v>
      </c>
      <c r="AO5" s="60">
        <v>0.0</v>
      </c>
      <c r="AP5" s="27" t="s">
        <v>1118</v>
      </c>
      <c r="AQ5" s="60">
        <v>0.0</v>
      </c>
      <c r="AR5" s="27"/>
      <c r="AS5" s="27"/>
    </row>
    <row r="6" ht="15.75" customHeight="1">
      <c r="A6" s="7">
        <v>1856.0</v>
      </c>
      <c r="B6" s="8" t="s">
        <v>38</v>
      </c>
      <c r="C6" s="9" t="str">
        <f t="shared" si="1"/>
        <v>LP 05_BC-503A_BS VI MS</v>
      </c>
      <c r="D6" s="11" t="s">
        <v>1119</v>
      </c>
      <c r="E6" s="11" t="s">
        <v>1045</v>
      </c>
      <c r="F6" s="10" t="s">
        <v>1120</v>
      </c>
      <c r="G6" s="10" t="s">
        <v>110</v>
      </c>
      <c r="H6" s="27" t="s">
        <v>1121</v>
      </c>
      <c r="I6" s="60">
        <v>0.0</v>
      </c>
      <c r="J6" s="27" t="s">
        <v>1122</v>
      </c>
      <c r="K6" s="60">
        <v>0.0</v>
      </c>
      <c r="L6" s="27" t="s">
        <v>1123</v>
      </c>
      <c r="M6" s="60">
        <v>0.0</v>
      </c>
      <c r="N6" s="27" t="s">
        <v>1124</v>
      </c>
      <c r="O6" s="60">
        <v>0.0</v>
      </c>
      <c r="P6" s="27" t="s">
        <v>1125</v>
      </c>
      <c r="Q6" s="60">
        <v>0.0</v>
      </c>
      <c r="R6" s="27" t="s">
        <v>1126</v>
      </c>
      <c r="S6" s="60">
        <v>0.0</v>
      </c>
      <c r="T6" s="27" t="s">
        <v>1127</v>
      </c>
      <c r="U6" s="60">
        <v>0.0</v>
      </c>
      <c r="V6" s="27" t="s">
        <v>1128</v>
      </c>
      <c r="W6" s="60">
        <v>0.0</v>
      </c>
      <c r="X6" s="91" t="s">
        <v>1129</v>
      </c>
      <c r="Y6" s="60">
        <v>0.0</v>
      </c>
      <c r="Z6" s="27" t="s">
        <v>1130</v>
      </c>
      <c r="AA6" s="60">
        <v>0.0</v>
      </c>
      <c r="AB6" s="27" t="s">
        <v>1131</v>
      </c>
      <c r="AC6" s="60">
        <v>0.0</v>
      </c>
      <c r="AD6" s="27" t="s">
        <v>1132</v>
      </c>
      <c r="AE6" s="60">
        <v>0.0</v>
      </c>
      <c r="AF6" s="27" t="s">
        <v>1133</v>
      </c>
      <c r="AG6" s="60">
        <v>0.0</v>
      </c>
      <c r="AH6" s="27" t="s">
        <v>1134</v>
      </c>
      <c r="AI6" s="60">
        <v>0.0</v>
      </c>
      <c r="AJ6" s="27" t="s">
        <v>1135</v>
      </c>
      <c r="AK6" s="60">
        <v>0.0</v>
      </c>
      <c r="AL6" s="27" t="s">
        <v>1136</v>
      </c>
      <c r="AM6" s="60">
        <v>0.0</v>
      </c>
      <c r="AN6" s="27" t="s">
        <v>1137</v>
      </c>
      <c r="AO6" s="60">
        <v>0.0</v>
      </c>
      <c r="AP6" s="27" t="s">
        <v>1138</v>
      </c>
      <c r="AQ6" s="60">
        <v>0.0</v>
      </c>
      <c r="AR6" s="27" t="s">
        <v>1139</v>
      </c>
      <c r="AS6" s="60">
        <v>0.0</v>
      </c>
    </row>
    <row r="7" ht="15.75" customHeight="1">
      <c r="A7" s="7">
        <v>1856.0</v>
      </c>
      <c r="B7" s="8" t="s">
        <v>38</v>
      </c>
      <c r="C7" s="9" t="str">
        <f t="shared" si="1"/>
        <v>LP 06_BC-503B_BS VI HSD</v>
      </c>
      <c r="D7" s="11" t="s">
        <v>1140</v>
      </c>
      <c r="E7" s="11" t="s">
        <v>1045</v>
      </c>
      <c r="F7" s="10" t="s">
        <v>1141</v>
      </c>
      <c r="G7" s="10" t="s">
        <v>90</v>
      </c>
      <c r="H7" s="27" t="s">
        <v>1142</v>
      </c>
      <c r="I7" s="60">
        <v>0.0</v>
      </c>
      <c r="J7" s="27" t="s">
        <v>1143</v>
      </c>
      <c r="K7" s="60">
        <v>0.0</v>
      </c>
      <c r="L7" s="27"/>
      <c r="M7" s="27"/>
      <c r="N7" s="27" t="s">
        <v>1144</v>
      </c>
      <c r="O7" s="60">
        <v>0.0</v>
      </c>
      <c r="P7" s="27"/>
      <c r="Q7" s="27"/>
      <c r="R7" s="27" t="s">
        <v>1145</v>
      </c>
      <c r="S7" s="60">
        <v>0.0</v>
      </c>
      <c r="T7" s="27"/>
      <c r="U7" s="27"/>
      <c r="V7" s="27" t="s">
        <v>1146</v>
      </c>
      <c r="W7" s="60">
        <v>0.0</v>
      </c>
      <c r="X7" s="91" t="s">
        <v>1147</v>
      </c>
      <c r="Y7" s="60">
        <v>0.0</v>
      </c>
      <c r="Z7" s="27" t="s">
        <v>1148</v>
      </c>
      <c r="AA7" s="60">
        <v>0.0</v>
      </c>
      <c r="AB7" s="27" t="s">
        <v>1149</v>
      </c>
      <c r="AC7" s="60">
        <v>0.0</v>
      </c>
      <c r="AD7" s="27" t="s">
        <v>1150</v>
      </c>
      <c r="AE7" s="60">
        <v>0.0</v>
      </c>
      <c r="AF7" s="27" t="s">
        <v>1151</v>
      </c>
      <c r="AG7" s="60">
        <v>0.0</v>
      </c>
      <c r="AH7" s="27" t="s">
        <v>1152</v>
      </c>
      <c r="AI7" s="60">
        <v>0.0</v>
      </c>
      <c r="AJ7" s="27" t="s">
        <v>1153</v>
      </c>
      <c r="AK7" s="60">
        <v>0.0</v>
      </c>
      <c r="AL7" s="27"/>
      <c r="AM7" s="27"/>
      <c r="AN7" s="27" t="s">
        <v>1154</v>
      </c>
      <c r="AO7" s="60">
        <v>0.0</v>
      </c>
      <c r="AP7" s="27" t="s">
        <v>1155</v>
      </c>
      <c r="AQ7" s="60">
        <v>0.0</v>
      </c>
      <c r="AR7" s="27"/>
      <c r="AS7" s="27"/>
    </row>
    <row r="8" ht="15.75" customHeight="1">
      <c r="A8" s="7">
        <v>1856.0</v>
      </c>
      <c r="B8" s="8" t="s">
        <v>38</v>
      </c>
      <c r="C8" s="9" t="str">
        <f t="shared" si="1"/>
        <v>LP 07_BC-504A_BS VI MS</v>
      </c>
      <c r="D8" s="11" t="s">
        <v>1156</v>
      </c>
      <c r="E8" s="11" t="s">
        <v>1045</v>
      </c>
      <c r="F8" s="10" t="s">
        <v>1157</v>
      </c>
      <c r="G8" s="10" t="s">
        <v>110</v>
      </c>
      <c r="H8" s="27" t="s">
        <v>1158</v>
      </c>
      <c r="I8" s="60">
        <v>0.0</v>
      </c>
      <c r="J8" s="27" t="s">
        <v>1159</v>
      </c>
      <c r="K8" s="60">
        <v>0.0</v>
      </c>
      <c r="L8" s="27" t="s">
        <v>1160</v>
      </c>
      <c r="M8" s="60">
        <v>0.0</v>
      </c>
      <c r="N8" s="27" t="s">
        <v>1161</v>
      </c>
      <c r="O8" s="60">
        <v>0.0</v>
      </c>
      <c r="P8" s="27" t="s">
        <v>1162</v>
      </c>
      <c r="Q8" s="60">
        <v>0.0</v>
      </c>
      <c r="R8" s="27" t="s">
        <v>1163</v>
      </c>
      <c r="S8" s="60">
        <v>0.0</v>
      </c>
      <c r="T8" s="27" t="s">
        <v>1164</v>
      </c>
      <c r="U8" s="60">
        <v>0.0</v>
      </c>
      <c r="V8" s="27" t="s">
        <v>1165</v>
      </c>
      <c r="W8" s="60">
        <v>0.0</v>
      </c>
      <c r="X8" s="91" t="s">
        <v>1166</v>
      </c>
      <c r="Y8" s="60">
        <v>0.0</v>
      </c>
      <c r="Z8" s="27" t="s">
        <v>1167</v>
      </c>
      <c r="AA8" s="60">
        <v>0.0</v>
      </c>
      <c r="AB8" s="27" t="s">
        <v>1168</v>
      </c>
      <c r="AC8" s="60">
        <v>0.0</v>
      </c>
      <c r="AD8" s="27" t="s">
        <v>1169</v>
      </c>
      <c r="AE8" s="60">
        <v>0.0</v>
      </c>
      <c r="AF8" s="27" t="s">
        <v>1170</v>
      </c>
      <c r="AG8" s="60">
        <v>0.0</v>
      </c>
      <c r="AH8" s="27" t="s">
        <v>1171</v>
      </c>
      <c r="AI8" s="60">
        <v>0.0</v>
      </c>
      <c r="AJ8" s="27" t="s">
        <v>1172</v>
      </c>
      <c r="AK8" s="60">
        <v>0.0</v>
      </c>
      <c r="AL8" s="27" t="s">
        <v>1173</v>
      </c>
      <c r="AM8" s="60">
        <v>0.0</v>
      </c>
      <c r="AN8" s="27" t="s">
        <v>1174</v>
      </c>
      <c r="AO8" s="60">
        <v>0.0</v>
      </c>
      <c r="AP8" s="27" t="s">
        <v>1175</v>
      </c>
      <c r="AQ8" s="60">
        <v>0.0</v>
      </c>
      <c r="AR8" s="27" t="s">
        <v>1176</v>
      </c>
      <c r="AS8" s="60">
        <v>0.0</v>
      </c>
    </row>
    <row r="9" ht="15.75" customHeight="1">
      <c r="A9" s="7">
        <v>1856.0</v>
      </c>
      <c r="B9" s="8" t="s">
        <v>38</v>
      </c>
      <c r="C9" s="9" t="str">
        <f t="shared" si="1"/>
        <v>LP 08_BC-504B_BS VI HSD</v>
      </c>
      <c r="D9" s="11" t="s">
        <v>1177</v>
      </c>
      <c r="E9" s="11" t="s">
        <v>1045</v>
      </c>
      <c r="F9" s="10" t="s">
        <v>1178</v>
      </c>
      <c r="G9" s="10" t="s">
        <v>90</v>
      </c>
      <c r="H9" s="27" t="s">
        <v>1179</v>
      </c>
      <c r="I9" s="60">
        <v>0.0</v>
      </c>
      <c r="J9" s="27" t="s">
        <v>1180</v>
      </c>
      <c r="K9" s="60">
        <v>0.0</v>
      </c>
      <c r="L9" s="27" t="s">
        <v>1181</v>
      </c>
      <c r="M9" s="60">
        <v>0.0</v>
      </c>
      <c r="N9" s="27" t="s">
        <v>1182</v>
      </c>
      <c r="O9" s="60">
        <v>0.0</v>
      </c>
      <c r="P9" s="27" t="s">
        <v>1183</v>
      </c>
      <c r="Q9" s="60">
        <v>0.0</v>
      </c>
      <c r="R9" s="27" t="s">
        <v>1184</v>
      </c>
      <c r="S9" s="60">
        <v>0.0</v>
      </c>
      <c r="T9" s="27" t="s">
        <v>1185</v>
      </c>
      <c r="U9" s="60">
        <v>0.0</v>
      </c>
      <c r="V9" s="27" t="s">
        <v>1186</v>
      </c>
      <c r="W9" s="60">
        <v>0.0</v>
      </c>
      <c r="X9" s="91" t="s">
        <v>1187</v>
      </c>
      <c r="Y9" s="60">
        <v>0.0</v>
      </c>
      <c r="Z9" s="27" t="s">
        <v>1188</v>
      </c>
      <c r="AA9" s="60">
        <v>0.0</v>
      </c>
      <c r="AB9" s="27" t="s">
        <v>1189</v>
      </c>
      <c r="AC9" s="60">
        <v>0.0</v>
      </c>
      <c r="AD9" s="27" t="s">
        <v>1190</v>
      </c>
      <c r="AE9" s="60">
        <v>0.0</v>
      </c>
      <c r="AF9" s="27" t="s">
        <v>1191</v>
      </c>
      <c r="AG9" s="60">
        <v>0.0</v>
      </c>
      <c r="AH9" s="27" t="s">
        <v>1192</v>
      </c>
      <c r="AI9" s="60">
        <v>0.0</v>
      </c>
      <c r="AJ9" s="27" t="s">
        <v>1193</v>
      </c>
      <c r="AK9" s="60">
        <v>0.0</v>
      </c>
      <c r="AL9" s="92" t="s">
        <v>1194</v>
      </c>
      <c r="AM9" s="60">
        <v>0.0</v>
      </c>
      <c r="AN9" s="27" t="s">
        <v>1195</v>
      </c>
      <c r="AO9" s="60">
        <v>0.0</v>
      </c>
      <c r="AP9" s="27" t="s">
        <v>1196</v>
      </c>
      <c r="AQ9" s="60">
        <v>0.0</v>
      </c>
      <c r="AR9" s="27" t="s">
        <v>1197</v>
      </c>
      <c r="AS9" s="60">
        <v>0.0</v>
      </c>
    </row>
    <row r="10" ht="15.75" customHeight="1">
      <c r="A10" s="7">
        <v>1856.0</v>
      </c>
      <c r="B10" s="8" t="s">
        <v>38</v>
      </c>
      <c r="C10" s="9" t="str">
        <f t="shared" si="1"/>
        <v>LP 09_BC-505A_BS VI MS</v>
      </c>
      <c r="D10" s="11" t="s">
        <v>1198</v>
      </c>
      <c r="E10" s="11" t="s">
        <v>1045</v>
      </c>
      <c r="F10" s="10" t="s">
        <v>1199</v>
      </c>
      <c r="G10" s="10" t="s">
        <v>110</v>
      </c>
      <c r="H10" s="27" t="s">
        <v>1200</v>
      </c>
      <c r="I10" s="60">
        <v>0.0</v>
      </c>
      <c r="J10" s="27" t="s">
        <v>1201</v>
      </c>
      <c r="K10" s="60">
        <v>0.0</v>
      </c>
      <c r="L10" s="27" t="s">
        <v>1202</v>
      </c>
      <c r="M10" s="60">
        <v>0.0</v>
      </c>
      <c r="N10" s="27" t="s">
        <v>1203</v>
      </c>
      <c r="O10" s="60">
        <v>0.0</v>
      </c>
      <c r="P10" s="27" t="s">
        <v>1204</v>
      </c>
      <c r="Q10" s="60">
        <v>0.0</v>
      </c>
      <c r="R10" s="27" t="s">
        <v>1205</v>
      </c>
      <c r="S10" s="60">
        <v>0.0</v>
      </c>
      <c r="T10" s="27" t="s">
        <v>1206</v>
      </c>
      <c r="U10" s="60">
        <v>0.0</v>
      </c>
      <c r="V10" s="27" t="s">
        <v>1207</v>
      </c>
      <c r="W10" s="60">
        <v>0.0</v>
      </c>
      <c r="X10" s="91" t="s">
        <v>1208</v>
      </c>
      <c r="Y10" s="60">
        <v>0.0</v>
      </c>
      <c r="Z10" s="27" t="s">
        <v>1209</v>
      </c>
      <c r="AA10" s="60">
        <v>0.0</v>
      </c>
      <c r="AB10" s="27" t="s">
        <v>1210</v>
      </c>
      <c r="AC10" s="60">
        <v>0.0</v>
      </c>
      <c r="AD10" s="27" t="s">
        <v>1211</v>
      </c>
      <c r="AE10" s="60">
        <v>0.0</v>
      </c>
      <c r="AF10" s="27" t="s">
        <v>1212</v>
      </c>
      <c r="AG10" s="60">
        <v>0.0</v>
      </c>
      <c r="AH10" s="27" t="s">
        <v>1213</v>
      </c>
      <c r="AI10" s="60">
        <v>0.0</v>
      </c>
      <c r="AJ10" s="27" t="s">
        <v>1214</v>
      </c>
      <c r="AK10" s="60">
        <v>0.0</v>
      </c>
      <c r="AL10" s="27" t="s">
        <v>1215</v>
      </c>
      <c r="AM10" s="60">
        <v>0.0</v>
      </c>
      <c r="AN10" s="27" t="s">
        <v>1216</v>
      </c>
      <c r="AO10" s="60">
        <v>0.0</v>
      </c>
      <c r="AP10" s="27" t="s">
        <v>1217</v>
      </c>
      <c r="AQ10" s="60">
        <v>0.0</v>
      </c>
      <c r="AR10" s="27" t="s">
        <v>1218</v>
      </c>
      <c r="AS10" s="60">
        <v>0.0</v>
      </c>
    </row>
    <row r="11" ht="15.75" customHeight="1">
      <c r="A11" s="7">
        <v>1856.0</v>
      </c>
      <c r="B11" s="8" t="s">
        <v>38</v>
      </c>
      <c r="C11" s="9" t="str">
        <f t="shared" si="1"/>
        <v>LP 10_BC-505B_BS VI HSD</v>
      </c>
      <c r="D11" s="11" t="s">
        <v>1219</v>
      </c>
      <c r="E11" s="11" t="s">
        <v>1045</v>
      </c>
      <c r="F11" s="10" t="s">
        <v>1220</v>
      </c>
      <c r="G11" s="10" t="s">
        <v>90</v>
      </c>
      <c r="H11" s="27" t="s">
        <v>1221</v>
      </c>
      <c r="I11" s="60">
        <v>0.0</v>
      </c>
      <c r="J11" s="27" t="s">
        <v>1222</v>
      </c>
      <c r="K11" s="60">
        <v>0.0</v>
      </c>
      <c r="L11" s="27"/>
      <c r="M11" s="27"/>
      <c r="N11" s="27" t="s">
        <v>1223</v>
      </c>
      <c r="O11" s="60">
        <v>0.0</v>
      </c>
      <c r="P11" s="27"/>
      <c r="Q11" s="27"/>
      <c r="R11" s="27" t="s">
        <v>1224</v>
      </c>
      <c r="S11" s="60">
        <v>0.0</v>
      </c>
      <c r="T11" s="27"/>
      <c r="U11" s="27"/>
      <c r="V11" s="27" t="s">
        <v>1225</v>
      </c>
      <c r="W11" s="60">
        <v>0.0</v>
      </c>
      <c r="X11" s="91" t="s">
        <v>1226</v>
      </c>
      <c r="Y11" s="60">
        <v>0.0</v>
      </c>
      <c r="Z11" s="27" t="s">
        <v>1227</v>
      </c>
      <c r="AA11" s="60">
        <v>0.0</v>
      </c>
      <c r="AB11" s="27" t="s">
        <v>1228</v>
      </c>
      <c r="AC11" s="60">
        <v>0.0</v>
      </c>
      <c r="AD11" s="27" t="s">
        <v>1229</v>
      </c>
      <c r="AE11" s="60">
        <v>0.0</v>
      </c>
      <c r="AF11" s="27" t="s">
        <v>1230</v>
      </c>
      <c r="AG11" s="60">
        <v>0.0</v>
      </c>
      <c r="AH11" s="27" t="s">
        <v>1231</v>
      </c>
      <c r="AI11" s="60">
        <v>0.0</v>
      </c>
      <c r="AJ11" s="27" t="s">
        <v>1232</v>
      </c>
      <c r="AK11" s="60">
        <v>0.0</v>
      </c>
      <c r="AL11" s="27"/>
      <c r="AM11" s="27"/>
      <c r="AN11" s="27" t="s">
        <v>1233</v>
      </c>
      <c r="AO11" s="60">
        <v>0.0</v>
      </c>
      <c r="AP11" s="27" t="s">
        <v>1234</v>
      </c>
      <c r="AQ11" s="60">
        <v>0.0</v>
      </c>
      <c r="AR11" s="27"/>
      <c r="AS11" s="27"/>
    </row>
    <row r="12" ht="15.75" customHeight="1">
      <c r="A12" s="7">
        <v>1856.0</v>
      </c>
      <c r="B12" s="8" t="s">
        <v>38</v>
      </c>
      <c r="C12" s="9" t="str">
        <f t="shared" si="1"/>
        <v>LP 11_BC-506A_BS VI MS</v>
      </c>
      <c r="D12" s="11" t="s">
        <v>1235</v>
      </c>
      <c r="E12" s="11" t="s">
        <v>1045</v>
      </c>
      <c r="F12" s="10" t="s">
        <v>1236</v>
      </c>
      <c r="G12" s="10" t="s">
        <v>110</v>
      </c>
      <c r="H12" s="27" t="s">
        <v>1237</v>
      </c>
      <c r="I12" s="60">
        <v>0.0</v>
      </c>
      <c r="J12" s="27" t="s">
        <v>1238</v>
      </c>
      <c r="K12" s="60">
        <v>0.0</v>
      </c>
      <c r="L12" s="27" t="s">
        <v>1239</v>
      </c>
      <c r="M12" s="60">
        <v>0.0</v>
      </c>
      <c r="N12" s="27" t="s">
        <v>1240</v>
      </c>
      <c r="O12" s="60">
        <v>0.0</v>
      </c>
      <c r="P12" s="27" t="s">
        <v>1241</v>
      </c>
      <c r="Q12" s="60">
        <v>0.0</v>
      </c>
      <c r="R12" s="27" t="s">
        <v>1242</v>
      </c>
      <c r="S12" s="60">
        <v>0.0</v>
      </c>
      <c r="T12" s="27" t="s">
        <v>1243</v>
      </c>
      <c r="U12" s="60">
        <v>0.0</v>
      </c>
      <c r="V12" s="27" t="s">
        <v>1244</v>
      </c>
      <c r="W12" s="60">
        <v>0.0</v>
      </c>
      <c r="X12" s="91" t="s">
        <v>1245</v>
      </c>
      <c r="Y12" s="60">
        <v>0.0</v>
      </c>
      <c r="Z12" s="27" t="s">
        <v>1246</v>
      </c>
      <c r="AA12" s="60">
        <v>0.0</v>
      </c>
      <c r="AB12" s="27" t="s">
        <v>1247</v>
      </c>
      <c r="AC12" s="60">
        <v>0.0</v>
      </c>
      <c r="AD12" s="27" t="s">
        <v>1248</v>
      </c>
      <c r="AE12" s="60">
        <v>0.0</v>
      </c>
      <c r="AF12" s="27" t="s">
        <v>1249</v>
      </c>
      <c r="AG12" s="60">
        <v>0.0</v>
      </c>
      <c r="AH12" s="27" t="s">
        <v>1250</v>
      </c>
      <c r="AI12" s="60">
        <v>0.0</v>
      </c>
      <c r="AJ12" s="27" t="s">
        <v>1251</v>
      </c>
      <c r="AK12" s="60">
        <v>0.0</v>
      </c>
      <c r="AL12" s="27" t="s">
        <v>1252</v>
      </c>
      <c r="AM12" s="60">
        <v>0.0</v>
      </c>
      <c r="AN12" s="27" t="s">
        <v>1253</v>
      </c>
      <c r="AO12" s="60">
        <v>0.0</v>
      </c>
      <c r="AP12" s="27" t="s">
        <v>1254</v>
      </c>
      <c r="AQ12" s="60">
        <v>0.0</v>
      </c>
      <c r="AR12" s="27" t="s">
        <v>1255</v>
      </c>
      <c r="AS12" s="60">
        <v>0.0</v>
      </c>
    </row>
    <row r="13" ht="15.75" customHeight="1">
      <c r="A13" s="7">
        <v>1856.0</v>
      </c>
      <c r="B13" s="8" t="s">
        <v>38</v>
      </c>
      <c r="C13" s="9" t="str">
        <f t="shared" si="1"/>
        <v>LP 12_BC-506B_BS VI HSD</v>
      </c>
      <c r="D13" s="11" t="s">
        <v>1256</v>
      </c>
      <c r="E13" s="11" t="s">
        <v>1045</v>
      </c>
      <c r="F13" s="10" t="s">
        <v>1257</v>
      </c>
      <c r="G13" s="10" t="s">
        <v>90</v>
      </c>
      <c r="H13" s="27" t="s">
        <v>1258</v>
      </c>
      <c r="I13" s="60">
        <v>0.0</v>
      </c>
      <c r="J13" s="27" t="s">
        <v>1259</v>
      </c>
      <c r="K13" s="60">
        <v>0.0</v>
      </c>
      <c r="L13" s="27" t="s">
        <v>1260</v>
      </c>
      <c r="M13" s="60">
        <v>0.0</v>
      </c>
      <c r="N13" s="27" t="s">
        <v>1261</v>
      </c>
      <c r="O13" s="60">
        <v>0.0</v>
      </c>
      <c r="P13" s="27" t="s">
        <v>1262</v>
      </c>
      <c r="Q13" s="60">
        <v>0.0</v>
      </c>
      <c r="R13" s="27" t="s">
        <v>1263</v>
      </c>
      <c r="S13" s="60">
        <v>0.0</v>
      </c>
      <c r="T13" s="27" t="s">
        <v>1264</v>
      </c>
      <c r="U13" s="60">
        <v>0.0</v>
      </c>
      <c r="V13" s="27" t="s">
        <v>1265</v>
      </c>
      <c r="W13" s="60">
        <v>0.0</v>
      </c>
      <c r="X13" s="91" t="s">
        <v>1266</v>
      </c>
      <c r="Y13" s="60">
        <v>0.0</v>
      </c>
      <c r="Z13" s="27" t="s">
        <v>1267</v>
      </c>
      <c r="AA13" s="60">
        <v>0.0</v>
      </c>
      <c r="AB13" s="27" t="s">
        <v>1268</v>
      </c>
      <c r="AC13" s="60">
        <v>0.0</v>
      </c>
      <c r="AD13" s="27" t="s">
        <v>1269</v>
      </c>
      <c r="AE13" s="60">
        <v>0.0</v>
      </c>
      <c r="AF13" s="27" t="s">
        <v>1270</v>
      </c>
      <c r="AG13" s="60">
        <v>0.0</v>
      </c>
      <c r="AH13" s="27" t="s">
        <v>1271</v>
      </c>
      <c r="AI13" s="60">
        <v>0.0</v>
      </c>
      <c r="AJ13" s="27" t="s">
        <v>1272</v>
      </c>
      <c r="AK13" s="60">
        <v>0.0</v>
      </c>
      <c r="AL13" s="92" t="s">
        <v>1273</v>
      </c>
      <c r="AM13" s="60">
        <v>0.0</v>
      </c>
      <c r="AN13" s="27" t="s">
        <v>1274</v>
      </c>
      <c r="AO13" s="60">
        <v>0.0</v>
      </c>
      <c r="AP13" s="27" t="s">
        <v>1275</v>
      </c>
      <c r="AQ13" s="60">
        <v>0.0</v>
      </c>
      <c r="AR13" s="27" t="s">
        <v>1276</v>
      </c>
      <c r="AS13" s="60">
        <v>0.0</v>
      </c>
    </row>
    <row r="14" ht="15.75" customHeight="1">
      <c r="A14" s="7">
        <v>1856.0</v>
      </c>
      <c r="B14" s="8" t="s">
        <v>38</v>
      </c>
      <c r="C14" s="9" t="str">
        <f t="shared" si="1"/>
        <v>LP 13_BC-507A_BS VI MS</v>
      </c>
      <c r="D14" s="11" t="s">
        <v>1277</v>
      </c>
      <c r="E14" s="11" t="s">
        <v>1045</v>
      </c>
      <c r="F14" s="10" t="s">
        <v>1278</v>
      </c>
      <c r="G14" s="10" t="s">
        <v>110</v>
      </c>
      <c r="H14" s="27" t="s">
        <v>1279</v>
      </c>
      <c r="I14" s="60">
        <v>0.0</v>
      </c>
      <c r="J14" s="27" t="s">
        <v>1280</v>
      </c>
      <c r="K14" s="60">
        <v>0.0</v>
      </c>
      <c r="L14" s="27" t="s">
        <v>1281</v>
      </c>
      <c r="M14" s="60">
        <v>0.0</v>
      </c>
      <c r="N14" s="27" t="s">
        <v>1282</v>
      </c>
      <c r="O14" s="60">
        <v>0.0</v>
      </c>
      <c r="P14" s="27" t="s">
        <v>1283</v>
      </c>
      <c r="Q14" s="60">
        <v>0.0</v>
      </c>
      <c r="R14" s="27" t="s">
        <v>1284</v>
      </c>
      <c r="S14" s="60">
        <v>0.0</v>
      </c>
      <c r="T14" s="27" t="s">
        <v>1285</v>
      </c>
      <c r="U14" s="60">
        <v>0.0</v>
      </c>
      <c r="V14" s="27" t="s">
        <v>1286</v>
      </c>
      <c r="W14" s="60">
        <v>0.0</v>
      </c>
      <c r="X14" s="91" t="s">
        <v>1287</v>
      </c>
      <c r="Y14" s="60">
        <v>0.0</v>
      </c>
      <c r="Z14" s="27" t="s">
        <v>1288</v>
      </c>
      <c r="AA14" s="60">
        <v>0.0</v>
      </c>
      <c r="AB14" s="27" t="s">
        <v>1289</v>
      </c>
      <c r="AC14" s="60">
        <v>0.0</v>
      </c>
      <c r="AD14" s="27" t="s">
        <v>1290</v>
      </c>
      <c r="AE14" s="60">
        <v>0.0</v>
      </c>
      <c r="AF14" s="27" t="s">
        <v>1291</v>
      </c>
      <c r="AG14" s="60">
        <v>0.0</v>
      </c>
      <c r="AH14" s="27" t="s">
        <v>1292</v>
      </c>
      <c r="AI14" s="60">
        <v>0.0</v>
      </c>
      <c r="AJ14" s="27" t="s">
        <v>1293</v>
      </c>
      <c r="AK14" s="60">
        <v>0.0</v>
      </c>
      <c r="AL14" s="27" t="s">
        <v>1294</v>
      </c>
      <c r="AM14" s="60">
        <v>0.0</v>
      </c>
      <c r="AN14" s="27" t="s">
        <v>1295</v>
      </c>
      <c r="AO14" s="60">
        <v>0.0</v>
      </c>
      <c r="AP14" s="27" t="s">
        <v>1296</v>
      </c>
      <c r="AQ14" s="60">
        <v>0.0</v>
      </c>
      <c r="AR14" s="27" t="s">
        <v>1297</v>
      </c>
      <c r="AS14" s="60">
        <v>0.0</v>
      </c>
    </row>
    <row r="15" ht="15.75" customHeight="1">
      <c r="A15" s="7">
        <v>1856.0</v>
      </c>
      <c r="B15" s="8" t="s">
        <v>38</v>
      </c>
      <c r="C15" s="9" t="str">
        <f t="shared" si="1"/>
        <v>LP 14_BC-507B_BS VI HSD</v>
      </c>
      <c r="D15" s="11" t="s">
        <v>1298</v>
      </c>
      <c r="E15" s="11" t="s">
        <v>1045</v>
      </c>
      <c r="F15" s="10" t="s">
        <v>1299</v>
      </c>
      <c r="G15" s="10" t="s">
        <v>90</v>
      </c>
      <c r="H15" s="27" t="s">
        <v>1300</v>
      </c>
      <c r="I15" s="60">
        <v>0.0</v>
      </c>
      <c r="J15" s="27" t="s">
        <v>1301</v>
      </c>
      <c r="K15" s="60">
        <v>0.0</v>
      </c>
      <c r="L15" s="27" t="s">
        <v>1302</v>
      </c>
      <c r="M15" s="60">
        <v>0.0</v>
      </c>
      <c r="N15" s="27" t="s">
        <v>1303</v>
      </c>
      <c r="O15" s="60">
        <v>0.0</v>
      </c>
      <c r="P15" s="27" t="s">
        <v>1304</v>
      </c>
      <c r="Q15" s="60">
        <v>0.0</v>
      </c>
      <c r="R15" s="27" t="s">
        <v>1305</v>
      </c>
      <c r="S15" s="60">
        <v>0.0</v>
      </c>
      <c r="T15" s="27" t="s">
        <v>1306</v>
      </c>
      <c r="U15" s="60">
        <v>0.0</v>
      </c>
      <c r="V15" s="27" t="s">
        <v>1307</v>
      </c>
      <c r="W15" s="60">
        <v>0.0</v>
      </c>
      <c r="X15" s="91" t="s">
        <v>1308</v>
      </c>
      <c r="Y15" s="60">
        <v>0.0</v>
      </c>
      <c r="Z15" s="27" t="s">
        <v>1309</v>
      </c>
      <c r="AA15" s="60">
        <v>0.0</v>
      </c>
      <c r="AB15" s="27" t="s">
        <v>1310</v>
      </c>
      <c r="AC15" s="60">
        <v>0.0</v>
      </c>
      <c r="AD15" s="27" t="s">
        <v>1311</v>
      </c>
      <c r="AE15" s="60">
        <v>0.0</v>
      </c>
      <c r="AF15" s="27" t="s">
        <v>1312</v>
      </c>
      <c r="AG15" s="60">
        <v>0.0</v>
      </c>
      <c r="AH15" s="27" t="s">
        <v>1313</v>
      </c>
      <c r="AI15" s="60">
        <v>0.0</v>
      </c>
      <c r="AJ15" s="27" t="s">
        <v>1314</v>
      </c>
      <c r="AK15" s="60">
        <v>0.0</v>
      </c>
      <c r="AL15" s="92" t="s">
        <v>1315</v>
      </c>
      <c r="AM15" s="60">
        <v>0.0</v>
      </c>
      <c r="AN15" s="27" t="s">
        <v>1316</v>
      </c>
      <c r="AO15" s="60">
        <v>0.0</v>
      </c>
      <c r="AP15" s="27" t="s">
        <v>1317</v>
      </c>
      <c r="AQ15" s="60">
        <v>0.0</v>
      </c>
      <c r="AR15" s="27" t="s">
        <v>1318</v>
      </c>
      <c r="AS15" s="60">
        <v>0.0</v>
      </c>
    </row>
    <row r="16" ht="15.75" customHeight="1">
      <c r="A16" s="7">
        <v>1856.0</v>
      </c>
      <c r="B16" s="8" t="s">
        <v>38</v>
      </c>
      <c r="C16" s="9" t="str">
        <f t="shared" si="1"/>
        <v>LP 15_BC-508A_ATF</v>
      </c>
      <c r="D16" s="11" t="s">
        <v>1319</v>
      </c>
      <c r="E16" s="11" t="s">
        <v>1045</v>
      </c>
      <c r="F16" s="10" t="s">
        <v>1320</v>
      </c>
      <c r="G16" s="10" t="s">
        <v>41</v>
      </c>
      <c r="H16" s="27" t="s">
        <v>1321</v>
      </c>
      <c r="I16" s="60">
        <v>0.0</v>
      </c>
      <c r="J16" s="27" t="s">
        <v>1322</v>
      </c>
      <c r="K16" s="60">
        <v>0.0</v>
      </c>
      <c r="L16" s="27"/>
      <c r="M16" s="27"/>
      <c r="N16" s="27" t="s">
        <v>1323</v>
      </c>
      <c r="O16" s="60">
        <v>0.0</v>
      </c>
      <c r="P16" s="27"/>
      <c r="Q16" s="27"/>
      <c r="R16" s="27" t="s">
        <v>1324</v>
      </c>
      <c r="S16" s="60">
        <v>0.0</v>
      </c>
      <c r="T16" s="27"/>
      <c r="U16" s="27"/>
      <c r="V16" s="27" t="s">
        <v>1325</v>
      </c>
      <c r="W16" s="60">
        <v>0.0</v>
      </c>
      <c r="X16" s="91" t="s">
        <v>1326</v>
      </c>
      <c r="Y16" s="60">
        <v>0.0</v>
      </c>
      <c r="Z16" s="27" t="s">
        <v>1327</v>
      </c>
      <c r="AA16" s="60">
        <v>0.0</v>
      </c>
      <c r="AB16" s="27" t="s">
        <v>1328</v>
      </c>
      <c r="AC16" s="60">
        <v>0.0</v>
      </c>
      <c r="AD16" s="27" t="s">
        <v>1329</v>
      </c>
      <c r="AE16" s="60">
        <v>0.0</v>
      </c>
      <c r="AF16" s="27" t="s">
        <v>1330</v>
      </c>
      <c r="AG16" s="60">
        <v>0.0</v>
      </c>
      <c r="AH16" s="27" t="s">
        <v>1331</v>
      </c>
      <c r="AI16" s="60">
        <v>0.0</v>
      </c>
      <c r="AJ16" s="27" t="s">
        <v>1332</v>
      </c>
      <c r="AK16" s="60">
        <v>0.0</v>
      </c>
      <c r="AL16" s="27"/>
      <c r="AM16" s="27"/>
      <c r="AN16" s="27" t="s">
        <v>1333</v>
      </c>
      <c r="AO16" s="60">
        <v>0.0</v>
      </c>
      <c r="AP16" s="27" t="s">
        <v>1334</v>
      </c>
      <c r="AQ16" s="60">
        <v>0.0</v>
      </c>
      <c r="AR16" s="27"/>
      <c r="AS16" s="27"/>
    </row>
    <row r="17" ht="15.75" customHeight="1">
      <c r="A17" s="7">
        <v>1856.0</v>
      </c>
      <c r="B17" s="8" t="s">
        <v>38</v>
      </c>
      <c r="C17" s="9" t="str">
        <f t="shared" si="1"/>
        <v>LP 16_BC-508B_ATF</v>
      </c>
      <c r="D17" s="11" t="s">
        <v>1335</v>
      </c>
      <c r="E17" s="11" t="s">
        <v>1045</v>
      </c>
      <c r="F17" s="10" t="s">
        <v>1336</v>
      </c>
      <c r="G17" s="10" t="s">
        <v>41</v>
      </c>
      <c r="H17" s="27" t="s">
        <v>1337</v>
      </c>
      <c r="I17" s="60">
        <v>0.0</v>
      </c>
      <c r="J17" s="27" t="s">
        <v>1338</v>
      </c>
      <c r="K17" s="60">
        <v>0.0</v>
      </c>
      <c r="L17" s="27"/>
      <c r="M17" s="27"/>
      <c r="N17" s="27" t="s">
        <v>1339</v>
      </c>
      <c r="O17" s="60">
        <v>0.0</v>
      </c>
      <c r="P17" s="27"/>
      <c r="Q17" s="27"/>
      <c r="R17" s="27" t="s">
        <v>1340</v>
      </c>
      <c r="S17" s="60">
        <v>0.0</v>
      </c>
      <c r="T17" s="27"/>
      <c r="U17" s="27"/>
      <c r="V17" s="27" t="s">
        <v>1341</v>
      </c>
      <c r="W17" s="60">
        <v>0.0</v>
      </c>
      <c r="X17" s="91" t="s">
        <v>1342</v>
      </c>
      <c r="Y17" s="60">
        <v>0.0</v>
      </c>
      <c r="Z17" s="27" t="s">
        <v>1343</v>
      </c>
      <c r="AA17" s="60">
        <v>0.0</v>
      </c>
      <c r="AB17" s="27" t="s">
        <v>1344</v>
      </c>
      <c r="AC17" s="60">
        <v>0.0</v>
      </c>
      <c r="AD17" s="27" t="s">
        <v>1345</v>
      </c>
      <c r="AE17" s="60">
        <v>0.0</v>
      </c>
      <c r="AF17" s="27" t="s">
        <v>1346</v>
      </c>
      <c r="AG17" s="60">
        <v>0.0</v>
      </c>
      <c r="AH17" s="27" t="s">
        <v>1347</v>
      </c>
      <c r="AI17" s="60">
        <v>0.0</v>
      </c>
      <c r="AJ17" s="27" t="s">
        <v>1348</v>
      </c>
      <c r="AK17" s="60">
        <v>0.0</v>
      </c>
      <c r="AL17" s="27"/>
      <c r="AM17" s="27"/>
      <c r="AN17" s="27" t="s">
        <v>1349</v>
      </c>
      <c r="AO17" s="60">
        <v>0.0</v>
      </c>
      <c r="AP17" s="27" t="s">
        <v>1350</v>
      </c>
      <c r="AQ17" s="60">
        <v>0.0</v>
      </c>
      <c r="AR17" s="27"/>
      <c r="AS17" s="27"/>
    </row>
    <row r="18" ht="15.75" customHeight="1">
      <c r="A18" s="7">
        <v>1856.0</v>
      </c>
      <c r="B18" s="8" t="s">
        <v>38</v>
      </c>
      <c r="C18" s="9" t="str">
        <f t="shared" si="1"/>
        <v>LP 17_BC-509A_BS VI HSD</v>
      </c>
      <c r="D18" s="11" t="s">
        <v>1351</v>
      </c>
      <c r="E18" s="11" t="s">
        <v>1045</v>
      </c>
      <c r="F18" s="10" t="s">
        <v>1352</v>
      </c>
      <c r="G18" s="10" t="s">
        <v>90</v>
      </c>
      <c r="H18" s="27" t="s">
        <v>1353</v>
      </c>
      <c r="I18" s="60">
        <v>0.0</v>
      </c>
      <c r="J18" s="27" t="s">
        <v>1354</v>
      </c>
      <c r="K18" s="60">
        <v>0.0</v>
      </c>
      <c r="L18" s="27"/>
      <c r="M18" s="27"/>
      <c r="N18" s="27" t="s">
        <v>1355</v>
      </c>
      <c r="O18" s="60">
        <v>0.0</v>
      </c>
      <c r="P18" s="27"/>
      <c r="Q18" s="27"/>
      <c r="R18" s="27" t="s">
        <v>1356</v>
      </c>
      <c r="S18" s="60">
        <v>0.0</v>
      </c>
      <c r="T18" s="27"/>
      <c r="U18" s="27"/>
      <c r="V18" s="27" t="s">
        <v>1357</v>
      </c>
      <c r="W18" s="60">
        <v>0.0</v>
      </c>
      <c r="X18" s="91" t="s">
        <v>1358</v>
      </c>
      <c r="Y18" s="60">
        <v>0.0</v>
      </c>
      <c r="Z18" s="27" t="s">
        <v>1359</v>
      </c>
      <c r="AA18" s="60">
        <v>0.0</v>
      </c>
      <c r="AB18" s="27" t="s">
        <v>1360</v>
      </c>
      <c r="AC18" s="60">
        <v>0.0</v>
      </c>
      <c r="AD18" s="27" t="s">
        <v>1361</v>
      </c>
      <c r="AE18" s="60">
        <v>0.0</v>
      </c>
      <c r="AF18" s="27" t="s">
        <v>1362</v>
      </c>
      <c r="AG18" s="60">
        <v>0.0</v>
      </c>
      <c r="AH18" s="27" t="s">
        <v>1363</v>
      </c>
      <c r="AI18" s="60">
        <v>0.0</v>
      </c>
      <c r="AJ18" s="27" t="s">
        <v>1364</v>
      </c>
      <c r="AK18" s="60">
        <v>0.0</v>
      </c>
      <c r="AL18" s="27"/>
      <c r="AM18" s="27"/>
      <c r="AN18" s="27" t="s">
        <v>1365</v>
      </c>
      <c r="AO18" s="60">
        <v>0.0</v>
      </c>
      <c r="AP18" s="27" t="s">
        <v>1366</v>
      </c>
      <c r="AQ18" s="60">
        <v>0.0</v>
      </c>
      <c r="AR18" s="27"/>
      <c r="AS18" s="27"/>
    </row>
    <row r="19" ht="15.75" customHeight="1">
      <c r="A19" s="7">
        <v>1856.0</v>
      </c>
      <c r="B19" s="8" t="s">
        <v>38</v>
      </c>
      <c r="C19" s="9" t="str">
        <f t="shared" si="1"/>
        <v>LP 18_BC-509B_BS VI HSD</v>
      </c>
      <c r="D19" s="11" t="s">
        <v>1367</v>
      </c>
      <c r="E19" s="11" t="s">
        <v>1045</v>
      </c>
      <c r="F19" s="10" t="s">
        <v>1368</v>
      </c>
      <c r="G19" s="10" t="s">
        <v>90</v>
      </c>
      <c r="H19" s="27" t="s">
        <v>1369</v>
      </c>
      <c r="I19" s="60">
        <v>0.0</v>
      </c>
      <c r="J19" s="27" t="s">
        <v>1370</v>
      </c>
      <c r="K19" s="60">
        <v>0.0</v>
      </c>
      <c r="L19" s="27"/>
      <c r="M19" s="27"/>
      <c r="N19" s="27" t="s">
        <v>1371</v>
      </c>
      <c r="O19" s="60">
        <v>0.0</v>
      </c>
      <c r="P19" s="27"/>
      <c r="Q19" s="27"/>
      <c r="R19" s="27" t="s">
        <v>1372</v>
      </c>
      <c r="S19" s="60">
        <v>0.0</v>
      </c>
      <c r="T19" s="27"/>
      <c r="U19" s="27"/>
      <c r="V19" s="27" t="s">
        <v>1373</v>
      </c>
      <c r="W19" s="60">
        <v>0.0</v>
      </c>
      <c r="X19" s="91" t="s">
        <v>1374</v>
      </c>
      <c r="Y19" s="60">
        <v>0.0</v>
      </c>
      <c r="Z19" s="27" t="s">
        <v>1375</v>
      </c>
      <c r="AA19" s="60">
        <v>0.0</v>
      </c>
      <c r="AB19" s="27" t="s">
        <v>1376</v>
      </c>
      <c r="AC19" s="60">
        <v>0.0</v>
      </c>
      <c r="AD19" s="27" t="s">
        <v>1377</v>
      </c>
      <c r="AE19" s="60">
        <v>0.0</v>
      </c>
      <c r="AF19" s="27" t="s">
        <v>1378</v>
      </c>
      <c r="AG19" s="60">
        <v>0.0</v>
      </c>
      <c r="AH19" s="27" t="s">
        <v>1379</v>
      </c>
      <c r="AI19" s="60">
        <v>0.0</v>
      </c>
      <c r="AJ19" s="27" t="s">
        <v>1380</v>
      </c>
      <c r="AK19" s="60">
        <v>0.0</v>
      </c>
      <c r="AL19" s="27"/>
      <c r="AM19" s="27"/>
      <c r="AN19" s="27" t="s">
        <v>1381</v>
      </c>
      <c r="AO19" s="60">
        <v>0.0</v>
      </c>
      <c r="AP19" s="27" t="s">
        <v>1382</v>
      </c>
      <c r="AQ19" s="60">
        <v>0.0</v>
      </c>
      <c r="AR19" s="27"/>
      <c r="AS19" s="27"/>
    </row>
    <row r="20" ht="15.75" customHeight="1">
      <c r="A20" s="7">
        <v>1856.0</v>
      </c>
      <c r="B20" s="8" t="s">
        <v>38</v>
      </c>
      <c r="C20" s="9" t="str">
        <f t="shared" si="1"/>
        <v>LP 19_BC-510A_BS VI MS</v>
      </c>
      <c r="D20" s="11" t="s">
        <v>1383</v>
      </c>
      <c r="E20" s="11" t="s">
        <v>1045</v>
      </c>
      <c r="F20" s="10" t="s">
        <v>1384</v>
      </c>
      <c r="G20" s="10" t="s">
        <v>110</v>
      </c>
      <c r="H20" s="27" t="s">
        <v>1385</v>
      </c>
      <c r="I20" s="60">
        <v>0.0</v>
      </c>
      <c r="J20" s="27" t="s">
        <v>1386</v>
      </c>
      <c r="K20" s="60">
        <v>0.0</v>
      </c>
      <c r="L20" s="27" t="s">
        <v>1387</v>
      </c>
      <c r="M20" s="60">
        <v>0.0</v>
      </c>
      <c r="N20" s="27" t="s">
        <v>1388</v>
      </c>
      <c r="O20" s="60">
        <v>0.0</v>
      </c>
      <c r="P20" s="27" t="s">
        <v>1389</v>
      </c>
      <c r="Q20" s="60">
        <v>0.0</v>
      </c>
      <c r="R20" s="27" t="s">
        <v>1390</v>
      </c>
      <c r="S20" s="60">
        <v>0.0</v>
      </c>
      <c r="T20" s="27" t="s">
        <v>1391</v>
      </c>
      <c r="U20" s="60">
        <v>0.0</v>
      </c>
      <c r="V20" s="27" t="s">
        <v>1392</v>
      </c>
      <c r="W20" s="60">
        <v>0.0</v>
      </c>
      <c r="X20" s="91" t="s">
        <v>1393</v>
      </c>
      <c r="Y20" s="60">
        <v>0.0</v>
      </c>
      <c r="Z20" s="27" t="s">
        <v>1394</v>
      </c>
      <c r="AA20" s="60">
        <v>0.0</v>
      </c>
      <c r="AB20" s="27" t="s">
        <v>1395</v>
      </c>
      <c r="AC20" s="60">
        <v>0.0</v>
      </c>
      <c r="AD20" s="27" t="s">
        <v>1396</v>
      </c>
      <c r="AE20" s="60">
        <v>0.0</v>
      </c>
      <c r="AF20" s="27" t="s">
        <v>1397</v>
      </c>
      <c r="AG20" s="60">
        <v>0.0</v>
      </c>
      <c r="AH20" s="27" t="s">
        <v>1398</v>
      </c>
      <c r="AI20" s="60">
        <v>0.0</v>
      </c>
      <c r="AJ20" s="27" t="s">
        <v>1399</v>
      </c>
      <c r="AK20" s="60">
        <v>0.0</v>
      </c>
      <c r="AL20" s="27" t="s">
        <v>1400</v>
      </c>
      <c r="AM20" s="60">
        <v>0.0</v>
      </c>
      <c r="AN20" s="27" t="s">
        <v>1401</v>
      </c>
      <c r="AO20" s="60">
        <v>0.0</v>
      </c>
      <c r="AP20" s="27" t="s">
        <v>1402</v>
      </c>
      <c r="AQ20" s="60">
        <v>0.0</v>
      </c>
      <c r="AR20" s="27" t="s">
        <v>1403</v>
      </c>
      <c r="AS20" s="60">
        <v>0.0</v>
      </c>
    </row>
    <row r="21" ht="15.75" customHeight="1">
      <c r="A21" s="7">
        <v>1856.0</v>
      </c>
      <c r="B21" s="8" t="s">
        <v>38</v>
      </c>
      <c r="C21" s="9" t="str">
        <f t="shared" si="1"/>
        <v>LP 20_BC-510B_BS VI HSD</v>
      </c>
      <c r="D21" s="11" t="s">
        <v>1404</v>
      </c>
      <c r="E21" s="11" t="s">
        <v>1045</v>
      </c>
      <c r="F21" s="10" t="s">
        <v>1405</v>
      </c>
      <c r="G21" s="10" t="s">
        <v>90</v>
      </c>
      <c r="H21" s="27" t="s">
        <v>1406</v>
      </c>
      <c r="I21" s="60">
        <v>0.0</v>
      </c>
      <c r="J21" s="27" t="s">
        <v>1407</v>
      </c>
      <c r="K21" s="60">
        <v>0.0</v>
      </c>
      <c r="L21" s="27"/>
      <c r="M21" s="27"/>
      <c r="N21" s="27" t="s">
        <v>1408</v>
      </c>
      <c r="O21" s="60">
        <v>0.0</v>
      </c>
      <c r="P21" s="27"/>
      <c r="Q21" s="27"/>
      <c r="R21" s="27" t="s">
        <v>1409</v>
      </c>
      <c r="S21" s="60">
        <v>0.0</v>
      </c>
      <c r="T21" s="27"/>
      <c r="U21" s="27"/>
      <c r="V21" s="27" t="s">
        <v>1410</v>
      </c>
      <c r="W21" s="60">
        <v>0.0</v>
      </c>
      <c r="X21" s="91" t="s">
        <v>1411</v>
      </c>
      <c r="Y21" s="60">
        <v>0.0</v>
      </c>
      <c r="Z21" s="27" t="s">
        <v>1412</v>
      </c>
      <c r="AA21" s="60">
        <v>0.0</v>
      </c>
      <c r="AB21" s="27" t="s">
        <v>1413</v>
      </c>
      <c r="AC21" s="60">
        <v>0.0</v>
      </c>
      <c r="AD21" s="27" t="s">
        <v>1414</v>
      </c>
      <c r="AE21" s="60">
        <v>0.0</v>
      </c>
      <c r="AF21" s="27" t="s">
        <v>1415</v>
      </c>
      <c r="AG21" s="60">
        <v>0.0</v>
      </c>
      <c r="AH21" s="27" t="s">
        <v>1416</v>
      </c>
      <c r="AI21" s="60">
        <v>0.0</v>
      </c>
      <c r="AJ21" s="27" t="s">
        <v>1417</v>
      </c>
      <c r="AK21" s="60">
        <v>0.0</v>
      </c>
      <c r="AL21" s="4"/>
      <c r="AM21" s="4"/>
      <c r="AN21" s="27" t="s">
        <v>1418</v>
      </c>
      <c r="AO21" s="60">
        <v>0.0</v>
      </c>
      <c r="AP21" s="27" t="s">
        <v>1419</v>
      </c>
      <c r="AQ21" s="60">
        <v>0.0</v>
      </c>
      <c r="AR21" s="27"/>
      <c r="AS21" s="11"/>
    </row>
    <row r="22" ht="15.75" customHeight="1">
      <c r="A22" s="7">
        <v>1856.0</v>
      </c>
      <c r="B22" s="8" t="s">
        <v>38</v>
      </c>
      <c r="C22" s="9" t="str">
        <f t="shared" si="1"/>
        <v>LP 21_BC-09C_MTO</v>
      </c>
      <c r="D22" s="11" t="s">
        <v>1420</v>
      </c>
      <c r="E22" s="11" t="s">
        <v>1045</v>
      </c>
      <c r="F22" s="10" t="s">
        <v>1421</v>
      </c>
      <c r="G22" s="10" t="s">
        <v>1422</v>
      </c>
      <c r="H22" s="27" t="s">
        <v>1423</v>
      </c>
      <c r="I22" s="60">
        <v>0.0</v>
      </c>
      <c r="J22" s="27" t="s">
        <v>1424</v>
      </c>
      <c r="K22" s="60">
        <v>0.0</v>
      </c>
      <c r="L22" s="27"/>
      <c r="M22" s="27"/>
      <c r="N22" s="27" t="s">
        <v>1425</v>
      </c>
      <c r="O22" s="60">
        <v>0.0</v>
      </c>
      <c r="P22" s="27"/>
      <c r="Q22" s="27"/>
      <c r="R22" s="27" t="s">
        <v>1426</v>
      </c>
      <c r="S22" s="60">
        <v>0.0</v>
      </c>
      <c r="T22" s="27"/>
      <c r="U22" s="27"/>
      <c r="V22" s="27" t="s">
        <v>1427</v>
      </c>
      <c r="W22" s="60">
        <v>0.0</v>
      </c>
      <c r="X22" s="91" t="s">
        <v>1428</v>
      </c>
      <c r="Y22" s="60">
        <v>0.0</v>
      </c>
      <c r="Z22" s="27" t="s">
        <v>1429</v>
      </c>
      <c r="AA22" s="60">
        <v>0.0</v>
      </c>
      <c r="AB22" s="27" t="s">
        <v>1430</v>
      </c>
      <c r="AC22" s="60">
        <v>0.0</v>
      </c>
      <c r="AD22" s="27" t="s">
        <v>1431</v>
      </c>
      <c r="AE22" s="60">
        <v>0.0</v>
      </c>
      <c r="AF22" s="27" t="s">
        <v>1432</v>
      </c>
      <c r="AG22" s="60">
        <v>0.0</v>
      </c>
      <c r="AH22" s="27" t="s">
        <v>1433</v>
      </c>
      <c r="AI22" s="60">
        <v>0.0</v>
      </c>
      <c r="AJ22" s="27" t="s">
        <v>1434</v>
      </c>
      <c r="AK22" s="60">
        <v>0.0</v>
      </c>
      <c r="AL22" s="4"/>
      <c r="AM22" s="4"/>
      <c r="AN22" s="27" t="s">
        <v>1435</v>
      </c>
      <c r="AO22" s="60">
        <v>0.0</v>
      </c>
      <c r="AP22" s="27" t="s">
        <v>1436</v>
      </c>
      <c r="AQ22" s="60">
        <v>0.0</v>
      </c>
      <c r="AR22" s="27"/>
      <c r="AS22" s="11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34"/>
      <c r="AI23" s="34"/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35"/>
      <c r="AI24" s="35"/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35"/>
      <c r="AI25" s="35"/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35"/>
      <c r="AI26" s="35"/>
      <c r="AJ26" s="26"/>
      <c r="AK26" s="26"/>
      <c r="AL26" s="26"/>
      <c r="AM26" s="26"/>
      <c r="AN26" s="26"/>
      <c r="AO26" s="26"/>
      <c r="AP26" s="26"/>
      <c r="AQ26" s="26"/>
      <c r="AR26" s="26"/>
      <c r="AS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35"/>
      <c r="AI27" s="35"/>
      <c r="AJ27" s="26"/>
      <c r="AK27" s="26"/>
      <c r="AL27" s="26"/>
      <c r="AM27" s="26"/>
      <c r="AN27" s="26"/>
      <c r="AO27" s="26"/>
      <c r="AP27" s="26"/>
      <c r="AQ27" s="26"/>
      <c r="AR27" s="26"/>
      <c r="AS27" s="26"/>
    </row>
    <row r="28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35"/>
      <c r="AI28" s="35"/>
      <c r="AJ28" s="26"/>
      <c r="AK28" s="26"/>
      <c r="AL28" s="26"/>
      <c r="AM28" s="26"/>
      <c r="AN28" s="26"/>
      <c r="AO28" s="26"/>
      <c r="AP28" s="26"/>
      <c r="AQ28" s="26"/>
      <c r="AR28" s="26"/>
      <c r="AS28" s="26"/>
    </row>
    <row r="29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35"/>
      <c r="AI29" s="35"/>
      <c r="AJ29" s="26"/>
      <c r="AK29" s="26"/>
      <c r="AL29" s="26"/>
      <c r="AM29" s="26"/>
      <c r="AN29" s="26"/>
      <c r="AO29" s="26"/>
      <c r="AP29" s="26"/>
      <c r="AQ29" s="26"/>
      <c r="AR29" s="26"/>
      <c r="AS29" s="26"/>
    </row>
    <row r="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35"/>
      <c r="AI30" s="35"/>
      <c r="AJ30" s="26"/>
      <c r="AK30" s="26"/>
      <c r="AL30" s="26"/>
      <c r="AM30" s="26"/>
      <c r="AN30" s="26"/>
      <c r="AO30" s="26"/>
      <c r="AP30" s="26"/>
      <c r="AQ30" s="26"/>
      <c r="AR30" s="26"/>
      <c r="AS30" s="26"/>
    </row>
    <row r="31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35"/>
      <c r="AI31" s="35"/>
      <c r="AJ31" s="26"/>
      <c r="AK31" s="26"/>
      <c r="AL31" s="26"/>
      <c r="AM31" s="26"/>
      <c r="AN31" s="26"/>
      <c r="AO31" s="26"/>
      <c r="AP31" s="26"/>
      <c r="AQ31" s="26"/>
      <c r="AR31" s="26"/>
      <c r="AS31" s="26"/>
    </row>
    <row r="32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35"/>
      <c r="AI32" s="35"/>
      <c r="AJ32" s="26"/>
      <c r="AK32" s="26"/>
      <c r="AL32" s="26"/>
      <c r="AM32" s="26"/>
      <c r="AN32" s="26"/>
      <c r="AO32" s="26"/>
      <c r="AP32" s="26"/>
      <c r="AQ32" s="26"/>
      <c r="AR32" s="26"/>
      <c r="AS32" s="26"/>
    </row>
    <row r="33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35"/>
      <c r="AI33" s="35"/>
      <c r="AJ33" s="26"/>
      <c r="AK33" s="26"/>
      <c r="AL33" s="26"/>
      <c r="AM33" s="26"/>
      <c r="AN33" s="26"/>
      <c r="AO33" s="26"/>
      <c r="AP33" s="26"/>
      <c r="AQ33" s="26"/>
      <c r="AR33" s="26"/>
      <c r="AS33" s="26"/>
    </row>
    <row r="34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35"/>
      <c r="AI34" s="35"/>
      <c r="AJ34" s="26"/>
      <c r="AK34" s="26"/>
      <c r="AL34" s="26"/>
      <c r="AM34" s="26"/>
      <c r="AN34" s="26"/>
      <c r="AO34" s="26"/>
      <c r="AP34" s="26"/>
      <c r="AQ34" s="26"/>
      <c r="AR34" s="26"/>
      <c r="AS34" s="26"/>
    </row>
    <row r="35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35"/>
      <c r="AI35" s="35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35"/>
      <c r="AI36" s="35"/>
      <c r="AJ36" s="26"/>
      <c r="AK36" s="26"/>
      <c r="AL36" s="26"/>
      <c r="AM36" s="26"/>
      <c r="AN36" s="26"/>
      <c r="AO36" s="26"/>
      <c r="AP36" s="26"/>
      <c r="AQ36" s="26"/>
      <c r="AR36" s="26"/>
      <c r="AS36" s="26"/>
    </row>
    <row r="37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35"/>
      <c r="AI37" s="35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35"/>
      <c r="AI38" s="35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35"/>
      <c r="AI39" s="35"/>
      <c r="AJ39" s="26"/>
      <c r="AK39" s="26"/>
      <c r="AL39" s="26"/>
      <c r="AM39" s="26"/>
      <c r="AN39" s="26"/>
      <c r="AO39" s="26"/>
      <c r="AP39" s="26"/>
      <c r="AQ39" s="26"/>
      <c r="AR39" s="26"/>
      <c r="AS39" s="26"/>
    </row>
    <row r="4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35"/>
      <c r="AI40" s="35"/>
      <c r="AJ40" s="26"/>
      <c r="AK40" s="26"/>
      <c r="AL40" s="26"/>
      <c r="AM40" s="26"/>
      <c r="AN40" s="26"/>
      <c r="AO40" s="26"/>
      <c r="AP40" s="26"/>
      <c r="AQ40" s="26"/>
      <c r="AR40" s="26"/>
      <c r="AS40" s="26"/>
    </row>
    <row r="41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35"/>
      <c r="AI41" s="35"/>
      <c r="AJ41" s="26"/>
      <c r="AK41" s="26"/>
      <c r="AL41" s="26"/>
      <c r="AM41" s="26"/>
      <c r="AN41" s="26"/>
      <c r="AO41" s="26"/>
      <c r="AP41" s="26"/>
      <c r="AQ41" s="26"/>
      <c r="AR41" s="26"/>
      <c r="AS41" s="26"/>
    </row>
    <row r="42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35"/>
      <c r="AI42" s="35"/>
      <c r="AJ42" s="26"/>
      <c r="AK42" s="26"/>
      <c r="AL42" s="26"/>
      <c r="AM42" s="26"/>
      <c r="AN42" s="26"/>
      <c r="AO42" s="26"/>
      <c r="AP42" s="26"/>
      <c r="AQ42" s="26"/>
      <c r="AR42" s="26"/>
      <c r="AS42" s="26"/>
    </row>
    <row r="43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35"/>
      <c r="AI43" s="35"/>
      <c r="AJ43" s="26"/>
      <c r="AK43" s="26"/>
      <c r="AL43" s="26"/>
      <c r="AM43" s="26"/>
      <c r="AN43" s="26"/>
      <c r="AO43" s="26"/>
      <c r="AP43" s="26"/>
      <c r="AQ43" s="26"/>
      <c r="AR43" s="26"/>
      <c r="AS43" s="26"/>
    </row>
    <row r="44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35"/>
      <c r="AI44" s="35"/>
      <c r="AJ44" s="26"/>
      <c r="AK44" s="26"/>
      <c r="AL44" s="26"/>
      <c r="AM44" s="26"/>
      <c r="AN44" s="26"/>
      <c r="AO44" s="26"/>
      <c r="AP44" s="26"/>
      <c r="AQ44" s="26"/>
      <c r="AR44" s="26"/>
      <c r="AS44" s="26"/>
    </row>
    <row r="45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35"/>
      <c r="AI45" s="35"/>
      <c r="AJ45" s="26"/>
      <c r="AK45" s="26"/>
      <c r="AL45" s="26"/>
      <c r="AM45" s="26"/>
      <c r="AN45" s="26"/>
      <c r="AO45" s="26"/>
      <c r="AP45" s="26"/>
      <c r="AQ45" s="26"/>
      <c r="AR45" s="26"/>
      <c r="AS45" s="26"/>
    </row>
    <row r="4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35"/>
      <c r="AI46" s="35"/>
      <c r="AJ46" s="26"/>
      <c r="AK46" s="26"/>
      <c r="AL46" s="26"/>
      <c r="AM46" s="26"/>
      <c r="AN46" s="26"/>
      <c r="AO46" s="26"/>
      <c r="AP46" s="26"/>
      <c r="AQ46" s="26"/>
      <c r="AR46" s="26"/>
      <c r="AS46" s="26"/>
    </row>
    <row r="47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35"/>
      <c r="AI47" s="35"/>
      <c r="AJ47" s="26"/>
      <c r="AK47" s="26"/>
      <c r="AL47" s="26"/>
      <c r="AM47" s="26"/>
      <c r="AN47" s="26"/>
      <c r="AO47" s="26"/>
      <c r="AP47" s="26"/>
      <c r="AQ47" s="26"/>
      <c r="AR47" s="26"/>
      <c r="AS47" s="26"/>
    </row>
    <row r="48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35"/>
      <c r="AI48" s="35"/>
      <c r="AJ48" s="26"/>
      <c r="AK48" s="26"/>
      <c r="AL48" s="26"/>
      <c r="AM48" s="26"/>
      <c r="AN48" s="26"/>
      <c r="AO48" s="26"/>
      <c r="AP48" s="26"/>
      <c r="AQ48" s="26"/>
      <c r="AR48" s="26"/>
      <c r="AS48" s="26"/>
    </row>
    <row r="49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35"/>
      <c r="AI49" s="35"/>
      <c r="AJ49" s="26"/>
      <c r="AK49" s="26"/>
      <c r="AL49" s="26"/>
      <c r="AM49" s="26"/>
      <c r="AN49" s="26"/>
      <c r="AO49" s="26"/>
      <c r="AP49" s="26"/>
      <c r="AQ49" s="26"/>
      <c r="AR49" s="26"/>
      <c r="AS49" s="26"/>
    </row>
    <row r="5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35"/>
      <c r="AI50" s="35"/>
      <c r="AJ50" s="26"/>
      <c r="AK50" s="26"/>
      <c r="AL50" s="26"/>
      <c r="AM50" s="26"/>
      <c r="AN50" s="26"/>
      <c r="AO50" s="26"/>
      <c r="AP50" s="26"/>
      <c r="AQ50" s="26"/>
      <c r="AR50" s="26"/>
      <c r="AS50" s="26"/>
    </row>
    <row r="51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35"/>
      <c r="AI51" s="35"/>
      <c r="AJ51" s="26"/>
      <c r="AK51" s="26"/>
      <c r="AL51" s="26"/>
      <c r="AM51" s="26"/>
      <c r="AN51" s="26"/>
      <c r="AO51" s="26"/>
      <c r="AP51" s="26"/>
      <c r="AQ51" s="26"/>
      <c r="AR51" s="26"/>
      <c r="AS51" s="26"/>
    </row>
    <row r="52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35"/>
      <c r="AI52" s="35"/>
      <c r="AJ52" s="26"/>
      <c r="AK52" s="26"/>
      <c r="AL52" s="26"/>
      <c r="AM52" s="26"/>
      <c r="AN52" s="26"/>
      <c r="AO52" s="26"/>
      <c r="AP52" s="26"/>
      <c r="AQ52" s="26"/>
      <c r="AR52" s="26"/>
      <c r="AS52" s="26"/>
    </row>
    <row r="53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35"/>
      <c r="AI53" s="35"/>
      <c r="AJ53" s="26"/>
      <c r="AK53" s="26"/>
      <c r="AL53" s="26"/>
      <c r="AM53" s="26"/>
      <c r="AN53" s="26"/>
      <c r="AO53" s="26"/>
      <c r="AP53" s="26"/>
      <c r="AQ53" s="26"/>
      <c r="AR53" s="26"/>
      <c r="AS53" s="26"/>
    </row>
    <row r="54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35"/>
      <c r="AI54" s="35"/>
      <c r="AJ54" s="26"/>
      <c r="AK54" s="26"/>
      <c r="AL54" s="26"/>
      <c r="AM54" s="26"/>
      <c r="AN54" s="26"/>
      <c r="AO54" s="26"/>
      <c r="AP54" s="26"/>
      <c r="AQ54" s="26"/>
      <c r="AR54" s="26"/>
      <c r="AS54" s="26"/>
    </row>
    <row r="55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35"/>
      <c r="AI55" s="35"/>
      <c r="AJ55" s="26"/>
      <c r="AK55" s="26"/>
      <c r="AL55" s="26"/>
      <c r="AM55" s="26"/>
      <c r="AN55" s="26"/>
      <c r="AO55" s="26"/>
      <c r="AP55" s="26"/>
      <c r="AQ55" s="26"/>
      <c r="AR55" s="26"/>
      <c r="AS55" s="26"/>
    </row>
    <row r="5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35"/>
      <c r="AI56" s="35"/>
      <c r="AJ56" s="26"/>
      <c r="AK56" s="26"/>
      <c r="AL56" s="26"/>
      <c r="AM56" s="26"/>
      <c r="AN56" s="26"/>
      <c r="AO56" s="26"/>
      <c r="AP56" s="26"/>
      <c r="AQ56" s="26"/>
      <c r="AR56" s="26"/>
      <c r="AS56" s="26"/>
    </row>
    <row r="57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35"/>
      <c r="AI57" s="35"/>
      <c r="AJ57" s="26"/>
      <c r="AK57" s="26"/>
      <c r="AL57" s="26"/>
      <c r="AM57" s="26"/>
      <c r="AN57" s="26"/>
      <c r="AO57" s="26"/>
      <c r="AP57" s="26"/>
      <c r="AQ57" s="26"/>
      <c r="AR57" s="26"/>
      <c r="AS57" s="26"/>
    </row>
    <row r="58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35"/>
      <c r="AI58" s="35"/>
      <c r="AJ58" s="26"/>
      <c r="AK58" s="26"/>
      <c r="AL58" s="26"/>
      <c r="AM58" s="26"/>
      <c r="AN58" s="26"/>
      <c r="AO58" s="26"/>
      <c r="AP58" s="26"/>
      <c r="AQ58" s="26"/>
      <c r="AR58" s="26"/>
      <c r="AS58" s="26"/>
    </row>
    <row r="5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35"/>
      <c r="AI59" s="35"/>
      <c r="AJ59" s="26"/>
      <c r="AK59" s="26"/>
      <c r="AL59" s="26"/>
      <c r="AM59" s="26"/>
      <c r="AN59" s="26"/>
      <c r="AO59" s="26"/>
      <c r="AP59" s="26"/>
      <c r="AQ59" s="26"/>
      <c r="AR59" s="26"/>
      <c r="AS59" s="26"/>
    </row>
    <row r="6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35"/>
      <c r="AI60" s="35"/>
      <c r="AJ60" s="26"/>
      <c r="AK60" s="26"/>
      <c r="AL60" s="26"/>
      <c r="AM60" s="26"/>
      <c r="AN60" s="26"/>
      <c r="AO60" s="26"/>
      <c r="AP60" s="26"/>
      <c r="AQ60" s="26"/>
      <c r="AR60" s="26"/>
      <c r="AS60" s="26"/>
    </row>
    <row r="61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35"/>
      <c r="AI61" s="35"/>
      <c r="AJ61" s="26"/>
      <c r="AK61" s="26"/>
      <c r="AL61" s="26"/>
      <c r="AM61" s="26"/>
      <c r="AN61" s="26"/>
      <c r="AO61" s="26"/>
      <c r="AP61" s="26"/>
      <c r="AQ61" s="26"/>
      <c r="AR61" s="26"/>
      <c r="AS61" s="26"/>
    </row>
    <row r="62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35"/>
      <c r="AI62" s="35"/>
      <c r="AJ62" s="26"/>
      <c r="AK62" s="26"/>
      <c r="AL62" s="26"/>
      <c r="AM62" s="26"/>
      <c r="AN62" s="26"/>
      <c r="AO62" s="26"/>
      <c r="AP62" s="26"/>
      <c r="AQ62" s="26"/>
      <c r="AR62" s="26"/>
      <c r="AS62" s="26"/>
    </row>
    <row r="63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35"/>
      <c r="AI63" s="35"/>
      <c r="AJ63" s="26"/>
      <c r="AK63" s="26"/>
      <c r="AL63" s="26"/>
      <c r="AM63" s="26"/>
      <c r="AN63" s="26"/>
      <c r="AO63" s="26"/>
      <c r="AP63" s="26"/>
      <c r="AQ63" s="26"/>
      <c r="AR63" s="26"/>
      <c r="AS63" s="26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35"/>
      <c r="AI64" s="35"/>
      <c r="AJ64" s="26"/>
      <c r="AK64" s="26"/>
      <c r="AL64" s="26"/>
      <c r="AM64" s="26"/>
      <c r="AN64" s="26"/>
      <c r="AO64" s="26"/>
      <c r="AP64" s="26"/>
      <c r="AQ64" s="26"/>
      <c r="AR64" s="26"/>
      <c r="AS64" s="26"/>
    </row>
    <row r="65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35"/>
      <c r="AI65" s="35"/>
      <c r="AJ65" s="26"/>
      <c r="AK65" s="26"/>
      <c r="AL65" s="26"/>
      <c r="AM65" s="26"/>
      <c r="AN65" s="26"/>
      <c r="AO65" s="26"/>
      <c r="AP65" s="26"/>
      <c r="AQ65" s="26"/>
      <c r="AR65" s="26"/>
      <c r="AS65" s="26"/>
    </row>
    <row r="6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35"/>
      <c r="AI66" s="35"/>
      <c r="AJ66" s="26"/>
      <c r="AK66" s="26"/>
      <c r="AL66" s="26"/>
      <c r="AM66" s="26"/>
      <c r="AN66" s="26"/>
      <c r="AO66" s="26"/>
      <c r="AP66" s="26"/>
      <c r="AQ66" s="26"/>
      <c r="AR66" s="26"/>
      <c r="AS66" s="26"/>
    </row>
    <row r="67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35"/>
      <c r="AI67" s="35"/>
      <c r="AJ67" s="26"/>
      <c r="AK67" s="26"/>
      <c r="AL67" s="26"/>
      <c r="AM67" s="26"/>
      <c r="AN67" s="26"/>
      <c r="AO67" s="26"/>
      <c r="AP67" s="26"/>
      <c r="AQ67" s="26"/>
      <c r="AR67" s="26"/>
      <c r="AS67" s="26"/>
    </row>
    <row r="68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35"/>
      <c r="AI68" s="35"/>
      <c r="AJ68" s="26"/>
      <c r="AK68" s="26"/>
      <c r="AL68" s="26"/>
      <c r="AM68" s="26"/>
      <c r="AN68" s="26"/>
      <c r="AO68" s="26"/>
      <c r="AP68" s="26"/>
      <c r="AQ68" s="26"/>
      <c r="AR68" s="26"/>
      <c r="AS68" s="26"/>
    </row>
    <row r="6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35"/>
      <c r="AI69" s="35"/>
      <c r="AJ69" s="26"/>
      <c r="AK69" s="26"/>
      <c r="AL69" s="26"/>
      <c r="AM69" s="26"/>
      <c r="AN69" s="26"/>
      <c r="AO69" s="26"/>
      <c r="AP69" s="26"/>
      <c r="AQ69" s="26"/>
      <c r="AR69" s="26"/>
      <c r="AS69" s="26"/>
    </row>
    <row r="7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35"/>
      <c r="AI70" s="35"/>
      <c r="AJ70" s="26"/>
      <c r="AK70" s="26"/>
      <c r="AL70" s="26"/>
      <c r="AM70" s="26"/>
      <c r="AN70" s="26"/>
      <c r="AO70" s="26"/>
      <c r="AP70" s="26"/>
      <c r="AQ70" s="26"/>
      <c r="AR70" s="26"/>
      <c r="AS70" s="26"/>
    </row>
    <row r="71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35"/>
      <c r="AI71" s="35"/>
      <c r="AJ71" s="26"/>
      <c r="AK71" s="26"/>
      <c r="AL71" s="26"/>
      <c r="AM71" s="26"/>
      <c r="AN71" s="26"/>
      <c r="AO71" s="26"/>
      <c r="AP71" s="26"/>
      <c r="AQ71" s="26"/>
      <c r="AR71" s="26"/>
      <c r="AS71" s="26"/>
    </row>
    <row r="72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35"/>
      <c r="AI72" s="35"/>
      <c r="AJ72" s="26"/>
      <c r="AK72" s="26"/>
      <c r="AL72" s="26"/>
      <c r="AM72" s="26"/>
      <c r="AN72" s="26"/>
      <c r="AO72" s="26"/>
      <c r="AP72" s="26"/>
      <c r="AQ72" s="26"/>
      <c r="AR72" s="26"/>
      <c r="AS72" s="26"/>
    </row>
    <row r="73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35"/>
      <c r="AI73" s="35"/>
      <c r="AJ73" s="26"/>
      <c r="AK73" s="26"/>
      <c r="AL73" s="26"/>
      <c r="AM73" s="26"/>
      <c r="AN73" s="26"/>
      <c r="AO73" s="26"/>
      <c r="AP73" s="26"/>
      <c r="AQ73" s="26"/>
      <c r="AR73" s="26"/>
      <c r="AS73" s="26"/>
    </row>
    <row r="74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35"/>
      <c r="AI74" s="35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35"/>
      <c r="AI75" s="35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35"/>
      <c r="AI76" s="35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35"/>
      <c r="AI77" s="35"/>
      <c r="AJ77" s="26"/>
      <c r="AK77" s="26"/>
      <c r="AL77" s="26"/>
      <c r="AM77" s="26"/>
      <c r="AN77" s="26"/>
      <c r="AO77" s="26"/>
      <c r="AP77" s="26"/>
      <c r="AQ77" s="26"/>
      <c r="AR77" s="26"/>
      <c r="AS77" s="26"/>
    </row>
    <row r="78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35"/>
      <c r="AI78" s="35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35"/>
      <c r="AI79" s="35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35"/>
      <c r="AI80" s="35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35"/>
      <c r="AI81" s="35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35"/>
      <c r="AI82" s="35"/>
      <c r="AJ82" s="26"/>
      <c r="AK82" s="26"/>
      <c r="AL82" s="26"/>
      <c r="AM82" s="26"/>
      <c r="AN82" s="26"/>
      <c r="AO82" s="26"/>
      <c r="AP82" s="26"/>
      <c r="AQ82" s="26"/>
      <c r="AR82" s="26"/>
      <c r="AS82" s="26"/>
    </row>
    <row r="83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35"/>
      <c r="AI83" s="35"/>
      <c r="AJ83" s="26"/>
      <c r="AK83" s="26"/>
      <c r="AL83" s="26"/>
      <c r="AM83" s="26"/>
      <c r="AN83" s="26"/>
      <c r="AO83" s="26"/>
      <c r="AP83" s="26"/>
      <c r="AQ83" s="26"/>
      <c r="AR83" s="26"/>
      <c r="AS83" s="26"/>
    </row>
    <row r="84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35"/>
      <c r="AI84" s="35"/>
      <c r="AJ84" s="26"/>
      <c r="AK84" s="26"/>
      <c r="AL84" s="26"/>
      <c r="AM84" s="26"/>
      <c r="AN84" s="26"/>
      <c r="AO84" s="26"/>
      <c r="AP84" s="26"/>
      <c r="AQ84" s="26"/>
      <c r="AR84" s="26"/>
      <c r="AS84" s="26"/>
    </row>
    <row r="85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35"/>
      <c r="AI85" s="35"/>
      <c r="AJ85" s="26"/>
      <c r="AK85" s="26"/>
      <c r="AL85" s="26"/>
      <c r="AM85" s="26"/>
      <c r="AN85" s="26"/>
      <c r="AO85" s="26"/>
      <c r="AP85" s="26"/>
      <c r="AQ85" s="26"/>
      <c r="AR85" s="26"/>
      <c r="AS85" s="26"/>
    </row>
    <row r="8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35"/>
      <c r="AI86" s="35"/>
      <c r="AJ86" s="26"/>
      <c r="AK86" s="26"/>
      <c r="AL86" s="26"/>
      <c r="AM86" s="26"/>
      <c r="AN86" s="26"/>
      <c r="AO86" s="26"/>
      <c r="AP86" s="26"/>
      <c r="AQ86" s="26"/>
      <c r="AR86" s="26"/>
      <c r="AS86" s="26"/>
    </row>
    <row r="87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35"/>
      <c r="AI87" s="35"/>
      <c r="AJ87" s="26"/>
      <c r="AK87" s="26"/>
      <c r="AL87" s="26"/>
      <c r="AM87" s="26"/>
      <c r="AN87" s="26"/>
      <c r="AO87" s="26"/>
      <c r="AP87" s="26"/>
      <c r="AQ87" s="26"/>
      <c r="AR87" s="26"/>
      <c r="AS87" s="26"/>
    </row>
    <row r="88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35"/>
      <c r="AI88" s="35"/>
      <c r="AJ88" s="26"/>
      <c r="AK88" s="26"/>
      <c r="AL88" s="26"/>
      <c r="AM88" s="26"/>
      <c r="AN88" s="26"/>
      <c r="AO88" s="26"/>
      <c r="AP88" s="26"/>
      <c r="AQ88" s="26"/>
      <c r="AR88" s="26"/>
      <c r="AS88" s="26"/>
    </row>
    <row r="8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35"/>
      <c r="AI89" s="35"/>
      <c r="AJ89" s="26"/>
      <c r="AK89" s="26"/>
      <c r="AL89" s="26"/>
      <c r="AM89" s="26"/>
      <c r="AN89" s="26"/>
      <c r="AO89" s="26"/>
      <c r="AP89" s="26"/>
      <c r="AQ89" s="26"/>
      <c r="AR89" s="26"/>
      <c r="AS89" s="26"/>
    </row>
    <row r="9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35"/>
      <c r="AI90" s="35"/>
      <c r="AJ90" s="26"/>
      <c r="AK90" s="26"/>
      <c r="AL90" s="26"/>
      <c r="AM90" s="26"/>
      <c r="AN90" s="26"/>
      <c r="AO90" s="26"/>
      <c r="AP90" s="26"/>
      <c r="AQ90" s="26"/>
      <c r="AR90" s="26"/>
      <c r="AS90" s="26"/>
    </row>
    <row r="91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35"/>
      <c r="AI91" s="35"/>
      <c r="AJ91" s="26"/>
      <c r="AK91" s="26"/>
      <c r="AL91" s="26"/>
      <c r="AM91" s="26"/>
      <c r="AN91" s="26"/>
      <c r="AO91" s="26"/>
      <c r="AP91" s="26"/>
      <c r="AQ91" s="26"/>
      <c r="AR91" s="26"/>
      <c r="AS91" s="26"/>
    </row>
    <row r="92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35"/>
      <c r="AI92" s="35"/>
      <c r="AJ92" s="26"/>
      <c r="AK92" s="26"/>
      <c r="AL92" s="26"/>
      <c r="AM92" s="26"/>
      <c r="AN92" s="26"/>
      <c r="AO92" s="26"/>
      <c r="AP92" s="26"/>
      <c r="AQ92" s="26"/>
      <c r="AR92" s="26"/>
      <c r="AS92" s="26"/>
    </row>
    <row r="93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35"/>
      <c r="AI93" s="35"/>
      <c r="AJ93" s="26"/>
      <c r="AK93" s="26"/>
      <c r="AL93" s="26"/>
      <c r="AM93" s="26"/>
      <c r="AN93" s="26"/>
      <c r="AO93" s="26"/>
      <c r="AP93" s="26"/>
      <c r="AQ93" s="26"/>
      <c r="AR93" s="26"/>
      <c r="AS93" s="26"/>
    </row>
    <row r="94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35"/>
      <c r="AI94" s="35"/>
      <c r="AJ94" s="26"/>
      <c r="AK94" s="26"/>
      <c r="AL94" s="26"/>
      <c r="AM94" s="26"/>
      <c r="AN94" s="26"/>
      <c r="AO94" s="26"/>
      <c r="AP94" s="26"/>
      <c r="AQ94" s="26"/>
      <c r="AR94" s="26"/>
      <c r="AS94" s="26"/>
    </row>
    <row r="95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35"/>
      <c r="AI95" s="35"/>
      <c r="AJ95" s="26"/>
      <c r="AK95" s="26"/>
      <c r="AL95" s="26"/>
      <c r="AM95" s="26"/>
      <c r="AN95" s="26"/>
      <c r="AO95" s="26"/>
      <c r="AP95" s="26"/>
      <c r="AQ95" s="26"/>
      <c r="AR95" s="26"/>
      <c r="AS95" s="26"/>
    </row>
    <row r="9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35"/>
      <c r="AI96" s="35"/>
      <c r="AJ96" s="26"/>
      <c r="AK96" s="26"/>
      <c r="AL96" s="26"/>
      <c r="AM96" s="26"/>
      <c r="AN96" s="26"/>
      <c r="AO96" s="26"/>
      <c r="AP96" s="26"/>
      <c r="AQ96" s="26"/>
      <c r="AR96" s="26"/>
      <c r="AS96" s="26"/>
    </row>
    <row r="97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35"/>
      <c r="AI97" s="35"/>
      <c r="AJ97" s="26"/>
      <c r="AK97" s="26"/>
      <c r="AL97" s="26"/>
      <c r="AM97" s="26"/>
      <c r="AN97" s="26"/>
      <c r="AO97" s="26"/>
      <c r="AP97" s="26"/>
      <c r="AQ97" s="26"/>
      <c r="AR97" s="26"/>
      <c r="AS97" s="26"/>
    </row>
    <row r="98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35"/>
      <c r="AI98" s="35"/>
      <c r="AJ98" s="26"/>
      <c r="AK98" s="26"/>
      <c r="AL98" s="26"/>
      <c r="AM98" s="26"/>
      <c r="AN98" s="26"/>
      <c r="AO98" s="26"/>
      <c r="AP98" s="26"/>
      <c r="AQ98" s="26"/>
      <c r="AR98" s="26"/>
      <c r="AS98" s="26"/>
    </row>
    <row r="9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35"/>
      <c r="AI99" s="35"/>
      <c r="AJ99" s="26"/>
      <c r="AK99" s="26"/>
      <c r="AL99" s="26"/>
      <c r="AM99" s="26"/>
      <c r="AN99" s="26"/>
      <c r="AO99" s="26"/>
      <c r="AP99" s="26"/>
      <c r="AQ99" s="26"/>
      <c r="AR99" s="26"/>
      <c r="AS99" s="26"/>
    </row>
    <row r="10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35"/>
      <c r="AI100" s="35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</row>
    <row r="101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35"/>
      <c r="AI101" s="35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</row>
    <row r="102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35"/>
      <c r="AI102" s="35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</row>
    <row r="103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35"/>
      <c r="AI103" s="35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</row>
    <row r="104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35"/>
      <c r="AI104" s="35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</row>
    <row r="105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35"/>
      <c r="AI105" s="35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</row>
    <row r="10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35"/>
      <c r="AI106" s="35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</row>
    <row r="107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35"/>
      <c r="AI107" s="35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</row>
    <row r="108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35"/>
      <c r="AI108" s="35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</row>
    <row r="10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35"/>
      <c r="AI109" s="35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</row>
    <row r="11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35"/>
      <c r="AI110" s="35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</row>
    <row r="111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35"/>
      <c r="AI111" s="35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</row>
    <row r="112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35"/>
      <c r="AI112" s="35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</row>
    <row r="113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35"/>
      <c r="AI113" s="35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</row>
    <row r="114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35"/>
      <c r="AI114" s="35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</row>
    <row r="115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35"/>
      <c r="AI115" s="35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</row>
    <row r="11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35"/>
      <c r="AI116" s="35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</row>
    <row r="117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35"/>
      <c r="AI117" s="35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</row>
    <row r="118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35"/>
      <c r="AI118" s="35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</row>
    <row r="11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35"/>
      <c r="AI119" s="35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</row>
    <row r="12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35"/>
      <c r="AI120" s="35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</row>
    <row r="121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35"/>
      <c r="AI121" s="35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</row>
    <row r="122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35"/>
      <c r="AI122" s="35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</row>
    <row r="123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35"/>
      <c r="AI123" s="35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</row>
    <row r="124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35"/>
      <c r="AI124" s="35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</row>
    <row r="125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35"/>
      <c r="AI125" s="35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</row>
    <row r="1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35"/>
      <c r="AI126" s="35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</row>
    <row r="127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35"/>
      <c r="AI127" s="35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</row>
    <row r="128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35"/>
      <c r="AI128" s="35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</row>
    <row r="1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35"/>
      <c r="AI129" s="35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</row>
    <row r="1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35"/>
      <c r="AI130" s="35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</row>
    <row r="131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35"/>
      <c r="AI131" s="35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</row>
    <row r="132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35"/>
      <c r="AI132" s="35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</row>
    <row r="133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35"/>
      <c r="AI133" s="35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</row>
    <row r="134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35"/>
      <c r="AI134" s="35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</row>
    <row r="135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35"/>
      <c r="AI135" s="35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</row>
    <row r="13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35"/>
      <c r="AI136" s="35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</row>
    <row r="137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35"/>
      <c r="AI137" s="35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</row>
    <row r="138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35"/>
      <c r="AI138" s="35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</row>
    <row r="13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35"/>
      <c r="AI139" s="35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</row>
    <row r="14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35"/>
      <c r="AI140" s="35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</row>
    <row r="141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35"/>
      <c r="AI141" s="35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</row>
    <row r="142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35"/>
      <c r="AI142" s="35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</row>
    <row r="143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35"/>
      <c r="AI143" s="35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</row>
    <row r="144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35"/>
      <c r="AI144" s="35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</row>
    <row r="145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35"/>
      <c r="AI145" s="35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</row>
    <row r="14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35"/>
      <c r="AI146" s="35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</row>
    <row r="147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35"/>
      <c r="AI147" s="35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</row>
    <row r="148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35"/>
      <c r="AI148" s="35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</row>
    <row r="14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35"/>
      <c r="AI149" s="35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</row>
    <row r="15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35"/>
      <c r="AI150" s="35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</row>
    <row r="151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35"/>
      <c r="AI151" s="35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</row>
    <row r="152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35"/>
      <c r="AI152" s="35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</row>
    <row r="153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35"/>
      <c r="AI153" s="35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</row>
    <row r="154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35"/>
      <c r="AI154" s="35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</row>
    <row r="155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35"/>
      <c r="AI155" s="35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</row>
    <row r="15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35"/>
      <c r="AI156" s="35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</row>
    <row r="157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35"/>
      <c r="AI157" s="35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</row>
    <row r="158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35"/>
      <c r="AI158" s="35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</row>
    <row r="15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35"/>
      <c r="AI159" s="35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</row>
    <row r="16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35"/>
      <c r="AI160" s="35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</row>
    <row r="161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35"/>
      <c r="AI161" s="35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</row>
    <row r="162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35"/>
      <c r="AI162" s="35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</row>
    <row r="163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35"/>
      <c r="AI163" s="35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</row>
    <row r="164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35"/>
      <c r="AI164" s="35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</row>
    <row r="165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35"/>
      <c r="AI165" s="35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</row>
    <row r="16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35"/>
      <c r="AI166" s="35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</row>
    <row r="167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35"/>
      <c r="AI167" s="35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</row>
    <row r="168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35"/>
      <c r="AI168" s="35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</row>
    <row r="16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35"/>
      <c r="AI169" s="35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</row>
    <row r="17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35"/>
      <c r="AI170" s="35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</row>
    <row r="171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35"/>
      <c r="AI171" s="35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</row>
    <row r="172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35"/>
      <c r="AI172" s="35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</row>
    <row r="173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35"/>
      <c r="AI173" s="35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</row>
    <row r="174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35"/>
      <c r="AI174" s="35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</row>
    <row r="175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35"/>
      <c r="AI175" s="35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</row>
    <row r="17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35"/>
      <c r="AI176" s="35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</row>
    <row r="177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35"/>
      <c r="AI177" s="35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</row>
    <row r="178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35"/>
      <c r="AI178" s="35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</row>
    <row r="17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35"/>
      <c r="AI179" s="35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</row>
    <row r="18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35"/>
      <c r="AI180" s="35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</row>
    <row r="181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35"/>
      <c r="AI181" s="35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</row>
    <row r="182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35"/>
      <c r="AI182" s="35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</row>
    <row r="183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35"/>
      <c r="AI183" s="35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</row>
    <row r="184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35"/>
      <c r="AI184" s="35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</row>
    <row r="185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35"/>
      <c r="AI185" s="35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</row>
    <row r="18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35"/>
      <c r="AI186" s="35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</row>
    <row r="187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35"/>
      <c r="AI187" s="35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</row>
    <row r="188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35"/>
      <c r="AI188" s="35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</row>
    <row r="189" ht="15.75" customHeight="1">
      <c r="AH189" s="35"/>
      <c r="AI189" s="35"/>
    </row>
    <row r="190" ht="15.75" customHeight="1">
      <c r="AH190" s="35"/>
      <c r="AI190" s="35"/>
    </row>
    <row r="191" ht="15.75" customHeight="1">
      <c r="AH191" s="35"/>
      <c r="AI191" s="35"/>
    </row>
    <row r="192" ht="15.75" customHeight="1">
      <c r="AH192" s="35"/>
      <c r="AI192" s="35"/>
    </row>
    <row r="193" ht="15.75" customHeight="1">
      <c r="AH193" s="35"/>
      <c r="AI193" s="35"/>
    </row>
    <row r="194" ht="15.75" customHeight="1">
      <c r="AH194" s="35"/>
      <c r="AI194" s="35"/>
    </row>
    <row r="195" ht="15.75" customHeight="1">
      <c r="AH195" s="35"/>
      <c r="AI195" s="35"/>
    </row>
    <row r="196" ht="15.75" customHeight="1">
      <c r="AH196" s="35"/>
      <c r="AI196" s="35"/>
    </row>
    <row r="197" ht="15.75" customHeight="1">
      <c r="AH197" s="35"/>
      <c r="AI197" s="35"/>
    </row>
    <row r="198" ht="15.75" customHeight="1">
      <c r="AH198" s="35"/>
      <c r="AI198" s="35"/>
    </row>
    <row r="199" ht="15.75" customHeight="1">
      <c r="AH199" s="35"/>
      <c r="AI199" s="35"/>
    </row>
    <row r="200" ht="15.75" customHeight="1">
      <c r="AH200" s="35"/>
      <c r="AI200" s="35"/>
    </row>
    <row r="201" ht="15.75" customHeight="1">
      <c r="AH201" s="35"/>
      <c r="AI201" s="35"/>
    </row>
    <row r="202" ht="15.75" customHeight="1">
      <c r="AH202" s="35"/>
      <c r="AI202" s="35"/>
    </row>
    <row r="203" ht="15.75" customHeight="1">
      <c r="AH203" s="35"/>
      <c r="AI203" s="35"/>
    </row>
    <row r="204" ht="15.75" customHeight="1">
      <c r="AH204" s="35"/>
      <c r="AI204" s="35"/>
    </row>
    <row r="205" ht="15.75" customHeight="1">
      <c r="AH205" s="35"/>
      <c r="AI205" s="35"/>
    </row>
    <row r="206" ht="15.75" customHeight="1">
      <c r="AH206" s="35"/>
      <c r="AI206" s="35"/>
    </row>
    <row r="207" ht="15.75" customHeight="1">
      <c r="AH207" s="35"/>
      <c r="AI207" s="35"/>
    </row>
    <row r="208" ht="15.75" customHeight="1">
      <c r="AH208" s="35"/>
      <c r="AI208" s="35"/>
    </row>
    <row r="209" ht="15.75" customHeight="1">
      <c r="AH209" s="35"/>
      <c r="AI209" s="35"/>
    </row>
    <row r="210" ht="15.75" customHeight="1">
      <c r="AH210" s="35"/>
      <c r="AI210" s="35"/>
    </row>
    <row r="211" ht="15.75" customHeight="1">
      <c r="AH211" s="35"/>
      <c r="AI211" s="35"/>
    </row>
    <row r="212" ht="15.75" customHeight="1">
      <c r="AH212" s="35"/>
      <c r="AI212" s="35"/>
    </row>
    <row r="213" ht="15.75" customHeight="1">
      <c r="AH213" s="35"/>
      <c r="AI213" s="35"/>
    </row>
    <row r="214" ht="15.75" customHeight="1">
      <c r="AH214" s="35"/>
      <c r="AI214" s="35"/>
    </row>
    <row r="215" ht="15.75" customHeight="1">
      <c r="AH215" s="35"/>
      <c r="AI215" s="35"/>
    </row>
    <row r="216" ht="15.75" customHeight="1">
      <c r="AH216" s="35"/>
      <c r="AI216" s="35"/>
    </row>
    <row r="217" ht="15.75" customHeight="1">
      <c r="AH217" s="35"/>
      <c r="AI217" s="35"/>
    </row>
    <row r="218" ht="15.75" customHeight="1">
      <c r="AH218" s="35"/>
      <c r="AI218" s="35"/>
    </row>
    <row r="219" ht="15.75" customHeight="1">
      <c r="AH219" s="35"/>
      <c r="AI219" s="35"/>
    </row>
    <row r="220" ht="15.75" customHeight="1">
      <c r="AH220" s="35"/>
      <c r="AI220" s="35"/>
    </row>
    <row r="221" ht="15.75" customHeight="1">
      <c r="AH221" s="35"/>
      <c r="AI221" s="35"/>
    </row>
    <row r="222" ht="15.75" customHeight="1">
      <c r="AH222" s="35"/>
      <c r="AI222" s="35"/>
    </row>
    <row r="223" ht="15.75" customHeight="1">
      <c r="AH223" s="35"/>
      <c r="AI223" s="35"/>
    </row>
    <row r="224" ht="15.75" customHeight="1">
      <c r="AH224" s="35"/>
      <c r="AI224" s="35"/>
    </row>
    <row r="225" ht="15.75" customHeight="1">
      <c r="AH225" s="35"/>
      <c r="AI225" s="35"/>
    </row>
    <row r="226" ht="15.75" customHeight="1">
      <c r="AH226" s="35"/>
      <c r="AI226" s="35"/>
    </row>
    <row r="227" ht="15.75" customHeight="1">
      <c r="AH227" s="35"/>
      <c r="AI227" s="35"/>
    </row>
    <row r="228" ht="15.75" customHeight="1">
      <c r="AH228" s="35"/>
      <c r="AI228" s="35"/>
    </row>
    <row r="229" ht="15.75" customHeight="1">
      <c r="AH229" s="35"/>
      <c r="AI229" s="35"/>
    </row>
    <row r="230" ht="15.75" customHeight="1">
      <c r="AH230" s="35"/>
      <c r="AI230" s="35"/>
    </row>
    <row r="231" ht="15.75" customHeight="1">
      <c r="AH231" s="35"/>
      <c r="AI231" s="35"/>
    </row>
    <row r="232" ht="15.75" customHeight="1">
      <c r="AH232" s="35"/>
      <c r="AI232" s="35"/>
    </row>
    <row r="233" ht="15.75" customHeight="1">
      <c r="AH233" s="35"/>
      <c r="AI233" s="35"/>
    </row>
    <row r="234" ht="15.75" customHeight="1">
      <c r="AH234" s="35"/>
      <c r="AI234" s="35"/>
    </row>
    <row r="235" ht="15.75" customHeight="1">
      <c r="AH235" s="35"/>
      <c r="AI235" s="35"/>
    </row>
    <row r="236" ht="15.75" customHeight="1">
      <c r="AH236" s="35"/>
      <c r="AI236" s="35"/>
    </row>
    <row r="237" ht="15.75" customHeight="1">
      <c r="AH237" s="35"/>
      <c r="AI237" s="35"/>
    </row>
    <row r="238" ht="15.75" customHeight="1">
      <c r="AH238" s="35"/>
      <c r="AI238" s="35"/>
    </row>
    <row r="239" ht="15.75" customHeight="1">
      <c r="AH239" s="35"/>
      <c r="AI239" s="35"/>
    </row>
    <row r="240" ht="15.75" customHeight="1">
      <c r="AH240" s="35"/>
      <c r="AI240" s="35"/>
    </row>
    <row r="241" ht="15.75" customHeight="1">
      <c r="AH241" s="35"/>
      <c r="AI241" s="35"/>
    </row>
    <row r="242" ht="15.75" customHeight="1">
      <c r="AH242" s="35"/>
      <c r="AI242" s="35"/>
    </row>
    <row r="243" ht="15.75" customHeight="1">
      <c r="AH243" s="35"/>
      <c r="AI243" s="35"/>
    </row>
    <row r="244" ht="15.75" customHeight="1">
      <c r="AH244" s="35"/>
      <c r="AI244" s="35"/>
    </row>
    <row r="245" ht="15.75" customHeight="1">
      <c r="AH245" s="35"/>
      <c r="AI245" s="35"/>
    </row>
    <row r="246" ht="15.75" customHeight="1">
      <c r="AH246" s="35"/>
      <c r="AI246" s="35"/>
    </row>
    <row r="247" ht="15.75" customHeight="1">
      <c r="AH247" s="35"/>
      <c r="AI247" s="35"/>
    </row>
    <row r="248" ht="15.75" customHeight="1">
      <c r="AH248" s="35"/>
      <c r="AI248" s="35"/>
    </row>
    <row r="249" ht="15.75" customHeight="1">
      <c r="AH249" s="35"/>
      <c r="AI249" s="35"/>
    </row>
    <row r="250" ht="15.75" customHeight="1">
      <c r="AH250" s="35"/>
      <c r="AI250" s="35"/>
    </row>
    <row r="251" ht="15.75" customHeight="1">
      <c r="AH251" s="35"/>
      <c r="AI251" s="35"/>
    </row>
    <row r="252" ht="15.75" customHeight="1">
      <c r="AH252" s="35"/>
      <c r="AI252" s="35"/>
    </row>
    <row r="253" ht="15.75" customHeight="1">
      <c r="AH253" s="35"/>
      <c r="AI253" s="35"/>
    </row>
    <row r="254" ht="15.75" customHeight="1">
      <c r="AH254" s="35"/>
      <c r="AI254" s="35"/>
    </row>
    <row r="255" ht="15.75" customHeight="1">
      <c r="AH255" s="35"/>
      <c r="AI255" s="35"/>
    </row>
    <row r="256" ht="15.75" customHeight="1">
      <c r="AH256" s="35"/>
      <c r="AI256" s="35"/>
    </row>
    <row r="257" ht="15.75" customHeight="1">
      <c r="AH257" s="35"/>
      <c r="AI257" s="35"/>
    </row>
    <row r="258" ht="15.75" customHeight="1">
      <c r="AH258" s="35"/>
      <c r="AI258" s="35"/>
    </row>
    <row r="259" ht="15.75" customHeight="1">
      <c r="AH259" s="35"/>
      <c r="AI259" s="35"/>
    </row>
    <row r="260" ht="15.75" customHeight="1">
      <c r="AH260" s="35"/>
      <c r="AI260" s="35"/>
    </row>
    <row r="261" ht="15.75" customHeight="1">
      <c r="AH261" s="35"/>
      <c r="AI261" s="35"/>
    </row>
    <row r="262" ht="15.75" customHeight="1">
      <c r="AH262" s="35"/>
      <c r="AI262" s="35"/>
    </row>
    <row r="263" ht="15.75" customHeight="1">
      <c r="AH263" s="35"/>
      <c r="AI263" s="35"/>
    </row>
    <row r="264" ht="15.75" customHeight="1">
      <c r="AH264" s="35"/>
      <c r="AI264" s="35"/>
    </row>
    <row r="265" ht="15.75" customHeight="1">
      <c r="AH265" s="35"/>
      <c r="AI265" s="35"/>
    </row>
    <row r="266" ht="15.75" customHeight="1">
      <c r="AH266" s="35"/>
      <c r="AI266" s="35"/>
    </row>
    <row r="267" ht="15.75" customHeight="1">
      <c r="AH267" s="35"/>
      <c r="AI267" s="35"/>
    </row>
    <row r="268" ht="15.75" customHeight="1">
      <c r="AH268" s="35"/>
      <c r="AI268" s="35"/>
    </row>
    <row r="269" ht="15.75" customHeight="1">
      <c r="AH269" s="35"/>
      <c r="AI269" s="35"/>
    </row>
    <row r="270" ht="15.75" customHeight="1">
      <c r="AH270" s="35"/>
      <c r="AI270" s="35"/>
    </row>
    <row r="271" ht="15.75" customHeight="1">
      <c r="AH271" s="35"/>
      <c r="AI271" s="35"/>
    </row>
    <row r="272" ht="15.75" customHeight="1">
      <c r="AH272" s="35"/>
      <c r="AI272" s="35"/>
    </row>
    <row r="273" ht="15.75" customHeight="1">
      <c r="AH273" s="35"/>
      <c r="AI273" s="35"/>
    </row>
    <row r="274" ht="15.75" customHeight="1">
      <c r="AH274" s="35"/>
      <c r="AI274" s="35"/>
    </row>
    <row r="275" ht="15.75" customHeight="1">
      <c r="AH275" s="35"/>
      <c r="AI275" s="35"/>
    </row>
    <row r="276" ht="15.75" customHeight="1">
      <c r="AH276" s="35"/>
      <c r="AI276" s="35"/>
    </row>
    <row r="277" ht="15.75" customHeight="1">
      <c r="AH277" s="35"/>
      <c r="AI277" s="35"/>
    </row>
    <row r="278" ht="15.75" customHeight="1">
      <c r="AH278" s="35"/>
      <c r="AI278" s="35"/>
    </row>
    <row r="279" ht="15.75" customHeight="1">
      <c r="AH279" s="35"/>
      <c r="AI279" s="35"/>
    </row>
    <row r="280" ht="15.75" customHeight="1">
      <c r="AH280" s="35"/>
      <c r="AI280" s="35"/>
    </row>
    <row r="281" ht="15.75" customHeight="1">
      <c r="AH281" s="35"/>
      <c r="AI281" s="35"/>
    </row>
    <row r="282" ht="15.75" customHeight="1">
      <c r="AH282" s="35"/>
      <c r="AI282" s="35"/>
    </row>
    <row r="283" ht="15.75" customHeight="1">
      <c r="AH283" s="35"/>
      <c r="AI283" s="35"/>
    </row>
    <row r="284" ht="15.75" customHeight="1">
      <c r="AH284" s="35"/>
      <c r="AI284" s="35"/>
    </row>
    <row r="285" ht="15.75" customHeight="1">
      <c r="AH285" s="35"/>
      <c r="AI285" s="35"/>
    </row>
    <row r="286" ht="15.75" customHeight="1">
      <c r="AH286" s="35"/>
      <c r="AI286" s="35"/>
    </row>
    <row r="287" ht="15.75" customHeight="1">
      <c r="AH287" s="35"/>
      <c r="AI287" s="35"/>
    </row>
    <row r="288" ht="15.75" customHeight="1">
      <c r="AH288" s="35"/>
      <c r="AI288" s="35"/>
    </row>
    <row r="289" ht="15.75" customHeight="1">
      <c r="AH289" s="35"/>
      <c r="AI289" s="35"/>
    </row>
    <row r="290" ht="15.75" customHeight="1">
      <c r="AH290" s="35"/>
      <c r="AI290" s="35"/>
    </row>
    <row r="291" ht="15.75" customHeight="1">
      <c r="AH291" s="35"/>
      <c r="AI291" s="35"/>
    </row>
    <row r="292" ht="15.75" customHeight="1">
      <c r="AH292" s="35"/>
      <c r="AI292" s="35"/>
    </row>
    <row r="293" ht="15.75" customHeight="1">
      <c r="AH293" s="35"/>
      <c r="AI293" s="35"/>
    </row>
    <row r="294" ht="15.75" customHeight="1">
      <c r="AH294" s="35"/>
      <c r="AI294" s="35"/>
    </row>
    <row r="295" ht="15.75" customHeight="1">
      <c r="AH295" s="35"/>
      <c r="AI295" s="35"/>
    </row>
    <row r="296" ht="15.75" customHeight="1">
      <c r="AH296" s="35"/>
      <c r="AI296" s="35"/>
    </row>
    <row r="297" ht="15.75" customHeight="1">
      <c r="AH297" s="35"/>
      <c r="AI297" s="35"/>
    </row>
    <row r="298" ht="15.75" customHeight="1">
      <c r="AH298" s="35"/>
      <c r="AI298" s="35"/>
    </row>
    <row r="299" ht="15.75" customHeight="1">
      <c r="AH299" s="35"/>
      <c r="AI299" s="35"/>
    </row>
    <row r="300" ht="15.75" customHeight="1">
      <c r="AH300" s="35"/>
      <c r="AI300" s="35"/>
    </row>
    <row r="301" ht="15.75" customHeight="1">
      <c r="AH301" s="35"/>
      <c r="AI301" s="35"/>
    </row>
    <row r="302" ht="15.75" customHeight="1">
      <c r="AH302" s="35"/>
      <c r="AI302" s="35"/>
    </row>
    <row r="303" ht="15.75" customHeight="1">
      <c r="AH303" s="35"/>
      <c r="AI303" s="35"/>
    </row>
    <row r="304" ht="15.75" customHeight="1">
      <c r="AH304" s="35"/>
      <c r="AI304" s="35"/>
    </row>
    <row r="305" ht="15.75" customHeight="1">
      <c r="AH305" s="35"/>
      <c r="AI305" s="35"/>
    </row>
    <row r="306" ht="15.75" customHeight="1">
      <c r="AH306" s="35"/>
      <c r="AI306" s="35"/>
    </row>
    <row r="307" ht="15.75" customHeight="1">
      <c r="AH307" s="35"/>
      <c r="AI307" s="35"/>
    </row>
    <row r="308" ht="15.75" customHeight="1">
      <c r="AH308" s="35"/>
      <c r="AI308" s="35"/>
    </row>
    <row r="309" ht="15.75" customHeight="1">
      <c r="AH309" s="35"/>
      <c r="AI309" s="35"/>
    </row>
    <row r="310" ht="15.75" customHeight="1">
      <c r="AH310" s="35"/>
      <c r="AI310" s="35"/>
    </row>
    <row r="311" ht="15.75" customHeight="1">
      <c r="AH311" s="35"/>
      <c r="AI311" s="35"/>
    </row>
    <row r="312" ht="15.75" customHeight="1">
      <c r="AH312" s="35"/>
      <c r="AI312" s="35"/>
    </row>
    <row r="313" ht="15.75" customHeight="1">
      <c r="AH313" s="35"/>
      <c r="AI313" s="35"/>
    </row>
    <row r="314" ht="15.75" customHeight="1">
      <c r="AH314" s="35"/>
      <c r="AI314" s="35"/>
    </row>
    <row r="315" ht="15.75" customHeight="1">
      <c r="AH315" s="35"/>
      <c r="AI315" s="35"/>
    </row>
    <row r="316" ht="15.75" customHeight="1">
      <c r="AH316" s="35"/>
      <c r="AI316" s="35"/>
    </row>
    <row r="317" ht="15.75" customHeight="1">
      <c r="AH317" s="35"/>
      <c r="AI317" s="35"/>
    </row>
    <row r="318" ht="15.75" customHeight="1">
      <c r="AH318" s="35"/>
      <c r="AI318" s="35"/>
    </row>
    <row r="319" ht="15.75" customHeight="1">
      <c r="AH319" s="35"/>
      <c r="AI319" s="35"/>
    </row>
    <row r="320" ht="15.75" customHeight="1">
      <c r="AH320" s="35"/>
      <c r="AI320" s="35"/>
    </row>
    <row r="321" ht="15.75" customHeight="1">
      <c r="AH321" s="35"/>
      <c r="AI321" s="35"/>
    </row>
    <row r="322" ht="15.75" customHeight="1">
      <c r="AH322" s="35"/>
      <c r="AI322" s="35"/>
    </row>
    <row r="323" ht="15.75" customHeight="1">
      <c r="AH323" s="35"/>
      <c r="AI323" s="35"/>
    </row>
    <row r="324" ht="15.75" customHeight="1">
      <c r="AH324" s="35"/>
      <c r="AI324" s="35"/>
    </row>
    <row r="325" ht="15.75" customHeight="1">
      <c r="AH325" s="35"/>
      <c r="AI325" s="35"/>
    </row>
    <row r="326" ht="15.75" customHeight="1">
      <c r="AH326" s="35"/>
      <c r="AI326" s="35"/>
    </row>
    <row r="327" ht="15.75" customHeight="1">
      <c r="AH327" s="35"/>
      <c r="AI327" s="35"/>
    </row>
    <row r="328" ht="15.75" customHeight="1">
      <c r="AH328" s="35"/>
      <c r="AI328" s="35"/>
    </row>
    <row r="329" ht="15.75" customHeight="1">
      <c r="AH329" s="35"/>
      <c r="AI329" s="35"/>
    </row>
    <row r="330" ht="15.75" customHeight="1">
      <c r="AH330" s="35"/>
      <c r="AI330" s="35"/>
    </row>
    <row r="331" ht="15.75" customHeight="1">
      <c r="AH331" s="35"/>
      <c r="AI331" s="35"/>
    </row>
    <row r="332" ht="15.75" customHeight="1">
      <c r="AH332" s="35"/>
      <c r="AI332" s="35"/>
    </row>
    <row r="333" ht="15.75" customHeight="1">
      <c r="AH333" s="35"/>
      <c r="AI333" s="35"/>
    </row>
    <row r="334" ht="15.75" customHeight="1">
      <c r="AH334" s="35"/>
      <c r="AI334" s="35"/>
    </row>
    <row r="335" ht="15.75" customHeight="1">
      <c r="AH335" s="35"/>
      <c r="AI335" s="35"/>
    </row>
    <row r="336" ht="15.75" customHeight="1">
      <c r="AH336" s="35"/>
      <c r="AI336" s="35"/>
    </row>
    <row r="337" ht="15.75" customHeight="1">
      <c r="AH337" s="35"/>
      <c r="AI337" s="35"/>
    </row>
    <row r="338" ht="15.75" customHeight="1">
      <c r="AH338" s="35"/>
      <c r="AI338" s="35"/>
    </row>
    <row r="339" ht="15.75" customHeight="1">
      <c r="AH339" s="35"/>
      <c r="AI339" s="35"/>
    </row>
    <row r="340" ht="15.75" customHeight="1">
      <c r="AH340" s="35"/>
      <c r="AI340" s="35"/>
    </row>
    <row r="341" ht="15.75" customHeight="1">
      <c r="AH341" s="35"/>
      <c r="AI341" s="35"/>
    </row>
    <row r="342" ht="15.75" customHeight="1">
      <c r="AH342" s="35"/>
      <c r="AI342" s="35"/>
    </row>
    <row r="343" ht="15.75" customHeight="1">
      <c r="AH343" s="35"/>
      <c r="AI343" s="35"/>
    </row>
    <row r="344" ht="15.75" customHeight="1">
      <c r="AH344" s="35"/>
      <c r="AI344" s="35"/>
    </row>
    <row r="345" ht="15.75" customHeight="1">
      <c r="AH345" s="35"/>
      <c r="AI345" s="35"/>
    </row>
    <row r="346" ht="15.75" customHeight="1">
      <c r="AH346" s="35"/>
      <c r="AI346" s="35"/>
    </row>
    <row r="347" ht="15.75" customHeight="1">
      <c r="AH347" s="35"/>
      <c r="AI347" s="35"/>
    </row>
    <row r="348" ht="15.75" customHeight="1">
      <c r="AH348" s="35"/>
      <c r="AI348" s="35"/>
    </row>
    <row r="349" ht="15.75" customHeight="1">
      <c r="AH349" s="35"/>
      <c r="AI349" s="35"/>
    </row>
    <row r="350" ht="15.75" customHeight="1">
      <c r="AH350" s="35"/>
      <c r="AI350" s="35"/>
    </row>
    <row r="351" ht="15.75" customHeight="1">
      <c r="AH351" s="35"/>
      <c r="AI351" s="35"/>
    </row>
    <row r="352" ht="15.75" customHeight="1">
      <c r="AH352" s="35"/>
      <c r="AI352" s="35"/>
    </row>
    <row r="353" ht="15.75" customHeight="1">
      <c r="AH353" s="35"/>
      <c r="AI353" s="35"/>
    </row>
    <row r="354" ht="15.75" customHeight="1">
      <c r="AH354" s="35"/>
      <c r="AI354" s="35"/>
    </row>
    <row r="355" ht="15.75" customHeight="1">
      <c r="AH355" s="35"/>
      <c r="AI355" s="35"/>
    </row>
    <row r="356" ht="15.75" customHeight="1">
      <c r="AH356" s="35"/>
      <c r="AI356" s="35"/>
    </row>
    <row r="357" ht="15.75" customHeight="1">
      <c r="AH357" s="35"/>
      <c r="AI357" s="35"/>
    </row>
    <row r="358" ht="15.75" customHeight="1">
      <c r="AH358" s="35"/>
      <c r="AI358" s="35"/>
    </row>
    <row r="359" ht="15.75" customHeight="1">
      <c r="AH359" s="35"/>
      <c r="AI359" s="35"/>
    </row>
    <row r="360" ht="15.75" customHeight="1">
      <c r="AH360" s="35"/>
      <c r="AI360" s="35"/>
    </row>
    <row r="361" ht="15.75" customHeight="1">
      <c r="AH361" s="35"/>
      <c r="AI361" s="35"/>
    </row>
    <row r="362" ht="15.75" customHeight="1">
      <c r="AH362" s="35"/>
      <c r="AI362" s="35"/>
    </row>
    <row r="363" ht="15.75" customHeight="1">
      <c r="AH363" s="35"/>
      <c r="AI363" s="35"/>
    </row>
    <row r="364" ht="15.75" customHeight="1">
      <c r="AH364" s="35"/>
      <c r="AI364" s="35"/>
    </row>
    <row r="365" ht="15.75" customHeight="1">
      <c r="AH365" s="35"/>
      <c r="AI365" s="35"/>
    </row>
    <row r="366" ht="15.75" customHeight="1">
      <c r="AH366" s="35"/>
      <c r="AI366" s="35"/>
    </row>
    <row r="367" ht="15.75" customHeight="1">
      <c r="AH367" s="35"/>
      <c r="AI367" s="35"/>
    </row>
    <row r="368" ht="15.75" customHeight="1">
      <c r="AH368" s="35"/>
      <c r="AI368" s="35"/>
    </row>
    <row r="369" ht="15.75" customHeight="1">
      <c r="AH369" s="35"/>
      <c r="AI369" s="35"/>
    </row>
    <row r="370" ht="15.75" customHeight="1">
      <c r="AH370" s="35"/>
      <c r="AI370" s="35"/>
    </row>
    <row r="371" ht="15.75" customHeight="1">
      <c r="AH371" s="35"/>
      <c r="AI371" s="35"/>
    </row>
    <row r="372" ht="15.75" customHeight="1">
      <c r="AH372" s="35"/>
      <c r="AI372" s="35"/>
    </row>
    <row r="373" ht="15.75" customHeight="1">
      <c r="AH373" s="35"/>
      <c r="AI373" s="35"/>
    </row>
    <row r="374" ht="15.75" customHeight="1">
      <c r="AH374" s="35"/>
      <c r="AI374" s="35"/>
    </row>
    <row r="375" ht="15.75" customHeight="1">
      <c r="AH375" s="35"/>
      <c r="AI375" s="35"/>
    </row>
    <row r="376" ht="15.75" customHeight="1">
      <c r="AH376" s="35"/>
      <c r="AI376" s="35"/>
    </row>
    <row r="377" ht="15.75" customHeight="1">
      <c r="AH377" s="35"/>
      <c r="AI377" s="35"/>
    </row>
    <row r="378" ht="15.75" customHeight="1">
      <c r="AH378" s="35"/>
      <c r="AI378" s="35"/>
    </row>
    <row r="379" ht="15.75" customHeight="1">
      <c r="AH379" s="35"/>
      <c r="AI379" s="35"/>
    </row>
    <row r="380" ht="15.75" customHeight="1">
      <c r="AH380" s="35"/>
      <c r="AI380" s="35"/>
    </row>
    <row r="381" ht="15.75" customHeight="1">
      <c r="AH381" s="35"/>
      <c r="AI381" s="35"/>
    </row>
    <row r="382" ht="15.75" customHeight="1">
      <c r="AH382" s="35"/>
      <c r="AI382" s="35"/>
    </row>
    <row r="383" ht="15.75" customHeight="1">
      <c r="AH383" s="35"/>
      <c r="AI383" s="35"/>
    </row>
    <row r="384" ht="15.75" customHeight="1">
      <c r="AH384" s="35"/>
      <c r="AI384" s="35"/>
    </row>
    <row r="385" ht="15.75" customHeight="1">
      <c r="AH385" s="35"/>
      <c r="AI385" s="35"/>
    </row>
    <row r="386" ht="15.75" customHeight="1">
      <c r="AH386" s="35"/>
      <c r="AI386" s="35"/>
    </row>
    <row r="387" ht="15.75" customHeight="1">
      <c r="AH387" s="35"/>
      <c r="AI387" s="35"/>
    </row>
    <row r="388" ht="15.75" customHeight="1">
      <c r="AH388" s="35"/>
      <c r="AI388" s="35"/>
    </row>
    <row r="389" ht="15.75" customHeight="1">
      <c r="AH389" s="35"/>
      <c r="AI389" s="35"/>
    </row>
    <row r="390" ht="15.75" customHeight="1">
      <c r="AH390" s="35"/>
      <c r="AI390" s="35"/>
    </row>
    <row r="391" ht="15.75" customHeight="1">
      <c r="AH391" s="35"/>
      <c r="AI391" s="35"/>
    </row>
    <row r="392" ht="15.75" customHeight="1">
      <c r="AH392" s="35"/>
      <c r="AI392" s="35"/>
    </row>
    <row r="393" ht="15.75" customHeight="1">
      <c r="AH393" s="35"/>
      <c r="AI393" s="35"/>
    </row>
    <row r="394" ht="15.75" customHeight="1">
      <c r="AH394" s="35"/>
      <c r="AI394" s="35"/>
    </row>
    <row r="395" ht="15.75" customHeight="1">
      <c r="AH395" s="35"/>
      <c r="AI395" s="35"/>
    </row>
    <row r="396" ht="15.75" customHeight="1">
      <c r="AH396" s="35"/>
      <c r="AI396" s="35"/>
    </row>
    <row r="397" ht="15.75" customHeight="1">
      <c r="AH397" s="35"/>
      <c r="AI397" s="35"/>
    </row>
    <row r="398" ht="15.75" customHeight="1">
      <c r="AH398" s="35"/>
      <c r="AI398" s="35"/>
    </row>
    <row r="399" ht="15.75" customHeight="1">
      <c r="AH399" s="35"/>
      <c r="AI399" s="35"/>
    </row>
    <row r="400" ht="15.75" customHeight="1">
      <c r="AH400" s="35"/>
      <c r="AI400" s="35"/>
    </row>
    <row r="401" ht="15.75" customHeight="1">
      <c r="AH401" s="35"/>
      <c r="AI401" s="35"/>
    </row>
    <row r="402" ht="15.75" customHeight="1">
      <c r="AH402" s="35"/>
      <c r="AI402" s="35"/>
    </row>
    <row r="403" ht="15.75" customHeight="1">
      <c r="AH403" s="35"/>
      <c r="AI403" s="35"/>
    </row>
    <row r="404" ht="15.75" customHeight="1">
      <c r="AH404" s="35"/>
      <c r="AI404" s="35"/>
    </row>
    <row r="405" ht="15.75" customHeight="1">
      <c r="AH405" s="35"/>
      <c r="AI405" s="35"/>
    </row>
    <row r="406" ht="15.75" customHeight="1">
      <c r="AH406" s="35"/>
      <c r="AI406" s="35"/>
    </row>
    <row r="407" ht="15.75" customHeight="1">
      <c r="AH407" s="35"/>
      <c r="AI407" s="35"/>
    </row>
    <row r="408" ht="15.75" customHeight="1">
      <c r="AH408" s="35"/>
      <c r="AI408" s="35"/>
    </row>
    <row r="409" ht="15.75" customHeight="1">
      <c r="AH409" s="35"/>
      <c r="AI409" s="35"/>
    </row>
    <row r="410" ht="15.75" customHeight="1">
      <c r="AH410" s="35"/>
      <c r="AI410" s="35"/>
    </row>
    <row r="411" ht="15.75" customHeight="1">
      <c r="AH411" s="35"/>
      <c r="AI411" s="35"/>
    </row>
    <row r="412" ht="15.75" customHeight="1">
      <c r="AH412" s="35"/>
      <c r="AI412" s="35"/>
    </row>
    <row r="413" ht="15.75" customHeight="1">
      <c r="AH413" s="35"/>
      <c r="AI413" s="35"/>
    </row>
    <row r="414" ht="15.75" customHeight="1">
      <c r="AH414" s="35"/>
      <c r="AI414" s="35"/>
    </row>
    <row r="415" ht="15.75" customHeight="1">
      <c r="AH415" s="35"/>
      <c r="AI415" s="35"/>
    </row>
    <row r="416" ht="15.75" customHeight="1">
      <c r="AH416" s="35"/>
      <c r="AI416" s="35"/>
    </row>
    <row r="417" ht="15.75" customHeight="1">
      <c r="AH417" s="35"/>
      <c r="AI417" s="35"/>
    </row>
    <row r="418" ht="15.75" customHeight="1">
      <c r="AH418" s="35"/>
      <c r="AI418" s="35"/>
    </row>
    <row r="419" ht="15.75" customHeight="1">
      <c r="AH419" s="35"/>
      <c r="AI419" s="35"/>
    </row>
    <row r="420" ht="15.75" customHeight="1">
      <c r="AH420" s="35"/>
      <c r="AI420" s="35"/>
    </row>
    <row r="421" ht="15.75" customHeight="1">
      <c r="AH421" s="35"/>
      <c r="AI421" s="35"/>
    </row>
    <row r="422" ht="15.75" customHeight="1">
      <c r="AH422" s="35"/>
      <c r="AI422" s="35"/>
    </row>
    <row r="423" ht="15.75" customHeight="1">
      <c r="AH423" s="35"/>
      <c r="AI423" s="35"/>
    </row>
    <row r="424" ht="15.75" customHeight="1">
      <c r="AH424" s="35"/>
      <c r="AI424" s="35"/>
    </row>
    <row r="425" ht="15.75" customHeight="1">
      <c r="AH425" s="35"/>
      <c r="AI425" s="35"/>
    </row>
    <row r="426" ht="15.75" customHeight="1">
      <c r="AH426" s="35"/>
      <c r="AI426" s="35"/>
    </row>
    <row r="427" ht="15.75" customHeight="1">
      <c r="AH427" s="35"/>
      <c r="AI427" s="35"/>
    </row>
    <row r="428" ht="15.75" customHeight="1">
      <c r="AH428" s="35"/>
      <c r="AI428" s="35"/>
    </row>
    <row r="429" ht="15.75" customHeight="1">
      <c r="AH429" s="35"/>
      <c r="AI429" s="35"/>
    </row>
    <row r="430" ht="15.75" customHeight="1">
      <c r="AH430" s="35"/>
      <c r="AI430" s="35"/>
    </row>
    <row r="431" ht="15.75" customHeight="1">
      <c r="AH431" s="35"/>
      <c r="AI431" s="35"/>
    </row>
    <row r="432" ht="15.75" customHeight="1">
      <c r="AH432" s="35"/>
      <c r="AI432" s="35"/>
    </row>
    <row r="433" ht="15.75" customHeight="1">
      <c r="AH433" s="35"/>
      <c r="AI433" s="35"/>
    </row>
    <row r="434" ht="15.75" customHeight="1">
      <c r="AH434" s="35"/>
      <c r="AI434" s="35"/>
    </row>
    <row r="435" ht="15.75" customHeight="1">
      <c r="AH435" s="35"/>
      <c r="AI435" s="35"/>
    </row>
    <row r="436" ht="15.75" customHeight="1">
      <c r="AH436" s="35"/>
      <c r="AI436" s="35"/>
    </row>
    <row r="437" ht="15.75" customHeight="1">
      <c r="AH437" s="35"/>
      <c r="AI437" s="35"/>
    </row>
    <row r="438" ht="15.75" customHeight="1">
      <c r="AH438" s="35"/>
      <c r="AI438" s="35"/>
    </row>
    <row r="439" ht="15.75" customHeight="1">
      <c r="AH439" s="35"/>
      <c r="AI439" s="35"/>
    </row>
    <row r="440" ht="15.75" customHeight="1">
      <c r="AH440" s="35"/>
      <c r="AI440" s="35"/>
    </row>
    <row r="441" ht="15.75" customHeight="1">
      <c r="AH441" s="35"/>
      <c r="AI441" s="35"/>
    </row>
    <row r="442" ht="15.75" customHeight="1">
      <c r="AH442" s="35"/>
      <c r="AI442" s="35"/>
    </row>
    <row r="443" ht="15.75" customHeight="1">
      <c r="AH443" s="35"/>
      <c r="AI443" s="35"/>
    </row>
    <row r="444" ht="15.75" customHeight="1">
      <c r="AH444" s="35"/>
      <c r="AI444" s="35"/>
    </row>
    <row r="445" ht="15.75" customHeight="1">
      <c r="AH445" s="35"/>
      <c r="AI445" s="35"/>
    </row>
    <row r="446" ht="15.75" customHeight="1">
      <c r="AH446" s="35"/>
      <c r="AI446" s="35"/>
    </row>
    <row r="447" ht="15.75" customHeight="1">
      <c r="AH447" s="35"/>
      <c r="AI447" s="35"/>
    </row>
    <row r="448" ht="15.75" customHeight="1">
      <c r="AH448" s="35"/>
      <c r="AI448" s="35"/>
    </row>
    <row r="449" ht="15.75" customHeight="1">
      <c r="AH449" s="35"/>
      <c r="AI449" s="35"/>
    </row>
    <row r="450" ht="15.75" customHeight="1">
      <c r="AH450" s="35"/>
      <c r="AI450" s="35"/>
    </row>
    <row r="451" ht="15.75" customHeight="1">
      <c r="AH451" s="35"/>
      <c r="AI451" s="35"/>
    </row>
    <row r="452" ht="15.75" customHeight="1">
      <c r="AH452" s="35"/>
      <c r="AI452" s="35"/>
    </row>
    <row r="453" ht="15.75" customHeight="1">
      <c r="AH453" s="35"/>
      <c r="AI453" s="35"/>
    </row>
    <row r="454" ht="15.75" customHeight="1">
      <c r="AH454" s="35"/>
      <c r="AI454" s="35"/>
    </row>
    <row r="455" ht="15.75" customHeight="1">
      <c r="AH455" s="35"/>
      <c r="AI455" s="35"/>
    </row>
    <row r="456" ht="15.75" customHeight="1">
      <c r="AH456" s="35"/>
      <c r="AI456" s="35"/>
    </row>
    <row r="457" ht="15.75" customHeight="1">
      <c r="AH457" s="35"/>
      <c r="AI457" s="35"/>
    </row>
    <row r="458" ht="15.75" customHeight="1">
      <c r="AH458" s="35"/>
      <c r="AI458" s="35"/>
    </row>
    <row r="459" ht="15.75" customHeight="1">
      <c r="AH459" s="35"/>
      <c r="AI459" s="35"/>
    </row>
    <row r="460" ht="15.75" customHeight="1">
      <c r="AH460" s="35"/>
      <c r="AI460" s="35"/>
    </row>
    <row r="461" ht="15.75" customHeight="1">
      <c r="AH461" s="35"/>
      <c r="AI461" s="35"/>
    </row>
    <row r="462" ht="15.75" customHeight="1">
      <c r="AH462" s="35"/>
      <c r="AI462" s="35"/>
    </row>
    <row r="463" ht="15.75" customHeight="1">
      <c r="AH463" s="35"/>
      <c r="AI463" s="35"/>
    </row>
    <row r="464" ht="15.75" customHeight="1">
      <c r="AH464" s="35"/>
      <c r="AI464" s="35"/>
    </row>
    <row r="465" ht="15.75" customHeight="1">
      <c r="AH465" s="35"/>
      <c r="AI465" s="35"/>
    </row>
    <row r="466" ht="15.75" customHeight="1">
      <c r="AH466" s="35"/>
      <c r="AI466" s="35"/>
    </row>
    <row r="467" ht="15.75" customHeight="1">
      <c r="AH467" s="35"/>
      <c r="AI467" s="35"/>
    </row>
    <row r="468" ht="15.75" customHeight="1">
      <c r="AH468" s="35"/>
      <c r="AI468" s="35"/>
    </row>
    <row r="469" ht="15.75" customHeight="1">
      <c r="AH469" s="35"/>
      <c r="AI469" s="35"/>
    </row>
    <row r="470" ht="15.75" customHeight="1">
      <c r="AH470" s="35"/>
      <c r="AI470" s="35"/>
    </row>
    <row r="471" ht="15.75" customHeight="1">
      <c r="AH471" s="35"/>
      <c r="AI471" s="35"/>
    </row>
    <row r="472" ht="15.75" customHeight="1">
      <c r="AH472" s="35"/>
      <c r="AI472" s="35"/>
    </row>
    <row r="473" ht="15.75" customHeight="1">
      <c r="AH473" s="35"/>
      <c r="AI473" s="35"/>
    </row>
    <row r="474" ht="15.75" customHeight="1">
      <c r="AH474" s="35"/>
      <c r="AI474" s="35"/>
    </row>
    <row r="475" ht="15.75" customHeight="1">
      <c r="AH475" s="35"/>
      <c r="AI475" s="35"/>
    </row>
    <row r="476" ht="15.75" customHeight="1">
      <c r="AH476" s="35"/>
      <c r="AI476" s="35"/>
    </row>
    <row r="477" ht="15.75" customHeight="1">
      <c r="AH477" s="35"/>
      <c r="AI477" s="35"/>
    </row>
    <row r="478" ht="15.75" customHeight="1">
      <c r="AH478" s="35"/>
      <c r="AI478" s="35"/>
    </row>
    <row r="479" ht="15.75" customHeight="1">
      <c r="AH479" s="35"/>
      <c r="AI479" s="35"/>
    </row>
    <row r="480" ht="15.75" customHeight="1">
      <c r="AH480" s="35"/>
      <c r="AI480" s="35"/>
    </row>
    <row r="481" ht="15.75" customHeight="1">
      <c r="AH481" s="35"/>
      <c r="AI481" s="35"/>
    </row>
    <row r="482" ht="15.75" customHeight="1">
      <c r="AH482" s="35"/>
      <c r="AI482" s="35"/>
    </row>
    <row r="483" ht="15.75" customHeight="1">
      <c r="AH483" s="35"/>
      <c r="AI483" s="35"/>
    </row>
    <row r="484" ht="15.75" customHeight="1">
      <c r="AH484" s="35"/>
      <c r="AI484" s="35"/>
    </row>
    <row r="485" ht="15.75" customHeight="1">
      <c r="AH485" s="35"/>
      <c r="AI485" s="35"/>
    </row>
    <row r="486" ht="15.75" customHeight="1">
      <c r="AH486" s="35"/>
      <c r="AI486" s="35"/>
    </row>
    <row r="487" ht="15.75" customHeight="1">
      <c r="AH487" s="35"/>
      <c r="AI487" s="35"/>
    </row>
    <row r="488" ht="15.75" customHeight="1">
      <c r="AH488" s="35"/>
      <c r="AI488" s="35"/>
    </row>
    <row r="489" ht="15.75" customHeight="1">
      <c r="AH489" s="35"/>
      <c r="AI489" s="35"/>
    </row>
    <row r="490" ht="15.75" customHeight="1">
      <c r="AH490" s="35"/>
      <c r="AI490" s="35"/>
    </row>
    <row r="491" ht="15.75" customHeight="1">
      <c r="AH491" s="35"/>
      <c r="AI491" s="35"/>
    </row>
    <row r="492" ht="15.75" customHeight="1">
      <c r="AH492" s="35"/>
      <c r="AI492" s="35"/>
    </row>
    <row r="493" ht="15.75" customHeight="1">
      <c r="AH493" s="35"/>
      <c r="AI493" s="35"/>
    </row>
    <row r="494" ht="15.75" customHeight="1">
      <c r="AH494" s="35"/>
      <c r="AI494" s="35"/>
    </row>
    <row r="495" ht="15.75" customHeight="1">
      <c r="AH495" s="35"/>
      <c r="AI495" s="35"/>
    </row>
    <row r="496" ht="15.75" customHeight="1">
      <c r="AH496" s="35"/>
      <c r="AI496" s="35"/>
    </row>
    <row r="497" ht="15.75" customHeight="1">
      <c r="AH497" s="35"/>
      <c r="AI497" s="35"/>
    </row>
    <row r="498" ht="15.75" customHeight="1">
      <c r="AH498" s="35"/>
      <c r="AI498" s="35"/>
    </row>
    <row r="499" ht="15.75" customHeight="1">
      <c r="AH499" s="35"/>
      <c r="AI499" s="35"/>
    </row>
    <row r="500" ht="15.75" customHeight="1">
      <c r="AH500" s="35"/>
      <c r="AI500" s="35"/>
    </row>
    <row r="501" ht="15.75" customHeight="1">
      <c r="AH501" s="35"/>
      <c r="AI501" s="35"/>
    </row>
    <row r="502" ht="15.75" customHeight="1">
      <c r="AH502" s="35"/>
      <c r="AI502" s="35"/>
    </row>
    <row r="503" ht="15.75" customHeight="1">
      <c r="AH503" s="35"/>
      <c r="AI503" s="35"/>
    </row>
    <row r="504" ht="15.75" customHeight="1">
      <c r="AH504" s="35"/>
      <c r="AI504" s="35"/>
    </row>
    <row r="505" ht="15.75" customHeight="1">
      <c r="AH505" s="35"/>
      <c r="AI505" s="35"/>
    </row>
    <row r="506" ht="15.75" customHeight="1">
      <c r="AH506" s="35"/>
      <c r="AI506" s="35"/>
    </row>
    <row r="507" ht="15.75" customHeight="1">
      <c r="AH507" s="35"/>
      <c r="AI507" s="35"/>
    </row>
    <row r="508" ht="15.75" customHeight="1">
      <c r="AH508" s="35"/>
      <c r="AI508" s="35"/>
    </row>
    <row r="509" ht="15.75" customHeight="1">
      <c r="AH509" s="35"/>
      <c r="AI509" s="35"/>
    </row>
    <row r="510" ht="15.75" customHeight="1">
      <c r="AH510" s="35"/>
      <c r="AI510" s="35"/>
    </row>
    <row r="511" ht="15.75" customHeight="1">
      <c r="AH511" s="35"/>
      <c r="AI511" s="35"/>
    </row>
    <row r="512" ht="15.75" customHeight="1">
      <c r="AH512" s="35"/>
      <c r="AI512" s="35"/>
    </row>
    <row r="513" ht="15.75" customHeight="1">
      <c r="AH513" s="35"/>
      <c r="AI513" s="35"/>
    </row>
    <row r="514" ht="15.75" customHeight="1">
      <c r="AH514" s="35"/>
      <c r="AI514" s="35"/>
    </row>
    <row r="515" ht="15.75" customHeight="1">
      <c r="AH515" s="35"/>
      <c r="AI515" s="35"/>
    </row>
    <row r="516" ht="15.75" customHeight="1">
      <c r="AH516" s="35"/>
      <c r="AI516" s="35"/>
    </row>
    <row r="517" ht="15.75" customHeight="1">
      <c r="AH517" s="35"/>
      <c r="AI517" s="35"/>
    </row>
    <row r="518" ht="15.75" customHeight="1">
      <c r="AH518" s="35"/>
      <c r="AI518" s="35"/>
    </row>
    <row r="519" ht="15.75" customHeight="1">
      <c r="AH519" s="35"/>
      <c r="AI519" s="35"/>
    </row>
    <row r="520" ht="15.75" customHeight="1">
      <c r="AH520" s="35"/>
      <c r="AI520" s="35"/>
    </row>
    <row r="521" ht="15.75" customHeight="1">
      <c r="AH521" s="35"/>
      <c r="AI521" s="35"/>
    </row>
    <row r="522" ht="15.75" customHeight="1">
      <c r="AH522" s="35"/>
      <c r="AI522" s="35"/>
    </row>
    <row r="523" ht="15.75" customHeight="1">
      <c r="AH523" s="35"/>
      <c r="AI523" s="35"/>
    </row>
    <row r="524" ht="15.75" customHeight="1">
      <c r="AH524" s="35"/>
      <c r="AI524" s="35"/>
    </row>
    <row r="525" ht="15.75" customHeight="1">
      <c r="AH525" s="35"/>
      <c r="AI525" s="35"/>
    </row>
    <row r="526" ht="15.75" customHeight="1">
      <c r="AH526" s="35"/>
      <c r="AI526" s="35"/>
    </row>
    <row r="527" ht="15.75" customHeight="1">
      <c r="AH527" s="35"/>
      <c r="AI527" s="35"/>
    </row>
    <row r="528" ht="15.75" customHeight="1">
      <c r="AH528" s="35"/>
      <c r="AI528" s="35"/>
    </row>
    <row r="529" ht="15.75" customHeight="1">
      <c r="AH529" s="35"/>
      <c r="AI529" s="35"/>
    </row>
    <row r="530" ht="15.75" customHeight="1">
      <c r="AH530" s="35"/>
      <c r="AI530" s="35"/>
    </row>
    <row r="531" ht="15.75" customHeight="1">
      <c r="AH531" s="35"/>
      <c r="AI531" s="35"/>
    </row>
    <row r="532" ht="15.75" customHeight="1">
      <c r="AH532" s="35"/>
      <c r="AI532" s="35"/>
    </row>
    <row r="533" ht="15.75" customHeight="1">
      <c r="AH533" s="35"/>
      <c r="AI533" s="35"/>
    </row>
    <row r="534" ht="15.75" customHeight="1">
      <c r="AH534" s="35"/>
      <c r="AI534" s="35"/>
    </row>
    <row r="535" ht="15.75" customHeight="1">
      <c r="AH535" s="35"/>
      <c r="AI535" s="35"/>
    </row>
    <row r="536" ht="15.75" customHeight="1">
      <c r="AH536" s="35"/>
      <c r="AI536" s="35"/>
    </row>
    <row r="537" ht="15.75" customHeight="1">
      <c r="AH537" s="35"/>
      <c r="AI537" s="35"/>
    </row>
    <row r="538" ht="15.75" customHeight="1">
      <c r="AH538" s="35"/>
      <c r="AI538" s="35"/>
    </row>
    <row r="539" ht="15.75" customHeight="1">
      <c r="AH539" s="35"/>
      <c r="AI539" s="35"/>
    </row>
    <row r="540" ht="15.75" customHeight="1">
      <c r="AH540" s="35"/>
      <c r="AI540" s="35"/>
    </row>
    <row r="541" ht="15.75" customHeight="1">
      <c r="AH541" s="35"/>
      <c r="AI541" s="35"/>
    </row>
    <row r="542" ht="15.75" customHeight="1">
      <c r="AH542" s="35"/>
      <c r="AI542" s="35"/>
    </row>
    <row r="543" ht="15.75" customHeight="1">
      <c r="AH543" s="35"/>
      <c r="AI543" s="35"/>
    </row>
    <row r="544" ht="15.75" customHeight="1">
      <c r="AH544" s="35"/>
      <c r="AI544" s="35"/>
    </row>
    <row r="545" ht="15.75" customHeight="1">
      <c r="AH545" s="35"/>
      <c r="AI545" s="35"/>
    </row>
    <row r="546" ht="15.75" customHeight="1">
      <c r="AH546" s="35"/>
      <c r="AI546" s="35"/>
    </row>
    <row r="547" ht="15.75" customHeight="1">
      <c r="AH547" s="35"/>
      <c r="AI547" s="35"/>
    </row>
    <row r="548" ht="15.75" customHeight="1">
      <c r="AH548" s="35"/>
      <c r="AI548" s="35"/>
    </row>
    <row r="549" ht="15.75" customHeight="1">
      <c r="AH549" s="35"/>
      <c r="AI549" s="35"/>
    </row>
    <row r="550" ht="15.75" customHeight="1">
      <c r="AH550" s="35"/>
      <c r="AI550" s="35"/>
    </row>
    <row r="551" ht="15.75" customHeight="1">
      <c r="AH551" s="35"/>
      <c r="AI551" s="35"/>
    </row>
    <row r="552" ht="15.75" customHeight="1">
      <c r="AH552" s="35"/>
      <c r="AI552" s="35"/>
    </row>
    <row r="553" ht="15.75" customHeight="1">
      <c r="AH553" s="35"/>
      <c r="AI553" s="35"/>
    </row>
    <row r="554" ht="15.75" customHeight="1">
      <c r="AH554" s="35"/>
      <c r="AI554" s="35"/>
    </row>
    <row r="555" ht="15.75" customHeight="1">
      <c r="AH555" s="35"/>
      <c r="AI555" s="35"/>
    </row>
    <row r="556" ht="15.75" customHeight="1">
      <c r="AH556" s="35"/>
      <c r="AI556" s="35"/>
    </row>
    <row r="557" ht="15.75" customHeight="1">
      <c r="AH557" s="35"/>
      <c r="AI557" s="35"/>
    </row>
    <row r="558" ht="15.75" customHeight="1">
      <c r="AH558" s="35"/>
      <c r="AI558" s="35"/>
    </row>
    <row r="559" ht="15.75" customHeight="1">
      <c r="AH559" s="35"/>
      <c r="AI559" s="35"/>
    </row>
    <row r="560" ht="15.75" customHeight="1">
      <c r="AH560" s="35"/>
      <c r="AI560" s="35"/>
    </row>
    <row r="561" ht="15.75" customHeight="1">
      <c r="AH561" s="35"/>
      <c r="AI561" s="35"/>
    </row>
    <row r="562" ht="15.75" customHeight="1">
      <c r="AH562" s="35"/>
      <c r="AI562" s="35"/>
    </row>
    <row r="563" ht="15.75" customHeight="1">
      <c r="AH563" s="35"/>
      <c r="AI563" s="35"/>
    </row>
    <row r="564" ht="15.75" customHeight="1">
      <c r="AH564" s="35"/>
      <c r="AI564" s="35"/>
    </row>
    <row r="565" ht="15.75" customHeight="1">
      <c r="AH565" s="35"/>
      <c r="AI565" s="35"/>
    </row>
    <row r="566" ht="15.75" customHeight="1">
      <c r="AH566" s="35"/>
      <c r="AI566" s="35"/>
    </row>
    <row r="567" ht="15.75" customHeight="1">
      <c r="AH567" s="35"/>
      <c r="AI567" s="35"/>
    </row>
    <row r="568" ht="15.75" customHeight="1">
      <c r="AH568" s="35"/>
      <c r="AI568" s="35"/>
    </row>
    <row r="569" ht="15.75" customHeight="1">
      <c r="AH569" s="35"/>
      <c r="AI569" s="35"/>
    </row>
    <row r="570" ht="15.75" customHeight="1">
      <c r="AH570" s="35"/>
      <c r="AI570" s="35"/>
    </row>
    <row r="571" ht="15.75" customHeight="1">
      <c r="AH571" s="35"/>
      <c r="AI571" s="35"/>
    </row>
    <row r="572" ht="15.75" customHeight="1">
      <c r="AH572" s="35"/>
      <c r="AI572" s="35"/>
    </row>
    <row r="573" ht="15.75" customHeight="1">
      <c r="AH573" s="35"/>
      <c r="AI573" s="35"/>
    </row>
    <row r="574" ht="15.75" customHeight="1">
      <c r="AH574" s="35"/>
      <c r="AI574" s="35"/>
    </row>
    <row r="575" ht="15.75" customHeight="1">
      <c r="AH575" s="35"/>
      <c r="AI575" s="35"/>
    </row>
    <row r="576" ht="15.75" customHeight="1">
      <c r="AH576" s="35"/>
      <c r="AI576" s="35"/>
    </row>
    <row r="577" ht="15.75" customHeight="1">
      <c r="AH577" s="35"/>
      <c r="AI577" s="35"/>
    </row>
    <row r="578" ht="15.75" customHeight="1">
      <c r="AH578" s="35"/>
      <c r="AI578" s="35"/>
    </row>
    <row r="579" ht="15.75" customHeight="1">
      <c r="AH579" s="35"/>
      <c r="AI579" s="35"/>
    </row>
    <row r="580" ht="15.75" customHeight="1">
      <c r="AH580" s="35"/>
      <c r="AI580" s="35"/>
    </row>
    <row r="581" ht="15.75" customHeight="1">
      <c r="AH581" s="35"/>
      <c r="AI581" s="35"/>
    </row>
    <row r="582" ht="15.75" customHeight="1">
      <c r="AH582" s="35"/>
      <c r="AI582" s="35"/>
    </row>
    <row r="583" ht="15.75" customHeight="1">
      <c r="AH583" s="35"/>
      <c r="AI583" s="35"/>
    </row>
    <row r="584" ht="15.75" customHeight="1">
      <c r="AH584" s="35"/>
      <c r="AI584" s="35"/>
    </row>
    <row r="585" ht="15.75" customHeight="1">
      <c r="AH585" s="35"/>
      <c r="AI585" s="35"/>
    </row>
    <row r="586" ht="15.75" customHeight="1">
      <c r="AH586" s="35"/>
      <c r="AI586" s="35"/>
    </row>
    <row r="587" ht="15.75" customHeight="1">
      <c r="AH587" s="35"/>
      <c r="AI587" s="35"/>
    </row>
    <row r="588" ht="15.75" customHeight="1">
      <c r="AH588" s="35"/>
      <c r="AI588" s="35"/>
    </row>
    <row r="589" ht="15.75" customHeight="1">
      <c r="AH589" s="35"/>
      <c r="AI589" s="35"/>
    </row>
    <row r="590" ht="15.75" customHeight="1">
      <c r="AH590" s="35"/>
      <c r="AI590" s="35"/>
    </row>
    <row r="591" ht="15.75" customHeight="1">
      <c r="AH591" s="35"/>
      <c r="AI591" s="35"/>
    </row>
    <row r="592" ht="15.75" customHeight="1">
      <c r="AH592" s="35"/>
      <c r="AI592" s="35"/>
    </row>
    <row r="593" ht="15.75" customHeight="1">
      <c r="AH593" s="35"/>
      <c r="AI593" s="35"/>
    </row>
    <row r="594" ht="15.75" customHeight="1">
      <c r="AH594" s="35"/>
      <c r="AI594" s="35"/>
    </row>
    <row r="595" ht="15.75" customHeight="1">
      <c r="AH595" s="35"/>
      <c r="AI595" s="35"/>
    </row>
    <row r="596" ht="15.75" customHeight="1">
      <c r="AH596" s="35"/>
      <c r="AI596" s="35"/>
    </row>
    <row r="597" ht="15.75" customHeight="1">
      <c r="AH597" s="35"/>
      <c r="AI597" s="35"/>
    </row>
    <row r="598" ht="15.75" customHeight="1">
      <c r="AH598" s="35"/>
      <c r="AI598" s="35"/>
    </row>
    <row r="599" ht="15.75" customHeight="1">
      <c r="AH599" s="35"/>
      <c r="AI599" s="35"/>
    </row>
    <row r="600" ht="15.75" customHeight="1">
      <c r="AH600" s="35"/>
      <c r="AI600" s="35"/>
    </row>
    <row r="601" ht="15.75" customHeight="1">
      <c r="AH601" s="35"/>
      <c r="AI601" s="35"/>
    </row>
    <row r="602" ht="15.75" customHeight="1">
      <c r="AH602" s="35"/>
      <c r="AI602" s="35"/>
    </row>
    <row r="603" ht="15.75" customHeight="1">
      <c r="AH603" s="35"/>
      <c r="AI603" s="35"/>
    </row>
    <row r="604" ht="15.75" customHeight="1">
      <c r="AH604" s="35"/>
      <c r="AI604" s="35"/>
    </row>
    <row r="605" ht="15.75" customHeight="1">
      <c r="AH605" s="35"/>
      <c r="AI605" s="35"/>
    </row>
    <row r="606" ht="15.75" customHeight="1">
      <c r="AH606" s="35"/>
      <c r="AI606" s="35"/>
    </row>
    <row r="607" ht="15.75" customHeight="1">
      <c r="AH607" s="35"/>
      <c r="AI607" s="35"/>
    </row>
    <row r="608" ht="15.75" customHeight="1">
      <c r="AH608" s="35"/>
      <c r="AI608" s="35"/>
    </row>
    <row r="609" ht="15.75" customHeight="1">
      <c r="AH609" s="35"/>
      <c r="AI609" s="35"/>
    </row>
    <row r="610" ht="15.75" customHeight="1">
      <c r="AH610" s="35"/>
      <c r="AI610" s="35"/>
    </row>
    <row r="611" ht="15.75" customHeight="1">
      <c r="AH611" s="35"/>
      <c r="AI611" s="35"/>
    </row>
    <row r="612" ht="15.75" customHeight="1">
      <c r="AH612" s="35"/>
      <c r="AI612" s="35"/>
    </row>
    <row r="613" ht="15.75" customHeight="1">
      <c r="AH613" s="35"/>
      <c r="AI613" s="35"/>
    </row>
    <row r="614" ht="15.75" customHeight="1">
      <c r="AH614" s="35"/>
      <c r="AI614" s="35"/>
    </row>
    <row r="615" ht="15.75" customHeight="1">
      <c r="AH615" s="35"/>
      <c r="AI615" s="35"/>
    </row>
    <row r="616" ht="15.75" customHeight="1">
      <c r="AH616" s="35"/>
      <c r="AI616" s="35"/>
    </row>
    <row r="617" ht="15.75" customHeight="1">
      <c r="AH617" s="35"/>
      <c r="AI617" s="35"/>
    </row>
    <row r="618" ht="15.75" customHeight="1">
      <c r="AH618" s="35"/>
      <c r="AI618" s="35"/>
    </row>
    <row r="619" ht="15.75" customHeight="1">
      <c r="AH619" s="35"/>
      <c r="AI619" s="35"/>
    </row>
    <row r="620" ht="15.75" customHeight="1">
      <c r="AH620" s="35"/>
      <c r="AI620" s="35"/>
    </row>
    <row r="621" ht="15.75" customHeight="1">
      <c r="AH621" s="35"/>
      <c r="AI621" s="35"/>
    </row>
    <row r="622" ht="15.75" customHeight="1">
      <c r="AH622" s="35"/>
      <c r="AI622" s="35"/>
    </row>
    <row r="623" ht="15.75" customHeight="1">
      <c r="AH623" s="35"/>
      <c r="AI623" s="35"/>
    </row>
    <row r="624" ht="15.75" customHeight="1">
      <c r="AH624" s="35"/>
      <c r="AI624" s="35"/>
    </row>
    <row r="625" ht="15.75" customHeight="1">
      <c r="AH625" s="35"/>
      <c r="AI625" s="35"/>
    </row>
    <row r="626" ht="15.75" customHeight="1">
      <c r="AH626" s="35"/>
      <c r="AI626" s="35"/>
    </row>
    <row r="627" ht="15.75" customHeight="1">
      <c r="AH627" s="35"/>
      <c r="AI627" s="35"/>
    </row>
    <row r="628" ht="15.75" customHeight="1">
      <c r="AH628" s="35"/>
      <c r="AI628" s="35"/>
    </row>
    <row r="629" ht="15.75" customHeight="1">
      <c r="AH629" s="35"/>
      <c r="AI629" s="35"/>
    </row>
    <row r="630" ht="15.75" customHeight="1">
      <c r="AH630" s="35"/>
      <c r="AI630" s="35"/>
    </row>
    <row r="631" ht="15.75" customHeight="1">
      <c r="AH631" s="35"/>
      <c r="AI631" s="35"/>
    </row>
    <row r="632" ht="15.75" customHeight="1">
      <c r="AH632" s="35"/>
      <c r="AI632" s="35"/>
    </row>
    <row r="633" ht="15.75" customHeight="1">
      <c r="AH633" s="35"/>
      <c r="AI633" s="35"/>
    </row>
    <row r="634" ht="15.75" customHeight="1">
      <c r="AH634" s="35"/>
      <c r="AI634" s="35"/>
    </row>
    <row r="635" ht="15.75" customHeight="1">
      <c r="AH635" s="35"/>
      <c r="AI635" s="35"/>
    </row>
    <row r="636" ht="15.75" customHeight="1">
      <c r="AH636" s="35"/>
      <c r="AI636" s="35"/>
    </row>
    <row r="637" ht="15.75" customHeight="1">
      <c r="AH637" s="35"/>
      <c r="AI637" s="35"/>
    </row>
    <row r="638" ht="15.75" customHeight="1">
      <c r="AH638" s="35"/>
      <c r="AI638" s="35"/>
    </row>
    <row r="639" ht="15.75" customHeight="1">
      <c r="AH639" s="35"/>
      <c r="AI639" s="35"/>
    </row>
    <row r="640" ht="15.75" customHeight="1">
      <c r="AH640" s="35"/>
      <c r="AI640" s="35"/>
    </row>
    <row r="641" ht="15.75" customHeight="1">
      <c r="AH641" s="35"/>
      <c r="AI641" s="35"/>
    </row>
    <row r="642" ht="15.75" customHeight="1">
      <c r="AH642" s="35"/>
      <c r="AI642" s="35"/>
    </row>
    <row r="643" ht="15.75" customHeight="1">
      <c r="AH643" s="35"/>
      <c r="AI643" s="35"/>
    </row>
    <row r="644" ht="15.75" customHeight="1">
      <c r="AH644" s="35"/>
      <c r="AI644" s="35"/>
    </row>
    <row r="645" ht="15.75" customHeight="1">
      <c r="AH645" s="35"/>
      <c r="AI645" s="35"/>
    </row>
    <row r="646" ht="15.75" customHeight="1">
      <c r="AH646" s="35"/>
      <c r="AI646" s="35"/>
    </row>
    <row r="647" ht="15.75" customHeight="1">
      <c r="AH647" s="35"/>
      <c r="AI647" s="35"/>
    </row>
    <row r="648" ht="15.75" customHeight="1">
      <c r="AH648" s="35"/>
      <c r="AI648" s="35"/>
    </row>
    <row r="649" ht="15.75" customHeight="1">
      <c r="AH649" s="35"/>
      <c r="AI649" s="35"/>
    </row>
    <row r="650" ht="15.75" customHeight="1">
      <c r="AH650" s="35"/>
      <c r="AI650" s="35"/>
    </row>
    <row r="651" ht="15.75" customHeight="1">
      <c r="AH651" s="35"/>
      <c r="AI651" s="35"/>
    </row>
    <row r="652" ht="15.75" customHeight="1">
      <c r="AH652" s="35"/>
      <c r="AI652" s="35"/>
    </row>
    <row r="653" ht="15.75" customHeight="1">
      <c r="AH653" s="35"/>
      <c r="AI653" s="35"/>
    </row>
    <row r="654" ht="15.75" customHeight="1">
      <c r="AH654" s="35"/>
      <c r="AI654" s="35"/>
    </row>
    <row r="655" ht="15.75" customHeight="1">
      <c r="AH655" s="35"/>
      <c r="AI655" s="35"/>
    </row>
    <row r="656" ht="15.75" customHeight="1">
      <c r="AH656" s="35"/>
      <c r="AI656" s="35"/>
    </row>
    <row r="657" ht="15.75" customHeight="1">
      <c r="AH657" s="35"/>
      <c r="AI657" s="35"/>
    </row>
    <row r="658" ht="15.75" customHeight="1">
      <c r="AH658" s="35"/>
      <c r="AI658" s="35"/>
    </row>
    <row r="659" ht="15.75" customHeight="1">
      <c r="AH659" s="35"/>
      <c r="AI659" s="35"/>
    </row>
    <row r="660" ht="15.75" customHeight="1">
      <c r="AH660" s="35"/>
      <c r="AI660" s="35"/>
    </row>
    <row r="661" ht="15.75" customHeight="1">
      <c r="AH661" s="35"/>
      <c r="AI661" s="35"/>
    </row>
    <row r="662" ht="15.75" customHeight="1">
      <c r="AH662" s="35"/>
      <c r="AI662" s="35"/>
    </row>
    <row r="663" ht="15.75" customHeight="1">
      <c r="AH663" s="35"/>
      <c r="AI663" s="35"/>
    </row>
    <row r="664" ht="15.75" customHeight="1">
      <c r="AH664" s="35"/>
      <c r="AI664" s="35"/>
    </row>
    <row r="665" ht="15.75" customHeight="1">
      <c r="AH665" s="35"/>
      <c r="AI665" s="35"/>
    </row>
    <row r="666" ht="15.75" customHeight="1">
      <c r="AH666" s="35"/>
      <c r="AI666" s="35"/>
    </row>
    <row r="667" ht="15.75" customHeight="1">
      <c r="AH667" s="35"/>
      <c r="AI667" s="35"/>
    </row>
    <row r="668" ht="15.75" customHeight="1">
      <c r="AH668" s="35"/>
      <c r="AI668" s="35"/>
    </row>
    <row r="669" ht="15.75" customHeight="1">
      <c r="AH669" s="35"/>
      <c r="AI669" s="35"/>
    </row>
    <row r="670" ht="15.75" customHeight="1">
      <c r="AH670" s="35"/>
      <c r="AI670" s="35"/>
    </row>
    <row r="671" ht="15.75" customHeight="1">
      <c r="AH671" s="35"/>
      <c r="AI671" s="35"/>
    </row>
    <row r="672" ht="15.75" customHeight="1">
      <c r="AH672" s="35"/>
      <c r="AI672" s="35"/>
    </row>
    <row r="673" ht="15.75" customHeight="1">
      <c r="AH673" s="35"/>
      <c r="AI673" s="35"/>
    </row>
    <row r="674" ht="15.75" customHeight="1">
      <c r="AH674" s="35"/>
      <c r="AI674" s="35"/>
    </row>
    <row r="675" ht="15.75" customHeight="1">
      <c r="AH675" s="35"/>
      <c r="AI675" s="35"/>
    </row>
    <row r="676" ht="15.75" customHeight="1">
      <c r="AH676" s="35"/>
      <c r="AI676" s="35"/>
    </row>
    <row r="677" ht="15.75" customHeight="1">
      <c r="AH677" s="35"/>
      <c r="AI677" s="35"/>
    </row>
    <row r="678" ht="15.75" customHeight="1">
      <c r="AH678" s="35"/>
      <c r="AI678" s="35"/>
    </row>
    <row r="679" ht="15.75" customHeight="1">
      <c r="AH679" s="35"/>
      <c r="AI679" s="35"/>
    </row>
    <row r="680" ht="15.75" customHeight="1">
      <c r="AH680" s="35"/>
      <c r="AI680" s="35"/>
    </row>
    <row r="681" ht="15.75" customHeight="1">
      <c r="AH681" s="35"/>
      <c r="AI681" s="35"/>
    </row>
    <row r="682" ht="15.75" customHeight="1">
      <c r="AH682" s="35"/>
      <c r="AI682" s="35"/>
    </row>
    <row r="683" ht="15.75" customHeight="1">
      <c r="AH683" s="35"/>
      <c r="AI683" s="35"/>
    </row>
    <row r="684" ht="15.75" customHeight="1">
      <c r="AH684" s="35"/>
      <c r="AI684" s="35"/>
    </row>
    <row r="685" ht="15.75" customHeight="1">
      <c r="AH685" s="35"/>
      <c r="AI685" s="35"/>
    </row>
    <row r="686" ht="15.75" customHeight="1">
      <c r="AH686" s="35"/>
      <c r="AI686" s="35"/>
    </row>
    <row r="687" ht="15.75" customHeight="1">
      <c r="AH687" s="35"/>
      <c r="AI687" s="35"/>
    </row>
    <row r="688" ht="15.75" customHeight="1">
      <c r="AH688" s="35"/>
      <c r="AI688" s="35"/>
    </row>
    <row r="689" ht="15.75" customHeight="1">
      <c r="AH689" s="35"/>
      <c r="AI689" s="35"/>
    </row>
    <row r="690" ht="15.75" customHeight="1">
      <c r="AH690" s="35"/>
      <c r="AI690" s="35"/>
    </row>
    <row r="691" ht="15.75" customHeight="1">
      <c r="AH691" s="35"/>
      <c r="AI691" s="35"/>
    </row>
    <row r="692" ht="15.75" customHeight="1">
      <c r="AH692" s="35"/>
      <c r="AI692" s="35"/>
    </row>
    <row r="693" ht="15.75" customHeight="1">
      <c r="AH693" s="35"/>
      <c r="AI693" s="35"/>
    </row>
    <row r="694" ht="15.75" customHeight="1">
      <c r="AH694" s="35"/>
      <c r="AI694" s="35"/>
    </row>
    <row r="695" ht="15.75" customHeight="1">
      <c r="AH695" s="35"/>
      <c r="AI695" s="35"/>
    </row>
    <row r="696" ht="15.75" customHeight="1">
      <c r="AH696" s="35"/>
      <c r="AI696" s="35"/>
    </row>
    <row r="697" ht="15.75" customHeight="1">
      <c r="AH697" s="35"/>
      <c r="AI697" s="35"/>
    </row>
    <row r="698" ht="15.75" customHeight="1">
      <c r="AH698" s="35"/>
      <c r="AI698" s="35"/>
    </row>
    <row r="699" ht="15.75" customHeight="1">
      <c r="AH699" s="35"/>
      <c r="AI699" s="35"/>
    </row>
    <row r="700" ht="15.75" customHeight="1">
      <c r="AH700" s="35"/>
      <c r="AI700" s="35"/>
    </row>
    <row r="701" ht="15.75" customHeight="1">
      <c r="AH701" s="35"/>
      <c r="AI701" s="35"/>
    </row>
    <row r="702" ht="15.75" customHeight="1">
      <c r="AH702" s="35"/>
      <c r="AI702" s="35"/>
    </row>
    <row r="703" ht="15.75" customHeight="1">
      <c r="AH703" s="35"/>
      <c r="AI703" s="35"/>
    </row>
    <row r="704" ht="15.75" customHeight="1">
      <c r="AH704" s="35"/>
      <c r="AI704" s="35"/>
    </row>
    <row r="705" ht="15.75" customHeight="1">
      <c r="AH705" s="35"/>
      <c r="AI705" s="35"/>
    </row>
    <row r="706" ht="15.75" customHeight="1">
      <c r="AH706" s="35"/>
      <c r="AI706" s="35"/>
    </row>
    <row r="707" ht="15.75" customHeight="1">
      <c r="AH707" s="35"/>
      <c r="AI707" s="35"/>
    </row>
    <row r="708" ht="15.75" customHeight="1">
      <c r="AH708" s="35"/>
      <c r="AI708" s="35"/>
    </row>
    <row r="709" ht="15.75" customHeight="1">
      <c r="AH709" s="35"/>
      <c r="AI709" s="35"/>
    </row>
    <row r="710" ht="15.75" customHeight="1">
      <c r="AH710" s="35"/>
      <c r="AI710" s="35"/>
    </row>
    <row r="711" ht="15.75" customHeight="1">
      <c r="AH711" s="35"/>
      <c r="AI711" s="35"/>
    </row>
    <row r="712" ht="15.75" customHeight="1">
      <c r="AH712" s="35"/>
      <c r="AI712" s="35"/>
    </row>
    <row r="713" ht="15.75" customHeight="1">
      <c r="AH713" s="35"/>
      <c r="AI713" s="35"/>
    </row>
    <row r="714" ht="15.75" customHeight="1">
      <c r="AH714" s="35"/>
      <c r="AI714" s="35"/>
    </row>
    <row r="715" ht="15.75" customHeight="1">
      <c r="AH715" s="35"/>
      <c r="AI715" s="35"/>
    </row>
    <row r="716" ht="15.75" customHeight="1">
      <c r="AH716" s="35"/>
      <c r="AI716" s="35"/>
    </row>
    <row r="717" ht="15.75" customHeight="1">
      <c r="AH717" s="35"/>
      <c r="AI717" s="35"/>
    </row>
    <row r="718" ht="15.75" customHeight="1">
      <c r="AH718" s="35"/>
      <c r="AI718" s="35"/>
    </row>
    <row r="719" ht="15.75" customHeight="1">
      <c r="AH719" s="35"/>
      <c r="AI719" s="35"/>
    </row>
    <row r="720" ht="15.75" customHeight="1">
      <c r="AH720" s="35"/>
      <c r="AI720" s="35"/>
    </row>
    <row r="721" ht="15.75" customHeight="1">
      <c r="AH721" s="35"/>
      <c r="AI721" s="35"/>
    </row>
    <row r="722" ht="15.75" customHeight="1">
      <c r="AH722" s="35"/>
      <c r="AI722" s="35"/>
    </row>
    <row r="723" ht="15.75" customHeight="1">
      <c r="AH723" s="35"/>
      <c r="AI723" s="35"/>
    </row>
    <row r="724" ht="15.75" customHeight="1">
      <c r="AH724" s="35"/>
      <c r="AI724" s="35"/>
    </row>
    <row r="725" ht="15.75" customHeight="1">
      <c r="AH725" s="35"/>
      <c r="AI725" s="35"/>
    </row>
    <row r="726" ht="15.75" customHeight="1">
      <c r="AH726" s="35"/>
      <c r="AI726" s="35"/>
    </row>
    <row r="727" ht="15.75" customHeight="1">
      <c r="AH727" s="35"/>
      <c r="AI727" s="35"/>
    </row>
    <row r="728" ht="15.75" customHeight="1">
      <c r="AH728" s="35"/>
      <c r="AI728" s="35"/>
    </row>
    <row r="729" ht="15.75" customHeight="1">
      <c r="AH729" s="35"/>
      <c r="AI729" s="35"/>
    </row>
    <row r="730" ht="15.75" customHeight="1">
      <c r="AH730" s="35"/>
      <c r="AI730" s="35"/>
    </row>
    <row r="731" ht="15.75" customHeight="1">
      <c r="AH731" s="35"/>
      <c r="AI731" s="35"/>
    </row>
    <row r="732" ht="15.75" customHeight="1">
      <c r="AH732" s="35"/>
      <c r="AI732" s="35"/>
    </row>
    <row r="733" ht="15.75" customHeight="1">
      <c r="AH733" s="35"/>
      <c r="AI733" s="35"/>
    </row>
    <row r="734" ht="15.75" customHeight="1">
      <c r="AH734" s="35"/>
      <c r="AI734" s="35"/>
    </row>
    <row r="735" ht="15.75" customHeight="1">
      <c r="AH735" s="35"/>
      <c r="AI735" s="35"/>
    </row>
    <row r="736" ht="15.75" customHeight="1">
      <c r="AH736" s="35"/>
      <c r="AI736" s="35"/>
    </row>
    <row r="737" ht="15.75" customHeight="1">
      <c r="AH737" s="35"/>
      <c r="AI737" s="35"/>
    </row>
    <row r="738" ht="15.75" customHeight="1">
      <c r="AH738" s="35"/>
      <c r="AI738" s="35"/>
    </row>
    <row r="739" ht="15.75" customHeight="1">
      <c r="AH739" s="35"/>
      <c r="AI739" s="35"/>
    </row>
    <row r="740" ht="15.75" customHeight="1">
      <c r="AH740" s="35"/>
      <c r="AI740" s="35"/>
    </row>
    <row r="741" ht="15.75" customHeight="1">
      <c r="AH741" s="35"/>
      <c r="AI741" s="35"/>
    </row>
    <row r="742" ht="15.75" customHeight="1">
      <c r="AH742" s="35"/>
      <c r="AI742" s="35"/>
    </row>
    <row r="743" ht="15.75" customHeight="1">
      <c r="AH743" s="35"/>
      <c r="AI743" s="35"/>
    </row>
    <row r="744" ht="15.75" customHeight="1">
      <c r="AH744" s="35"/>
      <c r="AI744" s="35"/>
    </row>
    <row r="745" ht="15.75" customHeight="1">
      <c r="AH745" s="35"/>
      <c r="AI745" s="35"/>
    </row>
    <row r="746" ht="15.75" customHeight="1">
      <c r="AH746" s="35"/>
      <c r="AI746" s="35"/>
    </row>
    <row r="747" ht="15.75" customHeight="1">
      <c r="AH747" s="35"/>
      <c r="AI747" s="35"/>
    </row>
    <row r="748" ht="15.75" customHeight="1">
      <c r="AH748" s="35"/>
      <c r="AI748" s="35"/>
    </row>
    <row r="749" ht="15.75" customHeight="1">
      <c r="AH749" s="35"/>
      <c r="AI749" s="35"/>
    </row>
    <row r="750" ht="15.75" customHeight="1">
      <c r="AH750" s="35"/>
      <c r="AI750" s="35"/>
    </row>
    <row r="751" ht="15.75" customHeight="1">
      <c r="AH751" s="35"/>
      <c r="AI751" s="35"/>
    </row>
    <row r="752" ht="15.75" customHeight="1">
      <c r="AH752" s="35"/>
      <c r="AI752" s="35"/>
    </row>
    <row r="753" ht="15.75" customHeight="1">
      <c r="AH753" s="35"/>
      <c r="AI753" s="35"/>
    </row>
    <row r="754" ht="15.75" customHeight="1">
      <c r="AH754" s="35"/>
      <c r="AI754" s="35"/>
    </row>
    <row r="755" ht="15.75" customHeight="1">
      <c r="AH755" s="35"/>
      <c r="AI755" s="35"/>
    </row>
    <row r="756" ht="15.75" customHeight="1">
      <c r="AH756" s="35"/>
      <c r="AI756" s="35"/>
    </row>
    <row r="757" ht="15.75" customHeight="1">
      <c r="AH757" s="35"/>
      <c r="AI757" s="35"/>
    </row>
    <row r="758" ht="15.75" customHeight="1">
      <c r="AH758" s="35"/>
      <c r="AI758" s="35"/>
    </row>
    <row r="759" ht="15.75" customHeight="1">
      <c r="AH759" s="35"/>
      <c r="AI759" s="35"/>
    </row>
    <row r="760" ht="15.75" customHeight="1">
      <c r="AH760" s="35"/>
      <c r="AI760" s="35"/>
    </row>
    <row r="761" ht="15.75" customHeight="1">
      <c r="AH761" s="35"/>
      <c r="AI761" s="35"/>
    </row>
    <row r="762" ht="15.75" customHeight="1">
      <c r="AH762" s="35"/>
      <c r="AI762" s="35"/>
    </row>
    <row r="763" ht="15.75" customHeight="1">
      <c r="AH763" s="35"/>
      <c r="AI763" s="35"/>
    </row>
    <row r="764" ht="15.75" customHeight="1">
      <c r="AH764" s="35"/>
      <c r="AI764" s="35"/>
    </row>
    <row r="765" ht="15.75" customHeight="1">
      <c r="AH765" s="35"/>
      <c r="AI765" s="35"/>
    </row>
    <row r="766" ht="15.75" customHeight="1">
      <c r="AH766" s="35"/>
      <c r="AI766" s="35"/>
    </row>
    <row r="767" ht="15.75" customHeight="1">
      <c r="AH767" s="35"/>
      <c r="AI767" s="35"/>
    </row>
    <row r="768" ht="15.75" customHeight="1">
      <c r="AH768" s="35"/>
      <c r="AI768" s="35"/>
    </row>
    <row r="769" ht="15.75" customHeight="1">
      <c r="AH769" s="35"/>
      <c r="AI769" s="35"/>
    </row>
    <row r="770" ht="15.75" customHeight="1">
      <c r="AH770" s="35"/>
      <c r="AI770" s="35"/>
    </row>
    <row r="771" ht="15.75" customHeight="1">
      <c r="AH771" s="35"/>
      <c r="AI771" s="35"/>
    </row>
    <row r="772" ht="15.75" customHeight="1">
      <c r="AH772" s="35"/>
      <c r="AI772" s="35"/>
    </row>
    <row r="773" ht="15.75" customHeight="1">
      <c r="AH773" s="35"/>
      <c r="AI773" s="35"/>
    </row>
    <row r="774" ht="15.75" customHeight="1">
      <c r="AH774" s="35"/>
      <c r="AI774" s="35"/>
    </row>
    <row r="775" ht="15.75" customHeight="1">
      <c r="AH775" s="35"/>
      <c r="AI775" s="35"/>
    </row>
    <row r="776" ht="15.75" customHeight="1">
      <c r="AH776" s="35"/>
      <c r="AI776" s="35"/>
    </row>
    <row r="777" ht="15.75" customHeight="1">
      <c r="AH777" s="35"/>
      <c r="AI777" s="35"/>
    </row>
    <row r="778" ht="15.75" customHeight="1">
      <c r="AH778" s="35"/>
      <c r="AI778" s="35"/>
    </row>
    <row r="779" ht="15.75" customHeight="1">
      <c r="AH779" s="35"/>
      <c r="AI779" s="35"/>
    </row>
    <row r="780" ht="15.75" customHeight="1">
      <c r="AH780" s="35"/>
      <c r="AI780" s="35"/>
    </row>
    <row r="781" ht="15.75" customHeight="1">
      <c r="AH781" s="35"/>
      <c r="AI781" s="35"/>
    </row>
    <row r="782" ht="15.75" customHeight="1">
      <c r="AH782" s="35"/>
      <c r="AI782" s="35"/>
    </row>
    <row r="783" ht="15.75" customHeight="1">
      <c r="AH783" s="35"/>
      <c r="AI783" s="35"/>
    </row>
    <row r="784" ht="15.75" customHeight="1">
      <c r="AH784" s="35"/>
      <c r="AI784" s="35"/>
    </row>
    <row r="785" ht="15.75" customHeight="1">
      <c r="AH785" s="35"/>
      <c r="AI785" s="35"/>
    </row>
    <row r="786" ht="15.75" customHeight="1">
      <c r="AH786" s="35"/>
      <c r="AI786" s="35"/>
    </row>
    <row r="787" ht="15.75" customHeight="1">
      <c r="AH787" s="35"/>
      <c r="AI787" s="35"/>
    </row>
    <row r="788" ht="15.75" customHeight="1">
      <c r="AH788" s="35"/>
      <c r="AI788" s="35"/>
    </row>
    <row r="789" ht="15.75" customHeight="1">
      <c r="AH789" s="35"/>
      <c r="AI789" s="35"/>
    </row>
    <row r="790" ht="15.75" customHeight="1">
      <c r="AH790" s="35"/>
      <c r="AI790" s="35"/>
    </row>
    <row r="791" ht="15.75" customHeight="1">
      <c r="AH791" s="35"/>
      <c r="AI791" s="35"/>
    </row>
    <row r="792" ht="15.75" customHeight="1">
      <c r="AH792" s="35"/>
      <c r="AI792" s="35"/>
    </row>
    <row r="793" ht="15.75" customHeight="1">
      <c r="AH793" s="35"/>
      <c r="AI793" s="35"/>
    </row>
    <row r="794" ht="15.75" customHeight="1">
      <c r="AH794" s="35"/>
      <c r="AI794" s="35"/>
    </row>
    <row r="795" ht="15.75" customHeight="1">
      <c r="AH795" s="35"/>
      <c r="AI795" s="35"/>
    </row>
    <row r="796" ht="15.75" customHeight="1">
      <c r="AH796" s="35"/>
      <c r="AI796" s="35"/>
    </row>
    <row r="797" ht="15.75" customHeight="1">
      <c r="AH797" s="35"/>
      <c r="AI797" s="35"/>
    </row>
    <row r="798" ht="15.75" customHeight="1">
      <c r="AH798" s="35"/>
      <c r="AI798" s="35"/>
    </row>
    <row r="799" ht="15.75" customHeight="1">
      <c r="AH799" s="35"/>
      <c r="AI799" s="35"/>
    </row>
    <row r="800" ht="15.75" customHeight="1">
      <c r="AH800" s="35"/>
      <c r="AI800" s="35"/>
    </row>
    <row r="801" ht="15.75" customHeight="1">
      <c r="AH801" s="35"/>
      <c r="AI801" s="35"/>
    </row>
    <row r="802" ht="15.75" customHeight="1">
      <c r="AH802" s="35"/>
      <c r="AI802" s="35"/>
    </row>
    <row r="803" ht="15.75" customHeight="1">
      <c r="AH803" s="35"/>
      <c r="AI803" s="35"/>
    </row>
    <row r="804" ht="15.75" customHeight="1">
      <c r="AH804" s="35"/>
      <c r="AI804" s="35"/>
    </row>
    <row r="805" ht="15.75" customHeight="1">
      <c r="AH805" s="35"/>
      <c r="AI805" s="35"/>
    </row>
    <row r="806" ht="15.75" customHeight="1">
      <c r="AH806" s="35"/>
      <c r="AI806" s="35"/>
    </row>
    <row r="807" ht="15.75" customHeight="1">
      <c r="AH807" s="35"/>
      <c r="AI807" s="35"/>
    </row>
    <row r="808" ht="15.75" customHeight="1">
      <c r="AH808" s="35"/>
      <c r="AI808" s="35"/>
    </row>
    <row r="809" ht="15.75" customHeight="1">
      <c r="AH809" s="35"/>
      <c r="AI809" s="35"/>
    </row>
    <row r="810" ht="15.75" customHeight="1">
      <c r="AH810" s="35"/>
      <c r="AI810" s="35"/>
    </row>
    <row r="811" ht="15.75" customHeight="1">
      <c r="AH811" s="35"/>
      <c r="AI811" s="35"/>
    </row>
    <row r="812" ht="15.75" customHeight="1">
      <c r="AH812" s="35"/>
      <c r="AI812" s="35"/>
    </row>
    <row r="813" ht="15.75" customHeight="1">
      <c r="AH813" s="35"/>
      <c r="AI813" s="35"/>
    </row>
    <row r="814" ht="15.75" customHeight="1">
      <c r="AH814" s="35"/>
      <c r="AI814" s="35"/>
    </row>
    <row r="815" ht="15.75" customHeight="1">
      <c r="AH815" s="35"/>
      <c r="AI815" s="35"/>
    </row>
    <row r="816" ht="15.75" customHeight="1">
      <c r="AH816" s="35"/>
      <c r="AI816" s="35"/>
    </row>
    <row r="817" ht="15.75" customHeight="1">
      <c r="AH817" s="35"/>
      <c r="AI817" s="35"/>
    </row>
    <row r="818" ht="15.75" customHeight="1">
      <c r="AH818" s="35"/>
      <c r="AI818" s="35"/>
    </row>
    <row r="819" ht="15.75" customHeight="1">
      <c r="AH819" s="35"/>
      <c r="AI819" s="35"/>
    </row>
    <row r="820" ht="15.75" customHeight="1">
      <c r="AH820" s="35"/>
      <c r="AI820" s="35"/>
    </row>
    <row r="821" ht="15.75" customHeight="1">
      <c r="AH821" s="35"/>
      <c r="AI821" s="35"/>
    </row>
    <row r="822" ht="15.75" customHeight="1">
      <c r="AH822" s="35"/>
      <c r="AI822" s="35"/>
    </row>
    <row r="823" ht="15.75" customHeight="1">
      <c r="AH823" s="35"/>
      <c r="AI823" s="35"/>
    </row>
    <row r="824" ht="15.75" customHeight="1">
      <c r="AH824" s="35"/>
      <c r="AI824" s="35"/>
    </row>
    <row r="825" ht="15.75" customHeight="1">
      <c r="AH825" s="35"/>
      <c r="AI825" s="35"/>
    </row>
    <row r="826" ht="15.75" customHeight="1">
      <c r="AH826" s="35"/>
      <c r="AI826" s="35"/>
    </row>
    <row r="827" ht="15.75" customHeight="1">
      <c r="AH827" s="35"/>
      <c r="AI827" s="35"/>
    </row>
    <row r="828" ht="15.75" customHeight="1">
      <c r="AH828" s="35"/>
      <c r="AI828" s="35"/>
    </row>
    <row r="829" ht="15.75" customHeight="1">
      <c r="AH829" s="35"/>
      <c r="AI829" s="35"/>
    </row>
    <row r="830" ht="15.75" customHeight="1">
      <c r="AH830" s="35"/>
      <c r="AI830" s="35"/>
    </row>
    <row r="831" ht="15.75" customHeight="1">
      <c r="AH831" s="35"/>
      <c r="AI831" s="35"/>
    </row>
    <row r="832" ht="15.75" customHeight="1">
      <c r="AH832" s="35"/>
      <c r="AI832" s="35"/>
    </row>
    <row r="833" ht="15.75" customHeight="1">
      <c r="AH833" s="35"/>
      <c r="AI833" s="35"/>
    </row>
    <row r="834" ht="15.75" customHeight="1">
      <c r="AH834" s="35"/>
      <c r="AI834" s="35"/>
    </row>
    <row r="835" ht="15.75" customHeight="1">
      <c r="AH835" s="35"/>
      <c r="AI835" s="35"/>
    </row>
    <row r="836" ht="15.75" customHeight="1">
      <c r="AH836" s="35"/>
      <c r="AI836" s="35"/>
    </row>
    <row r="837" ht="15.75" customHeight="1">
      <c r="AH837" s="35"/>
      <c r="AI837" s="35"/>
    </row>
    <row r="838" ht="15.75" customHeight="1">
      <c r="AH838" s="35"/>
      <c r="AI838" s="35"/>
    </row>
    <row r="839" ht="15.75" customHeight="1">
      <c r="AH839" s="35"/>
      <c r="AI839" s="35"/>
    </row>
    <row r="840" ht="15.75" customHeight="1">
      <c r="AH840" s="35"/>
      <c r="AI840" s="35"/>
    </row>
    <row r="841" ht="15.75" customHeight="1">
      <c r="AH841" s="35"/>
      <c r="AI841" s="35"/>
    </row>
    <row r="842" ht="15.75" customHeight="1">
      <c r="AH842" s="35"/>
      <c r="AI842" s="35"/>
    </row>
    <row r="843" ht="15.75" customHeight="1">
      <c r="AH843" s="35"/>
      <c r="AI843" s="35"/>
    </row>
    <row r="844" ht="15.75" customHeight="1">
      <c r="AH844" s="35"/>
      <c r="AI844" s="35"/>
    </row>
    <row r="845" ht="15.75" customHeight="1">
      <c r="AH845" s="35"/>
      <c r="AI845" s="35"/>
    </row>
    <row r="846" ht="15.75" customHeight="1">
      <c r="AH846" s="35"/>
      <c r="AI846" s="35"/>
    </row>
    <row r="847" ht="15.75" customHeight="1">
      <c r="AH847" s="35"/>
      <c r="AI847" s="35"/>
    </row>
    <row r="848" ht="15.75" customHeight="1">
      <c r="AH848" s="35"/>
      <c r="AI848" s="35"/>
    </row>
    <row r="849" ht="15.75" customHeight="1">
      <c r="AH849" s="35"/>
      <c r="AI849" s="35"/>
    </row>
    <row r="850" ht="15.75" customHeight="1">
      <c r="AH850" s="35"/>
      <c r="AI850" s="35"/>
    </row>
    <row r="851" ht="15.75" customHeight="1">
      <c r="AH851" s="35"/>
      <c r="AI851" s="35"/>
    </row>
    <row r="852" ht="15.75" customHeight="1">
      <c r="AH852" s="35"/>
      <c r="AI852" s="35"/>
    </row>
    <row r="853" ht="15.75" customHeight="1">
      <c r="AH853" s="35"/>
      <c r="AI853" s="35"/>
    </row>
    <row r="854" ht="15.75" customHeight="1">
      <c r="AH854" s="35"/>
      <c r="AI854" s="35"/>
    </row>
    <row r="855" ht="15.75" customHeight="1">
      <c r="AH855" s="35"/>
      <c r="AI855" s="35"/>
    </row>
    <row r="856" ht="15.75" customHeight="1">
      <c r="AH856" s="35"/>
      <c r="AI856" s="35"/>
    </row>
    <row r="857" ht="15.75" customHeight="1">
      <c r="AH857" s="35"/>
      <c r="AI857" s="35"/>
    </row>
    <row r="858" ht="15.75" customHeight="1">
      <c r="AH858" s="35"/>
      <c r="AI858" s="35"/>
    </row>
    <row r="859" ht="15.75" customHeight="1">
      <c r="AH859" s="35"/>
      <c r="AI859" s="35"/>
    </row>
    <row r="860" ht="15.75" customHeight="1">
      <c r="AH860" s="35"/>
      <c r="AI860" s="35"/>
    </row>
    <row r="861" ht="15.75" customHeight="1">
      <c r="AH861" s="35"/>
      <c r="AI861" s="35"/>
    </row>
    <row r="862" ht="15.75" customHeight="1">
      <c r="AH862" s="35"/>
      <c r="AI862" s="35"/>
    </row>
    <row r="863" ht="15.75" customHeight="1">
      <c r="AH863" s="35"/>
      <c r="AI863" s="35"/>
    </row>
    <row r="864" ht="15.75" customHeight="1">
      <c r="AH864" s="35"/>
      <c r="AI864" s="35"/>
    </row>
    <row r="865" ht="15.75" customHeight="1">
      <c r="AH865" s="35"/>
      <c r="AI865" s="35"/>
    </row>
    <row r="866" ht="15.75" customHeight="1">
      <c r="AH866" s="35"/>
      <c r="AI866" s="35"/>
    </row>
    <row r="867" ht="15.75" customHeight="1">
      <c r="AH867" s="35"/>
      <c r="AI867" s="35"/>
    </row>
    <row r="868" ht="15.75" customHeight="1">
      <c r="AH868" s="35"/>
      <c r="AI868" s="35"/>
    </row>
    <row r="869" ht="15.75" customHeight="1">
      <c r="AH869" s="35"/>
      <c r="AI869" s="35"/>
    </row>
    <row r="870" ht="15.75" customHeight="1">
      <c r="AH870" s="35"/>
      <c r="AI870" s="35"/>
    </row>
    <row r="871" ht="15.75" customHeight="1">
      <c r="AH871" s="35"/>
      <c r="AI871" s="35"/>
    </row>
    <row r="872" ht="15.75" customHeight="1">
      <c r="AH872" s="35"/>
      <c r="AI872" s="35"/>
    </row>
    <row r="873" ht="15.75" customHeight="1">
      <c r="AH873" s="35"/>
      <c r="AI873" s="35"/>
    </row>
    <row r="874" ht="15.75" customHeight="1">
      <c r="AH874" s="35"/>
      <c r="AI874" s="35"/>
    </row>
    <row r="875" ht="15.75" customHeight="1">
      <c r="AH875" s="35"/>
      <c r="AI875" s="35"/>
    </row>
    <row r="876" ht="15.75" customHeight="1">
      <c r="AH876" s="35"/>
      <c r="AI876" s="35"/>
    </row>
    <row r="877" ht="15.75" customHeight="1">
      <c r="AH877" s="35"/>
      <c r="AI877" s="35"/>
    </row>
    <row r="878" ht="15.75" customHeight="1">
      <c r="AH878" s="35"/>
      <c r="AI878" s="35"/>
    </row>
    <row r="879" ht="15.75" customHeight="1">
      <c r="AH879" s="35"/>
      <c r="AI879" s="35"/>
    </row>
    <row r="880" ht="15.75" customHeight="1">
      <c r="AH880" s="35"/>
      <c r="AI880" s="35"/>
    </row>
    <row r="881" ht="15.75" customHeight="1">
      <c r="AH881" s="35"/>
      <c r="AI881" s="35"/>
    </row>
    <row r="882" ht="15.75" customHeight="1">
      <c r="AH882" s="35"/>
      <c r="AI882" s="35"/>
    </row>
    <row r="883" ht="15.75" customHeight="1">
      <c r="AH883" s="35"/>
      <c r="AI883" s="35"/>
    </row>
    <row r="884" ht="15.75" customHeight="1">
      <c r="AH884" s="35"/>
      <c r="AI884" s="35"/>
    </row>
    <row r="885" ht="15.75" customHeight="1">
      <c r="AH885" s="35"/>
      <c r="AI885" s="35"/>
    </row>
    <row r="886" ht="15.75" customHeight="1">
      <c r="AH886" s="35"/>
      <c r="AI886" s="35"/>
    </row>
    <row r="887" ht="15.75" customHeight="1">
      <c r="AH887" s="35"/>
      <c r="AI887" s="35"/>
    </row>
    <row r="888" ht="15.75" customHeight="1">
      <c r="AH888" s="35"/>
      <c r="AI888" s="35"/>
    </row>
    <row r="889" ht="15.75" customHeight="1">
      <c r="AH889" s="35"/>
      <c r="AI889" s="35"/>
    </row>
    <row r="890" ht="15.75" customHeight="1">
      <c r="AH890" s="35"/>
      <c r="AI890" s="35"/>
    </row>
    <row r="891" ht="15.75" customHeight="1">
      <c r="AH891" s="35"/>
      <c r="AI891" s="35"/>
    </row>
    <row r="892" ht="15.75" customHeight="1">
      <c r="AH892" s="35"/>
      <c r="AI892" s="35"/>
    </row>
    <row r="893" ht="15.75" customHeight="1">
      <c r="AH893" s="35"/>
      <c r="AI893" s="35"/>
    </row>
    <row r="894" ht="15.75" customHeight="1">
      <c r="AH894" s="35"/>
      <c r="AI894" s="35"/>
    </row>
    <row r="895" ht="15.75" customHeight="1">
      <c r="AH895" s="35"/>
      <c r="AI895" s="35"/>
    </row>
    <row r="896" ht="15.75" customHeight="1">
      <c r="AH896" s="35"/>
      <c r="AI896" s="35"/>
    </row>
    <row r="897" ht="15.75" customHeight="1">
      <c r="AH897" s="35"/>
      <c r="AI897" s="35"/>
    </row>
    <row r="898" ht="15.75" customHeight="1">
      <c r="AH898" s="35"/>
      <c r="AI898" s="35"/>
    </row>
    <row r="899" ht="15.75" customHeight="1">
      <c r="AH899" s="35"/>
      <c r="AI899" s="35"/>
    </row>
    <row r="900" ht="15.75" customHeight="1">
      <c r="AH900" s="35"/>
      <c r="AI900" s="35"/>
    </row>
    <row r="901" ht="15.75" customHeight="1">
      <c r="AH901" s="35"/>
      <c r="AI901" s="35"/>
    </row>
    <row r="902" ht="15.75" customHeight="1">
      <c r="AH902" s="35"/>
      <c r="AI902" s="35"/>
    </row>
    <row r="903" ht="15.75" customHeight="1">
      <c r="AH903" s="35"/>
      <c r="AI903" s="35"/>
    </row>
    <row r="904" ht="15.75" customHeight="1">
      <c r="AH904" s="35"/>
      <c r="AI904" s="35"/>
    </row>
    <row r="905" ht="15.75" customHeight="1">
      <c r="AH905" s="35"/>
      <c r="AI905" s="35"/>
    </row>
    <row r="906" ht="15.75" customHeight="1">
      <c r="AH906" s="35"/>
      <c r="AI906" s="35"/>
    </row>
    <row r="907" ht="15.75" customHeight="1">
      <c r="AH907" s="35"/>
      <c r="AI907" s="35"/>
    </row>
    <row r="908" ht="15.75" customHeight="1">
      <c r="AH908" s="35"/>
      <c r="AI908" s="35"/>
    </row>
    <row r="909" ht="15.75" customHeight="1">
      <c r="AH909" s="35"/>
      <c r="AI909" s="35"/>
    </row>
    <row r="910" ht="15.75" customHeight="1">
      <c r="AH910" s="35"/>
      <c r="AI910" s="35"/>
    </row>
    <row r="911" ht="15.75" customHeight="1">
      <c r="AH911" s="35"/>
      <c r="AI911" s="35"/>
    </row>
    <row r="912" ht="15.75" customHeight="1">
      <c r="AH912" s="35"/>
      <c r="AI912" s="35"/>
    </row>
    <row r="913" ht="15.75" customHeight="1">
      <c r="AH913" s="35"/>
      <c r="AI913" s="35"/>
    </row>
    <row r="914" ht="15.75" customHeight="1">
      <c r="AH914" s="35"/>
      <c r="AI914" s="35"/>
    </row>
    <row r="915" ht="15.75" customHeight="1">
      <c r="AH915" s="35"/>
      <c r="AI915" s="35"/>
    </row>
    <row r="916" ht="15.75" customHeight="1">
      <c r="AH916" s="35"/>
      <c r="AI916" s="35"/>
    </row>
    <row r="917" ht="15.75" customHeight="1">
      <c r="AH917" s="35"/>
      <c r="AI917" s="35"/>
    </row>
    <row r="918" ht="15.75" customHeight="1">
      <c r="AH918" s="35"/>
      <c r="AI918" s="35"/>
    </row>
    <row r="919" ht="15.75" customHeight="1">
      <c r="AH919" s="35"/>
      <c r="AI919" s="35"/>
    </row>
    <row r="920" ht="15.75" customHeight="1">
      <c r="AH920" s="35"/>
      <c r="AI920" s="35"/>
    </row>
    <row r="921" ht="15.75" customHeight="1">
      <c r="AH921" s="35"/>
      <c r="AI921" s="35"/>
    </row>
    <row r="922" ht="15.75" customHeight="1">
      <c r="AH922" s="35"/>
      <c r="AI922" s="35"/>
    </row>
    <row r="923" ht="15.75" customHeight="1">
      <c r="AH923" s="35"/>
      <c r="AI923" s="35"/>
    </row>
    <row r="924" ht="15.75" customHeight="1">
      <c r="AH924" s="35"/>
      <c r="AI924" s="35"/>
    </row>
    <row r="925" ht="15.75" customHeight="1">
      <c r="AH925" s="35"/>
      <c r="AI925" s="35"/>
    </row>
    <row r="926" ht="15.75" customHeight="1">
      <c r="AH926" s="35"/>
      <c r="AI926" s="35"/>
    </row>
    <row r="927" ht="15.75" customHeight="1">
      <c r="AH927" s="35"/>
      <c r="AI927" s="35"/>
    </row>
    <row r="928" ht="15.75" customHeight="1">
      <c r="AH928" s="35"/>
      <c r="AI928" s="35"/>
    </row>
    <row r="929" ht="15.75" customHeight="1">
      <c r="AH929" s="35"/>
      <c r="AI929" s="35"/>
    </row>
    <row r="930" ht="15.75" customHeight="1">
      <c r="AH930" s="35"/>
      <c r="AI930" s="35"/>
    </row>
    <row r="931" ht="15.75" customHeight="1">
      <c r="AH931" s="35"/>
      <c r="AI931" s="35"/>
    </row>
    <row r="932" ht="15.75" customHeight="1">
      <c r="AH932" s="35"/>
      <c r="AI932" s="35"/>
    </row>
    <row r="933" ht="15.75" customHeight="1">
      <c r="AH933" s="35"/>
      <c r="AI933" s="35"/>
    </row>
    <row r="934" ht="15.75" customHeight="1">
      <c r="AH934" s="35"/>
      <c r="AI934" s="35"/>
    </row>
    <row r="935" ht="15.75" customHeight="1">
      <c r="AH935" s="35"/>
      <c r="AI935" s="35"/>
    </row>
    <row r="936" ht="15.75" customHeight="1">
      <c r="AH936" s="35"/>
      <c r="AI936" s="35"/>
    </row>
    <row r="937" ht="15.75" customHeight="1">
      <c r="AH937" s="35"/>
      <c r="AI937" s="35"/>
    </row>
    <row r="938" ht="15.75" customHeight="1">
      <c r="AH938" s="35"/>
      <c r="AI938" s="35"/>
    </row>
    <row r="939" ht="15.75" customHeight="1">
      <c r="AH939" s="35"/>
      <c r="AI939" s="35"/>
    </row>
    <row r="940" ht="15.75" customHeight="1">
      <c r="AH940" s="35"/>
      <c r="AI940" s="35"/>
    </row>
    <row r="941" ht="15.75" customHeight="1">
      <c r="AH941" s="35"/>
      <c r="AI941" s="35"/>
    </row>
    <row r="942" ht="15.75" customHeight="1">
      <c r="AH942" s="35"/>
      <c r="AI942" s="35"/>
    </row>
    <row r="943" ht="15.75" customHeight="1">
      <c r="AH943" s="35"/>
      <c r="AI943" s="35"/>
    </row>
    <row r="944" ht="15.75" customHeight="1">
      <c r="AH944" s="35"/>
      <c r="AI944" s="35"/>
    </row>
    <row r="945" ht="15.75" customHeight="1">
      <c r="AH945" s="35"/>
      <c r="AI945" s="35"/>
    </row>
    <row r="946" ht="15.75" customHeight="1">
      <c r="AH946" s="35"/>
      <c r="AI946" s="35"/>
    </row>
    <row r="947" ht="15.75" customHeight="1">
      <c r="AH947" s="35"/>
      <c r="AI947" s="35"/>
    </row>
    <row r="948" ht="15.75" customHeight="1">
      <c r="AH948" s="35"/>
      <c r="AI948" s="35"/>
    </row>
    <row r="949" ht="15.75" customHeight="1">
      <c r="AH949" s="35"/>
      <c r="AI949" s="35"/>
    </row>
    <row r="950" ht="15.75" customHeight="1">
      <c r="AH950" s="35"/>
      <c r="AI950" s="35"/>
    </row>
    <row r="951" ht="15.75" customHeight="1">
      <c r="AH951" s="35"/>
      <c r="AI951" s="35"/>
    </row>
    <row r="952" ht="15.75" customHeight="1">
      <c r="AH952" s="35"/>
      <c r="AI952" s="35"/>
    </row>
    <row r="953" ht="15.75" customHeight="1">
      <c r="AH953" s="35"/>
      <c r="AI953" s="35"/>
    </row>
    <row r="954" ht="15.75" customHeight="1">
      <c r="AH954" s="35"/>
      <c r="AI954" s="35"/>
    </row>
    <row r="955" ht="15.75" customHeight="1">
      <c r="AH955" s="35"/>
      <c r="AI955" s="35"/>
    </row>
    <row r="956" ht="15.75" customHeight="1">
      <c r="AH956" s="35"/>
      <c r="AI956" s="35"/>
    </row>
    <row r="957" ht="15.75" customHeight="1">
      <c r="AH957" s="35"/>
      <c r="AI957" s="35"/>
    </row>
    <row r="958" ht="15.75" customHeight="1">
      <c r="AH958" s="35"/>
      <c r="AI958" s="35"/>
    </row>
    <row r="959" ht="15.75" customHeight="1">
      <c r="AH959" s="35"/>
      <c r="AI959" s="3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1437</v>
      </c>
      <c r="D1" s="1" t="s">
        <v>1438</v>
      </c>
      <c r="E1" s="1" t="s">
        <v>7</v>
      </c>
    </row>
    <row r="2" ht="15.75" customHeight="1">
      <c r="A2" s="7">
        <v>1856.0</v>
      </c>
      <c r="B2" s="8" t="s">
        <v>38</v>
      </c>
      <c r="C2" s="9" t="s">
        <v>1439</v>
      </c>
      <c r="D2" s="27" t="s">
        <v>1440</v>
      </c>
      <c r="E2" s="60">
        <v>0.0</v>
      </c>
    </row>
    <row r="3" ht="15.75" customHeight="1">
      <c r="A3" s="7">
        <v>1856.0</v>
      </c>
      <c r="B3" s="8" t="s">
        <v>38</v>
      </c>
      <c r="C3" s="27" t="s">
        <v>1441</v>
      </c>
      <c r="D3" s="93" t="s">
        <v>1442</v>
      </c>
      <c r="E3" s="60">
        <v>0.0</v>
      </c>
    </row>
    <row r="4" ht="15.75" customHeight="1">
      <c r="A4" s="7">
        <v>1856.0</v>
      </c>
      <c r="B4" s="8" t="s">
        <v>38</v>
      </c>
      <c r="C4" s="27" t="s">
        <v>1443</v>
      </c>
      <c r="D4" s="94" t="s">
        <v>1444</v>
      </c>
      <c r="E4" s="60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26.5"/>
    <col customWidth="1" min="4" max="4" width="39.25"/>
    <col customWidth="1" min="5" max="5" width="16.13"/>
    <col customWidth="1" min="6" max="6" width="37.75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1" t="s">
        <v>0</v>
      </c>
      <c r="B1" s="1" t="s">
        <v>1</v>
      </c>
      <c r="C1" s="95" t="s">
        <v>1445</v>
      </c>
      <c r="D1" s="95" t="s">
        <v>1446</v>
      </c>
      <c r="E1" s="95" t="s">
        <v>1447</v>
      </c>
      <c r="F1" s="95" t="s">
        <v>923</v>
      </c>
      <c r="G1" s="95" t="s">
        <v>7</v>
      </c>
      <c r="H1" s="95" t="s">
        <v>924</v>
      </c>
      <c r="I1" s="95" t="s">
        <v>7</v>
      </c>
      <c r="J1" s="4" t="s">
        <v>1448</v>
      </c>
      <c r="K1" s="4" t="s">
        <v>7</v>
      </c>
      <c r="L1" s="27" t="s">
        <v>1449</v>
      </c>
      <c r="M1" s="27" t="s">
        <v>7</v>
      </c>
    </row>
    <row r="2" ht="15.75" customHeight="1">
      <c r="A2" s="7">
        <v>1856.0</v>
      </c>
      <c r="B2" s="8" t="s">
        <v>38</v>
      </c>
      <c r="C2" s="96" t="s">
        <v>1450</v>
      </c>
      <c r="D2" s="27" t="s">
        <v>1451</v>
      </c>
      <c r="E2" s="60">
        <v>0.0</v>
      </c>
      <c r="F2" s="27" t="s">
        <v>938</v>
      </c>
      <c r="G2" s="60">
        <v>0.0</v>
      </c>
      <c r="H2" s="27" t="s">
        <v>939</v>
      </c>
      <c r="I2" s="60">
        <v>0.0</v>
      </c>
      <c r="J2" s="27"/>
      <c r="K2" s="27"/>
      <c r="L2" s="12" t="s">
        <v>944</v>
      </c>
      <c r="M2" s="60">
        <v>0.0</v>
      </c>
    </row>
    <row r="3" ht="15.75" customHeight="1">
      <c r="A3" s="7">
        <v>1856.0</v>
      </c>
      <c r="B3" s="8" t="s">
        <v>38</v>
      </c>
      <c r="C3" s="93" t="s">
        <v>1452</v>
      </c>
      <c r="D3" s="27" t="s">
        <v>1453</v>
      </c>
      <c r="E3" s="60">
        <v>0.0</v>
      </c>
      <c r="F3" s="27" t="s">
        <v>938</v>
      </c>
      <c r="G3" s="60">
        <v>0.0</v>
      </c>
      <c r="H3" s="27" t="s">
        <v>939</v>
      </c>
      <c r="I3" s="60">
        <v>0.0</v>
      </c>
      <c r="J3" s="27"/>
      <c r="K3" s="27"/>
      <c r="L3" s="12" t="s">
        <v>944</v>
      </c>
      <c r="M3" s="60">
        <v>0.0</v>
      </c>
    </row>
    <row r="4" ht="15.75" customHeight="1">
      <c r="A4" s="7">
        <v>1856.0</v>
      </c>
      <c r="B4" s="8" t="s">
        <v>38</v>
      </c>
      <c r="C4" s="93" t="s">
        <v>1454</v>
      </c>
      <c r="D4" s="27" t="s">
        <v>1451</v>
      </c>
      <c r="E4" s="60">
        <v>0.0</v>
      </c>
      <c r="F4" s="27" t="s">
        <v>938</v>
      </c>
      <c r="G4" s="60">
        <v>0.0</v>
      </c>
      <c r="H4" s="27" t="s">
        <v>939</v>
      </c>
      <c r="I4" s="60">
        <v>0.0</v>
      </c>
      <c r="J4" s="27"/>
      <c r="K4" s="27"/>
      <c r="L4" s="12" t="s">
        <v>944</v>
      </c>
      <c r="M4" s="60">
        <v>0.0</v>
      </c>
    </row>
    <row r="5" ht="15.75" customHeight="1">
      <c r="A5" s="7">
        <v>1856.0</v>
      </c>
      <c r="B5" s="8" t="s">
        <v>38</v>
      </c>
      <c r="C5" s="27" t="s">
        <v>1455</v>
      </c>
      <c r="D5" s="27"/>
      <c r="E5" s="27"/>
      <c r="F5" s="27" t="s">
        <v>938</v>
      </c>
      <c r="G5" s="60">
        <v>0.0</v>
      </c>
      <c r="H5" s="9"/>
      <c r="I5" s="9"/>
      <c r="J5" s="27"/>
      <c r="K5" s="27"/>
      <c r="L5" s="27"/>
      <c r="M5" s="27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11.5"/>
  </cols>
  <sheetData>
    <row r="1" ht="15.75" customHeight="1">
      <c r="A1" s="1" t="s">
        <v>0</v>
      </c>
      <c r="B1" s="1" t="s">
        <v>1</v>
      </c>
      <c r="C1" s="1" t="s">
        <v>1456</v>
      </c>
      <c r="D1" s="97" t="s">
        <v>1457</v>
      </c>
      <c r="E1" s="97" t="s">
        <v>7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1.63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1458</v>
      </c>
      <c r="D1" s="4" t="s">
        <v>1459</v>
      </c>
      <c r="E1" s="4" t="s">
        <v>7</v>
      </c>
    </row>
    <row r="2" ht="15.75" customHeight="1">
      <c r="A2" s="7">
        <v>1856.0</v>
      </c>
      <c r="B2" s="8" t="s">
        <v>38</v>
      </c>
      <c r="C2" s="4" t="s">
        <v>1460</v>
      </c>
      <c r="D2" s="91" t="s">
        <v>1461</v>
      </c>
      <c r="E2" s="60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9.63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35.63"/>
    <col customWidth="1" min="22" max="22" width="28.0"/>
    <col customWidth="1" min="24" max="24" width="23.75"/>
    <col customWidth="1" min="26" max="26" width="28.0"/>
    <col customWidth="1" min="28" max="28" width="16.88"/>
  </cols>
  <sheetData>
    <row r="1" ht="15.75" customHeight="1">
      <c r="A1" s="1" t="s">
        <v>0</v>
      </c>
      <c r="B1" s="1" t="s">
        <v>1</v>
      </c>
      <c r="C1" s="4" t="s">
        <v>1462</v>
      </c>
      <c r="D1" s="4" t="s">
        <v>1463</v>
      </c>
      <c r="E1" s="4" t="s">
        <v>14</v>
      </c>
      <c r="F1" s="4" t="s">
        <v>1464</v>
      </c>
      <c r="G1" s="4" t="s">
        <v>14</v>
      </c>
      <c r="H1" s="4" t="s">
        <v>1465</v>
      </c>
      <c r="I1" s="4" t="s">
        <v>14</v>
      </c>
      <c r="J1" s="4" t="s">
        <v>1466</v>
      </c>
      <c r="K1" s="4" t="s">
        <v>14</v>
      </c>
      <c r="L1" s="4" t="s">
        <v>1467</v>
      </c>
      <c r="M1" s="4" t="s">
        <v>14</v>
      </c>
      <c r="N1" s="9" t="s">
        <v>1468</v>
      </c>
      <c r="O1" s="9" t="s">
        <v>7</v>
      </c>
      <c r="P1" s="9" t="s">
        <v>666</v>
      </c>
      <c r="Q1" s="9" t="s">
        <v>7</v>
      </c>
      <c r="R1" s="4" t="s">
        <v>1469</v>
      </c>
      <c r="S1" s="9" t="s">
        <v>7</v>
      </c>
      <c r="T1" s="9" t="s">
        <v>1470</v>
      </c>
      <c r="U1" s="9" t="s">
        <v>7</v>
      </c>
      <c r="V1" s="27" t="s">
        <v>1471</v>
      </c>
      <c r="W1" s="27" t="s">
        <v>7</v>
      </c>
      <c r="X1" s="27" t="s">
        <v>1472</v>
      </c>
      <c r="Y1" s="27" t="s">
        <v>7</v>
      </c>
      <c r="Z1" s="27" t="s">
        <v>1473</v>
      </c>
      <c r="AA1" s="27" t="s">
        <v>7</v>
      </c>
      <c r="AB1" s="27" t="s">
        <v>1474</v>
      </c>
      <c r="AC1" s="27" t="s">
        <v>7</v>
      </c>
    </row>
    <row r="2" ht="15.75" customHeight="1">
      <c r="A2" s="7">
        <v>1856.0</v>
      </c>
      <c r="B2" s="8" t="s">
        <v>38</v>
      </c>
      <c r="C2" s="4" t="s">
        <v>1475</v>
      </c>
      <c r="D2" s="61" t="s">
        <v>621</v>
      </c>
      <c r="E2" s="60">
        <v>1.0</v>
      </c>
      <c r="F2" s="61" t="s">
        <v>630</v>
      </c>
      <c r="G2" s="60">
        <v>1.0</v>
      </c>
      <c r="H2" s="61" t="s">
        <v>639</v>
      </c>
      <c r="I2" s="60">
        <v>1.0</v>
      </c>
      <c r="J2" s="61" t="s">
        <v>648</v>
      </c>
      <c r="K2" s="13">
        <v>0.0</v>
      </c>
      <c r="L2" s="61" t="s">
        <v>655</v>
      </c>
      <c r="M2" s="13">
        <v>0.0</v>
      </c>
      <c r="N2" s="12" t="s">
        <v>1476</v>
      </c>
      <c r="O2" s="4"/>
      <c r="P2" s="12" t="s">
        <v>1477</v>
      </c>
      <c r="Q2" s="4"/>
      <c r="R2" s="12" t="s">
        <v>1478</v>
      </c>
      <c r="S2" s="4"/>
      <c r="T2" s="12" t="s">
        <v>1479</v>
      </c>
      <c r="U2" s="98">
        <v>0.0</v>
      </c>
      <c r="V2" s="66" t="s">
        <v>649</v>
      </c>
      <c r="W2" s="99">
        <v>1.0</v>
      </c>
      <c r="X2" s="66" t="s">
        <v>1480</v>
      </c>
      <c r="Y2" s="99">
        <v>1.0</v>
      </c>
      <c r="Z2" s="66" t="s">
        <v>656</v>
      </c>
      <c r="AA2" s="99">
        <v>1.0</v>
      </c>
      <c r="AB2" s="66" t="s">
        <v>1481</v>
      </c>
      <c r="AC2" s="99">
        <v>1.0</v>
      </c>
    </row>
    <row r="3" ht="15.75" customHeight="1"/>
    <row r="4" ht="15.75" customHeight="1"/>
    <row r="5" ht="15.75" customHeight="1"/>
    <row r="6" ht="15.75" customHeight="1"/>
    <row r="7" ht="15.75" customHeight="1">
      <c r="L7" s="36"/>
      <c r="M7" s="100"/>
    </row>
    <row r="8" ht="15.75" customHeight="1">
      <c r="L8" s="36"/>
      <c r="M8" s="100"/>
    </row>
    <row r="9" ht="15.75" customHeight="1"/>
    <row r="10" ht="15.75" customHeight="1">
      <c r="F10" s="67"/>
    </row>
    <row r="11" ht="15.75" customHeight="1"/>
    <row r="12" ht="15.75" customHeight="1">
      <c r="G12" s="36"/>
      <c r="H12" s="100"/>
    </row>
    <row r="13" ht="15.75" customHeight="1">
      <c r="G13" s="36"/>
      <c r="H13" s="100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