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Master'!$A$1:$CZ$12</definedName>
  </definedNames>
  <calcPr/>
  <extLst>
    <ext uri="GoogleSheetsCustomDataVersion2">
      <go:sheetsCustomData xmlns:go="http://customooxmlschemas.google.com/" r:id="rId21" roundtripDataChecksum="WhC++zEyYjPBS56hOCeum57GyLenzUpkt/2veFNj1MY="/>
    </ext>
  </extLst>
</workbook>
</file>

<file path=xl/sharedStrings.xml><?xml version="1.0" encoding="utf-8"?>
<sst xmlns="http://schemas.openxmlformats.org/spreadsheetml/2006/main" count="1599" uniqueCount="837">
  <si>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</si>
  <si>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</si>
  <si>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</si>
  <si>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</si>
  <si>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</si>
  <si>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</si>
  <si>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</si>
  <si>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</si>
  <si>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</si>
  <si>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</si>
  <si>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</si>
  <si>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</si>
  <si>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</si>
  <si>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</si>
  <si>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</si>
  <si>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Primary Gauge HIGH HIGH</t>
  </si>
  <si>
    <t>LEVEL SWITCH</t>
  </si>
  <si>
    <t xml:space="preserve">LEVEL SWITCH PROOF OK </t>
  </si>
  <si>
    <t>LEVEL SWITCH PROOF FAILED</t>
  </si>
  <si>
    <t>RADAR HHH</t>
  </si>
  <si>
    <t>RADAR PROOF OK</t>
  </si>
  <si>
    <t>RADAR PROOF FAILED</t>
  </si>
  <si>
    <t>ROSOV OPEN STATUS IL1</t>
  </si>
  <si>
    <t>ROSOV FAIL TO CLOSE STATUS IL1</t>
  </si>
  <si>
    <t>ROSOV OPEN STATUS IL2</t>
  </si>
  <si>
    <t>ROSOV FAIL TO CLOSE STATUS IL2</t>
  </si>
  <si>
    <t>ROSOV OPEN STATUS OL</t>
  </si>
  <si>
    <t>ROSOV FAIL TO CLOSE STATUS OL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</si>
  <si>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</si>
  <si>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</si>
  <si>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</si>
  <si>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</si>
  <si>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</si>
  <si>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</si>
  <si>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</si>
  <si>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</si>
  <si>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Kozikode</t>
  </si>
  <si>
    <t>TK-01</t>
  </si>
  <si>
    <t>AG</t>
  </si>
  <si>
    <t>BS VI HSD</t>
  </si>
  <si>
    <t>PLC.SFTPLC.ANY_ESD_PB_ACTI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</si>
  <si>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</si>
  <si>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</si>
  <si>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</si>
  <si>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</si>
  <si>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</si>
  <si>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LEVELSWITCH.LSW-05.SWITCH_STATUS</t>
  </si>
  <si>
    <t>VFT</t>
  </si>
  <si>
    <t>LEVELSWITCH.LSW-05.PROOF_TEST_OK</t>
  </si>
  <si>
    <t>LEVELSWITCH.LSW-05.PROOF_TEST_FAILED</t>
  </si>
  <si>
    <t>LEVELSWITCH.RDR-05.SWITCH_STATUS</t>
  </si>
  <si>
    <t>RADAR</t>
  </si>
  <si>
    <t>LEVELSWITCH.RDR-05.PROOF_TEST_OK</t>
  </si>
  <si>
    <t>LEVELSWITCH.RDR-05.PROOF_TEST_FAILED</t>
  </si>
  <si>
    <t>MOV.ROSOV-09.OPEN_STATUS</t>
  </si>
  <si>
    <t>ROSOV IL1</t>
  </si>
  <si>
    <t>MOV.ROSOV-09.FAILED_TO_CLOSE</t>
  </si>
  <si>
    <t>ROSOV FAILED IL1</t>
  </si>
  <si>
    <t>MOV.ROSOV-10.OPEN_STATUS</t>
  </si>
  <si>
    <t>ROSOV OL</t>
  </si>
  <si>
    <t>MOV.ROSOV-10.FAILED_TO_CLOSE</t>
  </si>
  <si>
    <t>ROSOV FAILED OL</t>
  </si>
  <si>
    <t>MOV.MOV-01.OPEN_STATUS</t>
  </si>
  <si>
    <t>MOV IL1</t>
  </si>
  <si>
    <t>MOV.MOV-02.OPEN_STATUS</t>
  </si>
  <si>
    <t>MOV OL</t>
  </si>
  <si>
    <t>TK-02</t>
  </si>
  <si>
    <t>BS VI MS</t>
  </si>
  <si>
    <t>TANK.TK-02.LEVEL</t>
  </si>
  <si>
    <t>TANK.TK-02.HIGH_LEVEL</t>
  </si>
  <si>
    <t>TANK.TK-02.TANK_ALERT_ALARM</t>
  </si>
  <si>
    <t>TANK.TK-02.HIGH_HIGH_LEVEL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</si>
  <si>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</si>
  <si>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</si>
  <si>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</si>
  <si>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</si>
  <si>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</si>
  <si>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</si>
  <si>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MOV.ROSOV-07.OPEN_STATUS</t>
  </si>
  <si>
    <t>MOV.ROSOV-07.FAILED_TO_CLOSE</t>
  </si>
  <si>
    <t>MOV.ROSOV-08.OPEN_STATUS</t>
  </si>
  <si>
    <t>MOV.ROSOV-08.FAILED_TO_CLOSE</t>
  </si>
  <si>
    <t>MOV.MOV-03.OPEN_STATUS</t>
  </si>
  <si>
    <t>MOV IL2</t>
  </si>
  <si>
    <t>MOV.MOV-04.OPEN_STATUS</t>
  </si>
  <si>
    <t>TK-03</t>
  </si>
  <si>
    <t>UG</t>
  </si>
  <si>
    <t>ETHANOL</t>
  </si>
  <si>
    <t>TANK.TK-03.LEVEL</t>
  </si>
  <si>
    <t>TANK.TK-03.HIGH_LEVEL</t>
  </si>
  <si>
    <t>TANK.TK-03.TANK_ALERT_ALARM</t>
  </si>
  <si>
    <t>TANK.TK-03.HIGH_HIGH_LEVEL</t>
  </si>
  <si>
    <t>MOV.MOV-05.OPEN_STATUS</t>
  </si>
  <si>
    <t>MOV IL3</t>
  </si>
  <si>
    <t>TK-04</t>
  </si>
  <si>
    <t>TANK.TK-04.LEVEL</t>
  </si>
  <si>
    <t>TANK.TK-04.HIGH_LEVEL</t>
  </si>
  <si>
    <t>TANK.TK-04.TANK_ALERT_ALARM</t>
  </si>
  <si>
    <t>TANK.TK-04.HIGH_HIGH_LEVEL</t>
  </si>
  <si>
    <t>MOV.MOV-06.OPEN_STATUS</t>
  </si>
  <si>
    <t>MOV IL4</t>
  </si>
  <si>
    <t>TK-05</t>
  </si>
  <si>
    <t>TANK.TK-05.LEVEL</t>
  </si>
  <si>
    <t>TANK.TK-05.HIGH_LEVEL</t>
  </si>
  <si>
    <t>TANK.TK-05.TANK_ALERT_ALARM</t>
  </si>
  <si>
    <t>TANK.TK-05.HIGH_HIGH_LEVEL</t>
  </si>
  <si>
    <t>MOV.MOV-07.OPEN_STATUS</t>
  </si>
  <si>
    <t>MOV IL5</t>
  </si>
  <si>
    <t>TK-06</t>
  </si>
  <si>
    <t>TANK.TK-06.LEVEL</t>
  </si>
  <si>
    <t>TANK.TK-06.HIGH_LEVEL</t>
  </si>
  <si>
    <t>TANK.TK-06.TANK_ALERT_ALARM</t>
  </si>
  <si>
    <t>TANK.TK-06.HIGH_HIGH_LEVEL</t>
  </si>
  <si>
    <t>MOV.MOV-08.OPEN_STATUS</t>
  </si>
  <si>
    <t>MOV IL6</t>
  </si>
  <si>
    <t>TK-07</t>
  </si>
  <si>
    <t>BIO DIESEL</t>
  </si>
  <si>
    <t>TANK.TK-07.LEVEL</t>
  </si>
  <si>
    <t>TANK.TK-07.HIGH_LEVEL</t>
  </si>
  <si>
    <t>TANK.TK-07.TANK_ALERT_ALARM</t>
  </si>
  <si>
    <t>TANK.TK-07.HIGH_HIGH_LEVEL</t>
  </si>
  <si>
    <t>MOV.MOV-09.OPEN_STATUS</t>
  </si>
  <si>
    <t>MOV IL7</t>
  </si>
  <si>
    <t>TK-08</t>
  </si>
  <si>
    <t>TANK.TK-08.LEVEL</t>
  </si>
  <si>
    <t>TANK.TK-08.HIGH_LEVEL</t>
  </si>
  <si>
    <t>TANK.TK-08.TANK_ALERT_ALARM</t>
  </si>
  <si>
    <t>TANK.TK-08.HIGH_HIGH_LEVEL</t>
  </si>
  <si>
    <t>MOV.MOV-10.OPEN_STATUS</t>
  </si>
  <si>
    <t>MOV IL8</t>
  </si>
  <si>
    <t>TK-09</t>
  </si>
  <si>
    <t>TANK.TK-09.LEVEL</t>
  </si>
  <si>
    <t>TANK.TK-09.HIGH_LEVEL</t>
  </si>
  <si>
    <t>TANK.TK-09.TANK_ALERT_ALARM</t>
  </si>
  <si>
    <t>TANK.TK-09.HIGH_HIGH_LEVEL</t>
  </si>
  <si>
    <t>MOV.MOV-11.OPEN_STATUS</t>
  </si>
  <si>
    <t>MOV IL9</t>
  </si>
  <si>
    <t>WTK-01</t>
  </si>
  <si>
    <t>WATER</t>
  </si>
  <si>
    <t>TANK.WTK-01.LEVEL</t>
  </si>
  <si>
    <t>WTK-02</t>
  </si>
  <si>
    <t>TANK.WTK-02.LEVEL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</si>
  <si>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</si>
  <si>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</si>
  <si>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</si>
  <si>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</si>
  <si>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</si>
  <si>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</si>
  <si>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</si>
  <si>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</si>
  <si>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</si>
  <si>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</si>
  <si>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</si>
  <si>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</si>
  <si>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</si>
  <si>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</si>
  <si>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Kozikode_M</t>
  </si>
  <si>
    <t>TANK.TK-01.MAINTENANCE_STATUS</t>
  </si>
  <si>
    <t>LEVELSWITCH.LSW-05.MAINTENANCE_STATUS</t>
  </si>
  <si>
    <t>LEVELSWITCH.RDR-05.MAINTENANCE_STATUS</t>
  </si>
  <si>
    <t>MOV.ROSOV-09.MAINTENANCE_STATUS</t>
  </si>
  <si>
    <t>MOV.ROSOV-10.MAINTENANCE_STATUS</t>
  </si>
  <si>
    <t>MOV.MOV-01.MAINTENANCE_STATUS</t>
  </si>
  <si>
    <t>MOV.MOV-02.MAINTENANCE_STATUS</t>
  </si>
  <si>
    <t>TANK.TK-02.MAINTENANCE_STATUS</t>
  </si>
  <si>
    <t>LEVELSWITCH.LSW-04.MAINTENANCE_STATUS</t>
  </si>
  <si>
    <t>LEVELSWITCH.RDR-04.MAINTENANCE_STATUS</t>
  </si>
  <si>
    <t>MOV.ROSOV-07.MAINTENANCE_STATUS</t>
  </si>
  <si>
    <t>MOV.ROSOV-08.MAINTENANCE_STATUS</t>
  </si>
  <si>
    <t>MOV.MOV-03.MAINTENANCE_STATUS</t>
  </si>
  <si>
    <t>MOV.MOV-04.MAINTENANCE_STATUS</t>
  </si>
  <si>
    <t>TANK.TK-03.MAINTENANCE_STATUS</t>
  </si>
  <si>
    <t>MOV.MOV-05.MAINTENANCE_STATUS</t>
  </si>
  <si>
    <t>TANK.TK-04.MAINTENANCE_STATUS</t>
  </si>
  <si>
    <t>MOV.MOV-06.MAINTENANCE_STATUS</t>
  </si>
  <si>
    <t>TANK.TK-05.MAINTENANCE_STATUS</t>
  </si>
  <si>
    <t>MOV.MOV-07.MAINTENANCE_STATUS</t>
  </si>
  <si>
    <t>TANK.TK-06.MAINTENANCE_STATUS</t>
  </si>
  <si>
    <t>MOV.MOV-08.MAINTENANCE_STATUS</t>
  </si>
  <si>
    <t>TANK.TK-07.MAINTENANCE_STATUS</t>
  </si>
  <si>
    <t>MOV.MOV-09.MAINTENANCE_STATUS</t>
  </si>
  <si>
    <t>TANK.TK-08.MAINTENANCE_STATUS</t>
  </si>
  <si>
    <t>MOV.MOV-10.MAINTENANCE_STATUS</t>
  </si>
  <si>
    <t>TANK.TK-09.MAINTENANCE_STATUS</t>
  </si>
  <si>
    <t>MOV.MOV-11.MAINTENANCE_STATUS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</si>
  <si>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</si>
  <si>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</si>
  <si>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</si>
  <si>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</si>
  <si>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</si>
  <si>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</si>
  <si>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</si>
  <si>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</si>
  <si>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</si>
  <si>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ADTV-PMP-01</t>
  </si>
  <si>
    <t>TURBOHSD</t>
  </si>
  <si>
    <t>TLF</t>
  </si>
  <si>
    <t>Truck Loading</t>
  </si>
  <si>
    <t>PUMP.ADTV-PMP-01.ON</t>
  </si>
  <si>
    <t>PUMP.ADTV-PMP-01.REMOTE_STATUS</t>
  </si>
  <si>
    <t>PUMP.ADTV-PMP-01.MAINTENANCE_STATUS</t>
  </si>
  <si>
    <t>ADTV-PMP-02</t>
  </si>
  <si>
    <t>PUMP.ADTV-PMP-02.ON</t>
  </si>
  <si>
    <t>PUMP.ADTV-PMP-02.REMOTE_STATUS</t>
  </si>
  <si>
    <t>PUMP.ADTV-PMP-02.MAINTENANCE_STATUS</t>
  </si>
  <si>
    <t>ADTV-PMP-03</t>
  </si>
  <si>
    <t>POWERMS</t>
  </si>
  <si>
    <t>PUMP.ADTV-PMP-03.ON</t>
  </si>
  <si>
    <t>PUMP.ADTV-PMP-03.REMOTE_STATUS</t>
  </si>
  <si>
    <t>PUMP.ADTV-PMP-03.MAINTENANCE_STATUS</t>
  </si>
  <si>
    <t>ADTV-PMP-04</t>
  </si>
  <si>
    <t>PUMP.ADTV-PMP-04.ON</t>
  </si>
  <si>
    <t>PUMP.ADTV-PMP-04.REMOTE_STATUS</t>
  </si>
  <si>
    <t>PUMP.ADTV-PMP-04.MAINTENANCE_STATUS</t>
  </si>
  <si>
    <t>PMP-01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</si>
  <si>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</si>
  <si>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</si>
  <si>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</si>
  <si>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</si>
  <si>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</si>
  <si>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</si>
  <si>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</si>
  <si>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</si>
  <si>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</si>
  <si>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</si>
  <si>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</si>
  <si>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</si>
  <si>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</si>
  <si>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</si>
  <si>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</si>
  <si>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</si>
  <si>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</si>
  <si>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</si>
  <si>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</si>
  <si>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</si>
  <si>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</si>
  <si>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</si>
  <si>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</si>
  <si>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</si>
  <si>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</si>
  <si>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</si>
  <si>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</si>
  <si>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</si>
  <si>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</si>
  <si>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</si>
  <si>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</si>
  <si>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</si>
  <si>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</si>
  <si>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</si>
  <si>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</si>
  <si>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PMP-10</t>
  </si>
  <si>
    <t>PUMP.PMP-10.ON</t>
  </si>
  <si>
    <t>PUMP.PMP-10.REMOTE_STATUS</t>
  </si>
  <si>
    <t>PUMP.PMP-10.MAINTENANCE_STATUS</t>
  </si>
  <si>
    <t>PMP-11</t>
  </si>
  <si>
    <t>PUMP.PMP-11.ON</t>
  </si>
  <si>
    <t>PUMP.PMP-11.REMOTE_STATUS</t>
  </si>
  <si>
    <t>PUMP.PMP-11.MAINTENANCE_STATUS</t>
  </si>
  <si>
    <t>TWD-01</t>
  </si>
  <si>
    <t>TWD</t>
  </si>
  <si>
    <t>Wagon Loading</t>
  </si>
  <si>
    <t>PUMP.TWD-01.ON</t>
  </si>
  <si>
    <t>PUMP.TWD-01.REMOTE_STATUS</t>
  </si>
  <si>
    <t>PUMP.TWD-01.MAINTENANCE_STATUS</t>
  </si>
  <si>
    <t>TWD-02</t>
  </si>
  <si>
    <t>PUMP.TWD-02.ON</t>
  </si>
  <si>
    <t>PUMP.TWD-02.REMOTE_STATUS</t>
  </si>
  <si>
    <t>PUMP.TWD-02.MAINTENANCE_STATUS</t>
  </si>
  <si>
    <t>TWD-03</t>
  </si>
  <si>
    <t>PUMP.TWD-03.ON</t>
  </si>
  <si>
    <t>PUMP.TWD-03.REMOTE_STATUS</t>
  </si>
  <si>
    <t>PUMP.TWD-03.MAINTENANCE_STATUS</t>
  </si>
  <si>
    <t>TWD-04</t>
  </si>
  <si>
    <t>PUMP.TWD-04.ON</t>
  </si>
  <si>
    <t>PUMP.TWD-04.REMOTE_STATUS</t>
  </si>
  <si>
    <t>PUMP.TWD-04.MAINTENANCE_STATUS</t>
  </si>
  <si>
    <t>TWD-05</t>
  </si>
  <si>
    <t>PUMP.TWD-05.ON</t>
  </si>
  <si>
    <t>PUMP.TWD-05.REMOTE_STATUS</t>
  </si>
  <si>
    <t>PUMP.TWD-05.MAINTENANCE_STATUS</t>
  </si>
  <si>
    <t>Pump Direction</t>
  </si>
  <si>
    <t>FIRE PUMP MAINTENANCE</t>
  </si>
  <si>
    <t>FIRE PUMP FAIL TO START 1</t>
  </si>
  <si>
    <t>FIRE PUMP FAIL TO START 2</t>
  </si>
  <si>
    <t>FIRE PUMP FAIL TO START 3</t>
  </si>
  <si>
    <t>FIRE PUMP FAIL TO START STANDBY</t>
  </si>
  <si>
    <t>FIRE PUMP TRIPPED FAULT</t>
  </si>
  <si>
    <t>FIRE PUMP LLOP ALARM</t>
  </si>
  <si>
    <t>FIRE PUMP HWT ALARM</t>
  </si>
  <si>
    <t>FWP-01</t>
  </si>
  <si>
    <t>Water</t>
  </si>
  <si>
    <t>PH</t>
  </si>
  <si>
    <t>DISPATCH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</si>
  <si>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</si>
  <si>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</si>
  <si>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</si>
  <si>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</si>
  <si>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</si>
  <si>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</si>
  <si>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</si>
  <si>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</si>
  <si>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</si>
  <si>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</si>
  <si>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</si>
  <si>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</si>
  <si>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</si>
  <si>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</si>
  <si>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</si>
  <si>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</si>
  <si>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</si>
  <si>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</si>
  <si>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</si>
  <si>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</si>
  <si>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</si>
  <si>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</si>
  <si>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</si>
  <si>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</t>
  </si>
  <si>
    <t>PUMP.FWP-03.PUMP_TRIPPED</t>
  </si>
  <si>
    <t>PUMP.FWP-03.HIGH_TEMPERATURE_ALARM</t>
  </si>
  <si>
    <t>JCY-01</t>
  </si>
  <si>
    <t>Jockey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</si>
  <si>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</si>
  <si>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</si>
  <si>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</si>
  <si>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</si>
  <si>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</si>
  <si>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</si>
  <si>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</si>
  <si>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</si>
  <si>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</si>
  <si>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</si>
  <si>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</si>
  <si>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Farthest Point PT</t>
  </si>
  <si>
    <t>WP</t>
  </si>
  <si>
    <t>PT</t>
  </si>
  <si>
    <t>PressureTransmitter.PT-01.MAINTENANCE_STATUS</t>
  </si>
  <si>
    <t>Nearest Point PT</t>
  </si>
  <si>
    <t>PressureTransmitter.PT-02.MAINTENANCE_STATUS</t>
  </si>
  <si>
    <t>UPS ID</t>
  </si>
  <si>
    <t>UPS FAIL</t>
  </si>
  <si>
    <t>LOW BATTERY</t>
  </si>
  <si>
    <t xml:space="preserve"> Normal Value</t>
  </si>
  <si>
    <t>UPS ON</t>
  </si>
  <si>
    <t>UPS MAIN AC FAIL</t>
  </si>
  <si>
    <t>UPS-01</t>
  </si>
  <si>
    <t>Control Room</t>
  </si>
  <si>
    <t>UPS.UPS-01.LOW_BATTERY</t>
  </si>
  <si>
    <t>UPS.UPS-01.MAIN_AC_FAIL</t>
  </si>
  <si>
    <t>UPS-02</t>
  </si>
  <si>
    <t>UPS.UPS-02.LOW_BATTERY</t>
  </si>
  <si>
    <t>UPS.UPS-02.MAIN_AC_FAIL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</si>
  <si>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</si>
  <si>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</si>
  <si>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</si>
  <si>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</si>
  <si>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</si>
  <si>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</si>
  <si>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</si>
  <si>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</si>
  <si>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</si>
  <si>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</si>
  <si>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</si>
  <si>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</si>
  <si>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</si>
  <si>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</si>
  <si>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</si>
  <si>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</si>
  <si>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</si>
  <si>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</si>
  <si>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</si>
  <si>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</si>
  <si>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PLC.SFTPLC.PLCAB_FAIL_SAFE_STATUS</t>
  </si>
  <si>
    <t>PLCAB</t>
  </si>
  <si>
    <t>PLC.SFTPLC.PLCA_COMM_OK</t>
  </si>
  <si>
    <t>PLC.SFTPLC.PLCB_COMM_OK</t>
  </si>
  <si>
    <t>HCD ID</t>
  </si>
  <si>
    <t>Type</t>
  </si>
  <si>
    <t>HCD 40 % ALARM</t>
  </si>
  <si>
    <t>HCD 20 % ALARM</t>
  </si>
  <si>
    <t>HCD FAULT</t>
  </si>
  <si>
    <t>MISALIGNMENT FAULT</t>
  </si>
  <si>
    <t>HCD MAINTENANCE</t>
  </si>
  <si>
    <t>HCD Hooter Activated</t>
  </si>
  <si>
    <t>GDS-01</t>
  </si>
  <si>
    <t>PointType</t>
  </si>
  <si>
    <t>BIO/HSD/MS UG TANK FARM</t>
  </si>
  <si>
    <t>GDS.GDS-01.HYDROCARBON_40_PCT_LEL</t>
  </si>
  <si>
    <t>GDS.GDS-01.HYDROCARBON_20_PCT_LEL</t>
  </si>
  <si>
    <t>GDS.GDS-01.CRITICAL_FAULT_ALARM</t>
  </si>
  <si>
    <t>GDS.GDS-01.MISALIGNMENT_FAULT_ALARM</t>
  </si>
  <si>
    <t>GDS.GDS-01.MAINTENANCE_CALL</t>
  </si>
  <si>
    <t>PLC.SFTPLC.HOOTER_FOR_HC_CR</t>
  </si>
  <si>
    <t>GDS-02</t>
  </si>
  <si>
    <t>MS UG TANK FARM</t>
  </si>
  <si>
    <t>GDS.GDS-02.HYDROCARBON_40_PCT_LEL</t>
  </si>
  <si>
    <t>GDS.GDS-02.HYDROCARBON_20_PCT_LEL</t>
  </si>
  <si>
    <t>GDS.GDS-02.CRITICAL_FAULT_ALARM</t>
  </si>
  <si>
    <t>GDS.GDS-02.MISALIGNMENT_FAULT_ALARM</t>
  </si>
  <si>
    <t>GDS.GDS-02.MAINTENANCE_CALL</t>
  </si>
  <si>
    <t>GDS-03</t>
  </si>
  <si>
    <t>ETH UG TANK FARM</t>
  </si>
  <si>
    <t>GDS.GDS-03.HYDROCARBON_40_PCT_LEL</t>
  </si>
  <si>
    <t>GDS.GDS-03.HYDROCARBON_20_PCT_LEL</t>
  </si>
  <si>
    <t>GDS.GDS-03.CRITICAL_FAULT_ALARM</t>
  </si>
  <si>
    <t>GDS.GDS-03.MISALIGNMENT_FAULT_ALARM</t>
  </si>
  <si>
    <t>GDS.GDS-03.MAINTENANCE_CALL</t>
  </si>
  <si>
    <t>GDS-04</t>
  </si>
  <si>
    <t>COMPOUND WALL DRAIN PIT</t>
  </si>
  <si>
    <t>GDS.GDS-04.HYDROCARBON_40_PCT_LEL</t>
  </si>
  <si>
    <t>GDS.GDS-04.HYDROCARBON_20_PCT_LEL</t>
  </si>
  <si>
    <t>GDS.GDS-04.CRITICAL_FAULT_ALARM</t>
  </si>
  <si>
    <t>GDS.GDS-04.MISALIGNMENT_FAULT_ALARM</t>
  </si>
  <si>
    <t>GDS.GDS-04.MAINTENANCE_CALL</t>
  </si>
  <si>
    <t>HDS-01</t>
  </si>
  <si>
    <t>OpenPath</t>
  </si>
  <si>
    <t>Product Pump House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</si>
  <si>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</si>
  <si>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</si>
  <si>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</si>
  <si>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</si>
  <si>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</si>
  <si>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HDS-02</t>
  </si>
  <si>
    <t>Near Manifold TK-2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</si>
  <si>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</si>
  <si>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</si>
  <si>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</si>
  <si>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</si>
  <si>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</si>
  <si>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</si>
  <si>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TF Near Dyke Valve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</si>
  <si>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</si>
  <si>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</si>
  <si>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</si>
  <si>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</si>
  <si>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</si>
  <si>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</si>
  <si>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PIPE MANIFOLD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</si>
  <si>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</si>
  <si>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</si>
  <si>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</si>
  <si>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</si>
  <si>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</si>
  <si>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</si>
  <si>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Pipe Manifold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</si>
  <si>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</si>
  <si>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</si>
  <si>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</si>
  <si>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</si>
  <si>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</si>
  <si>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Dyke ID</t>
  </si>
  <si>
    <t>DYKE VALVE STATUS</t>
  </si>
  <si>
    <t>Dyke Hooter Activated</t>
  </si>
  <si>
    <t>DYKE-01</t>
  </si>
  <si>
    <t>DRAINVALVE.DYKE-01.DRAIN_VALVE_STATUS</t>
  </si>
  <si>
    <t>DYKE-02</t>
  </si>
  <si>
    <t>DRAINVALVE.DYKE-02.DRAIN_VALVE_STATUS</t>
  </si>
  <si>
    <t>DYKE-03</t>
  </si>
  <si>
    <t>DRAINVALVE.DYKE-03.DRAIN_VALVE_STATUS</t>
  </si>
  <si>
    <t>Barrier ID</t>
  </si>
  <si>
    <t>BARRIER GATE OPEN STATUS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</si>
  <si>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</si>
  <si>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</si>
  <si>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</si>
  <si>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</si>
  <si>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</si>
  <si>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</si>
  <si>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</si>
  <si>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</si>
  <si>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</si>
  <si>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</si>
  <si>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</t>
  </si>
  <si>
    <t>HOOTER_FIELD_2</t>
  </si>
  <si>
    <t>PLC.SFTPLC.HOOTER_FIELD_2</t>
  </si>
  <si>
    <t>HOOTER_FIELD_4</t>
  </si>
  <si>
    <t>PLC.SFTPLC.HOOTER_FIELD_4</t>
  </si>
  <si>
    <t>HOOTER_FOR_RIMSEAL_CR</t>
  </si>
  <si>
    <t>PLC.SFTPLC.HOOTER_FOR_RIMSEAL_CR</t>
  </si>
  <si>
    <t>ESD ID</t>
  </si>
  <si>
    <t>ESD Name</t>
  </si>
  <si>
    <t>ESD STATUS</t>
  </si>
  <si>
    <t>ESD MAINTENANCE STATUS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</si>
  <si>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</si>
  <si>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</si>
  <si>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</si>
  <si>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</si>
  <si>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</si>
  <si>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</si>
  <si>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</si>
  <si>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</si>
  <si>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</si>
  <si>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</si>
  <si>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TTL Dispatch in Dormant Mode</t>
  </si>
  <si>
    <t>ESD-01</t>
  </si>
  <si>
    <t>ESD-01(ESD-PB-04)</t>
  </si>
  <si>
    <t>LOCATION INCHARGE ROOM</t>
  </si>
  <si>
    <t>ESD.ESD-01.ESD_STATUS</t>
  </si>
  <si>
    <t>ESD.ESD-01.MAINTENANCE_STATUS</t>
  </si>
  <si>
    <t>PLC.SFTPLC.ALL_ROSOV_CLOSED</t>
  </si>
  <si>
    <t>PLC.SFTPLC.GATE_BARRIER_OPENED</t>
  </si>
  <si>
    <t>PLC.SFTPLC.TLF_GANTRY_POWER_OFF</t>
  </si>
  <si>
    <t>PLC.SFTPLC.ALL_TLF_PUMP_STOPPED</t>
  </si>
  <si>
    <t>PLC.SFTPLC.ALL_TANKS_IN_DORMANT</t>
  </si>
  <si>
    <t>PLC.SFTPLC.ALL_DBBV_CLOSED</t>
  </si>
  <si>
    <t>PLC.SFTPLC.ESD_STATUS_TO_PROCESS_PLC</t>
  </si>
  <si>
    <t>PLC.SFTPLC.SIREN_ACTIVATED</t>
  </si>
  <si>
    <t>PLC.SFTPLC.HOOTER_FOR_ESD_CR</t>
  </si>
  <si>
    <t>PLC.SFTPLC.ESD_RELAY_PCC_PANEL</t>
  </si>
  <si>
    <t>ESD-02</t>
  </si>
  <si>
    <t>ESD-03(ESD-PB-07)</t>
  </si>
  <si>
    <t>SECURITY ROOM</t>
  </si>
  <si>
    <t>ESD.ESD-02.ESD_STATUS</t>
  </si>
  <si>
    <t>ESD.ESD-02.MAINTENANCE_STATUS</t>
  </si>
  <si>
    <t>ESD-03</t>
  </si>
  <si>
    <t>ESD-09(ESD-PB-14)</t>
  </si>
  <si>
    <t>TANK FARM 1 DYKE VALVE</t>
  </si>
  <si>
    <t>ESD.ESD-03.ESD_STATUS</t>
  </si>
  <si>
    <t>ESD.ESD-03.MAINTENANCE_STATUS</t>
  </si>
  <si>
    <t>ESD-04</t>
  </si>
  <si>
    <t>ESD-13(ESD-PB-02)</t>
  </si>
  <si>
    <t>WAGON SIDING NORTH SIDE</t>
  </si>
  <si>
    <t>ESD.ESD-04.ESD_STATUS</t>
  </si>
  <si>
    <t>ESD.ESD-04.MAINTENANCE_STATUS</t>
  </si>
  <si>
    <t>ESD-05</t>
  </si>
  <si>
    <t>ESD-02(ESD-PB-05)</t>
  </si>
  <si>
    <t>CONTROL ROOM</t>
  </si>
  <si>
    <t>ESD.ESD-05.ESD_STATUS</t>
  </si>
  <si>
    <t>ESD.ESD-05.MAINTENANCE_STATUS</t>
  </si>
  <si>
    <t>ESD-07</t>
  </si>
  <si>
    <t>ESD-06(ESD-PB-20)</t>
  </si>
  <si>
    <t>TT GANTRY NEAR BAY 5</t>
  </si>
  <si>
    <t>ESD.ESD-07.ESD_STATUS</t>
  </si>
  <si>
    <t>ESD.ESD-07.MAINTENANCE_STATUS</t>
  </si>
  <si>
    <t>ESD-08</t>
  </si>
  <si>
    <t>ESD-10(ESD-PB-09)</t>
  </si>
  <si>
    <t>TANK FARM 2 WEST SIDE</t>
  </si>
  <si>
    <t>ESD.ESD-08.ESD_STATUS</t>
  </si>
  <si>
    <t>ESD.ESD-08.MAINTENANCE_STATUS</t>
  </si>
  <si>
    <t>ESD-09</t>
  </si>
  <si>
    <t>ESD-11(ESD-PB-18)</t>
  </si>
  <si>
    <t>TANK FARM 3 EAST SIDE</t>
  </si>
  <si>
    <t>ESD.ESD-09.ESD_STATUS</t>
  </si>
  <si>
    <t>ESD.ESD-09.MAINTENANCE_STATUS</t>
  </si>
  <si>
    <t>ESD-10</t>
  </si>
  <si>
    <t>ESD-04(ESD-PB-16)</t>
  </si>
  <si>
    <t>PMCC ROOM</t>
  </si>
  <si>
    <t>ESD.ESD-10.ESD_STATUS</t>
  </si>
  <si>
    <t>ESD.ESD-10.MAINTENANCE_STATUS</t>
  </si>
  <si>
    <t>ESD-11</t>
  </si>
  <si>
    <t>ESD-07(ESD-PB-12)</t>
  </si>
  <si>
    <t>TT GANTRY WALKWAY</t>
  </si>
  <si>
    <t>ESD.ESD-11.ESD_STATUS</t>
  </si>
  <si>
    <t>ESD.ESD-11.MAINTENANCE_STATUS</t>
  </si>
  <si>
    <t>ESD-12</t>
  </si>
  <si>
    <t>ESD-05(ESD-PB-13)</t>
  </si>
  <si>
    <t>TT PARKING AREA</t>
  </si>
  <si>
    <t>ESD.ESD-12.ESD_STATUS</t>
  </si>
  <si>
    <t>ESD.ESD-12.MAINTENANCE_STATUS</t>
  </si>
  <si>
    <t>ESD-13</t>
  </si>
  <si>
    <t>ESD-12(ESD-PB-15)</t>
  </si>
  <si>
    <t>PRODUCT PUMP HOUSE</t>
  </si>
  <si>
    <t>ESD.ESD-13.ESD_STATUS</t>
  </si>
  <si>
    <t>ESD.ESD-13.MAINTENANCE_STATUS</t>
  </si>
  <si>
    <t>ESD-14</t>
  </si>
  <si>
    <t>ESD-SYSTEM</t>
  </si>
  <si>
    <t>CENTRAL ESD</t>
  </si>
  <si>
    <t>ESD.ESD-14.ESD_STATUS</t>
  </si>
  <si>
    <t>ESD-18</t>
  </si>
  <si>
    <t>ESD-15(ESD-PB-10)</t>
  </si>
  <si>
    <t>WAGON SIDING CENTER WEST</t>
  </si>
  <si>
    <t>ESD.ESD-18.ESD_STATUS</t>
  </si>
  <si>
    <t>ESD.ESD-18.MAINTENANCE_STATUS</t>
  </si>
  <si>
    <t>ESD-19</t>
  </si>
  <si>
    <t>ESD-14(ESD-PB-19)</t>
  </si>
  <si>
    <t>WAGON SIDING CENTER EAST</t>
  </si>
  <si>
    <t>ESD.ESD-19.ESD_STATUS</t>
  </si>
  <si>
    <t>ESD.ESD-19.MAINTENANCE_STATUS</t>
  </si>
  <si>
    <t>ESD_17</t>
  </si>
  <si>
    <t>ESD-08(ESD-PB-11)</t>
  </si>
  <si>
    <t>BEHIND TT GANTRY</t>
  </si>
  <si>
    <t>ESD.ESD_17.ESD_STATUS</t>
  </si>
  <si>
    <t>ESD.ESD_17.MAINTENANCE_STATUS</t>
  </si>
  <si>
    <t>ESD_SOFT</t>
  </si>
  <si>
    <t>ESD-SOFT</t>
  </si>
  <si>
    <t>SOFT FROM OIC</t>
  </si>
  <si>
    <t>ESD.ESD_SOFT.ESD_STATUS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</si>
  <si>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</si>
  <si>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</si>
  <si>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</si>
  <si>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</si>
  <si>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</si>
  <si>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</si>
  <si>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</si>
  <si>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</si>
  <si>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</si>
  <si>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</si>
  <si>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</si>
  <si>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</si>
  <si>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</si>
  <si>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</si>
  <si>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</si>
  <si>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</si>
  <si>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</si>
  <si>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</si>
  <si>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</si>
  <si>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</si>
  <si>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</si>
  <si>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</si>
  <si>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</si>
  <si>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BC-01A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</si>
  <si>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</si>
  <si>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</si>
  <si>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</si>
  <si>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</si>
  <si>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</si>
  <si>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</si>
  <si>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SmartLoad-Dual.BC-01A.HIGH_FLOW_ALARM_STATUS_M2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</si>
  <si>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</si>
  <si>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</si>
  <si>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</si>
  <si>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</si>
  <si>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</si>
  <si>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</si>
  <si>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</si>
  <si>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</si>
  <si>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</si>
  <si>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</si>
  <si>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</si>
  <si>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</si>
  <si>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</si>
  <si>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</si>
  <si>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SmartLoad-Dual.BC-01B.EARTH_ALARM_STATUS</t>
  </si>
  <si>
    <t>SmartLoad-Dual.BC-01B.NO_FLOW_ALARM_STATUS_M3</t>
  </si>
  <si>
    <t>SmartLoad-Dual.BC-01B.LOW_FLOW_ALARM_STATUS_M3</t>
  </si>
  <si>
    <t>SmartLoad-Dual.BC-01B.HIGH_FLOW_ALARM_STATUS_M3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</si>
  <si>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</si>
  <si>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</si>
  <si>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</si>
  <si>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</si>
  <si>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</si>
  <si>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</si>
  <si>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</si>
  <si>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</si>
  <si>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SmartLoad-Dual.BC-01B.MFM_BCU_QTY_BEYOND_TOLERANCE_LIMIT_STATUS</t>
  </si>
  <si>
    <t>SmartLoad-Dual.BC-01B.BCU_C3_TOTALIZER_MISMATCH_ALARM</t>
  </si>
  <si>
    <t>LP 03</t>
  </si>
  <si>
    <t>BC-02A</t>
  </si>
  <si>
    <t>SmartLoad-Dual.BC-02A.EARTH_ALARM_STATUS</t>
  </si>
  <si>
    <t>SmartLoad-Dual.BC-02A.NO_FLOW_ALARM_STATUS_M1</t>
  </si>
  <si>
    <t>SmartLoad-Dual.BC-02A.NO_FLOW_ALARM_STATUS_M2</t>
  </si>
  <si>
    <t>SmartLoad-Dual.BC-02A.LOW_FLOW_ALARM_STATUS_M1</t>
  </si>
  <si>
    <t>SmartLoad-Dual.BC-02A.LOW_FLOW_ALARM_STATUS_M2</t>
  </si>
  <si>
    <t>SmartLoad-Dual.BC-02A.HIGH_FLOW_ALARM_STATUS_M1</t>
  </si>
  <si>
    <t>SmartLoad-Dual.BC-02A.HIGH_FLOW_ALARM_STATUS_M2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</si>
  <si>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</si>
  <si>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</si>
  <si>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</si>
  <si>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</si>
  <si>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</si>
  <si>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</si>
  <si>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</si>
  <si>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</si>
  <si>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SmartLoad-Dual.BC-02A.NOMINAL_ARM1_COMP2_KFACTOR_CHANGED</t>
  </si>
  <si>
    <t>SmartLoad-Dual.BC-02A.MFM_BCU_QTY_BEYOND_TOLERANCE_LIMIT_STATUS</t>
  </si>
  <si>
    <t>SmartLoad-Dual.BC-02A.BCU_C1_TOTALIZER_MISMATCH_ALARM</t>
  </si>
  <si>
    <t>SmartLoad-Dual.BC-02A.BCU_C2_TOTALIZER_MISMATCH_ALARM</t>
  </si>
  <si>
    <t>LP 04</t>
  </si>
  <si>
    <t>BC-02B</t>
  </si>
  <si>
    <t>SmartLoad-Dual.BC-02B.EARTH_ALARM_STATUS</t>
  </si>
  <si>
    <t>SmartLoad-Dual.BC-02B.NO_FLOW_ALARM_STATUS_M3</t>
  </si>
  <si>
    <t>SmartLoad-Dual.BC-02B.LOW_FLOW_ALARM_STATUS_M3</t>
  </si>
  <si>
    <t>SmartLoad-Dual.BC-02B.HIGH_FLOW_ALARM_STATUS_M3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</si>
  <si>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</si>
  <si>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</si>
  <si>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</si>
  <si>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</si>
  <si>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</si>
  <si>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</si>
  <si>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</si>
  <si>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</si>
  <si>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SmartLoad-Dual.BC-02B.MFM_BCU_QTY_BEYOND_TOLERANCE_LIMIT_STATUS</t>
  </si>
  <si>
    <t>SmartLoad-Dual.BC-02B.BCU_C3_TOTALIZER_MISMATCH_ALARM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</si>
  <si>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</si>
  <si>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</si>
  <si>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</si>
  <si>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</si>
  <si>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</si>
  <si>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</si>
  <si>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</si>
  <si>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</si>
  <si>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SmartLoad-Dual.BC-03A.HIGH_FLOW_ALARM_STATUS_M2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</si>
  <si>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</si>
  <si>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</si>
  <si>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</si>
  <si>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</si>
  <si>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</si>
  <si>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</si>
  <si>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</si>
  <si>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</si>
  <si>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SmartLoad-Dual.BC-03A.NOMINAL_ARM1_COMP2_KFACTOR_CHANGED</t>
  </si>
  <si>
    <t>SmartLoad-Dual.BC-03A.MFM_BCU_QTY_BEYOND_TOLERANCE_LIMIT_STATUS</t>
  </si>
  <si>
    <t>SmartLoad-Dual.BC-03A.BCU_C1_TOTALIZER_MISMATCH_ALARM</t>
  </si>
  <si>
    <t>SmartLoad-Dual.BC-03A.BCU_C2_TOTALIZER_MISMATCH_ALARM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</si>
  <si>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</si>
  <si>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</si>
  <si>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</si>
  <si>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</si>
  <si>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</si>
  <si>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</si>
  <si>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</si>
  <si>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</si>
  <si>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</si>
  <si>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</si>
  <si>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</si>
  <si>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</si>
  <si>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</si>
  <si>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</si>
  <si>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</si>
  <si>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</si>
  <si>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</si>
  <si>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</si>
  <si>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</si>
  <si>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</si>
  <si>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SmartLoad-Dual.BC-04A.NO_FLOW_ALARM_STATUS_M2</t>
  </si>
  <si>
    <t>SmartLoad-Dual.BC-04A.LOW_FLOW_ALARM_STATUS_M1</t>
  </si>
  <si>
    <t>SmartLoad-Dual.BC-04A.LOW_FLOW_ALARM_STATUS_M2</t>
  </si>
  <si>
    <t>SmartLoad-Dual.BC-04A.HIGH_FLOW_ALARM_STATUS_M1</t>
  </si>
  <si>
    <t>SmartLoad-Dual.BC-04A.HIGH_FLOW_ALARM_STATUS_M2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</si>
  <si>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</si>
  <si>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</si>
  <si>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</si>
  <si>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</si>
  <si>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</si>
  <si>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</si>
  <si>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</si>
  <si>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</si>
  <si>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SmartLoad-Dual.BC-04A.NOMINAL_ARM1_COMP2_KFACTOR_CHANGED</t>
  </si>
  <si>
    <t>SmartLoad-Dual.BC-04A.MFM_BCU_QTY_BEYOND_TOLERANCE_LIMIT_STATUS</t>
  </si>
  <si>
    <t>SmartLoad-Dual.BC-04A.BCU_C1_TOTALIZER_MISMATCH_ALARM</t>
  </si>
  <si>
    <t>SmartLoad-Dual.BC-04A.BCU_C2_TOTALIZER_MISMATCH_ALARM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</si>
  <si>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</si>
  <si>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</si>
  <si>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</si>
  <si>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</si>
  <si>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</si>
  <si>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</si>
  <si>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</si>
  <si>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</si>
  <si>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</si>
  <si>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</si>
  <si>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</si>
  <si>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</si>
  <si>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</si>
  <si>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</si>
  <si>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</si>
  <si>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</si>
  <si>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</si>
  <si>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</si>
  <si>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</si>
  <si>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</si>
  <si>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SmartLoad-Dual.BC-05A.LOW_FLOW_ALARM_STATUS_M1</t>
  </si>
  <si>
    <t>SmartLoad-Dual.BC-05A.HIGH_FLOW_ALARM_STATUS_M1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</si>
  <si>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</si>
  <si>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</si>
  <si>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</si>
  <si>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</si>
  <si>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</si>
  <si>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</si>
  <si>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</si>
  <si>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</si>
  <si>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SmartLoad-Dual.BC-05A.MFM_BCU_QTY_BEYOND_TOLERANCE_LIMIT_STATUS</t>
  </si>
  <si>
    <t>SmartLoad-Dual.BC-05A.BCU_C1_TOTALIZER_MISMATCH_ALARM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</si>
  <si>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</si>
  <si>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</si>
  <si>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</si>
  <si>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</si>
  <si>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</si>
  <si>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</si>
  <si>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</si>
  <si>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</si>
  <si>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</si>
  <si>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</si>
  <si>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</si>
  <si>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</si>
  <si>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</si>
  <si>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</si>
  <si>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</si>
  <si>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</si>
  <si>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</si>
  <si>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SmartLoad-Dual.BC-05B.NOMINAL_ARM2_COMP2_KFACTOR_CHANGED</t>
  </si>
  <si>
    <t>SmartLoad-Dual.BC-05B.MFM_BCU_QTY_BEYOND_TOLERANCE_LIMIT_STATUS</t>
  </si>
  <si>
    <t>SmartLoad-Dual.BC-05B.BCU_C3_TOTALIZER_MISMATCH_ALARM</t>
  </si>
  <si>
    <t>SmartLoad-Dual.BC-05B.BCU_C4_TOTALIZER_MISMATCH_ALARM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</si>
  <si>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</si>
  <si>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</si>
  <si>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</si>
  <si>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</si>
  <si>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</si>
  <si>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</si>
  <si>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</si>
  <si>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</si>
  <si>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</si>
  <si>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</si>
  <si>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</si>
  <si>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</si>
  <si>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</si>
  <si>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</si>
  <si>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</si>
  <si>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</si>
  <si>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</si>
  <si>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</si>
  <si>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PLC.SFTPLC.MAIN_FWP_AVAIL_REMOTE</t>
  </si>
  <si>
    <t>Gantry Permissive Off</t>
  </si>
  <si>
    <t>Air Compressor ID</t>
  </si>
  <si>
    <t>AIR COMPRESSOR FAULT STATUS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</si>
  <si>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</si>
  <si>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</si>
  <si>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</si>
  <si>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</si>
  <si>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</si>
  <si>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</si>
  <si>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</si>
  <si>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</si>
  <si>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</si>
  <si>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</si>
  <si>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</si>
  <si>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</si>
  <si>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</si>
  <si>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</si>
  <si>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</si>
  <si>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</si>
  <si>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</si>
  <si>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</si>
  <si>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PressureTransmitter.PT-02.PRESSURE</t>
  </si>
  <si>
    <t>PressureTransmitter.PT-01.PRESSURE</t>
  </si>
  <si>
    <t>PLC.SFTPLC.TOV_ON_SCREEN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</si>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</sst>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b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AD9D6"/>
        <bgColor rgb="FFFAD9D6"/>
      </patternFill>
    </fill>
    <fill>
      <patternFill patternType="solid">
        <fgColor rgb="FFF7F7E7"/>
        <bgColor rgb="FFF7F7E7"/>
      </patternFill>
    </fill>
    <fill>
      <patternFill patternType="solid">
        <fgColor rgb="FFD8E5F8"/>
        <bgColor rgb="FFD8E5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3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top" wrapText="1"/>
    </xf>
    <xf borderId="2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vertical="top"/>
    </xf>
    <xf borderId="0" fillId="0" fontId="5" numFmtId="0" xfId="0" applyAlignment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readingOrder="0" vertical="top"/>
    </xf>
    <xf borderId="1" fillId="0" fontId="6" numFmtId="0" xfId="0" applyAlignment="1" applyBorder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1" fillId="3" fontId="2" numFmtId="0" xfId="0" applyAlignment="1" applyBorder="1" applyFont="1">
      <alignment horizontal="center"/>
    </xf>
    <xf borderId="3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horizontal="center" readingOrder="0"/>
    </xf>
    <xf borderId="3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top" wrapText="1"/>
    </xf>
    <xf borderId="0" fillId="0" fontId="2" numFmtId="0" xfId="0" applyFont="1"/>
    <xf borderId="1" fillId="0" fontId="3" numFmtId="0" xfId="0" applyBorder="1" applyFont="1"/>
    <xf borderId="4" fillId="3" fontId="2" numFmtId="0" xfId="0" applyBorder="1" applyFont="1"/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3" fontId="3" numFmtId="0" xfId="0" applyAlignment="1" applyBorder="1" applyFont="1">
      <alignment horizontal="center" readingOrder="0"/>
    </xf>
    <xf borderId="5" fillId="3" fontId="2" numFmtId="0" xfId="0" applyBorder="1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8" numFmtId="0" xfId="0" applyAlignment="1" applyFont="1">
      <alignment horizontal="center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/>
    </xf>
    <xf borderId="0" fillId="0" fontId="3" numFmtId="0" xfId="0" applyFont="1"/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left" vertical="center"/>
    </xf>
    <xf borderId="1" fillId="4" fontId="2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9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center"/>
    </xf>
    <xf borderId="0" fillId="3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0" fillId="3" fontId="3" numFmtId="0" xfId="0" applyAlignment="1" applyFont="1">
      <alignment horizontal="center"/>
    </xf>
    <xf borderId="0" fillId="3" fontId="4" numFmtId="0" xfId="0" applyAlignment="1" applyFont="1">
      <alignment horizontal="center" vertical="center"/>
    </xf>
    <xf borderId="4" fillId="3" fontId="3" numFmtId="0" xfId="0" applyAlignment="1" applyBorder="1" applyFont="1">
      <alignment horizontal="center" readingOrder="0"/>
    </xf>
    <xf borderId="1" fillId="0" fontId="7" numFmtId="0" xfId="0" applyAlignment="1" applyBorder="1" applyFont="1">
      <alignment vertical="bottom"/>
    </xf>
    <xf borderId="1" fillId="5" fontId="3" numFmtId="0" xfId="0" applyAlignment="1" applyBorder="1" applyFill="1" applyFont="1">
      <alignment shrinkToFit="0" vertical="bottom" wrapText="1"/>
    </xf>
    <xf borderId="1" fillId="5" fontId="3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left" vertical="center"/>
    </xf>
    <xf borderId="1" fillId="5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center"/>
    </xf>
    <xf borderId="1" fillId="6" fontId="10" numFmtId="0" xfId="0" applyBorder="1" applyFill="1" applyFont="1"/>
    <xf borderId="1" fillId="0" fontId="3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vertical="bottom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6" fillId="0" fontId="3" numFmtId="0" xfId="0" applyBorder="1" applyFont="1"/>
    <xf borderId="1" fillId="3" fontId="8" numFmtId="0" xfId="0" applyAlignment="1" applyBorder="1" applyFont="1">
      <alignment readingOrder="0"/>
    </xf>
    <xf borderId="1" fillId="0" fontId="11" numFmtId="0" xfId="0" applyAlignment="1" applyBorder="1" applyFont="1">
      <alignment horizontal="center" vertical="top"/>
    </xf>
    <xf borderId="1" fillId="0" fontId="11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left" vertical="center"/>
    </xf>
    <xf borderId="0" fillId="0" fontId="1" numFmtId="0" xfId="0" applyFont="1"/>
    <xf borderId="1" fillId="0" fontId="2" numFmtId="0" xfId="0" applyAlignment="1" applyBorder="1" applyFont="1">
      <alignment readingOrder="0"/>
    </xf>
    <xf borderId="0" fillId="3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14.75"/>
    <col customWidth="1" min="4" max="4" width="9.38"/>
    <col customWidth="1" min="5" max="5" width="8.38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14.0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24.38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24.38"/>
    <col customWidth="1" min="90" max="90" width="14.0"/>
    <col customWidth="1" min="91" max="91" width="11.5"/>
    <col customWidth="1" min="92" max="92" width="13.88"/>
    <col customWidth="1" min="93" max="93" width="18.13"/>
    <col customWidth="1" min="94" max="94" width="14.0"/>
    <col customWidth="1" min="95" max="95" width="11.5"/>
    <col customWidth="1" min="96" max="96" width="13.88"/>
    <col customWidth="1" min="97" max="97" width="21.75"/>
    <col customWidth="1" min="98" max="98" width="14.0"/>
    <col customWidth="1" min="99" max="99" width="11.5"/>
    <col customWidth="1" min="100" max="100" width="13.88"/>
    <col customWidth="1" min="101" max="101" width="23.13"/>
    <col customWidth="1" min="102" max="102" width="14.0"/>
    <col customWidth="1" min="103" max="103" width="11.5"/>
    <col customWidth="1" min="104" max="104" width="13.88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7</v>
      </c>
      <c r="O1" s="2" t="s">
        <v>12</v>
      </c>
      <c r="P1" s="2" t="s">
        <v>13</v>
      </c>
      <c r="Q1" s="2" t="s">
        <v>9</v>
      </c>
      <c r="R1" s="2" t="s">
        <v>10</v>
      </c>
      <c r="S1" s="3" t="s">
        <v>14</v>
      </c>
      <c r="T1" s="4" t="s">
        <v>7</v>
      </c>
      <c r="U1" s="2" t="s">
        <v>15</v>
      </c>
      <c r="V1" s="2" t="s">
        <v>13</v>
      </c>
      <c r="W1" s="2" t="s">
        <v>9</v>
      </c>
      <c r="X1" s="2" t="s">
        <v>10</v>
      </c>
      <c r="Y1" s="2" t="s">
        <v>16</v>
      </c>
      <c r="Z1" s="2" t="s">
        <v>13</v>
      </c>
      <c r="AA1" s="2" t="s">
        <v>9</v>
      </c>
      <c r="AB1" s="2" t="s">
        <v>10</v>
      </c>
      <c r="AC1" s="2" t="s">
        <v>17</v>
      </c>
      <c r="AD1" s="2" t="s">
        <v>13</v>
      </c>
      <c r="AE1" s="2" t="s">
        <v>9</v>
      </c>
      <c r="AF1" s="2" t="s">
        <v>10</v>
      </c>
      <c r="AG1" s="2" t="s">
        <v>18</v>
      </c>
      <c r="AH1" s="2" t="s">
        <v>13</v>
      </c>
      <c r="AI1" s="2" t="s">
        <v>9</v>
      </c>
      <c r="AJ1" s="2" t="s">
        <v>10</v>
      </c>
      <c r="AK1" s="2" t="s">
        <v>19</v>
      </c>
      <c r="AL1" s="2" t="s">
        <v>13</v>
      </c>
      <c r="AM1" s="2" t="s">
        <v>9</v>
      </c>
      <c r="AN1" s="2" t="s">
        <v>10</v>
      </c>
      <c r="AO1" s="2" t="s">
        <v>20</v>
      </c>
      <c r="AP1" s="2" t="s">
        <v>13</v>
      </c>
      <c r="AQ1" s="2" t="s">
        <v>9</v>
      </c>
      <c r="AR1" s="2" t="s">
        <v>10</v>
      </c>
      <c r="AS1" s="2" t="s">
        <v>21</v>
      </c>
      <c r="AT1" s="2" t="s">
        <v>13</v>
      </c>
      <c r="AU1" s="2" t="s">
        <v>9</v>
      </c>
      <c r="AV1" s="2" t="s">
        <v>10</v>
      </c>
      <c r="AW1" s="2" t="s">
        <v>22</v>
      </c>
      <c r="AX1" s="2" t="s">
        <v>7</v>
      </c>
      <c r="AY1" s="2" t="s">
        <v>9</v>
      </c>
      <c r="AZ1" s="2" t="s">
        <v>10</v>
      </c>
      <c r="BA1" s="2" t="s">
        <v>23</v>
      </c>
      <c r="BB1" s="2" t="s">
        <v>13</v>
      </c>
      <c r="BC1" s="2" t="s">
        <v>9</v>
      </c>
      <c r="BD1" s="2" t="s">
        <v>10</v>
      </c>
      <c r="BE1" s="2" t="s">
        <v>24</v>
      </c>
      <c r="BF1" s="2" t="s">
        <v>7</v>
      </c>
      <c r="BG1" s="2" t="s">
        <v>9</v>
      </c>
      <c r="BH1" s="2" t="s">
        <v>10</v>
      </c>
      <c r="BI1" s="2" t="s">
        <v>25</v>
      </c>
      <c r="BJ1" s="2" t="s">
        <v>7</v>
      </c>
      <c r="BK1" s="2" t="s">
        <v>9</v>
      </c>
      <c r="BL1" s="2" t="s">
        <v>10</v>
      </c>
      <c r="BM1" s="2" t="s">
        <v>26</v>
      </c>
      <c r="BN1" s="2" t="s">
        <v>7</v>
      </c>
      <c r="BO1" s="2" t="s">
        <v>9</v>
      </c>
      <c r="BP1" s="2" t="s">
        <v>10</v>
      </c>
      <c r="BQ1" s="2" t="s">
        <v>27</v>
      </c>
      <c r="BR1" s="2" t="s">
        <v>7</v>
      </c>
      <c r="BS1" s="2" t="s">
        <v>9</v>
      </c>
      <c r="BT1" s="2" t="s">
        <v>10</v>
      </c>
      <c r="BU1" s="2" t="s">
        <v>28</v>
      </c>
      <c r="BV1" s="2" t="s">
        <v>7</v>
      </c>
      <c r="BW1" s="2" t="s">
        <v>9</v>
      </c>
      <c r="BX1" s="2" t="s">
        <v>10</v>
      </c>
      <c r="BY1" s="2" t="s">
        <v>29</v>
      </c>
      <c r="BZ1" s="2" t="s">
        <v>7</v>
      </c>
      <c r="CA1" s="2" t="s">
        <v>9</v>
      </c>
      <c r="CB1" s="2" t="s">
        <v>10</v>
      </c>
      <c r="CC1" s="2" t="s">
        <v>30</v>
      </c>
      <c r="CD1" s="2" t="s">
        <v>13</v>
      </c>
      <c r="CE1" s="2" t="s">
        <v>9</v>
      </c>
      <c r="CF1" s="2" t="s">
        <v>10</v>
      </c>
      <c r="CG1" s="2" t="s">
        <v>31</v>
      </c>
      <c r="CH1" s="2" t="s">
        <v>13</v>
      </c>
      <c r="CI1" s="2" t="s">
        <v>9</v>
      </c>
      <c r="CJ1" s="2" t="s">
        <v>10</v>
      </c>
      <c r="CK1" s="2" t="s">
        <v>32</v>
      </c>
      <c r="CL1" s="2" t="s">
        <v>13</v>
      </c>
      <c r="CM1" s="2" t="s">
        <v>9</v>
      </c>
      <c r="CN1" s="2" t="s">
        <v>10</v>
      </c>
      <c r="CO1" s="2" t="s">
        <v>33</v>
      </c>
      <c r="CP1" s="2" t="s">
        <v>13</v>
      </c>
      <c r="CQ1" s="2" t="s">
        <v>9</v>
      </c>
      <c r="CR1" s="2" t="s">
        <v>10</v>
      </c>
      <c r="CS1" s="2" t="s">
        <v>34</v>
      </c>
      <c r="CT1" s="2" t="s">
        <v>13</v>
      </c>
      <c r="CU1" s="2" t="s">
        <v>9</v>
      </c>
      <c r="CV1" s="2" t="s">
        <v>10</v>
      </c>
      <c r="CW1" s="2" t="s">
        <v>35</v>
      </c>
      <c r="CX1" s="2" t="s">
        <v>13</v>
      </c>
      <c r="CY1" s="2" t="s">
        <v>9</v>
      </c>
      <c r="CZ1" s="2" t="s">
        <v>10</v>
      </c>
    </row>
    <row r="2" ht="15.75" customHeight="1">
      <c r="A2" s="5">
        <v>1892.0</v>
      </c>
      <c r="B2" s="5" t="s">
        <v>36</v>
      </c>
      <c r="C2" s="6" t="str">
        <f t="shared" ref="C2:C12" si="1">CONCATENATE(D2,"_",F2)</f>
        <v>TK-01_BS VI HSD</v>
      </c>
      <c r="D2" s="7" t="s">
        <v>37</v>
      </c>
      <c r="E2" s="8" t="s">
        <v>38</v>
      </c>
      <c r="F2" s="7" t="s">
        <v>39</v>
      </c>
      <c r="G2" s="9" t="s">
        <v>40</v>
      </c>
      <c r="H2" s="10">
        <v>0.0</v>
      </c>
      <c r="I2" s="11" t="s">
        <v>41</v>
      </c>
      <c r="J2" s="6"/>
      <c r="K2" s="12" t="str">
        <f t="shared" ref="K2:K12" si="2">MID(I2,6,5)</f>
        <v>TK-01</v>
      </c>
      <c r="L2" s="13" t="s">
        <v>42</v>
      </c>
      <c r="M2" s="6"/>
      <c r="N2" s="6"/>
      <c r="O2" s="11" t="s">
        <v>43</v>
      </c>
      <c r="P2" s="14">
        <v>0.0</v>
      </c>
      <c r="Q2" s="12" t="str">
        <f t="shared" ref="Q2:Q10" si="3">MID(O2,6,5)</f>
        <v>TK-01</v>
      </c>
      <c r="R2" s="15" t="s">
        <v>42</v>
      </c>
      <c r="S2" s="11" t="s">
        <v>44</v>
      </c>
      <c r="T2" s="14">
        <v>0.0</v>
      </c>
      <c r="U2" s="11" t="s">
        <v>45</v>
      </c>
      <c r="V2" s="14">
        <v>0.0</v>
      </c>
      <c r="W2" s="12" t="str">
        <f t="shared" ref="W2:W10" si="4">MID(U2,6,5)</f>
        <v>TK-01</v>
      </c>
      <c r="X2" s="15" t="s">
        <v>42</v>
      </c>
      <c r="Y2" s="11" t="s">
        <v>46</v>
      </c>
      <c r="Z2" s="14">
        <v>0.0</v>
      </c>
      <c r="AA2" s="12" t="str">
        <f t="shared" ref="AA2:AA12" si="5">MID(Y2,13,6)</f>
        <v>LSW-05</v>
      </c>
      <c r="AB2" s="15" t="s">
        <v>47</v>
      </c>
      <c r="AC2" s="11" t="s">
        <v>48</v>
      </c>
      <c r="AD2" s="14">
        <v>0.0</v>
      </c>
      <c r="AE2" s="12" t="str">
        <f t="shared" ref="AE2:AE3" si="6">MID(AC2,13,6)</f>
        <v>LSW-05</v>
      </c>
      <c r="AF2" s="15" t="s">
        <v>47</v>
      </c>
      <c r="AG2" s="11" t="s">
        <v>49</v>
      </c>
      <c r="AH2" s="14">
        <v>0.0</v>
      </c>
      <c r="AI2" s="12" t="str">
        <f t="shared" ref="AI2:AI3" si="7">MID(AG2,13,6)</f>
        <v>LSW-05</v>
      </c>
      <c r="AJ2" s="15" t="s">
        <v>47</v>
      </c>
      <c r="AK2" s="11" t="s">
        <v>50</v>
      </c>
      <c r="AL2" s="14">
        <v>0.0</v>
      </c>
      <c r="AM2" s="12" t="str">
        <f t="shared" ref="AM2:AM3" si="8">MID(AK2,13,6)</f>
        <v>RDR-05</v>
      </c>
      <c r="AN2" s="16" t="s">
        <v>51</v>
      </c>
      <c r="AO2" s="11" t="s">
        <v>52</v>
      </c>
      <c r="AP2" s="14">
        <v>0.0</v>
      </c>
      <c r="AQ2" s="12" t="str">
        <f t="shared" ref="AQ2:AQ3" si="9">MID(AO2,13,6)</f>
        <v>RDR-05</v>
      </c>
      <c r="AR2" s="16" t="s">
        <v>51</v>
      </c>
      <c r="AS2" s="11" t="s">
        <v>53</v>
      </c>
      <c r="AT2" s="14">
        <v>0.0</v>
      </c>
      <c r="AU2" s="12" t="str">
        <f t="shared" ref="AU2:AU3" si="10">MID(AS2,13,6)</f>
        <v>RDR-05</v>
      </c>
      <c r="AV2" s="16" t="s">
        <v>51</v>
      </c>
      <c r="AW2" s="11" t="s">
        <v>54</v>
      </c>
      <c r="AX2" s="14">
        <v>0.0</v>
      </c>
      <c r="AY2" s="12" t="str">
        <f t="shared" ref="AY2:AY3" si="11">MID(AW2,5,8)</f>
        <v>ROSOV-09</v>
      </c>
      <c r="AZ2" s="17" t="s">
        <v>55</v>
      </c>
      <c r="BA2" s="11" t="s">
        <v>56</v>
      </c>
      <c r="BB2" s="14">
        <v>0.0</v>
      </c>
      <c r="BC2" s="12" t="str">
        <f t="shared" ref="BC2:BC3" si="12">MID(BA2,5,8)</f>
        <v>ROSOV-09</v>
      </c>
      <c r="BD2" s="15" t="s">
        <v>57</v>
      </c>
      <c r="BE2" s="6"/>
      <c r="BF2" s="6"/>
      <c r="BG2" s="6"/>
      <c r="BH2" s="18"/>
      <c r="BI2" s="18"/>
      <c r="BJ2" s="18"/>
      <c r="BK2" s="6"/>
      <c r="BL2" s="18"/>
      <c r="BM2" s="19" t="s">
        <v>58</v>
      </c>
      <c r="BN2" s="14">
        <v>0.0</v>
      </c>
      <c r="BO2" s="17" t="str">
        <f t="shared" ref="BO2:BO3" si="13">MID(BM2,5,8)</f>
        <v>ROSOV-10</v>
      </c>
      <c r="BP2" s="17" t="s">
        <v>59</v>
      </c>
      <c r="BQ2" s="19" t="s">
        <v>60</v>
      </c>
      <c r="BR2" s="20">
        <v>0.0</v>
      </c>
      <c r="BS2" s="17" t="str">
        <f t="shared" ref="BS2:BS3" si="14">MID(BQ2,5,8)</f>
        <v>ROSOV-10</v>
      </c>
      <c r="BT2" s="17" t="s">
        <v>61</v>
      </c>
      <c r="BU2" s="18"/>
      <c r="BV2" s="18"/>
      <c r="BW2" s="18"/>
      <c r="BX2" s="18"/>
      <c r="BY2" s="6"/>
      <c r="BZ2" s="18"/>
      <c r="CA2" s="18"/>
      <c r="CB2" s="6"/>
      <c r="CC2" s="21" t="s">
        <v>62</v>
      </c>
      <c r="CD2" s="20">
        <v>0.0</v>
      </c>
      <c r="CE2" s="12" t="str">
        <f t="shared" ref="CE2:CE10" si="15">MID(CC2,5,6)</f>
        <v>MOV-01</v>
      </c>
      <c r="CF2" s="16" t="s">
        <v>63</v>
      </c>
      <c r="CG2" s="6"/>
      <c r="CH2" s="18"/>
      <c r="CI2" s="6"/>
      <c r="CJ2" s="6"/>
      <c r="CK2" s="21" t="s">
        <v>64</v>
      </c>
      <c r="CL2" s="20">
        <v>0.0</v>
      </c>
      <c r="CM2" s="12" t="str">
        <f t="shared" ref="CM2:CM3" si="16">MID(CK2,5,6)</f>
        <v>MOV-02</v>
      </c>
      <c r="CN2" s="16" t="s">
        <v>65</v>
      </c>
      <c r="CO2" s="6"/>
      <c r="CP2" s="18"/>
      <c r="CQ2" s="6"/>
      <c r="CR2" s="6"/>
      <c r="CS2" s="4"/>
      <c r="CT2" s="3"/>
      <c r="CU2" s="4"/>
      <c r="CV2" s="4"/>
      <c r="CW2" s="4"/>
      <c r="CX2" s="3"/>
      <c r="CY2" s="4"/>
      <c r="CZ2" s="4"/>
    </row>
    <row r="3" ht="15.75" customHeight="1">
      <c r="A3" s="5">
        <v>1892.0</v>
      </c>
      <c r="B3" s="5" t="s">
        <v>36</v>
      </c>
      <c r="C3" s="6" t="str">
        <f t="shared" si="1"/>
        <v>TK-02_BS VI MS</v>
      </c>
      <c r="D3" s="22" t="s">
        <v>66</v>
      </c>
      <c r="E3" s="23" t="s">
        <v>38</v>
      </c>
      <c r="F3" s="22" t="s">
        <v>67</v>
      </c>
      <c r="G3" s="9" t="s">
        <v>40</v>
      </c>
      <c r="H3" s="10">
        <v>0.0</v>
      </c>
      <c r="I3" s="11" t="s">
        <v>68</v>
      </c>
      <c r="J3" s="24"/>
      <c r="K3" s="12" t="str">
        <f t="shared" si="2"/>
        <v>TK-02</v>
      </c>
      <c r="L3" s="13" t="s">
        <v>42</v>
      </c>
      <c r="M3" s="24"/>
      <c r="N3" s="24"/>
      <c r="O3" s="11" t="s">
        <v>69</v>
      </c>
      <c r="P3" s="14">
        <v>0.0</v>
      </c>
      <c r="Q3" s="12" t="str">
        <f t="shared" si="3"/>
        <v>TK-02</v>
      </c>
      <c r="R3" s="15" t="s">
        <v>42</v>
      </c>
      <c r="S3" s="11" t="s">
        <v>70</v>
      </c>
      <c r="T3" s="14">
        <v>0.0</v>
      </c>
      <c r="U3" s="11" t="s">
        <v>71</v>
      </c>
      <c r="V3" s="14">
        <v>0.0</v>
      </c>
      <c r="W3" s="12" t="str">
        <f t="shared" si="4"/>
        <v>TK-02</v>
      </c>
      <c r="X3" s="15" t="s">
        <v>42</v>
      </c>
      <c r="Y3" s="11" t="s">
        <v>72</v>
      </c>
      <c r="Z3" s="14">
        <v>0.0</v>
      </c>
      <c r="AA3" s="12" t="str">
        <f t="shared" si="5"/>
        <v>LSW-04</v>
      </c>
      <c r="AB3" s="15" t="s">
        <v>47</v>
      </c>
      <c r="AC3" s="11" t="s">
        <v>73</v>
      </c>
      <c r="AD3" s="14">
        <v>0.0</v>
      </c>
      <c r="AE3" s="12" t="str">
        <f t="shared" si="6"/>
        <v>LSW-04</v>
      </c>
      <c r="AF3" s="15" t="s">
        <v>47</v>
      </c>
      <c r="AG3" s="11" t="s">
        <v>74</v>
      </c>
      <c r="AH3" s="14">
        <v>0.0</v>
      </c>
      <c r="AI3" s="12" t="str">
        <f t="shared" si="7"/>
        <v>LSW-04</v>
      </c>
      <c r="AJ3" s="15" t="s">
        <v>47</v>
      </c>
      <c r="AK3" s="11" t="s">
        <v>75</v>
      </c>
      <c r="AL3" s="14">
        <v>0.0</v>
      </c>
      <c r="AM3" s="12" t="str">
        <f t="shared" si="8"/>
        <v>RDR-04</v>
      </c>
      <c r="AN3" s="16" t="s">
        <v>51</v>
      </c>
      <c r="AO3" s="11" t="s">
        <v>76</v>
      </c>
      <c r="AP3" s="14">
        <v>0.0</v>
      </c>
      <c r="AQ3" s="12" t="str">
        <f t="shared" si="9"/>
        <v>RDR-04</v>
      </c>
      <c r="AR3" s="16" t="s">
        <v>51</v>
      </c>
      <c r="AS3" s="11" t="s">
        <v>77</v>
      </c>
      <c r="AT3" s="14">
        <v>0.0</v>
      </c>
      <c r="AU3" s="12" t="str">
        <f t="shared" si="10"/>
        <v>RDR-04</v>
      </c>
      <c r="AV3" s="16" t="s">
        <v>51</v>
      </c>
      <c r="AW3" s="11" t="s">
        <v>78</v>
      </c>
      <c r="AX3" s="14">
        <v>0.0</v>
      </c>
      <c r="AY3" s="12" t="str">
        <f t="shared" si="11"/>
        <v>ROSOV-07</v>
      </c>
      <c r="AZ3" s="17" t="s">
        <v>55</v>
      </c>
      <c r="BA3" s="11" t="s">
        <v>79</v>
      </c>
      <c r="BB3" s="14">
        <v>0.0</v>
      </c>
      <c r="BC3" s="12" t="str">
        <f t="shared" si="12"/>
        <v>ROSOV-07</v>
      </c>
      <c r="BD3" s="15" t="s">
        <v>57</v>
      </c>
      <c r="BE3" s="24"/>
      <c r="BF3" s="24"/>
      <c r="BG3" s="24"/>
      <c r="BH3" s="24"/>
      <c r="BI3" s="24"/>
      <c r="BJ3" s="24"/>
      <c r="BK3" s="24"/>
      <c r="BL3" s="24"/>
      <c r="BM3" s="19" t="s">
        <v>80</v>
      </c>
      <c r="BN3" s="14">
        <v>0.0</v>
      </c>
      <c r="BO3" s="17" t="str">
        <f t="shared" si="13"/>
        <v>ROSOV-08</v>
      </c>
      <c r="BP3" s="17" t="s">
        <v>59</v>
      </c>
      <c r="BQ3" s="19" t="s">
        <v>81</v>
      </c>
      <c r="BR3" s="20">
        <v>0.0</v>
      </c>
      <c r="BS3" s="17" t="str">
        <f t="shared" si="14"/>
        <v>ROSOV-08</v>
      </c>
      <c r="BT3" s="17" t="s">
        <v>61</v>
      </c>
      <c r="BU3" s="24"/>
      <c r="BV3" s="24"/>
      <c r="BW3" s="24"/>
      <c r="BX3" s="24"/>
      <c r="BY3" s="24"/>
      <c r="BZ3" s="24"/>
      <c r="CA3" s="24"/>
      <c r="CB3" s="24"/>
      <c r="CC3" s="21" t="s">
        <v>82</v>
      </c>
      <c r="CD3" s="20">
        <v>0.0</v>
      </c>
      <c r="CE3" s="12" t="str">
        <f t="shared" si="15"/>
        <v>MOV-03</v>
      </c>
      <c r="CF3" s="16" t="s">
        <v>83</v>
      </c>
      <c r="CG3" s="24"/>
      <c r="CH3" s="24"/>
      <c r="CI3" s="24"/>
      <c r="CJ3" s="24"/>
      <c r="CK3" s="21" t="s">
        <v>84</v>
      </c>
      <c r="CL3" s="20">
        <v>0.0</v>
      </c>
      <c r="CM3" s="12" t="str">
        <f t="shared" si="16"/>
        <v>MOV-04</v>
      </c>
      <c r="CN3" s="16" t="s">
        <v>65</v>
      </c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</row>
    <row r="4" ht="15.75" customHeight="1">
      <c r="A4" s="5">
        <v>1892.0</v>
      </c>
      <c r="B4" s="5" t="s">
        <v>36</v>
      </c>
      <c r="C4" s="6" t="str">
        <f t="shared" si="1"/>
        <v>TK-03_ETHANOL</v>
      </c>
      <c r="D4" s="22" t="s">
        <v>85</v>
      </c>
      <c r="E4" s="25" t="s">
        <v>86</v>
      </c>
      <c r="F4" s="22" t="s">
        <v>87</v>
      </c>
      <c r="G4" s="9" t="s">
        <v>40</v>
      </c>
      <c r="H4" s="10">
        <v>0.0</v>
      </c>
      <c r="I4" s="11" t="s">
        <v>88</v>
      </c>
      <c r="J4" s="24"/>
      <c r="K4" s="12" t="str">
        <f t="shared" si="2"/>
        <v>TK-03</v>
      </c>
      <c r="L4" s="13" t="s">
        <v>42</v>
      </c>
      <c r="M4" s="24"/>
      <c r="N4" s="24"/>
      <c r="O4" s="11" t="s">
        <v>89</v>
      </c>
      <c r="P4" s="14">
        <v>0.0</v>
      </c>
      <c r="Q4" s="12" t="str">
        <f t="shared" si="3"/>
        <v>TK-03</v>
      </c>
      <c r="R4" s="15" t="s">
        <v>42</v>
      </c>
      <c r="S4" s="11" t="s">
        <v>90</v>
      </c>
      <c r="T4" s="14">
        <v>0.0</v>
      </c>
      <c r="U4" s="11" t="s">
        <v>91</v>
      </c>
      <c r="V4" s="14">
        <v>0.0</v>
      </c>
      <c r="W4" s="12" t="str">
        <f t="shared" si="4"/>
        <v>TK-03</v>
      </c>
      <c r="X4" s="15" t="s">
        <v>42</v>
      </c>
      <c r="Y4" s="24"/>
      <c r="Z4" s="24"/>
      <c r="AA4" s="12" t="str">
        <f t="shared" si="5"/>
        <v/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1" t="s">
        <v>92</v>
      </c>
      <c r="CD4" s="20">
        <v>0.0</v>
      </c>
      <c r="CE4" s="12" t="str">
        <f t="shared" si="15"/>
        <v>MOV-05</v>
      </c>
      <c r="CF4" s="16" t="s">
        <v>93</v>
      </c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</row>
    <row r="5" ht="15.75" customHeight="1">
      <c r="A5" s="5">
        <v>1892.0</v>
      </c>
      <c r="B5" s="5" t="s">
        <v>36</v>
      </c>
      <c r="C5" s="6" t="str">
        <f t="shared" si="1"/>
        <v>TK-04_ETHANOL</v>
      </c>
      <c r="D5" s="22" t="s">
        <v>94</v>
      </c>
      <c r="E5" s="25" t="s">
        <v>86</v>
      </c>
      <c r="F5" s="22" t="s">
        <v>87</v>
      </c>
      <c r="G5" s="9" t="s">
        <v>40</v>
      </c>
      <c r="H5" s="10">
        <v>0.0</v>
      </c>
      <c r="I5" s="11" t="s">
        <v>95</v>
      </c>
      <c r="J5" s="24"/>
      <c r="K5" s="12" t="str">
        <f t="shared" si="2"/>
        <v>TK-04</v>
      </c>
      <c r="L5" s="13" t="s">
        <v>42</v>
      </c>
      <c r="M5" s="24"/>
      <c r="N5" s="24"/>
      <c r="O5" s="11" t="s">
        <v>96</v>
      </c>
      <c r="P5" s="14">
        <v>0.0</v>
      </c>
      <c r="Q5" s="12" t="str">
        <f t="shared" si="3"/>
        <v>TK-04</v>
      </c>
      <c r="R5" s="15" t="s">
        <v>42</v>
      </c>
      <c r="S5" s="11" t="s">
        <v>97</v>
      </c>
      <c r="T5" s="14">
        <v>0.0</v>
      </c>
      <c r="U5" s="11" t="s">
        <v>98</v>
      </c>
      <c r="V5" s="14">
        <v>0.0</v>
      </c>
      <c r="W5" s="12" t="str">
        <f t="shared" si="4"/>
        <v>TK-04</v>
      </c>
      <c r="X5" s="15" t="s">
        <v>42</v>
      </c>
      <c r="Y5" s="24"/>
      <c r="Z5" s="24"/>
      <c r="AA5" s="12" t="str">
        <f t="shared" si="5"/>
        <v/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1" t="s">
        <v>99</v>
      </c>
      <c r="CD5" s="20">
        <v>0.0</v>
      </c>
      <c r="CE5" s="12" t="str">
        <f t="shared" si="15"/>
        <v>MOV-06</v>
      </c>
      <c r="CF5" s="16" t="s">
        <v>100</v>
      </c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</row>
    <row r="6" ht="15.75" customHeight="1">
      <c r="A6" s="5">
        <v>1892.0</v>
      </c>
      <c r="B6" s="5" t="s">
        <v>36</v>
      </c>
      <c r="C6" s="6" t="str">
        <f t="shared" si="1"/>
        <v>TK-05_BS VI MS</v>
      </c>
      <c r="D6" s="22" t="s">
        <v>101</v>
      </c>
      <c r="E6" s="25" t="s">
        <v>86</v>
      </c>
      <c r="F6" s="22" t="s">
        <v>67</v>
      </c>
      <c r="G6" s="9" t="s">
        <v>40</v>
      </c>
      <c r="H6" s="10">
        <v>0.0</v>
      </c>
      <c r="I6" s="11" t="s">
        <v>102</v>
      </c>
      <c r="J6" s="24"/>
      <c r="K6" s="12" t="str">
        <f t="shared" si="2"/>
        <v>TK-05</v>
      </c>
      <c r="L6" s="13" t="s">
        <v>42</v>
      </c>
      <c r="M6" s="24"/>
      <c r="N6" s="24"/>
      <c r="O6" s="11" t="s">
        <v>103</v>
      </c>
      <c r="P6" s="14">
        <v>0.0</v>
      </c>
      <c r="Q6" s="12" t="str">
        <f t="shared" si="3"/>
        <v>TK-05</v>
      </c>
      <c r="R6" s="15" t="s">
        <v>42</v>
      </c>
      <c r="S6" s="11" t="s">
        <v>104</v>
      </c>
      <c r="T6" s="14">
        <v>0.0</v>
      </c>
      <c r="U6" s="11" t="s">
        <v>105</v>
      </c>
      <c r="V6" s="14">
        <v>0.0</v>
      </c>
      <c r="W6" s="12" t="str">
        <f t="shared" si="4"/>
        <v>TK-05</v>
      </c>
      <c r="X6" s="15" t="s">
        <v>42</v>
      </c>
      <c r="Y6" s="24"/>
      <c r="Z6" s="24"/>
      <c r="AA6" s="12" t="str">
        <f t="shared" si="5"/>
        <v/>
      </c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1" t="s">
        <v>106</v>
      </c>
      <c r="CD6" s="20">
        <v>0.0</v>
      </c>
      <c r="CE6" s="12" t="str">
        <f t="shared" si="15"/>
        <v>MOV-07</v>
      </c>
      <c r="CF6" s="16" t="s">
        <v>107</v>
      </c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</row>
    <row r="7" ht="15.75" customHeight="1">
      <c r="A7" s="5">
        <v>1892.0</v>
      </c>
      <c r="B7" s="5" t="s">
        <v>36</v>
      </c>
      <c r="C7" s="6" t="str">
        <f t="shared" si="1"/>
        <v>TK-06_BS VI MS</v>
      </c>
      <c r="D7" s="22" t="s">
        <v>108</v>
      </c>
      <c r="E7" s="25" t="s">
        <v>86</v>
      </c>
      <c r="F7" s="22" t="s">
        <v>67</v>
      </c>
      <c r="G7" s="9" t="s">
        <v>40</v>
      </c>
      <c r="H7" s="10">
        <v>0.0</v>
      </c>
      <c r="I7" s="11" t="s">
        <v>109</v>
      </c>
      <c r="J7" s="24"/>
      <c r="K7" s="12" t="str">
        <f t="shared" si="2"/>
        <v>TK-06</v>
      </c>
      <c r="L7" s="13" t="s">
        <v>42</v>
      </c>
      <c r="M7" s="24"/>
      <c r="N7" s="24"/>
      <c r="O7" s="11" t="s">
        <v>110</v>
      </c>
      <c r="P7" s="14">
        <v>0.0</v>
      </c>
      <c r="Q7" s="12" t="str">
        <f t="shared" si="3"/>
        <v>TK-06</v>
      </c>
      <c r="R7" s="15" t="s">
        <v>42</v>
      </c>
      <c r="S7" s="11" t="s">
        <v>111</v>
      </c>
      <c r="T7" s="14">
        <v>0.0</v>
      </c>
      <c r="U7" s="11" t="s">
        <v>112</v>
      </c>
      <c r="V7" s="14">
        <v>0.0</v>
      </c>
      <c r="W7" s="12" t="str">
        <f t="shared" si="4"/>
        <v>TK-06</v>
      </c>
      <c r="X7" s="15" t="s">
        <v>42</v>
      </c>
      <c r="Y7" s="24"/>
      <c r="Z7" s="24"/>
      <c r="AA7" s="12" t="str">
        <f t="shared" si="5"/>
        <v/>
      </c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1" t="s">
        <v>113</v>
      </c>
      <c r="CD7" s="20">
        <v>0.0</v>
      </c>
      <c r="CE7" s="12" t="str">
        <f t="shared" si="15"/>
        <v>MOV-08</v>
      </c>
      <c r="CF7" s="16" t="s">
        <v>114</v>
      </c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</row>
    <row r="8" ht="15.75" customHeight="1">
      <c r="A8" s="5">
        <v>1892.0</v>
      </c>
      <c r="B8" s="5" t="s">
        <v>36</v>
      </c>
      <c r="C8" s="6" t="str">
        <f t="shared" si="1"/>
        <v>TK-07_BIO DIESEL</v>
      </c>
      <c r="D8" s="22" t="s">
        <v>115</v>
      </c>
      <c r="E8" s="25" t="s">
        <v>86</v>
      </c>
      <c r="F8" s="22" t="s">
        <v>116</v>
      </c>
      <c r="G8" s="9" t="s">
        <v>40</v>
      </c>
      <c r="H8" s="10">
        <v>0.0</v>
      </c>
      <c r="I8" s="11" t="s">
        <v>117</v>
      </c>
      <c r="J8" s="24"/>
      <c r="K8" s="12" t="str">
        <f t="shared" si="2"/>
        <v>TK-07</v>
      </c>
      <c r="L8" s="13" t="s">
        <v>42</v>
      </c>
      <c r="M8" s="24"/>
      <c r="N8" s="24"/>
      <c r="O8" s="11" t="s">
        <v>118</v>
      </c>
      <c r="P8" s="14">
        <v>0.0</v>
      </c>
      <c r="Q8" s="12" t="str">
        <f t="shared" si="3"/>
        <v>TK-07</v>
      </c>
      <c r="R8" s="15" t="s">
        <v>42</v>
      </c>
      <c r="S8" s="11" t="s">
        <v>119</v>
      </c>
      <c r="T8" s="14">
        <v>0.0</v>
      </c>
      <c r="U8" s="11" t="s">
        <v>120</v>
      </c>
      <c r="V8" s="14">
        <v>0.0</v>
      </c>
      <c r="W8" s="12" t="str">
        <f t="shared" si="4"/>
        <v>TK-07</v>
      </c>
      <c r="X8" s="15" t="s">
        <v>42</v>
      </c>
      <c r="Y8" s="24"/>
      <c r="Z8" s="24"/>
      <c r="AA8" s="12" t="str">
        <f t="shared" si="5"/>
        <v/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1" t="s">
        <v>121</v>
      </c>
      <c r="CD8" s="20">
        <v>0.0</v>
      </c>
      <c r="CE8" s="12" t="str">
        <f t="shared" si="15"/>
        <v>MOV-09</v>
      </c>
      <c r="CF8" s="16" t="s">
        <v>122</v>
      </c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</row>
    <row r="9" ht="15.75" customHeight="1">
      <c r="A9" s="5">
        <v>1892.0</v>
      </c>
      <c r="B9" s="5" t="s">
        <v>36</v>
      </c>
      <c r="C9" s="6" t="str">
        <f t="shared" si="1"/>
        <v>TK-08_BS VI HSD</v>
      </c>
      <c r="D9" s="22" t="s">
        <v>123</v>
      </c>
      <c r="E9" s="25" t="s">
        <v>86</v>
      </c>
      <c r="F9" s="22" t="s">
        <v>39</v>
      </c>
      <c r="G9" s="9" t="s">
        <v>40</v>
      </c>
      <c r="H9" s="10">
        <v>0.0</v>
      </c>
      <c r="I9" s="11" t="s">
        <v>124</v>
      </c>
      <c r="J9" s="24"/>
      <c r="K9" s="12" t="str">
        <f t="shared" si="2"/>
        <v>TK-08</v>
      </c>
      <c r="L9" s="13" t="s">
        <v>42</v>
      </c>
      <c r="M9" s="24"/>
      <c r="N9" s="24"/>
      <c r="O9" s="11" t="s">
        <v>125</v>
      </c>
      <c r="P9" s="14">
        <v>0.0</v>
      </c>
      <c r="Q9" s="12" t="str">
        <f t="shared" si="3"/>
        <v>TK-08</v>
      </c>
      <c r="R9" s="15" t="s">
        <v>42</v>
      </c>
      <c r="S9" s="11" t="s">
        <v>126</v>
      </c>
      <c r="T9" s="14">
        <v>0.0</v>
      </c>
      <c r="U9" s="11" t="s">
        <v>127</v>
      </c>
      <c r="V9" s="14">
        <v>0.0</v>
      </c>
      <c r="W9" s="12" t="str">
        <f t="shared" si="4"/>
        <v>TK-08</v>
      </c>
      <c r="X9" s="15" t="s">
        <v>42</v>
      </c>
      <c r="Y9" s="24"/>
      <c r="Z9" s="24"/>
      <c r="AA9" s="12" t="str">
        <f t="shared" si="5"/>
        <v/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1" t="s">
        <v>128</v>
      </c>
      <c r="CD9" s="20">
        <v>0.0</v>
      </c>
      <c r="CE9" s="12" t="str">
        <f t="shared" si="15"/>
        <v>MOV-10</v>
      </c>
      <c r="CF9" s="16" t="s">
        <v>129</v>
      </c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</row>
    <row r="10" ht="15.75" customHeight="1">
      <c r="A10" s="5">
        <v>1892.0</v>
      </c>
      <c r="B10" s="5" t="s">
        <v>36</v>
      </c>
      <c r="C10" s="6" t="str">
        <f t="shared" si="1"/>
        <v>TK-09_BS VI MS</v>
      </c>
      <c r="D10" s="22" t="s">
        <v>130</v>
      </c>
      <c r="E10" s="25" t="s">
        <v>86</v>
      </c>
      <c r="F10" s="22" t="s">
        <v>67</v>
      </c>
      <c r="G10" s="9" t="s">
        <v>40</v>
      </c>
      <c r="H10" s="10">
        <v>0.0</v>
      </c>
      <c r="I10" s="11" t="s">
        <v>131</v>
      </c>
      <c r="J10" s="24"/>
      <c r="K10" s="12" t="str">
        <f t="shared" si="2"/>
        <v>TK-09</v>
      </c>
      <c r="L10" s="13" t="s">
        <v>42</v>
      </c>
      <c r="M10" s="24"/>
      <c r="N10" s="24"/>
      <c r="O10" s="11" t="s">
        <v>132</v>
      </c>
      <c r="P10" s="14">
        <v>0.0</v>
      </c>
      <c r="Q10" s="12" t="str">
        <f t="shared" si="3"/>
        <v>TK-09</v>
      </c>
      <c r="R10" s="15" t="s">
        <v>42</v>
      </c>
      <c r="S10" s="11" t="s">
        <v>133</v>
      </c>
      <c r="T10" s="14">
        <v>0.0</v>
      </c>
      <c r="U10" s="11" t="s">
        <v>134</v>
      </c>
      <c r="V10" s="14">
        <v>0.0</v>
      </c>
      <c r="W10" s="12" t="str">
        <f t="shared" si="4"/>
        <v>TK-09</v>
      </c>
      <c r="X10" s="15" t="s">
        <v>42</v>
      </c>
      <c r="Y10" s="24"/>
      <c r="Z10" s="24"/>
      <c r="AA10" s="12" t="str">
        <f t="shared" si="5"/>
        <v/>
      </c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1" t="s">
        <v>135</v>
      </c>
      <c r="CD10" s="20">
        <v>0.0</v>
      </c>
      <c r="CE10" s="12" t="str">
        <f t="shared" si="15"/>
        <v>MOV-11</v>
      </c>
      <c r="CF10" s="16" t="s">
        <v>136</v>
      </c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</row>
    <row r="11" ht="15.75" customHeight="1">
      <c r="A11" s="5">
        <v>1892.0</v>
      </c>
      <c r="B11" s="5" t="s">
        <v>36</v>
      </c>
      <c r="C11" s="6" t="str">
        <f t="shared" si="1"/>
        <v>WTK-01_WATER</v>
      </c>
      <c r="D11" s="22" t="s">
        <v>137</v>
      </c>
      <c r="E11" s="23" t="s">
        <v>38</v>
      </c>
      <c r="F11" s="22" t="s">
        <v>138</v>
      </c>
      <c r="G11" s="9" t="s">
        <v>40</v>
      </c>
      <c r="H11" s="10">
        <v>0.0</v>
      </c>
      <c r="I11" s="11" t="s">
        <v>139</v>
      </c>
      <c r="J11" s="24"/>
      <c r="K11" s="12" t="str">
        <f t="shared" si="2"/>
        <v>WTK-0</v>
      </c>
      <c r="L11" s="13" t="s">
        <v>42</v>
      </c>
      <c r="M11" s="24"/>
      <c r="N11" s="24"/>
      <c r="O11" s="24"/>
      <c r="P11" s="24"/>
      <c r="Q11" s="24"/>
      <c r="R11" s="24"/>
      <c r="S11" s="26"/>
      <c r="T11" s="24"/>
      <c r="U11" s="24"/>
      <c r="V11" s="24"/>
      <c r="W11" s="24"/>
      <c r="X11" s="24"/>
      <c r="Y11" s="24"/>
      <c r="Z11" s="24"/>
      <c r="AA11" s="12" t="str">
        <f t="shared" si="5"/>
        <v/>
      </c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</row>
    <row r="12" ht="15.75" customHeight="1">
      <c r="A12" s="5">
        <v>1892.0</v>
      </c>
      <c r="B12" s="5" t="s">
        <v>36</v>
      </c>
      <c r="C12" s="6" t="str">
        <f t="shared" si="1"/>
        <v>WTK-02_WATER</v>
      </c>
      <c r="D12" s="22" t="s">
        <v>140</v>
      </c>
      <c r="E12" s="23" t="s">
        <v>38</v>
      </c>
      <c r="F12" s="22" t="s">
        <v>138</v>
      </c>
      <c r="G12" s="9" t="s">
        <v>40</v>
      </c>
      <c r="H12" s="10">
        <v>0.0</v>
      </c>
      <c r="I12" s="11" t="s">
        <v>141</v>
      </c>
      <c r="J12" s="24"/>
      <c r="K12" s="12" t="str">
        <f t="shared" si="2"/>
        <v>WTK-0</v>
      </c>
      <c r="L12" s="13" t="s">
        <v>42</v>
      </c>
      <c r="M12" s="24"/>
      <c r="N12" s="24"/>
      <c r="O12" s="24"/>
      <c r="P12" s="24"/>
      <c r="Q12" s="24"/>
      <c r="R12" s="24"/>
      <c r="S12" s="26"/>
      <c r="T12" s="24"/>
      <c r="U12" s="24"/>
      <c r="V12" s="24"/>
      <c r="W12" s="24"/>
      <c r="X12" s="24"/>
      <c r="Y12" s="24"/>
      <c r="Z12" s="24"/>
      <c r="AA12" s="12" t="str">
        <f t="shared" si="5"/>
        <v/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</row>
    <row r="13" ht="15.75" customHeight="1"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6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</row>
    <row r="14" ht="15.75" customHeight="1"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6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</row>
    <row r="15" ht="15.75" customHeight="1"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6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</row>
    <row r="16" ht="15.75" customHeight="1"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6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</row>
    <row r="17" ht="15.75" customHeight="1"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6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</row>
    <row r="18" ht="15.75" customHeight="1"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6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</row>
    <row r="19" ht="15.75" customHeight="1"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6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</row>
    <row r="20" ht="15.75" customHeight="1"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6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</row>
    <row r="21" ht="15.75" customHeight="1"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6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</row>
    <row r="22" ht="15.75" customHeight="1"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6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</row>
    <row r="23" ht="15.75" customHeight="1"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6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</row>
    <row r="24" ht="15.75" customHeight="1"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6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</row>
    <row r="25" ht="15.75" customHeight="1"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6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</row>
    <row r="26" ht="15.75" customHeight="1"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6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</row>
    <row r="27" ht="15.75" customHeight="1"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6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</row>
    <row r="28" ht="15.75" customHeight="1"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6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</row>
    <row r="29" ht="15.75" customHeight="1"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6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</row>
    <row r="30" ht="15.75" customHeight="1"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6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</row>
    <row r="31" ht="15.75" customHeight="1"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6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</row>
    <row r="32" ht="15.75" customHeight="1"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6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</row>
    <row r="33" ht="15.75" customHeight="1"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6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</row>
    <row r="34" ht="15.75" customHeight="1"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6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</row>
    <row r="35" ht="15.75" customHeight="1"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6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</row>
    <row r="36" ht="15.75" customHeight="1"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6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</row>
    <row r="37" ht="15.75" customHeight="1"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6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</row>
    <row r="38" ht="15.75" customHeight="1"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6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</row>
    <row r="39" ht="15.75" customHeight="1"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6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</row>
    <row r="40" ht="15.75" customHeight="1"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6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</row>
    <row r="41" ht="15.75" customHeight="1"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6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</row>
    <row r="42" ht="15.75" customHeight="1"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6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</row>
    <row r="43" ht="15.75" customHeight="1"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6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</row>
    <row r="44" ht="15.75" customHeight="1"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6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</row>
    <row r="45" ht="15.75" customHeight="1"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6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</row>
    <row r="46" ht="15.75" customHeight="1"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6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</row>
    <row r="47" ht="15.75" customHeight="1"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6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</row>
    <row r="48" ht="15.75" customHeight="1"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6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</row>
    <row r="49" ht="15.75" customHeight="1"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6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</row>
    <row r="50" ht="15.75" customHeight="1"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6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</row>
    <row r="51" ht="15.75" customHeight="1"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6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</row>
    <row r="52" ht="15.75" customHeight="1"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6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</row>
    <row r="53" ht="15.75" customHeight="1"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6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</row>
    <row r="54" ht="15.75" customHeight="1"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6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</row>
    <row r="55" ht="15.75" customHeight="1"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6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</row>
    <row r="56" ht="15.75" customHeight="1"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6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</row>
    <row r="57" ht="15.75" customHeight="1"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6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</row>
    <row r="58" ht="15.75" customHeight="1"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6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</row>
    <row r="59" ht="15.75" customHeight="1"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6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</row>
    <row r="60" ht="15.75" customHeight="1"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6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</row>
    <row r="61" ht="15.75" customHeight="1"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6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</row>
    <row r="62" ht="15.75" customHeight="1"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6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</row>
    <row r="63" ht="15.75" customHeight="1"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6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</row>
    <row r="64" ht="15.75" customHeight="1"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6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</row>
    <row r="65" ht="15.75" customHeight="1"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6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</row>
    <row r="66" ht="15.75" customHeight="1"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6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</row>
    <row r="67" ht="15.75" customHeight="1"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6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</row>
    <row r="68" ht="15.75" customHeight="1"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6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</row>
    <row r="69" ht="15.75" customHeight="1"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6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</row>
    <row r="70" ht="15.75" customHeight="1"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6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</row>
    <row r="71" ht="15.75" customHeight="1"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6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</row>
    <row r="72" ht="15.75" customHeight="1"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6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</row>
    <row r="73" ht="15.75" customHeight="1"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6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</row>
    <row r="74" ht="15.75" customHeight="1"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6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</row>
    <row r="75" ht="15.75" customHeight="1"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6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</row>
    <row r="76" ht="15.75" customHeight="1"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6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</row>
    <row r="77" ht="15.75" customHeight="1"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6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</row>
    <row r="78" ht="15.75" customHeight="1"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6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</row>
    <row r="79" ht="15.75" customHeight="1"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6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</row>
    <row r="80" ht="15.75" customHeight="1"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6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</row>
    <row r="81" ht="15.75" customHeight="1"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6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</row>
    <row r="82" ht="15.75" customHeight="1"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6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</row>
    <row r="83" ht="15.75" customHeight="1"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6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</row>
    <row r="84" ht="15.75" customHeight="1"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6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</row>
    <row r="85" ht="15.75" customHeight="1"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6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</row>
    <row r="86" ht="15.75" customHeight="1"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6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</row>
    <row r="87" ht="15.75" customHeight="1"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6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</row>
    <row r="88" ht="15.75" customHeight="1"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6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</row>
    <row r="89" ht="15.75" customHeight="1"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6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</row>
    <row r="90" ht="15.75" customHeight="1"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6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</row>
    <row r="91" ht="15.75" customHeight="1"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6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</row>
    <row r="92" ht="15.75" customHeight="1"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6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</row>
    <row r="93" ht="15.75" customHeight="1"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6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</row>
    <row r="94" ht="15.75" customHeight="1"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6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</row>
    <row r="95" ht="15.75" customHeight="1"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6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</row>
    <row r="96" ht="15.75" customHeight="1"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6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</row>
    <row r="97" ht="15.75" customHeight="1"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6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</row>
    <row r="98" ht="15.75" customHeight="1"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6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</row>
    <row r="99" ht="15.75" customHeight="1"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6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</row>
    <row r="100" ht="15.75" customHeight="1"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6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</row>
    <row r="101" ht="15.75" customHeight="1"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6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</row>
    <row r="102" ht="15.75" customHeight="1"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6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</row>
    <row r="103" ht="15.75" customHeight="1"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6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</row>
    <row r="104" ht="15.75" customHeight="1"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6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</row>
    <row r="105" ht="15.75" customHeight="1"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6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</row>
    <row r="106" ht="15.75" customHeight="1"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6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</row>
    <row r="107" ht="15.75" customHeight="1"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6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</row>
    <row r="108" ht="15.75" customHeight="1"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6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</row>
    <row r="109" ht="15.75" customHeight="1"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6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</row>
    <row r="110" ht="15.75" customHeight="1"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6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</row>
    <row r="111" ht="15.75" customHeight="1"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6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</row>
    <row r="112" ht="15.75" customHeight="1"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6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</row>
    <row r="113" ht="15.75" customHeight="1"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6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</row>
    <row r="114" ht="15.75" customHeight="1"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6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</row>
    <row r="115" ht="15.75" customHeight="1"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6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</row>
    <row r="116" ht="15.75" customHeight="1"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6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</row>
    <row r="117" ht="15.75" customHeight="1"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6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</row>
    <row r="118" ht="15.75" customHeight="1"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6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</row>
    <row r="119" ht="15.75" customHeight="1"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6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</row>
    <row r="120" ht="15.75" customHeight="1"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6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</row>
    <row r="121" ht="15.75" customHeight="1"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6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</row>
    <row r="122" ht="15.75" customHeight="1"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6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</row>
    <row r="123" ht="15.75" customHeight="1"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6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</row>
    <row r="124" ht="15.75" customHeight="1"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6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</row>
    <row r="125" ht="15.75" customHeight="1"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6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</row>
    <row r="126" ht="15.75" customHeight="1"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6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</row>
    <row r="127" ht="15.75" customHeight="1"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6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</row>
    <row r="128" ht="15.75" customHeight="1"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6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</row>
    <row r="129" ht="15.75" customHeight="1"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6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</row>
    <row r="130" ht="15.75" customHeight="1"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6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</row>
    <row r="131" ht="15.75" customHeight="1"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6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</row>
    <row r="132" ht="15.75" customHeight="1"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6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</row>
    <row r="133" ht="15.75" customHeight="1"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6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</row>
    <row r="134" ht="15.75" customHeight="1"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6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</row>
    <row r="135" ht="15.75" customHeight="1"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6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</row>
    <row r="136" ht="15.75" customHeight="1"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6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</row>
    <row r="137" ht="15.75" customHeight="1"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6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</row>
    <row r="138" ht="15.75" customHeight="1"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6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</row>
    <row r="139" ht="15.75" customHeight="1"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6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</row>
    <row r="140" ht="15.75" customHeight="1"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6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</row>
    <row r="141" ht="15.75" customHeight="1"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6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</row>
    <row r="142" ht="15.75" customHeight="1"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6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</row>
    <row r="143" ht="15.75" customHeight="1"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6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</row>
    <row r="144" ht="15.75" customHeight="1"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6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</row>
    <row r="145" ht="15.75" customHeight="1"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6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</row>
    <row r="146" ht="15.75" customHeight="1"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6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</row>
    <row r="147" ht="15.75" customHeight="1"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6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</row>
    <row r="148" ht="15.75" customHeight="1"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6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</row>
    <row r="149" ht="15.75" customHeight="1"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6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</row>
    <row r="150" ht="15.75" customHeight="1"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6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</row>
    <row r="151" ht="15.75" customHeight="1"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6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</row>
    <row r="152" ht="15.75" customHeight="1"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6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</row>
    <row r="153" ht="15.75" customHeight="1"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6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</row>
    <row r="154" ht="15.75" customHeight="1"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6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</row>
    <row r="155" ht="15.75" customHeight="1"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6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</row>
    <row r="156" ht="15.75" customHeight="1"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6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</row>
    <row r="157" ht="15.75" customHeight="1"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6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</row>
    <row r="158" ht="15.75" customHeight="1"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6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</row>
    <row r="159" ht="15.75" customHeight="1"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6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</row>
    <row r="160" ht="15.75" customHeight="1"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6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</row>
    <row r="161" ht="15.75" customHeight="1"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6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</row>
    <row r="162" ht="15.75" customHeight="1"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6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</row>
    <row r="163" ht="15.75" customHeight="1"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6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</row>
    <row r="164" ht="15.75" customHeight="1"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6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</row>
    <row r="165" ht="15.75" customHeight="1"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6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</row>
    <row r="166" ht="15.75" customHeight="1"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6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</row>
    <row r="167" ht="15.75" customHeight="1"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6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</row>
    <row r="168" ht="15.75" customHeight="1"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6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</row>
    <row r="169" ht="15.75" customHeight="1"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6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</row>
    <row r="170" ht="15.75" customHeight="1"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6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</row>
    <row r="171" ht="15.75" customHeight="1"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6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</row>
    <row r="172" ht="15.75" customHeight="1"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6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</row>
    <row r="173" ht="15.75" customHeight="1"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6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</row>
    <row r="174" ht="15.75" customHeight="1"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6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</row>
    <row r="175" ht="15.75" customHeight="1"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6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</row>
    <row r="176" ht="15.75" customHeight="1"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6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</row>
    <row r="177" ht="15.75" customHeight="1"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6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</row>
    <row r="178" ht="15.75" customHeight="1"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6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</row>
    <row r="179" ht="15.75" customHeight="1"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6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</row>
    <row r="180" ht="15.75" customHeight="1"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6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</row>
    <row r="181" ht="15.75" customHeight="1"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6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</row>
    <row r="182" ht="15.75" customHeight="1"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6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</row>
    <row r="183" ht="15.75" customHeight="1"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6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</row>
    <row r="184" ht="15.75" customHeight="1"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6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</row>
    <row r="185" ht="15.75" customHeight="1"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6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</row>
    <row r="186" ht="15.75" customHeight="1"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6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</row>
    <row r="187" ht="15.75" customHeight="1"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6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</row>
    <row r="188" ht="15.75" customHeight="1"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6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</row>
    <row r="189" ht="15.75" customHeight="1">
      <c r="S189" s="26"/>
    </row>
    <row r="190" ht="15.75" customHeight="1">
      <c r="S190" s="26"/>
    </row>
    <row r="191" ht="15.75" customHeight="1">
      <c r="S191" s="26"/>
    </row>
    <row r="192" ht="15.75" customHeight="1">
      <c r="S192" s="26"/>
    </row>
    <row r="193" ht="15.75" customHeight="1">
      <c r="S193" s="26"/>
    </row>
    <row r="194" ht="15.75" customHeight="1">
      <c r="S194" s="26"/>
    </row>
    <row r="195" ht="15.75" customHeight="1">
      <c r="S195" s="26"/>
    </row>
    <row r="196" ht="15.75" customHeight="1">
      <c r="S196" s="26"/>
    </row>
    <row r="197" ht="15.75" customHeight="1">
      <c r="S197" s="26"/>
    </row>
    <row r="198" ht="15.75" customHeight="1">
      <c r="S198" s="26"/>
    </row>
    <row r="199" ht="15.75" customHeight="1">
      <c r="S199" s="26"/>
    </row>
    <row r="200" ht="15.75" customHeight="1">
      <c r="S200" s="26"/>
    </row>
    <row r="201" ht="15.75" customHeight="1">
      <c r="S201" s="26"/>
    </row>
    <row r="202" ht="15.75" customHeight="1">
      <c r="S202" s="26"/>
    </row>
    <row r="203" ht="15.75" customHeight="1">
      <c r="S203" s="26"/>
    </row>
    <row r="204" ht="15.75" customHeight="1">
      <c r="S204" s="26"/>
    </row>
    <row r="205" ht="15.75" customHeight="1">
      <c r="S205" s="26"/>
    </row>
    <row r="206" ht="15.75" customHeight="1">
      <c r="S206" s="26"/>
    </row>
    <row r="207" ht="15.75" customHeight="1">
      <c r="S207" s="26"/>
    </row>
    <row r="208" ht="15.75" customHeight="1">
      <c r="S208" s="26"/>
    </row>
    <row r="209" ht="15.75" customHeight="1">
      <c r="S209" s="26"/>
    </row>
    <row r="210" ht="15.75" customHeight="1">
      <c r="S210" s="26"/>
    </row>
    <row r="211" ht="15.75" customHeight="1">
      <c r="S211" s="26"/>
    </row>
    <row r="212" ht="15.75" customHeight="1">
      <c r="S212" s="26"/>
    </row>
    <row r="213" ht="15.75" customHeight="1">
      <c r="S213" s="26"/>
    </row>
    <row r="214" ht="15.75" customHeight="1">
      <c r="S214" s="26"/>
    </row>
    <row r="215" ht="15.75" customHeight="1">
      <c r="S215" s="26"/>
    </row>
    <row r="216" ht="15.75" customHeight="1">
      <c r="S216" s="26"/>
    </row>
    <row r="217" ht="15.75" customHeight="1">
      <c r="S217" s="26"/>
    </row>
    <row r="218" ht="15.75" customHeight="1">
      <c r="S218" s="26"/>
    </row>
    <row r="219" ht="15.75" customHeight="1">
      <c r="S219" s="26"/>
    </row>
    <row r="220" ht="15.75" customHeight="1">
      <c r="S220" s="26"/>
    </row>
    <row r="221" ht="15.75" customHeight="1">
      <c r="S221" s="26"/>
    </row>
    <row r="222" ht="15.75" customHeight="1">
      <c r="S222" s="26"/>
    </row>
    <row r="223" ht="15.75" customHeight="1">
      <c r="S223" s="26"/>
    </row>
    <row r="224" ht="15.75" customHeight="1">
      <c r="S224" s="26"/>
    </row>
    <row r="225" ht="15.75" customHeight="1">
      <c r="S225" s="26"/>
    </row>
    <row r="226" ht="15.75" customHeight="1">
      <c r="S226" s="26"/>
    </row>
    <row r="227" ht="15.75" customHeight="1">
      <c r="S227" s="26"/>
    </row>
    <row r="228" ht="15.75" customHeight="1">
      <c r="S228" s="26"/>
    </row>
    <row r="229" ht="15.75" customHeight="1">
      <c r="S229" s="26"/>
    </row>
    <row r="230" ht="15.75" customHeight="1">
      <c r="S230" s="26"/>
    </row>
    <row r="231" ht="15.75" customHeight="1">
      <c r="S231" s="26"/>
    </row>
    <row r="232" ht="15.75" customHeight="1">
      <c r="S232" s="26"/>
    </row>
    <row r="233" ht="15.75" customHeight="1">
      <c r="S233" s="26"/>
    </row>
    <row r="234" ht="15.75" customHeight="1">
      <c r="S234" s="26"/>
    </row>
    <row r="235" ht="15.75" customHeight="1">
      <c r="S235" s="26"/>
    </row>
    <row r="236" ht="15.75" customHeight="1">
      <c r="S236" s="26"/>
    </row>
    <row r="237" ht="15.75" customHeight="1">
      <c r="S237" s="26"/>
    </row>
    <row r="238" ht="15.75" customHeight="1">
      <c r="S238" s="26"/>
    </row>
    <row r="239" ht="15.75" customHeight="1">
      <c r="S239" s="26"/>
    </row>
    <row r="240" ht="15.75" customHeight="1">
      <c r="S240" s="26"/>
    </row>
    <row r="241" ht="15.75" customHeight="1">
      <c r="S241" s="26"/>
    </row>
    <row r="242" ht="15.75" customHeight="1">
      <c r="S242" s="26"/>
    </row>
    <row r="243" ht="15.75" customHeight="1">
      <c r="S243" s="26"/>
    </row>
    <row r="244" ht="15.75" customHeight="1">
      <c r="S244" s="26"/>
    </row>
    <row r="245" ht="15.75" customHeight="1">
      <c r="S245" s="26"/>
    </row>
    <row r="246" ht="15.75" customHeight="1">
      <c r="S246" s="26"/>
    </row>
    <row r="247" ht="15.75" customHeight="1">
      <c r="S247" s="26"/>
    </row>
    <row r="248" ht="15.75" customHeight="1">
      <c r="S248" s="26"/>
    </row>
    <row r="249" ht="15.75" customHeight="1">
      <c r="S249" s="26"/>
    </row>
    <row r="250" ht="15.75" customHeight="1">
      <c r="S250" s="26"/>
    </row>
    <row r="251" ht="15.75" customHeight="1">
      <c r="S251" s="26"/>
    </row>
    <row r="252" ht="15.75" customHeight="1">
      <c r="S252" s="26"/>
    </row>
    <row r="253" ht="15.75" customHeight="1">
      <c r="S253" s="26"/>
    </row>
    <row r="254" ht="15.75" customHeight="1">
      <c r="S254" s="26"/>
    </row>
    <row r="255" ht="15.75" customHeight="1">
      <c r="S255" s="26"/>
    </row>
    <row r="256" ht="15.75" customHeight="1">
      <c r="S256" s="26"/>
    </row>
    <row r="257" ht="15.75" customHeight="1">
      <c r="S257" s="26"/>
    </row>
    <row r="258" ht="15.75" customHeight="1">
      <c r="S258" s="26"/>
    </row>
    <row r="259" ht="15.75" customHeight="1">
      <c r="S259" s="26"/>
    </row>
    <row r="260" ht="15.75" customHeight="1">
      <c r="S260" s="26"/>
    </row>
    <row r="261" ht="15.75" customHeight="1">
      <c r="S261" s="26"/>
    </row>
    <row r="262" ht="15.75" customHeight="1">
      <c r="S262" s="26"/>
    </row>
    <row r="263" ht="15.75" customHeight="1">
      <c r="S263" s="26"/>
    </row>
    <row r="264" ht="15.75" customHeight="1">
      <c r="S264" s="26"/>
    </row>
    <row r="265" ht="15.75" customHeight="1">
      <c r="S265" s="26"/>
    </row>
    <row r="266" ht="15.75" customHeight="1">
      <c r="S266" s="26"/>
    </row>
    <row r="267" ht="15.75" customHeight="1">
      <c r="S267" s="26"/>
    </row>
    <row r="268" ht="15.75" customHeight="1">
      <c r="S268" s="26"/>
    </row>
    <row r="269" ht="15.75" customHeight="1">
      <c r="S269" s="26"/>
    </row>
    <row r="270" ht="15.75" customHeight="1">
      <c r="S270" s="26"/>
    </row>
    <row r="271" ht="15.75" customHeight="1">
      <c r="S271" s="26"/>
    </row>
    <row r="272" ht="15.75" customHeight="1">
      <c r="S272" s="26"/>
    </row>
    <row r="273" ht="15.75" customHeight="1">
      <c r="S273" s="26"/>
    </row>
    <row r="274" ht="15.75" customHeight="1">
      <c r="S274" s="26"/>
    </row>
    <row r="275" ht="15.75" customHeight="1">
      <c r="S275" s="26"/>
    </row>
    <row r="276" ht="15.75" customHeight="1">
      <c r="S276" s="26"/>
    </row>
    <row r="277" ht="15.75" customHeight="1">
      <c r="S277" s="26"/>
    </row>
    <row r="278" ht="15.75" customHeight="1">
      <c r="S278" s="26"/>
    </row>
    <row r="279" ht="15.75" customHeight="1">
      <c r="S279" s="26"/>
    </row>
    <row r="280" ht="15.75" customHeight="1">
      <c r="S280" s="26"/>
    </row>
    <row r="281" ht="15.75" customHeight="1">
      <c r="S281" s="26"/>
    </row>
    <row r="282" ht="15.75" customHeight="1">
      <c r="S282" s="26"/>
    </row>
    <row r="283" ht="15.75" customHeight="1">
      <c r="S283" s="26"/>
    </row>
    <row r="284" ht="15.75" customHeight="1">
      <c r="S284" s="26"/>
    </row>
    <row r="285" ht="15.75" customHeight="1">
      <c r="S285" s="26"/>
    </row>
    <row r="286" ht="15.75" customHeight="1">
      <c r="S286" s="26"/>
    </row>
    <row r="287" ht="15.75" customHeight="1">
      <c r="S287" s="26"/>
    </row>
    <row r="288" ht="15.75" customHeight="1">
      <c r="S288" s="26"/>
    </row>
    <row r="289" ht="15.75" customHeight="1">
      <c r="S289" s="26"/>
    </row>
    <row r="290" ht="15.75" customHeight="1">
      <c r="S290" s="26"/>
    </row>
    <row r="291" ht="15.75" customHeight="1">
      <c r="S291" s="26"/>
    </row>
    <row r="292" ht="15.75" customHeight="1">
      <c r="S292" s="26"/>
    </row>
    <row r="293" ht="15.75" customHeight="1">
      <c r="S293" s="26"/>
    </row>
    <row r="294" ht="15.75" customHeight="1">
      <c r="S294" s="26"/>
    </row>
    <row r="295" ht="15.75" customHeight="1">
      <c r="S295" s="26"/>
    </row>
    <row r="296" ht="15.75" customHeight="1">
      <c r="S296" s="26"/>
    </row>
    <row r="297" ht="15.75" customHeight="1">
      <c r="S297" s="26"/>
    </row>
    <row r="298" ht="15.75" customHeight="1">
      <c r="S298" s="26"/>
    </row>
    <row r="299" ht="15.75" customHeight="1">
      <c r="S299" s="26"/>
    </row>
    <row r="300" ht="15.75" customHeight="1">
      <c r="S300" s="26"/>
    </row>
    <row r="301" ht="15.75" customHeight="1">
      <c r="S301" s="26"/>
    </row>
    <row r="302" ht="15.75" customHeight="1">
      <c r="S302" s="26"/>
    </row>
    <row r="303" ht="15.75" customHeight="1">
      <c r="S303" s="26"/>
    </row>
    <row r="304" ht="15.75" customHeight="1">
      <c r="S304" s="26"/>
    </row>
    <row r="305" ht="15.75" customHeight="1">
      <c r="S305" s="26"/>
    </row>
    <row r="306" ht="15.75" customHeight="1">
      <c r="S306" s="26"/>
    </row>
    <row r="307" ht="15.75" customHeight="1">
      <c r="S307" s="26"/>
    </row>
    <row r="308" ht="15.75" customHeight="1">
      <c r="S308" s="26"/>
    </row>
    <row r="309" ht="15.75" customHeight="1">
      <c r="S309" s="26"/>
    </row>
    <row r="310" ht="15.75" customHeight="1">
      <c r="S310" s="26"/>
    </row>
    <row r="311" ht="15.75" customHeight="1">
      <c r="S311" s="26"/>
    </row>
    <row r="312" ht="15.75" customHeight="1">
      <c r="S312" s="26"/>
    </row>
    <row r="313" ht="15.75" customHeight="1">
      <c r="S313" s="26"/>
    </row>
    <row r="314" ht="15.75" customHeight="1">
      <c r="S314" s="26"/>
    </row>
    <row r="315" ht="15.75" customHeight="1">
      <c r="S315" s="26"/>
    </row>
    <row r="316" ht="15.75" customHeight="1">
      <c r="S316" s="26"/>
    </row>
    <row r="317" ht="15.75" customHeight="1">
      <c r="S317" s="26"/>
    </row>
    <row r="318" ht="15.75" customHeight="1">
      <c r="S318" s="26"/>
    </row>
    <row r="319" ht="15.75" customHeight="1">
      <c r="S319" s="26"/>
    </row>
    <row r="320" ht="15.75" customHeight="1">
      <c r="S320" s="26"/>
    </row>
    <row r="321" ht="15.75" customHeight="1">
      <c r="S321" s="26"/>
    </row>
    <row r="322" ht="15.75" customHeight="1">
      <c r="S322" s="26"/>
    </row>
    <row r="323" ht="15.75" customHeight="1">
      <c r="S323" s="26"/>
    </row>
    <row r="324" ht="15.75" customHeight="1">
      <c r="S324" s="26"/>
    </row>
    <row r="325" ht="15.75" customHeight="1">
      <c r="S325" s="26"/>
    </row>
    <row r="326" ht="15.75" customHeight="1">
      <c r="S326" s="26"/>
    </row>
    <row r="327" ht="15.75" customHeight="1">
      <c r="S327" s="26"/>
    </row>
    <row r="328" ht="15.75" customHeight="1">
      <c r="S328" s="26"/>
    </row>
    <row r="329" ht="15.75" customHeight="1">
      <c r="S329" s="26"/>
    </row>
    <row r="330" ht="15.75" customHeight="1">
      <c r="S330" s="26"/>
    </row>
    <row r="331" ht="15.75" customHeight="1">
      <c r="S331" s="26"/>
    </row>
    <row r="332" ht="15.75" customHeight="1">
      <c r="S332" s="26"/>
    </row>
    <row r="333" ht="15.75" customHeight="1">
      <c r="S333" s="26"/>
    </row>
    <row r="334" ht="15.75" customHeight="1">
      <c r="S334" s="26"/>
    </row>
    <row r="335" ht="15.75" customHeight="1">
      <c r="S335" s="26"/>
    </row>
    <row r="336" ht="15.75" customHeight="1">
      <c r="S336" s="26"/>
    </row>
    <row r="337" ht="15.75" customHeight="1">
      <c r="S337" s="26"/>
    </row>
    <row r="338" ht="15.75" customHeight="1">
      <c r="S338" s="26"/>
    </row>
    <row r="339" ht="15.75" customHeight="1">
      <c r="S339" s="26"/>
    </row>
    <row r="340" ht="15.75" customHeight="1">
      <c r="S340" s="26"/>
    </row>
    <row r="341" ht="15.75" customHeight="1">
      <c r="S341" s="26"/>
    </row>
    <row r="342" ht="15.75" customHeight="1">
      <c r="S342" s="26"/>
    </row>
    <row r="343" ht="15.75" customHeight="1">
      <c r="S343" s="26"/>
    </row>
    <row r="344" ht="15.75" customHeight="1">
      <c r="S344" s="26"/>
    </row>
    <row r="345" ht="15.75" customHeight="1">
      <c r="S345" s="26"/>
    </row>
    <row r="346" ht="15.75" customHeight="1">
      <c r="S346" s="26"/>
    </row>
    <row r="347" ht="15.75" customHeight="1">
      <c r="S347" s="26"/>
    </row>
    <row r="348" ht="15.75" customHeight="1">
      <c r="S348" s="26"/>
    </row>
    <row r="349" ht="15.75" customHeight="1">
      <c r="S349" s="26"/>
    </row>
    <row r="350" ht="15.75" customHeight="1">
      <c r="S350" s="26"/>
    </row>
    <row r="351" ht="15.75" customHeight="1">
      <c r="S351" s="26"/>
    </row>
    <row r="352" ht="15.75" customHeight="1">
      <c r="S352" s="26"/>
    </row>
    <row r="353" ht="15.75" customHeight="1">
      <c r="S353" s="26"/>
    </row>
    <row r="354" ht="15.75" customHeight="1">
      <c r="S354" s="26"/>
    </row>
    <row r="355" ht="15.75" customHeight="1">
      <c r="S355" s="26"/>
    </row>
    <row r="356" ht="15.75" customHeight="1">
      <c r="S356" s="26"/>
    </row>
    <row r="357" ht="15.75" customHeight="1">
      <c r="S357" s="26"/>
    </row>
    <row r="358" ht="15.75" customHeight="1">
      <c r="S358" s="26"/>
    </row>
    <row r="359" ht="15.75" customHeight="1">
      <c r="S359" s="26"/>
    </row>
    <row r="360" ht="15.75" customHeight="1">
      <c r="S360" s="26"/>
    </row>
    <row r="361" ht="15.75" customHeight="1">
      <c r="S361" s="26"/>
    </row>
    <row r="362" ht="15.75" customHeight="1">
      <c r="S362" s="26"/>
    </row>
    <row r="363" ht="15.75" customHeight="1">
      <c r="S363" s="26"/>
    </row>
    <row r="364" ht="15.75" customHeight="1">
      <c r="S364" s="26"/>
    </row>
    <row r="365" ht="15.75" customHeight="1">
      <c r="S365" s="26"/>
    </row>
    <row r="366" ht="15.75" customHeight="1">
      <c r="S366" s="26"/>
    </row>
    <row r="367" ht="15.75" customHeight="1">
      <c r="S367" s="26"/>
    </row>
    <row r="368" ht="15.75" customHeight="1">
      <c r="S368" s="26"/>
    </row>
    <row r="369" ht="15.75" customHeight="1">
      <c r="S369" s="26"/>
    </row>
    <row r="370" ht="15.75" customHeight="1">
      <c r="S370" s="26"/>
    </row>
    <row r="371" ht="15.75" customHeight="1">
      <c r="S371" s="26"/>
    </row>
    <row r="372" ht="15.75" customHeight="1">
      <c r="S372" s="26"/>
    </row>
    <row r="373" ht="15.75" customHeight="1">
      <c r="S373" s="26"/>
    </row>
    <row r="374" ht="15.75" customHeight="1">
      <c r="S374" s="26"/>
    </row>
    <row r="375" ht="15.75" customHeight="1">
      <c r="S375" s="26"/>
    </row>
    <row r="376" ht="15.75" customHeight="1">
      <c r="S376" s="26"/>
    </row>
    <row r="377" ht="15.75" customHeight="1">
      <c r="S377" s="26"/>
    </row>
    <row r="378" ht="15.75" customHeight="1">
      <c r="S378" s="26"/>
    </row>
    <row r="379" ht="15.75" customHeight="1">
      <c r="S379" s="26"/>
    </row>
    <row r="380" ht="15.75" customHeight="1">
      <c r="S380" s="26"/>
    </row>
    <row r="381" ht="15.75" customHeight="1">
      <c r="S381" s="26"/>
    </row>
    <row r="382" ht="15.75" customHeight="1">
      <c r="S382" s="26"/>
    </row>
    <row r="383" ht="15.75" customHeight="1">
      <c r="S383" s="26"/>
    </row>
    <row r="384" ht="15.75" customHeight="1">
      <c r="S384" s="26"/>
    </row>
    <row r="385" ht="15.75" customHeight="1">
      <c r="S385" s="26"/>
    </row>
    <row r="386" ht="15.75" customHeight="1">
      <c r="S386" s="26"/>
    </row>
    <row r="387" ht="15.75" customHeight="1">
      <c r="S387" s="26"/>
    </row>
    <row r="388" ht="15.75" customHeight="1">
      <c r="S388" s="26"/>
    </row>
    <row r="389" ht="15.75" customHeight="1">
      <c r="S389" s="26"/>
    </row>
    <row r="390" ht="15.75" customHeight="1">
      <c r="S390" s="26"/>
    </row>
    <row r="391" ht="15.75" customHeight="1">
      <c r="S391" s="26"/>
    </row>
    <row r="392" ht="15.75" customHeight="1">
      <c r="S392" s="26"/>
    </row>
    <row r="393" ht="15.75" customHeight="1">
      <c r="S393" s="26"/>
    </row>
    <row r="394" ht="15.75" customHeight="1">
      <c r="S394" s="26"/>
    </row>
    <row r="395" ht="15.75" customHeight="1">
      <c r="S395" s="26"/>
    </row>
    <row r="396" ht="15.75" customHeight="1">
      <c r="S396" s="26"/>
    </row>
    <row r="397" ht="15.75" customHeight="1">
      <c r="S397" s="26"/>
    </row>
    <row r="398" ht="15.75" customHeight="1">
      <c r="S398" s="26"/>
    </row>
    <row r="399" ht="15.75" customHeight="1">
      <c r="S399" s="26"/>
    </row>
    <row r="400" ht="15.75" customHeight="1">
      <c r="S400" s="26"/>
    </row>
    <row r="401" ht="15.75" customHeight="1">
      <c r="S401" s="26"/>
    </row>
    <row r="402" ht="15.75" customHeight="1">
      <c r="S402" s="26"/>
    </row>
    <row r="403" ht="15.75" customHeight="1">
      <c r="S403" s="26"/>
    </row>
    <row r="404" ht="15.75" customHeight="1">
      <c r="S404" s="26"/>
    </row>
    <row r="405" ht="15.75" customHeight="1">
      <c r="S405" s="26"/>
    </row>
    <row r="406" ht="15.75" customHeight="1">
      <c r="S406" s="26"/>
    </row>
    <row r="407" ht="15.75" customHeight="1">
      <c r="S407" s="26"/>
    </row>
    <row r="408" ht="15.75" customHeight="1">
      <c r="S408" s="26"/>
    </row>
    <row r="409" ht="15.75" customHeight="1">
      <c r="S409" s="26"/>
    </row>
    <row r="410" ht="15.75" customHeight="1">
      <c r="S410" s="26"/>
    </row>
    <row r="411" ht="15.75" customHeight="1">
      <c r="S411" s="26"/>
    </row>
    <row r="412" ht="15.75" customHeight="1">
      <c r="S412" s="26"/>
    </row>
    <row r="413" ht="15.75" customHeight="1">
      <c r="S413" s="26"/>
    </row>
    <row r="414" ht="15.75" customHeight="1">
      <c r="S414" s="26"/>
    </row>
    <row r="415" ht="15.75" customHeight="1">
      <c r="S415" s="26"/>
    </row>
    <row r="416" ht="15.75" customHeight="1">
      <c r="S416" s="26"/>
    </row>
    <row r="417" ht="15.75" customHeight="1">
      <c r="S417" s="26"/>
    </row>
    <row r="418" ht="15.75" customHeight="1">
      <c r="S418" s="26"/>
    </row>
    <row r="419" ht="15.75" customHeight="1">
      <c r="S419" s="26"/>
    </row>
    <row r="420" ht="15.75" customHeight="1">
      <c r="S420" s="26"/>
    </row>
    <row r="421" ht="15.75" customHeight="1">
      <c r="S421" s="26"/>
    </row>
    <row r="422" ht="15.75" customHeight="1">
      <c r="S422" s="26"/>
    </row>
    <row r="423" ht="15.75" customHeight="1">
      <c r="S423" s="26"/>
    </row>
    <row r="424" ht="15.75" customHeight="1">
      <c r="S424" s="26"/>
    </row>
    <row r="425" ht="15.75" customHeight="1">
      <c r="S425" s="26"/>
    </row>
    <row r="426" ht="15.75" customHeight="1">
      <c r="S426" s="26"/>
    </row>
    <row r="427" ht="15.75" customHeight="1">
      <c r="S427" s="26"/>
    </row>
    <row r="428" ht="15.75" customHeight="1">
      <c r="S428" s="26"/>
    </row>
    <row r="429" ht="15.75" customHeight="1">
      <c r="S429" s="26"/>
    </row>
    <row r="430" ht="15.75" customHeight="1">
      <c r="S430" s="26"/>
    </row>
    <row r="431" ht="15.75" customHeight="1">
      <c r="S431" s="26"/>
    </row>
    <row r="432" ht="15.75" customHeight="1">
      <c r="S432" s="26"/>
    </row>
    <row r="433" ht="15.75" customHeight="1">
      <c r="S433" s="26"/>
    </row>
    <row r="434" ht="15.75" customHeight="1">
      <c r="S434" s="26"/>
    </row>
    <row r="435" ht="15.75" customHeight="1">
      <c r="S435" s="26"/>
    </row>
    <row r="436" ht="15.75" customHeight="1">
      <c r="S436" s="26"/>
    </row>
    <row r="437" ht="15.75" customHeight="1">
      <c r="S437" s="26"/>
    </row>
    <row r="438" ht="15.75" customHeight="1">
      <c r="S438" s="26"/>
    </row>
    <row r="439" ht="15.75" customHeight="1">
      <c r="S439" s="26"/>
    </row>
    <row r="440" ht="15.75" customHeight="1">
      <c r="S440" s="26"/>
    </row>
    <row r="441" ht="15.75" customHeight="1">
      <c r="S441" s="26"/>
    </row>
    <row r="442" ht="15.75" customHeight="1">
      <c r="S442" s="26"/>
    </row>
    <row r="443" ht="15.75" customHeight="1">
      <c r="S443" s="26"/>
    </row>
    <row r="444" ht="15.75" customHeight="1">
      <c r="S444" s="26"/>
    </row>
    <row r="445" ht="15.75" customHeight="1">
      <c r="S445" s="26"/>
    </row>
    <row r="446" ht="15.75" customHeight="1">
      <c r="S446" s="26"/>
    </row>
    <row r="447" ht="15.75" customHeight="1">
      <c r="S447" s="26"/>
    </row>
    <row r="448" ht="15.75" customHeight="1">
      <c r="S448" s="26"/>
    </row>
    <row r="449" ht="15.75" customHeight="1">
      <c r="S449" s="26"/>
    </row>
    <row r="450" ht="15.75" customHeight="1">
      <c r="S450" s="26"/>
    </row>
    <row r="451" ht="15.75" customHeight="1">
      <c r="S451" s="26"/>
    </row>
    <row r="452" ht="15.75" customHeight="1">
      <c r="S452" s="26"/>
    </row>
    <row r="453" ht="15.75" customHeight="1">
      <c r="S453" s="26"/>
    </row>
    <row r="454" ht="15.75" customHeight="1">
      <c r="S454" s="26"/>
    </row>
    <row r="455" ht="15.75" customHeight="1">
      <c r="S455" s="26"/>
    </row>
    <row r="456" ht="15.75" customHeight="1">
      <c r="S456" s="26"/>
    </row>
    <row r="457" ht="15.75" customHeight="1">
      <c r="S457" s="26"/>
    </row>
    <row r="458" ht="15.75" customHeight="1">
      <c r="S458" s="26"/>
    </row>
    <row r="459" ht="15.75" customHeight="1">
      <c r="S459" s="26"/>
    </row>
    <row r="460" ht="15.75" customHeight="1">
      <c r="S460" s="26"/>
    </row>
    <row r="461" ht="15.75" customHeight="1">
      <c r="S461" s="26"/>
    </row>
    <row r="462" ht="15.75" customHeight="1">
      <c r="S462" s="26"/>
    </row>
    <row r="463" ht="15.75" customHeight="1">
      <c r="S463" s="26"/>
    </row>
    <row r="464" ht="15.75" customHeight="1">
      <c r="S464" s="26"/>
    </row>
    <row r="465" ht="15.75" customHeight="1">
      <c r="S465" s="26"/>
    </row>
    <row r="466" ht="15.75" customHeight="1">
      <c r="S466" s="26"/>
    </row>
    <row r="467" ht="15.75" customHeight="1">
      <c r="S467" s="26"/>
    </row>
    <row r="468" ht="15.75" customHeight="1">
      <c r="S468" s="26"/>
    </row>
    <row r="469" ht="15.75" customHeight="1">
      <c r="S469" s="26"/>
    </row>
    <row r="470" ht="15.75" customHeight="1">
      <c r="S470" s="26"/>
    </row>
    <row r="471" ht="15.75" customHeight="1">
      <c r="S471" s="26"/>
    </row>
    <row r="472" ht="15.75" customHeight="1">
      <c r="S472" s="26"/>
    </row>
    <row r="473" ht="15.75" customHeight="1">
      <c r="S473" s="26"/>
    </row>
    <row r="474" ht="15.75" customHeight="1">
      <c r="S474" s="26"/>
    </row>
    <row r="475" ht="15.75" customHeight="1">
      <c r="S475" s="26"/>
    </row>
    <row r="476" ht="15.75" customHeight="1">
      <c r="S476" s="26"/>
    </row>
    <row r="477" ht="15.75" customHeight="1">
      <c r="S477" s="26"/>
    </row>
    <row r="478" ht="15.75" customHeight="1">
      <c r="S478" s="26"/>
    </row>
    <row r="479" ht="15.75" customHeight="1">
      <c r="S479" s="26"/>
    </row>
    <row r="480" ht="15.75" customHeight="1">
      <c r="S480" s="26"/>
    </row>
    <row r="481" ht="15.75" customHeight="1">
      <c r="S481" s="26"/>
    </row>
    <row r="482" ht="15.75" customHeight="1">
      <c r="S482" s="26"/>
    </row>
    <row r="483" ht="15.75" customHeight="1">
      <c r="S483" s="26"/>
    </row>
    <row r="484" ht="15.75" customHeight="1">
      <c r="S484" s="26"/>
    </row>
    <row r="485" ht="15.75" customHeight="1">
      <c r="S485" s="26"/>
    </row>
    <row r="486" ht="15.75" customHeight="1">
      <c r="S486" s="26"/>
    </row>
    <row r="487" ht="15.75" customHeight="1">
      <c r="S487" s="26"/>
    </row>
    <row r="488" ht="15.75" customHeight="1">
      <c r="S488" s="26"/>
    </row>
    <row r="489" ht="15.75" customHeight="1">
      <c r="S489" s="26"/>
    </row>
    <row r="490" ht="15.75" customHeight="1">
      <c r="S490" s="26"/>
    </row>
    <row r="491" ht="15.75" customHeight="1">
      <c r="S491" s="26"/>
    </row>
    <row r="492" ht="15.75" customHeight="1">
      <c r="S492" s="26"/>
    </row>
    <row r="493" ht="15.75" customHeight="1">
      <c r="S493" s="26"/>
    </row>
    <row r="494" ht="15.75" customHeight="1">
      <c r="S494" s="26"/>
    </row>
    <row r="495" ht="15.75" customHeight="1">
      <c r="S495" s="26"/>
    </row>
    <row r="496" ht="15.75" customHeight="1">
      <c r="S496" s="26"/>
    </row>
    <row r="497" ht="15.75" customHeight="1">
      <c r="S497" s="26"/>
    </row>
    <row r="498" ht="15.75" customHeight="1">
      <c r="S498" s="26"/>
    </row>
    <row r="499" ht="15.75" customHeight="1">
      <c r="S499" s="26"/>
    </row>
    <row r="500" ht="15.75" customHeight="1">
      <c r="S500" s="26"/>
    </row>
    <row r="501" ht="15.75" customHeight="1">
      <c r="S501" s="26"/>
    </row>
    <row r="502" ht="15.75" customHeight="1">
      <c r="S502" s="26"/>
    </row>
    <row r="503" ht="15.75" customHeight="1">
      <c r="S503" s="26"/>
    </row>
    <row r="504" ht="15.75" customHeight="1">
      <c r="S504" s="26"/>
    </row>
    <row r="505" ht="15.75" customHeight="1">
      <c r="S505" s="26"/>
    </row>
    <row r="506" ht="15.75" customHeight="1">
      <c r="S506" s="26"/>
    </row>
    <row r="507" ht="15.75" customHeight="1">
      <c r="S507" s="26"/>
    </row>
    <row r="508" ht="15.75" customHeight="1">
      <c r="S508" s="26"/>
    </row>
    <row r="509" ht="15.75" customHeight="1">
      <c r="S509" s="26"/>
    </row>
    <row r="510" ht="15.75" customHeight="1">
      <c r="S510" s="26"/>
    </row>
    <row r="511" ht="15.75" customHeight="1">
      <c r="S511" s="26"/>
    </row>
    <row r="512" ht="15.75" customHeight="1">
      <c r="S512" s="26"/>
    </row>
    <row r="513" ht="15.75" customHeight="1">
      <c r="S513" s="26"/>
    </row>
    <row r="514" ht="15.75" customHeight="1">
      <c r="S514" s="26"/>
    </row>
    <row r="515" ht="15.75" customHeight="1">
      <c r="S515" s="26"/>
    </row>
    <row r="516" ht="15.75" customHeight="1">
      <c r="S516" s="26"/>
    </row>
    <row r="517" ht="15.75" customHeight="1">
      <c r="S517" s="26"/>
    </row>
    <row r="518" ht="15.75" customHeight="1">
      <c r="S518" s="26"/>
    </row>
    <row r="519" ht="15.75" customHeight="1">
      <c r="S519" s="26"/>
    </row>
    <row r="520" ht="15.75" customHeight="1">
      <c r="S520" s="26"/>
    </row>
    <row r="521" ht="15.75" customHeight="1">
      <c r="S521" s="26"/>
    </row>
    <row r="522" ht="15.75" customHeight="1">
      <c r="S522" s="26"/>
    </row>
    <row r="523" ht="15.75" customHeight="1">
      <c r="S523" s="26"/>
    </row>
    <row r="524" ht="15.75" customHeight="1">
      <c r="S524" s="26"/>
    </row>
    <row r="525" ht="15.75" customHeight="1">
      <c r="S525" s="26"/>
    </row>
    <row r="526" ht="15.75" customHeight="1">
      <c r="S526" s="26"/>
    </row>
    <row r="527" ht="15.75" customHeight="1">
      <c r="S527" s="26"/>
    </row>
    <row r="528" ht="15.75" customHeight="1">
      <c r="S528" s="26"/>
    </row>
    <row r="529" ht="15.75" customHeight="1">
      <c r="S529" s="26"/>
    </row>
    <row r="530" ht="15.75" customHeight="1">
      <c r="S530" s="26"/>
    </row>
    <row r="531" ht="15.75" customHeight="1">
      <c r="S531" s="26"/>
    </row>
    <row r="532" ht="15.75" customHeight="1">
      <c r="S532" s="26"/>
    </row>
    <row r="533" ht="15.75" customHeight="1">
      <c r="S533" s="26"/>
    </row>
    <row r="534" ht="15.75" customHeight="1">
      <c r="S534" s="26"/>
    </row>
    <row r="535" ht="15.75" customHeight="1">
      <c r="S535" s="26"/>
    </row>
    <row r="536" ht="15.75" customHeight="1">
      <c r="S536" s="26"/>
    </row>
    <row r="537" ht="15.75" customHeight="1">
      <c r="S537" s="26"/>
    </row>
    <row r="538" ht="15.75" customHeight="1">
      <c r="S538" s="26"/>
    </row>
    <row r="539" ht="15.75" customHeight="1">
      <c r="S539" s="26"/>
    </row>
    <row r="540" ht="15.75" customHeight="1">
      <c r="S540" s="26"/>
    </row>
    <row r="541" ht="15.75" customHeight="1">
      <c r="S541" s="26"/>
    </row>
    <row r="542" ht="15.75" customHeight="1">
      <c r="S542" s="26"/>
    </row>
    <row r="543" ht="15.75" customHeight="1">
      <c r="S543" s="26"/>
    </row>
    <row r="544" ht="15.75" customHeight="1">
      <c r="S544" s="26"/>
    </row>
    <row r="545" ht="15.75" customHeight="1">
      <c r="S545" s="26"/>
    </row>
    <row r="546" ht="15.75" customHeight="1">
      <c r="S546" s="26"/>
    </row>
    <row r="547" ht="15.75" customHeight="1">
      <c r="S547" s="26"/>
    </row>
    <row r="548" ht="15.75" customHeight="1">
      <c r="S548" s="26"/>
    </row>
    <row r="549" ht="15.75" customHeight="1">
      <c r="S549" s="26"/>
    </row>
    <row r="550" ht="15.75" customHeight="1">
      <c r="S550" s="26"/>
    </row>
    <row r="551" ht="15.75" customHeight="1">
      <c r="S551" s="26"/>
    </row>
    <row r="552" ht="15.75" customHeight="1">
      <c r="S552" s="26"/>
    </row>
    <row r="553" ht="15.75" customHeight="1">
      <c r="S553" s="26"/>
    </row>
    <row r="554" ht="15.75" customHeight="1">
      <c r="S554" s="26"/>
    </row>
    <row r="555" ht="15.75" customHeight="1">
      <c r="S555" s="26"/>
    </row>
    <row r="556" ht="15.75" customHeight="1">
      <c r="S556" s="26"/>
    </row>
    <row r="557" ht="15.75" customHeight="1">
      <c r="S557" s="26"/>
    </row>
    <row r="558" ht="15.75" customHeight="1">
      <c r="S558" s="26"/>
    </row>
    <row r="559" ht="15.75" customHeight="1">
      <c r="S559" s="26"/>
    </row>
    <row r="560" ht="15.75" customHeight="1">
      <c r="S560" s="26"/>
    </row>
    <row r="561" ht="15.75" customHeight="1">
      <c r="S561" s="26"/>
    </row>
    <row r="562" ht="15.75" customHeight="1">
      <c r="S562" s="26"/>
    </row>
    <row r="563" ht="15.75" customHeight="1">
      <c r="S563" s="26"/>
    </row>
    <row r="564" ht="15.75" customHeight="1">
      <c r="S564" s="26"/>
    </row>
    <row r="565" ht="15.75" customHeight="1">
      <c r="S565" s="26"/>
    </row>
    <row r="566" ht="15.75" customHeight="1">
      <c r="S566" s="26"/>
    </row>
    <row r="567" ht="15.75" customHeight="1">
      <c r="S567" s="26"/>
    </row>
    <row r="568" ht="15.75" customHeight="1">
      <c r="S568" s="26"/>
    </row>
    <row r="569" ht="15.75" customHeight="1">
      <c r="S569" s="26"/>
    </row>
    <row r="570" ht="15.75" customHeight="1">
      <c r="S570" s="26"/>
    </row>
    <row r="571" ht="15.75" customHeight="1">
      <c r="S571" s="26"/>
    </row>
    <row r="572" ht="15.75" customHeight="1">
      <c r="S572" s="26"/>
    </row>
    <row r="573" ht="15.75" customHeight="1">
      <c r="S573" s="26"/>
    </row>
    <row r="574" ht="15.75" customHeight="1">
      <c r="S574" s="26"/>
    </row>
    <row r="575" ht="15.75" customHeight="1">
      <c r="S575" s="26"/>
    </row>
    <row r="576" ht="15.75" customHeight="1">
      <c r="S576" s="26"/>
    </row>
    <row r="577" ht="15.75" customHeight="1">
      <c r="S577" s="26"/>
    </row>
    <row r="578" ht="15.75" customHeight="1">
      <c r="S578" s="26"/>
    </row>
    <row r="579" ht="15.75" customHeight="1">
      <c r="S579" s="26"/>
    </row>
    <row r="580" ht="15.75" customHeight="1">
      <c r="S580" s="26"/>
    </row>
    <row r="581" ht="15.75" customHeight="1">
      <c r="S581" s="26"/>
    </row>
    <row r="582" ht="15.75" customHeight="1">
      <c r="S582" s="26"/>
    </row>
    <row r="583" ht="15.75" customHeight="1">
      <c r="S583" s="26"/>
    </row>
    <row r="584" ht="15.75" customHeight="1">
      <c r="S584" s="26"/>
    </row>
    <row r="585" ht="15.75" customHeight="1">
      <c r="S585" s="26"/>
    </row>
    <row r="586" ht="15.75" customHeight="1">
      <c r="S586" s="26"/>
    </row>
    <row r="587" ht="15.75" customHeight="1">
      <c r="S587" s="26"/>
    </row>
    <row r="588" ht="15.75" customHeight="1">
      <c r="S588" s="26"/>
    </row>
    <row r="589" ht="15.75" customHeight="1">
      <c r="S589" s="26"/>
    </row>
    <row r="590" ht="15.75" customHeight="1">
      <c r="S590" s="26"/>
    </row>
    <row r="591" ht="15.75" customHeight="1">
      <c r="S591" s="26"/>
    </row>
    <row r="592" ht="15.75" customHeight="1">
      <c r="S592" s="26"/>
    </row>
    <row r="593" ht="15.75" customHeight="1">
      <c r="S593" s="26"/>
    </row>
    <row r="594" ht="15.75" customHeight="1">
      <c r="S594" s="26"/>
    </row>
    <row r="595" ht="15.75" customHeight="1">
      <c r="S595" s="26"/>
    </row>
    <row r="596" ht="15.75" customHeight="1">
      <c r="S596" s="26"/>
    </row>
    <row r="597" ht="15.75" customHeight="1">
      <c r="S597" s="26"/>
    </row>
    <row r="598" ht="15.75" customHeight="1">
      <c r="S598" s="26"/>
    </row>
    <row r="599" ht="15.75" customHeight="1">
      <c r="S599" s="26"/>
    </row>
    <row r="600" ht="15.75" customHeight="1">
      <c r="S600" s="26"/>
    </row>
    <row r="601" ht="15.75" customHeight="1">
      <c r="S601" s="26"/>
    </row>
    <row r="602" ht="15.75" customHeight="1">
      <c r="S602" s="26"/>
    </row>
    <row r="603" ht="15.75" customHeight="1">
      <c r="S603" s="26"/>
    </row>
    <row r="604" ht="15.75" customHeight="1">
      <c r="S604" s="26"/>
    </row>
    <row r="605" ht="15.75" customHeight="1">
      <c r="S605" s="26"/>
    </row>
    <row r="606" ht="15.75" customHeight="1">
      <c r="S606" s="26"/>
    </row>
    <row r="607" ht="15.75" customHeight="1">
      <c r="S607" s="26"/>
    </row>
    <row r="608" ht="15.75" customHeight="1">
      <c r="S608" s="26"/>
    </row>
    <row r="609" ht="15.75" customHeight="1">
      <c r="S609" s="26"/>
    </row>
    <row r="610" ht="15.75" customHeight="1">
      <c r="S610" s="26"/>
    </row>
    <row r="611" ht="15.75" customHeight="1">
      <c r="S611" s="26"/>
    </row>
    <row r="612" ht="15.75" customHeight="1">
      <c r="S612" s="26"/>
    </row>
    <row r="613" ht="15.75" customHeight="1">
      <c r="S613" s="26"/>
    </row>
    <row r="614" ht="15.75" customHeight="1">
      <c r="S614" s="26"/>
    </row>
    <row r="615" ht="15.75" customHeight="1">
      <c r="S615" s="26"/>
    </row>
    <row r="616" ht="15.75" customHeight="1">
      <c r="S616" s="26"/>
    </row>
    <row r="617" ht="15.75" customHeight="1">
      <c r="S617" s="26"/>
    </row>
    <row r="618" ht="15.75" customHeight="1">
      <c r="S618" s="26"/>
    </row>
    <row r="619" ht="15.75" customHeight="1">
      <c r="S619" s="26"/>
    </row>
    <row r="620" ht="15.75" customHeight="1">
      <c r="S620" s="26"/>
    </row>
    <row r="621" ht="15.75" customHeight="1">
      <c r="S621" s="26"/>
    </row>
    <row r="622" ht="15.75" customHeight="1">
      <c r="S622" s="26"/>
    </row>
    <row r="623" ht="15.75" customHeight="1">
      <c r="S623" s="26"/>
    </row>
    <row r="624" ht="15.75" customHeight="1">
      <c r="S624" s="26"/>
    </row>
    <row r="625" ht="15.75" customHeight="1">
      <c r="S625" s="26"/>
    </row>
    <row r="626" ht="15.75" customHeight="1">
      <c r="S626" s="26"/>
    </row>
    <row r="627" ht="15.75" customHeight="1">
      <c r="S627" s="26"/>
    </row>
    <row r="628" ht="15.75" customHeight="1">
      <c r="S628" s="26"/>
    </row>
    <row r="629" ht="15.75" customHeight="1">
      <c r="S629" s="26"/>
    </row>
    <row r="630" ht="15.75" customHeight="1">
      <c r="S630" s="26"/>
    </row>
    <row r="631" ht="15.75" customHeight="1">
      <c r="S631" s="26"/>
    </row>
    <row r="632" ht="15.75" customHeight="1">
      <c r="S632" s="26"/>
    </row>
    <row r="633" ht="15.75" customHeight="1">
      <c r="S633" s="26"/>
    </row>
    <row r="634" ht="15.75" customHeight="1">
      <c r="S634" s="26"/>
    </row>
    <row r="635" ht="15.75" customHeight="1">
      <c r="S635" s="26"/>
    </row>
    <row r="636" ht="15.75" customHeight="1">
      <c r="S636" s="26"/>
    </row>
    <row r="637" ht="15.75" customHeight="1">
      <c r="S637" s="26"/>
    </row>
    <row r="638" ht="15.75" customHeight="1">
      <c r="S638" s="26"/>
    </row>
    <row r="639" ht="15.75" customHeight="1">
      <c r="S639" s="26"/>
    </row>
    <row r="640" ht="15.75" customHeight="1">
      <c r="S640" s="26"/>
    </row>
    <row r="641" ht="15.75" customHeight="1">
      <c r="S641" s="26"/>
    </row>
    <row r="642" ht="15.75" customHeight="1">
      <c r="S642" s="26"/>
    </row>
    <row r="643" ht="15.75" customHeight="1">
      <c r="S643" s="26"/>
    </row>
    <row r="644" ht="15.75" customHeight="1">
      <c r="S644" s="26"/>
    </row>
    <row r="645" ht="15.75" customHeight="1">
      <c r="S645" s="26"/>
    </row>
    <row r="646" ht="15.75" customHeight="1">
      <c r="S646" s="26"/>
    </row>
    <row r="647" ht="15.75" customHeight="1">
      <c r="S647" s="26"/>
    </row>
    <row r="648" ht="15.75" customHeight="1">
      <c r="S648" s="26"/>
    </row>
    <row r="649" ht="15.75" customHeight="1">
      <c r="S649" s="26"/>
    </row>
    <row r="650" ht="15.75" customHeight="1">
      <c r="S650" s="26"/>
    </row>
    <row r="651" ht="15.75" customHeight="1">
      <c r="S651" s="26"/>
    </row>
    <row r="652" ht="15.75" customHeight="1">
      <c r="S652" s="26"/>
    </row>
    <row r="653" ht="15.75" customHeight="1">
      <c r="S653" s="26"/>
    </row>
    <row r="654" ht="15.75" customHeight="1">
      <c r="S654" s="26"/>
    </row>
    <row r="655" ht="15.75" customHeight="1">
      <c r="S655" s="26"/>
    </row>
    <row r="656" ht="15.75" customHeight="1">
      <c r="S656" s="26"/>
    </row>
    <row r="657" ht="15.75" customHeight="1">
      <c r="S657" s="26"/>
    </row>
    <row r="658" ht="15.75" customHeight="1">
      <c r="S658" s="26"/>
    </row>
    <row r="659" ht="15.75" customHeight="1">
      <c r="S659" s="26"/>
    </row>
    <row r="660" ht="15.75" customHeight="1">
      <c r="S660" s="26"/>
    </row>
    <row r="661" ht="15.75" customHeight="1">
      <c r="S661" s="26"/>
    </row>
    <row r="662" ht="15.75" customHeight="1">
      <c r="S662" s="26"/>
    </row>
    <row r="663" ht="15.75" customHeight="1">
      <c r="S663" s="26"/>
    </row>
    <row r="664" ht="15.75" customHeight="1">
      <c r="S664" s="26"/>
    </row>
    <row r="665" ht="15.75" customHeight="1">
      <c r="S665" s="26"/>
    </row>
    <row r="666" ht="15.75" customHeight="1">
      <c r="S666" s="26"/>
    </row>
    <row r="667" ht="15.75" customHeight="1">
      <c r="S667" s="26"/>
    </row>
    <row r="668" ht="15.75" customHeight="1">
      <c r="S668" s="26"/>
    </row>
    <row r="669" ht="15.75" customHeight="1">
      <c r="S669" s="26"/>
    </row>
    <row r="670" ht="15.75" customHeight="1">
      <c r="S670" s="26"/>
    </row>
    <row r="671" ht="15.75" customHeight="1">
      <c r="S671" s="26"/>
    </row>
    <row r="672" ht="15.75" customHeight="1">
      <c r="S672" s="26"/>
    </row>
    <row r="673" ht="15.75" customHeight="1">
      <c r="S673" s="26"/>
    </row>
    <row r="674" ht="15.75" customHeight="1">
      <c r="S674" s="26"/>
    </row>
    <row r="675" ht="15.75" customHeight="1">
      <c r="S675" s="26"/>
    </row>
    <row r="676" ht="15.75" customHeight="1">
      <c r="S676" s="26"/>
    </row>
    <row r="677" ht="15.75" customHeight="1">
      <c r="S677" s="26"/>
    </row>
    <row r="678" ht="15.75" customHeight="1">
      <c r="S678" s="26"/>
    </row>
    <row r="679" ht="15.75" customHeight="1">
      <c r="S679" s="26"/>
    </row>
    <row r="680" ht="15.75" customHeight="1">
      <c r="S680" s="26"/>
    </row>
    <row r="681" ht="15.75" customHeight="1">
      <c r="S681" s="26"/>
    </row>
    <row r="682" ht="15.75" customHeight="1">
      <c r="S682" s="26"/>
    </row>
    <row r="683" ht="15.75" customHeight="1">
      <c r="S683" s="26"/>
    </row>
    <row r="684" ht="15.75" customHeight="1">
      <c r="S684" s="26"/>
    </row>
    <row r="685" ht="15.75" customHeight="1">
      <c r="S685" s="26"/>
    </row>
    <row r="686" ht="15.75" customHeight="1">
      <c r="S686" s="26"/>
    </row>
    <row r="687" ht="15.75" customHeight="1">
      <c r="S687" s="26"/>
    </row>
    <row r="688" ht="15.75" customHeight="1">
      <c r="S688" s="26"/>
    </row>
    <row r="689" ht="15.75" customHeight="1">
      <c r="S689" s="26"/>
    </row>
    <row r="690" ht="15.75" customHeight="1">
      <c r="S690" s="26"/>
    </row>
    <row r="691" ht="15.75" customHeight="1">
      <c r="S691" s="26"/>
    </row>
    <row r="692" ht="15.75" customHeight="1">
      <c r="S692" s="26"/>
    </row>
    <row r="693" ht="15.75" customHeight="1">
      <c r="S693" s="26"/>
    </row>
    <row r="694" ht="15.75" customHeight="1">
      <c r="S694" s="26"/>
    </row>
    <row r="695" ht="15.75" customHeight="1">
      <c r="S695" s="26"/>
    </row>
    <row r="696" ht="15.75" customHeight="1">
      <c r="S696" s="26"/>
    </row>
    <row r="697" ht="15.75" customHeight="1">
      <c r="S697" s="26"/>
    </row>
    <row r="698" ht="15.75" customHeight="1">
      <c r="S698" s="26"/>
    </row>
    <row r="699" ht="15.75" customHeight="1">
      <c r="S699" s="26"/>
    </row>
    <row r="700" ht="15.75" customHeight="1">
      <c r="S700" s="26"/>
    </row>
    <row r="701" ht="15.75" customHeight="1">
      <c r="S701" s="26"/>
    </row>
    <row r="702" ht="15.75" customHeight="1">
      <c r="S702" s="26"/>
    </row>
    <row r="703" ht="15.75" customHeight="1">
      <c r="S703" s="26"/>
    </row>
    <row r="704" ht="15.75" customHeight="1">
      <c r="S704" s="26"/>
    </row>
    <row r="705" ht="15.75" customHeight="1">
      <c r="S705" s="26"/>
    </row>
    <row r="706" ht="15.75" customHeight="1">
      <c r="S706" s="26"/>
    </row>
    <row r="707" ht="15.75" customHeight="1">
      <c r="S707" s="26"/>
    </row>
    <row r="708" ht="15.75" customHeight="1">
      <c r="S708" s="26"/>
    </row>
    <row r="709" ht="15.75" customHeight="1">
      <c r="S709" s="26"/>
    </row>
    <row r="710" ht="15.75" customHeight="1">
      <c r="S710" s="26"/>
    </row>
    <row r="711" ht="15.75" customHeight="1">
      <c r="S711" s="26"/>
    </row>
    <row r="712" ht="15.75" customHeight="1">
      <c r="S712" s="26"/>
    </row>
    <row r="713" ht="15.75" customHeight="1">
      <c r="S713" s="26"/>
    </row>
    <row r="714" ht="15.75" customHeight="1">
      <c r="S714" s="26"/>
    </row>
    <row r="715" ht="15.75" customHeight="1">
      <c r="S715" s="26"/>
    </row>
    <row r="716" ht="15.75" customHeight="1">
      <c r="S716" s="26"/>
    </row>
    <row r="717" ht="15.75" customHeight="1">
      <c r="S717" s="26"/>
    </row>
    <row r="718" ht="15.75" customHeight="1">
      <c r="S718" s="26"/>
    </row>
    <row r="719" ht="15.75" customHeight="1">
      <c r="S719" s="26"/>
    </row>
    <row r="720" ht="15.75" customHeight="1">
      <c r="S720" s="26"/>
    </row>
    <row r="721" ht="15.75" customHeight="1">
      <c r="S721" s="26"/>
    </row>
    <row r="722" ht="15.75" customHeight="1">
      <c r="S722" s="26"/>
    </row>
    <row r="723" ht="15.75" customHeight="1">
      <c r="S723" s="26"/>
    </row>
    <row r="724" ht="15.75" customHeight="1">
      <c r="S724" s="26"/>
    </row>
    <row r="725" ht="15.75" customHeight="1">
      <c r="S725" s="26"/>
    </row>
    <row r="726" ht="15.75" customHeight="1">
      <c r="S726" s="26"/>
    </row>
    <row r="727" ht="15.75" customHeight="1">
      <c r="S727" s="26"/>
    </row>
    <row r="728" ht="15.75" customHeight="1">
      <c r="S728" s="26"/>
    </row>
    <row r="729" ht="15.75" customHeight="1">
      <c r="S729" s="26"/>
    </row>
    <row r="730" ht="15.75" customHeight="1">
      <c r="S730" s="26"/>
    </row>
    <row r="731" ht="15.75" customHeight="1">
      <c r="S731" s="26"/>
    </row>
    <row r="732" ht="15.75" customHeight="1">
      <c r="S732" s="26"/>
    </row>
    <row r="733" ht="15.75" customHeight="1">
      <c r="S733" s="26"/>
    </row>
    <row r="734" ht="15.75" customHeight="1">
      <c r="S734" s="26"/>
    </row>
    <row r="735" ht="15.75" customHeight="1">
      <c r="S735" s="26"/>
    </row>
    <row r="736" ht="15.75" customHeight="1">
      <c r="S736" s="26"/>
    </row>
    <row r="737" ht="15.75" customHeight="1">
      <c r="S737" s="26"/>
    </row>
    <row r="738" ht="15.75" customHeight="1">
      <c r="S738" s="26"/>
    </row>
    <row r="739" ht="15.75" customHeight="1">
      <c r="S739" s="26"/>
    </row>
    <row r="740" ht="15.75" customHeight="1">
      <c r="S740" s="26"/>
    </row>
    <row r="741" ht="15.75" customHeight="1">
      <c r="S741" s="26"/>
    </row>
    <row r="742" ht="15.75" customHeight="1">
      <c r="S742" s="26"/>
    </row>
    <row r="743" ht="15.75" customHeight="1">
      <c r="S743" s="26"/>
    </row>
    <row r="744" ht="15.75" customHeight="1">
      <c r="S744" s="26"/>
    </row>
    <row r="745" ht="15.75" customHeight="1">
      <c r="S745" s="26"/>
    </row>
    <row r="746" ht="15.75" customHeight="1">
      <c r="S746" s="26"/>
    </row>
    <row r="747" ht="15.75" customHeight="1">
      <c r="S747" s="26"/>
    </row>
    <row r="748" ht="15.75" customHeight="1">
      <c r="S748" s="26"/>
    </row>
    <row r="749" ht="15.75" customHeight="1">
      <c r="S749" s="26"/>
    </row>
    <row r="750" ht="15.75" customHeight="1">
      <c r="S750" s="26"/>
    </row>
    <row r="751" ht="15.75" customHeight="1">
      <c r="S751" s="26"/>
    </row>
    <row r="752" ht="15.75" customHeight="1">
      <c r="S752" s="26"/>
    </row>
    <row r="753" ht="15.75" customHeight="1">
      <c r="S753" s="26"/>
    </row>
    <row r="754" ht="15.75" customHeight="1">
      <c r="S754" s="26"/>
    </row>
    <row r="755" ht="15.75" customHeight="1">
      <c r="S755" s="26"/>
    </row>
    <row r="756" ht="15.75" customHeight="1">
      <c r="S756" s="26"/>
    </row>
    <row r="757" ht="15.75" customHeight="1">
      <c r="S757" s="26"/>
    </row>
    <row r="758" ht="15.75" customHeight="1">
      <c r="S758" s="26"/>
    </row>
    <row r="759" ht="15.75" customHeight="1">
      <c r="S759" s="26"/>
    </row>
    <row r="760" ht="15.75" customHeight="1">
      <c r="S760" s="26"/>
    </row>
    <row r="761" ht="15.75" customHeight="1">
      <c r="S761" s="26"/>
    </row>
    <row r="762" ht="15.75" customHeight="1">
      <c r="S762" s="26"/>
    </row>
    <row r="763" ht="15.75" customHeight="1">
      <c r="S763" s="26"/>
    </row>
    <row r="764" ht="15.75" customHeight="1">
      <c r="S764" s="26"/>
    </row>
    <row r="765" ht="15.75" customHeight="1">
      <c r="S765" s="26"/>
    </row>
    <row r="766" ht="15.75" customHeight="1">
      <c r="S766" s="26"/>
    </row>
    <row r="767" ht="15.75" customHeight="1">
      <c r="S767" s="26"/>
    </row>
    <row r="768" ht="15.75" customHeight="1">
      <c r="S768" s="26"/>
    </row>
    <row r="769" ht="15.75" customHeight="1">
      <c r="S769" s="26"/>
    </row>
    <row r="770" ht="15.75" customHeight="1">
      <c r="S770" s="26"/>
    </row>
    <row r="771" ht="15.75" customHeight="1">
      <c r="S771" s="26"/>
    </row>
    <row r="772" ht="15.75" customHeight="1">
      <c r="S772" s="26"/>
    </row>
    <row r="773" ht="15.75" customHeight="1">
      <c r="S773" s="26"/>
    </row>
    <row r="774" ht="15.75" customHeight="1">
      <c r="S774" s="26"/>
    </row>
    <row r="775" ht="15.75" customHeight="1">
      <c r="S775" s="26"/>
    </row>
    <row r="776" ht="15.75" customHeight="1">
      <c r="S776" s="26"/>
    </row>
    <row r="777" ht="15.75" customHeight="1">
      <c r="S777" s="26"/>
    </row>
    <row r="778" ht="15.75" customHeight="1">
      <c r="S778" s="26"/>
    </row>
    <row r="779" ht="15.75" customHeight="1">
      <c r="S779" s="26"/>
    </row>
    <row r="780" ht="15.75" customHeight="1">
      <c r="S780" s="26"/>
    </row>
    <row r="781" ht="15.75" customHeight="1">
      <c r="S781" s="26"/>
    </row>
    <row r="782" ht="15.75" customHeight="1">
      <c r="S782" s="26"/>
    </row>
    <row r="783" ht="15.75" customHeight="1">
      <c r="S783" s="26"/>
    </row>
    <row r="784" ht="15.75" customHeight="1">
      <c r="S784" s="26"/>
    </row>
    <row r="785" ht="15.75" customHeight="1">
      <c r="S785" s="26"/>
    </row>
    <row r="786" ht="15.75" customHeight="1">
      <c r="S786" s="26"/>
    </row>
    <row r="787" ht="15.75" customHeight="1">
      <c r="S787" s="26"/>
    </row>
    <row r="788" ht="15.75" customHeight="1">
      <c r="S788" s="26"/>
    </row>
    <row r="789" ht="15.75" customHeight="1">
      <c r="S789" s="26"/>
    </row>
    <row r="790" ht="15.75" customHeight="1">
      <c r="S790" s="26"/>
    </row>
    <row r="791" ht="15.75" customHeight="1">
      <c r="S791" s="26"/>
    </row>
    <row r="792" ht="15.75" customHeight="1">
      <c r="S792" s="26"/>
    </row>
    <row r="793" ht="15.75" customHeight="1">
      <c r="S793" s="26"/>
    </row>
    <row r="794" ht="15.75" customHeight="1">
      <c r="S794" s="26"/>
    </row>
    <row r="795" ht="15.75" customHeight="1">
      <c r="S795" s="26"/>
    </row>
    <row r="796" ht="15.75" customHeight="1">
      <c r="S796" s="26"/>
    </row>
    <row r="797" ht="15.75" customHeight="1">
      <c r="S797" s="26"/>
    </row>
    <row r="798" ht="15.75" customHeight="1">
      <c r="S798" s="26"/>
    </row>
    <row r="799" ht="15.75" customHeight="1">
      <c r="S799" s="26"/>
    </row>
    <row r="800" ht="15.75" customHeight="1">
      <c r="S800" s="26"/>
    </row>
    <row r="801" ht="15.75" customHeight="1">
      <c r="S801" s="26"/>
    </row>
    <row r="802" ht="15.75" customHeight="1">
      <c r="S802" s="26"/>
    </row>
    <row r="803" ht="15.75" customHeight="1">
      <c r="S803" s="26"/>
    </row>
    <row r="804" ht="15.75" customHeight="1">
      <c r="S804" s="26"/>
    </row>
    <row r="805" ht="15.75" customHeight="1">
      <c r="S805" s="26"/>
    </row>
    <row r="806" ht="15.75" customHeight="1">
      <c r="S806" s="26"/>
    </row>
    <row r="807" ht="15.75" customHeight="1">
      <c r="S807" s="26"/>
    </row>
    <row r="808" ht="15.75" customHeight="1">
      <c r="S808" s="26"/>
    </row>
    <row r="809" ht="15.75" customHeight="1">
      <c r="S809" s="26"/>
    </row>
    <row r="810" ht="15.75" customHeight="1">
      <c r="S810" s="26"/>
    </row>
    <row r="811" ht="15.75" customHeight="1">
      <c r="S811" s="26"/>
    </row>
    <row r="812" ht="15.75" customHeight="1">
      <c r="S812" s="26"/>
    </row>
    <row r="813" ht="15.75" customHeight="1">
      <c r="S813" s="26"/>
    </row>
    <row r="814" ht="15.75" customHeight="1">
      <c r="S814" s="26"/>
    </row>
    <row r="815" ht="15.75" customHeight="1">
      <c r="S815" s="26"/>
    </row>
    <row r="816" ht="15.75" customHeight="1">
      <c r="S816" s="26"/>
    </row>
    <row r="817" ht="15.75" customHeight="1">
      <c r="S817" s="26"/>
    </row>
    <row r="818" ht="15.75" customHeight="1">
      <c r="S818" s="26"/>
    </row>
    <row r="819" ht="15.75" customHeight="1">
      <c r="S819" s="26"/>
    </row>
    <row r="820" ht="15.75" customHeight="1">
      <c r="S820" s="26"/>
    </row>
    <row r="821" ht="15.75" customHeight="1">
      <c r="S821" s="26"/>
    </row>
    <row r="822" ht="15.75" customHeight="1">
      <c r="S822" s="26"/>
    </row>
    <row r="823" ht="15.75" customHeight="1">
      <c r="S823" s="26"/>
    </row>
    <row r="824" ht="15.75" customHeight="1">
      <c r="S824" s="26"/>
    </row>
    <row r="825" ht="15.75" customHeight="1">
      <c r="S825" s="26"/>
    </row>
    <row r="826" ht="15.75" customHeight="1">
      <c r="S826" s="26"/>
    </row>
    <row r="827" ht="15.75" customHeight="1">
      <c r="S827" s="26"/>
    </row>
    <row r="828" ht="15.75" customHeight="1">
      <c r="S828" s="26"/>
    </row>
    <row r="829" ht="15.75" customHeight="1">
      <c r="S829" s="26"/>
    </row>
    <row r="830" ht="15.75" customHeight="1">
      <c r="S830" s="26"/>
    </row>
    <row r="831" ht="15.75" customHeight="1">
      <c r="S831" s="26"/>
    </row>
    <row r="832" ht="15.75" customHeight="1">
      <c r="S832" s="26"/>
    </row>
    <row r="833" ht="15.75" customHeight="1">
      <c r="S833" s="26"/>
    </row>
    <row r="834" ht="15.75" customHeight="1">
      <c r="S834" s="26"/>
    </row>
    <row r="835" ht="15.75" customHeight="1">
      <c r="S835" s="26"/>
    </row>
    <row r="836" ht="15.75" customHeight="1">
      <c r="S836" s="26"/>
    </row>
    <row r="837" ht="15.75" customHeight="1">
      <c r="S837" s="26"/>
    </row>
    <row r="838" ht="15.75" customHeight="1">
      <c r="S838" s="26"/>
    </row>
    <row r="839" ht="15.75" customHeight="1">
      <c r="S839" s="26"/>
    </row>
    <row r="840" ht="15.75" customHeight="1">
      <c r="S840" s="26"/>
    </row>
    <row r="841" ht="15.75" customHeight="1">
      <c r="S841" s="26"/>
    </row>
    <row r="842" ht="15.75" customHeight="1">
      <c r="S842" s="26"/>
    </row>
    <row r="843" ht="15.75" customHeight="1">
      <c r="S843" s="26"/>
    </row>
    <row r="844" ht="15.75" customHeight="1">
      <c r="S844" s="26"/>
    </row>
    <row r="845" ht="15.75" customHeight="1">
      <c r="S845" s="26"/>
    </row>
    <row r="846" ht="15.75" customHeight="1">
      <c r="S846" s="26"/>
    </row>
    <row r="847" ht="15.75" customHeight="1">
      <c r="S847" s="26"/>
    </row>
    <row r="848" ht="15.75" customHeight="1">
      <c r="S848" s="26"/>
    </row>
    <row r="849" ht="15.75" customHeight="1">
      <c r="S849" s="26"/>
    </row>
    <row r="850" ht="15.75" customHeight="1">
      <c r="S850" s="26"/>
    </row>
    <row r="851" ht="15.75" customHeight="1">
      <c r="S851" s="26"/>
    </row>
    <row r="852" ht="15.75" customHeight="1">
      <c r="S852" s="26"/>
    </row>
    <row r="853" ht="15.75" customHeight="1">
      <c r="S853" s="26"/>
    </row>
    <row r="854" ht="15.75" customHeight="1">
      <c r="S854" s="26"/>
    </row>
    <row r="855" ht="15.75" customHeight="1">
      <c r="S855" s="26"/>
    </row>
    <row r="856" ht="15.75" customHeight="1">
      <c r="S856" s="26"/>
    </row>
    <row r="857" ht="15.75" customHeight="1">
      <c r="S857" s="26"/>
    </row>
    <row r="858" ht="15.75" customHeight="1">
      <c r="S858" s="26"/>
    </row>
    <row r="859" ht="15.75" customHeight="1">
      <c r="S859" s="26"/>
    </row>
    <row r="860" ht="15.75" customHeight="1">
      <c r="S860" s="26"/>
    </row>
    <row r="861" ht="15.75" customHeight="1">
      <c r="S861" s="26"/>
    </row>
    <row r="862" ht="15.75" customHeight="1">
      <c r="S862" s="26"/>
    </row>
    <row r="863" ht="15.75" customHeight="1">
      <c r="S863" s="26"/>
    </row>
    <row r="864" ht="15.75" customHeight="1">
      <c r="S864" s="26"/>
    </row>
    <row r="865" ht="15.75" customHeight="1">
      <c r="S865" s="26"/>
    </row>
    <row r="866" ht="15.75" customHeight="1">
      <c r="S866" s="26"/>
    </row>
    <row r="867" ht="15.75" customHeight="1">
      <c r="S867" s="26"/>
    </row>
    <row r="868" ht="15.75" customHeight="1">
      <c r="S868" s="26"/>
    </row>
    <row r="869" ht="15.75" customHeight="1">
      <c r="S869" s="26"/>
    </row>
    <row r="870" ht="15.75" customHeight="1">
      <c r="S870" s="26"/>
    </row>
    <row r="871" ht="15.75" customHeight="1">
      <c r="S871" s="26"/>
    </row>
    <row r="872" ht="15.75" customHeight="1">
      <c r="S872" s="26"/>
    </row>
    <row r="873" ht="15.75" customHeight="1">
      <c r="S873" s="26"/>
    </row>
    <row r="874" ht="15.75" customHeight="1">
      <c r="S874" s="26"/>
    </row>
    <row r="875" ht="15.75" customHeight="1">
      <c r="S875" s="26"/>
    </row>
    <row r="876" ht="15.75" customHeight="1">
      <c r="S876" s="26"/>
    </row>
    <row r="877" ht="15.75" customHeight="1">
      <c r="S877" s="26"/>
    </row>
    <row r="878" ht="15.75" customHeight="1">
      <c r="S878" s="26"/>
    </row>
    <row r="879" ht="15.75" customHeight="1">
      <c r="S879" s="26"/>
    </row>
    <row r="880" ht="15.75" customHeight="1">
      <c r="S880" s="26"/>
    </row>
    <row r="881" ht="15.75" customHeight="1">
      <c r="S881" s="26"/>
    </row>
    <row r="882" ht="15.75" customHeight="1">
      <c r="S882" s="26"/>
    </row>
    <row r="883" ht="15.75" customHeight="1">
      <c r="S883" s="26"/>
    </row>
    <row r="884" ht="15.75" customHeight="1">
      <c r="S884" s="26"/>
    </row>
    <row r="885" ht="15.75" customHeight="1">
      <c r="S885" s="26"/>
    </row>
    <row r="886" ht="15.75" customHeight="1">
      <c r="S886" s="26"/>
    </row>
    <row r="887" ht="15.75" customHeight="1">
      <c r="S887" s="26"/>
    </row>
    <row r="888" ht="15.75" customHeight="1">
      <c r="S888" s="26"/>
    </row>
    <row r="889" ht="15.75" customHeight="1">
      <c r="S889" s="26"/>
    </row>
    <row r="890" ht="15.75" customHeight="1">
      <c r="S890" s="26"/>
    </row>
    <row r="891" ht="15.75" customHeight="1">
      <c r="S891" s="26"/>
    </row>
    <row r="892" ht="15.75" customHeight="1">
      <c r="S892" s="26"/>
    </row>
    <row r="893" ht="15.75" customHeight="1">
      <c r="S893" s="26"/>
    </row>
    <row r="894" ht="15.75" customHeight="1">
      <c r="S894" s="26"/>
    </row>
    <row r="895" ht="15.75" customHeight="1">
      <c r="S895" s="26"/>
    </row>
    <row r="896" ht="15.75" customHeight="1">
      <c r="S896" s="26"/>
    </row>
    <row r="897" ht="15.75" customHeight="1">
      <c r="S897" s="26"/>
    </row>
    <row r="898" ht="15.75" customHeight="1">
      <c r="S898" s="26"/>
    </row>
    <row r="899" ht="15.75" customHeight="1">
      <c r="S899" s="26"/>
    </row>
    <row r="900" ht="15.75" customHeight="1">
      <c r="S900" s="26"/>
    </row>
    <row r="901" ht="15.75" customHeight="1">
      <c r="S901" s="26"/>
    </row>
    <row r="902" ht="15.75" customHeight="1">
      <c r="S902" s="26"/>
    </row>
    <row r="903" ht="15.75" customHeight="1">
      <c r="S903" s="26"/>
    </row>
    <row r="904" ht="15.75" customHeight="1">
      <c r="S904" s="26"/>
    </row>
    <row r="905" ht="15.75" customHeight="1">
      <c r="S905" s="26"/>
    </row>
    <row r="906" ht="15.75" customHeight="1">
      <c r="S906" s="26"/>
    </row>
    <row r="907" ht="15.75" customHeight="1">
      <c r="S907" s="26"/>
    </row>
    <row r="908" ht="15.75" customHeight="1">
      <c r="S908" s="26"/>
    </row>
    <row r="909" ht="15.75" customHeight="1">
      <c r="S909" s="26"/>
    </row>
    <row r="910" ht="15.75" customHeight="1">
      <c r="S910" s="26"/>
    </row>
    <row r="911" ht="15.75" customHeight="1">
      <c r="S911" s="26"/>
    </row>
    <row r="912" ht="15.75" customHeight="1">
      <c r="S912" s="26"/>
    </row>
    <row r="913" ht="15.75" customHeight="1">
      <c r="S913" s="26"/>
    </row>
    <row r="914" ht="15.75" customHeight="1">
      <c r="S914" s="26"/>
    </row>
    <row r="915" ht="15.75" customHeight="1">
      <c r="S915" s="26"/>
    </row>
    <row r="916" ht="15.75" customHeight="1">
      <c r="S916" s="26"/>
    </row>
    <row r="917" ht="15.75" customHeight="1">
      <c r="S917" s="26"/>
    </row>
    <row r="918" ht="15.75" customHeight="1">
      <c r="S918" s="26"/>
    </row>
    <row r="919" ht="15.75" customHeight="1">
      <c r="S919" s="26"/>
    </row>
    <row r="920" ht="15.75" customHeight="1">
      <c r="S920" s="26"/>
    </row>
    <row r="921" ht="15.75" customHeight="1">
      <c r="S921" s="26"/>
    </row>
    <row r="922" ht="15.75" customHeight="1">
      <c r="S922" s="26"/>
    </row>
    <row r="923" ht="15.75" customHeight="1">
      <c r="S923" s="26"/>
    </row>
    <row r="924" ht="15.75" customHeight="1">
      <c r="S924" s="26"/>
    </row>
    <row r="925" ht="15.75" customHeight="1">
      <c r="S925" s="26"/>
    </row>
    <row r="926" ht="15.75" customHeight="1">
      <c r="S926" s="26"/>
    </row>
    <row r="927" ht="15.75" customHeight="1">
      <c r="S927" s="26"/>
    </row>
    <row r="928" ht="15.75" customHeight="1">
      <c r="S928" s="26"/>
    </row>
    <row r="929" ht="15.75" customHeight="1">
      <c r="S929" s="26"/>
    </row>
    <row r="930" ht="15.75" customHeight="1">
      <c r="S930" s="26"/>
    </row>
    <row r="931" ht="15.75" customHeight="1">
      <c r="S931" s="26"/>
    </row>
    <row r="932" ht="15.75" customHeight="1">
      <c r="S932" s="26"/>
    </row>
    <row r="933" ht="15.75" customHeight="1">
      <c r="S933" s="26"/>
    </row>
    <row r="934" ht="15.75" customHeight="1">
      <c r="S934" s="26"/>
    </row>
    <row r="935" ht="15.75" customHeight="1">
      <c r="S935" s="26"/>
    </row>
    <row r="936" ht="15.75" customHeight="1">
      <c r="S936" s="26"/>
    </row>
    <row r="937" ht="15.75" customHeight="1">
      <c r="S937" s="26"/>
    </row>
    <row r="938" ht="15.75" customHeight="1">
      <c r="S938" s="26"/>
    </row>
    <row r="939" ht="15.75" customHeight="1">
      <c r="S939" s="26"/>
    </row>
    <row r="940" ht="15.75" customHeight="1">
      <c r="S940" s="26"/>
    </row>
    <row r="941" ht="15.75" customHeight="1">
      <c r="S941" s="26"/>
    </row>
    <row r="942" ht="15.75" customHeight="1">
      <c r="S942" s="26"/>
    </row>
    <row r="943" ht="15.75" customHeight="1">
      <c r="S943" s="26"/>
    </row>
    <row r="944" ht="15.75" customHeight="1">
      <c r="S944" s="26"/>
    </row>
    <row r="945" ht="15.75" customHeight="1">
      <c r="S945" s="26"/>
    </row>
    <row r="946" ht="15.75" customHeight="1">
      <c r="S946" s="26"/>
    </row>
    <row r="947" ht="15.75" customHeight="1">
      <c r="S947" s="26"/>
    </row>
    <row r="948" ht="15.75" customHeight="1">
      <c r="S948" s="26"/>
    </row>
    <row r="949" ht="15.75" customHeight="1">
      <c r="S949" s="26"/>
    </row>
    <row r="950" ht="15.75" customHeight="1">
      <c r="S950" s="26"/>
    </row>
    <row r="951" ht="15.75" customHeight="1">
      <c r="S951" s="26"/>
    </row>
    <row r="952" ht="15.75" customHeight="1">
      <c r="S952" s="26"/>
    </row>
    <row r="953" ht="15.75" customHeight="1">
      <c r="S953" s="26"/>
    </row>
    <row r="954" ht="15.75" customHeight="1">
      <c r="S954" s="26"/>
    </row>
    <row r="955" ht="15.75" customHeight="1">
      <c r="S955" s="26"/>
    </row>
    <row r="956" ht="15.75" customHeight="1">
      <c r="S956" s="26"/>
    </row>
    <row r="957" ht="15.75" customHeight="1">
      <c r="S957" s="26"/>
    </row>
    <row r="958" ht="15.75" customHeight="1">
      <c r="S958" s="26"/>
    </row>
    <row r="959" ht="15.75" customHeight="1">
      <c r="S959" s="26"/>
    </row>
    <row r="960" ht="15.75" customHeight="1">
      <c r="S960" s="26"/>
    </row>
    <row r="961" ht="15.75" customHeight="1">
      <c r="S961" s="26"/>
    </row>
  </sheetData>
  <autoFilter ref="$A$1:$CZ$1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0.1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142</v>
      </c>
      <c r="H1" s="2" t="s">
        <v>7</v>
      </c>
      <c r="I1" s="2" t="s">
        <v>143</v>
      </c>
      <c r="J1" s="2" t="s">
        <v>13</v>
      </c>
      <c r="K1" s="2" t="s">
        <v>9</v>
      </c>
      <c r="L1" s="2" t="s">
        <v>10</v>
      </c>
      <c r="M1" s="2" t="s">
        <v>144</v>
      </c>
      <c r="N1" s="2" t="s">
        <v>7</v>
      </c>
      <c r="O1" s="2" t="s">
        <v>9</v>
      </c>
      <c r="P1" s="2" t="s">
        <v>10</v>
      </c>
      <c r="Q1" s="2" t="s">
        <v>145</v>
      </c>
      <c r="R1" s="2" t="s">
        <v>13</v>
      </c>
      <c r="S1" s="2" t="s">
        <v>9</v>
      </c>
      <c r="T1" s="2" t="s">
        <v>10</v>
      </c>
      <c r="U1" s="2" t="s">
        <v>146</v>
      </c>
      <c r="V1" s="2" t="s">
        <v>13</v>
      </c>
      <c r="W1" s="2" t="s">
        <v>147</v>
      </c>
      <c r="X1" s="2" t="s">
        <v>148</v>
      </c>
      <c r="Y1" s="2" t="s">
        <v>149</v>
      </c>
      <c r="Z1" s="2" t="s">
        <v>13</v>
      </c>
      <c r="AA1" s="2" t="s">
        <v>147</v>
      </c>
      <c r="AB1" s="2" t="s">
        <v>10</v>
      </c>
      <c r="AC1" s="2" t="s">
        <v>150</v>
      </c>
      <c r="AD1" s="2" t="s">
        <v>13</v>
      </c>
      <c r="AE1" s="2" t="s">
        <v>9</v>
      </c>
      <c r="AF1" s="2" t="s">
        <v>148</v>
      </c>
      <c r="AG1" s="2" t="s">
        <v>151</v>
      </c>
      <c r="AH1" s="2" t="s">
        <v>13</v>
      </c>
      <c r="AI1" s="2" t="s">
        <v>9</v>
      </c>
      <c r="AJ1" s="2" t="s">
        <v>10</v>
      </c>
      <c r="AK1" s="2" t="s">
        <v>152</v>
      </c>
      <c r="AL1" s="2" t="s">
        <v>13</v>
      </c>
      <c r="AM1" s="2" t="s">
        <v>9</v>
      </c>
      <c r="AN1" s="2" t="s">
        <v>10</v>
      </c>
      <c r="AO1" s="2" t="s">
        <v>153</v>
      </c>
      <c r="AP1" s="2" t="s">
        <v>13</v>
      </c>
      <c r="AQ1" s="2" t="s">
        <v>9</v>
      </c>
      <c r="AR1" s="2" t="s">
        <v>10</v>
      </c>
      <c r="AS1" s="2" t="s">
        <v>154</v>
      </c>
      <c r="AT1" s="2" t="s">
        <v>13</v>
      </c>
      <c r="AU1" s="2" t="s">
        <v>147</v>
      </c>
      <c r="AV1" s="2" t="s">
        <v>10</v>
      </c>
      <c r="AW1" s="27" t="s">
        <v>155</v>
      </c>
      <c r="AX1" s="27" t="s">
        <v>13</v>
      </c>
      <c r="AY1" s="28"/>
      <c r="AZ1" s="28"/>
      <c r="BA1" s="28"/>
      <c r="BB1" s="28"/>
      <c r="BC1" s="28"/>
      <c r="BD1" s="28"/>
      <c r="BE1" s="28"/>
    </row>
    <row r="2" ht="15.75" customHeight="1">
      <c r="A2" s="5">
        <v>1892.0</v>
      </c>
      <c r="B2" s="29" t="s">
        <v>156</v>
      </c>
      <c r="C2" s="6" t="str">
        <f t="shared" ref="C2:C10" si="1">CONCATENATE(D2,"_",F2)</f>
        <v>TK-01_BS VI HSD</v>
      </c>
      <c r="D2" s="7" t="s">
        <v>37</v>
      </c>
      <c r="E2" s="8" t="s">
        <v>38</v>
      </c>
      <c r="F2" s="7" t="s">
        <v>39</v>
      </c>
      <c r="G2" s="11" t="s">
        <v>157</v>
      </c>
      <c r="H2" s="14">
        <v>0.0</v>
      </c>
      <c r="I2" s="11" t="s">
        <v>158</v>
      </c>
      <c r="J2" s="14">
        <v>0.0</v>
      </c>
      <c r="K2" s="12" t="str">
        <f t="shared" ref="K2:K3" si="2">MID(I2,13,6)</f>
        <v>LSW-05</v>
      </c>
      <c r="L2" s="17" t="s">
        <v>47</v>
      </c>
      <c r="M2" s="11" t="s">
        <v>159</v>
      </c>
      <c r="N2" s="14">
        <v>0.0</v>
      </c>
      <c r="O2" s="12" t="str">
        <f t="shared" ref="O2:O3" si="3">MID(M2,13,6)</f>
        <v>RDR-05</v>
      </c>
      <c r="P2" s="17" t="s">
        <v>51</v>
      </c>
      <c r="Q2" s="11" t="s">
        <v>160</v>
      </c>
      <c r="R2" s="14">
        <v>0.0</v>
      </c>
      <c r="S2" s="12" t="str">
        <f t="shared" ref="S2:S3" si="4">MID(Q2,5,8)</f>
        <v>ROSOV-09</v>
      </c>
      <c r="T2" s="17" t="s">
        <v>55</v>
      </c>
      <c r="U2" s="18"/>
      <c r="V2" s="18"/>
      <c r="W2" s="18"/>
      <c r="X2" s="18"/>
      <c r="Y2" s="19" t="s">
        <v>161</v>
      </c>
      <c r="Z2" s="20">
        <v>0.0</v>
      </c>
      <c r="AA2" s="12" t="str">
        <f t="shared" ref="AA2:AA3" si="5">MID(Y2,5,8)</f>
        <v>ROSOV-10</v>
      </c>
      <c r="AB2" s="17" t="s">
        <v>59</v>
      </c>
      <c r="AC2" s="18"/>
      <c r="AD2" s="18"/>
      <c r="AE2" s="18"/>
      <c r="AF2" s="18"/>
      <c r="AG2" s="21" t="s">
        <v>162</v>
      </c>
      <c r="AH2" s="20">
        <v>0.0</v>
      </c>
      <c r="AI2" s="12" t="str">
        <f t="shared" ref="AI2:AI10" si="6">MID(AG2,5,6)</f>
        <v>MOV-01</v>
      </c>
      <c r="AJ2" s="16" t="s">
        <v>63</v>
      </c>
      <c r="AK2" s="18"/>
      <c r="AL2" s="18"/>
      <c r="AM2" s="18"/>
      <c r="AN2" s="18"/>
      <c r="AO2" s="18"/>
      <c r="AP2" s="18"/>
      <c r="AQ2" s="18"/>
      <c r="AR2" s="18"/>
      <c r="AS2" s="21" t="s">
        <v>163</v>
      </c>
      <c r="AT2" s="20">
        <v>0.0</v>
      </c>
      <c r="AU2" s="12" t="str">
        <f t="shared" ref="AU2:AU3" si="7">MID(AS2,5,6)</f>
        <v>MOV-02</v>
      </c>
      <c r="AV2" s="16" t="s">
        <v>65</v>
      </c>
      <c r="AW2" s="4"/>
      <c r="AX2" s="4"/>
    </row>
    <row r="3" ht="15.75" customHeight="1">
      <c r="A3" s="5">
        <v>1892.0</v>
      </c>
      <c r="B3" s="29" t="s">
        <v>156</v>
      </c>
      <c r="C3" s="6" t="str">
        <f t="shared" si="1"/>
        <v>TK-02_BS VI MS</v>
      </c>
      <c r="D3" s="22" t="s">
        <v>66</v>
      </c>
      <c r="E3" s="23" t="s">
        <v>38</v>
      </c>
      <c r="F3" s="22" t="s">
        <v>67</v>
      </c>
      <c r="G3" s="11" t="s">
        <v>164</v>
      </c>
      <c r="H3" s="14">
        <v>0.0</v>
      </c>
      <c r="I3" s="11" t="s">
        <v>165</v>
      </c>
      <c r="J3" s="14">
        <v>0.0</v>
      </c>
      <c r="K3" s="12" t="str">
        <f t="shared" si="2"/>
        <v>LSW-04</v>
      </c>
      <c r="L3" s="17" t="s">
        <v>47</v>
      </c>
      <c r="M3" s="11" t="s">
        <v>166</v>
      </c>
      <c r="N3" s="14">
        <v>0.0</v>
      </c>
      <c r="O3" s="12" t="str">
        <f t="shared" si="3"/>
        <v>RDR-04</v>
      </c>
      <c r="P3" s="17" t="s">
        <v>51</v>
      </c>
      <c r="Q3" s="11" t="s">
        <v>167</v>
      </c>
      <c r="R3" s="14">
        <v>0.0</v>
      </c>
      <c r="S3" s="12" t="str">
        <f t="shared" si="4"/>
        <v>ROSOV-07</v>
      </c>
      <c r="T3" s="17" t="s">
        <v>55</v>
      </c>
      <c r="U3" s="30"/>
      <c r="V3" s="30"/>
      <c r="W3" s="30"/>
      <c r="X3" s="30"/>
      <c r="Y3" s="19" t="s">
        <v>168</v>
      </c>
      <c r="Z3" s="20">
        <v>0.0</v>
      </c>
      <c r="AA3" s="12" t="str">
        <f t="shared" si="5"/>
        <v>ROSOV-08</v>
      </c>
      <c r="AB3" s="17" t="s">
        <v>59</v>
      </c>
      <c r="AC3" s="30"/>
      <c r="AD3" s="30"/>
      <c r="AE3" s="30"/>
      <c r="AF3" s="30"/>
      <c r="AG3" s="21" t="s">
        <v>169</v>
      </c>
      <c r="AH3" s="20">
        <v>0.0</v>
      </c>
      <c r="AI3" s="12" t="str">
        <f t="shared" si="6"/>
        <v>MOV-03</v>
      </c>
      <c r="AJ3" s="16" t="s">
        <v>83</v>
      </c>
      <c r="AK3" s="30"/>
      <c r="AL3" s="30"/>
      <c r="AM3" s="30"/>
      <c r="AN3" s="30"/>
      <c r="AO3" s="30"/>
      <c r="AP3" s="30"/>
      <c r="AQ3" s="30"/>
      <c r="AR3" s="30"/>
      <c r="AS3" s="21" t="s">
        <v>170</v>
      </c>
      <c r="AT3" s="20">
        <v>0.0</v>
      </c>
      <c r="AU3" s="12" t="str">
        <f t="shared" si="7"/>
        <v>MOV-04</v>
      </c>
      <c r="AV3" s="16" t="s">
        <v>65</v>
      </c>
    </row>
    <row r="4" ht="15.75" customHeight="1">
      <c r="A4" s="5">
        <v>1892.0</v>
      </c>
      <c r="B4" s="29" t="s">
        <v>156</v>
      </c>
      <c r="C4" s="6" t="str">
        <f t="shared" si="1"/>
        <v>TK-03_ETHANOL</v>
      </c>
      <c r="D4" s="22" t="s">
        <v>85</v>
      </c>
      <c r="E4" s="25" t="s">
        <v>86</v>
      </c>
      <c r="F4" s="22" t="s">
        <v>87</v>
      </c>
      <c r="G4" s="11" t="s">
        <v>171</v>
      </c>
      <c r="H4" s="14">
        <v>0.0</v>
      </c>
      <c r="I4" s="24"/>
      <c r="J4" s="24"/>
      <c r="K4" s="24"/>
      <c r="L4" s="24"/>
      <c r="M4" s="24"/>
      <c r="N4" s="24"/>
      <c r="O4" s="24"/>
      <c r="P4" s="24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1" t="s">
        <v>172</v>
      </c>
      <c r="AH4" s="20">
        <v>0.0</v>
      </c>
      <c r="AI4" s="12" t="str">
        <f t="shared" si="6"/>
        <v>MOV-05</v>
      </c>
      <c r="AJ4" s="16" t="s">
        <v>93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</row>
    <row r="5" ht="15.75" customHeight="1">
      <c r="A5" s="5">
        <v>1892.0</v>
      </c>
      <c r="B5" s="29" t="s">
        <v>156</v>
      </c>
      <c r="C5" s="6" t="str">
        <f t="shared" si="1"/>
        <v>TK-04_ETHANOL</v>
      </c>
      <c r="D5" s="22" t="s">
        <v>94</v>
      </c>
      <c r="E5" s="25" t="s">
        <v>86</v>
      </c>
      <c r="F5" s="22" t="s">
        <v>87</v>
      </c>
      <c r="G5" s="11" t="s">
        <v>173</v>
      </c>
      <c r="H5" s="14">
        <v>0.0</v>
      </c>
      <c r="I5" s="24"/>
      <c r="J5" s="24"/>
      <c r="K5" s="24"/>
      <c r="L5" s="24"/>
      <c r="M5" s="24"/>
      <c r="N5" s="24"/>
      <c r="O5" s="24"/>
      <c r="P5" s="24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1" t="s">
        <v>174</v>
      </c>
      <c r="AH5" s="20">
        <v>0.0</v>
      </c>
      <c r="AI5" s="12" t="str">
        <f t="shared" si="6"/>
        <v>MOV-06</v>
      </c>
      <c r="AJ5" s="16" t="s">
        <v>100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</row>
    <row r="6" ht="15.75" customHeight="1">
      <c r="A6" s="5">
        <v>1892.0</v>
      </c>
      <c r="B6" s="29" t="s">
        <v>156</v>
      </c>
      <c r="C6" s="6" t="str">
        <f t="shared" si="1"/>
        <v>TK-05_BS VI MS</v>
      </c>
      <c r="D6" s="22" t="s">
        <v>101</v>
      </c>
      <c r="E6" s="25" t="s">
        <v>86</v>
      </c>
      <c r="F6" s="22" t="s">
        <v>67</v>
      </c>
      <c r="G6" s="11" t="s">
        <v>175</v>
      </c>
      <c r="H6" s="14">
        <v>0.0</v>
      </c>
      <c r="I6" s="24"/>
      <c r="J6" s="24"/>
      <c r="K6" s="24"/>
      <c r="L6" s="24"/>
      <c r="M6" s="24"/>
      <c r="N6" s="24"/>
      <c r="O6" s="24"/>
      <c r="P6" s="24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1" t="s">
        <v>176</v>
      </c>
      <c r="AH6" s="20">
        <v>0.0</v>
      </c>
      <c r="AI6" s="12" t="str">
        <f t="shared" si="6"/>
        <v>MOV-07</v>
      </c>
      <c r="AJ6" s="16" t="s">
        <v>107</v>
      </c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</row>
    <row r="7" ht="15.75" customHeight="1">
      <c r="A7" s="5">
        <v>1892.0</v>
      </c>
      <c r="B7" s="29" t="s">
        <v>156</v>
      </c>
      <c r="C7" s="6" t="str">
        <f t="shared" si="1"/>
        <v>TK-06_BS VI MS</v>
      </c>
      <c r="D7" s="22" t="s">
        <v>108</v>
      </c>
      <c r="E7" s="25" t="s">
        <v>86</v>
      </c>
      <c r="F7" s="22" t="s">
        <v>67</v>
      </c>
      <c r="G7" s="11" t="s">
        <v>177</v>
      </c>
      <c r="H7" s="14">
        <v>0.0</v>
      </c>
      <c r="I7" s="24"/>
      <c r="J7" s="24"/>
      <c r="K7" s="24"/>
      <c r="L7" s="24"/>
      <c r="M7" s="24"/>
      <c r="N7" s="24"/>
      <c r="O7" s="24"/>
      <c r="P7" s="24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1" t="s">
        <v>178</v>
      </c>
      <c r="AH7" s="20">
        <v>0.0</v>
      </c>
      <c r="AI7" s="12" t="str">
        <f t="shared" si="6"/>
        <v>MOV-08</v>
      </c>
      <c r="AJ7" s="16" t="s">
        <v>114</v>
      </c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</row>
    <row r="8" ht="15.75" customHeight="1">
      <c r="A8" s="5">
        <v>1892.0</v>
      </c>
      <c r="B8" s="29" t="s">
        <v>156</v>
      </c>
      <c r="C8" s="6" t="str">
        <f t="shared" si="1"/>
        <v>TK-07_BIO DIESEL</v>
      </c>
      <c r="D8" s="22" t="s">
        <v>115</v>
      </c>
      <c r="E8" s="25" t="s">
        <v>86</v>
      </c>
      <c r="F8" s="22" t="s">
        <v>116</v>
      </c>
      <c r="G8" s="11" t="s">
        <v>179</v>
      </c>
      <c r="H8" s="14">
        <v>0.0</v>
      </c>
      <c r="I8" s="24"/>
      <c r="J8" s="24"/>
      <c r="K8" s="24"/>
      <c r="L8" s="24"/>
      <c r="M8" s="24"/>
      <c r="N8" s="24"/>
      <c r="O8" s="24"/>
      <c r="P8" s="24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1" t="s">
        <v>180</v>
      </c>
      <c r="AH8" s="20">
        <v>0.0</v>
      </c>
      <c r="AI8" s="12" t="str">
        <f t="shared" si="6"/>
        <v>MOV-09</v>
      </c>
      <c r="AJ8" s="16" t="s">
        <v>122</v>
      </c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</row>
    <row r="9" ht="15.75" customHeight="1">
      <c r="A9" s="5">
        <v>1892.0</v>
      </c>
      <c r="B9" s="29" t="s">
        <v>156</v>
      </c>
      <c r="C9" s="6" t="str">
        <f t="shared" si="1"/>
        <v>TK-08_BS VI HSD</v>
      </c>
      <c r="D9" s="22" t="s">
        <v>123</v>
      </c>
      <c r="E9" s="25" t="s">
        <v>86</v>
      </c>
      <c r="F9" s="22" t="s">
        <v>39</v>
      </c>
      <c r="G9" s="11" t="s">
        <v>181</v>
      </c>
      <c r="H9" s="14">
        <v>0.0</v>
      </c>
      <c r="I9" s="24"/>
      <c r="J9" s="24"/>
      <c r="K9" s="24"/>
      <c r="L9" s="24"/>
      <c r="M9" s="24"/>
      <c r="N9" s="24"/>
      <c r="O9" s="24"/>
      <c r="P9" s="24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1" t="s">
        <v>182</v>
      </c>
      <c r="AH9" s="20">
        <v>0.0</v>
      </c>
      <c r="AI9" s="12" t="str">
        <f t="shared" si="6"/>
        <v>MOV-10</v>
      </c>
      <c r="AJ9" s="16" t="s">
        <v>129</v>
      </c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</row>
    <row r="10" ht="15.75" customHeight="1">
      <c r="A10" s="5">
        <v>1892.0</v>
      </c>
      <c r="B10" s="29" t="s">
        <v>156</v>
      </c>
      <c r="C10" s="6" t="str">
        <f t="shared" si="1"/>
        <v>TK-09_BS VI MS</v>
      </c>
      <c r="D10" s="22" t="s">
        <v>130</v>
      </c>
      <c r="E10" s="25" t="s">
        <v>86</v>
      </c>
      <c r="F10" s="22" t="s">
        <v>67</v>
      </c>
      <c r="G10" s="11" t="s">
        <v>183</v>
      </c>
      <c r="H10" s="14">
        <v>0.0</v>
      </c>
      <c r="I10" s="24"/>
      <c r="J10" s="24"/>
      <c r="K10" s="24"/>
      <c r="L10" s="24"/>
      <c r="M10" s="24"/>
      <c r="N10" s="24"/>
      <c r="O10" s="24"/>
      <c r="P10" s="24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1" t="s">
        <v>184</v>
      </c>
      <c r="AH10" s="20">
        <v>0.0</v>
      </c>
      <c r="AI10" s="12" t="str">
        <f t="shared" si="6"/>
        <v>MOV-11</v>
      </c>
      <c r="AJ10" s="16" t="s">
        <v>136</v>
      </c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</row>
    <row r="11" ht="15.75" customHeight="1">
      <c r="G11" s="26"/>
      <c r="H11" s="26"/>
      <c r="I11" s="24"/>
      <c r="J11" s="24"/>
      <c r="K11" s="24"/>
      <c r="L11" s="24"/>
      <c r="M11" s="24"/>
      <c r="N11" s="24"/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</row>
    <row r="12" ht="15.75" customHeight="1">
      <c r="G12" s="26"/>
      <c r="H12" s="26"/>
      <c r="I12" s="24"/>
      <c r="J12" s="24"/>
      <c r="K12" s="24"/>
      <c r="L12" s="24"/>
      <c r="M12" s="24"/>
      <c r="N12" s="24"/>
      <c r="O12" s="24"/>
      <c r="P12" s="24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</row>
    <row r="13" ht="15.75" customHeight="1">
      <c r="G13" s="26"/>
      <c r="H13" s="26"/>
      <c r="I13" s="24"/>
      <c r="J13" s="24"/>
      <c r="K13" s="24"/>
      <c r="L13" s="24"/>
      <c r="M13" s="24"/>
      <c r="N13" s="24"/>
      <c r="O13" s="24"/>
      <c r="P13" s="24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</row>
    <row r="14" ht="15.75" customHeight="1">
      <c r="G14" s="26"/>
      <c r="H14" s="26"/>
      <c r="I14" s="24"/>
      <c r="J14" s="24"/>
      <c r="K14" s="24"/>
      <c r="L14" s="24"/>
      <c r="M14" s="24"/>
      <c r="N14" s="24"/>
      <c r="O14" s="24"/>
      <c r="P14" s="24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</row>
    <row r="15" ht="15.75" customHeight="1">
      <c r="G15" s="26"/>
      <c r="H15" s="26"/>
      <c r="I15" s="24"/>
      <c r="J15" s="24"/>
      <c r="K15" s="24"/>
      <c r="L15" s="24"/>
      <c r="M15" s="24"/>
      <c r="N15" s="24"/>
      <c r="O15" s="24"/>
      <c r="P15" s="24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</row>
    <row r="16" ht="15.75" customHeight="1">
      <c r="G16" s="26"/>
      <c r="H16" s="26"/>
      <c r="I16" s="24"/>
      <c r="J16" s="24"/>
      <c r="K16" s="24"/>
      <c r="L16" s="24"/>
      <c r="M16" s="24"/>
      <c r="N16" s="24"/>
      <c r="O16" s="24"/>
      <c r="P16" s="24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</row>
    <row r="17" ht="15.75" customHeight="1">
      <c r="G17" s="26"/>
      <c r="H17" s="26"/>
      <c r="I17" s="24"/>
      <c r="J17" s="24"/>
      <c r="K17" s="24"/>
      <c r="L17" s="24"/>
      <c r="M17" s="24"/>
      <c r="N17" s="24"/>
      <c r="O17" s="24"/>
      <c r="P17" s="24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</row>
    <row r="18" ht="15.75" customHeight="1">
      <c r="G18" s="26"/>
      <c r="H18" s="26"/>
      <c r="I18" s="24"/>
      <c r="J18" s="24"/>
      <c r="K18" s="24"/>
      <c r="L18" s="24"/>
      <c r="M18" s="24"/>
      <c r="N18" s="24"/>
      <c r="O18" s="24"/>
      <c r="P18" s="24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</row>
    <row r="19" ht="15.75" customHeight="1">
      <c r="G19" s="26"/>
      <c r="H19" s="26"/>
      <c r="I19" s="24"/>
      <c r="J19" s="24"/>
      <c r="K19" s="24"/>
      <c r="L19" s="24"/>
      <c r="M19" s="24"/>
      <c r="N19" s="24"/>
      <c r="O19" s="24"/>
      <c r="P19" s="24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</row>
    <row r="20" ht="15.75" customHeight="1">
      <c r="G20" s="26"/>
      <c r="H20" s="26"/>
      <c r="I20" s="24"/>
      <c r="J20" s="24"/>
      <c r="K20" s="24"/>
      <c r="L20" s="24"/>
      <c r="M20" s="24"/>
      <c r="N20" s="24"/>
      <c r="O20" s="24"/>
      <c r="P20" s="24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</row>
    <row r="21" ht="15.75" customHeight="1">
      <c r="G21" s="26"/>
      <c r="H21" s="26"/>
      <c r="I21" s="24"/>
      <c r="J21" s="24"/>
      <c r="K21" s="24"/>
      <c r="L21" s="24"/>
      <c r="M21" s="24"/>
      <c r="N21" s="24"/>
      <c r="O21" s="24"/>
      <c r="P21" s="24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</row>
    <row r="22" ht="15.75" customHeight="1">
      <c r="G22" s="26"/>
      <c r="H22" s="26"/>
      <c r="I22" s="24"/>
      <c r="J22" s="24"/>
      <c r="K22" s="24"/>
      <c r="L22" s="24"/>
      <c r="M22" s="24"/>
      <c r="N22" s="24"/>
      <c r="O22" s="24"/>
      <c r="P22" s="24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</row>
    <row r="23" ht="15.75" customHeight="1">
      <c r="G23" s="26"/>
      <c r="H23" s="26"/>
      <c r="I23" s="24"/>
      <c r="J23" s="24"/>
      <c r="K23" s="24"/>
      <c r="L23" s="24"/>
      <c r="M23" s="24"/>
      <c r="N23" s="24"/>
      <c r="O23" s="24"/>
      <c r="P23" s="24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</row>
    <row r="24" ht="15.75" customHeight="1">
      <c r="G24" s="26"/>
      <c r="H24" s="26"/>
      <c r="I24" s="24"/>
      <c r="J24" s="24"/>
      <c r="K24" s="24"/>
      <c r="L24" s="24"/>
      <c r="M24" s="24"/>
      <c r="N24" s="24"/>
      <c r="O24" s="24"/>
      <c r="P24" s="24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</row>
    <row r="25" ht="15.75" customHeight="1">
      <c r="G25" s="26"/>
      <c r="H25" s="26"/>
      <c r="I25" s="24"/>
      <c r="J25" s="24"/>
      <c r="K25" s="24"/>
      <c r="L25" s="24"/>
      <c r="M25" s="24"/>
      <c r="N25" s="24"/>
      <c r="O25" s="24"/>
      <c r="P25" s="24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</row>
    <row r="26" ht="15.75" customHeight="1">
      <c r="G26" s="26"/>
      <c r="H26" s="26"/>
      <c r="I26" s="24"/>
      <c r="J26" s="24"/>
      <c r="K26" s="24"/>
      <c r="L26" s="24"/>
      <c r="M26" s="24"/>
      <c r="N26" s="24"/>
      <c r="O26" s="24"/>
      <c r="P26" s="24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</row>
    <row r="27" ht="15.75" customHeight="1">
      <c r="G27" s="26"/>
      <c r="H27" s="26"/>
      <c r="I27" s="24"/>
      <c r="J27" s="24"/>
      <c r="K27" s="24"/>
      <c r="L27" s="24"/>
      <c r="M27" s="24"/>
      <c r="N27" s="24"/>
      <c r="O27" s="24"/>
      <c r="P27" s="24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</row>
    <row r="28" ht="15.75" customHeight="1">
      <c r="G28" s="26"/>
      <c r="H28" s="26"/>
      <c r="I28" s="24"/>
      <c r="J28" s="24"/>
      <c r="K28" s="24"/>
      <c r="L28" s="24"/>
      <c r="M28" s="24"/>
      <c r="N28" s="24"/>
      <c r="O28" s="24"/>
      <c r="P28" s="24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</row>
    <row r="29" ht="15.75" customHeight="1">
      <c r="G29" s="26"/>
      <c r="H29" s="26"/>
      <c r="I29" s="24"/>
      <c r="J29" s="24"/>
      <c r="K29" s="24"/>
      <c r="L29" s="24"/>
      <c r="M29" s="24"/>
      <c r="N29" s="24"/>
      <c r="O29" s="24"/>
      <c r="P29" s="24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</row>
    <row r="30" ht="15.75" customHeight="1">
      <c r="G30" s="26"/>
      <c r="H30" s="26"/>
      <c r="I30" s="24"/>
      <c r="J30" s="24"/>
      <c r="K30" s="24"/>
      <c r="L30" s="24"/>
      <c r="M30" s="24"/>
      <c r="N30" s="24"/>
      <c r="O30" s="24"/>
      <c r="P30" s="24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</row>
    <row r="31" ht="15.75" customHeight="1">
      <c r="G31" s="26"/>
      <c r="H31" s="26"/>
      <c r="I31" s="24"/>
      <c r="J31" s="24"/>
      <c r="K31" s="24"/>
      <c r="L31" s="24"/>
      <c r="M31" s="24"/>
      <c r="N31" s="24"/>
      <c r="O31" s="24"/>
      <c r="P31" s="24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</row>
    <row r="32" ht="15.75" customHeight="1">
      <c r="G32" s="26"/>
      <c r="H32" s="26"/>
      <c r="I32" s="24"/>
      <c r="J32" s="24"/>
      <c r="K32" s="24"/>
      <c r="L32" s="24"/>
      <c r="M32" s="24"/>
      <c r="N32" s="24"/>
      <c r="O32" s="24"/>
      <c r="P32" s="24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</row>
    <row r="33" ht="15.75" customHeight="1">
      <c r="G33" s="26"/>
      <c r="H33" s="26"/>
      <c r="I33" s="24"/>
      <c r="J33" s="24"/>
      <c r="K33" s="24"/>
      <c r="L33" s="24"/>
      <c r="M33" s="24"/>
      <c r="N33" s="24"/>
      <c r="O33" s="24"/>
      <c r="P33" s="24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</row>
    <row r="34" ht="15.75" customHeight="1">
      <c r="G34" s="26"/>
      <c r="H34" s="26"/>
      <c r="I34" s="24"/>
      <c r="J34" s="24"/>
      <c r="K34" s="24"/>
      <c r="L34" s="24"/>
      <c r="M34" s="24"/>
      <c r="N34" s="24"/>
      <c r="O34" s="24"/>
      <c r="P34" s="24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</row>
    <row r="35" ht="15.75" customHeight="1">
      <c r="G35" s="26"/>
      <c r="H35" s="26"/>
      <c r="I35" s="24"/>
      <c r="J35" s="24"/>
      <c r="K35" s="24"/>
      <c r="L35" s="24"/>
      <c r="M35" s="24"/>
      <c r="N35" s="24"/>
      <c r="O35" s="24"/>
      <c r="P35" s="24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</row>
    <row r="36" ht="15.75" customHeight="1">
      <c r="G36" s="26"/>
      <c r="H36" s="26"/>
      <c r="I36" s="24"/>
      <c r="J36" s="24"/>
      <c r="K36" s="24"/>
      <c r="L36" s="24"/>
      <c r="M36" s="24"/>
      <c r="N36" s="24"/>
      <c r="O36" s="24"/>
      <c r="P36" s="24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</row>
    <row r="37" ht="15.75" customHeight="1">
      <c r="G37" s="26"/>
      <c r="H37" s="26"/>
      <c r="I37" s="24"/>
      <c r="J37" s="24"/>
      <c r="K37" s="24"/>
      <c r="L37" s="24"/>
      <c r="M37" s="24"/>
      <c r="N37" s="24"/>
      <c r="O37" s="24"/>
      <c r="P37" s="24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</row>
    <row r="38" ht="15.75" customHeight="1">
      <c r="G38" s="26"/>
      <c r="H38" s="26"/>
      <c r="I38" s="24"/>
      <c r="J38" s="24"/>
      <c r="K38" s="24"/>
      <c r="L38" s="24"/>
      <c r="M38" s="24"/>
      <c r="N38" s="24"/>
      <c r="O38" s="24"/>
      <c r="P38" s="24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</row>
    <row r="39" ht="15.75" customHeight="1">
      <c r="G39" s="26"/>
      <c r="H39" s="26"/>
      <c r="I39" s="24"/>
      <c r="J39" s="24"/>
      <c r="K39" s="24"/>
      <c r="L39" s="24"/>
      <c r="M39" s="24"/>
      <c r="N39" s="24"/>
      <c r="O39" s="24"/>
      <c r="P39" s="24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</row>
    <row r="40" ht="15.75" customHeight="1">
      <c r="G40" s="26"/>
      <c r="H40" s="26"/>
      <c r="I40" s="24"/>
      <c r="J40" s="24"/>
      <c r="K40" s="24"/>
      <c r="L40" s="24"/>
      <c r="M40" s="24"/>
      <c r="N40" s="24"/>
      <c r="O40" s="24"/>
      <c r="P40" s="24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</row>
    <row r="41" ht="15.75" customHeight="1">
      <c r="G41" s="26"/>
      <c r="H41" s="26"/>
      <c r="I41" s="24"/>
      <c r="J41" s="24"/>
      <c r="K41" s="24"/>
      <c r="L41" s="24"/>
      <c r="M41" s="24"/>
      <c r="N41" s="24"/>
      <c r="O41" s="24"/>
      <c r="P41" s="24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</row>
    <row r="42" ht="15.75" customHeight="1">
      <c r="G42" s="26"/>
      <c r="H42" s="26"/>
      <c r="I42" s="24"/>
      <c r="J42" s="24"/>
      <c r="K42" s="24"/>
      <c r="L42" s="24"/>
      <c r="M42" s="24"/>
      <c r="N42" s="24"/>
      <c r="O42" s="24"/>
      <c r="P42" s="24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</row>
    <row r="43" ht="15.75" customHeight="1">
      <c r="G43" s="26"/>
      <c r="H43" s="26"/>
      <c r="I43" s="24"/>
      <c r="J43" s="24"/>
      <c r="K43" s="24"/>
      <c r="L43" s="24"/>
      <c r="M43" s="24"/>
      <c r="N43" s="24"/>
      <c r="O43" s="24"/>
      <c r="P43" s="24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</row>
    <row r="44" ht="15.75" customHeight="1">
      <c r="G44" s="26"/>
      <c r="H44" s="26"/>
      <c r="I44" s="24"/>
      <c r="J44" s="24"/>
      <c r="K44" s="24"/>
      <c r="L44" s="24"/>
      <c r="M44" s="24"/>
      <c r="N44" s="24"/>
      <c r="O44" s="24"/>
      <c r="P44" s="24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</row>
    <row r="45" ht="15.75" customHeight="1">
      <c r="G45" s="26"/>
      <c r="H45" s="26"/>
      <c r="I45" s="24"/>
      <c r="J45" s="24"/>
      <c r="K45" s="24"/>
      <c r="L45" s="24"/>
      <c r="M45" s="24"/>
      <c r="N45" s="24"/>
      <c r="O45" s="24"/>
      <c r="P45" s="24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</row>
    <row r="46" ht="15.75" customHeight="1">
      <c r="G46" s="26"/>
      <c r="H46" s="26"/>
      <c r="I46" s="24"/>
      <c r="J46" s="24"/>
      <c r="K46" s="24"/>
      <c r="L46" s="24"/>
      <c r="M46" s="24"/>
      <c r="N46" s="24"/>
      <c r="O46" s="24"/>
      <c r="P46" s="24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</row>
    <row r="47" ht="15.75" customHeight="1">
      <c r="G47" s="26"/>
      <c r="H47" s="26"/>
      <c r="I47" s="24"/>
      <c r="J47" s="24"/>
      <c r="K47" s="24"/>
      <c r="L47" s="24"/>
      <c r="M47" s="24"/>
      <c r="N47" s="24"/>
      <c r="O47" s="24"/>
      <c r="P47" s="24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</row>
    <row r="48" ht="15.75" customHeight="1">
      <c r="G48" s="26"/>
      <c r="H48" s="26"/>
      <c r="I48" s="24"/>
      <c r="J48" s="24"/>
      <c r="K48" s="24"/>
      <c r="L48" s="24"/>
      <c r="M48" s="24"/>
      <c r="N48" s="24"/>
      <c r="O48" s="24"/>
      <c r="P48" s="24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</row>
    <row r="49" ht="15.75" customHeight="1">
      <c r="G49" s="26"/>
      <c r="H49" s="26"/>
      <c r="I49" s="24"/>
      <c r="J49" s="24"/>
      <c r="K49" s="24"/>
      <c r="L49" s="24"/>
      <c r="M49" s="24"/>
      <c r="N49" s="24"/>
      <c r="O49" s="24"/>
      <c r="P49" s="24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</row>
    <row r="50" ht="15.75" customHeight="1">
      <c r="G50" s="26"/>
      <c r="H50" s="26"/>
      <c r="I50" s="24"/>
      <c r="J50" s="24"/>
      <c r="K50" s="24"/>
      <c r="L50" s="24"/>
      <c r="M50" s="24"/>
      <c r="N50" s="24"/>
      <c r="O50" s="24"/>
      <c r="P50" s="24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</row>
    <row r="51" ht="15.75" customHeight="1">
      <c r="G51" s="26"/>
      <c r="H51" s="26"/>
      <c r="I51" s="24"/>
      <c r="J51" s="24"/>
      <c r="K51" s="24"/>
      <c r="L51" s="24"/>
      <c r="M51" s="24"/>
      <c r="N51" s="24"/>
      <c r="O51" s="24"/>
      <c r="P51" s="24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</row>
    <row r="52" ht="15.75" customHeight="1">
      <c r="G52" s="26"/>
      <c r="H52" s="26"/>
      <c r="I52" s="24"/>
      <c r="J52" s="24"/>
      <c r="K52" s="24"/>
      <c r="L52" s="24"/>
      <c r="M52" s="24"/>
      <c r="N52" s="24"/>
      <c r="O52" s="24"/>
      <c r="P52" s="24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</row>
    <row r="53" ht="15.75" customHeight="1">
      <c r="G53" s="26"/>
      <c r="H53" s="26"/>
      <c r="I53" s="24"/>
      <c r="J53" s="24"/>
      <c r="K53" s="24"/>
      <c r="L53" s="24"/>
      <c r="M53" s="24"/>
      <c r="N53" s="24"/>
      <c r="O53" s="24"/>
      <c r="P53" s="24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</row>
    <row r="54" ht="15.75" customHeight="1">
      <c r="G54" s="26"/>
      <c r="H54" s="26"/>
      <c r="I54" s="24"/>
      <c r="J54" s="24"/>
      <c r="K54" s="24"/>
      <c r="L54" s="24"/>
      <c r="M54" s="24"/>
      <c r="N54" s="24"/>
      <c r="O54" s="24"/>
      <c r="P54" s="24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</row>
    <row r="55" ht="15.75" customHeight="1">
      <c r="G55" s="26"/>
      <c r="H55" s="26"/>
      <c r="I55" s="24"/>
      <c r="J55" s="24"/>
      <c r="K55" s="24"/>
      <c r="L55" s="24"/>
      <c r="M55" s="24"/>
      <c r="N55" s="24"/>
      <c r="O55" s="24"/>
      <c r="P55" s="24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</row>
    <row r="56" ht="15.75" customHeight="1">
      <c r="G56" s="26"/>
      <c r="H56" s="26"/>
      <c r="I56" s="24"/>
      <c r="J56" s="24"/>
      <c r="K56" s="24"/>
      <c r="L56" s="24"/>
      <c r="M56" s="24"/>
      <c r="N56" s="24"/>
      <c r="O56" s="24"/>
      <c r="P56" s="24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</row>
    <row r="57" ht="15.75" customHeight="1">
      <c r="G57" s="26"/>
      <c r="H57" s="26"/>
      <c r="I57" s="24"/>
      <c r="J57" s="24"/>
      <c r="K57" s="24"/>
      <c r="L57" s="24"/>
      <c r="M57" s="24"/>
      <c r="N57" s="24"/>
      <c r="O57" s="24"/>
      <c r="P57" s="24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</row>
    <row r="58" ht="15.75" customHeight="1">
      <c r="G58" s="26"/>
      <c r="H58" s="26"/>
      <c r="I58" s="24"/>
      <c r="J58" s="24"/>
      <c r="K58" s="24"/>
      <c r="L58" s="24"/>
      <c r="M58" s="24"/>
      <c r="N58" s="24"/>
      <c r="O58" s="24"/>
      <c r="P58" s="24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</row>
    <row r="59" ht="15.75" customHeight="1">
      <c r="G59" s="26"/>
      <c r="H59" s="26"/>
      <c r="I59" s="24"/>
      <c r="J59" s="24"/>
      <c r="K59" s="24"/>
      <c r="L59" s="24"/>
      <c r="M59" s="24"/>
      <c r="N59" s="24"/>
      <c r="O59" s="24"/>
      <c r="P59" s="24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</row>
    <row r="60" ht="15.75" customHeight="1">
      <c r="G60" s="26"/>
      <c r="H60" s="26"/>
      <c r="I60" s="24"/>
      <c r="J60" s="24"/>
      <c r="K60" s="24"/>
      <c r="L60" s="24"/>
      <c r="M60" s="24"/>
      <c r="N60" s="24"/>
      <c r="O60" s="24"/>
      <c r="P60" s="24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</row>
    <row r="61" ht="15.75" customHeight="1">
      <c r="G61" s="26"/>
      <c r="H61" s="26"/>
      <c r="I61" s="24"/>
      <c r="J61" s="24"/>
      <c r="K61" s="24"/>
      <c r="L61" s="24"/>
      <c r="M61" s="24"/>
      <c r="N61" s="24"/>
      <c r="O61" s="24"/>
      <c r="P61" s="24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</row>
    <row r="62" ht="15.75" customHeight="1">
      <c r="G62" s="26"/>
      <c r="H62" s="26"/>
      <c r="I62" s="24"/>
      <c r="J62" s="24"/>
      <c r="K62" s="24"/>
      <c r="L62" s="24"/>
      <c r="M62" s="24"/>
      <c r="N62" s="24"/>
      <c r="O62" s="24"/>
      <c r="P62" s="24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</row>
    <row r="63" ht="15.75" customHeight="1">
      <c r="G63" s="26"/>
      <c r="H63" s="26"/>
      <c r="I63" s="24"/>
      <c r="J63" s="24"/>
      <c r="K63" s="24"/>
      <c r="L63" s="24"/>
      <c r="M63" s="24"/>
      <c r="N63" s="24"/>
      <c r="O63" s="24"/>
      <c r="P63" s="24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</row>
    <row r="64" ht="15.75" customHeight="1">
      <c r="G64" s="26"/>
      <c r="H64" s="26"/>
      <c r="I64" s="24"/>
      <c r="J64" s="24"/>
      <c r="K64" s="24"/>
      <c r="L64" s="24"/>
      <c r="M64" s="24"/>
      <c r="N64" s="24"/>
      <c r="O64" s="24"/>
      <c r="P64" s="24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</row>
    <row r="65" ht="15.75" customHeight="1">
      <c r="G65" s="26"/>
      <c r="H65" s="26"/>
      <c r="I65" s="24"/>
      <c r="J65" s="24"/>
      <c r="K65" s="24"/>
      <c r="L65" s="24"/>
      <c r="M65" s="24"/>
      <c r="N65" s="24"/>
      <c r="O65" s="24"/>
      <c r="P65" s="24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</row>
    <row r="66" ht="15.75" customHeight="1">
      <c r="G66" s="26"/>
      <c r="H66" s="26"/>
      <c r="I66" s="24"/>
      <c r="J66" s="24"/>
      <c r="K66" s="24"/>
      <c r="L66" s="24"/>
      <c r="M66" s="24"/>
      <c r="N66" s="24"/>
      <c r="O66" s="24"/>
      <c r="P66" s="24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</row>
    <row r="67" ht="15.75" customHeight="1">
      <c r="G67" s="26"/>
      <c r="H67" s="26"/>
      <c r="I67" s="24"/>
      <c r="J67" s="24"/>
      <c r="K67" s="24"/>
      <c r="L67" s="24"/>
      <c r="M67" s="24"/>
      <c r="N67" s="24"/>
      <c r="O67" s="24"/>
      <c r="P67" s="24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</row>
    <row r="68" ht="15.75" customHeight="1">
      <c r="G68" s="26"/>
      <c r="H68" s="26"/>
      <c r="I68" s="24"/>
      <c r="J68" s="24"/>
      <c r="K68" s="24"/>
      <c r="L68" s="24"/>
      <c r="M68" s="24"/>
      <c r="N68" s="24"/>
      <c r="O68" s="24"/>
      <c r="P68" s="24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</row>
    <row r="69" ht="15.75" customHeight="1">
      <c r="G69" s="26"/>
      <c r="H69" s="26"/>
      <c r="I69" s="24"/>
      <c r="J69" s="24"/>
      <c r="K69" s="24"/>
      <c r="L69" s="24"/>
      <c r="M69" s="24"/>
      <c r="N69" s="24"/>
      <c r="O69" s="24"/>
      <c r="P69" s="24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</row>
    <row r="70" ht="15.75" customHeight="1">
      <c r="G70" s="26"/>
      <c r="H70" s="26"/>
      <c r="I70" s="24"/>
      <c r="J70" s="24"/>
      <c r="K70" s="24"/>
      <c r="L70" s="24"/>
      <c r="M70" s="24"/>
      <c r="N70" s="24"/>
      <c r="O70" s="24"/>
      <c r="P70" s="24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</row>
    <row r="71" ht="15.75" customHeight="1">
      <c r="G71" s="26"/>
      <c r="H71" s="26"/>
      <c r="I71" s="24"/>
      <c r="J71" s="24"/>
      <c r="K71" s="24"/>
      <c r="L71" s="24"/>
      <c r="M71" s="24"/>
      <c r="N71" s="24"/>
      <c r="O71" s="24"/>
      <c r="P71" s="24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</row>
    <row r="72" ht="15.75" customHeight="1">
      <c r="G72" s="26"/>
      <c r="H72" s="26"/>
      <c r="I72" s="24"/>
      <c r="J72" s="24"/>
      <c r="K72" s="24"/>
      <c r="L72" s="24"/>
      <c r="M72" s="24"/>
      <c r="N72" s="24"/>
      <c r="O72" s="24"/>
      <c r="P72" s="24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</row>
    <row r="73" ht="15.75" customHeight="1">
      <c r="G73" s="26"/>
      <c r="H73" s="26"/>
      <c r="I73" s="24"/>
      <c r="J73" s="24"/>
      <c r="K73" s="24"/>
      <c r="L73" s="24"/>
      <c r="M73" s="24"/>
      <c r="N73" s="24"/>
      <c r="O73" s="24"/>
      <c r="P73" s="24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</row>
    <row r="74" ht="15.75" customHeight="1">
      <c r="G74" s="26"/>
      <c r="H74" s="26"/>
      <c r="I74" s="24"/>
      <c r="J74" s="24"/>
      <c r="K74" s="24"/>
      <c r="L74" s="24"/>
      <c r="M74" s="24"/>
      <c r="N74" s="24"/>
      <c r="O74" s="24"/>
      <c r="P74" s="24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</row>
    <row r="75" ht="15.75" customHeight="1">
      <c r="G75" s="26"/>
      <c r="H75" s="26"/>
      <c r="I75" s="24"/>
      <c r="J75" s="24"/>
      <c r="K75" s="24"/>
      <c r="L75" s="24"/>
      <c r="M75" s="24"/>
      <c r="N75" s="24"/>
      <c r="O75" s="24"/>
      <c r="P75" s="24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</row>
    <row r="76" ht="15.75" customHeight="1">
      <c r="G76" s="26"/>
      <c r="H76" s="26"/>
      <c r="I76" s="24"/>
      <c r="J76" s="24"/>
      <c r="K76" s="24"/>
      <c r="L76" s="24"/>
      <c r="M76" s="24"/>
      <c r="N76" s="24"/>
      <c r="O76" s="24"/>
      <c r="P76" s="24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</row>
    <row r="77" ht="15.75" customHeight="1">
      <c r="G77" s="26"/>
      <c r="H77" s="26"/>
      <c r="I77" s="24"/>
      <c r="J77" s="24"/>
      <c r="K77" s="24"/>
      <c r="L77" s="24"/>
      <c r="M77" s="24"/>
      <c r="N77" s="24"/>
      <c r="O77" s="24"/>
      <c r="P77" s="24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</row>
    <row r="78" ht="15.75" customHeight="1">
      <c r="G78" s="26"/>
      <c r="H78" s="26"/>
      <c r="I78" s="24"/>
      <c r="J78" s="24"/>
      <c r="K78" s="24"/>
      <c r="L78" s="24"/>
      <c r="M78" s="24"/>
      <c r="N78" s="24"/>
      <c r="O78" s="24"/>
      <c r="P78" s="24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</row>
    <row r="79" ht="15.75" customHeight="1">
      <c r="G79" s="26"/>
      <c r="H79" s="26"/>
      <c r="I79" s="24"/>
      <c r="J79" s="24"/>
      <c r="K79" s="24"/>
      <c r="L79" s="24"/>
      <c r="M79" s="24"/>
      <c r="N79" s="24"/>
      <c r="O79" s="24"/>
      <c r="P79" s="24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</row>
    <row r="80" ht="15.75" customHeight="1">
      <c r="G80" s="26"/>
      <c r="H80" s="26"/>
      <c r="I80" s="24"/>
      <c r="J80" s="24"/>
      <c r="K80" s="24"/>
      <c r="L80" s="24"/>
      <c r="M80" s="24"/>
      <c r="N80" s="24"/>
      <c r="O80" s="24"/>
      <c r="P80" s="24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</row>
    <row r="81" ht="15.75" customHeight="1">
      <c r="G81" s="26"/>
      <c r="H81" s="26"/>
      <c r="I81" s="24"/>
      <c r="J81" s="24"/>
      <c r="K81" s="24"/>
      <c r="L81" s="24"/>
      <c r="M81" s="24"/>
      <c r="N81" s="24"/>
      <c r="O81" s="24"/>
      <c r="P81" s="24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</row>
    <row r="82" ht="15.75" customHeight="1">
      <c r="G82" s="26"/>
      <c r="H82" s="26"/>
      <c r="I82" s="24"/>
      <c r="J82" s="24"/>
      <c r="K82" s="24"/>
      <c r="L82" s="24"/>
      <c r="M82" s="24"/>
      <c r="N82" s="24"/>
      <c r="O82" s="24"/>
      <c r="P82" s="24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</row>
    <row r="83" ht="15.75" customHeight="1">
      <c r="G83" s="26"/>
      <c r="H83" s="26"/>
      <c r="I83" s="24"/>
      <c r="J83" s="24"/>
      <c r="K83" s="24"/>
      <c r="L83" s="24"/>
      <c r="M83" s="24"/>
      <c r="N83" s="24"/>
      <c r="O83" s="24"/>
      <c r="P83" s="24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</row>
    <row r="84" ht="15.75" customHeight="1">
      <c r="G84" s="26"/>
      <c r="H84" s="26"/>
      <c r="I84" s="24"/>
      <c r="J84" s="24"/>
      <c r="K84" s="24"/>
      <c r="L84" s="24"/>
      <c r="M84" s="24"/>
      <c r="N84" s="24"/>
      <c r="O84" s="24"/>
      <c r="P84" s="24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</row>
    <row r="85" ht="15.75" customHeight="1">
      <c r="G85" s="26"/>
      <c r="H85" s="26"/>
      <c r="I85" s="24"/>
      <c r="J85" s="24"/>
      <c r="K85" s="24"/>
      <c r="L85" s="24"/>
      <c r="M85" s="24"/>
      <c r="N85" s="24"/>
      <c r="O85" s="24"/>
      <c r="P85" s="24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</row>
    <row r="86" ht="15.75" customHeight="1">
      <c r="G86" s="26"/>
      <c r="H86" s="26"/>
      <c r="I86" s="24"/>
      <c r="J86" s="24"/>
      <c r="K86" s="24"/>
      <c r="L86" s="24"/>
      <c r="M86" s="24"/>
      <c r="N86" s="24"/>
      <c r="O86" s="24"/>
      <c r="P86" s="24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</row>
    <row r="87" ht="15.75" customHeight="1">
      <c r="G87" s="26"/>
      <c r="H87" s="26"/>
      <c r="I87" s="24"/>
      <c r="J87" s="24"/>
      <c r="K87" s="24"/>
      <c r="L87" s="24"/>
      <c r="M87" s="24"/>
      <c r="N87" s="24"/>
      <c r="O87" s="24"/>
      <c r="P87" s="24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</row>
    <row r="88" ht="15.75" customHeight="1">
      <c r="G88" s="26"/>
      <c r="H88" s="26"/>
      <c r="I88" s="24"/>
      <c r="J88" s="24"/>
      <c r="K88" s="24"/>
      <c r="L88" s="24"/>
      <c r="M88" s="24"/>
      <c r="N88" s="24"/>
      <c r="O88" s="24"/>
      <c r="P88" s="24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</row>
    <row r="89" ht="15.75" customHeight="1">
      <c r="G89" s="26"/>
      <c r="H89" s="26"/>
      <c r="I89" s="24"/>
      <c r="J89" s="24"/>
      <c r="K89" s="24"/>
      <c r="L89" s="24"/>
      <c r="M89" s="24"/>
      <c r="N89" s="24"/>
      <c r="O89" s="24"/>
      <c r="P89" s="24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</row>
    <row r="90" ht="15.75" customHeight="1">
      <c r="G90" s="26"/>
      <c r="H90" s="26"/>
      <c r="I90" s="24"/>
      <c r="J90" s="24"/>
      <c r="K90" s="24"/>
      <c r="L90" s="24"/>
      <c r="M90" s="24"/>
      <c r="N90" s="24"/>
      <c r="O90" s="24"/>
      <c r="P90" s="24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</row>
    <row r="91" ht="15.75" customHeight="1">
      <c r="G91" s="26"/>
      <c r="H91" s="26"/>
      <c r="I91" s="24"/>
      <c r="J91" s="24"/>
      <c r="K91" s="24"/>
      <c r="L91" s="24"/>
      <c r="M91" s="24"/>
      <c r="N91" s="24"/>
      <c r="O91" s="24"/>
      <c r="P91" s="24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</row>
    <row r="92" ht="15.75" customHeight="1">
      <c r="G92" s="26"/>
      <c r="H92" s="26"/>
      <c r="I92" s="24"/>
      <c r="J92" s="24"/>
      <c r="K92" s="24"/>
      <c r="L92" s="24"/>
      <c r="M92" s="24"/>
      <c r="N92" s="24"/>
      <c r="O92" s="24"/>
      <c r="P92" s="24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</row>
    <row r="93" ht="15.75" customHeight="1">
      <c r="G93" s="26"/>
      <c r="H93" s="26"/>
      <c r="I93" s="24"/>
      <c r="J93" s="24"/>
      <c r="K93" s="24"/>
      <c r="L93" s="24"/>
      <c r="M93" s="24"/>
      <c r="N93" s="24"/>
      <c r="O93" s="24"/>
      <c r="P93" s="24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</row>
    <row r="94" ht="15.75" customHeight="1">
      <c r="G94" s="26"/>
      <c r="H94" s="26"/>
      <c r="I94" s="24"/>
      <c r="J94" s="24"/>
      <c r="K94" s="24"/>
      <c r="L94" s="24"/>
      <c r="M94" s="24"/>
      <c r="N94" s="24"/>
      <c r="O94" s="24"/>
      <c r="P94" s="24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</row>
    <row r="95" ht="15.75" customHeight="1">
      <c r="G95" s="26"/>
      <c r="H95" s="26"/>
      <c r="I95" s="24"/>
      <c r="J95" s="24"/>
      <c r="K95" s="24"/>
      <c r="L95" s="24"/>
      <c r="M95" s="24"/>
      <c r="N95" s="24"/>
      <c r="O95" s="24"/>
      <c r="P95" s="24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</row>
    <row r="96" ht="15.75" customHeight="1">
      <c r="G96" s="26"/>
      <c r="H96" s="26"/>
      <c r="I96" s="24"/>
      <c r="J96" s="24"/>
      <c r="K96" s="24"/>
      <c r="L96" s="24"/>
      <c r="M96" s="24"/>
      <c r="N96" s="24"/>
      <c r="O96" s="24"/>
      <c r="P96" s="24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</row>
    <row r="97" ht="15.75" customHeight="1">
      <c r="G97" s="26"/>
      <c r="H97" s="26"/>
      <c r="I97" s="24"/>
      <c r="J97" s="24"/>
      <c r="K97" s="24"/>
      <c r="L97" s="24"/>
      <c r="M97" s="24"/>
      <c r="N97" s="24"/>
      <c r="O97" s="24"/>
      <c r="P97" s="24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</row>
    <row r="98" ht="15.75" customHeight="1">
      <c r="G98" s="26"/>
      <c r="H98" s="26"/>
      <c r="I98" s="24"/>
      <c r="J98" s="24"/>
      <c r="K98" s="24"/>
      <c r="L98" s="24"/>
      <c r="M98" s="24"/>
      <c r="N98" s="24"/>
      <c r="O98" s="24"/>
      <c r="P98" s="24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</row>
    <row r="99" ht="15.75" customHeight="1">
      <c r="G99" s="26"/>
      <c r="H99" s="26"/>
      <c r="I99" s="24"/>
      <c r="J99" s="24"/>
      <c r="K99" s="24"/>
      <c r="L99" s="24"/>
      <c r="M99" s="24"/>
      <c r="N99" s="24"/>
      <c r="O99" s="24"/>
      <c r="P99" s="24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</row>
    <row r="100" ht="15.75" customHeight="1">
      <c r="G100" s="26"/>
      <c r="H100" s="26"/>
      <c r="I100" s="24"/>
      <c r="J100" s="24"/>
      <c r="K100" s="24"/>
      <c r="L100" s="24"/>
      <c r="M100" s="24"/>
      <c r="N100" s="24"/>
      <c r="O100" s="24"/>
      <c r="P100" s="24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</row>
    <row r="101" ht="15.75" customHeight="1">
      <c r="G101" s="26"/>
      <c r="H101" s="26"/>
      <c r="I101" s="24"/>
      <c r="J101" s="24"/>
      <c r="K101" s="24"/>
      <c r="L101" s="24"/>
      <c r="M101" s="24"/>
      <c r="N101" s="24"/>
      <c r="O101" s="24"/>
      <c r="P101" s="24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</row>
    <row r="102" ht="15.75" customHeight="1">
      <c r="G102" s="26"/>
      <c r="H102" s="26"/>
      <c r="I102" s="24"/>
      <c r="J102" s="24"/>
      <c r="K102" s="24"/>
      <c r="L102" s="24"/>
      <c r="M102" s="24"/>
      <c r="N102" s="24"/>
      <c r="O102" s="24"/>
      <c r="P102" s="24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</row>
    <row r="103" ht="15.75" customHeight="1">
      <c r="G103" s="26"/>
      <c r="H103" s="26"/>
      <c r="I103" s="24"/>
      <c r="J103" s="24"/>
      <c r="K103" s="24"/>
      <c r="L103" s="24"/>
      <c r="M103" s="24"/>
      <c r="N103" s="24"/>
      <c r="O103" s="24"/>
      <c r="P103" s="24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</row>
    <row r="104" ht="15.75" customHeight="1">
      <c r="G104" s="26"/>
      <c r="H104" s="26"/>
      <c r="I104" s="24"/>
      <c r="J104" s="24"/>
      <c r="K104" s="24"/>
      <c r="L104" s="24"/>
      <c r="M104" s="24"/>
      <c r="N104" s="24"/>
      <c r="O104" s="24"/>
      <c r="P104" s="24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</row>
    <row r="105" ht="15.75" customHeight="1">
      <c r="G105" s="26"/>
      <c r="H105" s="26"/>
      <c r="I105" s="24"/>
      <c r="J105" s="24"/>
      <c r="K105" s="24"/>
      <c r="L105" s="24"/>
      <c r="M105" s="24"/>
      <c r="N105" s="24"/>
      <c r="O105" s="24"/>
      <c r="P105" s="24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</row>
    <row r="106" ht="15.75" customHeight="1">
      <c r="G106" s="26"/>
      <c r="H106" s="26"/>
      <c r="I106" s="24"/>
      <c r="J106" s="24"/>
      <c r="K106" s="24"/>
      <c r="L106" s="24"/>
      <c r="M106" s="24"/>
      <c r="N106" s="24"/>
      <c r="O106" s="24"/>
      <c r="P106" s="24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</row>
    <row r="107" ht="15.75" customHeight="1">
      <c r="G107" s="26"/>
      <c r="H107" s="26"/>
      <c r="I107" s="24"/>
      <c r="J107" s="24"/>
      <c r="K107" s="24"/>
      <c r="L107" s="24"/>
      <c r="M107" s="24"/>
      <c r="N107" s="24"/>
      <c r="O107" s="24"/>
      <c r="P107" s="24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</row>
    <row r="108" ht="15.75" customHeight="1">
      <c r="G108" s="26"/>
      <c r="H108" s="26"/>
      <c r="I108" s="24"/>
      <c r="J108" s="24"/>
      <c r="K108" s="24"/>
      <c r="L108" s="24"/>
      <c r="M108" s="24"/>
      <c r="N108" s="24"/>
      <c r="O108" s="24"/>
      <c r="P108" s="24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</row>
    <row r="109" ht="15.75" customHeight="1">
      <c r="G109" s="26"/>
      <c r="H109" s="26"/>
      <c r="I109" s="24"/>
      <c r="J109" s="24"/>
      <c r="K109" s="24"/>
      <c r="L109" s="24"/>
      <c r="M109" s="24"/>
      <c r="N109" s="24"/>
      <c r="O109" s="24"/>
      <c r="P109" s="24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</row>
    <row r="110" ht="15.75" customHeight="1">
      <c r="G110" s="26"/>
      <c r="H110" s="26"/>
      <c r="I110" s="24"/>
      <c r="J110" s="24"/>
      <c r="K110" s="24"/>
      <c r="L110" s="24"/>
      <c r="M110" s="24"/>
      <c r="N110" s="24"/>
      <c r="O110" s="24"/>
      <c r="P110" s="24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</row>
    <row r="111" ht="15.75" customHeight="1">
      <c r="G111" s="26"/>
      <c r="H111" s="26"/>
      <c r="I111" s="24"/>
      <c r="J111" s="24"/>
      <c r="K111" s="24"/>
      <c r="L111" s="24"/>
      <c r="M111" s="24"/>
      <c r="N111" s="24"/>
      <c r="O111" s="24"/>
      <c r="P111" s="24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</row>
    <row r="112" ht="15.75" customHeight="1">
      <c r="G112" s="26"/>
      <c r="H112" s="26"/>
      <c r="I112" s="24"/>
      <c r="J112" s="24"/>
      <c r="K112" s="24"/>
      <c r="L112" s="24"/>
      <c r="M112" s="24"/>
      <c r="N112" s="24"/>
      <c r="O112" s="24"/>
      <c r="P112" s="24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</row>
    <row r="113" ht="15.75" customHeight="1">
      <c r="G113" s="26"/>
      <c r="H113" s="26"/>
      <c r="I113" s="24"/>
      <c r="J113" s="24"/>
      <c r="K113" s="24"/>
      <c r="L113" s="24"/>
      <c r="M113" s="24"/>
      <c r="N113" s="24"/>
      <c r="O113" s="24"/>
      <c r="P113" s="24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</row>
    <row r="114" ht="15.75" customHeight="1">
      <c r="G114" s="26"/>
      <c r="H114" s="26"/>
      <c r="I114" s="24"/>
      <c r="J114" s="24"/>
      <c r="K114" s="24"/>
      <c r="L114" s="24"/>
      <c r="M114" s="24"/>
      <c r="N114" s="24"/>
      <c r="O114" s="24"/>
      <c r="P114" s="24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</row>
    <row r="115" ht="15.75" customHeight="1">
      <c r="G115" s="26"/>
      <c r="H115" s="26"/>
      <c r="I115" s="24"/>
      <c r="J115" s="24"/>
      <c r="K115" s="24"/>
      <c r="L115" s="24"/>
      <c r="M115" s="24"/>
      <c r="N115" s="24"/>
      <c r="O115" s="24"/>
      <c r="P115" s="24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</row>
    <row r="116" ht="15.75" customHeight="1">
      <c r="G116" s="26"/>
      <c r="H116" s="26"/>
      <c r="I116" s="24"/>
      <c r="J116" s="24"/>
      <c r="K116" s="24"/>
      <c r="L116" s="24"/>
      <c r="M116" s="24"/>
      <c r="N116" s="24"/>
      <c r="O116" s="24"/>
      <c r="P116" s="24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</row>
    <row r="117" ht="15.75" customHeight="1">
      <c r="G117" s="26"/>
      <c r="H117" s="26"/>
      <c r="I117" s="24"/>
      <c r="J117" s="24"/>
      <c r="K117" s="24"/>
      <c r="L117" s="24"/>
      <c r="M117" s="24"/>
      <c r="N117" s="24"/>
      <c r="O117" s="24"/>
      <c r="P117" s="24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</row>
    <row r="118" ht="15.75" customHeight="1">
      <c r="G118" s="26"/>
      <c r="H118" s="26"/>
      <c r="I118" s="24"/>
      <c r="J118" s="24"/>
      <c r="K118" s="24"/>
      <c r="L118" s="24"/>
      <c r="M118" s="24"/>
      <c r="N118" s="24"/>
      <c r="O118" s="24"/>
      <c r="P118" s="24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</row>
    <row r="119" ht="15.75" customHeight="1">
      <c r="G119" s="26"/>
      <c r="H119" s="26"/>
      <c r="I119" s="24"/>
      <c r="J119" s="24"/>
      <c r="K119" s="24"/>
      <c r="L119" s="24"/>
      <c r="M119" s="24"/>
      <c r="N119" s="24"/>
      <c r="O119" s="24"/>
      <c r="P119" s="24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</row>
    <row r="120" ht="15.75" customHeight="1">
      <c r="G120" s="26"/>
      <c r="H120" s="26"/>
      <c r="I120" s="24"/>
      <c r="J120" s="24"/>
      <c r="K120" s="24"/>
      <c r="L120" s="24"/>
      <c r="M120" s="24"/>
      <c r="N120" s="24"/>
      <c r="O120" s="24"/>
      <c r="P120" s="24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</row>
    <row r="121" ht="15.75" customHeight="1">
      <c r="G121" s="26"/>
      <c r="H121" s="26"/>
      <c r="I121" s="24"/>
      <c r="J121" s="24"/>
      <c r="K121" s="24"/>
      <c r="L121" s="24"/>
      <c r="M121" s="24"/>
      <c r="N121" s="24"/>
      <c r="O121" s="24"/>
      <c r="P121" s="24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</row>
    <row r="122" ht="15.75" customHeight="1">
      <c r="G122" s="26"/>
      <c r="H122" s="26"/>
      <c r="I122" s="24"/>
      <c r="J122" s="24"/>
      <c r="K122" s="24"/>
      <c r="L122" s="24"/>
      <c r="M122" s="24"/>
      <c r="N122" s="24"/>
      <c r="O122" s="24"/>
      <c r="P122" s="24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</row>
    <row r="123" ht="15.75" customHeight="1">
      <c r="G123" s="26"/>
      <c r="H123" s="26"/>
      <c r="I123" s="24"/>
      <c r="J123" s="24"/>
      <c r="K123" s="24"/>
      <c r="L123" s="24"/>
      <c r="M123" s="24"/>
      <c r="N123" s="24"/>
      <c r="O123" s="24"/>
      <c r="P123" s="24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</row>
    <row r="124" ht="15.75" customHeight="1">
      <c r="G124" s="26"/>
      <c r="H124" s="26"/>
      <c r="I124" s="24"/>
      <c r="J124" s="24"/>
      <c r="K124" s="24"/>
      <c r="L124" s="24"/>
      <c r="M124" s="24"/>
      <c r="N124" s="24"/>
      <c r="O124" s="24"/>
      <c r="P124" s="24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</row>
    <row r="125" ht="15.75" customHeight="1">
      <c r="G125" s="26"/>
      <c r="H125" s="26"/>
      <c r="I125" s="24"/>
      <c r="J125" s="24"/>
      <c r="K125" s="24"/>
      <c r="L125" s="24"/>
      <c r="M125" s="24"/>
      <c r="N125" s="24"/>
      <c r="O125" s="24"/>
      <c r="P125" s="24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</row>
    <row r="126" ht="15.75" customHeight="1">
      <c r="G126" s="26"/>
      <c r="H126" s="26"/>
      <c r="I126" s="24"/>
      <c r="J126" s="24"/>
      <c r="K126" s="24"/>
      <c r="L126" s="24"/>
      <c r="M126" s="24"/>
      <c r="N126" s="24"/>
      <c r="O126" s="24"/>
      <c r="P126" s="24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</row>
    <row r="127" ht="15.75" customHeight="1">
      <c r="G127" s="26"/>
      <c r="H127" s="26"/>
      <c r="I127" s="24"/>
      <c r="J127" s="24"/>
      <c r="K127" s="24"/>
      <c r="L127" s="24"/>
      <c r="M127" s="24"/>
      <c r="N127" s="24"/>
      <c r="O127" s="24"/>
      <c r="P127" s="24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</row>
    <row r="128" ht="15.75" customHeight="1">
      <c r="G128" s="26"/>
      <c r="H128" s="26"/>
      <c r="I128" s="24"/>
      <c r="J128" s="24"/>
      <c r="K128" s="24"/>
      <c r="L128" s="24"/>
      <c r="M128" s="24"/>
      <c r="N128" s="24"/>
      <c r="O128" s="24"/>
      <c r="P128" s="24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</row>
    <row r="129" ht="15.75" customHeight="1">
      <c r="G129" s="26"/>
      <c r="H129" s="26"/>
      <c r="I129" s="24"/>
      <c r="J129" s="24"/>
      <c r="K129" s="24"/>
      <c r="L129" s="24"/>
      <c r="M129" s="24"/>
      <c r="N129" s="24"/>
      <c r="O129" s="24"/>
      <c r="P129" s="24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</row>
    <row r="130" ht="15.75" customHeight="1">
      <c r="G130" s="26"/>
      <c r="H130" s="26"/>
      <c r="I130" s="24"/>
      <c r="J130" s="24"/>
      <c r="K130" s="24"/>
      <c r="L130" s="24"/>
      <c r="M130" s="24"/>
      <c r="N130" s="24"/>
      <c r="O130" s="24"/>
      <c r="P130" s="24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</row>
    <row r="131" ht="15.75" customHeight="1">
      <c r="G131" s="26"/>
      <c r="H131" s="26"/>
      <c r="I131" s="24"/>
      <c r="J131" s="24"/>
      <c r="K131" s="24"/>
      <c r="L131" s="24"/>
      <c r="M131" s="24"/>
      <c r="N131" s="24"/>
      <c r="O131" s="24"/>
      <c r="P131" s="24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</row>
    <row r="132" ht="15.75" customHeight="1">
      <c r="G132" s="26"/>
      <c r="H132" s="26"/>
      <c r="I132" s="24"/>
      <c r="J132" s="24"/>
      <c r="K132" s="24"/>
      <c r="L132" s="24"/>
      <c r="M132" s="24"/>
      <c r="N132" s="24"/>
      <c r="O132" s="24"/>
      <c r="P132" s="24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</row>
    <row r="133" ht="15.75" customHeight="1">
      <c r="G133" s="26"/>
      <c r="H133" s="26"/>
      <c r="I133" s="24"/>
      <c r="J133" s="24"/>
      <c r="K133" s="24"/>
      <c r="L133" s="24"/>
      <c r="M133" s="24"/>
      <c r="N133" s="24"/>
      <c r="O133" s="24"/>
      <c r="P133" s="24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</row>
    <row r="134" ht="15.75" customHeight="1">
      <c r="G134" s="26"/>
      <c r="H134" s="26"/>
      <c r="I134" s="24"/>
      <c r="J134" s="24"/>
      <c r="K134" s="24"/>
      <c r="L134" s="24"/>
      <c r="M134" s="24"/>
      <c r="N134" s="24"/>
      <c r="O134" s="24"/>
      <c r="P134" s="24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</row>
    <row r="135" ht="15.75" customHeight="1">
      <c r="G135" s="26"/>
      <c r="H135" s="26"/>
      <c r="I135" s="24"/>
      <c r="J135" s="24"/>
      <c r="K135" s="24"/>
      <c r="L135" s="24"/>
      <c r="M135" s="24"/>
      <c r="N135" s="24"/>
      <c r="O135" s="24"/>
      <c r="P135" s="24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</row>
    <row r="136" ht="15.75" customHeight="1">
      <c r="G136" s="26"/>
      <c r="H136" s="26"/>
      <c r="I136" s="24"/>
      <c r="J136" s="24"/>
      <c r="K136" s="24"/>
      <c r="L136" s="24"/>
      <c r="M136" s="24"/>
      <c r="N136" s="24"/>
      <c r="O136" s="24"/>
      <c r="P136" s="24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</row>
    <row r="137" ht="15.75" customHeight="1">
      <c r="G137" s="26"/>
      <c r="H137" s="26"/>
      <c r="I137" s="24"/>
      <c r="J137" s="24"/>
      <c r="K137" s="24"/>
      <c r="L137" s="24"/>
      <c r="M137" s="24"/>
      <c r="N137" s="24"/>
      <c r="O137" s="24"/>
      <c r="P137" s="24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</row>
    <row r="138" ht="15.75" customHeight="1">
      <c r="G138" s="26"/>
      <c r="H138" s="26"/>
      <c r="I138" s="24"/>
      <c r="J138" s="24"/>
      <c r="K138" s="24"/>
      <c r="L138" s="24"/>
      <c r="M138" s="24"/>
      <c r="N138" s="24"/>
      <c r="O138" s="24"/>
      <c r="P138" s="24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</row>
    <row r="139" ht="15.75" customHeight="1">
      <c r="G139" s="26"/>
      <c r="H139" s="26"/>
      <c r="I139" s="24"/>
      <c r="J139" s="24"/>
      <c r="K139" s="24"/>
      <c r="L139" s="24"/>
      <c r="M139" s="24"/>
      <c r="N139" s="24"/>
      <c r="O139" s="24"/>
      <c r="P139" s="24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</row>
    <row r="140" ht="15.75" customHeight="1">
      <c r="G140" s="26"/>
      <c r="H140" s="26"/>
      <c r="I140" s="24"/>
      <c r="J140" s="24"/>
      <c r="K140" s="24"/>
      <c r="L140" s="24"/>
      <c r="M140" s="24"/>
      <c r="N140" s="24"/>
      <c r="O140" s="24"/>
      <c r="P140" s="24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</row>
    <row r="141" ht="15.75" customHeight="1">
      <c r="G141" s="26"/>
      <c r="H141" s="26"/>
      <c r="I141" s="24"/>
      <c r="J141" s="24"/>
      <c r="K141" s="24"/>
      <c r="L141" s="24"/>
      <c r="M141" s="24"/>
      <c r="N141" s="24"/>
      <c r="O141" s="24"/>
      <c r="P141" s="24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</row>
    <row r="142" ht="15.75" customHeight="1">
      <c r="G142" s="26"/>
      <c r="H142" s="26"/>
      <c r="I142" s="24"/>
      <c r="J142" s="24"/>
      <c r="K142" s="24"/>
      <c r="L142" s="24"/>
      <c r="M142" s="24"/>
      <c r="N142" s="24"/>
      <c r="O142" s="24"/>
      <c r="P142" s="24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</row>
    <row r="143" ht="15.75" customHeight="1">
      <c r="G143" s="26"/>
      <c r="H143" s="26"/>
      <c r="I143" s="24"/>
      <c r="J143" s="24"/>
      <c r="K143" s="24"/>
      <c r="L143" s="24"/>
      <c r="M143" s="24"/>
      <c r="N143" s="24"/>
      <c r="O143" s="24"/>
      <c r="P143" s="24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</row>
    <row r="144" ht="15.75" customHeight="1">
      <c r="G144" s="26"/>
      <c r="H144" s="26"/>
      <c r="I144" s="24"/>
      <c r="J144" s="24"/>
      <c r="K144" s="24"/>
      <c r="L144" s="24"/>
      <c r="M144" s="24"/>
      <c r="N144" s="24"/>
      <c r="O144" s="24"/>
      <c r="P144" s="24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</row>
    <row r="145" ht="15.75" customHeight="1">
      <c r="G145" s="26"/>
      <c r="H145" s="26"/>
      <c r="I145" s="24"/>
      <c r="J145" s="24"/>
      <c r="K145" s="24"/>
      <c r="L145" s="24"/>
      <c r="M145" s="24"/>
      <c r="N145" s="24"/>
      <c r="O145" s="24"/>
      <c r="P145" s="24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</row>
    <row r="146" ht="15.75" customHeight="1">
      <c r="G146" s="26"/>
      <c r="H146" s="26"/>
      <c r="I146" s="24"/>
      <c r="J146" s="24"/>
      <c r="K146" s="24"/>
      <c r="L146" s="24"/>
      <c r="M146" s="24"/>
      <c r="N146" s="24"/>
      <c r="O146" s="24"/>
      <c r="P146" s="24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</row>
    <row r="147" ht="15.75" customHeight="1">
      <c r="G147" s="26"/>
      <c r="H147" s="26"/>
      <c r="I147" s="24"/>
      <c r="J147" s="24"/>
      <c r="K147" s="24"/>
      <c r="L147" s="24"/>
      <c r="M147" s="24"/>
      <c r="N147" s="24"/>
      <c r="O147" s="24"/>
      <c r="P147" s="24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</row>
    <row r="148" ht="15.75" customHeight="1">
      <c r="G148" s="26"/>
      <c r="H148" s="26"/>
      <c r="I148" s="24"/>
      <c r="J148" s="24"/>
      <c r="K148" s="24"/>
      <c r="L148" s="24"/>
      <c r="M148" s="24"/>
      <c r="N148" s="24"/>
      <c r="O148" s="24"/>
      <c r="P148" s="24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</row>
    <row r="149" ht="15.75" customHeight="1">
      <c r="G149" s="26"/>
      <c r="H149" s="26"/>
      <c r="I149" s="24"/>
      <c r="J149" s="24"/>
      <c r="K149" s="24"/>
      <c r="L149" s="24"/>
      <c r="M149" s="24"/>
      <c r="N149" s="24"/>
      <c r="O149" s="24"/>
      <c r="P149" s="24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</row>
    <row r="150" ht="15.75" customHeight="1">
      <c r="G150" s="26"/>
      <c r="H150" s="26"/>
      <c r="I150" s="24"/>
      <c r="J150" s="24"/>
      <c r="K150" s="24"/>
      <c r="L150" s="24"/>
      <c r="M150" s="24"/>
      <c r="N150" s="24"/>
      <c r="O150" s="24"/>
      <c r="P150" s="24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</row>
    <row r="151" ht="15.75" customHeight="1">
      <c r="G151" s="26"/>
      <c r="H151" s="26"/>
      <c r="I151" s="24"/>
      <c r="J151" s="24"/>
      <c r="K151" s="24"/>
      <c r="L151" s="24"/>
      <c r="M151" s="24"/>
      <c r="N151" s="24"/>
      <c r="O151" s="24"/>
      <c r="P151" s="24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</row>
    <row r="152" ht="15.75" customHeight="1">
      <c r="G152" s="26"/>
      <c r="H152" s="26"/>
      <c r="I152" s="24"/>
      <c r="J152" s="24"/>
      <c r="K152" s="24"/>
      <c r="L152" s="24"/>
      <c r="M152" s="24"/>
      <c r="N152" s="24"/>
      <c r="O152" s="24"/>
      <c r="P152" s="24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</row>
    <row r="153" ht="15.75" customHeight="1">
      <c r="G153" s="26"/>
      <c r="H153" s="26"/>
      <c r="I153" s="24"/>
      <c r="J153" s="24"/>
      <c r="K153" s="24"/>
      <c r="L153" s="24"/>
      <c r="M153" s="24"/>
      <c r="N153" s="24"/>
      <c r="O153" s="24"/>
      <c r="P153" s="24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</row>
    <row r="154" ht="15.75" customHeight="1">
      <c r="G154" s="26"/>
      <c r="H154" s="26"/>
      <c r="I154" s="24"/>
      <c r="J154" s="24"/>
      <c r="K154" s="24"/>
      <c r="L154" s="24"/>
      <c r="M154" s="24"/>
      <c r="N154" s="24"/>
      <c r="O154" s="24"/>
      <c r="P154" s="24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</row>
    <row r="155" ht="15.75" customHeight="1">
      <c r="G155" s="26"/>
      <c r="H155" s="26"/>
      <c r="I155" s="24"/>
      <c r="J155" s="24"/>
      <c r="K155" s="24"/>
      <c r="L155" s="24"/>
      <c r="M155" s="24"/>
      <c r="N155" s="24"/>
      <c r="O155" s="24"/>
      <c r="P155" s="24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</row>
    <row r="156" ht="15.75" customHeight="1">
      <c r="G156" s="26"/>
      <c r="H156" s="26"/>
      <c r="I156" s="24"/>
      <c r="J156" s="24"/>
      <c r="K156" s="24"/>
      <c r="L156" s="24"/>
      <c r="M156" s="24"/>
      <c r="N156" s="24"/>
      <c r="O156" s="24"/>
      <c r="P156" s="24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</row>
    <row r="157" ht="15.75" customHeight="1">
      <c r="G157" s="26"/>
      <c r="H157" s="26"/>
      <c r="I157" s="24"/>
      <c r="J157" s="24"/>
      <c r="K157" s="24"/>
      <c r="L157" s="24"/>
      <c r="M157" s="24"/>
      <c r="N157" s="24"/>
      <c r="O157" s="24"/>
      <c r="P157" s="24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</row>
    <row r="158" ht="15.75" customHeight="1">
      <c r="G158" s="26"/>
      <c r="H158" s="26"/>
      <c r="I158" s="24"/>
      <c r="J158" s="24"/>
      <c r="K158" s="24"/>
      <c r="L158" s="24"/>
      <c r="M158" s="24"/>
      <c r="N158" s="24"/>
      <c r="O158" s="24"/>
      <c r="P158" s="24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</row>
    <row r="159" ht="15.75" customHeight="1">
      <c r="G159" s="26"/>
      <c r="H159" s="26"/>
      <c r="I159" s="24"/>
      <c r="J159" s="24"/>
      <c r="K159" s="24"/>
      <c r="L159" s="24"/>
      <c r="M159" s="24"/>
      <c r="N159" s="24"/>
      <c r="O159" s="24"/>
      <c r="P159" s="24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</row>
    <row r="160" ht="15.75" customHeight="1">
      <c r="G160" s="26"/>
      <c r="H160" s="26"/>
      <c r="I160" s="24"/>
      <c r="J160" s="24"/>
      <c r="K160" s="24"/>
      <c r="L160" s="24"/>
      <c r="M160" s="24"/>
      <c r="N160" s="24"/>
      <c r="O160" s="24"/>
      <c r="P160" s="24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</row>
    <row r="161" ht="15.75" customHeight="1">
      <c r="G161" s="26"/>
      <c r="H161" s="26"/>
      <c r="I161" s="24"/>
      <c r="J161" s="24"/>
      <c r="K161" s="24"/>
      <c r="L161" s="24"/>
      <c r="M161" s="24"/>
      <c r="N161" s="24"/>
      <c r="O161" s="24"/>
      <c r="P161" s="24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31" t="s">
        <v>0</v>
      </c>
      <c r="B1" s="31" t="s">
        <v>1</v>
      </c>
      <c r="C1" s="31" t="s">
        <v>2</v>
      </c>
      <c r="D1" s="31" t="s">
        <v>185</v>
      </c>
      <c r="E1" s="31" t="s">
        <v>186</v>
      </c>
      <c r="F1" s="31" t="s">
        <v>187</v>
      </c>
      <c r="G1" s="1" t="s">
        <v>188</v>
      </c>
      <c r="H1" s="32" t="s">
        <v>189</v>
      </c>
      <c r="I1" s="33" t="s">
        <v>190</v>
      </c>
      <c r="J1" s="32" t="s">
        <v>191</v>
      </c>
      <c r="K1" s="33" t="s">
        <v>192</v>
      </c>
      <c r="L1" s="34" t="s">
        <v>193</v>
      </c>
      <c r="M1" s="35" t="s">
        <v>13</v>
      </c>
    </row>
    <row r="2" ht="15.75" customHeight="1">
      <c r="A2" s="5">
        <v>1892.0</v>
      </c>
      <c r="B2" s="5" t="s">
        <v>36</v>
      </c>
      <c r="C2" s="6" t="str">
        <f t="shared" ref="C2:C21" si="1">CONCATENATE(D2,"_",E2,"_",G2)</f>
        <v>ADTV-PMP-01_TURBOHSD_Truck Loading</v>
      </c>
      <c r="D2" s="7" t="s">
        <v>194</v>
      </c>
      <c r="E2" s="7" t="s">
        <v>195</v>
      </c>
      <c r="F2" s="6" t="s">
        <v>196</v>
      </c>
      <c r="G2" s="7" t="s">
        <v>197</v>
      </c>
      <c r="H2" s="36" t="s">
        <v>198</v>
      </c>
      <c r="I2" s="37">
        <v>0.0</v>
      </c>
      <c r="J2" s="36" t="s">
        <v>199</v>
      </c>
      <c r="K2" s="37">
        <v>1.0</v>
      </c>
      <c r="L2" s="36" t="s">
        <v>200</v>
      </c>
      <c r="M2" s="37">
        <v>0.0</v>
      </c>
    </row>
    <row r="3" ht="15.75" customHeight="1">
      <c r="A3" s="5">
        <v>1892.0</v>
      </c>
      <c r="B3" s="5" t="s">
        <v>36</v>
      </c>
      <c r="C3" s="6" t="str">
        <f t="shared" si="1"/>
        <v>ADTV-PMP-02_TURBOHSD_Truck Loading</v>
      </c>
      <c r="D3" s="7" t="s">
        <v>201</v>
      </c>
      <c r="E3" s="7" t="s">
        <v>195</v>
      </c>
      <c r="F3" s="6" t="s">
        <v>196</v>
      </c>
      <c r="G3" s="7" t="s">
        <v>197</v>
      </c>
      <c r="H3" s="36" t="s">
        <v>202</v>
      </c>
      <c r="I3" s="37">
        <v>0.0</v>
      </c>
      <c r="J3" s="36" t="s">
        <v>203</v>
      </c>
      <c r="K3" s="37">
        <v>1.0</v>
      </c>
      <c r="L3" s="25" t="s">
        <v>204</v>
      </c>
      <c r="M3" s="37">
        <v>0.0</v>
      </c>
    </row>
    <row r="4" ht="15.75" customHeight="1">
      <c r="A4" s="5">
        <v>1892.0</v>
      </c>
      <c r="B4" s="5" t="s">
        <v>36</v>
      </c>
      <c r="C4" s="6" t="str">
        <f t="shared" si="1"/>
        <v>ADTV-PMP-03_POWERMS_Truck Loading</v>
      </c>
      <c r="D4" s="7" t="s">
        <v>205</v>
      </c>
      <c r="E4" s="7" t="s">
        <v>206</v>
      </c>
      <c r="F4" s="6" t="s">
        <v>196</v>
      </c>
      <c r="G4" s="7" t="s">
        <v>197</v>
      </c>
      <c r="H4" s="36" t="s">
        <v>207</v>
      </c>
      <c r="I4" s="37">
        <v>0.0</v>
      </c>
      <c r="J4" s="36" t="s">
        <v>208</v>
      </c>
      <c r="K4" s="37">
        <v>1.0</v>
      </c>
      <c r="L4" s="25" t="s">
        <v>209</v>
      </c>
      <c r="M4" s="37">
        <v>0.0</v>
      </c>
    </row>
    <row r="5" ht="15.75" customHeight="1">
      <c r="A5" s="5">
        <v>1892.0</v>
      </c>
      <c r="B5" s="5" t="s">
        <v>36</v>
      </c>
      <c r="C5" s="6" t="str">
        <f t="shared" si="1"/>
        <v>ADTV-PMP-04_POWERMS_Truck Loading</v>
      </c>
      <c r="D5" s="7" t="s">
        <v>210</v>
      </c>
      <c r="E5" s="7" t="s">
        <v>206</v>
      </c>
      <c r="F5" s="6" t="s">
        <v>196</v>
      </c>
      <c r="G5" s="7" t="s">
        <v>197</v>
      </c>
      <c r="H5" s="36" t="s">
        <v>211</v>
      </c>
      <c r="I5" s="37">
        <v>0.0</v>
      </c>
      <c r="J5" s="36" t="s">
        <v>212</v>
      </c>
      <c r="K5" s="37">
        <v>1.0</v>
      </c>
      <c r="L5" s="25" t="s">
        <v>213</v>
      </c>
      <c r="M5" s="37">
        <v>0.0</v>
      </c>
    </row>
    <row r="6" ht="15.75" customHeight="1">
      <c r="A6" s="5">
        <v>1892.0</v>
      </c>
      <c r="B6" s="5" t="s">
        <v>36</v>
      </c>
      <c r="C6" s="6" t="str">
        <f t="shared" si="1"/>
        <v>PMP-01_BS VI MS_Truck Loading</v>
      </c>
      <c r="D6" s="7" t="s">
        <v>214</v>
      </c>
      <c r="E6" s="7" t="s">
        <v>67</v>
      </c>
      <c r="F6" s="6" t="s">
        <v>196</v>
      </c>
      <c r="G6" s="7" t="s">
        <v>197</v>
      </c>
      <c r="H6" s="36" t="s">
        <v>215</v>
      </c>
      <c r="I6" s="37">
        <v>0.0</v>
      </c>
      <c r="J6" s="36" t="s">
        <v>216</v>
      </c>
      <c r="K6" s="37">
        <v>1.0</v>
      </c>
      <c r="L6" s="25" t="s">
        <v>217</v>
      </c>
      <c r="M6" s="37">
        <v>0.0</v>
      </c>
    </row>
    <row r="7" ht="15.75" customHeight="1">
      <c r="A7" s="5">
        <v>1892.0</v>
      </c>
      <c r="B7" s="5" t="s">
        <v>36</v>
      </c>
      <c r="C7" s="6" t="str">
        <f t="shared" si="1"/>
        <v>PMP-02_BS VI MS_Truck Loading</v>
      </c>
      <c r="D7" s="7" t="s">
        <v>218</v>
      </c>
      <c r="E7" s="7" t="s">
        <v>67</v>
      </c>
      <c r="F7" s="6" t="s">
        <v>196</v>
      </c>
      <c r="G7" s="7" t="s">
        <v>197</v>
      </c>
      <c r="H7" s="36" t="s">
        <v>219</v>
      </c>
      <c r="I7" s="37">
        <v>0.0</v>
      </c>
      <c r="J7" s="36" t="s">
        <v>220</v>
      </c>
      <c r="K7" s="37">
        <v>1.0</v>
      </c>
      <c r="L7" s="25" t="s">
        <v>221</v>
      </c>
      <c r="M7" s="37">
        <v>0.0</v>
      </c>
    </row>
    <row r="8" ht="15.75" customHeight="1">
      <c r="A8" s="5">
        <v>1892.0</v>
      </c>
      <c r="B8" s="5" t="s">
        <v>36</v>
      </c>
      <c r="C8" s="6" t="str">
        <f t="shared" si="1"/>
        <v>PMP-03_BS VI HSD_Truck Loading</v>
      </c>
      <c r="D8" s="7" t="s">
        <v>222</v>
      </c>
      <c r="E8" s="7" t="s">
        <v>39</v>
      </c>
      <c r="F8" s="6" t="s">
        <v>196</v>
      </c>
      <c r="G8" s="7" t="s">
        <v>197</v>
      </c>
      <c r="H8" s="36" t="s">
        <v>223</v>
      </c>
      <c r="I8" s="37">
        <v>0.0</v>
      </c>
      <c r="J8" s="36" t="s">
        <v>224</v>
      </c>
      <c r="K8" s="37">
        <v>1.0</v>
      </c>
      <c r="L8" s="25" t="s">
        <v>225</v>
      </c>
      <c r="M8" s="37">
        <v>0.0</v>
      </c>
    </row>
    <row r="9" ht="15.75" customHeight="1">
      <c r="A9" s="5">
        <v>1892.0</v>
      </c>
      <c r="B9" s="5" t="s">
        <v>36</v>
      </c>
      <c r="C9" s="6" t="str">
        <f t="shared" si="1"/>
        <v>PMP-04_BS VI HSD_Truck Loading</v>
      </c>
      <c r="D9" s="7" t="s">
        <v>226</v>
      </c>
      <c r="E9" s="7" t="s">
        <v>39</v>
      </c>
      <c r="F9" s="6" t="s">
        <v>196</v>
      </c>
      <c r="G9" s="7" t="s">
        <v>197</v>
      </c>
      <c r="H9" s="36" t="s">
        <v>227</v>
      </c>
      <c r="I9" s="37">
        <v>0.0</v>
      </c>
      <c r="J9" s="36" t="s">
        <v>228</v>
      </c>
      <c r="K9" s="37">
        <v>1.0</v>
      </c>
      <c r="L9" s="25" t="s">
        <v>229</v>
      </c>
      <c r="M9" s="37">
        <v>0.0</v>
      </c>
    </row>
    <row r="10" ht="15.75" customHeight="1">
      <c r="A10" s="5">
        <v>1892.0</v>
      </c>
      <c r="B10" s="5" t="s">
        <v>36</v>
      </c>
      <c r="C10" s="6" t="str">
        <f t="shared" si="1"/>
        <v>PMP-05_BS VI MS_Truck Loading</v>
      </c>
      <c r="D10" s="7" t="s">
        <v>230</v>
      </c>
      <c r="E10" s="7" t="s">
        <v>67</v>
      </c>
      <c r="F10" s="6" t="s">
        <v>196</v>
      </c>
      <c r="G10" s="7" t="s">
        <v>197</v>
      </c>
      <c r="H10" s="36" t="s">
        <v>231</v>
      </c>
      <c r="I10" s="37">
        <v>0.0</v>
      </c>
      <c r="J10" s="36" t="s">
        <v>232</v>
      </c>
      <c r="K10" s="37">
        <v>1.0</v>
      </c>
      <c r="L10" s="25" t="s">
        <v>233</v>
      </c>
      <c r="M10" s="37">
        <v>0.0</v>
      </c>
    </row>
    <row r="11" ht="15.75" customHeight="1">
      <c r="A11" s="5">
        <v>1892.0</v>
      </c>
      <c r="B11" s="5" t="s">
        <v>36</v>
      </c>
      <c r="C11" s="6" t="str">
        <f t="shared" si="1"/>
        <v>PMP-06_BS VI MS_Truck Loading</v>
      </c>
      <c r="D11" s="7" t="s">
        <v>234</v>
      </c>
      <c r="E11" s="7" t="s">
        <v>67</v>
      </c>
      <c r="F11" s="6" t="s">
        <v>196</v>
      </c>
      <c r="G11" s="7" t="s">
        <v>197</v>
      </c>
      <c r="H11" s="36" t="s">
        <v>235</v>
      </c>
      <c r="I11" s="37">
        <v>0.0</v>
      </c>
      <c r="J11" s="36" t="s">
        <v>236</v>
      </c>
      <c r="K11" s="37">
        <v>1.0</v>
      </c>
      <c r="L11" s="25" t="s">
        <v>237</v>
      </c>
      <c r="M11" s="37">
        <v>0.0</v>
      </c>
    </row>
    <row r="12" ht="15.75" customHeight="1">
      <c r="A12" s="5">
        <v>1892.0</v>
      </c>
      <c r="B12" s="5" t="s">
        <v>36</v>
      </c>
      <c r="C12" s="6" t="str">
        <f t="shared" si="1"/>
        <v>PMP-07_BS VI HSD_Truck Loading</v>
      </c>
      <c r="D12" s="7" t="s">
        <v>238</v>
      </c>
      <c r="E12" s="7" t="s">
        <v>39</v>
      </c>
      <c r="F12" s="6" t="s">
        <v>196</v>
      </c>
      <c r="G12" s="7" t="s">
        <v>197</v>
      </c>
      <c r="H12" s="36" t="s">
        <v>239</v>
      </c>
      <c r="I12" s="37">
        <v>0.0</v>
      </c>
      <c r="J12" s="36" t="s">
        <v>240</v>
      </c>
      <c r="K12" s="37">
        <v>1.0</v>
      </c>
      <c r="L12" s="25" t="s">
        <v>241</v>
      </c>
      <c r="M12" s="37">
        <v>0.0</v>
      </c>
    </row>
    <row r="13" ht="15.75" customHeight="1">
      <c r="A13" s="5">
        <v>1892.0</v>
      </c>
      <c r="B13" s="5" t="s">
        <v>36</v>
      </c>
      <c r="C13" s="6" t="str">
        <f t="shared" si="1"/>
        <v>PMP-08_BS VI MS_Truck Loading</v>
      </c>
      <c r="D13" s="7" t="s">
        <v>242</v>
      </c>
      <c r="E13" s="7" t="s">
        <v>67</v>
      </c>
      <c r="F13" s="6" t="s">
        <v>196</v>
      </c>
      <c r="G13" s="7" t="s">
        <v>197</v>
      </c>
      <c r="H13" s="36" t="s">
        <v>243</v>
      </c>
      <c r="I13" s="37">
        <v>0.0</v>
      </c>
      <c r="J13" s="36" t="s">
        <v>244</v>
      </c>
      <c r="K13" s="37">
        <v>1.0</v>
      </c>
      <c r="L13" s="25" t="s">
        <v>245</v>
      </c>
      <c r="M13" s="37">
        <v>0.0</v>
      </c>
    </row>
    <row r="14" ht="15.75" customHeight="1">
      <c r="A14" s="5">
        <v>1892.0</v>
      </c>
      <c r="B14" s="5" t="s">
        <v>36</v>
      </c>
      <c r="C14" s="6" t="str">
        <f t="shared" si="1"/>
        <v>PMP-09_ETHANOL_Truck Loading</v>
      </c>
      <c r="D14" s="7" t="s">
        <v>246</v>
      </c>
      <c r="E14" s="7" t="s">
        <v>87</v>
      </c>
      <c r="F14" s="6" t="s">
        <v>196</v>
      </c>
      <c r="G14" s="7" t="s">
        <v>197</v>
      </c>
      <c r="H14" s="36" t="s">
        <v>247</v>
      </c>
      <c r="I14" s="37">
        <v>0.0</v>
      </c>
      <c r="J14" s="36" t="s">
        <v>248</v>
      </c>
      <c r="K14" s="37">
        <v>1.0</v>
      </c>
      <c r="L14" s="25" t="s">
        <v>249</v>
      </c>
      <c r="M14" s="37">
        <v>0.0</v>
      </c>
    </row>
    <row r="15" ht="15.75" customHeight="1">
      <c r="A15" s="5">
        <v>1892.0</v>
      </c>
      <c r="B15" s="5" t="s">
        <v>36</v>
      </c>
      <c r="C15" s="6" t="str">
        <f t="shared" si="1"/>
        <v>PMP-10_ETHANOL_Truck Loading</v>
      </c>
      <c r="D15" s="7" t="s">
        <v>250</v>
      </c>
      <c r="E15" s="7" t="s">
        <v>87</v>
      </c>
      <c r="F15" s="6" t="s">
        <v>196</v>
      </c>
      <c r="G15" s="7" t="s">
        <v>197</v>
      </c>
      <c r="H15" s="36" t="s">
        <v>251</v>
      </c>
      <c r="I15" s="37">
        <v>0.0</v>
      </c>
      <c r="J15" s="36" t="s">
        <v>252</v>
      </c>
      <c r="K15" s="37">
        <v>1.0</v>
      </c>
      <c r="L15" s="25" t="s">
        <v>253</v>
      </c>
      <c r="M15" s="37">
        <v>0.0</v>
      </c>
    </row>
    <row r="16" ht="15.75" customHeight="1">
      <c r="A16" s="5">
        <v>1892.0</v>
      </c>
      <c r="B16" s="5" t="s">
        <v>36</v>
      </c>
      <c r="C16" s="6" t="str">
        <f t="shared" si="1"/>
        <v>PMP-11_BIO DIESEL_Truck Loading</v>
      </c>
      <c r="D16" s="7" t="s">
        <v>254</v>
      </c>
      <c r="E16" s="7" t="s">
        <v>116</v>
      </c>
      <c r="F16" s="6" t="s">
        <v>196</v>
      </c>
      <c r="G16" s="7" t="s">
        <v>197</v>
      </c>
      <c r="H16" s="36" t="s">
        <v>255</v>
      </c>
      <c r="I16" s="37">
        <v>0.0</v>
      </c>
      <c r="J16" s="36" t="s">
        <v>256</v>
      </c>
      <c r="K16" s="37">
        <v>1.0</v>
      </c>
      <c r="L16" s="25" t="s">
        <v>257</v>
      </c>
      <c r="M16" s="37">
        <v>0.0</v>
      </c>
    </row>
    <row r="17" ht="15.75" customHeight="1">
      <c r="A17" s="5">
        <v>1892.0</v>
      </c>
      <c r="B17" s="5" t="s">
        <v>36</v>
      </c>
      <c r="C17" s="6" t="str">
        <f t="shared" si="1"/>
        <v>TWD-01_BS VI MS_Wagon Loading</v>
      </c>
      <c r="D17" s="7" t="s">
        <v>258</v>
      </c>
      <c r="E17" s="7" t="s">
        <v>67</v>
      </c>
      <c r="F17" s="38" t="s">
        <v>259</v>
      </c>
      <c r="G17" s="7" t="s">
        <v>260</v>
      </c>
      <c r="H17" s="36" t="s">
        <v>261</v>
      </c>
      <c r="I17" s="37">
        <v>0.0</v>
      </c>
      <c r="J17" s="36" t="s">
        <v>262</v>
      </c>
      <c r="K17" s="37">
        <v>1.0</v>
      </c>
      <c r="L17" s="25" t="s">
        <v>263</v>
      </c>
      <c r="M17" s="37">
        <v>0.0</v>
      </c>
    </row>
    <row r="18" ht="15.75" customHeight="1">
      <c r="A18" s="5">
        <v>1892.0</v>
      </c>
      <c r="B18" s="5" t="s">
        <v>36</v>
      </c>
      <c r="C18" s="6" t="str">
        <f t="shared" si="1"/>
        <v>TWD-02_BS VI MS_Wagon Loading</v>
      </c>
      <c r="D18" s="7" t="s">
        <v>264</v>
      </c>
      <c r="E18" s="7" t="s">
        <v>67</v>
      </c>
      <c r="F18" s="38" t="s">
        <v>259</v>
      </c>
      <c r="G18" s="7" t="s">
        <v>260</v>
      </c>
      <c r="H18" s="36" t="s">
        <v>265</v>
      </c>
      <c r="I18" s="37">
        <v>0.0</v>
      </c>
      <c r="J18" s="36" t="s">
        <v>266</v>
      </c>
      <c r="K18" s="37">
        <v>1.0</v>
      </c>
      <c r="L18" s="25" t="s">
        <v>267</v>
      </c>
      <c r="M18" s="37">
        <v>0.0</v>
      </c>
    </row>
    <row r="19" ht="15.75" customHeight="1">
      <c r="A19" s="5">
        <v>1892.0</v>
      </c>
      <c r="B19" s="5" t="s">
        <v>36</v>
      </c>
      <c r="C19" s="6" t="str">
        <f t="shared" si="1"/>
        <v>TWD-03_BS VI HSD_Wagon Loading</v>
      </c>
      <c r="D19" s="7" t="s">
        <v>268</v>
      </c>
      <c r="E19" s="7" t="s">
        <v>39</v>
      </c>
      <c r="F19" s="38" t="s">
        <v>259</v>
      </c>
      <c r="G19" s="7" t="s">
        <v>260</v>
      </c>
      <c r="H19" s="36" t="s">
        <v>269</v>
      </c>
      <c r="I19" s="37">
        <v>0.0</v>
      </c>
      <c r="J19" s="36" t="s">
        <v>270</v>
      </c>
      <c r="K19" s="37">
        <v>1.0</v>
      </c>
      <c r="L19" s="25" t="s">
        <v>271</v>
      </c>
      <c r="M19" s="37">
        <v>0.0</v>
      </c>
    </row>
    <row r="20" ht="15.75" customHeight="1">
      <c r="A20" s="5">
        <v>1892.0</v>
      </c>
      <c r="B20" s="5" t="s">
        <v>36</v>
      </c>
      <c r="C20" s="6" t="str">
        <f t="shared" si="1"/>
        <v>TWD-04_BS VI HSD_Wagon Loading</v>
      </c>
      <c r="D20" s="7" t="s">
        <v>272</v>
      </c>
      <c r="E20" s="7" t="s">
        <v>39</v>
      </c>
      <c r="F20" s="38" t="s">
        <v>259</v>
      </c>
      <c r="G20" s="7" t="s">
        <v>260</v>
      </c>
      <c r="H20" s="36" t="s">
        <v>273</v>
      </c>
      <c r="I20" s="37">
        <v>0.0</v>
      </c>
      <c r="J20" s="36" t="s">
        <v>274</v>
      </c>
      <c r="K20" s="37">
        <v>1.0</v>
      </c>
      <c r="L20" s="25" t="s">
        <v>275</v>
      </c>
      <c r="M20" s="37">
        <v>0.0</v>
      </c>
    </row>
    <row r="21" ht="15.75" customHeight="1">
      <c r="A21" s="5">
        <v>1892.0</v>
      </c>
      <c r="B21" s="5" t="s">
        <v>36</v>
      </c>
      <c r="C21" s="6" t="str">
        <f t="shared" si="1"/>
        <v>TWD-05_BS VI HSD_Wagon Loading</v>
      </c>
      <c r="D21" s="7" t="s">
        <v>276</v>
      </c>
      <c r="E21" s="7" t="s">
        <v>39</v>
      </c>
      <c r="F21" s="38" t="s">
        <v>259</v>
      </c>
      <c r="G21" s="7" t="s">
        <v>260</v>
      </c>
      <c r="H21" s="36" t="s">
        <v>277</v>
      </c>
      <c r="I21" s="37">
        <v>0.0</v>
      </c>
      <c r="J21" s="36" t="s">
        <v>278</v>
      </c>
      <c r="K21" s="37">
        <v>1.0</v>
      </c>
      <c r="L21" s="25" t="s">
        <v>279</v>
      </c>
      <c r="M21" s="37">
        <v>0.0</v>
      </c>
    </row>
    <row r="22" ht="15.75" customHeight="1">
      <c r="A22" s="24"/>
      <c r="B22" s="24"/>
      <c r="C22" s="24"/>
      <c r="D22" s="24"/>
      <c r="E22" s="24"/>
      <c r="F22" s="39"/>
      <c r="G22" s="24"/>
      <c r="H22" s="24"/>
      <c r="I22" s="24"/>
      <c r="J22" s="24"/>
      <c r="K22" s="24"/>
    </row>
    <row r="23" ht="15.75" customHeight="1">
      <c r="A23" s="24"/>
      <c r="B23" s="24"/>
      <c r="C23" s="24"/>
      <c r="D23" s="24"/>
      <c r="E23" s="24"/>
      <c r="F23" s="39"/>
      <c r="G23" s="24"/>
      <c r="H23" s="24"/>
      <c r="I23" s="24"/>
      <c r="J23" s="24"/>
      <c r="K23" s="24"/>
    </row>
    <row r="24" ht="15.75" customHeight="1">
      <c r="A24" s="24"/>
      <c r="B24" s="24"/>
      <c r="C24" s="24"/>
      <c r="D24" s="24"/>
      <c r="E24" s="24"/>
      <c r="F24" s="39"/>
      <c r="G24" s="24"/>
      <c r="H24" s="24"/>
      <c r="I24" s="24"/>
      <c r="J24" s="24"/>
      <c r="K24" s="24"/>
    </row>
    <row r="25" ht="15.75" customHeight="1">
      <c r="A25" s="24"/>
      <c r="B25" s="24"/>
      <c r="C25" s="24"/>
      <c r="D25" s="24"/>
      <c r="E25" s="24"/>
      <c r="F25" s="39"/>
      <c r="G25" s="24"/>
      <c r="H25" s="24"/>
      <c r="I25" s="24"/>
      <c r="J25" s="24"/>
      <c r="K25" s="24"/>
    </row>
    <row r="26" ht="15.75" customHeight="1">
      <c r="A26" s="24"/>
      <c r="B26" s="24"/>
      <c r="C26" s="24"/>
      <c r="D26" s="24"/>
      <c r="E26" s="24"/>
      <c r="F26" s="39"/>
      <c r="G26" s="24"/>
      <c r="H26" s="24"/>
      <c r="I26" s="24"/>
      <c r="J26" s="24"/>
      <c r="K26" s="24"/>
    </row>
    <row r="27" ht="15.75" customHeight="1">
      <c r="A27" s="24"/>
      <c r="B27" s="24"/>
      <c r="C27" s="24"/>
      <c r="D27" s="24"/>
      <c r="E27" s="24"/>
      <c r="F27" s="39"/>
      <c r="G27" s="24"/>
      <c r="H27" s="24"/>
      <c r="I27" s="24"/>
      <c r="J27" s="24"/>
      <c r="K27" s="24"/>
    </row>
    <row r="28" ht="15.75" customHeight="1">
      <c r="A28" s="24"/>
      <c r="B28" s="24"/>
      <c r="C28" s="24"/>
      <c r="D28" s="24"/>
      <c r="E28" s="24"/>
      <c r="F28" s="39"/>
      <c r="G28" s="24"/>
      <c r="H28" s="24"/>
      <c r="I28" s="24"/>
      <c r="J28" s="24"/>
      <c r="K28" s="24"/>
    </row>
    <row r="29" ht="15.75" customHeight="1">
      <c r="A29" s="24"/>
      <c r="B29" s="24"/>
      <c r="C29" s="24"/>
      <c r="D29" s="24"/>
      <c r="E29" s="24"/>
      <c r="F29" s="39"/>
      <c r="G29" s="24"/>
      <c r="H29" s="24"/>
      <c r="I29" s="24"/>
      <c r="J29" s="24"/>
      <c r="K29" s="24"/>
    </row>
    <row r="30" ht="15.75" customHeight="1">
      <c r="A30" s="24"/>
      <c r="B30" s="24"/>
      <c r="C30" s="24"/>
      <c r="D30" s="24"/>
      <c r="E30" s="24"/>
      <c r="F30" s="39"/>
      <c r="G30" s="24"/>
      <c r="H30" s="24"/>
      <c r="I30" s="24"/>
      <c r="J30" s="24"/>
      <c r="K30" s="24"/>
    </row>
    <row r="31" ht="15.75" customHeight="1">
      <c r="A31" s="24"/>
      <c r="B31" s="24"/>
      <c r="C31" s="24"/>
      <c r="D31" s="24"/>
      <c r="E31" s="24"/>
      <c r="F31" s="39"/>
      <c r="G31" s="24"/>
      <c r="H31" s="24"/>
      <c r="I31" s="24"/>
      <c r="J31" s="24"/>
      <c r="K31" s="24"/>
    </row>
    <row r="32" ht="15.75" customHeight="1">
      <c r="A32" s="24"/>
      <c r="B32" s="24"/>
      <c r="C32" s="24"/>
      <c r="D32" s="24"/>
      <c r="E32" s="24"/>
      <c r="F32" s="39"/>
      <c r="G32" s="24"/>
      <c r="H32" s="24"/>
      <c r="I32" s="24"/>
      <c r="J32" s="24"/>
      <c r="K32" s="24"/>
    </row>
    <row r="33" ht="15.75" customHeight="1">
      <c r="A33" s="24"/>
      <c r="B33" s="24"/>
      <c r="C33" s="24"/>
      <c r="D33" s="24"/>
      <c r="E33" s="24"/>
      <c r="F33" s="39"/>
      <c r="G33" s="24"/>
      <c r="H33" s="24"/>
      <c r="I33" s="24"/>
      <c r="J33" s="24"/>
      <c r="K33" s="24"/>
    </row>
    <row r="34" ht="15.75" customHeight="1">
      <c r="A34" s="24"/>
      <c r="B34" s="24"/>
      <c r="C34" s="24"/>
      <c r="D34" s="24"/>
      <c r="E34" s="24"/>
      <c r="F34" s="39"/>
      <c r="G34" s="24"/>
      <c r="H34" s="24"/>
      <c r="I34" s="24"/>
      <c r="J34" s="24"/>
      <c r="K34" s="24"/>
    </row>
    <row r="35" ht="15.75" customHeight="1">
      <c r="A35" s="24"/>
      <c r="B35" s="24"/>
      <c r="C35" s="24"/>
      <c r="D35" s="24"/>
      <c r="E35" s="24"/>
      <c r="F35" s="39"/>
      <c r="G35" s="24"/>
      <c r="H35" s="24"/>
      <c r="I35" s="24"/>
      <c r="J35" s="24"/>
      <c r="K35" s="24"/>
    </row>
    <row r="36" ht="15.75" customHeight="1">
      <c r="A36" s="24"/>
      <c r="B36" s="24"/>
      <c r="C36" s="24"/>
      <c r="D36" s="24"/>
      <c r="E36" s="24"/>
      <c r="F36" s="39"/>
      <c r="G36" s="24"/>
      <c r="H36" s="24"/>
      <c r="I36" s="24"/>
      <c r="J36" s="24"/>
      <c r="K36" s="24"/>
    </row>
    <row r="37" ht="15.75" customHeight="1">
      <c r="A37" s="24"/>
      <c r="B37" s="24"/>
      <c r="C37" s="24"/>
      <c r="D37" s="24"/>
      <c r="E37" s="24"/>
      <c r="F37" s="39"/>
      <c r="G37" s="24"/>
      <c r="H37" s="24"/>
      <c r="I37" s="24"/>
      <c r="J37" s="24"/>
      <c r="K37" s="24"/>
    </row>
    <row r="38" ht="15.75" customHeight="1">
      <c r="A38" s="24"/>
      <c r="B38" s="24"/>
      <c r="C38" s="24"/>
      <c r="D38" s="24"/>
      <c r="E38" s="24"/>
      <c r="F38" s="39"/>
      <c r="G38" s="24"/>
      <c r="H38" s="24"/>
      <c r="I38" s="24"/>
      <c r="J38" s="24"/>
      <c r="K38" s="24"/>
    </row>
    <row r="39" ht="15.75" customHeight="1">
      <c r="A39" s="24"/>
      <c r="B39" s="24"/>
      <c r="C39" s="24"/>
      <c r="D39" s="24"/>
      <c r="E39" s="24"/>
      <c r="F39" s="39"/>
      <c r="G39" s="24"/>
      <c r="H39" s="24"/>
      <c r="I39" s="24"/>
      <c r="J39" s="24"/>
      <c r="K39" s="24"/>
    </row>
    <row r="40" ht="15.75" customHeight="1">
      <c r="A40" s="24"/>
      <c r="B40" s="24"/>
      <c r="C40" s="24"/>
      <c r="D40" s="24"/>
      <c r="E40" s="24"/>
      <c r="F40" s="39"/>
      <c r="G40" s="24"/>
      <c r="H40" s="24"/>
      <c r="I40" s="24"/>
      <c r="J40" s="24"/>
      <c r="K40" s="24"/>
    </row>
    <row r="41" ht="15.75" customHeight="1">
      <c r="A41" s="24"/>
      <c r="B41" s="24"/>
      <c r="C41" s="24"/>
      <c r="D41" s="24"/>
      <c r="E41" s="24"/>
      <c r="F41" s="39"/>
      <c r="G41" s="24"/>
      <c r="H41" s="24"/>
      <c r="I41" s="24"/>
      <c r="J41" s="24"/>
      <c r="K41" s="24"/>
    </row>
    <row r="42" ht="15.75" customHeight="1">
      <c r="A42" s="24"/>
      <c r="B42" s="24"/>
      <c r="C42" s="24"/>
      <c r="D42" s="24"/>
      <c r="E42" s="24"/>
      <c r="F42" s="39"/>
      <c r="G42" s="24"/>
      <c r="H42" s="24"/>
      <c r="I42" s="24"/>
      <c r="J42" s="24"/>
      <c r="K42" s="24"/>
    </row>
    <row r="43" ht="15.75" customHeight="1">
      <c r="A43" s="24"/>
      <c r="B43" s="24"/>
      <c r="C43" s="24"/>
      <c r="D43" s="24"/>
      <c r="E43" s="24"/>
      <c r="F43" s="39"/>
      <c r="G43" s="24"/>
      <c r="H43" s="24"/>
      <c r="I43" s="24"/>
      <c r="J43" s="24"/>
      <c r="K43" s="24"/>
    </row>
    <row r="44" ht="15.75" customHeight="1">
      <c r="A44" s="24"/>
      <c r="B44" s="24"/>
      <c r="C44" s="24"/>
      <c r="D44" s="24"/>
      <c r="E44" s="24"/>
      <c r="F44" s="39"/>
      <c r="G44" s="24"/>
      <c r="H44" s="24"/>
      <c r="I44" s="24"/>
      <c r="J44" s="24"/>
      <c r="K44" s="24"/>
    </row>
    <row r="45" ht="15.75" customHeight="1">
      <c r="A45" s="24"/>
      <c r="B45" s="24"/>
      <c r="C45" s="24"/>
      <c r="D45" s="24"/>
      <c r="E45" s="24"/>
      <c r="F45" s="39"/>
      <c r="G45" s="24"/>
      <c r="H45" s="24"/>
      <c r="I45" s="24"/>
      <c r="J45" s="24"/>
      <c r="K45" s="24"/>
    </row>
    <row r="46" ht="15.75" customHeight="1">
      <c r="A46" s="24"/>
      <c r="B46" s="24"/>
      <c r="C46" s="24"/>
      <c r="D46" s="24"/>
      <c r="E46" s="24"/>
      <c r="F46" s="39"/>
      <c r="G46" s="24"/>
      <c r="H46" s="24"/>
      <c r="I46" s="24"/>
      <c r="J46" s="24"/>
      <c r="K46" s="24"/>
    </row>
    <row r="47" ht="15.75" customHeight="1">
      <c r="A47" s="24"/>
      <c r="B47" s="24"/>
      <c r="C47" s="24"/>
      <c r="D47" s="24"/>
      <c r="E47" s="24"/>
      <c r="F47" s="39"/>
      <c r="G47" s="24"/>
      <c r="H47" s="24"/>
      <c r="I47" s="24"/>
      <c r="J47" s="24"/>
      <c r="K47" s="24"/>
    </row>
    <row r="48" ht="15.75" customHeight="1">
      <c r="A48" s="24"/>
      <c r="B48" s="24"/>
      <c r="C48" s="24"/>
      <c r="D48" s="24"/>
      <c r="E48" s="24"/>
      <c r="F48" s="39"/>
      <c r="G48" s="24"/>
      <c r="H48" s="24"/>
      <c r="I48" s="24"/>
      <c r="J48" s="24"/>
      <c r="K48" s="24"/>
    </row>
    <row r="49" ht="15.75" customHeight="1">
      <c r="A49" s="24"/>
      <c r="B49" s="24"/>
      <c r="C49" s="24"/>
      <c r="D49" s="24"/>
      <c r="E49" s="24"/>
      <c r="F49" s="39"/>
      <c r="G49" s="24"/>
      <c r="H49" s="24"/>
      <c r="I49" s="24"/>
      <c r="J49" s="24"/>
      <c r="K49" s="24"/>
    </row>
    <row r="50" ht="15.75" customHeight="1">
      <c r="A50" s="24"/>
      <c r="B50" s="24"/>
      <c r="C50" s="24"/>
      <c r="D50" s="24"/>
      <c r="E50" s="24"/>
      <c r="F50" s="39"/>
      <c r="G50" s="24"/>
      <c r="H50" s="24"/>
      <c r="I50" s="24"/>
      <c r="J50" s="24"/>
      <c r="K50" s="24"/>
    </row>
    <row r="51" ht="15.75" customHeight="1">
      <c r="A51" s="24"/>
      <c r="B51" s="24"/>
      <c r="C51" s="24"/>
      <c r="D51" s="24"/>
      <c r="E51" s="24"/>
      <c r="F51" s="39"/>
      <c r="G51" s="24"/>
      <c r="H51" s="24"/>
      <c r="I51" s="24"/>
      <c r="J51" s="24"/>
      <c r="K51" s="24"/>
    </row>
    <row r="52" ht="15.75" customHeight="1">
      <c r="A52" s="24"/>
      <c r="B52" s="24"/>
      <c r="C52" s="24"/>
      <c r="D52" s="24"/>
      <c r="E52" s="24"/>
      <c r="F52" s="39"/>
      <c r="G52" s="24"/>
      <c r="H52" s="24"/>
      <c r="I52" s="24"/>
      <c r="J52" s="24"/>
      <c r="K52" s="24"/>
    </row>
    <row r="53" ht="15.75" customHeight="1">
      <c r="A53" s="24"/>
      <c r="B53" s="24"/>
      <c r="C53" s="24"/>
      <c r="D53" s="24"/>
      <c r="E53" s="24"/>
      <c r="F53" s="39"/>
      <c r="G53" s="24"/>
      <c r="H53" s="24"/>
      <c r="I53" s="24"/>
      <c r="J53" s="24"/>
      <c r="K53" s="24"/>
    </row>
    <row r="54" ht="15.75" customHeight="1">
      <c r="A54" s="24"/>
      <c r="B54" s="24"/>
      <c r="C54" s="24"/>
      <c r="D54" s="24"/>
      <c r="E54" s="24"/>
      <c r="F54" s="39"/>
      <c r="G54" s="24"/>
      <c r="H54" s="24"/>
      <c r="I54" s="24"/>
      <c r="J54" s="24"/>
      <c r="K54" s="24"/>
    </row>
    <row r="55" ht="15.75" customHeight="1">
      <c r="A55" s="24"/>
      <c r="B55" s="24"/>
      <c r="C55" s="24"/>
      <c r="D55" s="24"/>
      <c r="E55" s="24"/>
      <c r="F55" s="39"/>
      <c r="G55" s="24"/>
      <c r="H55" s="24"/>
      <c r="I55" s="24"/>
      <c r="J55" s="24"/>
      <c r="K55" s="24"/>
    </row>
    <row r="56" ht="15.75" customHeight="1">
      <c r="A56" s="24"/>
      <c r="B56" s="24"/>
      <c r="C56" s="24"/>
      <c r="D56" s="24"/>
      <c r="E56" s="24"/>
      <c r="F56" s="39"/>
      <c r="G56" s="24"/>
      <c r="H56" s="24"/>
      <c r="I56" s="24"/>
      <c r="J56" s="24"/>
      <c r="K56" s="24"/>
    </row>
    <row r="57" ht="15.75" customHeight="1">
      <c r="A57" s="24"/>
      <c r="B57" s="24"/>
      <c r="C57" s="24"/>
      <c r="D57" s="24"/>
      <c r="E57" s="24"/>
      <c r="F57" s="39"/>
      <c r="G57" s="24"/>
      <c r="H57" s="24"/>
      <c r="I57" s="24"/>
      <c r="J57" s="24"/>
      <c r="K57" s="24"/>
    </row>
    <row r="58" ht="15.75" customHeight="1">
      <c r="A58" s="24"/>
      <c r="B58" s="24"/>
      <c r="C58" s="24"/>
      <c r="D58" s="24"/>
      <c r="E58" s="24"/>
      <c r="F58" s="39"/>
      <c r="G58" s="24"/>
      <c r="H58" s="24"/>
      <c r="I58" s="24"/>
      <c r="J58" s="24"/>
      <c r="K58" s="24"/>
    </row>
    <row r="59" ht="15.75" customHeight="1">
      <c r="A59" s="24"/>
      <c r="B59" s="24"/>
      <c r="C59" s="24"/>
      <c r="D59" s="24"/>
      <c r="E59" s="24"/>
      <c r="F59" s="39"/>
      <c r="G59" s="24"/>
      <c r="H59" s="24"/>
      <c r="I59" s="24"/>
      <c r="J59" s="24"/>
      <c r="K59" s="24"/>
    </row>
    <row r="60" ht="15.75" customHeight="1">
      <c r="A60" s="24"/>
      <c r="B60" s="24"/>
      <c r="C60" s="24"/>
      <c r="D60" s="24"/>
      <c r="E60" s="24"/>
      <c r="F60" s="39"/>
      <c r="G60" s="24"/>
      <c r="H60" s="24"/>
      <c r="I60" s="24"/>
      <c r="J60" s="24"/>
      <c r="K60" s="24"/>
    </row>
    <row r="61" ht="15.75" customHeight="1">
      <c r="A61" s="24"/>
      <c r="B61" s="24"/>
      <c r="C61" s="24"/>
      <c r="D61" s="24"/>
      <c r="E61" s="24"/>
      <c r="F61" s="39"/>
      <c r="G61" s="24"/>
      <c r="H61" s="24"/>
      <c r="I61" s="24"/>
      <c r="J61" s="24"/>
      <c r="K61" s="24"/>
    </row>
    <row r="62" ht="15.75" customHeight="1">
      <c r="A62" s="24"/>
      <c r="B62" s="24"/>
      <c r="C62" s="24"/>
      <c r="D62" s="24"/>
      <c r="E62" s="24"/>
      <c r="F62" s="39"/>
      <c r="G62" s="24"/>
      <c r="H62" s="24"/>
      <c r="I62" s="24"/>
      <c r="J62" s="24"/>
      <c r="K62" s="24"/>
    </row>
    <row r="63" ht="15.75" customHeight="1">
      <c r="A63" s="24"/>
      <c r="B63" s="24"/>
      <c r="C63" s="24"/>
      <c r="D63" s="24"/>
      <c r="E63" s="24"/>
      <c r="F63" s="39"/>
      <c r="G63" s="24"/>
      <c r="H63" s="24"/>
      <c r="I63" s="24"/>
      <c r="J63" s="24"/>
      <c r="K63" s="24"/>
    </row>
    <row r="64" ht="15.75" customHeight="1">
      <c r="A64" s="24"/>
      <c r="B64" s="24"/>
      <c r="C64" s="24"/>
      <c r="D64" s="24"/>
      <c r="E64" s="24"/>
      <c r="F64" s="39"/>
      <c r="G64" s="24"/>
      <c r="H64" s="24"/>
      <c r="I64" s="24"/>
      <c r="J64" s="24"/>
      <c r="K64" s="24"/>
    </row>
    <row r="65" ht="15.75" customHeight="1">
      <c r="A65" s="24"/>
      <c r="B65" s="24"/>
      <c r="C65" s="24"/>
      <c r="D65" s="24"/>
      <c r="E65" s="24"/>
      <c r="F65" s="39"/>
      <c r="G65" s="24"/>
      <c r="H65" s="24"/>
      <c r="I65" s="24"/>
      <c r="J65" s="24"/>
      <c r="K65" s="24"/>
    </row>
    <row r="66" ht="15.75" customHeight="1">
      <c r="A66" s="24"/>
      <c r="B66" s="24"/>
      <c r="C66" s="24"/>
      <c r="D66" s="24"/>
      <c r="E66" s="24"/>
      <c r="F66" s="39"/>
      <c r="G66" s="24"/>
      <c r="H66" s="24"/>
      <c r="I66" s="24"/>
      <c r="J66" s="24"/>
      <c r="K66" s="24"/>
    </row>
    <row r="67" ht="15.75" customHeight="1">
      <c r="A67" s="24"/>
      <c r="B67" s="24"/>
      <c r="C67" s="24"/>
      <c r="D67" s="24"/>
      <c r="E67" s="24"/>
      <c r="F67" s="39"/>
      <c r="G67" s="24"/>
      <c r="H67" s="24"/>
      <c r="I67" s="24"/>
      <c r="J67" s="24"/>
      <c r="K67" s="24"/>
    </row>
    <row r="68" ht="15.75" customHeight="1">
      <c r="A68" s="24"/>
      <c r="B68" s="24"/>
      <c r="C68" s="24"/>
      <c r="D68" s="24"/>
      <c r="E68" s="24"/>
      <c r="F68" s="39"/>
      <c r="G68" s="24"/>
      <c r="H68" s="24"/>
      <c r="I68" s="24"/>
      <c r="J68" s="24"/>
      <c r="K68" s="24"/>
    </row>
    <row r="69" ht="15.75" customHeight="1">
      <c r="A69" s="24"/>
      <c r="B69" s="24"/>
      <c r="C69" s="24"/>
      <c r="D69" s="24"/>
      <c r="E69" s="24"/>
      <c r="F69" s="39"/>
      <c r="G69" s="24"/>
      <c r="H69" s="24"/>
      <c r="I69" s="24"/>
      <c r="J69" s="24"/>
      <c r="K69" s="24"/>
    </row>
    <row r="70" ht="15.75" customHeight="1">
      <c r="A70" s="24"/>
      <c r="B70" s="24"/>
      <c r="C70" s="24"/>
      <c r="D70" s="24"/>
      <c r="E70" s="24"/>
      <c r="F70" s="39"/>
      <c r="G70" s="24"/>
      <c r="H70" s="24"/>
      <c r="I70" s="24"/>
      <c r="J70" s="24"/>
      <c r="K70" s="24"/>
    </row>
    <row r="71" ht="15.75" customHeight="1">
      <c r="A71" s="24"/>
      <c r="B71" s="24"/>
      <c r="C71" s="24"/>
      <c r="D71" s="24"/>
      <c r="E71" s="24"/>
      <c r="F71" s="39"/>
      <c r="G71" s="24"/>
      <c r="H71" s="24"/>
      <c r="I71" s="24"/>
      <c r="J71" s="24"/>
      <c r="K71" s="24"/>
    </row>
    <row r="72" ht="15.75" customHeight="1">
      <c r="A72" s="24"/>
      <c r="B72" s="24"/>
      <c r="C72" s="24"/>
      <c r="D72" s="24"/>
      <c r="E72" s="24"/>
      <c r="F72" s="39"/>
      <c r="G72" s="24"/>
      <c r="H72" s="24"/>
      <c r="I72" s="24"/>
      <c r="J72" s="24"/>
      <c r="K72" s="24"/>
    </row>
    <row r="73" ht="15.75" customHeight="1">
      <c r="A73" s="24"/>
      <c r="B73" s="24"/>
      <c r="C73" s="24"/>
      <c r="D73" s="24"/>
      <c r="E73" s="24"/>
      <c r="F73" s="39"/>
      <c r="G73" s="24"/>
      <c r="H73" s="24"/>
      <c r="I73" s="24"/>
      <c r="J73" s="24"/>
      <c r="K73" s="24"/>
    </row>
    <row r="74" ht="15.75" customHeight="1">
      <c r="A74" s="24"/>
      <c r="B74" s="24"/>
      <c r="C74" s="24"/>
      <c r="D74" s="24"/>
      <c r="E74" s="24"/>
      <c r="F74" s="39"/>
      <c r="G74" s="24"/>
      <c r="H74" s="24"/>
      <c r="I74" s="24"/>
      <c r="J74" s="24"/>
      <c r="K74" s="24"/>
    </row>
    <row r="75" ht="15.75" customHeight="1">
      <c r="A75" s="24"/>
      <c r="B75" s="24"/>
      <c r="C75" s="24"/>
      <c r="D75" s="24"/>
      <c r="E75" s="24"/>
      <c r="F75" s="39"/>
      <c r="G75" s="24"/>
      <c r="H75" s="24"/>
      <c r="I75" s="24"/>
      <c r="J75" s="24"/>
      <c r="K75" s="24"/>
    </row>
    <row r="76" ht="15.75" customHeight="1">
      <c r="A76" s="24"/>
      <c r="B76" s="24"/>
      <c r="C76" s="24"/>
      <c r="D76" s="24"/>
      <c r="E76" s="24"/>
      <c r="F76" s="39"/>
      <c r="G76" s="24"/>
      <c r="H76" s="24"/>
      <c r="I76" s="24"/>
      <c r="J76" s="24"/>
      <c r="K76" s="24"/>
    </row>
    <row r="77" ht="15.75" customHeight="1">
      <c r="A77" s="24"/>
      <c r="B77" s="24"/>
      <c r="C77" s="24"/>
      <c r="D77" s="24"/>
      <c r="E77" s="24"/>
      <c r="F77" s="39"/>
      <c r="G77" s="24"/>
      <c r="H77" s="24"/>
      <c r="I77" s="24"/>
      <c r="J77" s="24"/>
      <c r="K77" s="24"/>
    </row>
    <row r="78" ht="15.75" customHeight="1">
      <c r="A78" s="24"/>
      <c r="B78" s="24"/>
      <c r="C78" s="24"/>
      <c r="D78" s="24"/>
      <c r="E78" s="24"/>
      <c r="F78" s="39"/>
      <c r="G78" s="24"/>
      <c r="H78" s="24"/>
      <c r="I78" s="24"/>
      <c r="J78" s="24"/>
      <c r="K78" s="24"/>
    </row>
    <row r="79" ht="15.75" customHeight="1">
      <c r="A79" s="24"/>
      <c r="B79" s="24"/>
      <c r="C79" s="24"/>
      <c r="D79" s="24"/>
      <c r="E79" s="24"/>
      <c r="F79" s="39"/>
      <c r="G79" s="24"/>
      <c r="H79" s="24"/>
      <c r="I79" s="24"/>
      <c r="J79" s="24"/>
      <c r="K79" s="24"/>
    </row>
    <row r="80" ht="15.75" customHeight="1">
      <c r="A80" s="24"/>
      <c r="B80" s="24"/>
      <c r="C80" s="24"/>
      <c r="D80" s="24"/>
      <c r="E80" s="24"/>
      <c r="F80" s="39"/>
      <c r="G80" s="24"/>
      <c r="H80" s="24"/>
      <c r="I80" s="24"/>
      <c r="J80" s="24"/>
      <c r="K80" s="24"/>
    </row>
    <row r="81" ht="15.75" customHeight="1">
      <c r="A81" s="24"/>
      <c r="B81" s="24"/>
      <c r="C81" s="24"/>
      <c r="D81" s="24"/>
      <c r="E81" s="24"/>
      <c r="F81" s="39"/>
      <c r="G81" s="24"/>
      <c r="H81" s="24"/>
      <c r="I81" s="24"/>
      <c r="J81" s="24"/>
      <c r="K81" s="24"/>
    </row>
    <row r="82" ht="15.75" customHeight="1">
      <c r="A82" s="24"/>
      <c r="B82" s="24"/>
      <c r="C82" s="24"/>
      <c r="D82" s="24"/>
      <c r="E82" s="24"/>
      <c r="F82" s="39"/>
      <c r="G82" s="24"/>
      <c r="H82" s="24"/>
      <c r="I82" s="24"/>
      <c r="J82" s="24"/>
      <c r="K82" s="24"/>
    </row>
    <row r="83" ht="15.75" customHeight="1">
      <c r="A83" s="24"/>
      <c r="B83" s="24"/>
      <c r="C83" s="24"/>
      <c r="D83" s="24"/>
      <c r="E83" s="24"/>
      <c r="F83" s="39"/>
      <c r="G83" s="24"/>
      <c r="H83" s="24"/>
      <c r="I83" s="24"/>
      <c r="J83" s="24"/>
      <c r="K83" s="24"/>
    </row>
    <row r="84" ht="15.75" customHeight="1">
      <c r="A84" s="24"/>
      <c r="B84" s="24"/>
      <c r="C84" s="24"/>
      <c r="D84" s="24"/>
      <c r="E84" s="24"/>
      <c r="F84" s="39"/>
      <c r="G84" s="24"/>
      <c r="H84" s="24"/>
      <c r="I84" s="24"/>
      <c r="J84" s="24"/>
      <c r="K84" s="24"/>
    </row>
    <row r="85" ht="15.75" customHeight="1">
      <c r="A85" s="24"/>
      <c r="B85" s="24"/>
      <c r="C85" s="24"/>
      <c r="D85" s="24"/>
      <c r="E85" s="24"/>
      <c r="F85" s="39"/>
      <c r="G85" s="24"/>
      <c r="H85" s="24"/>
      <c r="I85" s="24"/>
      <c r="J85" s="24"/>
      <c r="K85" s="24"/>
    </row>
    <row r="86" ht="15.75" customHeight="1">
      <c r="A86" s="24"/>
      <c r="B86" s="24"/>
      <c r="C86" s="24"/>
      <c r="D86" s="24"/>
      <c r="E86" s="24"/>
      <c r="F86" s="39"/>
      <c r="G86" s="24"/>
      <c r="H86" s="24"/>
      <c r="I86" s="24"/>
      <c r="J86" s="24"/>
      <c r="K86" s="24"/>
    </row>
    <row r="87" ht="15.75" customHeight="1">
      <c r="A87" s="24"/>
      <c r="B87" s="24"/>
      <c r="C87" s="24"/>
      <c r="D87" s="24"/>
      <c r="E87" s="24"/>
      <c r="F87" s="39"/>
      <c r="G87" s="24"/>
      <c r="H87" s="24"/>
      <c r="I87" s="24"/>
      <c r="J87" s="24"/>
      <c r="K87" s="24"/>
    </row>
    <row r="88" ht="15.75" customHeight="1">
      <c r="A88" s="24"/>
      <c r="B88" s="24"/>
      <c r="C88" s="24"/>
      <c r="D88" s="24"/>
      <c r="E88" s="24"/>
      <c r="F88" s="39"/>
      <c r="G88" s="24"/>
      <c r="H88" s="24"/>
      <c r="I88" s="24"/>
      <c r="J88" s="24"/>
      <c r="K88" s="24"/>
    </row>
    <row r="89" ht="15.75" customHeight="1">
      <c r="A89" s="24"/>
      <c r="B89" s="24"/>
      <c r="C89" s="24"/>
      <c r="D89" s="24"/>
      <c r="E89" s="24"/>
      <c r="F89" s="39"/>
      <c r="G89" s="24"/>
      <c r="H89" s="24"/>
      <c r="I89" s="24"/>
      <c r="J89" s="24"/>
      <c r="K89" s="24"/>
    </row>
    <row r="90" ht="15.75" customHeight="1">
      <c r="A90" s="24"/>
      <c r="B90" s="24"/>
      <c r="C90" s="24"/>
      <c r="D90" s="24"/>
      <c r="E90" s="24"/>
      <c r="F90" s="39"/>
      <c r="G90" s="24"/>
      <c r="H90" s="24"/>
      <c r="I90" s="24"/>
      <c r="J90" s="24"/>
      <c r="K90" s="24"/>
    </row>
    <row r="91" ht="15.75" customHeight="1">
      <c r="A91" s="24"/>
      <c r="B91" s="24"/>
      <c r="C91" s="24"/>
      <c r="D91" s="24"/>
      <c r="E91" s="24"/>
      <c r="F91" s="39"/>
      <c r="G91" s="24"/>
      <c r="H91" s="24"/>
      <c r="I91" s="24"/>
      <c r="J91" s="24"/>
      <c r="K91" s="24"/>
    </row>
    <row r="92" ht="15.75" customHeight="1">
      <c r="A92" s="24"/>
      <c r="B92" s="24"/>
      <c r="C92" s="24"/>
      <c r="D92" s="24"/>
      <c r="E92" s="24"/>
      <c r="F92" s="39"/>
      <c r="G92" s="24"/>
      <c r="H92" s="24"/>
      <c r="I92" s="24"/>
      <c r="J92" s="24"/>
      <c r="K92" s="24"/>
    </row>
    <row r="93" ht="15.75" customHeight="1">
      <c r="A93" s="24"/>
      <c r="B93" s="24"/>
      <c r="C93" s="24"/>
      <c r="D93" s="24"/>
      <c r="E93" s="24"/>
      <c r="F93" s="39"/>
      <c r="G93" s="24"/>
      <c r="H93" s="24"/>
      <c r="I93" s="24"/>
      <c r="J93" s="24"/>
      <c r="K93" s="24"/>
    </row>
    <row r="94" ht="15.75" customHeight="1">
      <c r="A94" s="24"/>
      <c r="B94" s="24"/>
      <c r="C94" s="24"/>
      <c r="D94" s="24"/>
      <c r="E94" s="24"/>
      <c r="F94" s="39"/>
      <c r="G94" s="24"/>
      <c r="H94" s="24"/>
      <c r="I94" s="24"/>
      <c r="J94" s="24"/>
      <c r="K94" s="24"/>
    </row>
    <row r="95" ht="15.75" customHeight="1">
      <c r="A95" s="24"/>
      <c r="B95" s="24"/>
      <c r="C95" s="24"/>
      <c r="D95" s="24"/>
      <c r="E95" s="24"/>
      <c r="F95" s="39"/>
      <c r="G95" s="24"/>
      <c r="H95" s="24"/>
      <c r="I95" s="24"/>
      <c r="J95" s="24"/>
      <c r="K95" s="24"/>
    </row>
    <row r="96" ht="15.75" customHeight="1">
      <c r="A96" s="24"/>
      <c r="B96" s="24"/>
      <c r="C96" s="24"/>
      <c r="D96" s="24"/>
      <c r="E96" s="24"/>
      <c r="F96" s="39"/>
      <c r="G96" s="24"/>
      <c r="H96" s="24"/>
      <c r="I96" s="24"/>
      <c r="J96" s="24"/>
      <c r="K96" s="24"/>
    </row>
    <row r="97" ht="15.75" customHeight="1">
      <c r="A97" s="24"/>
      <c r="B97" s="24"/>
      <c r="C97" s="24"/>
      <c r="D97" s="24"/>
      <c r="E97" s="24"/>
      <c r="F97" s="39"/>
      <c r="G97" s="24"/>
      <c r="H97" s="24"/>
      <c r="I97" s="24"/>
      <c r="J97" s="24"/>
      <c r="K97" s="24"/>
    </row>
    <row r="98" ht="15.75" customHeight="1">
      <c r="A98" s="24"/>
      <c r="B98" s="24"/>
      <c r="C98" s="24"/>
      <c r="D98" s="24"/>
      <c r="E98" s="24"/>
      <c r="F98" s="39"/>
      <c r="G98" s="24"/>
      <c r="H98" s="24"/>
      <c r="I98" s="24"/>
      <c r="J98" s="24"/>
      <c r="K98" s="24"/>
    </row>
    <row r="99" ht="15.75" customHeight="1">
      <c r="A99" s="24"/>
      <c r="B99" s="24"/>
      <c r="C99" s="24"/>
      <c r="D99" s="24"/>
      <c r="E99" s="24"/>
      <c r="F99" s="39"/>
      <c r="G99" s="24"/>
      <c r="H99" s="24"/>
      <c r="I99" s="24"/>
      <c r="J99" s="24"/>
      <c r="K99" s="24"/>
    </row>
    <row r="100" ht="15.75" customHeight="1">
      <c r="A100" s="24"/>
      <c r="B100" s="24"/>
      <c r="C100" s="24"/>
      <c r="D100" s="24"/>
      <c r="E100" s="24"/>
      <c r="F100" s="39"/>
      <c r="G100" s="24"/>
      <c r="H100" s="24"/>
      <c r="I100" s="24"/>
      <c r="J100" s="24"/>
      <c r="K100" s="24"/>
    </row>
    <row r="101" ht="15.75" customHeight="1">
      <c r="A101" s="24"/>
      <c r="B101" s="24"/>
      <c r="C101" s="24"/>
      <c r="D101" s="24"/>
      <c r="E101" s="24"/>
      <c r="F101" s="39"/>
      <c r="G101" s="24"/>
      <c r="H101" s="24"/>
      <c r="I101" s="24"/>
      <c r="J101" s="24"/>
      <c r="K101" s="24"/>
    </row>
    <row r="102" ht="15.75" customHeight="1">
      <c r="A102" s="24"/>
      <c r="B102" s="24"/>
      <c r="C102" s="24"/>
      <c r="D102" s="24"/>
      <c r="E102" s="24"/>
      <c r="F102" s="39"/>
      <c r="G102" s="24"/>
      <c r="H102" s="24"/>
      <c r="I102" s="24"/>
      <c r="J102" s="24"/>
      <c r="K102" s="24"/>
    </row>
    <row r="103" ht="15.75" customHeight="1">
      <c r="A103" s="24"/>
      <c r="B103" s="24"/>
      <c r="C103" s="24"/>
      <c r="D103" s="24"/>
      <c r="E103" s="24"/>
      <c r="F103" s="39"/>
      <c r="G103" s="24"/>
      <c r="H103" s="24"/>
      <c r="I103" s="24"/>
      <c r="J103" s="24"/>
      <c r="K103" s="24"/>
    </row>
    <row r="104" ht="15.75" customHeight="1">
      <c r="A104" s="24"/>
      <c r="B104" s="24"/>
      <c r="C104" s="24"/>
      <c r="D104" s="24"/>
      <c r="E104" s="24"/>
      <c r="F104" s="39"/>
      <c r="G104" s="24"/>
      <c r="H104" s="24"/>
      <c r="I104" s="24"/>
      <c r="J104" s="24"/>
      <c r="K104" s="24"/>
    </row>
    <row r="105" ht="15.75" customHeight="1">
      <c r="A105" s="24"/>
      <c r="B105" s="24"/>
      <c r="C105" s="24"/>
      <c r="D105" s="24"/>
      <c r="E105" s="24"/>
      <c r="F105" s="39"/>
      <c r="G105" s="24"/>
      <c r="H105" s="24"/>
      <c r="I105" s="24"/>
      <c r="J105" s="24"/>
      <c r="K105" s="24"/>
    </row>
    <row r="106" ht="15.75" customHeight="1">
      <c r="A106" s="24"/>
      <c r="B106" s="24"/>
      <c r="C106" s="24"/>
      <c r="D106" s="24"/>
      <c r="E106" s="24"/>
      <c r="F106" s="39"/>
      <c r="G106" s="24"/>
      <c r="H106" s="24"/>
      <c r="I106" s="24"/>
      <c r="J106" s="24"/>
      <c r="K106" s="24"/>
    </row>
    <row r="107" ht="15.75" customHeight="1">
      <c r="A107" s="24"/>
      <c r="B107" s="24"/>
      <c r="C107" s="24"/>
      <c r="D107" s="24"/>
      <c r="E107" s="24"/>
      <c r="F107" s="39"/>
      <c r="G107" s="24"/>
      <c r="H107" s="24"/>
      <c r="I107" s="24"/>
      <c r="J107" s="24"/>
      <c r="K107" s="24"/>
    </row>
    <row r="108" ht="15.75" customHeight="1">
      <c r="A108" s="24"/>
      <c r="B108" s="24"/>
      <c r="C108" s="24"/>
      <c r="D108" s="24"/>
      <c r="E108" s="24"/>
      <c r="F108" s="39"/>
      <c r="G108" s="24"/>
      <c r="H108" s="24"/>
      <c r="I108" s="24"/>
      <c r="J108" s="24"/>
      <c r="K108" s="24"/>
    </row>
    <row r="109" ht="15.75" customHeight="1">
      <c r="A109" s="24"/>
      <c r="B109" s="24"/>
      <c r="C109" s="24"/>
      <c r="D109" s="24"/>
      <c r="E109" s="24"/>
      <c r="F109" s="39"/>
      <c r="G109" s="24"/>
      <c r="H109" s="24"/>
      <c r="I109" s="24"/>
      <c r="J109" s="24"/>
      <c r="K109" s="24"/>
    </row>
    <row r="110" ht="15.75" customHeight="1">
      <c r="A110" s="24"/>
      <c r="B110" s="24"/>
      <c r="C110" s="24"/>
      <c r="D110" s="24"/>
      <c r="E110" s="24"/>
      <c r="F110" s="39"/>
      <c r="G110" s="24"/>
      <c r="H110" s="24"/>
      <c r="I110" s="24"/>
      <c r="J110" s="24"/>
      <c r="K110" s="24"/>
    </row>
    <row r="111" ht="15.75" customHeight="1">
      <c r="A111" s="24"/>
      <c r="B111" s="24"/>
      <c r="C111" s="24"/>
      <c r="D111" s="24"/>
      <c r="E111" s="24"/>
      <c r="F111" s="39"/>
      <c r="G111" s="24"/>
      <c r="H111" s="24"/>
      <c r="I111" s="24"/>
      <c r="J111" s="24"/>
      <c r="K111" s="24"/>
    </row>
    <row r="112" ht="15.75" customHeight="1">
      <c r="A112" s="24"/>
      <c r="B112" s="24"/>
      <c r="C112" s="24"/>
      <c r="D112" s="24"/>
      <c r="E112" s="24"/>
      <c r="F112" s="39"/>
      <c r="G112" s="24"/>
      <c r="H112" s="24"/>
      <c r="I112" s="24"/>
      <c r="J112" s="24"/>
      <c r="K112" s="24"/>
    </row>
    <row r="113" ht="15.75" customHeight="1">
      <c r="A113" s="24"/>
      <c r="B113" s="24"/>
      <c r="C113" s="24"/>
      <c r="D113" s="24"/>
      <c r="E113" s="24"/>
      <c r="F113" s="39"/>
      <c r="G113" s="24"/>
      <c r="H113" s="24"/>
      <c r="I113" s="24"/>
      <c r="J113" s="24"/>
      <c r="K113" s="24"/>
    </row>
    <row r="114" ht="15.75" customHeight="1">
      <c r="A114" s="24"/>
      <c r="B114" s="24"/>
      <c r="C114" s="24"/>
      <c r="D114" s="24"/>
      <c r="E114" s="24"/>
      <c r="F114" s="39"/>
      <c r="G114" s="24"/>
      <c r="H114" s="24"/>
      <c r="I114" s="24"/>
      <c r="J114" s="24"/>
      <c r="K114" s="24"/>
    </row>
    <row r="115" ht="15.75" customHeight="1">
      <c r="A115" s="24"/>
      <c r="B115" s="24"/>
      <c r="C115" s="24"/>
      <c r="D115" s="24"/>
      <c r="E115" s="24"/>
      <c r="F115" s="39"/>
      <c r="G115" s="24"/>
      <c r="H115" s="24"/>
      <c r="I115" s="24"/>
      <c r="J115" s="24"/>
      <c r="K115" s="24"/>
    </row>
    <row r="116" ht="15.75" customHeight="1">
      <c r="A116" s="24"/>
      <c r="B116" s="24"/>
      <c r="C116" s="24"/>
      <c r="D116" s="24"/>
      <c r="E116" s="24"/>
      <c r="F116" s="39"/>
      <c r="G116" s="24"/>
      <c r="H116" s="24"/>
      <c r="I116" s="24"/>
      <c r="J116" s="24"/>
      <c r="K116" s="24"/>
    </row>
    <row r="117" ht="15.75" customHeight="1">
      <c r="A117" s="24"/>
      <c r="B117" s="24"/>
      <c r="C117" s="24"/>
      <c r="D117" s="24"/>
      <c r="E117" s="24"/>
      <c r="F117" s="39"/>
      <c r="G117" s="24"/>
      <c r="H117" s="24"/>
      <c r="I117" s="24"/>
      <c r="J117" s="24"/>
      <c r="K117" s="24"/>
    </row>
    <row r="118" ht="15.75" customHeight="1">
      <c r="A118" s="24"/>
      <c r="B118" s="24"/>
      <c r="C118" s="24"/>
      <c r="D118" s="24"/>
      <c r="E118" s="24"/>
      <c r="F118" s="39"/>
      <c r="G118" s="24"/>
      <c r="H118" s="24"/>
      <c r="I118" s="24"/>
      <c r="J118" s="24"/>
      <c r="K118" s="24"/>
    </row>
    <row r="119" ht="15.75" customHeight="1">
      <c r="A119" s="24"/>
      <c r="B119" s="24"/>
      <c r="C119" s="24"/>
      <c r="D119" s="24"/>
      <c r="E119" s="24"/>
      <c r="F119" s="39"/>
      <c r="G119" s="24"/>
      <c r="H119" s="24"/>
      <c r="I119" s="24"/>
      <c r="J119" s="24"/>
      <c r="K119" s="24"/>
    </row>
    <row r="120" ht="15.75" customHeight="1">
      <c r="A120" s="24"/>
      <c r="B120" s="24"/>
      <c r="C120" s="24"/>
      <c r="D120" s="24"/>
      <c r="E120" s="24"/>
      <c r="F120" s="39"/>
      <c r="G120" s="24"/>
      <c r="H120" s="24"/>
      <c r="I120" s="24"/>
      <c r="J120" s="24"/>
      <c r="K120" s="24"/>
    </row>
    <row r="121" ht="15.75" customHeight="1">
      <c r="A121" s="24"/>
      <c r="B121" s="24"/>
      <c r="C121" s="24"/>
      <c r="D121" s="24"/>
      <c r="E121" s="24"/>
      <c r="F121" s="39"/>
      <c r="G121" s="24"/>
      <c r="H121" s="24"/>
      <c r="I121" s="24"/>
      <c r="J121" s="24"/>
      <c r="K121" s="24"/>
    </row>
    <row r="122" ht="15.75" customHeight="1">
      <c r="A122" s="24"/>
      <c r="B122" s="24"/>
      <c r="C122" s="24"/>
      <c r="D122" s="24"/>
      <c r="E122" s="24"/>
      <c r="F122" s="39"/>
      <c r="G122" s="24"/>
      <c r="H122" s="24"/>
      <c r="I122" s="24"/>
      <c r="J122" s="24"/>
      <c r="K122" s="24"/>
    </row>
    <row r="123" ht="15.75" customHeight="1">
      <c r="A123" s="24"/>
      <c r="B123" s="24"/>
      <c r="C123" s="24"/>
      <c r="D123" s="24"/>
      <c r="E123" s="24"/>
      <c r="F123" s="39"/>
      <c r="G123" s="24"/>
      <c r="H123" s="24"/>
      <c r="I123" s="24"/>
      <c r="J123" s="24"/>
      <c r="K123" s="24"/>
    </row>
    <row r="124" ht="15.75" customHeight="1">
      <c r="A124" s="24"/>
      <c r="B124" s="24"/>
      <c r="C124" s="24"/>
      <c r="D124" s="24"/>
      <c r="E124" s="24"/>
      <c r="F124" s="39"/>
      <c r="G124" s="24"/>
      <c r="H124" s="24"/>
      <c r="I124" s="24"/>
      <c r="J124" s="24"/>
      <c r="K124" s="24"/>
    </row>
    <row r="125" ht="15.75" customHeight="1">
      <c r="A125" s="24"/>
      <c r="B125" s="24"/>
      <c r="C125" s="24"/>
      <c r="D125" s="24"/>
      <c r="E125" s="24"/>
      <c r="F125" s="39"/>
      <c r="G125" s="24"/>
      <c r="H125" s="24"/>
      <c r="I125" s="24"/>
      <c r="J125" s="24"/>
      <c r="K125" s="24"/>
    </row>
    <row r="126" ht="15.75" customHeight="1">
      <c r="A126" s="24"/>
      <c r="B126" s="24"/>
      <c r="C126" s="24"/>
      <c r="D126" s="24"/>
      <c r="E126" s="24"/>
      <c r="F126" s="39"/>
      <c r="G126" s="24"/>
      <c r="H126" s="24"/>
      <c r="I126" s="24"/>
      <c r="J126" s="24"/>
      <c r="K126" s="24"/>
    </row>
    <row r="127" ht="15.75" customHeight="1">
      <c r="A127" s="24"/>
      <c r="B127" s="24"/>
      <c r="C127" s="24"/>
      <c r="D127" s="24"/>
      <c r="E127" s="24"/>
      <c r="F127" s="39"/>
      <c r="G127" s="24"/>
      <c r="H127" s="24"/>
      <c r="I127" s="24"/>
      <c r="J127" s="24"/>
      <c r="K127" s="24"/>
    </row>
    <row r="128" ht="15.75" customHeight="1">
      <c r="A128" s="24"/>
      <c r="B128" s="24"/>
      <c r="C128" s="24"/>
      <c r="D128" s="24"/>
      <c r="E128" s="24"/>
      <c r="F128" s="39"/>
      <c r="G128" s="24"/>
      <c r="H128" s="24"/>
      <c r="I128" s="24"/>
      <c r="J128" s="24"/>
      <c r="K128" s="24"/>
    </row>
    <row r="129" ht="15.75" customHeight="1">
      <c r="A129" s="24"/>
      <c r="B129" s="24"/>
      <c r="C129" s="24"/>
      <c r="D129" s="24"/>
      <c r="E129" s="24"/>
      <c r="F129" s="39"/>
      <c r="G129" s="24"/>
      <c r="H129" s="24"/>
      <c r="I129" s="24"/>
      <c r="J129" s="24"/>
      <c r="K129" s="24"/>
    </row>
    <row r="130" ht="15.75" customHeight="1">
      <c r="A130" s="24"/>
      <c r="B130" s="24"/>
      <c r="C130" s="24"/>
      <c r="D130" s="24"/>
      <c r="E130" s="24"/>
      <c r="F130" s="39"/>
      <c r="G130" s="24"/>
      <c r="H130" s="24"/>
      <c r="I130" s="24"/>
      <c r="J130" s="24"/>
      <c r="K130" s="24"/>
    </row>
    <row r="131" ht="15.75" customHeight="1">
      <c r="A131" s="24"/>
      <c r="B131" s="24"/>
      <c r="C131" s="24"/>
      <c r="D131" s="24"/>
      <c r="E131" s="24"/>
      <c r="F131" s="39"/>
      <c r="G131" s="24"/>
      <c r="H131" s="24"/>
      <c r="I131" s="24"/>
      <c r="J131" s="24"/>
      <c r="K131" s="24"/>
    </row>
    <row r="132" ht="15.75" customHeight="1">
      <c r="A132" s="24"/>
      <c r="B132" s="24"/>
      <c r="C132" s="24"/>
      <c r="D132" s="24"/>
      <c r="E132" s="24"/>
      <c r="F132" s="39"/>
      <c r="G132" s="24"/>
      <c r="H132" s="24"/>
      <c r="I132" s="24"/>
      <c r="J132" s="24"/>
      <c r="K132" s="24"/>
    </row>
    <row r="133" ht="15.75" customHeight="1">
      <c r="A133" s="24"/>
      <c r="B133" s="24"/>
      <c r="C133" s="24"/>
      <c r="D133" s="24"/>
      <c r="E133" s="24"/>
      <c r="F133" s="39"/>
      <c r="G133" s="24"/>
      <c r="H133" s="24"/>
      <c r="I133" s="24"/>
      <c r="J133" s="24"/>
      <c r="K133" s="24"/>
    </row>
    <row r="134" ht="15.75" customHeight="1">
      <c r="A134" s="24"/>
      <c r="B134" s="24"/>
      <c r="C134" s="24"/>
      <c r="D134" s="24"/>
      <c r="E134" s="24"/>
      <c r="F134" s="39"/>
      <c r="G134" s="24"/>
      <c r="H134" s="24"/>
      <c r="I134" s="24"/>
      <c r="J134" s="24"/>
      <c r="K134" s="24"/>
    </row>
    <row r="135" ht="15.75" customHeight="1">
      <c r="A135" s="24"/>
      <c r="B135" s="24"/>
      <c r="C135" s="24"/>
      <c r="D135" s="24"/>
      <c r="E135" s="24"/>
      <c r="F135" s="39"/>
      <c r="G135" s="24"/>
      <c r="H135" s="24"/>
      <c r="I135" s="24"/>
      <c r="J135" s="24"/>
      <c r="K135" s="24"/>
    </row>
    <row r="136" ht="15.75" customHeight="1">
      <c r="A136" s="24"/>
      <c r="B136" s="24"/>
      <c r="C136" s="24"/>
      <c r="D136" s="24"/>
      <c r="E136" s="24"/>
      <c r="F136" s="39"/>
      <c r="G136" s="24"/>
      <c r="H136" s="24"/>
      <c r="I136" s="24"/>
      <c r="J136" s="24"/>
      <c r="K136" s="24"/>
    </row>
    <row r="137" ht="15.75" customHeight="1">
      <c r="A137" s="24"/>
      <c r="B137" s="24"/>
      <c r="C137" s="24"/>
      <c r="D137" s="24"/>
      <c r="E137" s="24"/>
      <c r="F137" s="39"/>
      <c r="G137" s="24"/>
      <c r="H137" s="24"/>
      <c r="I137" s="24"/>
      <c r="J137" s="24"/>
      <c r="K137" s="24"/>
    </row>
    <row r="138" ht="15.75" customHeight="1">
      <c r="A138" s="24"/>
      <c r="B138" s="24"/>
      <c r="C138" s="24"/>
      <c r="D138" s="24"/>
      <c r="E138" s="24"/>
      <c r="F138" s="39"/>
      <c r="G138" s="24"/>
      <c r="H138" s="24"/>
      <c r="I138" s="24"/>
      <c r="J138" s="24"/>
      <c r="K138" s="24"/>
    </row>
    <row r="139" ht="15.75" customHeight="1">
      <c r="A139" s="24"/>
      <c r="B139" s="24"/>
      <c r="C139" s="24"/>
      <c r="D139" s="24"/>
      <c r="E139" s="24"/>
      <c r="F139" s="39"/>
      <c r="G139" s="24"/>
      <c r="H139" s="24"/>
      <c r="I139" s="24"/>
      <c r="J139" s="24"/>
      <c r="K139" s="24"/>
    </row>
    <row r="140" ht="15.75" customHeight="1">
      <c r="A140" s="24"/>
      <c r="B140" s="24"/>
      <c r="C140" s="24"/>
      <c r="D140" s="24"/>
      <c r="E140" s="24"/>
      <c r="F140" s="39"/>
      <c r="G140" s="24"/>
      <c r="H140" s="24"/>
      <c r="I140" s="24"/>
      <c r="J140" s="24"/>
      <c r="K140" s="24"/>
    </row>
    <row r="141" ht="15.75" customHeight="1">
      <c r="A141" s="24"/>
      <c r="B141" s="24"/>
      <c r="C141" s="24"/>
      <c r="D141" s="24"/>
      <c r="E141" s="24"/>
      <c r="F141" s="39"/>
      <c r="G141" s="24"/>
      <c r="H141" s="24"/>
      <c r="I141" s="24"/>
      <c r="J141" s="24"/>
      <c r="K141" s="24"/>
    </row>
    <row r="142" ht="15.75" customHeight="1">
      <c r="A142" s="24"/>
      <c r="B142" s="24"/>
      <c r="C142" s="24"/>
      <c r="D142" s="24"/>
      <c r="E142" s="24"/>
      <c r="F142" s="39"/>
      <c r="G142" s="24"/>
      <c r="H142" s="24"/>
      <c r="I142" s="24"/>
      <c r="J142" s="24"/>
      <c r="K142" s="24"/>
    </row>
    <row r="143" ht="15.75" customHeight="1">
      <c r="A143" s="24"/>
      <c r="B143" s="24"/>
      <c r="C143" s="24"/>
      <c r="D143" s="24"/>
      <c r="E143" s="24"/>
      <c r="F143" s="39"/>
      <c r="G143" s="24"/>
      <c r="H143" s="24"/>
      <c r="I143" s="24"/>
      <c r="J143" s="24"/>
      <c r="K143" s="24"/>
    </row>
    <row r="144" ht="15.75" customHeight="1">
      <c r="A144" s="24"/>
      <c r="B144" s="24"/>
      <c r="C144" s="24"/>
      <c r="D144" s="24"/>
      <c r="E144" s="24"/>
      <c r="F144" s="39"/>
      <c r="G144" s="24"/>
      <c r="H144" s="24"/>
      <c r="I144" s="24"/>
      <c r="J144" s="24"/>
      <c r="K144" s="24"/>
    </row>
    <row r="145" ht="15.75" customHeight="1">
      <c r="A145" s="24"/>
      <c r="B145" s="24"/>
      <c r="C145" s="24"/>
      <c r="D145" s="24"/>
      <c r="E145" s="24"/>
      <c r="F145" s="39"/>
      <c r="G145" s="24"/>
      <c r="H145" s="24"/>
      <c r="I145" s="24"/>
      <c r="J145" s="24"/>
      <c r="K145" s="24"/>
    </row>
    <row r="146" ht="15.75" customHeight="1">
      <c r="A146" s="24"/>
      <c r="B146" s="24"/>
      <c r="C146" s="24"/>
      <c r="D146" s="24"/>
      <c r="E146" s="24"/>
      <c r="F146" s="39"/>
      <c r="G146" s="24"/>
      <c r="H146" s="24"/>
      <c r="I146" s="24"/>
      <c r="J146" s="24"/>
      <c r="K146" s="24"/>
    </row>
    <row r="147" ht="15.75" customHeight="1">
      <c r="A147" s="24"/>
      <c r="B147" s="24"/>
      <c r="C147" s="24"/>
      <c r="D147" s="24"/>
      <c r="E147" s="24"/>
      <c r="F147" s="39"/>
      <c r="G147" s="24"/>
      <c r="H147" s="24"/>
      <c r="I147" s="24"/>
      <c r="J147" s="24"/>
      <c r="K147" s="24"/>
    </row>
    <row r="148" ht="15.75" customHeight="1">
      <c r="A148" s="24"/>
      <c r="B148" s="24"/>
      <c r="C148" s="24"/>
      <c r="D148" s="24"/>
      <c r="E148" s="24"/>
      <c r="F148" s="39"/>
      <c r="G148" s="24"/>
      <c r="H148" s="24"/>
      <c r="I148" s="24"/>
      <c r="J148" s="24"/>
      <c r="K148" s="24"/>
    </row>
    <row r="149" ht="15.75" customHeight="1">
      <c r="A149" s="24"/>
      <c r="B149" s="24"/>
      <c r="C149" s="24"/>
      <c r="D149" s="24"/>
      <c r="E149" s="24"/>
      <c r="F149" s="39"/>
      <c r="G149" s="24"/>
      <c r="H149" s="24"/>
      <c r="I149" s="24"/>
      <c r="J149" s="24"/>
      <c r="K149" s="24"/>
    </row>
    <row r="150" ht="15.75" customHeight="1">
      <c r="A150" s="24"/>
      <c r="B150" s="24"/>
      <c r="C150" s="24"/>
      <c r="D150" s="24"/>
      <c r="E150" s="24"/>
      <c r="F150" s="39"/>
      <c r="G150" s="24"/>
      <c r="H150" s="24"/>
      <c r="I150" s="24"/>
      <c r="J150" s="24"/>
      <c r="K150" s="24"/>
    </row>
    <row r="151" ht="15.75" customHeight="1">
      <c r="A151" s="24"/>
      <c r="B151" s="24"/>
      <c r="C151" s="24"/>
      <c r="D151" s="24"/>
      <c r="E151" s="24"/>
      <c r="F151" s="39"/>
      <c r="G151" s="24"/>
      <c r="H151" s="24"/>
      <c r="I151" s="24"/>
      <c r="J151" s="24"/>
      <c r="K151" s="24"/>
    </row>
    <row r="152" ht="15.75" customHeight="1">
      <c r="A152" s="24"/>
      <c r="B152" s="24"/>
      <c r="C152" s="24"/>
      <c r="D152" s="24"/>
      <c r="E152" s="24"/>
      <c r="F152" s="39"/>
      <c r="G152" s="24"/>
      <c r="H152" s="24"/>
      <c r="I152" s="24"/>
      <c r="J152" s="24"/>
      <c r="K152" s="24"/>
    </row>
    <row r="153" ht="15.75" customHeight="1">
      <c r="A153" s="24"/>
      <c r="B153" s="24"/>
      <c r="C153" s="24"/>
      <c r="D153" s="24"/>
      <c r="E153" s="24"/>
      <c r="F153" s="39"/>
      <c r="G153" s="24"/>
      <c r="H153" s="24"/>
      <c r="I153" s="24"/>
      <c r="J153" s="24"/>
      <c r="K153" s="24"/>
    </row>
    <row r="154" ht="15.75" customHeight="1">
      <c r="A154" s="24"/>
      <c r="B154" s="24"/>
      <c r="C154" s="24"/>
      <c r="D154" s="24"/>
      <c r="E154" s="24"/>
      <c r="F154" s="39"/>
      <c r="G154" s="24"/>
      <c r="H154" s="24"/>
      <c r="I154" s="24"/>
      <c r="J154" s="24"/>
      <c r="K154" s="24"/>
    </row>
    <row r="155" ht="15.75" customHeight="1">
      <c r="A155" s="24"/>
      <c r="B155" s="24"/>
      <c r="C155" s="24"/>
      <c r="D155" s="24"/>
      <c r="E155" s="24"/>
      <c r="F155" s="39"/>
      <c r="G155" s="24"/>
      <c r="H155" s="24"/>
      <c r="I155" s="24"/>
      <c r="J155" s="24"/>
      <c r="K155" s="24"/>
    </row>
    <row r="156" ht="15.75" customHeight="1">
      <c r="A156" s="24"/>
      <c r="B156" s="24"/>
      <c r="C156" s="24"/>
      <c r="D156" s="24"/>
      <c r="E156" s="24"/>
      <c r="F156" s="39"/>
      <c r="G156" s="24"/>
      <c r="H156" s="24"/>
      <c r="I156" s="24"/>
      <c r="J156" s="24"/>
      <c r="K156" s="24"/>
    </row>
    <row r="157" ht="15.75" customHeight="1">
      <c r="A157" s="24"/>
      <c r="B157" s="24"/>
      <c r="C157" s="24"/>
      <c r="D157" s="24"/>
      <c r="E157" s="24"/>
      <c r="F157" s="39"/>
      <c r="G157" s="24"/>
      <c r="H157" s="24"/>
      <c r="I157" s="24"/>
      <c r="J157" s="24"/>
      <c r="K157" s="24"/>
    </row>
    <row r="158" ht="15.75" customHeight="1">
      <c r="A158" s="24"/>
      <c r="B158" s="24"/>
      <c r="C158" s="24"/>
      <c r="D158" s="24"/>
      <c r="E158" s="24"/>
      <c r="F158" s="39"/>
      <c r="G158" s="24"/>
      <c r="H158" s="24"/>
      <c r="I158" s="24"/>
      <c r="J158" s="24"/>
      <c r="K158" s="24"/>
    </row>
    <row r="159" ht="15.75" customHeight="1">
      <c r="A159" s="24"/>
      <c r="B159" s="24"/>
      <c r="C159" s="24"/>
      <c r="D159" s="24"/>
      <c r="E159" s="24"/>
      <c r="F159" s="39"/>
      <c r="G159" s="24"/>
      <c r="H159" s="24"/>
      <c r="I159" s="24"/>
      <c r="J159" s="24"/>
      <c r="K159" s="24"/>
    </row>
    <row r="160" ht="15.75" customHeight="1">
      <c r="A160" s="24"/>
      <c r="B160" s="24"/>
      <c r="C160" s="24"/>
      <c r="D160" s="24"/>
      <c r="E160" s="24"/>
      <c r="F160" s="39"/>
      <c r="G160" s="24"/>
      <c r="H160" s="24"/>
      <c r="I160" s="24"/>
      <c r="J160" s="24"/>
      <c r="K160" s="24"/>
    </row>
    <row r="161" ht="15.75" customHeight="1">
      <c r="A161" s="24"/>
      <c r="B161" s="24"/>
      <c r="C161" s="24"/>
      <c r="D161" s="24"/>
      <c r="E161" s="24"/>
      <c r="F161" s="39"/>
      <c r="G161" s="24"/>
      <c r="H161" s="24"/>
      <c r="I161" s="24"/>
      <c r="J161" s="24"/>
      <c r="K161" s="24"/>
    </row>
    <row r="162" ht="15.75" customHeight="1">
      <c r="A162" s="24"/>
      <c r="B162" s="24"/>
      <c r="C162" s="24"/>
      <c r="D162" s="24"/>
      <c r="E162" s="24"/>
      <c r="F162" s="39"/>
      <c r="G162" s="24"/>
      <c r="H162" s="24"/>
      <c r="I162" s="24"/>
      <c r="J162" s="24"/>
      <c r="K162" s="24"/>
    </row>
    <row r="163" ht="15.75" customHeight="1">
      <c r="A163" s="24"/>
      <c r="B163" s="24"/>
      <c r="C163" s="24"/>
      <c r="D163" s="24"/>
      <c r="E163" s="24"/>
      <c r="F163" s="39"/>
      <c r="G163" s="24"/>
      <c r="H163" s="24"/>
      <c r="I163" s="24"/>
      <c r="J163" s="24"/>
      <c r="K163" s="24"/>
    </row>
    <row r="164" ht="15.75" customHeight="1">
      <c r="A164" s="24"/>
      <c r="B164" s="24"/>
      <c r="C164" s="24"/>
      <c r="D164" s="24"/>
      <c r="E164" s="24"/>
      <c r="F164" s="39"/>
      <c r="G164" s="24"/>
      <c r="H164" s="24"/>
      <c r="I164" s="24"/>
      <c r="J164" s="24"/>
      <c r="K164" s="24"/>
    </row>
    <row r="165" ht="15.75" customHeight="1">
      <c r="A165" s="24"/>
      <c r="B165" s="24"/>
      <c r="C165" s="24"/>
      <c r="D165" s="24"/>
      <c r="E165" s="24"/>
      <c r="F165" s="39"/>
      <c r="G165" s="24"/>
      <c r="H165" s="24"/>
      <c r="I165" s="24"/>
      <c r="J165" s="24"/>
      <c r="K165" s="24"/>
    </row>
    <row r="166" ht="15.75" customHeight="1">
      <c r="A166" s="24"/>
      <c r="B166" s="24"/>
      <c r="C166" s="24"/>
      <c r="D166" s="24"/>
      <c r="E166" s="24"/>
      <c r="F166" s="39"/>
      <c r="G166" s="24"/>
      <c r="H166" s="24"/>
      <c r="I166" s="24"/>
      <c r="J166" s="24"/>
      <c r="K166" s="24"/>
    </row>
    <row r="167" ht="15.75" customHeight="1">
      <c r="A167" s="24"/>
      <c r="B167" s="24"/>
      <c r="C167" s="24"/>
      <c r="D167" s="24"/>
      <c r="E167" s="24"/>
      <c r="F167" s="39"/>
      <c r="G167" s="24"/>
      <c r="H167" s="24"/>
      <c r="I167" s="24"/>
      <c r="J167" s="24"/>
      <c r="K167" s="24"/>
    </row>
    <row r="168" ht="15.75" customHeight="1">
      <c r="A168" s="24"/>
      <c r="B168" s="24"/>
      <c r="C168" s="24"/>
      <c r="D168" s="24"/>
      <c r="E168" s="24"/>
      <c r="F168" s="39"/>
      <c r="G168" s="24"/>
      <c r="H168" s="24"/>
      <c r="I168" s="24"/>
      <c r="J168" s="24"/>
      <c r="K168" s="24"/>
    </row>
    <row r="169" ht="15.75" customHeight="1">
      <c r="A169" s="24"/>
      <c r="B169" s="24"/>
      <c r="C169" s="24"/>
      <c r="D169" s="24"/>
      <c r="E169" s="24"/>
      <c r="F169" s="39"/>
      <c r="G169" s="24"/>
      <c r="H169" s="24"/>
      <c r="I169" s="24"/>
      <c r="J169" s="24"/>
      <c r="K169" s="24"/>
    </row>
    <row r="170" ht="15.75" customHeight="1">
      <c r="A170" s="24"/>
      <c r="B170" s="24"/>
      <c r="C170" s="24"/>
      <c r="D170" s="24"/>
      <c r="E170" s="24"/>
      <c r="F170" s="39"/>
      <c r="G170" s="24"/>
      <c r="H170" s="24"/>
      <c r="I170" s="24"/>
      <c r="J170" s="24"/>
      <c r="K170" s="24"/>
    </row>
    <row r="171" ht="15.75" customHeight="1">
      <c r="A171" s="24"/>
      <c r="B171" s="24"/>
      <c r="C171" s="24"/>
      <c r="D171" s="24"/>
      <c r="E171" s="24"/>
      <c r="F171" s="39"/>
      <c r="G171" s="24"/>
      <c r="H171" s="24"/>
      <c r="I171" s="24"/>
      <c r="J171" s="24"/>
      <c r="K171" s="24"/>
    </row>
    <row r="172" ht="15.75" customHeight="1">
      <c r="A172" s="24"/>
      <c r="B172" s="24"/>
      <c r="C172" s="24"/>
      <c r="D172" s="24"/>
      <c r="E172" s="24"/>
      <c r="F172" s="39"/>
      <c r="G172" s="24"/>
      <c r="H172" s="24"/>
      <c r="I172" s="24"/>
      <c r="J172" s="24"/>
      <c r="K172" s="24"/>
    </row>
    <row r="173" ht="15.75" customHeight="1">
      <c r="A173" s="24"/>
      <c r="B173" s="24"/>
      <c r="C173" s="24"/>
      <c r="D173" s="24"/>
      <c r="E173" s="24"/>
      <c r="F173" s="39"/>
      <c r="G173" s="24"/>
      <c r="H173" s="24"/>
      <c r="I173" s="24"/>
      <c r="J173" s="24"/>
      <c r="K173" s="24"/>
    </row>
    <row r="174" ht="15.75" customHeight="1">
      <c r="A174" s="24"/>
      <c r="B174" s="24"/>
      <c r="C174" s="24"/>
      <c r="D174" s="24"/>
      <c r="E174" s="24"/>
      <c r="F174" s="39"/>
      <c r="G174" s="24"/>
      <c r="H174" s="24"/>
      <c r="I174" s="24"/>
      <c r="J174" s="24"/>
      <c r="K174" s="24"/>
    </row>
    <row r="175" ht="15.75" customHeight="1">
      <c r="A175" s="24"/>
      <c r="B175" s="24"/>
      <c r="C175" s="24"/>
      <c r="D175" s="24"/>
      <c r="E175" s="24"/>
      <c r="F175" s="39"/>
      <c r="G175" s="24"/>
      <c r="H175" s="24"/>
      <c r="I175" s="24"/>
      <c r="J175" s="24"/>
      <c r="K175" s="24"/>
    </row>
    <row r="176" ht="15.75" customHeight="1">
      <c r="A176" s="24"/>
      <c r="B176" s="24"/>
      <c r="C176" s="24"/>
      <c r="D176" s="24"/>
      <c r="E176" s="24"/>
      <c r="F176" s="39"/>
      <c r="G176" s="24"/>
      <c r="H176" s="24"/>
      <c r="I176" s="24"/>
      <c r="J176" s="24"/>
      <c r="K176" s="24"/>
    </row>
    <row r="177" ht="15.75" customHeight="1">
      <c r="A177" s="24"/>
      <c r="B177" s="24"/>
      <c r="C177" s="24"/>
      <c r="D177" s="24"/>
      <c r="E177" s="24"/>
      <c r="F177" s="39"/>
      <c r="G177" s="24"/>
      <c r="H177" s="24"/>
      <c r="I177" s="24"/>
      <c r="J177" s="24"/>
      <c r="K177" s="24"/>
    </row>
    <row r="178" ht="15.75" customHeight="1">
      <c r="A178" s="24"/>
      <c r="B178" s="24"/>
      <c r="C178" s="24"/>
      <c r="D178" s="24"/>
      <c r="E178" s="24"/>
      <c r="F178" s="39"/>
      <c r="G178" s="24"/>
      <c r="H178" s="24"/>
      <c r="I178" s="24"/>
      <c r="J178" s="24"/>
      <c r="K178" s="24"/>
    </row>
    <row r="179" ht="15.75" customHeight="1">
      <c r="A179" s="24"/>
      <c r="B179" s="24"/>
      <c r="C179" s="24"/>
      <c r="D179" s="24"/>
      <c r="E179" s="24"/>
      <c r="F179" s="39"/>
      <c r="G179" s="24"/>
      <c r="H179" s="24"/>
      <c r="I179" s="24"/>
      <c r="J179" s="24"/>
      <c r="K179" s="24"/>
    </row>
    <row r="180" ht="15.75" customHeight="1">
      <c r="A180" s="24"/>
      <c r="B180" s="24"/>
      <c r="C180" s="24"/>
      <c r="D180" s="24"/>
      <c r="E180" s="24"/>
      <c r="F180" s="39"/>
      <c r="G180" s="24"/>
      <c r="H180" s="24"/>
      <c r="I180" s="24"/>
      <c r="J180" s="24"/>
      <c r="K180" s="24"/>
    </row>
    <row r="181" ht="15.75" customHeight="1">
      <c r="A181" s="24"/>
      <c r="B181" s="24"/>
      <c r="C181" s="24"/>
      <c r="D181" s="24"/>
      <c r="E181" s="24"/>
      <c r="F181" s="39"/>
      <c r="G181" s="24"/>
      <c r="H181" s="24"/>
      <c r="I181" s="24"/>
      <c r="J181" s="24"/>
      <c r="K181" s="24"/>
    </row>
    <row r="182" ht="15.75" customHeight="1">
      <c r="A182" s="24"/>
      <c r="B182" s="24"/>
      <c r="C182" s="24"/>
      <c r="D182" s="24"/>
      <c r="E182" s="24"/>
      <c r="F182" s="39"/>
      <c r="G182" s="24"/>
      <c r="H182" s="24"/>
      <c r="I182" s="24"/>
      <c r="J182" s="24"/>
      <c r="K182" s="24"/>
    </row>
    <row r="183" ht="15.75" customHeight="1">
      <c r="A183" s="24"/>
      <c r="B183" s="24"/>
      <c r="C183" s="24"/>
      <c r="D183" s="24"/>
      <c r="E183" s="24"/>
      <c r="F183" s="39"/>
      <c r="G183" s="24"/>
      <c r="H183" s="24"/>
      <c r="I183" s="24"/>
      <c r="J183" s="24"/>
      <c r="K183" s="24"/>
    </row>
    <row r="184" ht="15.75" customHeight="1">
      <c r="A184" s="24"/>
      <c r="B184" s="24"/>
      <c r="C184" s="24"/>
      <c r="D184" s="24"/>
      <c r="E184" s="24"/>
      <c r="F184" s="39"/>
      <c r="G184" s="24"/>
      <c r="H184" s="24"/>
      <c r="I184" s="24"/>
      <c r="J184" s="24"/>
      <c r="K184" s="24"/>
    </row>
    <row r="185" ht="15.75" customHeight="1">
      <c r="A185" s="24"/>
      <c r="B185" s="24"/>
      <c r="C185" s="24"/>
      <c r="D185" s="24"/>
      <c r="E185" s="24"/>
      <c r="F185" s="39"/>
      <c r="G185" s="24"/>
      <c r="H185" s="24"/>
      <c r="I185" s="24"/>
      <c r="J185" s="24"/>
      <c r="K185" s="24"/>
    </row>
    <row r="186" ht="15.75" customHeight="1">
      <c r="A186" s="24"/>
      <c r="B186" s="24"/>
      <c r="C186" s="24"/>
      <c r="D186" s="24"/>
      <c r="E186" s="24"/>
      <c r="F186" s="39"/>
      <c r="G186" s="24"/>
      <c r="H186" s="24"/>
      <c r="I186" s="24"/>
      <c r="J186" s="24"/>
      <c r="K186" s="24"/>
    </row>
    <row r="187" ht="15.75" customHeight="1">
      <c r="F187" s="40"/>
    </row>
    <row r="188" ht="15.75" customHeight="1">
      <c r="F188" s="40"/>
    </row>
    <row r="189" ht="15.75" customHeight="1">
      <c r="F189" s="40"/>
    </row>
    <row r="190" ht="15.75" customHeight="1">
      <c r="F190" s="40"/>
    </row>
    <row r="191" ht="15.75" customHeight="1">
      <c r="F191" s="40"/>
    </row>
    <row r="192" ht="15.75" customHeight="1">
      <c r="F192" s="40"/>
    </row>
    <row r="193" ht="15.75" customHeight="1">
      <c r="F193" s="40"/>
    </row>
    <row r="194" ht="15.75" customHeight="1">
      <c r="F194" s="40"/>
    </row>
    <row r="195" ht="15.75" customHeight="1">
      <c r="F195" s="40"/>
    </row>
    <row r="196" ht="15.75" customHeight="1">
      <c r="F196" s="40"/>
    </row>
    <row r="197" ht="15.75" customHeight="1">
      <c r="F197" s="40"/>
    </row>
    <row r="198" ht="15.75" customHeight="1">
      <c r="F198" s="40"/>
    </row>
    <row r="199" ht="15.75" customHeight="1">
      <c r="F199" s="40"/>
    </row>
    <row r="200" ht="15.75" customHeight="1">
      <c r="F200" s="40"/>
    </row>
    <row r="201" ht="15.75" customHeight="1">
      <c r="F201" s="40"/>
    </row>
    <row r="202" ht="15.75" customHeight="1">
      <c r="F202" s="40"/>
    </row>
    <row r="203" ht="15.75" customHeight="1">
      <c r="F203" s="40"/>
    </row>
    <row r="204" ht="15.75" customHeight="1">
      <c r="F204" s="40"/>
    </row>
    <row r="205" ht="15.75" customHeight="1">
      <c r="F205" s="40"/>
    </row>
    <row r="206" ht="15.75" customHeight="1">
      <c r="F206" s="40"/>
    </row>
    <row r="207" ht="15.75" customHeight="1">
      <c r="F207" s="40"/>
    </row>
    <row r="208" ht="15.75" customHeight="1">
      <c r="F208" s="40"/>
    </row>
    <row r="209" ht="15.75" customHeight="1">
      <c r="F209" s="40"/>
    </row>
    <row r="210" ht="15.75" customHeight="1">
      <c r="F210" s="40"/>
    </row>
    <row r="211" ht="15.75" customHeight="1">
      <c r="F211" s="40"/>
    </row>
    <row r="212" ht="15.75" customHeight="1">
      <c r="F212" s="40"/>
    </row>
    <row r="213" ht="15.75" customHeight="1">
      <c r="F213" s="40"/>
    </row>
    <row r="214" ht="15.75" customHeight="1">
      <c r="F214" s="40"/>
    </row>
    <row r="215" ht="15.75" customHeight="1">
      <c r="F215" s="40"/>
    </row>
    <row r="216" ht="15.75" customHeight="1">
      <c r="F216" s="40"/>
    </row>
    <row r="217" ht="15.75" customHeight="1">
      <c r="F217" s="40"/>
    </row>
    <row r="218" ht="15.75" customHeight="1">
      <c r="F218" s="40"/>
    </row>
    <row r="219" ht="15.75" customHeight="1">
      <c r="F219" s="40"/>
    </row>
    <row r="220" ht="15.75" customHeight="1">
      <c r="F220" s="40"/>
    </row>
    <row r="221" ht="15.75" customHeight="1">
      <c r="F221" s="40"/>
    </row>
    <row r="222" ht="15.75" customHeight="1">
      <c r="F222" s="40"/>
    </row>
    <row r="223" ht="15.75" customHeight="1">
      <c r="F223" s="40"/>
    </row>
    <row r="224" ht="15.75" customHeight="1">
      <c r="F224" s="40"/>
    </row>
    <row r="225" ht="15.75" customHeight="1">
      <c r="F225" s="40"/>
    </row>
    <row r="226" ht="15.75" customHeight="1">
      <c r="F226" s="40"/>
    </row>
    <row r="227" ht="15.75" customHeight="1">
      <c r="F227" s="40"/>
    </row>
    <row r="228" ht="15.75" customHeight="1">
      <c r="F228" s="40"/>
    </row>
    <row r="229" ht="15.75" customHeight="1">
      <c r="F229" s="40"/>
    </row>
    <row r="230" ht="15.75" customHeight="1">
      <c r="F230" s="40"/>
    </row>
    <row r="231" ht="15.75" customHeight="1">
      <c r="F231" s="40"/>
    </row>
    <row r="232" ht="15.75" customHeight="1">
      <c r="F232" s="40"/>
    </row>
    <row r="233" ht="15.75" customHeight="1">
      <c r="F233" s="40"/>
    </row>
    <row r="234" ht="15.75" customHeight="1">
      <c r="F234" s="40"/>
    </row>
    <row r="235" ht="15.75" customHeight="1">
      <c r="F235" s="40"/>
    </row>
    <row r="236" ht="15.75" customHeight="1">
      <c r="F236" s="40"/>
    </row>
    <row r="237" ht="15.75" customHeight="1">
      <c r="F237" s="40"/>
    </row>
    <row r="238" ht="15.75" customHeight="1">
      <c r="F238" s="40"/>
    </row>
    <row r="239" ht="15.75" customHeight="1">
      <c r="F239" s="40"/>
    </row>
    <row r="240" ht="15.75" customHeight="1">
      <c r="F240" s="40"/>
    </row>
    <row r="241" ht="15.75" customHeight="1">
      <c r="F241" s="40"/>
    </row>
    <row r="242" ht="15.75" customHeight="1">
      <c r="F242" s="40"/>
    </row>
    <row r="243" ht="15.75" customHeight="1">
      <c r="F243" s="40"/>
    </row>
    <row r="244" ht="15.75" customHeight="1">
      <c r="F244" s="40"/>
    </row>
    <row r="245" ht="15.75" customHeight="1">
      <c r="F245" s="40"/>
    </row>
    <row r="246" ht="15.75" customHeight="1">
      <c r="F246" s="40"/>
    </row>
    <row r="247" ht="15.75" customHeight="1">
      <c r="F247" s="40"/>
    </row>
    <row r="248" ht="15.75" customHeight="1">
      <c r="F248" s="40"/>
    </row>
    <row r="249" ht="15.75" customHeight="1">
      <c r="F249" s="40"/>
    </row>
    <row r="250" ht="15.75" customHeight="1">
      <c r="F250" s="40"/>
    </row>
    <row r="251" ht="15.75" customHeight="1">
      <c r="F251" s="40"/>
    </row>
    <row r="252" ht="15.75" customHeight="1">
      <c r="F252" s="40"/>
    </row>
    <row r="253" ht="15.75" customHeight="1">
      <c r="F253" s="40"/>
    </row>
    <row r="254" ht="15.75" customHeight="1">
      <c r="F254" s="40"/>
    </row>
    <row r="255" ht="15.75" customHeight="1">
      <c r="F255" s="40"/>
    </row>
    <row r="256" ht="15.75" customHeight="1">
      <c r="F256" s="40"/>
    </row>
    <row r="257" ht="15.75" customHeight="1">
      <c r="F257" s="40"/>
    </row>
    <row r="258" ht="15.75" customHeight="1">
      <c r="F258" s="40"/>
    </row>
    <row r="259" ht="15.75" customHeight="1">
      <c r="F259" s="40"/>
    </row>
    <row r="260" ht="15.75" customHeight="1">
      <c r="F260" s="40"/>
    </row>
    <row r="261" ht="15.75" customHeight="1">
      <c r="F261" s="40"/>
    </row>
    <row r="262" ht="15.75" customHeight="1">
      <c r="F262" s="40"/>
    </row>
    <row r="263" ht="15.75" customHeight="1">
      <c r="F263" s="40"/>
    </row>
    <row r="264" ht="15.75" customHeight="1">
      <c r="F264" s="40"/>
    </row>
    <row r="265" ht="15.75" customHeight="1">
      <c r="F265" s="40"/>
    </row>
    <row r="266" ht="15.75" customHeight="1">
      <c r="F266" s="40"/>
    </row>
    <row r="267" ht="15.75" customHeight="1">
      <c r="F267" s="40"/>
    </row>
    <row r="268" ht="15.75" customHeight="1">
      <c r="F268" s="40"/>
    </row>
    <row r="269" ht="15.75" customHeight="1">
      <c r="F269" s="40"/>
    </row>
    <row r="270" ht="15.75" customHeight="1">
      <c r="F270" s="40"/>
    </row>
    <row r="271" ht="15.75" customHeight="1">
      <c r="F271" s="40"/>
    </row>
    <row r="272" ht="15.75" customHeight="1">
      <c r="F272" s="40"/>
    </row>
    <row r="273" ht="15.75" customHeight="1">
      <c r="F273" s="40"/>
    </row>
    <row r="274" ht="15.75" customHeight="1">
      <c r="F274" s="40"/>
    </row>
    <row r="275" ht="15.75" customHeight="1">
      <c r="F275" s="40"/>
    </row>
    <row r="276" ht="15.75" customHeight="1">
      <c r="F276" s="40"/>
    </row>
    <row r="277" ht="15.75" customHeight="1">
      <c r="F277" s="40"/>
    </row>
    <row r="278" ht="15.75" customHeight="1">
      <c r="F278" s="40"/>
    </row>
    <row r="279" ht="15.75" customHeight="1">
      <c r="F279" s="40"/>
    </row>
    <row r="280" ht="15.75" customHeight="1">
      <c r="F280" s="40"/>
    </row>
    <row r="281" ht="15.75" customHeight="1">
      <c r="F281" s="40"/>
    </row>
    <row r="282" ht="15.75" customHeight="1">
      <c r="F282" s="40"/>
    </row>
    <row r="283" ht="15.75" customHeight="1">
      <c r="F283" s="40"/>
    </row>
    <row r="284" ht="15.75" customHeight="1">
      <c r="F284" s="40"/>
    </row>
    <row r="285" ht="15.75" customHeight="1">
      <c r="F285" s="40"/>
    </row>
    <row r="286" ht="15.75" customHeight="1">
      <c r="F286" s="40"/>
    </row>
    <row r="287" ht="15.75" customHeight="1">
      <c r="F287" s="40"/>
    </row>
    <row r="288" ht="15.75" customHeight="1">
      <c r="F288" s="40"/>
    </row>
    <row r="289" ht="15.75" customHeight="1">
      <c r="F289" s="40"/>
    </row>
    <row r="290" ht="15.75" customHeight="1">
      <c r="F290" s="40"/>
    </row>
    <row r="291" ht="15.75" customHeight="1">
      <c r="F291" s="40"/>
    </row>
    <row r="292" ht="15.75" customHeight="1">
      <c r="F292" s="40"/>
    </row>
    <row r="293" ht="15.75" customHeight="1">
      <c r="F293" s="40"/>
    </row>
    <row r="294" ht="15.75" customHeight="1">
      <c r="F294" s="40"/>
    </row>
    <row r="295" ht="15.75" customHeight="1">
      <c r="F295" s="40"/>
    </row>
    <row r="296" ht="15.75" customHeight="1">
      <c r="F296" s="40"/>
    </row>
    <row r="297" ht="15.75" customHeight="1">
      <c r="F297" s="40"/>
    </row>
    <row r="298" ht="15.75" customHeight="1">
      <c r="F298" s="40"/>
    </row>
    <row r="299" ht="15.75" customHeight="1">
      <c r="F299" s="40"/>
    </row>
    <row r="300" ht="15.75" customHeight="1">
      <c r="F300" s="40"/>
    </row>
    <row r="301" ht="15.75" customHeight="1">
      <c r="F301" s="40"/>
    </row>
    <row r="302" ht="15.75" customHeight="1">
      <c r="F302" s="40"/>
    </row>
    <row r="303" ht="15.75" customHeight="1">
      <c r="F303" s="40"/>
    </row>
    <row r="304" ht="15.75" customHeight="1">
      <c r="F304" s="40"/>
    </row>
    <row r="305" ht="15.75" customHeight="1">
      <c r="F305" s="40"/>
    </row>
    <row r="306" ht="15.75" customHeight="1">
      <c r="F306" s="40"/>
    </row>
    <row r="307" ht="15.75" customHeight="1">
      <c r="F307" s="40"/>
    </row>
    <row r="308" ht="15.75" customHeight="1">
      <c r="F308" s="40"/>
    </row>
    <row r="309" ht="15.75" customHeight="1">
      <c r="F309" s="40"/>
    </row>
    <row r="310" ht="15.75" customHeight="1">
      <c r="F310" s="40"/>
    </row>
    <row r="311" ht="15.75" customHeight="1">
      <c r="F311" s="40"/>
    </row>
    <row r="312" ht="15.75" customHeight="1">
      <c r="F312" s="40"/>
    </row>
    <row r="313" ht="15.75" customHeight="1">
      <c r="F313" s="40"/>
    </row>
    <row r="314" ht="15.75" customHeight="1">
      <c r="F314" s="40"/>
    </row>
    <row r="315" ht="15.75" customHeight="1">
      <c r="F315" s="40"/>
    </row>
    <row r="316" ht="15.75" customHeight="1">
      <c r="F316" s="40"/>
    </row>
    <row r="317" ht="15.75" customHeight="1">
      <c r="F317" s="40"/>
    </row>
    <row r="318" ht="15.75" customHeight="1">
      <c r="F318" s="40"/>
    </row>
    <row r="319" ht="15.75" customHeight="1">
      <c r="F319" s="40"/>
    </row>
    <row r="320" ht="15.75" customHeight="1">
      <c r="F320" s="40"/>
    </row>
    <row r="321" ht="15.75" customHeight="1">
      <c r="F321" s="40"/>
    </row>
    <row r="322" ht="15.75" customHeight="1">
      <c r="F322" s="40"/>
    </row>
    <row r="323" ht="15.75" customHeight="1">
      <c r="F323" s="40"/>
    </row>
    <row r="324" ht="15.75" customHeight="1">
      <c r="F324" s="40"/>
    </row>
    <row r="325" ht="15.75" customHeight="1">
      <c r="F325" s="40"/>
    </row>
    <row r="326" ht="15.75" customHeight="1">
      <c r="F326" s="40"/>
    </row>
    <row r="327" ht="15.75" customHeight="1">
      <c r="F327" s="40"/>
    </row>
    <row r="328" ht="15.75" customHeight="1">
      <c r="F328" s="40"/>
    </row>
    <row r="329" ht="15.75" customHeight="1">
      <c r="F329" s="40"/>
    </row>
    <row r="330" ht="15.75" customHeight="1">
      <c r="F330" s="40"/>
    </row>
    <row r="331" ht="15.75" customHeight="1">
      <c r="F331" s="40"/>
    </row>
    <row r="332" ht="15.75" customHeight="1">
      <c r="F332" s="40"/>
    </row>
    <row r="333" ht="15.75" customHeight="1">
      <c r="F333" s="40"/>
    </row>
    <row r="334" ht="15.75" customHeight="1">
      <c r="F334" s="40"/>
    </row>
    <row r="335" ht="15.75" customHeight="1">
      <c r="F335" s="40"/>
    </row>
    <row r="336" ht="15.75" customHeight="1">
      <c r="F336" s="40"/>
    </row>
    <row r="337" ht="15.75" customHeight="1">
      <c r="F337" s="40"/>
    </row>
    <row r="338" ht="15.75" customHeight="1">
      <c r="F338" s="40"/>
    </row>
    <row r="339" ht="15.75" customHeight="1">
      <c r="F339" s="40"/>
    </row>
    <row r="340" ht="15.75" customHeight="1">
      <c r="F340" s="40"/>
    </row>
    <row r="341" ht="15.75" customHeight="1">
      <c r="F341" s="40"/>
    </row>
    <row r="342" ht="15.75" customHeight="1">
      <c r="F342" s="40"/>
    </row>
    <row r="343" ht="15.75" customHeight="1">
      <c r="F343" s="40"/>
    </row>
    <row r="344" ht="15.75" customHeight="1">
      <c r="F344" s="40"/>
    </row>
    <row r="345" ht="15.75" customHeight="1">
      <c r="F345" s="40"/>
    </row>
    <row r="346" ht="15.75" customHeight="1">
      <c r="F346" s="40"/>
    </row>
    <row r="347" ht="15.75" customHeight="1">
      <c r="F347" s="40"/>
    </row>
    <row r="348" ht="15.75" customHeight="1">
      <c r="F348" s="40"/>
    </row>
    <row r="349" ht="15.75" customHeight="1">
      <c r="F349" s="40"/>
    </row>
    <row r="350" ht="15.75" customHeight="1">
      <c r="F350" s="40"/>
    </row>
    <row r="351" ht="15.75" customHeight="1">
      <c r="F351" s="40"/>
    </row>
    <row r="352" ht="15.75" customHeight="1">
      <c r="F352" s="40"/>
    </row>
    <row r="353" ht="15.75" customHeight="1">
      <c r="F353" s="40"/>
    </row>
    <row r="354" ht="15.75" customHeight="1">
      <c r="F354" s="40"/>
    </row>
    <row r="355" ht="15.75" customHeight="1">
      <c r="F355" s="40"/>
    </row>
    <row r="356" ht="15.75" customHeight="1">
      <c r="F356" s="40"/>
    </row>
    <row r="357" ht="15.75" customHeight="1">
      <c r="F357" s="40"/>
    </row>
    <row r="358" ht="15.75" customHeight="1">
      <c r="F358" s="40"/>
    </row>
    <row r="359" ht="15.75" customHeight="1">
      <c r="F359" s="40"/>
    </row>
    <row r="360" ht="15.75" customHeight="1">
      <c r="F360" s="40"/>
    </row>
    <row r="361" ht="15.75" customHeight="1">
      <c r="F361" s="40"/>
    </row>
    <row r="362" ht="15.75" customHeight="1">
      <c r="F362" s="40"/>
    </row>
    <row r="363" ht="15.75" customHeight="1">
      <c r="F363" s="40"/>
    </row>
    <row r="364" ht="15.75" customHeight="1">
      <c r="F364" s="40"/>
    </row>
    <row r="365" ht="15.75" customHeight="1">
      <c r="F365" s="40"/>
    </row>
    <row r="366" ht="15.75" customHeight="1">
      <c r="F366" s="40"/>
    </row>
    <row r="367" ht="15.75" customHeight="1">
      <c r="F367" s="40"/>
    </row>
    <row r="368" ht="15.75" customHeight="1">
      <c r="F368" s="40"/>
    </row>
    <row r="369" ht="15.75" customHeight="1">
      <c r="F369" s="40"/>
    </row>
    <row r="370" ht="15.75" customHeight="1">
      <c r="F370" s="40"/>
    </row>
    <row r="371" ht="15.75" customHeight="1">
      <c r="F371" s="40"/>
    </row>
    <row r="372" ht="15.75" customHeight="1">
      <c r="F372" s="40"/>
    </row>
    <row r="373" ht="15.75" customHeight="1">
      <c r="F373" s="40"/>
    </row>
    <row r="374" ht="15.75" customHeight="1">
      <c r="F374" s="40"/>
    </row>
    <row r="375" ht="15.75" customHeight="1">
      <c r="F375" s="40"/>
    </row>
    <row r="376" ht="15.75" customHeight="1">
      <c r="F376" s="40"/>
    </row>
    <row r="377" ht="15.75" customHeight="1">
      <c r="F377" s="40"/>
    </row>
    <row r="378" ht="15.75" customHeight="1">
      <c r="F378" s="40"/>
    </row>
    <row r="379" ht="15.75" customHeight="1">
      <c r="F379" s="40"/>
    </row>
    <row r="380" ht="15.75" customHeight="1">
      <c r="F380" s="40"/>
    </row>
    <row r="381" ht="15.75" customHeight="1">
      <c r="F381" s="40"/>
    </row>
    <row r="382" ht="15.75" customHeight="1">
      <c r="F382" s="40"/>
    </row>
    <row r="383" ht="15.75" customHeight="1">
      <c r="F383" s="40"/>
    </row>
    <row r="384" ht="15.75" customHeight="1">
      <c r="F384" s="40"/>
    </row>
    <row r="385" ht="15.75" customHeight="1">
      <c r="F385" s="40"/>
    </row>
    <row r="386" ht="15.75" customHeight="1">
      <c r="F386" s="40"/>
    </row>
    <row r="387" ht="15.75" customHeight="1">
      <c r="F387" s="40"/>
    </row>
    <row r="388" ht="15.75" customHeight="1">
      <c r="F388" s="40"/>
    </row>
    <row r="389" ht="15.75" customHeight="1">
      <c r="F389" s="40"/>
    </row>
    <row r="390" ht="15.75" customHeight="1">
      <c r="F390" s="40"/>
    </row>
    <row r="391" ht="15.75" customHeight="1">
      <c r="F391" s="40"/>
    </row>
    <row r="392" ht="15.75" customHeight="1">
      <c r="F392" s="40"/>
    </row>
    <row r="393" ht="15.75" customHeight="1">
      <c r="F393" s="40"/>
    </row>
    <row r="394" ht="15.75" customHeight="1">
      <c r="F394" s="40"/>
    </row>
    <row r="395" ht="15.75" customHeight="1">
      <c r="F395" s="40"/>
    </row>
    <row r="396" ht="15.75" customHeight="1">
      <c r="F396" s="40"/>
    </row>
    <row r="397" ht="15.75" customHeight="1">
      <c r="F397" s="40"/>
    </row>
    <row r="398" ht="15.75" customHeight="1">
      <c r="F398" s="40"/>
    </row>
    <row r="399" ht="15.75" customHeight="1">
      <c r="F399" s="40"/>
    </row>
    <row r="400" ht="15.75" customHeight="1">
      <c r="F400" s="40"/>
    </row>
    <row r="401" ht="15.75" customHeight="1">
      <c r="F401" s="40"/>
    </row>
    <row r="402" ht="15.75" customHeight="1">
      <c r="F402" s="40"/>
    </row>
    <row r="403" ht="15.75" customHeight="1">
      <c r="F403" s="40"/>
    </row>
    <row r="404" ht="15.75" customHeight="1">
      <c r="F404" s="40"/>
    </row>
    <row r="405" ht="15.75" customHeight="1">
      <c r="F405" s="40"/>
    </row>
    <row r="406" ht="15.75" customHeight="1">
      <c r="F406" s="40"/>
    </row>
    <row r="407" ht="15.75" customHeight="1">
      <c r="F407" s="40"/>
    </row>
    <row r="408" ht="15.75" customHeight="1">
      <c r="F408" s="40"/>
    </row>
    <row r="409" ht="15.75" customHeight="1">
      <c r="F409" s="40"/>
    </row>
    <row r="410" ht="15.75" customHeight="1">
      <c r="F410" s="40"/>
    </row>
    <row r="411" ht="15.75" customHeight="1">
      <c r="F411" s="40"/>
    </row>
    <row r="412" ht="15.75" customHeight="1">
      <c r="F412" s="40"/>
    </row>
    <row r="413" ht="15.75" customHeight="1">
      <c r="F413" s="40"/>
    </row>
    <row r="414" ht="15.75" customHeight="1">
      <c r="F414" s="40"/>
    </row>
    <row r="415" ht="15.75" customHeight="1">
      <c r="F415" s="40"/>
    </row>
    <row r="416" ht="15.75" customHeight="1">
      <c r="F416" s="40"/>
    </row>
    <row r="417" ht="15.75" customHeight="1">
      <c r="F417" s="40"/>
    </row>
    <row r="418" ht="15.75" customHeight="1">
      <c r="F418" s="40"/>
    </row>
    <row r="419" ht="15.75" customHeight="1">
      <c r="F419" s="40"/>
    </row>
    <row r="420" ht="15.75" customHeight="1">
      <c r="F420" s="40"/>
    </row>
    <row r="421" ht="15.75" customHeight="1">
      <c r="F421" s="40"/>
    </row>
    <row r="422" ht="15.75" customHeight="1">
      <c r="F422" s="40"/>
    </row>
    <row r="423" ht="15.75" customHeight="1">
      <c r="F423" s="40"/>
    </row>
    <row r="424" ht="15.75" customHeight="1">
      <c r="F424" s="40"/>
    </row>
    <row r="425" ht="15.75" customHeight="1">
      <c r="F425" s="40"/>
    </row>
    <row r="426" ht="15.75" customHeight="1">
      <c r="F426" s="40"/>
    </row>
    <row r="427" ht="15.75" customHeight="1">
      <c r="F427" s="40"/>
    </row>
    <row r="428" ht="15.75" customHeight="1">
      <c r="F428" s="40"/>
    </row>
    <row r="429" ht="15.75" customHeight="1">
      <c r="F429" s="40"/>
    </row>
    <row r="430" ht="15.75" customHeight="1">
      <c r="F430" s="40"/>
    </row>
    <row r="431" ht="15.75" customHeight="1">
      <c r="F431" s="40"/>
    </row>
    <row r="432" ht="15.75" customHeight="1">
      <c r="F432" s="40"/>
    </row>
    <row r="433" ht="15.75" customHeight="1">
      <c r="F433" s="40"/>
    </row>
    <row r="434" ht="15.75" customHeight="1">
      <c r="F434" s="40"/>
    </row>
    <row r="435" ht="15.75" customHeight="1">
      <c r="F435" s="40"/>
    </row>
    <row r="436" ht="15.75" customHeight="1">
      <c r="F436" s="40"/>
    </row>
    <row r="437" ht="15.75" customHeight="1">
      <c r="F437" s="40"/>
    </row>
    <row r="438" ht="15.75" customHeight="1">
      <c r="F438" s="40"/>
    </row>
    <row r="439" ht="15.75" customHeight="1">
      <c r="F439" s="40"/>
    </row>
    <row r="440" ht="15.75" customHeight="1">
      <c r="F440" s="40"/>
    </row>
    <row r="441" ht="15.75" customHeight="1">
      <c r="F441" s="40"/>
    </row>
    <row r="442" ht="15.75" customHeight="1">
      <c r="F442" s="40"/>
    </row>
    <row r="443" ht="15.75" customHeight="1">
      <c r="F443" s="40"/>
    </row>
    <row r="444" ht="15.75" customHeight="1">
      <c r="F444" s="40"/>
    </row>
    <row r="445" ht="15.75" customHeight="1">
      <c r="F445" s="40"/>
    </row>
    <row r="446" ht="15.75" customHeight="1">
      <c r="F446" s="40"/>
    </row>
    <row r="447" ht="15.75" customHeight="1">
      <c r="F447" s="40"/>
    </row>
    <row r="448" ht="15.75" customHeight="1">
      <c r="F448" s="40"/>
    </row>
    <row r="449" ht="15.75" customHeight="1">
      <c r="F449" s="40"/>
    </row>
    <row r="450" ht="15.75" customHeight="1">
      <c r="F450" s="40"/>
    </row>
    <row r="451" ht="15.75" customHeight="1">
      <c r="F451" s="40"/>
    </row>
    <row r="452" ht="15.75" customHeight="1">
      <c r="F452" s="40"/>
    </row>
    <row r="453" ht="15.75" customHeight="1">
      <c r="F453" s="40"/>
    </row>
    <row r="454" ht="15.75" customHeight="1">
      <c r="F454" s="40"/>
    </row>
    <row r="455" ht="15.75" customHeight="1">
      <c r="F455" s="40"/>
    </row>
    <row r="456" ht="15.75" customHeight="1">
      <c r="F456" s="40"/>
    </row>
    <row r="457" ht="15.75" customHeight="1">
      <c r="F457" s="40"/>
    </row>
    <row r="458" ht="15.75" customHeight="1">
      <c r="F458" s="40"/>
    </row>
    <row r="459" ht="15.75" customHeight="1">
      <c r="F459" s="40"/>
    </row>
    <row r="460" ht="15.75" customHeight="1">
      <c r="F460" s="40"/>
    </row>
    <row r="461" ht="15.75" customHeight="1">
      <c r="F461" s="40"/>
    </row>
    <row r="462" ht="15.75" customHeight="1">
      <c r="F462" s="40"/>
    </row>
    <row r="463" ht="15.75" customHeight="1">
      <c r="F463" s="40"/>
    </row>
    <row r="464" ht="15.75" customHeight="1">
      <c r="F464" s="40"/>
    </row>
    <row r="465" ht="15.75" customHeight="1">
      <c r="F465" s="40"/>
    </row>
    <row r="466" ht="15.75" customHeight="1">
      <c r="F466" s="40"/>
    </row>
    <row r="467" ht="15.75" customHeight="1">
      <c r="F467" s="40"/>
    </row>
    <row r="468" ht="15.75" customHeight="1">
      <c r="F468" s="40"/>
    </row>
    <row r="469" ht="15.75" customHeight="1">
      <c r="F469" s="40"/>
    </row>
    <row r="470" ht="15.75" customHeight="1">
      <c r="F470" s="40"/>
    </row>
    <row r="471" ht="15.75" customHeight="1">
      <c r="F471" s="40"/>
    </row>
    <row r="472" ht="15.75" customHeight="1">
      <c r="F472" s="40"/>
    </row>
    <row r="473" ht="15.75" customHeight="1">
      <c r="F473" s="40"/>
    </row>
    <row r="474" ht="15.75" customHeight="1">
      <c r="F474" s="40"/>
    </row>
    <row r="475" ht="15.75" customHeight="1">
      <c r="F475" s="40"/>
    </row>
    <row r="476" ht="15.75" customHeight="1">
      <c r="F476" s="40"/>
    </row>
    <row r="477" ht="15.75" customHeight="1">
      <c r="F477" s="40"/>
    </row>
    <row r="478" ht="15.75" customHeight="1">
      <c r="F478" s="40"/>
    </row>
    <row r="479" ht="15.75" customHeight="1">
      <c r="F479" s="40"/>
    </row>
    <row r="480" ht="15.75" customHeight="1">
      <c r="F480" s="40"/>
    </row>
    <row r="481" ht="15.75" customHeight="1">
      <c r="F481" s="40"/>
    </row>
    <row r="482" ht="15.75" customHeight="1">
      <c r="F482" s="40"/>
    </row>
    <row r="483" ht="15.75" customHeight="1">
      <c r="F483" s="40"/>
    </row>
    <row r="484" ht="15.75" customHeight="1">
      <c r="F484" s="40"/>
    </row>
    <row r="485" ht="15.75" customHeight="1">
      <c r="F485" s="40"/>
    </row>
    <row r="486" ht="15.75" customHeight="1">
      <c r="F486" s="40"/>
    </row>
    <row r="487" ht="15.75" customHeight="1">
      <c r="F487" s="40"/>
    </row>
    <row r="488" ht="15.75" customHeight="1">
      <c r="F488" s="40"/>
    </row>
    <row r="489" ht="15.75" customHeight="1">
      <c r="F489" s="40"/>
    </row>
    <row r="490" ht="15.75" customHeight="1">
      <c r="F490" s="40"/>
    </row>
    <row r="491" ht="15.75" customHeight="1">
      <c r="F491" s="40"/>
    </row>
    <row r="492" ht="15.75" customHeight="1">
      <c r="F492" s="40"/>
    </row>
    <row r="493" ht="15.75" customHeight="1">
      <c r="F493" s="40"/>
    </row>
    <row r="494" ht="15.75" customHeight="1">
      <c r="F494" s="40"/>
    </row>
    <row r="495" ht="15.75" customHeight="1">
      <c r="F495" s="40"/>
    </row>
    <row r="496" ht="15.75" customHeight="1">
      <c r="F496" s="40"/>
    </row>
    <row r="497" ht="15.75" customHeight="1">
      <c r="F497" s="40"/>
    </row>
    <row r="498" ht="15.75" customHeight="1">
      <c r="F498" s="40"/>
    </row>
    <row r="499" ht="15.75" customHeight="1">
      <c r="F499" s="40"/>
    </row>
    <row r="500" ht="15.75" customHeight="1">
      <c r="F500" s="40"/>
    </row>
    <row r="501" ht="15.75" customHeight="1">
      <c r="F501" s="40"/>
    </row>
    <row r="502" ht="15.75" customHeight="1">
      <c r="F502" s="40"/>
    </row>
    <row r="503" ht="15.75" customHeight="1">
      <c r="F503" s="40"/>
    </row>
    <row r="504" ht="15.75" customHeight="1">
      <c r="F504" s="40"/>
    </row>
    <row r="505" ht="15.75" customHeight="1">
      <c r="F505" s="40"/>
    </row>
    <row r="506" ht="15.75" customHeight="1">
      <c r="F506" s="40"/>
    </row>
    <row r="507" ht="15.75" customHeight="1">
      <c r="F507" s="40"/>
    </row>
    <row r="508" ht="15.75" customHeight="1">
      <c r="F508" s="40"/>
    </row>
    <row r="509" ht="15.75" customHeight="1">
      <c r="F509" s="40"/>
    </row>
    <row r="510" ht="15.75" customHeight="1">
      <c r="F510" s="40"/>
    </row>
    <row r="511" ht="15.75" customHeight="1">
      <c r="F511" s="40"/>
    </row>
    <row r="512" ht="15.75" customHeight="1">
      <c r="F512" s="40"/>
    </row>
    <row r="513" ht="15.75" customHeight="1">
      <c r="F513" s="40"/>
    </row>
    <row r="514" ht="15.75" customHeight="1">
      <c r="F514" s="40"/>
    </row>
    <row r="515" ht="15.75" customHeight="1">
      <c r="F515" s="40"/>
    </row>
    <row r="516" ht="15.75" customHeight="1">
      <c r="F516" s="40"/>
    </row>
    <row r="517" ht="15.75" customHeight="1">
      <c r="F517" s="40"/>
    </row>
    <row r="518" ht="15.75" customHeight="1">
      <c r="F518" s="40"/>
    </row>
    <row r="519" ht="15.75" customHeight="1">
      <c r="F519" s="40"/>
    </row>
    <row r="520" ht="15.75" customHeight="1">
      <c r="F520" s="40"/>
    </row>
    <row r="521" ht="15.75" customHeight="1">
      <c r="F521" s="40"/>
    </row>
    <row r="522" ht="15.75" customHeight="1">
      <c r="F522" s="40"/>
    </row>
    <row r="523" ht="15.75" customHeight="1">
      <c r="F523" s="40"/>
    </row>
    <row r="524" ht="15.75" customHeight="1">
      <c r="F524" s="40"/>
    </row>
    <row r="525" ht="15.75" customHeight="1">
      <c r="F525" s="40"/>
    </row>
    <row r="526" ht="15.75" customHeight="1">
      <c r="F526" s="40"/>
    </row>
    <row r="527" ht="15.75" customHeight="1">
      <c r="F527" s="40"/>
    </row>
    <row r="528" ht="15.75" customHeight="1">
      <c r="F528" s="40"/>
    </row>
    <row r="529" ht="15.75" customHeight="1">
      <c r="F529" s="40"/>
    </row>
    <row r="530" ht="15.75" customHeight="1">
      <c r="F530" s="40"/>
    </row>
    <row r="531" ht="15.75" customHeight="1">
      <c r="F531" s="40"/>
    </row>
    <row r="532" ht="15.75" customHeight="1">
      <c r="F532" s="40"/>
    </row>
    <row r="533" ht="15.75" customHeight="1">
      <c r="F533" s="40"/>
    </row>
    <row r="534" ht="15.75" customHeight="1">
      <c r="F534" s="40"/>
    </row>
    <row r="535" ht="15.75" customHeight="1">
      <c r="F535" s="40"/>
    </row>
    <row r="536" ht="15.75" customHeight="1">
      <c r="F536" s="40"/>
    </row>
    <row r="537" ht="15.75" customHeight="1">
      <c r="F537" s="40"/>
    </row>
    <row r="538" ht="15.75" customHeight="1">
      <c r="F538" s="40"/>
    </row>
    <row r="539" ht="15.75" customHeight="1">
      <c r="F539" s="40"/>
    </row>
    <row r="540" ht="15.75" customHeight="1">
      <c r="F540" s="40"/>
    </row>
    <row r="541" ht="15.75" customHeight="1">
      <c r="F541" s="40"/>
    </row>
    <row r="542" ht="15.75" customHeight="1">
      <c r="F542" s="40"/>
    </row>
    <row r="543" ht="15.75" customHeight="1">
      <c r="F543" s="40"/>
    </row>
    <row r="544" ht="15.75" customHeight="1">
      <c r="F544" s="40"/>
    </row>
    <row r="545" ht="15.75" customHeight="1">
      <c r="F545" s="40"/>
    </row>
    <row r="546" ht="15.75" customHeight="1">
      <c r="F546" s="40"/>
    </row>
    <row r="547" ht="15.75" customHeight="1">
      <c r="F547" s="40"/>
    </row>
    <row r="548" ht="15.75" customHeight="1">
      <c r="F548" s="40"/>
    </row>
    <row r="549" ht="15.75" customHeight="1">
      <c r="F549" s="40"/>
    </row>
    <row r="550" ht="15.75" customHeight="1">
      <c r="F550" s="40"/>
    </row>
    <row r="551" ht="15.75" customHeight="1">
      <c r="F551" s="40"/>
    </row>
    <row r="552" ht="15.75" customHeight="1">
      <c r="F552" s="40"/>
    </row>
    <row r="553" ht="15.75" customHeight="1">
      <c r="F553" s="40"/>
    </row>
    <row r="554" ht="15.75" customHeight="1">
      <c r="F554" s="40"/>
    </row>
    <row r="555" ht="15.75" customHeight="1">
      <c r="F555" s="40"/>
    </row>
    <row r="556" ht="15.75" customHeight="1">
      <c r="F556" s="40"/>
    </row>
    <row r="557" ht="15.75" customHeight="1">
      <c r="F557" s="40"/>
    </row>
    <row r="558" ht="15.75" customHeight="1">
      <c r="F558" s="40"/>
    </row>
    <row r="559" ht="15.75" customHeight="1">
      <c r="F559" s="40"/>
    </row>
    <row r="560" ht="15.75" customHeight="1">
      <c r="F560" s="40"/>
    </row>
    <row r="561" ht="15.75" customHeight="1">
      <c r="F561" s="40"/>
    </row>
    <row r="562" ht="15.75" customHeight="1">
      <c r="F562" s="40"/>
    </row>
    <row r="563" ht="15.75" customHeight="1">
      <c r="F563" s="40"/>
    </row>
    <row r="564" ht="15.75" customHeight="1">
      <c r="F564" s="40"/>
    </row>
    <row r="565" ht="15.75" customHeight="1">
      <c r="F565" s="40"/>
    </row>
    <row r="566" ht="15.75" customHeight="1">
      <c r="F566" s="40"/>
    </row>
    <row r="567" ht="15.75" customHeight="1">
      <c r="F567" s="40"/>
    </row>
    <row r="568" ht="15.75" customHeight="1">
      <c r="F568" s="40"/>
    </row>
    <row r="569" ht="15.75" customHeight="1">
      <c r="F569" s="40"/>
    </row>
    <row r="570" ht="15.75" customHeight="1">
      <c r="F570" s="40"/>
    </row>
    <row r="571" ht="15.75" customHeight="1">
      <c r="F571" s="40"/>
    </row>
    <row r="572" ht="15.75" customHeight="1">
      <c r="F572" s="40"/>
    </row>
    <row r="573" ht="15.75" customHeight="1">
      <c r="F573" s="40"/>
    </row>
    <row r="574" ht="15.75" customHeight="1">
      <c r="F574" s="40"/>
    </row>
    <row r="575" ht="15.75" customHeight="1">
      <c r="F575" s="40"/>
    </row>
    <row r="576" ht="15.75" customHeight="1">
      <c r="F576" s="40"/>
    </row>
    <row r="577" ht="15.75" customHeight="1">
      <c r="F577" s="40"/>
    </row>
    <row r="578" ht="15.75" customHeight="1">
      <c r="F578" s="40"/>
    </row>
    <row r="579" ht="15.75" customHeight="1">
      <c r="F579" s="40"/>
    </row>
    <row r="580" ht="15.75" customHeight="1">
      <c r="F580" s="40"/>
    </row>
    <row r="581" ht="15.75" customHeight="1">
      <c r="F581" s="40"/>
    </row>
    <row r="582" ht="15.75" customHeight="1">
      <c r="F582" s="40"/>
    </row>
    <row r="583" ht="15.75" customHeight="1">
      <c r="F583" s="40"/>
    </row>
    <row r="584" ht="15.75" customHeight="1">
      <c r="F584" s="40"/>
    </row>
    <row r="585" ht="15.75" customHeight="1">
      <c r="F585" s="40"/>
    </row>
    <row r="586" ht="15.75" customHeight="1">
      <c r="F586" s="40"/>
    </row>
    <row r="587" ht="15.75" customHeight="1">
      <c r="F587" s="40"/>
    </row>
    <row r="588" ht="15.75" customHeight="1">
      <c r="F588" s="40"/>
    </row>
    <row r="589" ht="15.75" customHeight="1">
      <c r="F589" s="40"/>
    </row>
    <row r="590" ht="15.75" customHeight="1">
      <c r="F590" s="40"/>
    </row>
    <row r="591" ht="15.75" customHeight="1">
      <c r="F591" s="40"/>
    </row>
    <row r="592" ht="15.75" customHeight="1">
      <c r="F592" s="40"/>
    </row>
    <row r="593" ht="15.75" customHeight="1">
      <c r="F593" s="40"/>
    </row>
    <row r="594" ht="15.75" customHeight="1">
      <c r="F594" s="40"/>
    </row>
    <row r="595" ht="15.75" customHeight="1">
      <c r="F595" s="40"/>
    </row>
    <row r="596" ht="15.75" customHeight="1">
      <c r="F596" s="40"/>
    </row>
    <row r="597" ht="15.75" customHeight="1">
      <c r="F597" s="40"/>
    </row>
    <row r="598" ht="15.75" customHeight="1">
      <c r="F598" s="40"/>
    </row>
    <row r="599" ht="15.75" customHeight="1">
      <c r="F599" s="40"/>
    </row>
    <row r="600" ht="15.75" customHeight="1">
      <c r="F600" s="40"/>
    </row>
    <row r="601" ht="15.75" customHeight="1">
      <c r="F601" s="40"/>
    </row>
    <row r="602" ht="15.75" customHeight="1">
      <c r="F602" s="40"/>
    </row>
    <row r="603" ht="15.75" customHeight="1">
      <c r="F603" s="40"/>
    </row>
    <row r="604" ht="15.75" customHeight="1">
      <c r="F604" s="40"/>
    </row>
    <row r="605" ht="15.75" customHeight="1">
      <c r="F605" s="40"/>
    </row>
    <row r="606" ht="15.75" customHeight="1">
      <c r="F606" s="40"/>
    </row>
    <row r="607" ht="15.75" customHeight="1">
      <c r="F607" s="40"/>
    </row>
    <row r="608" ht="15.75" customHeight="1">
      <c r="F608" s="40"/>
    </row>
    <row r="609" ht="15.75" customHeight="1">
      <c r="F609" s="40"/>
    </row>
    <row r="610" ht="15.75" customHeight="1">
      <c r="F610" s="40"/>
    </row>
    <row r="611" ht="15.75" customHeight="1">
      <c r="F611" s="40"/>
    </row>
    <row r="612" ht="15.75" customHeight="1">
      <c r="F612" s="40"/>
    </row>
    <row r="613" ht="15.75" customHeight="1">
      <c r="F613" s="40"/>
    </row>
    <row r="614" ht="15.75" customHeight="1">
      <c r="F614" s="40"/>
    </row>
    <row r="615" ht="15.75" customHeight="1">
      <c r="F615" s="40"/>
    </row>
    <row r="616" ht="15.75" customHeight="1">
      <c r="F616" s="40"/>
    </row>
    <row r="617" ht="15.75" customHeight="1">
      <c r="F617" s="40"/>
    </row>
    <row r="618" ht="15.75" customHeight="1">
      <c r="F618" s="40"/>
    </row>
    <row r="619" ht="15.75" customHeight="1">
      <c r="F619" s="40"/>
    </row>
    <row r="620" ht="15.75" customHeight="1">
      <c r="F620" s="40"/>
    </row>
    <row r="621" ht="15.75" customHeight="1">
      <c r="F621" s="40"/>
    </row>
    <row r="622" ht="15.75" customHeight="1">
      <c r="F622" s="40"/>
    </row>
    <row r="623" ht="15.75" customHeight="1">
      <c r="F623" s="40"/>
    </row>
    <row r="624" ht="15.75" customHeight="1">
      <c r="F624" s="40"/>
    </row>
    <row r="625" ht="15.75" customHeight="1">
      <c r="F625" s="40"/>
    </row>
    <row r="626" ht="15.75" customHeight="1">
      <c r="F626" s="40"/>
    </row>
    <row r="627" ht="15.75" customHeight="1">
      <c r="F627" s="40"/>
    </row>
    <row r="628" ht="15.75" customHeight="1">
      <c r="F628" s="40"/>
    </row>
    <row r="629" ht="15.75" customHeight="1">
      <c r="F629" s="40"/>
    </row>
    <row r="630" ht="15.75" customHeight="1">
      <c r="F630" s="40"/>
    </row>
    <row r="631" ht="15.75" customHeight="1">
      <c r="F631" s="40"/>
    </row>
    <row r="632" ht="15.75" customHeight="1">
      <c r="F632" s="40"/>
    </row>
    <row r="633" ht="15.75" customHeight="1">
      <c r="F633" s="40"/>
    </row>
    <row r="634" ht="15.75" customHeight="1">
      <c r="F634" s="40"/>
    </row>
    <row r="635" ht="15.75" customHeight="1">
      <c r="F635" s="40"/>
    </row>
    <row r="636" ht="15.75" customHeight="1">
      <c r="F636" s="40"/>
    </row>
    <row r="637" ht="15.75" customHeight="1">
      <c r="F637" s="40"/>
    </row>
    <row r="638" ht="15.75" customHeight="1">
      <c r="F638" s="40"/>
    </row>
    <row r="639" ht="15.75" customHeight="1">
      <c r="F639" s="40"/>
    </row>
    <row r="640" ht="15.75" customHeight="1">
      <c r="F640" s="40"/>
    </row>
    <row r="641" ht="15.75" customHeight="1">
      <c r="F641" s="40"/>
    </row>
    <row r="642" ht="15.75" customHeight="1">
      <c r="F642" s="40"/>
    </row>
    <row r="643" ht="15.75" customHeight="1">
      <c r="F643" s="40"/>
    </row>
    <row r="644" ht="15.75" customHeight="1">
      <c r="F644" s="40"/>
    </row>
    <row r="645" ht="15.75" customHeight="1">
      <c r="F645" s="40"/>
    </row>
    <row r="646" ht="15.75" customHeight="1">
      <c r="F646" s="40"/>
    </row>
    <row r="647" ht="15.75" customHeight="1">
      <c r="F647" s="40"/>
    </row>
    <row r="648" ht="15.75" customHeight="1">
      <c r="F648" s="40"/>
    </row>
    <row r="649" ht="15.75" customHeight="1">
      <c r="F649" s="40"/>
    </row>
    <row r="650" ht="15.75" customHeight="1">
      <c r="F650" s="40"/>
    </row>
    <row r="651" ht="15.75" customHeight="1">
      <c r="F651" s="40"/>
    </row>
    <row r="652" ht="15.75" customHeight="1">
      <c r="F652" s="40"/>
    </row>
    <row r="653" ht="15.75" customHeight="1">
      <c r="F653" s="40"/>
    </row>
    <row r="654" ht="15.75" customHeight="1">
      <c r="F654" s="40"/>
    </row>
    <row r="655" ht="15.75" customHeight="1">
      <c r="F655" s="40"/>
    </row>
    <row r="656" ht="15.75" customHeight="1">
      <c r="F656" s="40"/>
    </row>
    <row r="657" ht="15.75" customHeight="1">
      <c r="F657" s="40"/>
    </row>
    <row r="658" ht="15.75" customHeight="1">
      <c r="F658" s="40"/>
    </row>
    <row r="659" ht="15.75" customHeight="1">
      <c r="F659" s="40"/>
    </row>
    <row r="660" ht="15.75" customHeight="1">
      <c r="F660" s="40"/>
    </row>
    <row r="661" ht="15.75" customHeight="1">
      <c r="F661" s="40"/>
    </row>
    <row r="662" ht="15.75" customHeight="1">
      <c r="F662" s="40"/>
    </row>
    <row r="663" ht="15.75" customHeight="1">
      <c r="F663" s="40"/>
    </row>
    <row r="664" ht="15.75" customHeight="1">
      <c r="F664" s="40"/>
    </row>
    <row r="665" ht="15.75" customHeight="1">
      <c r="F665" s="40"/>
    </row>
    <row r="666" ht="15.75" customHeight="1">
      <c r="F666" s="40"/>
    </row>
    <row r="667" ht="15.75" customHeight="1">
      <c r="F667" s="40"/>
    </row>
    <row r="668" ht="15.75" customHeight="1">
      <c r="F668" s="40"/>
    </row>
    <row r="669" ht="15.75" customHeight="1">
      <c r="F669" s="40"/>
    </row>
    <row r="670" ht="15.75" customHeight="1">
      <c r="F670" s="40"/>
    </row>
    <row r="671" ht="15.75" customHeight="1">
      <c r="F671" s="40"/>
    </row>
    <row r="672" ht="15.75" customHeight="1">
      <c r="F672" s="40"/>
    </row>
    <row r="673" ht="15.75" customHeight="1">
      <c r="F673" s="40"/>
    </row>
    <row r="674" ht="15.75" customHeight="1">
      <c r="F674" s="40"/>
    </row>
    <row r="675" ht="15.75" customHeight="1">
      <c r="F675" s="40"/>
    </row>
    <row r="676" ht="15.75" customHeight="1">
      <c r="F676" s="40"/>
    </row>
    <row r="677" ht="15.75" customHeight="1">
      <c r="F677" s="40"/>
    </row>
    <row r="678" ht="15.75" customHeight="1">
      <c r="F678" s="40"/>
    </row>
    <row r="679" ht="15.75" customHeight="1">
      <c r="F679" s="40"/>
    </row>
    <row r="680" ht="15.75" customHeight="1">
      <c r="F680" s="40"/>
    </row>
    <row r="681" ht="15.75" customHeight="1">
      <c r="F681" s="40"/>
    </row>
    <row r="682" ht="15.75" customHeight="1">
      <c r="F682" s="40"/>
    </row>
    <row r="683" ht="15.75" customHeight="1">
      <c r="F683" s="40"/>
    </row>
    <row r="684" ht="15.75" customHeight="1">
      <c r="F684" s="40"/>
    </row>
    <row r="685" ht="15.75" customHeight="1">
      <c r="F685" s="40"/>
    </row>
    <row r="686" ht="15.75" customHeight="1">
      <c r="F686" s="40"/>
    </row>
    <row r="687" ht="15.75" customHeight="1">
      <c r="F687" s="40"/>
    </row>
    <row r="688" ht="15.75" customHeight="1">
      <c r="F688" s="40"/>
    </row>
    <row r="689" ht="15.75" customHeight="1">
      <c r="F689" s="40"/>
    </row>
    <row r="690" ht="15.75" customHeight="1">
      <c r="F690" s="40"/>
    </row>
    <row r="691" ht="15.75" customHeight="1">
      <c r="F691" s="40"/>
    </row>
    <row r="692" ht="15.75" customHeight="1">
      <c r="F692" s="40"/>
    </row>
    <row r="693" ht="15.75" customHeight="1">
      <c r="F693" s="40"/>
    </row>
    <row r="694" ht="15.75" customHeight="1">
      <c r="F694" s="40"/>
    </row>
    <row r="695" ht="15.75" customHeight="1">
      <c r="F695" s="40"/>
    </row>
    <row r="696" ht="15.75" customHeight="1">
      <c r="F696" s="40"/>
    </row>
    <row r="697" ht="15.75" customHeight="1">
      <c r="F697" s="40"/>
    </row>
    <row r="698" ht="15.75" customHeight="1">
      <c r="F698" s="40"/>
    </row>
    <row r="699" ht="15.75" customHeight="1">
      <c r="F699" s="40"/>
    </row>
    <row r="700" ht="15.75" customHeight="1">
      <c r="F700" s="40"/>
    </row>
    <row r="701" ht="15.75" customHeight="1">
      <c r="F701" s="40"/>
    </row>
    <row r="702" ht="15.75" customHeight="1">
      <c r="F702" s="40"/>
    </row>
    <row r="703" ht="15.75" customHeight="1">
      <c r="F703" s="40"/>
    </row>
    <row r="704" ht="15.75" customHeight="1">
      <c r="F704" s="40"/>
    </row>
    <row r="705" ht="15.75" customHeight="1">
      <c r="F705" s="40"/>
    </row>
    <row r="706" ht="15.75" customHeight="1">
      <c r="F706" s="40"/>
    </row>
    <row r="707" ht="15.75" customHeight="1">
      <c r="F707" s="40"/>
    </row>
    <row r="708" ht="15.75" customHeight="1">
      <c r="F708" s="40"/>
    </row>
    <row r="709" ht="15.75" customHeight="1">
      <c r="F709" s="40"/>
    </row>
    <row r="710" ht="15.75" customHeight="1">
      <c r="F710" s="40"/>
    </row>
    <row r="711" ht="15.75" customHeight="1">
      <c r="F711" s="40"/>
    </row>
    <row r="712" ht="15.75" customHeight="1">
      <c r="F712" s="40"/>
    </row>
    <row r="713" ht="15.75" customHeight="1">
      <c r="F713" s="40"/>
    </row>
    <row r="714" ht="15.75" customHeight="1">
      <c r="F714" s="40"/>
    </row>
    <row r="715" ht="15.75" customHeight="1">
      <c r="F715" s="40"/>
    </row>
    <row r="716" ht="15.75" customHeight="1">
      <c r="F716" s="40"/>
    </row>
    <row r="717" ht="15.75" customHeight="1">
      <c r="F717" s="40"/>
    </row>
    <row r="718" ht="15.75" customHeight="1">
      <c r="F718" s="40"/>
    </row>
    <row r="719" ht="15.75" customHeight="1">
      <c r="F719" s="40"/>
    </row>
    <row r="720" ht="15.75" customHeight="1">
      <c r="F720" s="40"/>
    </row>
    <row r="721" ht="15.75" customHeight="1">
      <c r="F721" s="40"/>
    </row>
    <row r="722" ht="15.75" customHeight="1">
      <c r="F722" s="40"/>
    </row>
    <row r="723" ht="15.75" customHeight="1">
      <c r="F723" s="40"/>
    </row>
    <row r="724" ht="15.75" customHeight="1">
      <c r="F724" s="40"/>
    </row>
    <row r="725" ht="15.75" customHeight="1">
      <c r="F725" s="40"/>
    </row>
    <row r="726" ht="15.75" customHeight="1">
      <c r="F726" s="40"/>
    </row>
    <row r="727" ht="15.75" customHeight="1">
      <c r="F727" s="40"/>
    </row>
    <row r="728" ht="15.75" customHeight="1">
      <c r="F728" s="40"/>
    </row>
    <row r="729" ht="15.75" customHeight="1">
      <c r="F729" s="40"/>
    </row>
    <row r="730" ht="15.75" customHeight="1">
      <c r="F730" s="40"/>
    </row>
    <row r="731" ht="15.75" customHeight="1">
      <c r="F731" s="40"/>
    </row>
    <row r="732" ht="15.75" customHeight="1">
      <c r="F732" s="40"/>
    </row>
    <row r="733" ht="15.75" customHeight="1">
      <c r="F733" s="40"/>
    </row>
    <row r="734" ht="15.75" customHeight="1">
      <c r="F734" s="40"/>
    </row>
    <row r="735" ht="15.75" customHeight="1">
      <c r="F735" s="40"/>
    </row>
    <row r="736" ht="15.75" customHeight="1">
      <c r="F736" s="40"/>
    </row>
    <row r="737" ht="15.75" customHeight="1">
      <c r="F737" s="40"/>
    </row>
    <row r="738" ht="15.75" customHeight="1">
      <c r="F738" s="40"/>
    </row>
    <row r="739" ht="15.75" customHeight="1">
      <c r="F739" s="40"/>
    </row>
    <row r="740" ht="15.75" customHeight="1">
      <c r="F740" s="40"/>
    </row>
    <row r="741" ht="15.75" customHeight="1">
      <c r="F741" s="40"/>
    </row>
    <row r="742" ht="15.75" customHeight="1">
      <c r="F742" s="40"/>
    </row>
    <row r="743" ht="15.75" customHeight="1">
      <c r="F743" s="40"/>
    </row>
    <row r="744" ht="15.75" customHeight="1">
      <c r="F744" s="40"/>
    </row>
    <row r="745" ht="15.75" customHeight="1">
      <c r="F745" s="40"/>
    </row>
    <row r="746" ht="15.75" customHeight="1">
      <c r="F746" s="40"/>
    </row>
    <row r="747" ht="15.75" customHeight="1">
      <c r="F747" s="40"/>
    </row>
    <row r="748" ht="15.75" customHeight="1">
      <c r="F748" s="40"/>
    </row>
    <row r="749" ht="15.75" customHeight="1">
      <c r="F749" s="40"/>
    </row>
    <row r="750" ht="15.75" customHeight="1">
      <c r="F750" s="40"/>
    </row>
    <row r="751" ht="15.75" customHeight="1">
      <c r="F751" s="40"/>
    </row>
    <row r="752" ht="15.75" customHeight="1">
      <c r="F752" s="40"/>
    </row>
    <row r="753" ht="15.75" customHeight="1">
      <c r="F753" s="40"/>
    </row>
    <row r="754" ht="15.75" customHeight="1">
      <c r="F754" s="40"/>
    </row>
    <row r="755" ht="15.75" customHeight="1">
      <c r="F755" s="40"/>
    </row>
    <row r="756" ht="15.75" customHeight="1">
      <c r="F756" s="40"/>
    </row>
    <row r="757" ht="15.75" customHeight="1">
      <c r="F757" s="40"/>
    </row>
    <row r="758" ht="15.75" customHeight="1">
      <c r="F758" s="40"/>
    </row>
    <row r="759" ht="15.75" customHeight="1">
      <c r="F759" s="40"/>
    </row>
    <row r="760" ht="15.75" customHeight="1">
      <c r="F760" s="40"/>
    </row>
    <row r="761" ht="15.75" customHeight="1">
      <c r="F761" s="40"/>
    </row>
    <row r="762" ht="15.75" customHeight="1">
      <c r="F762" s="40"/>
    </row>
    <row r="763" ht="15.75" customHeight="1">
      <c r="F763" s="40"/>
    </row>
    <row r="764" ht="15.75" customHeight="1">
      <c r="F764" s="40"/>
    </row>
    <row r="765" ht="15.75" customHeight="1">
      <c r="F765" s="40"/>
    </row>
    <row r="766" ht="15.75" customHeight="1">
      <c r="F766" s="40"/>
    </row>
    <row r="767" ht="15.75" customHeight="1">
      <c r="F767" s="40"/>
    </row>
    <row r="768" ht="15.75" customHeight="1">
      <c r="F768" s="40"/>
    </row>
    <row r="769" ht="15.75" customHeight="1">
      <c r="F769" s="40"/>
    </row>
    <row r="770" ht="15.75" customHeight="1">
      <c r="F770" s="40"/>
    </row>
    <row r="771" ht="15.75" customHeight="1">
      <c r="F771" s="40"/>
    </row>
    <row r="772" ht="15.75" customHeight="1">
      <c r="F772" s="40"/>
    </row>
    <row r="773" ht="15.75" customHeight="1">
      <c r="F773" s="40"/>
    </row>
    <row r="774" ht="15.75" customHeight="1">
      <c r="F774" s="40"/>
    </row>
    <row r="775" ht="15.75" customHeight="1">
      <c r="F775" s="40"/>
    </row>
    <row r="776" ht="15.75" customHeight="1">
      <c r="F776" s="40"/>
    </row>
    <row r="777" ht="15.75" customHeight="1">
      <c r="F777" s="40"/>
    </row>
    <row r="778" ht="15.75" customHeight="1">
      <c r="F778" s="40"/>
    </row>
    <row r="779" ht="15.75" customHeight="1">
      <c r="F779" s="40"/>
    </row>
    <row r="780" ht="15.75" customHeight="1">
      <c r="F780" s="40"/>
    </row>
    <row r="781" ht="15.75" customHeight="1">
      <c r="F781" s="40"/>
    </row>
    <row r="782" ht="15.75" customHeight="1">
      <c r="F782" s="40"/>
    </row>
    <row r="783" ht="15.75" customHeight="1">
      <c r="F783" s="40"/>
    </row>
    <row r="784" ht="15.75" customHeight="1">
      <c r="F784" s="40"/>
    </row>
    <row r="785" ht="15.75" customHeight="1">
      <c r="F785" s="40"/>
    </row>
    <row r="786" ht="15.75" customHeight="1">
      <c r="F786" s="40"/>
    </row>
    <row r="787" ht="15.75" customHeight="1">
      <c r="F787" s="40"/>
    </row>
    <row r="788" ht="15.75" customHeight="1">
      <c r="F788" s="40"/>
    </row>
    <row r="789" ht="15.75" customHeight="1">
      <c r="F789" s="40"/>
    </row>
    <row r="790" ht="15.75" customHeight="1">
      <c r="F790" s="40"/>
    </row>
    <row r="791" ht="15.75" customHeight="1">
      <c r="F791" s="40"/>
    </row>
    <row r="792" ht="15.75" customHeight="1">
      <c r="F792" s="40"/>
    </row>
    <row r="793" ht="15.75" customHeight="1">
      <c r="F793" s="40"/>
    </row>
    <row r="794" ht="15.75" customHeight="1">
      <c r="F794" s="40"/>
    </row>
    <row r="795" ht="15.75" customHeight="1">
      <c r="F795" s="40"/>
    </row>
    <row r="796" ht="15.75" customHeight="1">
      <c r="F796" s="40"/>
    </row>
    <row r="797" ht="15.75" customHeight="1">
      <c r="F797" s="40"/>
    </row>
    <row r="798" ht="15.75" customHeight="1">
      <c r="F798" s="40"/>
    </row>
    <row r="799" ht="15.75" customHeight="1">
      <c r="F799" s="40"/>
    </row>
    <row r="800" ht="15.75" customHeight="1">
      <c r="F800" s="40"/>
    </row>
    <row r="801" ht="15.75" customHeight="1">
      <c r="F801" s="40"/>
    </row>
    <row r="802" ht="15.75" customHeight="1">
      <c r="F802" s="40"/>
    </row>
    <row r="803" ht="15.75" customHeight="1">
      <c r="F803" s="40"/>
    </row>
    <row r="804" ht="15.75" customHeight="1">
      <c r="F804" s="40"/>
    </row>
    <row r="805" ht="15.75" customHeight="1">
      <c r="F805" s="40"/>
    </row>
    <row r="806" ht="15.75" customHeight="1">
      <c r="F806" s="40"/>
    </row>
    <row r="807" ht="15.75" customHeight="1">
      <c r="F807" s="40"/>
    </row>
    <row r="808" ht="15.75" customHeight="1">
      <c r="F808" s="40"/>
    </row>
    <row r="809" ht="15.75" customHeight="1">
      <c r="F809" s="40"/>
    </row>
    <row r="810" ht="15.75" customHeight="1">
      <c r="F810" s="40"/>
    </row>
    <row r="811" ht="15.75" customHeight="1">
      <c r="F811" s="40"/>
    </row>
    <row r="812" ht="15.75" customHeight="1">
      <c r="F812" s="40"/>
    </row>
    <row r="813" ht="15.75" customHeight="1">
      <c r="F813" s="40"/>
    </row>
    <row r="814" ht="15.75" customHeight="1">
      <c r="F814" s="40"/>
    </row>
    <row r="815" ht="15.75" customHeight="1">
      <c r="F815" s="40"/>
    </row>
    <row r="816" ht="15.75" customHeight="1">
      <c r="F816" s="40"/>
    </row>
    <row r="817" ht="15.75" customHeight="1">
      <c r="F817" s="40"/>
    </row>
    <row r="818" ht="15.75" customHeight="1">
      <c r="F818" s="40"/>
    </row>
    <row r="819" ht="15.75" customHeight="1">
      <c r="F819" s="40"/>
    </row>
    <row r="820" ht="15.75" customHeight="1">
      <c r="F820" s="40"/>
    </row>
    <row r="821" ht="15.75" customHeight="1">
      <c r="F821" s="40"/>
    </row>
    <row r="822" ht="15.75" customHeight="1">
      <c r="F822" s="40"/>
    </row>
    <row r="823" ht="15.75" customHeight="1">
      <c r="F823" s="40"/>
    </row>
    <row r="824" ht="15.75" customHeight="1">
      <c r="F824" s="40"/>
    </row>
    <row r="825" ht="15.75" customHeight="1">
      <c r="F825" s="40"/>
    </row>
    <row r="826" ht="15.75" customHeight="1">
      <c r="F826" s="40"/>
    </row>
    <row r="827" ht="15.75" customHeight="1">
      <c r="F827" s="40"/>
    </row>
    <row r="828" ht="15.75" customHeight="1">
      <c r="F828" s="40"/>
    </row>
    <row r="829" ht="15.75" customHeight="1">
      <c r="F829" s="40"/>
    </row>
    <row r="830" ht="15.75" customHeight="1">
      <c r="F830" s="40"/>
    </row>
    <row r="831" ht="15.75" customHeight="1">
      <c r="F831" s="40"/>
    </row>
    <row r="832" ht="15.75" customHeight="1">
      <c r="F832" s="40"/>
    </row>
    <row r="833" ht="15.75" customHeight="1">
      <c r="F833" s="40"/>
    </row>
    <row r="834" ht="15.75" customHeight="1">
      <c r="F834" s="40"/>
    </row>
    <row r="835" ht="15.75" customHeight="1">
      <c r="F835" s="40"/>
    </row>
    <row r="836" ht="15.75" customHeight="1">
      <c r="F836" s="40"/>
    </row>
    <row r="837" ht="15.75" customHeight="1">
      <c r="F837" s="40"/>
    </row>
    <row r="838" ht="15.75" customHeight="1">
      <c r="F838" s="40"/>
    </row>
    <row r="839" ht="15.75" customHeight="1">
      <c r="F839" s="40"/>
    </row>
    <row r="840" ht="15.75" customHeight="1">
      <c r="F840" s="40"/>
    </row>
    <row r="841" ht="15.75" customHeight="1">
      <c r="F841" s="40"/>
    </row>
    <row r="842" ht="15.75" customHeight="1">
      <c r="F842" s="40"/>
    </row>
    <row r="843" ht="15.75" customHeight="1">
      <c r="F843" s="40"/>
    </row>
    <row r="844" ht="15.75" customHeight="1">
      <c r="F844" s="40"/>
    </row>
    <row r="845" ht="15.75" customHeight="1">
      <c r="F845" s="40"/>
    </row>
    <row r="846" ht="15.75" customHeight="1">
      <c r="F846" s="40"/>
    </row>
    <row r="847" ht="15.75" customHeight="1">
      <c r="F847" s="40"/>
    </row>
    <row r="848" ht="15.75" customHeight="1">
      <c r="F848" s="40"/>
    </row>
    <row r="849" ht="15.75" customHeight="1">
      <c r="F849" s="40"/>
    </row>
    <row r="850" ht="15.75" customHeight="1">
      <c r="F850" s="40"/>
    </row>
    <row r="851" ht="15.75" customHeight="1">
      <c r="F851" s="40"/>
    </row>
    <row r="852" ht="15.75" customHeight="1">
      <c r="F852" s="40"/>
    </row>
    <row r="853" ht="15.75" customHeight="1">
      <c r="F853" s="40"/>
    </row>
    <row r="854" ht="15.75" customHeight="1">
      <c r="F854" s="40"/>
    </row>
    <row r="855" ht="15.75" customHeight="1">
      <c r="F855" s="40"/>
    </row>
    <row r="856" ht="15.75" customHeight="1">
      <c r="F856" s="40"/>
    </row>
    <row r="857" ht="15.75" customHeight="1">
      <c r="F857" s="40"/>
    </row>
    <row r="858" ht="15.75" customHeight="1">
      <c r="F858" s="40"/>
    </row>
    <row r="859" ht="15.75" customHeight="1">
      <c r="F859" s="40"/>
    </row>
    <row r="860" ht="15.75" customHeight="1">
      <c r="F860" s="40"/>
    </row>
    <row r="861" ht="15.75" customHeight="1">
      <c r="F861" s="40"/>
    </row>
    <row r="862" ht="15.75" customHeight="1">
      <c r="F862" s="40"/>
    </row>
    <row r="863" ht="15.75" customHeight="1">
      <c r="F863" s="40"/>
    </row>
    <row r="864" ht="15.75" customHeight="1">
      <c r="F864" s="40"/>
    </row>
    <row r="865" ht="15.75" customHeight="1">
      <c r="F865" s="40"/>
    </row>
    <row r="866" ht="15.75" customHeight="1">
      <c r="F866" s="40"/>
    </row>
    <row r="867" ht="15.75" customHeight="1">
      <c r="F867" s="40"/>
    </row>
    <row r="868" ht="15.75" customHeight="1">
      <c r="F868" s="40"/>
    </row>
    <row r="869" ht="15.75" customHeight="1">
      <c r="F869" s="40"/>
    </row>
    <row r="870" ht="15.75" customHeight="1">
      <c r="F870" s="40"/>
    </row>
    <row r="871" ht="15.75" customHeight="1">
      <c r="F871" s="40"/>
    </row>
    <row r="872" ht="15.75" customHeight="1">
      <c r="F872" s="40"/>
    </row>
    <row r="873" ht="15.75" customHeight="1">
      <c r="F873" s="40"/>
    </row>
    <row r="874" ht="15.75" customHeight="1">
      <c r="F874" s="40"/>
    </row>
    <row r="875" ht="15.75" customHeight="1">
      <c r="F875" s="40"/>
    </row>
    <row r="876" ht="15.75" customHeight="1">
      <c r="F876" s="40"/>
    </row>
    <row r="877" ht="15.75" customHeight="1">
      <c r="F877" s="40"/>
    </row>
    <row r="878" ht="15.75" customHeight="1">
      <c r="F878" s="40"/>
    </row>
    <row r="879" ht="15.75" customHeight="1">
      <c r="F879" s="40"/>
    </row>
    <row r="880" ht="15.75" customHeight="1">
      <c r="F880" s="40"/>
    </row>
    <row r="881" ht="15.75" customHeight="1">
      <c r="F881" s="40"/>
    </row>
    <row r="882" ht="15.75" customHeight="1">
      <c r="F882" s="40"/>
    </row>
    <row r="883" ht="15.75" customHeight="1">
      <c r="F883" s="40"/>
    </row>
    <row r="884" ht="15.75" customHeight="1">
      <c r="F884" s="40"/>
    </row>
    <row r="885" ht="15.75" customHeight="1">
      <c r="F885" s="40"/>
    </row>
    <row r="886" ht="15.75" customHeight="1">
      <c r="F886" s="40"/>
    </row>
    <row r="887" ht="15.75" customHeight="1">
      <c r="F887" s="40"/>
    </row>
    <row r="888" ht="15.75" customHeight="1">
      <c r="F888" s="40"/>
    </row>
    <row r="889" ht="15.75" customHeight="1">
      <c r="F889" s="40"/>
    </row>
    <row r="890" ht="15.75" customHeight="1">
      <c r="F890" s="40"/>
    </row>
    <row r="891" ht="15.75" customHeight="1">
      <c r="F891" s="40"/>
    </row>
    <row r="892" ht="15.75" customHeight="1">
      <c r="F892" s="40"/>
    </row>
    <row r="893" ht="15.75" customHeight="1">
      <c r="F893" s="40"/>
    </row>
    <row r="894" ht="15.75" customHeight="1">
      <c r="F894" s="40"/>
    </row>
    <row r="895" ht="15.75" customHeight="1">
      <c r="F895" s="40"/>
    </row>
    <row r="896" ht="15.75" customHeight="1">
      <c r="F896" s="40"/>
    </row>
    <row r="897" ht="15.75" customHeight="1">
      <c r="F897" s="40"/>
    </row>
    <row r="898" ht="15.75" customHeight="1">
      <c r="F898" s="40"/>
    </row>
    <row r="899" ht="15.75" customHeight="1">
      <c r="F899" s="40"/>
    </row>
    <row r="900" ht="15.75" customHeight="1">
      <c r="F900" s="40"/>
    </row>
    <row r="901" ht="15.75" customHeight="1">
      <c r="F901" s="40"/>
    </row>
    <row r="902" ht="15.75" customHeight="1">
      <c r="F902" s="40"/>
    </row>
    <row r="903" ht="15.75" customHeight="1">
      <c r="F903" s="40"/>
    </row>
    <row r="904" ht="15.75" customHeight="1">
      <c r="F904" s="40"/>
    </row>
    <row r="905" ht="15.75" customHeight="1">
      <c r="F905" s="40"/>
    </row>
    <row r="906" ht="15.75" customHeight="1">
      <c r="F906" s="40"/>
    </row>
    <row r="907" ht="15.75" customHeight="1">
      <c r="F907" s="40"/>
    </row>
    <row r="908" ht="15.75" customHeight="1">
      <c r="F908" s="40"/>
    </row>
    <row r="909" ht="15.75" customHeight="1">
      <c r="F909" s="40"/>
    </row>
    <row r="910" ht="15.75" customHeight="1">
      <c r="F910" s="40"/>
    </row>
    <row r="911" ht="15.75" customHeight="1">
      <c r="F911" s="40"/>
    </row>
    <row r="912" ht="15.75" customHeight="1">
      <c r="F912" s="40"/>
    </row>
    <row r="913" ht="15.75" customHeight="1">
      <c r="F913" s="40"/>
    </row>
    <row r="914" ht="15.75" customHeight="1">
      <c r="F914" s="40"/>
    </row>
    <row r="915" ht="15.75" customHeight="1">
      <c r="F915" s="40"/>
    </row>
    <row r="916" ht="15.75" customHeight="1">
      <c r="F916" s="40"/>
    </row>
    <row r="917" ht="15.75" customHeight="1">
      <c r="F917" s="40"/>
    </row>
    <row r="918" ht="15.75" customHeight="1">
      <c r="F918" s="40"/>
    </row>
    <row r="919" ht="15.75" customHeight="1">
      <c r="F919" s="40"/>
    </row>
    <row r="920" ht="15.75" customHeight="1">
      <c r="F920" s="40"/>
    </row>
    <row r="921" ht="15.75" customHeight="1">
      <c r="F921" s="40"/>
    </row>
    <row r="922" ht="15.75" customHeight="1">
      <c r="F922" s="40"/>
    </row>
    <row r="923" ht="15.75" customHeight="1">
      <c r="F923" s="40"/>
    </row>
    <row r="924" ht="15.75" customHeight="1">
      <c r="F924" s="40"/>
    </row>
    <row r="925" ht="15.75" customHeight="1">
      <c r="F925" s="40"/>
    </row>
    <row r="926" ht="15.75" customHeight="1">
      <c r="F926" s="40"/>
    </row>
    <row r="927" ht="15.75" customHeight="1">
      <c r="F927" s="40"/>
    </row>
    <row r="928" ht="15.75" customHeight="1">
      <c r="F928" s="40"/>
    </row>
    <row r="929" ht="15.75" customHeight="1">
      <c r="F929" s="40"/>
    </row>
    <row r="930" ht="15.75" customHeight="1">
      <c r="F930" s="40"/>
    </row>
    <row r="931" ht="15.75" customHeight="1">
      <c r="F931" s="40"/>
    </row>
    <row r="932" ht="15.75" customHeight="1">
      <c r="F932" s="40"/>
    </row>
    <row r="933" ht="15.75" customHeight="1">
      <c r="F933" s="40"/>
    </row>
    <row r="934" ht="15.75" customHeight="1">
      <c r="F934" s="40"/>
    </row>
    <row r="935" ht="15.75" customHeight="1">
      <c r="F935" s="40"/>
    </row>
    <row r="936" ht="15.75" customHeight="1">
      <c r="F936" s="40"/>
    </row>
    <row r="937" ht="15.75" customHeight="1">
      <c r="F937" s="40"/>
    </row>
    <row r="938" ht="15.75" customHeight="1">
      <c r="F938" s="40"/>
    </row>
    <row r="939" ht="15.75" customHeight="1">
      <c r="F939" s="4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16.88"/>
    <col customWidth="1" min="21" max="21" width="21.0"/>
    <col customWidth="1" min="22" max="23" width="17.75"/>
    <col customWidth="1" min="24" max="25" width="21.5"/>
    <col customWidth="1" min="26" max="26" width="36.88"/>
    <col customWidth="1" min="27" max="27" width="20.75"/>
  </cols>
  <sheetData>
    <row r="1">
      <c r="A1" s="41" t="s">
        <v>0</v>
      </c>
      <c r="B1" s="41" t="s">
        <v>1</v>
      </c>
      <c r="C1" s="41" t="s">
        <v>2</v>
      </c>
      <c r="D1" s="41" t="s">
        <v>185</v>
      </c>
      <c r="E1" s="41" t="s">
        <v>186</v>
      </c>
      <c r="F1" s="41" t="s">
        <v>187</v>
      </c>
      <c r="G1" s="41" t="s">
        <v>280</v>
      </c>
      <c r="H1" s="42" t="s">
        <v>189</v>
      </c>
      <c r="I1" s="42" t="s">
        <v>7</v>
      </c>
      <c r="J1" s="42" t="s">
        <v>191</v>
      </c>
      <c r="K1" s="42" t="s">
        <v>7</v>
      </c>
      <c r="L1" s="42" t="s">
        <v>281</v>
      </c>
      <c r="M1" s="42" t="s">
        <v>7</v>
      </c>
      <c r="N1" s="42" t="s">
        <v>282</v>
      </c>
      <c r="O1" s="42" t="s">
        <v>7</v>
      </c>
      <c r="P1" s="42" t="s">
        <v>283</v>
      </c>
      <c r="Q1" s="42" t="s">
        <v>7</v>
      </c>
      <c r="R1" s="42" t="s">
        <v>284</v>
      </c>
      <c r="S1" s="42" t="s">
        <v>7</v>
      </c>
      <c r="T1" s="42" t="s">
        <v>285</v>
      </c>
      <c r="U1" s="42" t="s">
        <v>7</v>
      </c>
      <c r="V1" s="42" t="s">
        <v>286</v>
      </c>
      <c r="W1" s="42" t="s">
        <v>7</v>
      </c>
      <c r="X1" s="42" t="s">
        <v>287</v>
      </c>
      <c r="Y1" s="42" t="s">
        <v>7</v>
      </c>
      <c r="Z1" s="42" t="s">
        <v>288</v>
      </c>
      <c r="AA1" s="42" t="s">
        <v>7</v>
      </c>
    </row>
    <row r="2" ht="15.75" customHeight="1">
      <c r="A2" s="5">
        <v>1892.0</v>
      </c>
      <c r="B2" s="5" t="s">
        <v>36</v>
      </c>
      <c r="C2" s="6" t="str">
        <f t="shared" ref="C2:C8" si="1">CONCATENATE(D2,"_",E2,"_",G2)</f>
        <v>FWP-01_Water_DISPATCH</v>
      </c>
      <c r="D2" s="7" t="s">
        <v>289</v>
      </c>
      <c r="E2" s="7" t="s">
        <v>290</v>
      </c>
      <c r="F2" s="6" t="s">
        <v>291</v>
      </c>
      <c r="G2" s="43" t="s">
        <v>292</v>
      </c>
      <c r="H2" s="44" t="s">
        <v>293</v>
      </c>
      <c r="I2" s="45">
        <v>0.0</v>
      </c>
      <c r="J2" s="44" t="s">
        <v>294</v>
      </c>
      <c r="K2" s="46">
        <v>1.0</v>
      </c>
      <c r="L2" s="44" t="s">
        <v>295</v>
      </c>
      <c r="M2" s="46">
        <v>0.0</v>
      </c>
      <c r="N2" s="44" t="s">
        <v>296</v>
      </c>
      <c r="O2" s="46">
        <v>0.0</v>
      </c>
      <c r="P2" s="44" t="s">
        <v>297</v>
      </c>
      <c r="Q2" s="46">
        <v>0.0</v>
      </c>
      <c r="R2" s="6"/>
      <c r="S2" s="6"/>
      <c r="T2" s="44" t="s">
        <v>298</v>
      </c>
      <c r="U2" s="46">
        <v>0.0</v>
      </c>
      <c r="V2" s="44" t="s">
        <v>299</v>
      </c>
      <c r="W2" s="46">
        <v>0.0</v>
      </c>
      <c r="X2" s="6"/>
      <c r="Y2" s="6"/>
      <c r="Z2" s="44" t="s">
        <v>300</v>
      </c>
      <c r="AA2" s="46">
        <v>0.0</v>
      </c>
    </row>
    <row r="3" ht="15.75" customHeight="1">
      <c r="A3" s="5">
        <v>1892.0</v>
      </c>
      <c r="B3" s="5" t="s">
        <v>36</v>
      </c>
      <c r="C3" s="6" t="str">
        <f t="shared" si="1"/>
        <v>FWP-02_Water_DISPATCH</v>
      </c>
      <c r="D3" s="22" t="s">
        <v>301</v>
      </c>
      <c r="E3" s="22" t="s">
        <v>290</v>
      </c>
      <c r="F3" s="6" t="s">
        <v>291</v>
      </c>
      <c r="G3" s="43" t="s">
        <v>292</v>
      </c>
      <c r="H3" s="47" t="s">
        <v>302</v>
      </c>
      <c r="I3" s="45">
        <v>0.0</v>
      </c>
      <c r="J3" s="47" t="s">
        <v>303</v>
      </c>
      <c r="K3" s="46">
        <v>1.0</v>
      </c>
      <c r="L3" s="47" t="s">
        <v>304</v>
      </c>
      <c r="M3" s="46">
        <v>0.0</v>
      </c>
      <c r="N3" s="47" t="s">
        <v>305</v>
      </c>
      <c r="O3" s="46">
        <v>0.0</v>
      </c>
      <c r="P3" s="47" t="s">
        <v>306</v>
      </c>
      <c r="Q3" s="46">
        <v>0.0</v>
      </c>
      <c r="T3" s="47" t="s">
        <v>307</v>
      </c>
      <c r="U3" s="46">
        <v>0.0</v>
      </c>
      <c r="V3" s="47" t="s">
        <v>308</v>
      </c>
      <c r="W3" s="46">
        <v>0.0</v>
      </c>
      <c r="Z3" s="47" t="s">
        <v>309</v>
      </c>
      <c r="AA3" s="46">
        <v>0.0</v>
      </c>
    </row>
    <row r="4" ht="15.75" customHeight="1">
      <c r="A4" s="5">
        <v>1892.0</v>
      </c>
      <c r="B4" s="5" t="s">
        <v>36</v>
      </c>
      <c r="C4" s="6" t="str">
        <f t="shared" si="1"/>
        <v>FWP-03_Water_DISPATCH</v>
      </c>
      <c r="D4" s="22" t="s">
        <v>310</v>
      </c>
      <c r="E4" s="22" t="s">
        <v>290</v>
      </c>
      <c r="F4" s="6" t="s">
        <v>291</v>
      </c>
      <c r="G4" s="43" t="s">
        <v>292</v>
      </c>
      <c r="H4" s="47" t="s">
        <v>311</v>
      </c>
      <c r="I4" s="45">
        <v>0.0</v>
      </c>
      <c r="J4" s="47" t="s">
        <v>312</v>
      </c>
      <c r="K4" s="46">
        <v>1.0</v>
      </c>
      <c r="L4" s="47" t="s">
        <v>313</v>
      </c>
      <c r="M4" s="46">
        <v>0.0</v>
      </c>
      <c r="N4" s="47" t="s">
        <v>314</v>
      </c>
      <c r="O4" s="46">
        <v>0.0</v>
      </c>
      <c r="P4" s="47" t="s">
        <v>315</v>
      </c>
      <c r="Q4" s="46">
        <v>0.0</v>
      </c>
      <c r="T4" s="47" t="s">
        <v>316</v>
      </c>
      <c r="U4" s="46">
        <v>0.0</v>
      </c>
      <c r="V4" s="47" t="s">
        <v>317</v>
      </c>
      <c r="W4" s="46">
        <v>0.0</v>
      </c>
      <c r="Z4" s="47" t="s">
        <v>318</v>
      </c>
      <c r="AA4" s="46">
        <v>0.0</v>
      </c>
    </row>
    <row r="5" ht="15.75" customHeight="1">
      <c r="A5" s="5">
        <v>1892.0</v>
      </c>
      <c r="B5" s="5" t="s">
        <v>36</v>
      </c>
      <c r="C5" s="6" t="str">
        <f t="shared" si="1"/>
        <v>JCY-01_Jockey_DISPATCH</v>
      </c>
      <c r="D5" s="22" t="s">
        <v>319</v>
      </c>
      <c r="E5" s="22" t="s">
        <v>320</v>
      </c>
      <c r="F5" s="6" t="s">
        <v>291</v>
      </c>
      <c r="G5" s="43" t="s">
        <v>292</v>
      </c>
      <c r="H5" s="47" t="s">
        <v>321</v>
      </c>
      <c r="I5" s="45">
        <v>0.0</v>
      </c>
      <c r="J5" s="47" t="s">
        <v>322</v>
      </c>
      <c r="K5" s="46">
        <v>1.0</v>
      </c>
      <c r="L5" s="47" t="s">
        <v>323</v>
      </c>
      <c r="M5" s="46">
        <v>0.0</v>
      </c>
      <c r="N5" s="47" t="s">
        <v>324</v>
      </c>
      <c r="O5" s="46">
        <v>0.0</v>
      </c>
      <c r="T5" s="47" t="s">
        <v>325</v>
      </c>
      <c r="U5" s="46">
        <v>0.0</v>
      </c>
    </row>
    <row r="6" ht="15.75" customHeight="1">
      <c r="A6" s="5">
        <v>1892.0</v>
      </c>
      <c r="B6" s="5" t="s">
        <v>36</v>
      </c>
      <c r="C6" s="6" t="str">
        <f t="shared" si="1"/>
        <v>JCY-02_Jockey_DISPATCH</v>
      </c>
      <c r="D6" s="22" t="s">
        <v>326</v>
      </c>
      <c r="E6" s="22" t="s">
        <v>320</v>
      </c>
      <c r="F6" s="6" t="s">
        <v>291</v>
      </c>
      <c r="G6" s="43" t="s">
        <v>292</v>
      </c>
      <c r="H6" s="47" t="s">
        <v>327</v>
      </c>
      <c r="I6" s="45">
        <v>0.0</v>
      </c>
      <c r="J6" s="47" t="s">
        <v>328</v>
      </c>
      <c r="K6" s="46">
        <v>1.0</v>
      </c>
      <c r="L6" s="47" t="s">
        <v>329</v>
      </c>
      <c r="M6" s="46">
        <v>0.0</v>
      </c>
      <c r="N6" s="47" t="s">
        <v>330</v>
      </c>
      <c r="O6" s="46">
        <v>0.0</v>
      </c>
      <c r="T6" s="47" t="s">
        <v>331</v>
      </c>
      <c r="U6" s="46">
        <v>0.0</v>
      </c>
    </row>
    <row r="7" ht="15.75" customHeight="1">
      <c r="A7" s="5">
        <v>1892.0</v>
      </c>
      <c r="B7" s="5" t="s">
        <v>36</v>
      </c>
      <c r="C7" s="6" t="str">
        <f t="shared" si="1"/>
        <v>Farthest Point PT_WP_DISPATCH</v>
      </c>
      <c r="D7" s="48" t="s">
        <v>332</v>
      </c>
      <c r="E7" s="48" t="s">
        <v>333</v>
      </c>
      <c r="F7" s="49" t="s">
        <v>334</v>
      </c>
      <c r="G7" s="48" t="s">
        <v>292</v>
      </c>
      <c r="L7" s="50" t="s">
        <v>335</v>
      </c>
      <c r="M7" s="46">
        <v>0.0</v>
      </c>
    </row>
    <row r="8" ht="15.75" customHeight="1">
      <c r="A8" s="5">
        <v>1892.0</v>
      </c>
      <c r="B8" s="5" t="s">
        <v>36</v>
      </c>
      <c r="C8" s="6" t="str">
        <f t="shared" si="1"/>
        <v>Nearest Point PT_WP_DISPATCH</v>
      </c>
      <c r="D8" s="48" t="s">
        <v>336</v>
      </c>
      <c r="E8" s="48" t="s">
        <v>333</v>
      </c>
      <c r="F8" s="49" t="s">
        <v>334</v>
      </c>
      <c r="G8" s="48" t="s">
        <v>292</v>
      </c>
      <c r="L8" s="50" t="s">
        <v>337</v>
      </c>
      <c r="M8" s="46">
        <v>0.0</v>
      </c>
    </row>
    <row r="9" ht="15.75" customHeight="1">
      <c r="F9" s="39"/>
    </row>
    <row r="10" ht="15.75" customHeight="1">
      <c r="F10" s="39"/>
    </row>
    <row r="11" ht="15.75" customHeight="1">
      <c r="F11" s="39"/>
    </row>
    <row r="12" ht="15.75" customHeight="1">
      <c r="F12" s="39"/>
    </row>
    <row r="13" ht="15.75" customHeight="1">
      <c r="F13" s="39"/>
    </row>
    <row r="14" ht="15.75" customHeight="1">
      <c r="F14" s="39"/>
    </row>
    <row r="15" ht="15.75" customHeight="1">
      <c r="F15" s="39"/>
    </row>
    <row r="16" ht="15.75" customHeight="1">
      <c r="F16" s="39"/>
    </row>
    <row r="17" ht="15.75" customHeight="1">
      <c r="F17" s="39"/>
    </row>
    <row r="18" ht="15.75" customHeight="1">
      <c r="F18" s="39"/>
    </row>
    <row r="19" ht="15.75" customHeight="1">
      <c r="F19" s="39"/>
    </row>
    <row r="20" ht="15.75" customHeight="1">
      <c r="F20" s="39"/>
    </row>
    <row r="21" ht="15.75" customHeight="1">
      <c r="F21" s="39"/>
    </row>
    <row r="22" ht="15.75" customHeight="1">
      <c r="F22" s="39"/>
    </row>
    <row r="23" ht="15.75" customHeight="1">
      <c r="F23" s="39"/>
    </row>
    <row r="24" ht="15.75" customHeight="1">
      <c r="F24" s="39"/>
    </row>
    <row r="25" ht="15.75" customHeight="1">
      <c r="F25" s="39"/>
    </row>
    <row r="26" ht="15.75" customHeight="1">
      <c r="F26" s="39"/>
    </row>
    <row r="27" ht="15.75" customHeight="1">
      <c r="F27" s="39"/>
    </row>
    <row r="28" ht="15.75" customHeight="1">
      <c r="F28" s="39"/>
    </row>
    <row r="29" ht="15.75" customHeight="1">
      <c r="F29" s="39"/>
    </row>
    <row r="30" ht="15.75" customHeight="1">
      <c r="F30" s="39"/>
    </row>
    <row r="31" ht="15.75" customHeight="1">
      <c r="F31" s="39"/>
    </row>
    <row r="32" ht="15.75" customHeight="1">
      <c r="F32" s="39"/>
    </row>
    <row r="33" ht="15.75" customHeight="1">
      <c r="F33" s="39"/>
    </row>
    <row r="34" ht="15.75" customHeight="1">
      <c r="F34" s="39"/>
    </row>
    <row r="35" ht="15.75" customHeight="1">
      <c r="F35" s="39"/>
    </row>
    <row r="36" ht="15.75" customHeight="1">
      <c r="F36" s="39"/>
    </row>
    <row r="37" ht="15.75" customHeight="1">
      <c r="F37" s="39"/>
    </row>
    <row r="38" ht="15.75" customHeight="1">
      <c r="F38" s="39"/>
    </row>
    <row r="39" ht="15.75" customHeight="1">
      <c r="F39" s="39"/>
    </row>
    <row r="40" ht="15.75" customHeight="1">
      <c r="F40" s="39"/>
    </row>
    <row r="41" ht="15.75" customHeight="1">
      <c r="F41" s="39"/>
    </row>
    <row r="42" ht="15.75" customHeight="1">
      <c r="F42" s="39"/>
    </row>
    <row r="43" ht="15.75" customHeight="1">
      <c r="F43" s="39"/>
    </row>
    <row r="44" ht="15.75" customHeight="1">
      <c r="F44" s="39"/>
    </row>
    <row r="45" ht="15.75" customHeight="1">
      <c r="F45" s="39"/>
    </row>
    <row r="46" ht="15.75" customHeight="1">
      <c r="F46" s="39"/>
    </row>
    <row r="47" ht="15.75" customHeight="1">
      <c r="F47" s="39"/>
    </row>
    <row r="48" ht="15.75" customHeight="1">
      <c r="F48" s="39"/>
    </row>
    <row r="49" ht="15.75" customHeight="1">
      <c r="F49" s="39"/>
    </row>
    <row r="50" ht="15.75" customHeight="1">
      <c r="F50" s="39"/>
    </row>
    <row r="51" ht="15.75" customHeight="1">
      <c r="F51" s="39"/>
    </row>
    <row r="52" ht="15.75" customHeight="1">
      <c r="F52" s="39"/>
    </row>
    <row r="53" ht="15.75" customHeight="1">
      <c r="F53" s="39"/>
    </row>
    <row r="54" ht="15.75" customHeight="1">
      <c r="F54" s="39"/>
    </row>
    <row r="55" ht="15.75" customHeight="1">
      <c r="F55" s="39"/>
    </row>
    <row r="56" ht="15.75" customHeight="1">
      <c r="F56" s="39"/>
    </row>
    <row r="57" ht="15.75" customHeight="1">
      <c r="F57" s="39"/>
    </row>
    <row r="58" ht="15.75" customHeight="1">
      <c r="F58" s="39"/>
    </row>
    <row r="59" ht="15.75" customHeight="1">
      <c r="F59" s="39"/>
    </row>
    <row r="60" ht="15.75" customHeight="1">
      <c r="F60" s="39"/>
    </row>
    <row r="61" ht="15.75" customHeight="1">
      <c r="F61" s="39"/>
    </row>
    <row r="62" ht="15.75" customHeight="1">
      <c r="F62" s="39"/>
    </row>
    <row r="63" ht="15.75" customHeight="1">
      <c r="F63" s="39"/>
    </row>
    <row r="64" ht="15.75" customHeight="1">
      <c r="F64" s="39"/>
    </row>
    <row r="65" ht="15.75" customHeight="1">
      <c r="F65" s="39"/>
    </row>
    <row r="66" ht="15.75" customHeight="1">
      <c r="F66" s="39"/>
    </row>
    <row r="67" ht="15.75" customHeight="1">
      <c r="F67" s="39"/>
    </row>
    <row r="68" ht="15.75" customHeight="1">
      <c r="F68" s="39"/>
    </row>
    <row r="69" ht="15.75" customHeight="1">
      <c r="F69" s="39"/>
    </row>
    <row r="70" ht="15.75" customHeight="1">
      <c r="F70" s="39"/>
    </row>
    <row r="71" ht="15.75" customHeight="1">
      <c r="F71" s="39"/>
    </row>
    <row r="72" ht="15.75" customHeight="1">
      <c r="F72" s="39"/>
    </row>
    <row r="73" ht="15.75" customHeight="1">
      <c r="F73" s="39"/>
    </row>
    <row r="74" ht="15.75" customHeight="1">
      <c r="F74" s="39"/>
    </row>
    <row r="75" ht="15.75" customHeight="1">
      <c r="F75" s="39"/>
    </row>
    <row r="76" ht="15.75" customHeight="1">
      <c r="F76" s="39"/>
    </row>
    <row r="77" ht="15.75" customHeight="1">
      <c r="F77" s="39"/>
    </row>
    <row r="78" ht="15.75" customHeight="1">
      <c r="F78" s="39"/>
    </row>
    <row r="79" ht="15.75" customHeight="1">
      <c r="F79" s="39"/>
    </row>
    <row r="80" ht="15.75" customHeight="1">
      <c r="F80" s="39"/>
    </row>
    <row r="81" ht="15.75" customHeight="1">
      <c r="F81" s="39"/>
    </row>
    <row r="82" ht="15.75" customHeight="1">
      <c r="F82" s="39"/>
    </row>
    <row r="83" ht="15.75" customHeight="1">
      <c r="F83" s="39"/>
    </row>
    <row r="84" ht="15.75" customHeight="1">
      <c r="F84" s="39"/>
    </row>
    <row r="85" ht="15.75" customHeight="1">
      <c r="F85" s="39"/>
    </row>
    <row r="86" ht="15.75" customHeight="1">
      <c r="F86" s="39"/>
    </row>
    <row r="87" ht="15.75" customHeight="1">
      <c r="F87" s="39"/>
    </row>
    <row r="88" ht="15.75" customHeight="1">
      <c r="F88" s="39"/>
    </row>
    <row r="89" ht="15.75" customHeight="1">
      <c r="F89" s="39"/>
    </row>
    <row r="90" ht="15.75" customHeight="1">
      <c r="F90" s="39"/>
    </row>
    <row r="91" ht="15.75" customHeight="1">
      <c r="F91" s="39"/>
    </row>
    <row r="92" ht="15.75" customHeight="1">
      <c r="F92" s="39"/>
    </row>
    <row r="93" ht="15.75" customHeight="1">
      <c r="F93" s="39"/>
    </row>
    <row r="94" ht="15.75" customHeight="1">
      <c r="F94" s="39"/>
    </row>
    <row r="95" ht="15.75" customHeight="1">
      <c r="F95" s="39"/>
    </row>
    <row r="96" ht="15.75" customHeight="1">
      <c r="F96" s="39"/>
    </row>
    <row r="97" ht="15.75" customHeight="1">
      <c r="F97" s="39"/>
    </row>
    <row r="98" ht="15.75" customHeight="1">
      <c r="F98" s="39"/>
    </row>
    <row r="99" ht="15.75" customHeight="1">
      <c r="F99" s="39"/>
    </row>
    <row r="100" ht="15.75" customHeight="1">
      <c r="F100" s="39"/>
    </row>
    <row r="101" ht="15.75" customHeight="1">
      <c r="F101" s="39"/>
    </row>
    <row r="102" ht="15.75" customHeight="1">
      <c r="F102" s="39"/>
    </row>
    <row r="103" ht="15.75" customHeight="1">
      <c r="F103" s="39"/>
    </row>
    <row r="104" ht="15.75" customHeight="1">
      <c r="F104" s="39"/>
    </row>
    <row r="105" ht="15.75" customHeight="1">
      <c r="F105" s="39"/>
    </row>
    <row r="106" ht="15.75" customHeight="1">
      <c r="F106" s="39"/>
    </row>
    <row r="107" ht="15.75" customHeight="1">
      <c r="F107" s="39"/>
    </row>
    <row r="108" ht="15.75" customHeight="1">
      <c r="F108" s="39"/>
    </row>
    <row r="109" ht="15.75" customHeight="1">
      <c r="F109" s="39"/>
    </row>
    <row r="110" ht="15.75" customHeight="1">
      <c r="F110" s="39"/>
    </row>
    <row r="111" ht="15.75" customHeight="1">
      <c r="F111" s="39"/>
    </row>
    <row r="112" ht="15.75" customHeight="1">
      <c r="F112" s="39"/>
    </row>
    <row r="113" ht="15.75" customHeight="1">
      <c r="F113" s="39"/>
    </row>
    <row r="114" ht="15.75" customHeight="1">
      <c r="F114" s="39"/>
    </row>
    <row r="115" ht="15.75" customHeight="1">
      <c r="F115" s="39"/>
    </row>
    <row r="116" ht="15.75" customHeight="1">
      <c r="F116" s="39"/>
    </row>
    <row r="117" ht="15.75" customHeight="1">
      <c r="F117" s="39"/>
    </row>
    <row r="118" ht="15.75" customHeight="1">
      <c r="F118" s="39"/>
    </row>
    <row r="119" ht="15.75" customHeight="1">
      <c r="F119" s="39"/>
    </row>
    <row r="120" ht="15.75" customHeight="1">
      <c r="F120" s="39"/>
    </row>
    <row r="121" ht="15.75" customHeight="1">
      <c r="F121" s="39"/>
    </row>
    <row r="122" ht="15.75" customHeight="1">
      <c r="F122" s="39"/>
    </row>
    <row r="123" ht="15.75" customHeight="1">
      <c r="F123" s="39"/>
    </row>
    <row r="124" ht="15.75" customHeight="1">
      <c r="F124" s="39"/>
    </row>
    <row r="125" ht="15.75" customHeight="1">
      <c r="F125" s="39"/>
    </row>
    <row r="126" ht="15.75" customHeight="1">
      <c r="F126" s="39"/>
    </row>
    <row r="127" ht="15.75" customHeight="1">
      <c r="F127" s="39"/>
    </row>
    <row r="128" ht="15.75" customHeight="1">
      <c r="F128" s="39"/>
    </row>
    <row r="129" ht="15.75" customHeight="1">
      <c r="F129" s="39"/>
    </row>
    <row r="130" ht="15.75" customHeight="1">
      <c r="F130" s="39"/>
    </row>
    <row r="131" ht="15.75" customHeight="1">
      <c r="F131" s="39"/>
    </row>
    <row r="132" ht="15.75" customHeight="1">
      <c r="F132" s="39"/>
    </row>
    <row r="133" ht="15.75" customHeight="1">
      <c r="F133" s="39"/>
    </row>
    <row r="134" ht="15.75" customHeight="1">
      <c r="F134" s="39"/>
    </row>
    <row r="135" ht="15.75" customHeight="1">
      <c r="F135" s="39"/>
    </row>
    <row r="136" ht="15.75" customHeight="1">
      <c r="F136" s="39"/>
    </row>
    <row r="137" ht="15.75" customHeight="1">
      <c r="F137" s="39"/>
    </row>
    <row r="138" ht="15.75" customHeight="1">
      <c r="F138" s="39"/>
    </row>
    <row r="139" ht="15.75" customHeight="1">
      <c r="F139" s="39"/>
    </row>
    <row r="140" ht="15.75" customHeight="1">
      <c r="F140" s="39"/>
    </row>
    <row r="141" ht="15.75" customHeight="1">
      <c r="F141" s="39"/>
    </row>
    <row r="142" ht="15.75" customHeight="1">
      <c r="F142" s="39"/>
    </row>
    <row r="143" ht="15.75" customHeight="1">
      <c r="F143" s="39"/>
    </row>
    <row r="144" ht="15.75" customHeight="1">
      <c r="F144" s="39"/>
    </row>
    <row r="145" ht="15.75" customHeight="1">
      <c r="F145" s="39"/>
    </row>
    <row r="146" ht="15.75" customHeight="1">
      <c r="F146" s="39"/>
    </row>
    <row r="147" ht="15.75" customHeight="1">
      <c r="F147" s="39"/>
    </row>
    <row r="148" ht="15.75" customHeight="1">
      <c r="F148" s="39"/>
    </row>
    <row r="149" ht="15.75" customHeight="1">
      <c r="F149" s="39"/>
    </row>
    <row r="150" ht="15.75" customHeight="1">
      <c r="F150" s="39"/>
    </row>
    <row r="151" ht="15.75" customHeight="1">
      <c r="F151" s="39"/>
    </row>
    <row r="152" ht="15.75" customHeight="1">
      <c r="F152" s="39"/>
    </row>
    <row r="153" ht="15.75" customHeight="1">
      <c r="F153" s="39"/>
    </row>
    <row r="154" ht="15.75" customHeight="1">
      <c r="F154" s="39"/>
    </row>
    <row r="155" ht="15.75" customHeight="1">
      <c r="F155" s="39"/>
    </row>
    <row r="156" ht="15.75" customHeight="1">
      <c r="F156" s="39"/>
    </row>
    <row r="157" ht="15.75" customHeight="1">
      <c r="F157" s="39"/>
    </row>
    <row r="158" ht="15.75" customHeight="1">
      <c r="F158" s="39"/>
    </row>
    <row r="159" ht="15.75" customHeight="1">
      <c r="F159" s="39"/>
    </row>
    <row r="160" ht="15.75" customHeight="1">
      <c r="F160" s="39"/>
    </row>
    <row r="161" ht="15.75" customHeight="1">
      <c r="F161" s="39"/>
    </row>
    <row r="162" ht="15.75" customHeight="1">
      <c r="F162" s="39"/>
    </row>
    <row r="163" ht="15.75" customHeight="1">
      <c r="F163" s="39"/>
    </row>
    <row r="164" ht="15.75" customHeight="1">
      <c r="F164" s="39"/>
    </row>
    <row r="165" ht="15.75" customHeight="1">
      <c r="F165" s="39"/>
    </row>
    <row r="166" ht="15.75" customHeight="1">
      <c r="F166" s="39"/>
    </row>
    <row r="167" ht="15.75" customHeight="1">
      <c r="F167" s="39"/>
    </row>
    <row r="168" ht="15.75" customHeight="1">
      <c r="F168" s="39"/>
    </row>
    <row r="169" ht="15.75" customHeight="1">
      <c r="F169" s="39"/>
    </row>
    <row r="170" ht="15.75" customHeight="1">
      <c r="F170" s="39"/>
    </row>
    <row r="171" ht="15.75" customHeight="1">
      <c r="F171" s="39"/>
    </row>
    <row r="172" ht="15.75" customHeight="1">
      <c r="F172" s="39"/>
    </row>
    <row r="173" ht="15.75" customHeight="1">
      <c r="F173" s="39"/>
    </row>
    <row r="174" ht="15.75" customHeight="1">
      <c r="F174" s="39"/>
    </row>
    <row r="175" ht="15.75" customHeight="1">
      <c r="F175" s="39"/>
    </row>
    <row r="176" ht="15.75" customHeight="1">
      <c r="F176" s="39"/>
    </row>
    <row r="177" ht="15.75" customHeight="1">
      <c r="F177" s="39"/>
    </row>
    <row r="178" ht="15.75" customHeight="1">
      <c r="F178" s="39"/>
    </row>
    <row r="179" ht="15.75" customHeight="1">
      <c r="F179" s="39"/>
    </row>
    <row r="180" ht="15.75" customHeight="1">
      <c r="F180" s="39"/>
    </row>
    <row r="181" ht="15.75" customHeight="1">
      <c r="F181" s="39"/>
    </row>
    <row r="182" ht="15.75" customHeight="1">
      <c r="F182" s="39"/>
    </row>
    <row r="183" ht="15.75" customHeight="1">
      <c r="F183" s="39"/>
    </row>
    <row r="184" ht="15.75" customHeight="1">
      <c r="F184" s="39"/>
    </row>
    <row r="185" ht="15.75" customHeight="1">
      <c r="F185" s="39"/>
    </row>
    <row r="186" ht="15.75" customHeight="1">
      <c r="F186" s="39"/>
    </row>
    <row r="187" ht="15.75" customHeight="1">
      <c r="F187" s="39"/>
    </row>
    <row r="188" ht="15.75" customHeight="1">
      <c r="F188" s="39"/>
    </row>
    <row r="189" ht="15.75" customHeight="1">
      <c r="F189" s="39"/>
    </row>
    <row r="190" ht="15.75" customHeight="1">
      <c r="F190" s="39"/>
    </row>
    <row r="191" ht="15.75" customHeight="1">
      <c r="F191" s="39"/>
    </row>
    <row r="192" ht="15.75" customHeight="1">
      <c r="F192" s="39"/>
    </row>
    <row r="193" ht="15.75" customHeight="1">
      <c r="F193" s="39"/>
    </row>
    <row r="194" ht="15.75" customHeight="1">
      <c r="F194" s="39"/>
    </row>
    <row r="195" ht="15.75" customHeight="1">
      <c r="F195" s="39"/>
    </row>
    <row r="196" ht="15.75" customHeight="1">
      <c r="F196" s="39"/>
    </row>
    <row r="197" ht="15.75" customHeight="1">
      <c r="F197" s="39"/>
    </row>
    <row r="198" ht="15.75" customHeight="1">
      <c r="F198" s="39"/>
    </row>
    <row r="199" ht="15.75" customHeight="1">
      <c r="F199" s="39"/>
    </row>
    <row r="200" ht="15.75" customHeight="1">
      <c r="F200" s="39"/>
    </row>
    <row r="201" ht="15.75" customHeight="1">
      <c r="F201" s="39"/>
    </row>
    <row r="202" ht="15.75" customHeight="1">
      <c r="F202" s="39"/>
    </row>
    <row r="203" ht="15.75" customHeight="1">
      <c r="F203" s="39"/>
    </row>
    <row r="204" ht="15.75" customHeight="1">
      <c r="F204" s="39"/>
    </row>
    <row r="205" ht="15.75" customHeight="1">
      <c r="F205" s="39"/>
    </row>
    <row r="206" ht="15.75" customHeight="1">
      <c r="F206" s="39"/>
    </row>
    <row r="207" ht="15.75" customHeight="1">
      <c r="F207" s="39"/>
    </row>
    <row r="208" ht="15.75" customHeight="1">
      <c r="F208" s="39"/>
    </row>
    <row r="209" ht="15.75" customHeight="1">
      <c r="F209" s="39"/>
    </row>
    <row r="210" ht="15.75" customHeight="1">
      <c r="F210" s="39"/>
    </row>
    <row r="211" ht="15.75" customHeight="1">
      <c r="F211" s="39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51" t="s">
        <v>0</v>
      </c>
      <c r="B1" s="51" t="s">
        <v>1</v>
      </c>
      <c r="C1" s="31" t="s">
        <v>2</v>
      </c>
      <c r="D1" s="31" t="s">
        <v>338</v>
      </c>
      <c r="E1" s="31" t="s">
        <v>1</v>
      </c>
      <c r="F1" s="32" t="s">
        <v>339</v>
      </c>
      <c r="G1" s="33" t="s">
        <v>13</v>
      </c>
      <c r="H1" s="32" t="s">
        <v>340</v>
      </c>
      <c r="I1" s="33" t="s">
        <v>341</v>
      </c>
      <c r="J1" s="32" t="s">
        <v>342</v>
      </c>
      <c r="K1" s="33" t="s">
        <v>13</v>
      </c>
      <c r="L1" s="32" t="s">
        <v>343</v>
      </c>
      <c r="M1" s="33" t="s">
        <v>13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5">
        <v>1892.0</v>
      </c>
      <c r="B2" s="5" t="s">
        <v>36</v>
      </c>
      <c r="C2" s="6" t="str">
        <f t="shared" ref="C2:C3" si="1">CONCATENATE(D2,"_",E2)</f>
        <v>UPS-01_Control Room</v>
      </c>
      <c r="D2" s="7" t="s">
        <v>344</v>
      </c>
      <c r="E2" s="52" t="s">
        <v>345</v>
      </c>
      <c r="F2" s="6"/>
      <c r="G2" s="6"/>
      <c r="H2" s="53" t="s">
        <v>346</v>
      </c>
      <c r="I2" s="20">
        <v>0.0</v>
      </c>
      <c r="J2" s="4"/>
      <c r="K2" s="4"/>
      <c r="L2" s="53" t="s">
        <v>347</v>
      </c>
      <c r="M2" s="20">
        <v>0.0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5">
        <v>1892.0</v>
      </c>
      <c r="B3" s="5" t="s">
        <v>36</v>
      </c>
      <c r="C3" s="6" t="str">
        <f t="shared" si="1"/>
        <v>UPS-02_Control Room</v>
      </c>
      <c r="D3" s="7" t="s">
        <v>348</v>
      </c>
      <c r="E3" s="52" t="s">
        <v>345</v>
      </c>
      <c r="F3" s="4"/>
      <c r="G3" s="4"/>
      <c r="H3" s="53" t="s">
        <v>349</v>
      </c>
      <c r="I3" s="20">
        <v>0.0</v>
      </c>
      <c r="J3" s="4"/>
      <c r="K3" s="4"/>
      <c r="L3" s="53" t="s">
        <v>350</v>
      </c>
      <c r="M3" s="20">
        <v>0.0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15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32.75"/>
    <col customWidth="1" min="19" max="19" width="11.63"/>
    <col customWidth="1" min="20" max="20" width="9.0"/>
    <col customWidth="1" min="21" max="21" width="11.38"/>
    <col customWidth="1" min="22" max="22" width="25.5"/>
    <col customWidth="1" min="23" max="23" width="12.38"/>
    <col customWidth="1" min="24" max="24" width="9.0"/>
    <col customWidth="1" min="25" max="25" width="11.38"/>
    <col customWidth="1" min="26" max="26" width="25.5"/>
    <col customWidth="1" min="27" max="27" width="12.38"/>
    <col customWidth="1" min="28" max="28" width="9.0"/>
    <col customWidth="1" min="29" max="29" width="11.38"/>
  </cols>
  <sheetData>
    <row r="1">
      <c r="A1" s="51" t="s">
        <v>0</v>
      </c>
      <c r="B1" s="51" t="s">
        <v>1</v>
      </c>
      <c r="C1" s="31" t="s">
        <v>2</v>
      </c>
      <c r="D1" s="31" t="s">
        <v>351</v>
      </c>
      <c r="E1" s="31" t="s">
        <v>1</v>
      </c>
      <c r="F1" s="32" t="s">
        <v>352</v>
      </c>
      <c r="G1" s="33" t="s">
        <v>13</v>
      </c>
      <c r="H1" s="32" t="s">
        <v>9</v>
      </c>
      <c r="I1" s="32" t="s">
        <v>148</v>
      </c>
      <c r="J1" s="32" t="s">
        <v>353</v>
      </c>
      <c r="K1" s="33" t="s">
        <v>13</v>
      </c>
      <c r="L1" s="32" t="s">
        <v>9</v>
      </c>
      <c r="M1" s="32" t="s">
        <v>10</v>
      </c>
      <c r="N1" s="32" t="s">
        <v>354</v>
      </c>
      <c r="O1" s="33" t="s">
        <v>13</v>
      </c>
      <c r="P1" s="32" t="s">
        <v>147</v>
      </c>
      <c r="Q1" s="32" t="s">
        <v>10</v>
      </c>
      <c r="R1" s="32" t="s">
        <v>355</v>
      </c>
      <c r="S1" s="33" t="s">
        <v>13</v>
      </c>
      <c r="T1" s="32" t="s">
        <v>9</v>
      </c>
      <c r="U1" s="32" t="s">
        <v>356</v>
      </c>
      <c r="V1" s="32" t="s">
        <v>357</v>
      </c>
      <c r="W1" s="33" t="s">
        <v>13</v>
      </c>
      <c r="X1" s="32" t="s">
        <v>147</v>
      </c>
      <c r="Y1" s="32" t="s">
        <v>10</v>
      </c>
      <c r="Z1" s="32" t="s">
        <v>358</v>
      </c>
      <c r="AA1" s="33" t="s">
        <v>13</v>
      </c>
      <c r="AB1" s="32" t="s">
        <v>9</v>
      </c>
      <c r="AC1" s="32" t="s">
        <v>10</v>
      </c>
    </row>
    <row r="2" ht="15.75" customHeight="1">
      <c r="A2" s="5">
        <v>1892.0</v>
      </c>
      <c r="B2" s="5" t="s">
        <v>36</v>
      </c>
      <c r="C2" s="6" t="str">
        <f t="shared" ref="C2:C3" si="1">CONCATENATE(D2,"_",E2)</f>
        <v>GEPLC_Process PLC</v>
      </c>
      <c r="D2" s="6" t="s">
        <v>359</v>
      </c>
      <c r="E2" s="52" t="s">
        <v>360</v>
      </c>
      <c r="F2" s="53" t="s">
        <v>361</v>
      </c>
      <c r="G2" s="20">
        <v>1.0</v>
      </c>
      <c r="H2" s="49" t="s">
        <v>362</v>
      </c>
      <c r="I2" s="49" t="s">
        <v>363</v>
      </c>
      <c r="J2" s="53" t="s">
        <v>364</v>
      </c>
      <c r="K2" s="20">
        <v>1.0</v>
      </c>
      <c r="L2" s="49" t="s">
        <v>362</v>
      </c>
      <c r="M2" s="49" t="s">
        <v>365</v>
      </c>
      <c r="N2" s="43"/>
      <c r="O2" s="43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5.75" customHeight="1">
      <c r="A3" s="5">
        <v>1892.0</v>
      </c>
      <c r="B3" s="5" t="s">
        <v>36</v>
      </c>
      <c r="C3" s="6" t="str">
        <f t="shared" si="1"/>
        <v>SFT PLC_Safety PLC</v>
      </c>
      <c r="D3" s="49" t="s">
        <v>366</v>
      </c>
      <c r="E3" s="54" t="s">
        <v>367</v>
      </c>
      <c r="F3" s="53" t="s">
        <v>368</v>
      </c>
      <c r="G3" s="20">
        <v>1.0</v>
      </c>
      <c r="H3" s="49" t="s">
        <v>369</v>
      </c>
      <c r="I3" s="49" t="s">
        <v>363</v>
      </c>
      <c r="J3" s="53" t="s">
        <v>370</v>
      </c>
      <c r="K3" s="20">
        <v>1.0</v>
      </c>
      <c r="L3" s="49" t="s">
        <v>369</v>
      </c>
      <c r="M3" s="49" t="s">
        <v>365</v>
      </c>
      <c r="N3" s="55" t="s">
        <v>371</v>
      </c>
      <c r="O3" s="56">
        <v>0.0</v>
      </c>
      <c r="P3" s="49" t="s">
        <v>369</v>
      </c>
      <c r="Q3" s="57" t="s">
        <v>372</v>
      </c>
      <c r="R3" s="58"/>
      <c r="S3" s="58"/>
      <c r="T3" s="6"/>
      <c r="U3" s="6"/>
      <c r="V3" s="59" t="s">
        <v>373</v>
      </c>
      <c r="W3" s="60">
        <v>0.0</v>
      </c>
      <c r="X3" s="49" t="s">
        <v>369</v>
      </c>
      <c r="Y3" s="57" t="s">
        <v>363</v>
      </c>
      <c r="Z3" s="59" t="s">
        <v>374</v>
      </c>
      <c r="AA3" s="60">
        <v>0.0</v>
      </c>
      <c r="AB3" s="49" t="s">
        <v>369</v>
      </c>
      <c r="AC3" s="57" t="s">
        <v>365</v>
      </c>
    </row>
    <row r="4" ht="15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ht="15.7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ht="15.7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ht="15.7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ht="15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ht="15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ht="15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ht="15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ht="15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5" width="20.25"/>
    <col customWidth="1" min="6" max="6" width="12.13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28.75"/>
    <col customWidth="1" min="17" max="17" width="29.75"/>
  </cols>
  <sheetData>
    <row r="1">
      <c r="A1" s="51" t="s">
        <v>0</v>
      </c>
      <c r="B1" s="51" t="s">
        <v>1</v>
      </c>
      <c r="C1" s="31" t="s">
        <v>2</v>
      </c>
      <c r="D1" s="31" t="s">
        <v>375</v>
      </c>
      <c r="E1" s="31" t="s">
        <v>376</v>
      </c>
      <c r="F1" s="31" t="s">
        <v>1</v>
      </c>
      <c r="G1" s="32" t="s">
        <v>377</v>
      </c>
      <c r="H1" s="33" t="s">
        <v>13</v>
      </c>
      <c r="I1" s="32" t="s">
        <v>378</v>
      </c>
      <c r="J1" s="33" t="s">
        <v>13</v>
      </c>
      <c r="K1" s="32" t="s">
        <v>379</v>
      </c>
      <c r="L1" s="33" t="s">
        <v>13</v>
      </c>
      <c r="M1" s="32" t="s">
        <v>380</v>
      </c>
      <c r="N1" s="33" t="s">
        <v>13</v>
      </c>
      <c r="O1" s="32" t="s">
        <v>381</v>
      </c>
      <c r="P1" s="33" t="s">
        <v>13</v>
      </c>
      <c r="Q1" s="61" t="s">
        <v>382</v>
      </c>
      <c r="R1" s="49" t="s">
        <v>7</v>
      </c>
    </row>
    <row r="2">
      <c r="A2" s="5">
        <v>1892.0</v>
      </c>
      <c r="B2" s="5" t="s">
        <v>36</v>
      </c>
      <c r="C2" s="36" t="str">
        <f t="shared" ref="C2:C10" si="1">CONCATENATE(D2,"_",E2,"_",F2)</f>
        <v>GDS-01_PointType_BIO/HSD/MS UG TANK FARM</v>
      </c>
      <c r="D2" s="62" t="s">
        <v>383</v>
      </c>
      <c r="E2" s="63" t="s">
        <v>384</v>
      </c>
      <c r="F2" s="62" t="s">
        <v>385</v>
      </c>
      <c r="G2" s="43" t="s">
        <v>386</v>
      </c>
      <c r="H2" s="45">
        <v>0.0</v>
      </c>
      <c r="I2" s="43" t="s">
        <v>387</v>
      </c>
      <c r="J2" s="45">
        <v>0.0</v>
      </c>
      <c r="K2" s="43" t="s">
        <v>388</v>
      </c>
      <c r="L2" s="45">
        <v>0.0</v>
      </c>
      <c r="M2" s="43" t="s">
        <v>389</v>
      </c>
      <c r="N2" s="45">
        <v>0.0</v>
      </c>
      <c r="O2" s="43" t="s">
        <v>390</v>
      </c>
      <c r="P2" s="45">
        <v>0.0</v>
      </c>
      <c r="Q2" s="64" t="s">
        <v>391</v>
      </c>
      <c r="R2" s="45">
        <v>0.0</v>
      </c>
    </row>
    <row r="3">
      <c r="A3" s="5">
        <v>1892.0</v>
      </c>
      <c r="B3" s="5" t="s">
        <v>36</v>
      </c>
      <c r="C3" s="36" t="str">
        <f t="shared" si="1"/>
        <v>GDS-02_PointType_MS UG TANK FARM</v>
      </c>
      <c r="D3" s="65" t="s">
        <v>392</v>
      </c>
      <c r="E3" s="63" t="s">
        <v>384</v>
      </c>
      <c r="F3" s="65" t="s">
        <v>393</v>
      </c>
      <c r="G3" s="66" t="s">
        <v>394</v>
      </c>
      <c r="H3" s="45">
        <v>0.0</v>
      </c>
      <c r="I3" s="66" t="s">
        <v>395</v>
      </c>
      <c r="J3" s="45">
        <v>0.0</v>
      </c>
      <c r="K3" s="66" t="s">
        <v>396</v>
      </c>
      <c r="L3" s="45">
        <v>0.0</v>
      </c>
      <c r="M3" s="66" t="s">
        <v>397</v>
      </c>
      <c r="N3" s="45">
        <v>0.0</v>
      </c>
      <c r="O3" s="66" t="s">
        <v>398</v>
      </c>
      <c r="P3" s="45">
        <v>0.0</v>
      </c>
      <c r="Q3" s="64" t="s">
        <v>391</v>
      </c>
      <c r="R3" s="45">
        <v>0.0</v>
      </c>
    </row>
    <row r="4">
      <c r="A4" s="5">
        <v>1892.0</v>
      </c>
      <c r="B4" s="5" t="s">
        <v>36</v>
      </c>
      <c r="C4" s="36" t="str">
        <f t="shared" si="1"/>
        <v>GDS-03_PointType_ETH UG TANK FARM</v>
      </c>
      <c r="D4" s="65" t="s">
        <v>399</v>
      </c>
      <c r="E4" s="63" t="s">
        <v>384</v>
      </c>
      <c r="F4" s="65" t="s">
        <v>400</v>
      </c>
      <c r="G4" s="66" t="s">
        <v>401</v>
      </c>
      <c r="H4" s="45">
        <v>0.0</v>
      </c>
      <c r="I4" s="66" t="s">
        <v>402</v>
      </c>
      <c r="J4" s="45">
        <v>0.0</v>
      </c>
      <c r="K4" s="66" t="s">
        <v>403</v>
      </c>
      <c r="L4" s="45">
        <v>0.0</v>
      </c>
      <c r="M4" s="66" t="s">
        <v>404</v>
      </c>
      <c r="N4" s="45">
        <v>0.0</v>
      </c>
      <c r="O4" s="66" t="s">
        <v>405</v>
      </c>
      <c r="P4" s="45">
        <v>0.0</v>
      </c>
      <c r="Q4" s="64" t="s">
        <v>391</v>
      </c>
      <c r="R4" s="45">
        <v>0.0</v>
      </c>
    </row>
    <row r="5">
      <c r="A5" s="5">
        <v>1892.0</v>
      </c>
      <c r="B5" s="5" t="s">
        <v>36</v>
      </c>
      <c r="C5" s="36" t="str">
        <f t="shared" si="1"/>
        <v>GDS-04_PointType_COMPOUND WALL DRAIN PIT</v>
      </c>
      <c r="D5" s="65" t="s">
        <v>406</v>
      </c>
      <c r="E5" s="63" t="s">
        <v>384</v>
      </c>
      <c r="F5" s="65" t="s">
        <v>407</v>
      </c>
      <c r="G5" s="66" t="s">
        <v>408</v>
      </c>
      <c r="H5" s="45">
        <v>0.0</v>
      </c>
      <c r="I5" s="66" t="s">
        <v>409</v>
      </c>
      <c r="J5" s="45">
        <v>0.0</v>
      </c>
      <c r="K5" s="66" t="s">
        <v>410</v>
      </c>
      <c r="L5" s="45">
        <v>0.0</v>
      </c>
      <c r="M5" s="66" t="s">
        <v>411</v>
      </c>
      <c r="N5" s="45">
        <v>0.0</v>
      </c>
      <c r="O5" s="66" t="s">
        <v>412</v>
      </c>
      <c r="P5" s="45">
        <v>0.0</v>
      </c>
      <c r="Q5" s="64" t="s">
        <v>391</v>
      </c>
      <c r="R5" s="45">
        <v>0.0</v>
      </c>
    </row>
    <row r="6">
      <c r="A6" s="5">
        <v>1892.0</v>
      </c>
      <c r="B6" s="5" t="s">
        <v>36</v>
      </c>
      <c r="C6" s="36" t="str">
        <f t="shared" si="1"/>
        <v>HDS-01_OpenPath_Product Pump House</v>
      </c>
      <c r="D6" s="65" t="s">
        <v>413</v>
      </c>
      <c r="E6" s="63" t="s">
        <v>414</v>
      </c>
      <c r="F6" s="65" t="s">
        <v>415</v>
      </c>
      <c r="G6" s="66" t="s">
        <v>416</v>
      </c>
      <c r="H6" s="45">
        <v>0.0</v>
      </c>
      <c r="I6" s="66" t="s">
        <v>417</v>
      </c>
      <c r="J6" s="45">
        <v>0.0</v>
      </c>
      <c r="K6" s="66" t="s">
        <v>418</v>
      </c>
      <c r="L6" s="45">
        <v>0.0</v>
      </c>
      <c r="M6" s="66" t="s">
        <v>419</v>
      </c>
      <c r="N6" s="45">
        <v>0.0</v>
      </c>
      <c r="O6" s="66" t="s">
        <v>420</v>
      </c>
      <c r="P6" s="45">
        <v>0.0</v>
      </c>
      <c r="Q6" s="64" t="s">
        <v>391</v>
      </c>
      <c r="R6" s="45">
        <v>0.0</v>
      </c>
    </row>
    <row r="7">
      <c r="A7" s="5">
        <v>1892.0</v>
      </c>
      <c r="B7" s="5" t="s">
        <v>36</v>
      </c>
      <c r="C7" s="36" t="str">
        <f t="shared" si="1"/>
        <v>HDS-02_OpenPath_Near Manifold TK-2</v>
      </c>
      <c r="D7" s="65" t="s">
        <v>421</v>
      </c>
      <c r="E7" s="63" t="s">
        <v>414</v>
      </c>
      <c r="F7" s="65" t="s">
        <v>422</v>
      </c>
      <c r="G7" s="66" t="s">
        <v>423</v>
      </c>
      <c r="H7" s="45">
        <v>0.0</v>
      </c>
      <c r="I7" s="66" t="s">
        <v>424</v>
      </c>
      <c r="J7" s="45">
        <v>0.0</v>
      </c>
      <c r="K7" s="66" t="s">
        <v>425</v>
      </c>
      <c r="L7" s="45">
        <v>0.0</v>
      </c>
      <c r="M7" s="66" t="s">
        <v>426</v>
      </c>
      <c r="N7" s="45">
        <v>0.0</v>
      </c>
      <c r="O7" s="66" t="s">
        <v>427</v>
      </c>
      <c r="P7" s="45">
        <v>0.0</v>
      </c>
      <c r="Q7" s="64" t="s">
        <v>391</v>
      </c>
      <c r="R7" s="45">
        <v>0.0</v>
      </c>
    </row>
    <row r="8">
      <c r="A8" s="5">
        <v>1892.0</v>
      </c>
      <c r="B8" s="5" t="s">
        <v>36</v>
      </c>
      <c r="C8" s="36" t="str">
        <f t="shared" si="1"/>
        <v>HDS-03_PointType_TF Near Dyke Valve</v>
      </c>
      <c r="D8" s="65" t="s">
        <v>428</v>
      </c>
      <c r="E8" s="63" t="s">
        <v>384</v>
      </c>
      <c r="F8" s="65" t="s">
        <v>429</v>
      </c>
      <c r="G8" s="66" t="s">
        <v>430</v>
      </c>
      <c r="H8" s="45">
        <v>0.0</v>
      </c>
      <c r="I8" s="66" t="s">
        <v>431</v>
      </c>
      <c r="J8" s="45">
        <v>0.0</v>
      </c>
      <c r="K8" s="66" t="s">
        <v>432</v>
      </c>
      <c r="L8" s="45">
        <v>0.0</v>
      </c>
      <c r="M8" s="66" t="s">
        <v>433</v>
      </c>
      <c r="N8" s="45">
        <v>0.0</v>
      </c>
      <c r="O8" s="66" t="s">
        <v>434</v>
      </c>
      <c r="P8" s="45">
        <v>0.0</v>
      </c>
      <c r="Q8" s="64" t="s">
        <v>391</v>
      </c>
      <c r="R8" s="45">
        <v>0.0</v>
      </c>
    </row>
    <row r="9">
      <c r="A9" s="5">
        <v>1892.0</v>
      </c>
      <c r="B9" s="5" t="s">
        <v>36</v>
      </c>
      <c r="C9" s="36" t="str">
        <f t="shared" si="1"/>
        <v>HDS-04_PointType_PIPE MANIFOLD</v>
      </c>
      <c r="D9" s="65" t="s">
        <v>435</v>
      </c>
      <c r="E9" s="63" t="s">
        <v>384</v>
      </c>
      <c r="F9" s="65" t="s">
        <v>436</v>
      </c>
      <c r="G9" s="66" t="s">
        <v>437</v>
      </c>
      <c r="H9" s="45">
        <v>0.0</v>
      </c>
      <c r="I9" s="66" t="s">
        <v>438</v>
      </c>
      <c r="J9" s="45">
        <v>0.0</v>
      </c>
      <c r="K9" s="66" t="s">
        <v>439</v>
      </c>
      <c r="L9" s="45">
        <v>0.0</v>
      </c>
      <c r="M9" s="66" t="s">
        <v>440</v>
      </c>
      <c r="N9" s="45">
        <v>0.0</v>
      </c>
      <c r="O9" s="66" t="s">
        <v>441</v>
      </c>
      <c r="P9" s="45">
        <v>0.0</v>
      </c>
      <c r="Q9" s="64" t="s">
        <v>391</v>
      </c>
      <c r="R9" s="45">
        <v>0.0</v>
      </c>
    </row>
    <row r="10">
      <c r="A10" s="5">
        <v>1892.0</v>
      </c>
      <c r="B10" s="5" t="s">
        <v>36</v>
      </c>
      <c r="C10" s="36" t="str">
        <f t="shared" si="1"/>
        <v>HDS-05_PointType_Pipe Manifold</v>
      </c>
      <c r="D10" s="65" t="s">
        <v>442</v>
      </c>
      <c r="E10" s="63" t="s">
        <v>384</v>
      </c>
      <c r="F10" s="65" t="s">
        <v>443</v>
      </c>
      <c r="G10" s="66" t="s">
        <v>444</v>
      </c>
      <c r="H10" s="45">
        <v>0.0</v>
      </c>
      <c r="I10" s="66" t="s">
        <v>445</v>
      </c>
      <c r="J10" s="45">
        <v>0.0</v>
      </c>
      <c r="K10" s="66" t="s">
        <v>446</v>
      </c>
      <c r="L10" s="45">
        <v>0.0</v>
      </c>
      <c r="M10" s="66" t="s">
        <v>447</v>
      </c>
      <c r="N10" s="45">
        <v>0.0</v>
      </c>
      <c r="O10" s="66" t="s">
        <v>448</v>
      </c>
      <c r="P10" s="45">
        <v>0.0</v>
      </c>
      <c r="Q10" s="64" t="s">
        <v>391</v>
      </c>
      <c r="R10" s="45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7.63"/>
    <col customWidth="1" min="5" max="5" width="11.5"/>
    <col customWidth="1" min="6" max="6" width="29.75"/>
  </cols>
  <sheetData>
    <row r="1" ht="15.75" customHeight="1">
      <c r="A1" s="31" t="s">
        <v>0</v>
      </c>
      <c r="B1" s="31" t="s">
        <v>1</v>
      </c>
      <c r="C1" s="31" t="s">
        <v>449</v>
      </c>
      <c r="D1" s="32" t="s">
        <v>450</v>
      </c>
      <c r="E1" s="33" t="s">
        <v>13</v>
      </c>
      <c r="F1" s="67" t="s">
        <v>451</v>
      </c>
      <c r="G1" s="4" t="s">
        <v>7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5.75" customHeight="1">
      <c r="A2" s="5">
        <v>1892.0</v>
      </c>
      <c r="B2" s="5" t="s">
        <v>36</v>
      </c>
      <c r="C2" s="62" t="s">
        <v>452</v>
      </c>
      <c r="D2" s="53" t="s">
        <v>453</v>
      </c>
      <c r="E2" s="20">
        <v>0.0</v>
      </c>
      <c r="F2" s="64" t="s">
        <v>391</v>
      </c>
      <c r="G2" s="20">
        <v>0.0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5.75" customHeight="1">
      <c r="A3" s="5">
        <v>1892.0</v>
      </c>
      <c r="B3" s="5" t="s">
        <v>36</v>
      </c>
      <c r="C3" s="62" t="s">
        <v>454</v>
      </c>
      <c r="D3" s="53" t="s">
        <v>455</v>
      </c>
      <c r="E3" s="20">
        <v>0.0</v>
      </c>
      <c r="F3" s="64" t="s">
        <v>391</v>
      </c>
      <c r="G3" s="20">
        <v>0.0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5.75" customHeight="1">
      <c r="A4" s="5">
        <v>1892.0</v>
      </c>
      <c r="B4" s="5" t="s">
        <v>36</v>
      </c>
      <c r="C4" s="62" t="s">
        <v>456</v>
      </c>
      <c r="D4" s="53" t="s">
        <v>457</v>
      </c>
      <c r="E4" s="20">
        <v>0.0</v>
      </c>
      <c r="F4" s="64" t="s">
        <v>391</v>
      </c>
      <c r="G4" s="20">
        <v>0.0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5.7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.7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.7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31" t="s">
        <v>0</v>
      </c>
      <c r="B1" s="31" t="s">
        <v>1</v>
      </c>
      <c r="C1" s="31" t="s">
        <v>458</v>
      </c>
      <c r="D1" s="32" t="s">
        <v>459</v>
      </c>
      <c r="E1" s="33" t="s">
        <v>7</v>
      </c>
      <c r="F1" s="32" t="s">
        <v>460</v>
      </c>
      <c r="G1" s="33" t="s">
        <v>7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ht="15.75" customHeight="1">
      <c r="A2" s="5">
        <v>1892.0</v>
      </c>
      <c r="B2" s="5" t="s">
        <v>36</v>
      </c>
      <c r="C2" s="43" t="s">
        <v>461</v>
      </c>
      <c r="D2" s="43" t="s">
        <v>462</v>
      </c>
      <c r="E2" s="45">
        <v>0.0</v>
      </c>
      <c r="F2" s="43" t="s">
        <v>463</v>
      </c>
      <c r="G2" s="45">
        <v>1.0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ht="15.75" customHeight="1">
      <c r="A3" s="5">
        <v>1892.0</v>
      </c>
      <c r="B3" s="5" t="s">
        <v>36</v>
      </c>
      <c r="C3" s="43" t="s">
        <v>464</v>
      </c>
      <c r="D3" s="43" t="s">
        <v>465</v>
      </c>
      <c r="E3" s="45">
        <v>0.0</v>
      </c>
      <c r="F3" s="43" t="s">
        <v>466</v>
      </c>
      <c r="G3" s="45">
        <v>1.0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</row>
    <row r="4" ht="15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ht="15.7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ht="15.7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ht="15.7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ht="15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ht="15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ht="15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ht="15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ht="15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ht="15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31" t="s">
        <v>0</v>
      </c>
      <c r="B1" s="31" t="s">
        <v>1</v>
      </c>
      <c r="C1" s="31" t="s">
        <v>2</v>
      </c>
      <c r="D1" s="31" t="s">
        <v>467</v>
      </c>
      <c r="E1" s="31" t="s">
        <v>468</v>
      </c>
      <c r="F1" s="32" t="s">
        <v>469</v>
      </c>
      <c r="G1" s="33" t="s">
        <v>13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5">
        <v>1892.0</v>
      </c>
      <c r="B2" s="5" t="s">
        <v>36</v>
      </c>
      <c r="C2" s="6" t="str">
        <f t="shared" ref="C2:C4" si="1">CONCATENATE(D2,"_",E2)</f>
        <v>HOOTER_HOOTER_FIELD_2</v>
      </c>
      <c r="D2" s="10" t="s">
        <v>470</v>
      </c>
      <c r="E2" s="68" t="s">
        <v>471</v>
      </c>
      <c r="F2" s="36" t="s">
        <v>472</v>
      </c>
      <c r="G2" s="45">
        <v>0.0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5">
        <v>1892.0</v>
      </c>
      <c r="B3" s="5" t="s">
        <v>36</v>
      </c>
      <c r="C3" s="6" t="str">
        <f t="shared" si="1"/>
        <v>HOOTER_HOOTER_FIELD_4</v>
      </c>
      <c r="D3" s="10" t="s">
        <v>470</v>
      </c>
      <c r="E3" s="68" t="s">
        <v>473</v>
      </c>
      <c r="F3" s="36" t="s">
        <v>474</v>
      </c>
      <c r="G3" s="45">
        <v>0.0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5">
        <v>1892.0</v>
      </c>
      <c r="B4" s="5" t="s">
        <v>36</v>
      </c>
      <c r="C4" s="6" t="str">
        <f t="shared" si="1"/>
        <v>HOOTER_HOOTER_FOR_RIMSEAL_CR</v>
      </c>
      <c r="D4" s="10" t="s">
        <v>470</v>
      </c>
      <c r="E4" s="68" t="s">
        <v>475</v>
      </c>
      <c r="F4" s="36" t="s">
        <v>476</v>
      </c>
      <c r="G4" s="45">
        <v>0.0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15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31.0"/>
    <col customWidth="1" min="4" max="4" width="6.88"/>
    <col customWidth="1" min="5" max="5" width="11.38"/>
    <col customWidth="1" min="6" max="6" width="9.0"/>
    <col customWidth="1" min="7" max="7" width="11.25"/>
    <col customWidth="1" min="8" max="8" width="11.5"/>
    <col customWidth="1" min="9" max="9" width="31.0"/>
    <col customWidth="1" min="10" max="10" width="11.5"/>
    <col customWidth="1" min="11" max="11" width="29.25"/>
    <col customWidth="1" min="12" max="12" width="11.5"/>
    <col customWidth="1" min="13" max="13" width="16.5"/>
    <col customWidth="1" min="14" max="14" width="11.5"/>
    <col customWidth="1" min="15" max="15" width="25.75"/>
    <col customWidth="1" min="16" max="16" width="11.5"/>
    <col customWidth="1" min="17" max="17" width="24.63"/>
    <col customWidth="1" min="18" max="18" width="11.5"/>
    <col customWidth="1" min="19" max="19" width="21.63"/>
    <col customWidth="1" min="20" max="20" width="11.5"/>
    <col customWidth="1" min="21" max="21" width="13.75"/>
    <col customWidth="1" min="22" max="22" width="11.5"/>
    <col customWidth="1" min="23" max="23" width="23.5"/>
    <col customWidth="1" min="24" max="24" width="11.5"/>
    <col customWidth="1" min="25" max="25" width="12.5"/>
    <col customWidth="1" min="26" max="26" width="11.5"/>
    <col customWidth="1" min="27" max="27" width="29.25"/>
    <col customWidth="1" min="28" max="28" width="11.5"/>
    <col customWidth="1" min="29" max="29" width="27.63"/>
    <col customWidth="1" min="30" max="30" width="11.5"/>
    <col customWidth="1" min="31" max="31" width="24.5"/>
    <col customWidth="1" min="32" max="32" width="11.5"/>
  </cols>
  <sheetData>
    <row r="1">
      <c r="A1" s="69" t="s">
        <v>0</v>
      </c>
      <c r="B1" s="69" t="s">
        <v>1</v>
      </c>
      <c r="C1" s="69" t="s">
        <v>2</v>
      </c>
      <c r="D1" s="69" t="s">
        <v>477</v>
      </c>
      <c r="E1" s="69" t="s">
        <v>478</v>
      </c>
      <c r="F1" s="69" t="s">
        <v>1</v>
      </c>
      <c r="G1" s="70" t="s">
        <v>479</v>
      </c>
      <c r="H1" s="71" t="s">
        <v>13</v>
      </c>
      <c r="I1" s="70" t="s">
        <v>480</v>
      </c>
      <c r="J1" s="71" t="s">
        <v>13</v>
      </c>
      <c r="K1" s="72" t="s">
        <v>481</v>
      </c>
      <c r="L1" s="71" t="s">
        <v>13</v>
      </c>
      <c r="M1" s="72" t="s">
        <v>482</v>
      </c>
      <c r="N1" s="71" t="s">
        <v>13</v>
      </c>
      <c r="O1" s="72" t="s">
        <v>483</v>
      </c>
      <c r="P1" s="71" t="s">
        <v>13</v>
      </c>
      <c r="Q1" s="72" t="s">
        <v>484</v>
      </c>
      <c r="R1" s="71" t="s">
        <v>13</v>
      </c>
      <c r="S1" s="72" t="s">
        <v>485</v>
      </c>
      <c r="T1" s="71" t="s">
        <v>13</v>
      </c>
      <c r="U1" s="72" t="s">
        <v>486</v>
      </c>
      <c r="V1" s="71" t="s">
        <v>13</v>
      </c>
      <c r="W1" s="72" t="s">
        <v>487</v>
      </c>
      <c r="X1" s="71" t="s">
        <v>13</v>
      </c>
      <c r="Y1" s="72" t="s">
        <v>488</v>
      </c>
      <c r="Z1" s="71" t="s">
        <v>13</v>
      </c>
      <c r="AA1" s="72" t="s">
        <v>489</v>
      </c>
      <c r="AB1" s="71" t="s">
        <v>13</v>
      </c>
      <c r="AC1" s="72" t="s">
        <v>490</v>
      </c>
      <c r="AD1" s="71" t="s">
        <v>13</v>
      </c>
      <c r="AE1" s="72" t="s">
        <v>491</v>
      </c>
      <c r="AF1" s="71" t="s">
        <v>13</v>
      </c>
    </row>
    <row r="2" ht="15.75" customHeight="1">
      <c r="A2" s="5">
        <v>1892.0</v>
      </c>
      <c r="B2" s="5" t="s">
        <v>36</v>
      </c>
      <c r="C2" s="6" t="str">
        <f t="shared" ref="C2:C18" si="1">CONCATENATE(D2,"_",F2)</f>
        <v>ESD-01_LOCATION INCHARGE ROOM</v>
      </c>
      <c r="D2" s="62" t="s">
        <v>492</v>
      </c>
      <c r="E2" s="62" t="s">
        <v>493</v>
      </c>
      <c r="F2" s="62" t="s">
        <v>494</v>
      </c>
      <c r="G2" s="36" t="s">
        <v>495</v>
      </c>
      <c r="H2" s="37">
        <v>0.0</v>
      </c>
      <c r="I2" s="36" t="s">
        <v>496</v>
      </c>
      <c r="J2" s="45">
        <v>0.0</v>
      </c>
      <c r="K2" s="64" t="s">
        <v>497</v>
      </c>
      <c r="L2" s="10">
        <v>0.0</v>
      </c>
      <c r="M2" s="64" t="s">
        <v>498</v>
      </c>
      <c r="N2" s="10">
        <v>0.0</v>
      </c>
      <c r="O2" s="64" t="s">
        <v>499</v>
      </c>
      <c r="P2" s="10">
        <v>0.0</v>
      </c>
      <c r="Q2" s="64" t="s">
        <v>500</v>
      </c>
      <c r="R2" s="10">
        <v>0.0</v>
      </c>
      <c r="S2" s="64" t="s">
        <v>501</v>
      </c>
      <c r="T2" s="10">
        <v>0.0</v>
      </c>
      <c r="U2" s="64" t="s">
        <v>502</v>
      </c>
      <c r="V2" s="10">
        <v>0.0</v>
      </c>
      <c r="W2" s="64" t="s">
        <v>503</v>
      </c>
      <c r="X2" s="10">
        <v>0.0</v>
      </c>
      <c r="Y2" s="64" t="s">
        <v>504</v>
      </c>
      <c r="Z2" s="10">
        <v>0.0</v>
      </c>
      <c r="AA2" s="64" t="s">
        <v>505</v>
      </c>
      <c r="AB2" s="10">
        <v>0.0</v>
      </c>
      <c r="AC2" s="64" t="s">
        <v>506</v>
      </c>
      <c r="AD2" s="10">
        <v>0.0</v>
      </c>
      <c r="AE2" s="64"/>
      <c r="AF2" s="4"/>
    </row>
    <row r="3" ht="15.75" customHeight="1">
      <c r="A3" s="5">
        <v>1892.0</v>
      </c>
      <c r="B3" s="5" t="s">
        <v>36</v>
      </c>
      <c r="C3" s="6" t="str">
        <f t="shared" si="1"/>
        <v>ESD-02_SECURITY ROOM</v>
      </c>
      <c r="D3" s="62" t="s">
        <v>507</v>
      </c>
      <c r="E3" s="62" t="s">
        <v>508</v>
      </c>
      <c r="F3" s="62" t="s">
        <v>509</v>
      </c>
      <c r="G3" s="36" t="s">
        <v>510</v>
      </c>
      <c r="H3" s="37">
        <v>0.0</v>
      </c>
      <c r="I3" s="36" t="s">
        <v>511</v>
      </c>
      <c r="J3" s="45">
        <v>0.0</v>
      </c>
      <c r="K3" s="64" t="s">
        <v>497</v>
      </c>
      <c r="L3" s="10">
        <v>0.0</v>
      </c>
      <c r="M3" s="64" t="s">
        <v>498</v>
      </c>
      <c r="N3" s="10">
        <v>0.0</v>
      </c>
      <c r="O3" s="64" t="s">
        <v>499</v>
      </c>
      <c r="P3" s="10">
        <v>0.0</v>
      </c>
      <c r="Q3" s="64" t="s">
        <v>500</v>
      </c>
      <c r="R3" s="10">
        <v>0.0</v>
      </c>
      <c r="S3" s="64" t="s">
        <v>501</v>
      </c>
      <c r="T3" s="10">
        <v>0.0</v>
      </c>
      <c r="U3" s="64" t="s">
        <v>502</v>
      </c>
      <c r="V3" s="10">
        <v>0.0</v>
      </c>
      <c r="W3" s="64" t="s">
        <v>503</v>
      </c>
      <c r="X3" s="10">
        <v>0.0</v>
      </c>
      <c r="Y3" s="64" t="s">
        <v>504</v>
      </c>
      <c r="Z3" s="10">
        <v>0.0</v>
      </c>
      <c r="AA3" s="64" t="s">
        <v>505</v>
      </c>
      <c r="AB3" s="10">
        <v>0.0</v>
      </c>
      <c r="AC3" s="64" t="s">
        <v>506</v>
      </c>
      <c r="AD3" s="10">
        <v>0.0</v>
      </c>
      <c r="AE3" s="4"/>
      <c r="AF3" s="4"/>
    </row>
    <row r="4" ht="15.75" customHeight="1">
      <c r="A4" s="5">
        <v>1892.0</v>
      </c>
      <c r="B4" s="5" t="s">
        <v>36</v>
      </c>
      <c r="C4" s="6" t="str">
        <f t="shared" si="1"/>
        <v>ESD-03_TANK FARM 1 DYKE VALVE</v>
      </c>
      <c r="D4" s="62" t="s">
        <v>512</v>
      </c>
      <c r="E4" s="62" t="s">
        <v>513</v>
      </c>
      <c r="F4" s="62" t="s">
        <v>514</v>
      </c>
      <c r="G4" s="36" t="s">
        <v>515</v>
      </c>
      <c r="H4" s="37">
        <v>0.0</v>
      </c>
      <c r="I4" s="36" t="s">
        <v>516</v>
      </c>
      <c r="J4" s="45">
        <v>0.0</v>
      </c>
      <c r="K4" s="64" t="s">
        <v>497</v>
      </c>
      <c r="L4" s="10">
        <v>0.0</v>
      </c>
      <c r="M4" s="64" t="s">
        <v>498</v>
      </c>
      <c r="N4" s="10">
        <v>0.0</v>
      </c>
      <c r="O4" s="64" t="s">
        <v>499</v>
      </c>
      <c r="P4" s="10">
        <v>0.0</v>
      </c>
      <c r="Q4" s="64" t="s">
        <v>500</v>
      </c>
      <c r="R4" s="10">
        <v>0.0</v>
      </c>
      <c r="S4" s="64" t="s">
        <v>501</v>
      </c>
      <c r="T4" s="10">
        <v>0.0</v>
      </c>
      <c r="U4" s="64" t="s">
        <v>502</v>
      </c>
      <c r="V4" s="10">
        <v>0.0</v>
      </c>
      <c r="W4" s="64" t="s">
        <v>503</v>
      </c>
      <c r="X4" s="10">
        <v>0.0</v>
      </c>
      <c r="Y4" s="64" t="s">
        <v>504</v>
      </c>
      <c r="Z4" s="10">
        <v>0.0</v>
      </c>
      <c r="AA4" s="64" t="s">
        <v>505</v>
      </c>
      <c r="AB4" s="10">
        <v>0.0</v>
      </c>
      <c r="AC4" s="64" t="s">
        <v>506</v>
      </c>
      <c r="AD4" s="10">
        <v>0.0</v>
      </c>
      <c r="AE4" s="4"/>
      <c r="AF4" s="4"/>
    </row>
    <row r="5" ht="15.75" customHeight="1">
      <c r="A5" s="5">
        <v>1892.0</v>
      </c>
      <c r="B5" s="5" t="s">
        <v>36</v>
      </c>
      <c r="C5" s="6" t="str">
        <f t="shared" si="1"/>
        <v>ESD-04_WAGON SIDING NORTH SIDE</v>
      </c>
      <c r="D5" s="62" t="s">
        <v>517</v>
      </c>
      <c r="E5" s="62" t="s">
        <v>518</v>
      </c>
      <c r="F5" s="62" t="s">
        <v>519</v>
      </c>
      <c r="G5" s="36" t="s">
        <v>520</v>
      </c>
      <c r="H5" s="37">
        <v>0.0</v>
      </c>
      <c r="I5" s="36" t="s">
        <v>521</v>
      </c>
      <c r="J5" s="45">
        <v>0.0</v>
      </c>
      <c r="K5" s="64" t="s">
        <v>497</v>
      </c>
      <c r="L5" s="10">
        <v>0.0</v>
      </c>
      <c r="M5" s="64" t="s">
        <v>498</v>
      </c>
      <c r="N5" s="10">
        <v>0.0</v>
      </c>
      <c r="O5" s="64" t="s">
        <v>499</v>
      </c>
      <c r="P5" s="10">
        <v>0.0</v>
      </c>
      <c r="Q5" s="64" t="s">
        <v>500</v>
      </c>
      <c r="R5" s="10">
        <v>0.0</v>
      </c>
      <c r="S5" s="64" t="s">
        <v>501</v>
      </c>
      <c r="T5" s="10">
        <v>0.0</v>
      </c>
      <c r="U5" s="64" t="s">
        <v>502</v>
      </c>
      <c r="V5" s="10">
        <v>0.0</v>
      </c>
      <c r="W5" s="64" t="s">
        <v>503</v>
      </c>
      <c r="X5" s="10">
        <v>0.0</v>
      </c>
      <c r="Y5" s="64" t="s">
        <v>504</v>
      </c>
      <c r="Z5" s="10">
        <v>0.0</v>
      </c>
      <c r="AA5" s="64" t="s">
        <v>505</v>
      </c>
      <c r="AB5" s="10">
        <v>0.0</v>
      </c>
      <c r="AC5" s="64" t="s">
        <v>506</v>
      </c>
      <c r="AD5" s="10">
        <v>0.0</v>
      </c>
      <c r="AE5" s="4"/>
      <c r="AF5" s="4"/>
    </row>
    <row r="6" ht="15.75" customHeight="1">
      <c r="A6" s="5">
        <v>1892.0</v>
      </c>
      <c r="B6" s="5" t="s">
        <v>36</v>
      </c>
      <c r="C6" s="6" t="str">
        <f t="shared" si="1"/>
        <v>ESD-05_CONTROL ROOM</v>
      </c>
      <c r="D6" s="62" t="s">
        <v>522</v>
      </c>
      <c r="E6" s="62" t="s">
        <v>523</v>
      </c>
      <c r="F6" s="62" t="s">
        <v>524</v>
      </c>
      <c r="G6" s="36" t="s">
        <v>525</v>
      </c>
      <c r="H6" s="37">
        <v>0.0</v>
      </c>
      <c r="I6" s="36" t="s">
        <v>526</v>
      </c>
      <c r="J6" s="45">
        <v>0.0</v>
      </c>
      <c r="K6" s="64" t="s">
        <v>497</v>
      </c>
      <c r="L6" s="10">
        <v>0.0</v>
      </c>
      <c r="M6" s="64" t="s">
        <v>498</v>
      </c>
      <c r="N6" s="10">
        <v>0.0</v>
      </c>
      <c r="O6" s="64" t="s">
        <v>499</v>
      </c>
      <c r="P6" s="10">
        <v>0.0</v>
      </c>
      <c r="Q6" s="64" t="s">
        <v>500</v>
      </c>
      <c r="R6" s="10">
        <v>0.0</v>
      </c>
      <c r="S6" s="64" t="s">
        <v>501</v>
      </c>
      <c r="T6" s="10">
        <v>0.0</v>
      </c>
      <c r="U6" s="64" t="s">
        <v>502</v>
      </c>
      <c r="V6" s="10">
        <v>0.0</v>
      </c>
      <c r="W6" s="64" t="s">
        <v>503</v>
      </c>
      <c r="X6" s="10">
        <v>0.0</v>
      </c>
      <c r="Y6" s="64" t="s">
        <v>504</v>
      </c>
      <c r="Z6" s="10">
        <v>0.0</v>
      </c>
      <c r="AA6" s="64" t="s">
        <v>505</v>
      </c>
      <c r="AB6" s="10">
        <v>0.0</v>
      </c>
      <c r="AC6" s="64" t="s">
        <v>506</v>
      </c>
      <c r="AD6" s="10">
        <v>0.0</v>
      </c>
      <c r="AE6" s="4"/>
      <c r="AF6" s="4"/>
    </row>
    <row r="7" ht="15.75" customHeight="1">
      <c r="A7" s="5">
        <v>1892.0</v>
      </c>
      <c r="B7" s="5" t="s">
        <v>36</v>
      </c>
      <c r="C7" s="6" t="str">
        <f t="shared" si="1"/>
        <v>ESD-07_TT GANTRY NEAR BAY 5</v>
      </c>
      <c r="D7" s="62" t="s">
        <v>527</v>
      </c>
      <c r="E7" s="62" t="s">
        <v>528</v>
      </c>
      <c r="F7" s="62" t="s">
        <v>529</v>
      </c>
      <c r="G7" s="36" t="s">
        <v>530</v>
      </c>
      <c r="H7" s="37">
        <v>0.0</v>
      </c>
      <c r="I7" s="36" t="s">
        <v>531</v>
      </c>
      <c r="J7" s="45">
        <v>0.0</v>
      </c>
      <c r="K7" s="64" t="s">
        <v>497</v>
      </c>
      <c r="L7" s="10">
        <v>0.0</v>
      </c>
      <c r="M7" s="64" t="s">
        <v>498</v>
      </c>
      <c r="N7" s="10">
        <v>0.0</v>
      </c>
      <c r="O7" s="64" t="s">
        <v>499</v>
      </c>
      <c r="P7" s="10">
        <v>0.0</v>
      </c>
      <c r="Q7" s="64" t="s">
        <v>500</v>
      </c>
      <c r="R7" s="10">
        <v>0.0</v>
      </c>
      <c r="S7" s="64" t="s">
        <v>501</v>
      </c>
      <c r="T7" s="10">
        <v>0.0</v>
      </c>
      <c r="U7" s="64" t="s">
        <v>502</v>
      </c>
      <c r="V7" s="10">
        <v>0.0</v>
      </c>
      <c r="W7" s="64" t="s">
        <v>503</v>
      </c>
      <c r="X7" s="10">
        <v>0.0</v>
      </c>
      <c r="Y7" s="64" t="s">
        <v>504</v>
      </c>
      <c r="Z7" s="10">
        <v>0.0</v>
      </c>
      <c r="AA7" s="64" t="s">
        <v>505</v>
      </c>
      <c r="AB7" s="10">
        <v>0.0</v>
      </c>
      <c r="AC7" s="64" t="s">
        <v>506</v>
      </c>
      <c r="AD7" s="10">
        <v>0.0</v>
      </c>
      <c r="AE7" s="4"/>
      <c r="AF7" s="4"/>
    </row>
    <row r="8" ht="15.75" customHeight="1">
      <c r="A8" s="5">
        <v>1892.0</v>
      </c>
      <c r="B8" s="5" t="s">
        <v>36</v>
      </c>
      <c r="C8" s="6" t="str">
        <f t="shared" si="1"/>
        <v>ESD-08_TANK FARM 2 WEST SIDE</v>
      </c>
      <c r="D8" s="62" t="s">
        <v>532</v>
      </c>
      <c r="E8" s="62" t="s">
        <v>533</v>
      </c>
      <c r="F8" s="62" t="s">
        <v>534</v>
      </c>
      <c r="G8" s="36" t="s">
        <v>535</v>
      </c>
      <c r="H8" s="37">
        <v>0.0</v>
      </c>
      <c r="I8" s="36" t="s">
        <v>536</v>
      </c>
      <c r="J8" s="45">
        <v>0.0</v>
      </c>
      <c r="K8" s="64" t="s">
        <v>497</v>
      </c>
      <c r="L8" s="10">
        <v>0.0</v>
      </c>
      <c r="M8" s="64" t="s">
        <v>498</v>
      </c>
      <c r="N8" s="10">
        <v>0.0</v>
      </c>
      <c r="O8" s="64" t="s">
        <v>499</v>
      </c>
      <c r="P8" s="10">
        <v>0.0</v>
      </c>
      <c r="Q8" s="64" t="s">
        <v>500</v>
      </c>
      <c r="R8" s="10">
        <v>0.0</v>
      </c>
      <c r="S8" s="64" t="s">
        <v>501</v>
      </c>
      <c r="T8" s="10">
        <v>0.0</v>
      </c>
      <c r="U8" s="64" t="s">
        <v>502</v>
      </c>
      <c r="V8" s="10">
        <v>0.0</v>
      </c>
      <c r="W8" s="64" t="s">
        <v>503</v>
      </c>
      <c r="X8" s="10">
        <v>0.0</v>
      </c>
      <c r="Y8" s="64" t="s">
        <v>504</v>
      </c>
      <c r="Z8" s="10">
        <v>0.0</v>
      </c>
      <c r="AA8" s="64" t="s">
        <v>505</v>
      </c>
      <c r="AB8" s="10">
        <v>0.0</v>
      </c>
      <c r="AC8" s="64" t="s">
        <v>506</v>
      </c>
      <c r="AD8" s="10">
        <v>0.0</v>
      </c>
      <c r="AE8" s="4"/>
      <c r="AF8" s="4"/>
    </row>
    <row r="9" ht="15.75" customHeight="1">
      <c r="A9" s="5">
        <v>1892.0</v>
      </c>
      <c r="B9" s="5" t="s">
        <v>36</v>
      </c>
      <c r="C9" s="6" t="str">
        <f t="shared" si="1"/>
        <v>ESD-09_TANK FARM 3 EAST SIDE</v>
      </c>
      <c r="D9" s="62" t="s">
        <v>537</v>
      </c>
      <c r="E9" s="62" t="s">
        <v>538</v>
      </c>
      <c r="F9" s="62" t="s">
        <v>539</v>
      </c>
      <c r="G9" s="36" t="s">
        <v>540</v>
      </c>
      <c r="H9" s="37">
        <v>0.0</v>
      </c>
      <c r="I9" s="36" t="s">
        <v>541</v>
      </c>
      <c r="J9" s="45">
        <v>0.0</v>
      </c>
      <c r="K9" s="64" t="s">
        <v>497</v>
      </c>
      <c r="L9" s="10">
        <v>0.0</v>
      </c>
      <c r="M9" s="64" t="s">
        <v>498</v>
      </c>
      <c r="N9" s="10">
        <v>0.0</v>
      </c>
      <c r="O9" s="64" t="s">
        <v>499</v>
      </c>
      <c r="P9" s="10">
        <v>0.0</v>
      </c>
      <c r="Q9" s="64" t="s">
        <v>500</v>
      </c>
      <c r="R9" s="10">
        <v>0.0</v>
      </c>
      <c r="S9" s="64" t="s">
        <v>501</v>
      </c>
      <c r="T9" s="10">
        <v>0.0</v>
      </c>
      <c r="U9" s="64" t="s">
        <v>502</v>
      </c>
      <c r="V9" s="10">
        <v>0.0</v>
      </c>
      <c r="W9" s="64" t="s">
        <v>503</v>
      </c>
      <c r="X9" s="10">
        <v>0.0</v>
      </c>
      <c r="Y9" s="64" t="s">
        <v>504</v>
      </c>
      <c r="Z9" s="10">
        <v>0.0</v>
      </c>
      <c r="AA9" s="64" t="s">
        <v>505</v>
      </c>
      <c r="AB9" s="10">
        <v>0.0</v>
      </c>
      <c r="AC9" s="64" t="s">
        <v>506</v>
      </c>
      <c r="AD9" s="10">
        <v>0.0</v>
      </c>
      <c r="AE9" s="4"/>
      <c r="AF9" s="4"/>
    </row>
    <row r="10" ht="15.75" customHeight="1">
      <c r="A10" s="5">
        <v>1892.0</v>
      </c>
      <c r="B10" s="5" t="s">
        <v>36</v>
      </c>
      <c r="C10" s="6" t="str">
        <f t="shared" si="1"/>
        <v>ESD-10_PMCC ROOM</v>
      </c>
      <c r="D10" s="62" t="s">
        <v>542</v>
      </c>
      <c r="E10" s="62" t="s">
        <v>543</v>
      </c>
      <c r="F10" s="62" t="s">
        <v>544</v>
      </c>
      <c r="G10" s="36" t="s">
        <v>545</v>
      </c>
      <c r="H10" s="37">
        <v>0.0</v>
      </c>
      <c r="I10" s="36" t="s">
        <v>546</v>
      </c>
      <c r="J10" s="45">
        <v>0.0</v>
      </c>
      <c r="K10" s="64" t="s">
        <v>497</v>
      </c>
      <c r="L10" s="10">
        <v>0.0</v>
      </c>
      <c r="M10" s="64" t="s">
        <v>498</v>
      </c>
      <c r="N10" s="10">
        <v>0.0</v>
      </c>
      <c r="O10" s="64" t="s">
        <v>499</v>
      </c>
      <c r="P10" s="10">
        <v>0.0</v>
      </c>
      <c r="Q10" s="64" t="s">
        <v>500</v>
      </c>
      <c r="R10" s="10">
        <v>0.0</v>
      </c>
      <c r="S10" s="64" t="s">
        <v>501</v>
      </c>
      <c r="T10" s="10">
        <v>0.0</v>
      </c>
      <c r="U10" s="64" t="s">
        <v>502</v>
      </c>
      <c r="V10" s="10">
        <v>0.0</v>
      </c>
      <c r="W10" s="64" t="s">
        <v>503</v>
      </c>
      <c r="X10" s="10">
        <v>0.0</v>
      </c>
      <c r="Y10" s="64" t="s">
        <v>504</v>
      </c>
      <c r="Z10" s="10">
        <v>0.0</v>
      </c>
      <c r="AA10" s="64" t="s">
        <v>505</v>
      </c>
      <c r="AB10" s="10">
        <v>0.0</v>
      </c>
      <c r="AC10" s="64" t="s">
        <v>506</v>
      </c>
      <c r="AD10" s="10">
        <v>0.0</v>
      </c>
      <c r="AE10" s="4"/>
      <c r="AF10" s="4"/>
    </row>
    <row r="11" ht="15.75" customHeight="1">
      <c r="A11" s="5">
        <v>1892.0</v>
      </c>
      <c r="B11" s="5" t="s">
        <v>36</v>
      </c>
      <c r="C11" s="6" t="str">
        <f t="shared" si="1"/>
        <v>ESD-11_TT GANTRY WALKWAY</v>
      </c>
      <c r="D11" s="62" t="s">
        <v>547</v>
      </c>
      <c r="E11" s="62" t="s">
        <v>548</v>
      </c>
      <c r="F11" s="62" t="s">
        <v>549</v>
      </c>
      <c r="G11" s="36" t="s">
        <v>550</v>
      </c>
      <c r="H11" s="37">
        <v>0.0</v>
      </c>
      <c r="I11" s="36" t="s">
        <v>551</v>
      </c>
      <c r="J11" s="45">
        <v>0.0</v>
      </c>
      <c r="K11" s="64" t="s">
        <v>497</v>
      </c>
      <c r="L11" s="10">
        <v>0.0</v>
      </c>
      <c r="M11" s="64" t="s">
        <v>498</v>
      </c>
      <c r="N11" s="10">
        <v>0.0</v>
      </c>
      <c r="O11" s="64" t="s">
        <v>499</v>
      </c>
      <c r="P11" s="10">
        <v>0.0</v>
      </c>
      <c r="Q11" s="64" t="s">
        <v>500</v>
      </c>
      <c r="R11" s="10">
        <v>0.0</v>
      </c>
      <c r="S11" s="64" t="s">
        <v>501</v>
      </c>
      <c r="T11" s="10">
        <v>0.0</v>
      </c>
      <c r="U11" s="64" t="s">
        <v>502</v>
      </c>
      <c r="V11" s="10">
        <v>0.0</v>
      </c>
      <c r="W11" s="64" t="s">
        <v>503</v>
      </c>
      <c r="X11" s="10">
        <v>0.0</v>
      </c>
      <c r="Y11" s="64" t="s">
        <v>504</v>
      </c>
      <c r="Z11" s="10">
        <v>0.0</v>
      </c>
      <c r="AA11" s="64" t="s">
        <v>505</v>
      </c>
      <c r="AB11" s="10">
        <v>0.0</v>
      </c>
      <c r="AC11" s="64" t="s">
        <v>506</v>
      </c>
      <c r="AD11" s="10">
        <v>0.0</v>
      </c>
      <c r="AE11" s="4"/>
      <c r="AF11" s="4"/>
    </row>
    <row r="12" ht="15.75" customHeight="1">
      <c r="A12" s="5">
        <v>1892.0</v>
      </c>
      <c r="B12" s="5" t="s">
        <v>36</v>
      </c>
      <c r="C12" s="6" t="str">
        <f t="shared" si="1"/>
        <v>ESD-12_TT PARKING AREA</v>
      </c>
      <c r="D12" s="62" t="s">
        <v>552</v>
      </c>
      <c r="E12" s="62" t="s">
        <v>553</v>
      </c>
      <c r="F12" s="62" t="s">
        <v>554</v>
      </c>
      <c r="G12" s="36" t="s">
        <v>555</v>
      </c>
      <c r="H12" s="37">
        <v>0.0</v>
      </c>
      <c r="I12" s="36" t="s">
        <v>556</v>
      </c>
      <c r="J12" s="37">
        <v>0.0</v>
      </c>
      <c r="K12" s="64" t="s">
        <v>497</v>
      </c>
      <c r="L12" s="10">
        <v>0.0</v>
      </c>
      <c r="M12" s="64" t="s">
        <v>498</v>
      </c>
      <c r="N12" s="10">
        <v>0.0</v>
      </c>
      <c r="O12" s="64" t="s">
        <v>499</v>
      </c>
      <c r="P12" s="10">
        <v>0.0</v>
      </c>
      <c r="Q12" s="64" t="s">
        <v>500</v>
      </c>
      <c r="R12" s="10">
        <v>0.0</v>
      </c>
      <c r="S12" s="64" t="s">
        <v>501</v>
      </c>
      <c r="T12" s="10">
        <v>0.0</v>
      </c>
      <c r="U12" s="64" t="s">
        <v>502</v>
      </c>
      <c r="V12" s="10">
        <v>0.0</v>
      </c>
      <c r="W12" s="64" t="s">
        <v>503</v>
      </c>
      <c r="X12" s="10">
        <v>0.0</v>
      </c>
      <c r="Y12" s="64" t="s">
        <v>504</v>
      </c>
      <c r="Z12" s="10">
        <v>0.0</v>
      </c>
      <c r="AA12" s="64" t="s">
        <v>505</v>
      </c>
      <c r="AB12" s="10">
        <v>0.0</v>
      </c>
      <c r="AC12" s="64" t="s">
        <v>506</v>
      </c>
      <c r="AD12" s="10">
        <v>0.0</v>
      </c>
      <c r="AE12" s="4"/>
      <c r="AF12" s="4"/>
    </row>
    <row r="13" ht="15.75" customHeight="1">
      <c r="A13" s="5">
        <v>1892.0</v>
      </c>
      <c r="B13" s="5" t="s">
        <v>36</v>
      </c>
      <c r="C13" s="6" t="str">
        <f t="shared" si="1"/>
        <v>ESD-13_PRODUCT PUMP HOUSE</v>
      </c>
      <c r="D13" s="62" t="s">
        <v>557</v>
      </c>
      <c r="E13" s="62" t="s">
        <v>558</v>
      </c>
      <c r="F13" s="62" t="s">
        <v>559</v>
      </c>
      <c r="G13" s="36" t="s">
        <v>560</v>
      </c>
      <c r="H13" s="37">
        <v>0.0</v>
      </c>
      <c r="I13" s="36" t="s">
        <v>561</v>
      </c>
      <c r="J13" s="37">
        <v>0.0</v>
      </c>
      <c r="K13" s="64" t="s">
        <v>497</v>
      </c>
      <c r="L13" s="10">
        <v>0.0</v>
      </c>
      <c r="M13" s="64" t="s">
        <v>498</v>
      </c>
      <c r="N13" s="10">
        <v>0.0</v>
      </c>
      <c r="O13" s="64" t="s">
        <v>499</v>
      </c>
      <c r="P13" s="10">
        <v>0.0</v>
      </c>
      <c r="Q13" s="64" t="s">
        <v>500</v>
      </c>
      <c r="R13" s="10">
        <v>0.0</v>
      </c>
      <c r="S13" s="64" t="s">
        <v>501</v>
      </c>
      <c r="T13" s="10">
        <v>0.0</v>
      </c>
      <c r="U13" s="64" t="s">
        <v>502</v>
      </c>
      <c r="V13" s="10">
        <v>0.0</v>
      </c>
      <c r="W13" s="64" t="s">
        <v>503</v>
      </c>
      <c r="X13" s="10">
        <v>0.0</v>
      </c>
      <c r="Y13" s="64" t="s">
        <v>504</v>
      </c>
      <c r="Z13" s="10">
        <v>0.0</v>
      </c>
      <c r="AA13" s="64" t="s">
        <v>505</v>
      </c>
      <c r="AB13" s="10">
        <v>0.0</v>
      </c>
      <c r="AC13" s="64" t="s">
        <v>506</v>
      </c>
      <c r="AD13" s="10">
        <v>0.0</v>
      </c>
      <c r="AE13" s="4"/>
      <c r="AF13" s="4"/>
    </row>
    <row r="14" ht="15.75" customHeight="1">
      <c r="A14" s="5">
        <v>1892.0</v>
      </c>
      <c r="B14" s="5" t="s">
        <v>36</v>
      </c>
      <c r="C14" s="6" t="str">
        <f t="shared" si="1"/>
        <v>ESD-14_CENTRAL ESD</v>
      </c>
      <c r="D14" s="62" t="s">
        <v>562</v>
      </c>
      <c r="E14" s="62" t="s">
        <v>563</v>
      </c>
      <c r="F14" s="62" t="s">
        <v>564</v>
      </c>
      <c r="G14" s="36" t="s">
        <v>565</v>
      </c>
      <c r="H14" s="37">
        <v>0.0</v>
      </c>
      <c r="I14" s="68"/>
      <c r="J14" s="68"/>
      <c r="K14" s="64" t="s">
        <v>497</v>
      </c>
      <c r="L14" s="10">
        <v>0.0</v>
      </c>
      <c r="M14" s="64" t="s">
        <v>498</v>
      </c>
      <c r="N14" s="10">
        <v>0.0</v>
      </c>
      <c r="O14" s="64" t="s">
        <v>499</v>
      </c>
      <c r="P14" s="10">
        <v>0.0</v>
      </c>
      <c r="Q14" s="64" t="s">
        <v>500</v>
      </c>
      <c r="R14" s="10">
        <v>0.0</v>
      </c>
      <c r="S14" s="64" t="s">
        <v>501</v>
      </c>
      <c r="T14" s="10">
        <v>0.0</v>
      </c>
      <c r="U14" s="64" t="s">
        <v>502</v>
      </c>
      <c r="V14" s="10">
        <v>0.0</v>
      </c>
      <c r="W14" s="64" t="s">
        <v>503</v>
      </c>
      <c r="X14" s="10">
        <v>0.0</v>
      </c>
      <c r="Y14" s="64" t="s">
        <v>504</v>
      </c>
      <c r="Z14" s="10">
        <v>0.0</v>
      </c>
      <c r="AA14" s="64" t="s">
        <v>505</v>
      </c>
      <c r="AB14" s="10">
        <v>0.0</v>
      </c>
      <c r="AC14" s="64" t="s">
        <v>506</v>
      </c>
      <c r="AD14" s="10">
        <v>0.0</v>
      </c>
      <c r="AE14" s="4"/>
      <c r="AF14" s="4"/>
    </row>
    <row r="15" ht="15.75" customHeight="1">
      <c r="A15" s="5">
        <v>1892.0</v>
      </c>
      <c r="B15" s="5" t="s">
        <v>36</v>
      </c>
      <c r="C15" s="6" t="str">
        <f t="shared" si="1"/>
        <v>ESD-18_WAGON SIDING CENTER WEST</v>
      </c>
      <c r="D15" s="62" t="s">
        <v>566</v>
      </c>
      <c r="E15" s="62" t="s">
        <v>567</v>
      </c>
      <c r="F15" s="62" t="s">
        <v>568</v>
      </c>
      <c r="G15" s="36" t="s">
        <v>569</v>
      </c>
      <c r="H15" s="37">
        <v>0.0</v>
      </c>
      <c r="I15" s="36" t="s">
        <v>570</v>
      </c>
      <c r="J15" s="37">
        <v>0.0</v>
      </c>
      <c r="K15" s="64" t="s">
        <v>497</v>
      </c>
      <c r="L15" s="10">
        <v>0.0</v>
      </c>
      <c r="M15" s="64" t="s">
        <v>498</v>
      </c>
      <c r="N15" s="10">
        <v>0.0</v>
      </c>
      <c r="O15" s="64" t="s">
        <v>499</v>
      </c>
      <c r="P15" s="10">
        <v>0.0</v>
      </c>
      <c r="Q15" s="64" t="s">
        <v>500</v>
      </c>
      <c r="R15" s="10">
        <v>0.0</v>
      </c>
      <c r="S15" s="64" t="s">
        <v>501</v>
      </c>
      <c r="T15" s="10">
        <v>0.0</v>
      </c>
      <c r="U15" s="64" t="s">
        <v>502</v>
      </c>
      <c r="V15" s="10">
        <v>0.0</v>
      </c>
      <c r="W15" s="64" t="s">
        <v>503</v>
      </c>
      <c r="X15" s="10">
        <v>0.0</v>
      </c>
      <c r="Y15" s="64" t="s">
        <v>504</v>
      </c>
      <c r="Z15" s="10">
        <v>0.0</v>
      </c>
      <c r="AA15" s="64" t="s">
        <v>505</v>
      </c>
      <c r="AB15" s="10">
        <v>0.0</v>
      </c>
      <c r="AC15" s="64" t="s">
        <v>506</v>
      </c>
      <c r="AD15" s="10">
        <v>0.0</v>
      </c>
      <c r="AE15" s="4"/>
      <c r="AF15" s="4"/>
    </row>
    <row r="16" ht="15.75" customHeight="1">
      <c r="A16" s="5">
        <v>1892.0</v>
      </c>
      <c r="B16" s="5" t="s">
        <v>36</v>
      </c>
      <c r="C16" s="6" t="str">
        <f t="shared" si="1"/>
        <v>ESD-19_WAGON SIDING CENTER EAST</v>
      </c>
      <c r="D16" s="62" t="s">
        <v>571</v>
      </c>
      <c r="E16" s="62" t="s">
        <v>572</v>
      </c>
      <c r="F16" s="62" t="s">
        <v>573</v>
      </c>
      <c r="G16" s="36" t="s">
        <v>574</v>
      </c>
      <c r="H16" s="37">
        <v>0.0</v>
      </c>
      <c r="I16" s="36" t="s">
        <v>575</v>
      </c>
      <c r="J16" s="37">
        <v>0.0</v>
      </c>
      <c r="K16" s="64" t="s">
        <v>497</v>
      </c>
      <c r="L16" s="10">
        <v>0.0</v>
      </c>
      <c r="M16" s="64" t="s">
        <v>498</v>
      </c>
      <c r="N16" s="10">
        <v>0.0</v>
      </c>
      <c r="O16" s="64" t="s">
        <v>499</v>
      </c>
      <c r="P16" s="10">
        <v>0.0</v>
      </c>
      <c r="Q16" s="64" t="s">
        <v>500</v>
      </c>
      <c r="R16" s="10">
        <v>0.0</v>
      </c>
      <c r="S16" s="64" t="s">
        <v>501</v>
      </c>
      <c r="T16" s="10">
        <v>0.0</v>
      </c>
      <c r="U16" s="64" t="s">
        <v>502</v>
      </c>
      <c r="V16" s="10">
        <v>0.0</v>
      </c>
      <c r="W16" s="64" t="s">
        <v>503</v>
      </c>
      <c r="X16" s="10">
        <v>0.0</v>
      </c>
      <c r="Y16" s="64" t="s">
        <v>504</v>
      </c>
      <c r="Z16" s="10">
        <v>0.0</v>
      </c>
      <c r="AA16" s="64" t="s">
        <v>505</v>
      </c>
      <c r="AB16" s="10">
        <v>0.0</v>
      </c>
      <c r="AC16" s="64" t="s">
        <v>506</v>
      </c>
      <c r="AD16" s="10">
        <v>0.0</v>
      </c>
      <c r="AE16" s="4"/>
      <c r="AF16" s="4"/>
    </row>
    <row r="17" ht="15.75" customHeight="1">
      <c r="A17" s="5">
        <v>1892.0</v>
      </c>
      <c r="B17" s="5" t="s">
        <v>36</v>
      </c>
      <c r="C17" s="6" t="str">
        <f t="shared" si="1"/>
        <v>ESD_17_BEHIND TT GANTRY</v>
      </c>
      <c r="D17" s="62" t="s">
        <v>576</v>
      </c>
      <c r="E17" s="62" t="s">
        <v>577</v>
      </c>
      <c r="F17" s="62" t="s">
        <v>578</v>
      </c>
      <c r="G17" s="36" t="s">
        <v>579</v>
      </c>
      <c r="H17" s="37">
        <v>0.0</v>
      </c>
      <c r="I17" s="36" t="s">
        <v>580</v>
      </c>
      <c r="J17" s="37">
        <v>0.0</v>
      </c>
      <c r="K17" s="64" t="s">
        <v>497</v>
      </c>
      <c r="L17" s="10">
        <v>0.0</v>
      </c>
      <c r="M17" s="64" t="s">
        <v>498</v>
      </c>
      <c r="N17" s="10">
        <v>0.0</v>
      </c>
      <c r="O17" s="64" t="s">
        <v>499</v>
      </c>
      <c r="P17" s="10">
        <v>0.0</v>
      </c>
      <c r="Q17" s="64" t="s">
        <v>500</v>
      </c>
      <c r="R17" s="10">
        <v>0.0</v>
      </c>
      <c r="S17" s="64" t="s">
        <v>501</v>
      </c>
      <c r="T17" s="10">
        <v>0.0</v>
      </c>
      <c r="U17" s="64" t="s">
        <v>502</v>
      </c>
      <c r="V17" s="10">
        <v>0.0</v>
      </c>
      <c r="W17" s="64" t="s">
        <v>503</v>
      </c>
      <c r="X17" s="10">
        <v>0.0</v>
      </c>
      <c r="Y17" s="64" t="s">
        <v>504</v>
      </c>
      <c r="Z17" s="10">
        <v>0.0</v>
      </c>
      <c r="AA17" s="64" t="s">
        <v>505</v>
      </c>
      <c r="AB17" s="10">
        <v>0.0</v>
      </c>
      <c r="AC17" s="64" t="s">
        <v>506</v>
      </c>
      <c r="AD17" s="10">
        <v>0.0</v>
      </c>
      <c r="AE17" s="4"/>
      <c r="AF17" s="4"/>
    </row>
    <row r="18" ht="15.75" customHeight="1">
      <c r="A18" s="5">
        <v>1892.0</v>
      </c>
      <c r="B18" s="5" t="s">
        <v>36</v>
      </c>
      <c r="C18" s="6" t="str">
        <f t="shared" si="1"/>
        <v>ESD_SOFT_SOFT FROM OIC</v>
      </c>
      <c r="D18" s="62" t="s">
        <v>581</v>
      </c>
      <c r="E18" s="62" t="s">
        <v>582</v>
      </c>
      <c r="F18" s="62" t="s">
        <v>583</v>
      </c>
      <c r="G18" s="36" t="s">
        <v>584</v>
      </c>
      <c r="H18" s="37">
        <v>0.0</v>
      </c>
      <c r="I18" s="4"/>
      <c r="J18" s="4"/>
      <c r="K18" s="64" t="s">
        <v>497</v>
      </c>
      <c r="L18" s="10">
        <v>0.0</v>
      </c>
      <c r="M18" s="64" t="s">
        <v>498</v>
      </c>
      <c r="N18" s="10">
        <v>0.0</v>
      </c>
      <c r="O18" s="64" t="s">
        <v>499</v>
      </c>
      <c r="P18" s="10">
        <v>0.0</v>
      </c>
      <c r="Q18" s="64" t="s">
        <v>500</v>
      </c>
      <c r="R18" s="10">
        <v>0.0</v>
      </c>
      <c r="S18" s="64" t="s">
        <v>501</v>
      </c>
      <c r="T18" s="10">
        <v>0.0</v>
      </c>
      <c r="U18" s="64" t="s">
        <v>502</v>
      </c>
      <c r="V18" s="10">
        <v>0.0</v>
      </c>
      <c r="W18" s="64" t="s">
        <v>503</v>
      </c>
      <c r="X18" s="10">
        <v>0.0</v>
      </c>
      <c r="Y18" s="64" t="s">
        <v>504</v>
      </c>
      <c r="Z18" s="10">
        <v>0.0</v>
      </c>
      <c r="AA18" s="64" t="s">
        <v>505</v>
      </c>
      <c r="AB18" s="10">
        <v>0.0</v>
      </c>
      <c r="AC18" s="64" t="s">
        <v>506</v>
      </c>
      <c r="AD18" s="10">
        <v>0.0</v>
      </c>
      <c r="AE18" s="4"/>
      <c r="AF18" s="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585</v>
      </c>
      <c r="E1" s="1" t="s">
        <v>586</v>
      </c>
      <c r="F1" s="1" t="s">
        <v>587</v>
      </c>
      <c r="G1" s="1" t="s">
        <v>5</v>
      </c>
      <c r="H1" s="32" t="s">
        <v>588</v>
      </c>
      <c r="I1" s="32" t="s">
        <v>7</v>
      </c>
      <c r="J1" s="32" t="s">
        <v>589</v>
      </c>
      <c r="K1" s="32" t="s">
        <v>7</v>
      </c>
      <c r="L1" s="34" t="s">
        <v>590</v>
      </c>
      <c r="M1" s="34" t="s">
        <v>7</v>
      </c>
      <c r="N1" s="32" t="s">
        <v>591</v>
      </c>
      <c r="O1" s="32" t="s">
        <v>7</v>
      </c>
      <c r="P1" s="34" t="s">
        <v>592</v>
      </c>
      <c r="Q1" s="34" t="s">
        <v>7</v>
      </c>
      <c r="R1" s="32" t="s">
        <v>593</v>
      </c>
      <c r="S1" s="32" t="s">
        <v>7</v>
      </c>
      <c r="T1" s="34" t="s">
        <v>594</v>
      </c>
      <c r="U1" s="34" t="s">
        <v>7</v>
      </c>
      <c r="V1" s="32" t="s">
        <v>595</v>
      </c>
      <c r="W1" s="32" t="s">
        <v>7</v>
      </c>
      <c r="X1" s="32" t="s">
        <v>596</v>
      </c>
      <c r="Y1" s="32" t="s">
        <v>7</v>
      </c>
      <c r="Z1" s="32" t="s">
        <v>597</v>
      </c>
      <c r="AA1" s="32" t="s">
        <v>7</v>
      </c>
      <c r="AB1" s="32" t="s">
        <v>598</v>
      </c>
      <c r="AC1" s="32" t="s">
        <v>7</v>
      </c>
      <c r="AD1" s="32" t="s">
        <v>599</v>
      </c>
      <c r="AE1" s="32" t="s">
        <v>7</v>
      </c>
      <c r="AF1" s="32" t="s">
        <v>600</v>
      </c>
      <c r="AG1" s="32" t="s">
        <v>7</v>
      </c>
      <c r="AH1" s="73" t="s">
        <v>601</v>
      </c>
      <c r="AI1" s="74" t="s">
        <v>7</v>
      </c>
      <c r="AJ1" s="33" t="s">
        <v>602</v>
      </c>
      <c r="AK1" s="33" t="s">
        <v>7</v>
      </c>
      <c r="AL1" s="35" t="s">
        <v>603</v>
      </c>
      <c r="AM1" s="35" t="s">
        <v>7</v>
      </c>
      <c r="AN1" s="32" t="s">
        <v>604</v>
      </c>
      <c r="AO1" s="32" t="s">
        <v>13</v>
      </c>
      <c r="AP1" s="32" t="s">
        <v>605</v>
      </c>
      <c r="AQ1" s="32" t="s">
        <v>7</v>
      </c>
      <c r="AR1" s="34" t="s">
        <v>606</v>
      </c>
      <c r="AS1" s="34" t="s">
        <v>7</v>
      </c>
    </row>
    <row r="2" ht="15.75" customHeight="1">
      <c r="A2" s="5">
        <v>1892.0</v>
      </c>
      <c r="B2" s="5" t="s">
        <v>36</v>
      </c>
      <c r="C2" s="6" t="str">
        <f t="shared" ref="C2:C11" si="1">CONCATENATE(D2,"_",F2,"_",G2)</f>
        <v>LP 01_BC-01A_BS VI MS</v>
      </c>
      <c r="D2" s="43" t="s">
        <v>607</v>
      </c>
      <c r="E2" s="43" t="s">
        <v>196</v>
      </c>
      <c r="F2" s="62" t="s">
        <v>608</v>
      </c>
      <c r="G2" s="62" t="s">
        <v>67</v>
      </c>
      <c r="H2" s="36" t="s">
        <v>609</v>
      </c>
      <c r="I2" s="45">
        <v>0.0</v>
      </c>
      <c r="J2" s="36" t="s">
        <v>610</v>
      </c>
      <c r="K2" s="45">
        <v>0.0</v>
      </c>
      <c r="L2" s="36" t="s">
        <v>611</v>
      </c>
      <c r="M2" s="45">
        <v>0.0</v>
      </c>
      <c r="N2" s="36" t="s">
        <v>612</v>
      </c>
      <c r="O2" s="45">
        <v>0.0</v>
      </c>
      <c r="P2" s="36" t="s">
        <v>613</v>
      </c>
      <c r="Q2" s="45">
        <v>0.0</v>
      </c>
      <c r="R2" s="36" t="s">
        <v>614</v>
      </c>
      <c r="S2" s="45">
        <v>0.0</v>
      </c>
      <c r="T2" s="36" t="s">
        <v>615</v>
      </c>
      <c r="U2" s="45">
        <v>0.0</v>
      </c>
      <c r="V2" s="36" t="s">
        <v>616</v>
      </c>
      <c r="W2" s="45">
        <v>0.0</v>
      </c>
      <c r="X2" s="36" t="s">
        <v>617</v>
      </c>
      <c r="Y2" s="45">
        <v>0.0</v>
      </c>
      <c r="Z2" s="36" t="s">
        <v>618</v>
      </c>
      <c r="AA2" s="45">
        <v>0.0</v>
      </c>
      <c r="AB2" s="36" t="s">
        <v>619</v>
      </c>
      <c r="AC2" s="45">
        <v>0.0</v>
      </c>
      <c r="AD2" s="36" t="s">
        <v>620</v>
      </c>
      <c r="AE2" s="45">
        <v>0.0</v>
      </c>
      <c r="AF2" s="36" t="s">
        <v>621</v>
      </c>
      <c r="AG2" s="45">
        <v>0.0</v>
      </c>
      <c r="AH2" s="36" t="s">
        <v>622</v>
      </c>
      <c r="AI2" s="45">
        <v>0.0</v>
      </c>
      <c r="AJ2" s="36" t="s">
        <v>623</v>
      </c>
      <c r="AK2" s="45">
        <v>0.0</v>
      </c>
      <c r="AL2" s="36" t="s">
        <v>624</v>
      </c>
      <c r="AM2" s="45">
        <v>0.0</v>
      </c>
      <c r="AN2" s="36" t="s">
        <v>625</v>
      </c>
      <c r="AO2" s="45">
        <v>0.0</v>
      </c>
      <c r="AP2" s="36" t="s">
        <v>626</v>
      </c>
      <c r="AQ2" s="45">
        <v>0.0</v>
      </c>
      <c r="AR2" s="36" t="s">
        <v>627</v>
      </c>
      <c r="AS2" s="45">
        <v>0.0</v>
      </c>
    </row>
    <row r="3" ht="15.75" customHeight="1">
      <c r="A3" s="5">
        <v>1892.0</v>
      </c>
      <c r="B3" s="5" t="s">
        <v>36</v>
      </c>
      <c r="C3" s="6" t="str">
        <f t="shared" si="1"/>
        <v>LP 02_BC-01B_BS VI HSD</v>
      </c>
      <c r="D3" s="43" t="s">
        <v>628</v>
      </c>
      <c r="E3" s="43" t="s">
        <v>196</v>
      </c>
      <c r="F3" s="62" t="s">
        <v>629</v>
      </c>
      <c r="G3" s="62" t="s">
        <v>39</v>
      </c>
      <c r="H3" s="36" t="s">
        <v>630</v>
      </c>
      <c r="I3" s="45">
        <v>0.0</v>
      </c>
      <c r="J3" s="36" t="s">
        <v>631</v>
      </c>
      <c r="K3" s="45">
        <v>0.0</v>
      </c>
      <c r="L3" s="36"/>
      <c r="M3" s="36"/>
      <c r="N3" s="36" t="s">
        <v>632</v>
      </c>
      <c r="O3" s="45">
        <v>0.0</v>
      </c>
      <c r="P3" s="36"/>
      <c r="Q3" s="45">
        <v>0.0</v>
      </c>
      <c r="R3" s="36" t="s">
        <v>633</v>
      </c>
      <c r="S3" s="45">
        <v>0.0</v>
      </c>
      <c r="T3" s="36"/>
      <c r="U3" s="45">
        <v>0.0</v>
      </c>
      <c r="V3" s="36" t="s">
        <v>634</v>
      </c>
      <c r="W3" s="45">
        <v>0.0</v>
      </c>
      <c r="X3" s="36" t="s">
        <v>635</v>
      </c>
      <c r="Y3" s="45">
        <v>0.0</v>
      </c>
      <c r="Z3" s="36" t="s">
        <v>636</v>
      </c>
      <c r="AA3" s="45">
        <v>0.0</v>
      </c>
      <c r="AB3" s="36" t="s">
        <v>637</v>
      </c>
      <c r="AC3" s="45">
        <v>0.0</v>
      </c>
      <c r="AD3" s="36" t="s">
        <v>638</v>
      </c>
      <c r="AE3" s="45">
        <v>0.0</v>
      </c>
      <c r="AF3" s="36" t="s">
        <v>639</v>
      </c>
      <c r="AG3" s="45">
        <v>0.0</v>
      </c>
      <c r="AH3" s="36" t="s">
        <v>640</v>
      </c>
      <c r="AI3" s="45">
        <v>0.0</v>
      </c>
      <c r="AJ3" s="36" t="s">
        <v>641</v>
      </c>
      <c r="AK3" s="45">
        <v>0.0</v>
      </c>
      <c r="AL3" s="36"/>
      <c r="AM3" s="36"/>
      <c r="AN3" s="36" t="s">
        <v>642</v>
      </c>
      <c r="AO3" s="45">
        <v>0.0</v>
      </c>
      <c r="AP3" s="36" t="s">
        <v>643</v>
      </c>
      <c r="AQ3" s="45">
        <v>0.0</v>
      </c>
      <c r="AR3" s="36"/>
      <c r="AS3" s="45">
        <v>0.0</v>
      </c>
    </row>
    <row r="4" ht="15.75" customHeight="1">
      <c r="A4" s="5">
        <v>1892.0</v>
      </c>
      <c r="B4" s="5" t="s">
        <v>36</v>
      </c>
      <c r="C4" s="6" t="str">
        <f t="shared" si="1"/>
        <v>LP 03_BC-02A_BS VI MS</v>
      </c>
      <c r="D4" s="43" t="s">
        <v>644</v>
      </c>
      <c r="E4" s="43" t="s">
        <v>196</v>
      </c>
      <c r="F4" s="62" t="s">
        <v>645</v>
      </c>
      <c r="G4" s="62" t="s">
        <v>67</v>
      </c>
      <c r="H4" s="36" t="s">
        <v>646</v>
      </c>
      <c r="I4" s="45">
        <v>0.0</v>
      </c>
      <c r="J4" s="36" t="s">
        <v>647</v>
      </c>
      <c r="K4" s="45">
        <v>0.0</v>
      </c>
      <c r="L4" s="36" t="s">
        <v>648</v>
      </c>
      <c r="M4" s="45">
        <v>0.0</v>
      </c>
      <c r="N4" s="36" t="s">
        <v>649</v>
      </c>
      <c r="O4" s="45">
        <v>0.0</v>
      </c>
      <c r="P4" s="36" t="s">
        <v>650</v>
      </c>
      <c r="Q4" s="45">
        <v>0.0</v>
      </c>
      <c r="R4" s="36" t="s">
        <v>651</v>
      </c>
      <c r="S4" s="45">
        <v>0.0</v>
      </c>
      <c r="T4" s="36" t="s">
        <v>652</v>
      </c>
      <c r="U4" s="45">
        <v>0.0</v>
      </c>
      <c r="V4" s="36" t="s">
        <v>653</v>
      </c>
      <c r="W4" s="45">
        <v>0.0</v>
      </c>
      <c r="X4" s="36" t="s">
        <v>654</v>
      </c>
      <c r="Y4" s="45">
        <v>0.0</v>
      </c>
      <c r="Z4" s="36" t="s">
        <v>655</v>
      </c>
      <c r="AA4" s="45">
        <v>0.0</v>
      </c>
      <c r="AB4" s="36" t="s">
        <v>656</v>
      </c>
      <c r="AC4" s="45">
        <v>0.0</v>
      </c>
      <c r="AD4" s="36" t="s">
        <v>657</v>
      </c>
      <c r="AE4" s="45">
        <v>0.0</v>
      </c>
      <c r="AF4" s="36" t="s">
        <v>658</v>
      </c>
      <c r="AG4" s="45">
        <v>0.0</v>
      </c>
      <c r="AH4" s="36" t="s">
        <v>659</v>
      </c>
      <c r="AI4" s="45">
        <v>0.0</v>
      </c>
      <c r="AJ4" s="36" t="s">
        <v>660</v>
      </c>
      <c r="AK4" s="45">
        <v>0.0</v>
      </c>
      <c r="AL4" s="36" t="s">
        <v>661</v>
      </c>
      <c r="AM4" s="45">
        <v>0.0</v>
      </c>
      <c r="AN4" s="36" t="s">
        <v>662</v>
      </c>
      <c r="AO4" s="45">
        <v>0.0</v>
      </c>
      <c r="AP4" s="36" t="s">
        <v>663</v>
      </c>
      <c r="AQ4" s="45">
        <v>0.0</v>
      </c>
      <c r="AR4" s="36" t="s">
        <v>664</v>
      </c>
      <c r="AS4" s="45">
        <v>0.0</v>
      </c>
    </row>
    <row r="5" ht="15.75" customHeight="1">
      <c r="A5" s="5">
        <v>1892.0</v>
      </c>
      <c r="B5" s="5" t="s">
        <v>36</v>
      </c>
      <c r="C5" s="6" t="str">
        <f t="shared" si="1"/>
        <v>LP 04_BC-02B_BS VI HSD</v>
      </c>
      <c r="D5" s="43" t="s">
        <v>665</v>
      </c>
      <c r="E5" s="43" t="s">
        <v>196</v>
      </c>
      <c r="F5" s="62" t="s">
        <v>666</v>
      </c>
      <c r="G5" s="62" t="s">
        <v>39</v>
      </c>
      <c r="H5" s="36" t="s">
        <v>667</v>
      </c>
      <c r="I5" s="45">
        <v>0.0</v>
      </c>
      <c r="J5" s="36" t="s">
        <v>668</v>
      </c>
      <c r="K5" s="45">
        <v>0.0</v>
      </c>
      <c r="L5" s="36"/>
      <c r="M5" s="36"/>
      <c r="N5" s="36" t="s">
        <v>669</v>
      </c>
      <c r="O5" s="45">
        <v>0.0</v>
      </c>
      <c r="P5" s="36"/>
      <c r="Q5" s="45">
        <v>0.0</v>
      </c>
      <c r="R5" s="36" t="s">
        <v>670</v>
      </c>
      <c r="S5" s="45">
        <v>0.0</v>
      </c>
      <c r="T5" s="36"/>
      <c r="U5" s="45">
        <v>0.0</v>
      </c>
      <c r="V5" s="36" t="s">
        <v>671</v>
      </c>
      <c r="W5" s="45">
        <v>0.0</v>
      </c>
      <c r="X5" s="36" t="s">
        <v>672</v>
      </c>
      <c r="Y5" s="45">
        <v>0.0</v>
      </c>
      <c r="Z5" s="36" t="s">
        <v>673</v>
      </c>
      <c r="AA5" s="45">
        <v>0.0</v>
      </c>
      <c r="AB5" s="36" t="s">
        <v>674</v>
      </c>
      <c r="AC5" s="45">
        <v>0.0</v>
      </c>
      <c r="AD5" s="36" t="s">
        <v>675</v>
      </c>
      <c r="AE5" s="45">
        <v>0.0</v>
      </c>
      <c r="AF5" s="36" t="s">
        <v>676</v>
      </c>
      <c r="AG5" s="45">
        <v>0.0</v>
      </c>
      <c r="AH5" s="36" t="s">
        <v>677</v>
      </c>
      <c r="AI5" s="45">
        <v>0.0</v>
      </c>
      <c r="AJ5" s="36" t="s">
        <v>678</v>
      </c>
      <c r="AK5" s="45">
        <v>0.0</v>
      </c>
      <c r="AL5" s="36"/>
      <c r="AM5" s="36"/>
      <c r="AN5" s="36" t="s">
        <v>679</v>
      </c>
      <c r="AO5" s="45">
        <v>0.0</v>
      </c>
      <c r="AP5" s="36" t="s">
        <v>680</v>
      </c>
      <c r="AQ5" s="45">
        <v>0.0</v>
      </c>
      <c r="AR5" s="36"/>
      <c r="AS5" s="45">
        <v>0.0</v>
      </c>
    </row>
    <row r="6" ht="15.75" customHeight="1">
      <c r="A6" s="5">
        <v>1892.0</v>
      </c>
      <c r="B6" s="5" t="s">
        <v>36</v>
      </c>
      <c r="C6" s="6" t="str">
        <f t="shared" si="1"/>
        <v>LP 05_BC-03A_BS VI MS</v>
      </c>
      <c r="D6" s="43" t="s">
        <v>681</v>
      </c>
      <c r="E6" s="43" t="s">
        <v>196</v>
      </c>
      <c r="F6" s="62" t="s">
        <v>682</v>
      </c>
      <c r="G6" s="62" t="s">
        <v>67</v>
      </c>
      <c r="H6" s="36" t="s">
        <v>683</v>
      </c>
      <c r="I6" s="45">
        <v>0.0</v>
      </c>
      <c r="J6" s="36" t="s">
        <v>684</v>
      </c>
      <c r="K6" s="45">
        <v>0.0</v>
      </c>
      <c r="L6" s="36" t="s">
        <v>685</v>
      </c>
      <c r="M6" s="45">
        <v>0.0</v>
      </c>
      <c r="N6" s="36" t="s">
        <v>686</v>
      </c>
      <c r="O6" s="45">
        <v>0.0</v>
      </c>
      <c r="P6" s="36" t="s">
        <v>687</v>
      </c>
      <c r="Q6" s="45">
        <v>0.0</v>
      </c>
      <c r="R6" s="36" t="s">
        <v>688</v>
      </c>
      <c r="S6" s="45">
        <v>0.0</v>
      </c>
      <c r="T6" s="36" t="s">
        <v>689</v>
      </c>
      <c r="U6" s="45">
        <v>0.0</v>
      </c>
      <c r="V6" s="36" t="s">
        <v>690</v>
      </c>
      <c r="W6" s="45">
        <v>0.0</v>
      </c>
      <c r="X6" s="36" t="s">
        <v>691</v>
      </c>
      <c r="Y6" s="45">
        <v>0.0</v>
      </c>
      <c r="Z6" s="36" t="s">
        <v>692</v>
      </c>
      <c r="AA6" s="45">
        <v>0.0</v>
      </c>
      <c r="AB6" s="36" t="s">
        <v>693</v>
      </c>
      <c r="AC6" s="45">
        <v>0.0</v>
      </c>
      <c r="AD6" s="36" t="s">
        <v>694</v>
      </c>
      <c r="AE6" s="45">
        <v>0.0</v>
      </c>
      <c r="AF6" s="36" t="s">
        <v>695</v>
      </c>
      <c r="AG6" s="45">
        <v>0.0</v>
      </c>
      <c r="AH6" s="36" t="s">
        <v>696</v>
      </c>
      <c r="AI6" s="45">
        <v>0.0</v>
      </c>
      <c r="AJ6" s="36" t="s">
        <v>697</v>
      </c>
      <c r="AK6" s="45">
        <v>0.0</v>
      </c>
      <c r="AL6" s="36" t="s">
        <v>698</v>
      </c>
      <c r="AM6" s="45">
        <v>0.0</v>
      </c>
      <c r="AN6" s="36" t="s">
        <v>699</v>
      </c>
      <c r="AO6" s="45">
        <v>0.0</v>
      </c>
      <c r="AP6" s="36" t="s">
        <v>700</v>
      </c>
      <c r="AQ6" s="45">
        <v>0.0</v>
      </c>
      <c r="AR6" s="36" t="s">
        <v>701</v>
      </c>
      <c r="AS6" s="45">
        <v>0.0</v>
      </c>
    </row>
    <row r="7" ht="15.75" customHeight="1">
      <c r="A7" s="5">
        <v>1892.0</v>
      </c>
      <c r="B7" s="5" t="s">
        <v>36</v>
      </c>
      <c r="C7" s="6" t="str">
        <f t="shared" si="1"/>
        <v>LP 06_BC-03B_BS VI HSD</v>
      </c>
      <c r="D7" s="43" t="s">
        <v>702</v>
      </c>
      <c r="E7" s="43" t="s">
        <v>196</v>
      </c>
      <c r="F7" s="62" t="s">
        <v>703</v>
      </c>
      <c r="G7" s="62" t="s">
        <v>39</v>
      </c>
      <c r="H7" s="36" t="s">
        <v>704</v>
      </c>
      <c r="I7" s="45">
        <v>0.0</v>
      </c>
      <c r="J7" s="36" t="s">
        <v>705</v>
      </c>
      <c r="K7" s="45">
        <v>0.0</v>
      </c>
      <c r="L7" s="36"/>
      <c r="M7" s="36"/>
      <c r="N7" s="36" t="s">
        <v>706</v>
      </c>
      <c r="O7" s="45">
        <v>0.0</v>
      </c>
      <c r="P7" s="36"/>
      <c r="Q7" s="45">
        <v>0.0</v>
      </c>
      <c r="R7" s="36" t="s">
        <v>707</v>
      </c>
      <c r="S7" s="45">
        <v>0.0</v>
      </c>
      <c r="T7" s="36"/>
      <c r="U7" s="45">
        <v>0.0</v>
      </c>
      <c r="V7" s="36" t="s">
        <v>708</v>
      </c>
      <c r="W7" s="45">
        <v>0.0</v>
      </c>
      <c r="X7" s="36" t="s">
        <v>709</v>
      </c>
      <c r="Y7" s="45">
        <v>0.0</v>
      </c>
      <c r="Z7" s="36" t="s">
        <v>710</v>
      </c>
      <c r="AA7" s="45">
        <v>0.0</v>
      </c>
      <c r="AB7" s="36" t="s">
        <v>711</v>
      </c>
      <c r="AC7" s="45">
        <v>0.0</v>
      </c>
      <c r="AD7" s="36" t="s">
        <v>712</v>
      </c>
      <c r="AE7" s="45">
        <v>0.0</v>
      </c>
      <c r="AF7" s="36" t="s">
        <v>713</v>
      </c>
      <c r="AG7" s="45">
        <v>0.0</v>
      </c>
      <c r="AH7" s="36" t="s">
        <v>714</v>
      </c>
      <c r="AI7" s="45">
        <v>0.0</v>
      </c>
      <c r="AJ7" s="36" t="s">
        <v>715</v>
      </c>
      <c r="AK7" s="45">
        <v>0.0</v>
      </c>
      <c r="AL7" s="36"/>
      <c r="AM7" s="36"/>
      <c r="AN7" s="36" t="s">
        <v>716</v>
      </c>
      <c r="AO7" s="45">
        <v>0.0</v>
      </c>
      <c r="AP7" s="36" t="s">
        <v>717</v>
      </c>
      <c r="AQ7" s="45">
        <v>0.0</v>
      </c>
      <c r="AR7" s="36"/>
      <c r="AS7" s="45">
        <v>0.0</v>
      </c>
    </row>
    <row r="8" ht="15.75" customHeight="1">
      <c r="A8" s="5">
        <v>1892.0</v>
      </c>
      <c r="B8" s="5" t="s">
        <v>36</v>
      </c>
      <c r="C8" s="6" t="str">
        <f t="shared" si="1"/>
        <v>LP 07_BC-04A_BS VI MS</v>
      </c>
      <c r="D8" s="43" t="s">
        <v>718</v>
      </c>
      <c r="E8" s="43" t="s">
        <v>196</v>
      </c>
      <c r="F8" s="62" t="s">
        <v>719</v>
      </c>
      <c r="G8" s="62" t="s">
        <v>67</v>
      </c>
      <c r="H8" s="36" t="s">
        <v>720</v>
      </c>
      <c r="I8" s="45">
        <v>0.0</v>
      </c>
      <c r="J8" s="36" t="s">
        <v>721</v>
      </c>
      <c r="K8" s="45">
        <v>0.0</v>
      </c>
      <c r="L8" s="36" t="s">
        <v>722</v>
      </c>
      <c r="M8" s="45">
        <v>0.0</v>
      </c>
      <c r="N8" s="36" t="s">
        <v>723</v>
      </c>
      <c r="O8" s="45">
        <v>0.0</v>
      </c>
      <c r="P8" s="36" t="s">
        <v>724</v>
      </c>
      <c r="Q8" s="45">
        <v>0.0</v>
      </c>
      <c r="R8" s="36" t="s">
        <v>725</v>
      </c>
      <c r="S8" s="45">
        <v>0.0</v>
      </c>
      <c r="T8" s="36" t="s">
        <v>726</v>
      </c>
      <c r="U8" s="45">
        <v>0.0</v>
      </c>
      <c r="V8" s="36" t="s">
        <v>727</v>
      </c>
      <c r="W8" s="45">
        <v>0.0</v>
      </c>
      <c r="X8" s="36" t="s">
        <v>728</v>
      </c>
      <c r="Y8" s="45">
        <v>0.0</v>
      </c>
      <c r="Z8" s="36" t="s">
        <v>729</v>
      </c>
      <c r="AA8" s="45">
        <v>0.0</v>
      </c>
      <c r="AB8" s="36" t="s">
        <v>730</v>
      </c>
      <c r="AC8" s="45">
        <v>0.0</v>
      </c>
      <c r="AD8" s="36" t="s">
        <v>731</v>
      </c>
      <c r="AE8" s="45">
        <v>0.0</v>
      </c>
      <c r="AF8" s="36" t="s">
        <v>732</v>
      </c>
      <c r="AG8" s="45">
        <v>0.0</v>
      </c>
      <c r="AH8" s="36" t="s">
        <v>733</v>
      </c>
      <c r="AI8" s="45">
        <v>0.0</v>
      </c>
      <c r="AJ8" s="36" t="s">
        <v>734</v>
      </c>
      <c r="AK8" s="45">
        <v>0.0</v>
      </c>
      <c r="AL8" s="36" t="s">
        <v>735</v>
      </c>
      <c r="AM8" s="45">
        <v>0.0</v>
      </c>
      <c r="AN8" s="36" t="s">
        <v>736</v>
      </c>
      <c r="AO8" s="45">
        <v>0.0</v>
      </c>
      <c r="AP8" s="36" t="s">
        <v>737</v>
      </c>
      <c r="AQ8" s="45">
        <v>0.0</v>
      </c>
      <c r="AR8" s="36" t="s">
        <v>738</v>
      </c>
      <c r="AS8" s="45">
        <v>0.0</v>
      </c>
    </row>
    <row r="9" ht="15.75" customHeight="1">
      <c r="A9" s="5">
        <v>1892.0</v>
      </c>
      <c r="B9" s="5" t="s">
        <v>36</v>
      </c>
      <c r="C9" s="6" t="str">
        <f t="shared" si="1"/>
        <v>LP 08_BC-04B_BS VI HSD</v>
      </c>
      <c r="D9" s="43" t="s">
        <v>739</v>
      </c>
      <c r="E9" s="43" t="s">
        <v>196</v>
      </c>
      <c r="F9" s="62" t="s">
        <v>740</v>
      </c>
      <c r="G9" s="62" t="s">
        <v>39</v>
      </c>
      <c r="H9" s="36" t="s">
        <v>741</v>
      </c>
      <c r="I9" s="45">
        <v>0.0</v>
      </c>
      <c r="J9" s="36" t="s">
        <v>742</v>
      </c>
      <c r="K9" s="45">
        <v>0.0</v>
      </c>
      <c r="L9" s="36"/>
      <c r="M9" s="36"/>
      <c r="N9" s="36" t="s">
        <v>743</v>
      </c>
      <c r="O9" s="45">
        <v>0.0</v>
      </c>
      <c r="P9" s="36"/>
      <c r="Q9" s="45">
        <v>0.0</v>
      </c>
      <c r="R9" s="36" t="s">
        <v>744</v>
      </c>
      <c r="S9" s="45">
        <v>0.0</v>
      </c>
      <c r="T9" s="36"/>
      <c r="U9" s="45">
        <v>0.0</v>
      </c>
      <c r="V9" s="36" t="s">
        <v>745</v>
      </c>
      <c r="W9" s="45">
        <v>0.0</v>
      </c>
      <c r="X9" s="36" t="s">
        <v>746</v>
      </c>
      <c r="Y9" s="45">
        <v>0.0</v>
      </c>
      <c r="Z9" s="36" t="s">
        <v>747</v>
      </c>
      <c r="AA9" s="45">
        <v>0.0</v>
      </c>
      <c r="AB9" s="36" t="s">
        <v>748</v>
      </c>
      <c r="AC9" s="45">
        <v>0.0</v>
      </c>
      <c r="AD9" s="36" t="s">
        <v>749</v>
      </c>
      <c r="AE9" s="45">
        <v>0.0</v>
      </c>
      <c r="AF9" s="36" t="s">
        <v>750</v>
      </c>
      <c r="AG9" s="45">
        <v>0.0</v>
      </c>
      <c r="AH9" s="36" t="s">
        <v>751</v>
      </c>
      <c r="AI9" s="45">
        <v>0.0</v>
      </c>
      <c r="AJ9" s="36" t="s">
        <v>752</v>
      </c>
      <c r="AK9" s="45">
        <v>0.0</v>
      </c>
      <c r="AL9" s="36"/>
      <c r="AM9" s="36"/>
      <c r="AN9" s="36" t="s">
        <v>753</v>
      </c>
      <c r="AO9" s="45">
        <v>0.0</v>
      </c>
      <c r="AP9" s="36" t="s">
        <v>754</v>
      </c>
      <c r="AQ9" s="45">
        <v>0.0</v>
      </c>
      <c r="AR9" s="36"/>
      <c r="AS9" s="45">
        <v>0.0</v>
      </c>
    </row>
    <row r="10" ht="15.75" customHeight="1">
      <c r="A10" s="5">
        <v>1892.0</v>
      </c>
      <c r="B10" s="5" t="s">
        <v>36</v>
      </c>
      <c r="C10" s="6" t="str">
        <f t="shared" si="1"/>
        <v>LP 09_BC-05A_BS VI HSD</v>
      </c>
      <c r="D10" s="43" t="s">
        <v>755</v>
      </c>
      <c r="E10" s="43" t="s">
        <v>196</v>
      </c>
      <c r="F10" s="62" t="s">
        <v>756</v>
      </c>
      <c r="G10" s="62" t="s">
        <v>39</v>
      </c>
      <c r="H10" s="36" t="s">
        <v>757</v>
      </c>
      <c r="I10" s="45">
        <v>0.0</v>
      </c>
      <c r="J10" s="36" t="s">
        <v>758</v>
      </c>
      <c r="K10" s="45">
        <v>0.0</v>
      </c>
      <c r="L10" s="36"/>
      <c r="M10" s="36"/>
      <c r="N10" s="36" t="s">
        <v>759</v>
      </c>
      <c r="O10" s="45">
        <v>0.0</v>
      </c>
      <c r="P10" s="36"/>
      <c r="Q10" s="45">
        <v>0.0</v>
      </c>
      <c r="R10" s="36" t="s">
        <v>760</v>
      </c>
      <c r="S10" s="45">
        <v>0.0</v>
      </c>
      <c r="T10" s="36"/>
      <c r="U10" s="45">
        <v>0.0</v>
      </c>
      <c r="V10" s="36" t="s">
        <v>761</v>
      </c>
      <c r="W10" s="45">
        <v>0.0</v>
      </c>
      <c r="X10" s="36" t="s">
        <v>762</v>
      </c>
      <c r="Y10" s="45">
        <v>0.0</v>
      </c>
      <c r="Z10" s="36" t="s">
        <v>763</v>
      </c>
      <c r="AA10" s="45">
        <v>0.0</v>
      </c>
      <c r="AB10" s="36" t="s">
        <v>764</v>
      </c>
      <c r="AC10" s="45">
        <v>0.0</v>
      </c>
      <c r="AD10" s="36" t="s">
        <v>765</v>
      </c>
      <c r="AE10" s="45">
        <v>0.0</v>
      </c>
      <c r="AF10" s="36" t="s">
        <v>766</v>
      </c>
      <c r="AG10" s="45">
        <v>0.0</v>
      </c>
      <c r="AH10" s="36" t="s">
        <v>767</v>
      </c>
      <c r="AI10" s="45">
        <v>0.0</v>
      </c>
      <c r="AJ10" s="36" t="s">
        <v>768</v>
      </c>
      <c r="AK10" s="45">
        <v>0.0</v>
      </c>
      <c r="AL10" s="36"/>
      <c r="AM10" s="36"/>
      <c r="AN10" s="36" t="s">
        <v>769</v>
      </c>
      <c r="AO10" s="45">
        <v>0.0</v>
      </c>
      <c r="AP10" s="36" t="s">
        <v>770</v>
      </c>
      <c r="AQ10" s="45">
        <v>0.0</v>
      </c>
      <c r="AR10" s="36"/>
      <c r="AS10" s="45">
        <v>0.0</v>
      </c>
    </row>
    <row r="11" ht="15.75" customHeight="1">
      <c r="A11" s="5">
        <v>1892.0</v>
      </c>
      <c r="B11" s="5" t="s">
        <v>36</v>
      </c>
      <c r="C11" s="6" t="str">
        <f t="shared" si="1"/>
        <v>LP 10_BC-05B_BS VI HSD</v>
      </c>
      <c r="D11" s="43" t="s">
        <v>771</v>
      </c>
      <c r="E11" s="43" t="s">
        <v>196</v>
      </c>
      <c r="F11" s="62" t="s">
        <v>772</v>
      </c>
      <c r="G11" s="62" t="s">
        <v>39</v>
      </c>
      <c r="H11" s="36" t="s">
        <v>773</v>
      </c>
      <c r="I11" s="45">
        <v>0.0</v>
      </c>
      <c r="J11" s="36" t="s">
        <v>774</v>
      </c>
      <c r="K11" s="45">
        <v>0.0</v>
      </c>
      <c r="L11" s="36" t="s">
        <v>775</v>
      </c>
      <c r="M11" s="45">
        <v>0.0</v>
      </c>
      <c r="N11" s="36" t="s">
        <v>776</v>
      </c>
      <c r="O11" s="45">
        <v>0.0</v>
      </c>
      <c r="P11" s="36" t="s">
        <v>777</v>
      </c>
      <c r="Q11" s="45">
        <v>0.0</v>
      </c>
      <c r="R11" s="36" t="s">
        <v>778</v>
      </c>
      <c r="S11" s="45">
        <v>0.0</v>
      </c>
      <c r="T11" s="36" t="s">
        <v>779</v>
      </c>
      <c r="U11" s="45">
        <v>0.0</v>
      </c>
      <c r="V11" s="36" t="s">
        <v>780</v>
      </c>
      <c r="W11" s="45">
        <v>0.0</v>
      </c>
      <c r="X11" s="36" t="s">
        <v>781</v>
      </c>
      <c r="Y11" s="45">
        <v>0.0</v>
      </c>
      <c r="Z11" s="36" t="s">
        <v>782</v>
      </c>
      <c r="AA11" s="45">
        <v>0.0</v>
      </c>
      <c r="AB11" s="36" t="s">
        <v>783</v>
      </c>
      <c r="AC11" s="45">
        <v>0.0</v>
      </c>
      <c r="AD11" s="36" t="s">
        <v>784</v>
      </c>
      <c r="AE11" s="45">
        <v>0.0</v>
      </c>
      <c r="AF11" s="36" t="s">
        <v>785</v>
      </c>
      <c r="AG11" s="45">
        <v>0.0</v>
      </c>
      <c r="AH11" s="36" t="s">
        <v>786</v>
      </c>
      <c r="AI11" s="45">
        <v>0.0</v>
      </c>
      <c r="AJ11" s="36" t="s">
        <v>787</v>
      </c>
      <c r="AK11" s="45">
        <v>0.0</v>
      </c>
      <c r="AL11" s="36" t="s">
        <v>788</v>
      </c>
      <c r="AM11" s="45">
        <v>0.0</v>
      </c>
      <c r="AN11" s="36" t="s">
        <v>789</v>
      </c>
      <c r="AO11" s="45">
        <v>0.0</v>
      </c>
      <c r="AP11" s="36" t="s">
        <v>790</v>
      </c>
      <c r="AQ11" s="45">
        <v>0.0</v>
      </c>
      <c r="AR11" s="36" t="s">
        <v>791</v>
      </c>
      <c r="AS11" s="45">
        <v>0.0</v>
      </c>
    </row>
    <row r="12" ht="15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30"/>
      <c r="AI12" s="30"/>
      <c r="AJ12" s="24"/>
      <c r="AK12" s="24"/>
      <c r="AL12" s="24"/>
      <c r="AM12" s="24"/>
      <c r="AN12" s="24"/>
      <c r="AO12" s="24"/>
      <c r="AP12" s="24"/>
      <c r="AQ12" s="24"/>
      <c r="AR12" s="24"/>
      <c r="AS12" s="24"/>
    </row>
    <row r="13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6"/>
      <c r="AI13" s="26"/>
      <c r="AJ13" s="24"/>
      <c r="AK13" s="24"/>
      <c r="AL13" s="24"/>
      <c r="AM13" s="24"/>
      <c r="AN13" s="24"/>
      <c r="AO13" s="24"/>
      <c r="AP13" s="24"/>
      <c r="AQ13" s="24"/>
      <c r="AR13" s="24"/>
      <c r="AS13" s="24"/>
    </row>
    <row r="14" ht="15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6"/>
      <c r="AI14" s="26"/>
      <c r="AJ14" s="24"/>
      <c r="AK14" s="24"/>
      <c r="AL14" s="24"/>
      <c r="AM14" s="24"/>
      <c r="AN14" s="24"/>
      <c r="AO14" s="24"/>
      <c r="AP14" s="24"/>
      <c r="AQ14" s="24"/>
      <c r="AR14" s="24"/>
      <c r="AS14" s="24"/>
    </row>
    <row r="15" ht="15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6"/>
      <c r="AI15" s="26"/>
      <c r="AJ15" s="24"/>
      <c r="AK15" s="24"/>
      <c r="AL15" s="24"/>
      <c r="AM15" s="24"/>
      <c r="AN15" s="24"/>
      <c r="AO15" s="24"/>
      <c r="AP15" s="24"/>
      <c r="AQ15" s="24"/>
      <c r="AR15" s="24"/>
      <c r="AS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6"/>
      <c r="AI16" s="26"/>
      <c r="AJ16" s="24"/>
      <c r="AK16" s="24"/>
      <c r="AL16" s="24"/>
      <c r="AM16" s="24"/>
      <c r="AN16" s="24"/>
      <c r="AO16" s="24"/>
      <c r="AP16" s="24"/>
      <c r="AQ16" s="24"/>
      <c r="AR16" s="24"/>
      <c r="AS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6"/>
      <c r="AI17" s="26"/>
      <c r="AJ17" s="24"/>
      <c r="AK17" s="24"/>
      <c r="AL17" s="24"/>
      <c r="AM17" s="24"/>
      <c r="AN17" s="24"/>
      <c r="AO17" s="24"/>
      <c r="AP17" s="24"/>
      <c r="AQ17" s="24"/>
      <c r="AR17" s="24"/>
      <c r="AS17" s="24"/>
    </row>
    <row r="18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6"/>
      <c r="AI18" s="26"/>
      <c r="AJ18" s="24"/>
      <c r="AK18" s="24"/>
      <c r="AL18" s="24"/>
      <c r="AM18" s="24"/>
      <c r="AN18" s="24"/>
      <c r="AO18" s="24"/>
      <c r="AP18" s="24"/>
      <c r="AQ18" s="24"/>
      <c r="AR18" s="24"/>
      <c r="AS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6"/>
      <c r="AI19" s="26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6"/>
      <c r="AI20" s="26"/>
      <c r="AJ20" s="24"/>
      <c r="AK20" s="24"/>
      <c r="AL20" s="24"/>
      <c r="AM20" s="24"/>
      <c r="AN20" s="24"/>
      <c r="AO20" s="24"/>
      <c r="AP20" s="24"/>
      <c r="AQ20" s="24"/>
      <c r="AR20" s="24"/>
      <c r="AS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6"/>
      <c r="AI21" s="26"/>
      <c r="AJ21" s="24"/>
      <c r="AK21" s="24"/>
      <c r="AL21" s="24"/>
      <c r="AM21" s="24"/>
      <c r="AN21" s="24"/>
      <c r="AO21" s="24"/>
      <c r="AP21" s="24"/>
      <c r="AQ21" s="24"/>
      <c r="AR21" s="24"/>
      <c r="AS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6"/>
      <c r="AI22" s="26"/>
      <c r="AJ22" s="24"/>
      <c r="AK22" s="24"/>
      <c r="AL22" s="24"/>
      <c r="AM22" s="24"/>
      <c r="AN22" s="24"/>
      <c r="AO22" s="24"/>
      <c r="AP22" s="24"/>
      <c r="AQ22" s="24"/>
      <c r="AR22" s="24"/>
      <c r="AS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6"/>
      <c r="AI23" s="26"/>
      <c r="AJ23" s="24"/>
      <c r="AK23" s="24"/>
      <c r="AL23" s="24"/>
      <c r="AM23" s="24"/>
      <c r="AN23" s="24"/>
      <c r="AO23" s="24"/>
      <c r="AP23" s="24"/>
      <c r="AQ23" s="24"/>
      <c r="AR23" s="24"/>
      <c r="AS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6"/>
      <c r="AI24" s="26"/>
      <c r="AJ24" s="24"/>
      <c r="AK24" s="24"/>
      <c r="AL24" s="24"/>
      <c r="AM24" s="24"/>
      <c r="AN24" s="24"/>
      <c r="AO24" s="24"/>
      <c r="AP24" s="24"/>
      <c r="AQ24" s="24"/>
      <c r="AR24" s="24"/>
      <c r="AS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6"/>
      <c r="AI25" s="26"/>
      <c r="AJ25" s="24"/>
      <c r="AK25" s="24"/>
      <c r="AL25" s="24"/>
      <c r="AM25" s="24"/>
      <c r="AN25" s="24"/>
      <c r="AO25" s="24"/>
      <c r="AP25" s="24"/>
      <c r="AQ25" s="24"/>
      <c r="AR25" s="24"/>
      <c r="AS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6"/>
      <c r="AI26" s="26"/>
      <c r="AJ26" s="24"/>
      <c r="AK26" s="24"/>
      <c r="AL26" s="24"/>
      <c r="AM26" s="24"/>
      <c r="AN26" s="24"/>
      <c r="AO26" s="24"/>
      <c r="AP26" s="24"/>
      <c r="AQ26" s="24"/>
      <c r="AR26" s="24"/>
      <c r="AS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6"/>
      <c r="AI27" s="26"/>
      <c r="AJ27" s="24"/>
      <c r="AK27" s="24"/>
      <c r="AL27" s="24"/>
      <c r="AM27" s="24"/>
      <c r="AN27" s="24"/>
      <c r="AO27" s="24"/>
      <c r="AP27" s="24"/>
      <c r="AQ27" s="24"/>
      <c r="AR27" s="24"/>
      <c r="AS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6"/>
      <c r="AI28" s="26"/>
      <c r="AJ28" s="24"/>
      <c r="AK28" s="24"/>
      <c r="AL28" s="24"/>
      <c r="AM28" s="24"/>
      <c r="AN28" s="24"/>
      <c r="AO28" s="24"/>
      <c r="AP28" s="24"/>
      <c r="AQ28" s="24"/>
      <c r="AR28" s="24"/>
      <c r="AS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6"/>
      <c r="AI29" s="26"/>
      <c r="AJ29" s="24"/>
      <c r="AK29" s="24"/>
      <c r="AL29" s="24"/>
      <c r="AM29" s="24"/>
      <c r="AN29" s="24"/>
      <c r="AO29" s="24"/>
      <c r="AP29" s="24"/>
      <c r="AQ29" s="24"/>
      <c r="AR29" s="24"/>
      <c r="AS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6"/>
      <c r="AI30" s="26"/>
      <c r="AJ30" s="24"/>
      <c r="AK30" s="24"/>
      <c r="AL30" s="24"/>
      <c r="AM30" s="24"/>
      <c r="AN30" s="24"/>
      <c r="AO30" s="24"/>
      <c r="AP30" s="24"/>
      <c r="AQ30" s="24"/>
      <c r="AR30" s="24"/>
      <c r="AS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6"/>
      <c r="AI31" s="26"/>
      <c r="AJ31" s="24"/>
      <c r="AK31" s="24"/>
      <c r="AL31" s="24"/>
      <c r="AM31" s="24"/>
      <c r="AN31" s="24"/>
      <c r="AO31" s="24"/>
      <c r="AP31" s="24"/>
      <c r="AQ31" s="24"/>
      <c r="AR31" s="24"/>
      <c r="AS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6"/>
      <c r="AI32" s="26"/>
      <c r="AJ32" s="24"/>
      <c r="AK32" s="24"/>
      <c r="AL32" s="24"/>
      <c r="AM32" s="24"/>
      <c r="AN32" s="24"/>
      <c r="AO32" s="24"/>
      <c r="AP32" s="24"/>
      <c r="AQ32" s="24"/>
      <c r="AR32" s="24"/>
      <c r="AS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6"/>
      <c r="AI33" s="26"/>
      <c r="AJ33" s="24"/>
      <c r="AK33" s="24"/>
      <c r="AL33" s="24"/>
      <c r="AM33" s="24"/>
      <c r="AN33" s="24"/>
      <c r="AO33" s="24"/>
      <c r="AP33" s="24"/>
      <c r="AQ33" s="24"/>
      <c r="AR33" s="24"/>
      <c r="AS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6"/>
      <c r="AI34" s="26"/>
      <c r="AJ34" s="24"/>
      <c r="AK34" s="24"/>
      <c r="AL34" s="24"/>
      <c r="AM34" s="24"/>
      <c r="AN34" s="24"/>
      <c r="AO34" s="24"/>
      <c r="AP34" s="24"/>
      <c r="AQ34" s="24"/>
      <c r="AR34" s="24"/>
      <c r="AS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6"/>
      <c r="AI35" s="26"/>
      <c r="AJ35" s="24"/>
      <c r="AK35" s="24"/>
      <c r="AL35" s="24"/>
      <c r="AM35" s="24"/>
      <c r="AN35" s="24"/>
      <c r="AO35" s="24"/>
      <c r="AP35" s="24"/>
      <c r="AQ35" s="24"/>
      <c r="AR35" s="24"/>
      <c r="AS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6"/>
      <c r="AI36" s="26"/>
      <c r="AJ36" s="24"/>
      <c r="AK36" s="24"/>
      <c r="AL36" s="24"/>
      <c r="AM36" s="24"/>
      <c r="AN36" s="24"/>
      <c r="AO36" s="24"/>
      <c r="AP36" s="24"/>
      <c r="AQ36" s="24"/>
      <c r="AR36" s="24"/>
      <c r="AS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6"/>
      <c r="AI37" s="26"/>
      <c r="AJ37" s="24"/>
      <c r="AK37" s="24"/>
      <c r="AL37" s="24"/>
      <c r="AM37" s="24"/>
      <c r="AN37" s="24"/>
      <c r="AO37" s="24"/>
      <c r="AP37" s="24"/>
      <c r="AQ37" s="24"/>
      <c r="AR37" s="24"/>
      <c r="AS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6"/>
      <c r="AI38" s="26"/>
      <c r="AJ38" s="24"/>
      <c r="AK38" s="24"/>
      <c r="AL38" s="24"/>
      <c r="AM38" s="24"/>
      <c r="AN38" s="24"/>
      <c r="AO38" s="24"/>
      <c r="AP38" s="24"/>
      <c r="AQ38" s="24"/>
      <c r="AR38" s="24"/>
      <c r="AS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6"/>
      <c r="AI39" s="26"/>
      <c r="AJ39" s="24"/>
      <c r="AK39" s="24"/>
      <c r="AL39" s="24"/>
      <c r="AM39" s="24"/>
      <c r="AN39" s="24"/>
      <c r="AO39" s="24"/>
      <c r="AP39" s="24"/>
      <c r="AQ39" s="24"/>
      <c r="AR39" s="24"/>
      <c r="AS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6"/>
      <c r="AI40" s="26"/>
      <c r="AJ40" s="24"/>
      <c r="AK40" s="24"/>
      <c r="AL40" s="24"/>
      <c r="AM40" s="24"/>
      <c r="AN40" s="24"/>
      <c r="AO40" s="24"/>
      <c r="AP40" s="24"/>
      <c r="AQ40" s="24"/>
      <c r="AR40" s="24"/>
      <c r="AS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6"/>
      <c r="AI41" s="26"/>
      <c r="AJ41" s="24"/>
      <c r="AK41" s="24"/>
      <c r="AL41" s="24"/>
      <c r="AM41" s="24"/>
      <c r="AN41" s="24"/>
      <c r="AO41" s="24"/>
      <c r="AP41" s="24"/>
      <c r="AQ41" s="24"/>
      <c r="AR41" s="24"/>
      <c r="AS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6"/>
      <c r="AI42" s="26"/>
      <c r="AJ42" s="24"/>
      <c r="AK42" s="24"/>
      <c r="AL42" s="24"/>
      <c r="AM42" s="24"/>
      <c r="AN42" s="24"/>
      <c r="AO42" s="24"/>
      <c r="AP42" s="24"/>
      <c r="AQ42" s="24"/>
      <c r="AR42" s="24"/>
      <c r="AS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6"/>
      <c r="AI43" s="26"/>
      <c r="AJ43" s="24"/>
      <c r="AK43" s="24"/>
      <c r="AL43" s="24"/>
      <c r="AM43" s="24"/>
      <c r="AN43" s="24"/>
      <c r="AO43" s="24"/>
      <c r="AP43" s="24"/>
      <c r="AQ43" s="24"/>
      <c r="AR43" s="24"/>
      <c r="AS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6"/>
      <c r="AI44" s="26"/>
      <c r="AJ44" s="24"/>
      <c r="AK44" s="24"/>
      <c r="AL44" s="24"/>
      <c r="AM44" s="24"/>
      <c r="AN44" s="24"/>
      <c r="AO44" s="24"/>
      <c r="AP44" s="24"/>
      <c r="AQ44" s="24"/>
      <c r="AR44" s="24"/>
      <c r="AS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6"/>
      <c r="AI45" s="26"/>
      <c r="AJ45" s="24"/>
      <c r="AK45" s="24"/>
      <c r="AL45" s="24"/>
      <c r="AM45" s="24"/>
      <c r="AN45" s="24"/>
      <c r="AO45" s="24"/>
      <c r="AP45" s="24"/>
      <c r="AQ45" s="24"/>
      <c r="AR45" s="24"/>
      <c r="AS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6"/>
      <c r="AI46" s="26"/>
      <c r="AJ46" s="24"/>
      <c r="AK46" s="24"/>
      <c r="AL46" s="24"/>
      <c r="AM46" s="24"/>
      <c r="AN46" s="24"/>
      <c r="AO46" s="24"/>
      <c r="AP46" s="24"/>
      <c r="AQ46" s="24"/>
      <c r="AR46" s="24"/>
      <c r="AS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6"/>
      <c r="AI47" s="26"/>
      <c r="AJ47" s="24"/>
      <c r="AK47" s="24"/>
      <c r="AL47" s="24"/>
      <c r="AM47" s="24"/>
      <c r="AN47" s="24"/>
      <c r="AO47" s="24"/>
      <c r="AP47" s="24"/>
      <c r="AQ47" s="24"/>
      <c r="AR47" s="24"/>
      <c r="AS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6"/>
      <c r="AI48" s="26"/>
      <c r="AJ48" s="24"/>
      <c r="AK48" s="24"/>
      <c r="AL48" s="24"/>
      <c r="AM48" s="24"/>
      <c r="AN48" s="24"/>
      <c r="AO48" s="24"/>
      <c r="AP48" s="24"/>
      <c r="AQ48" s="24"/>
      <c r="AR48" s="24"/>
      <c r="AS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6"/>
      <c r="AI49" s="26"/>
      <c r="AJ49" s="24"/>
      <c r="AK49" s="24"/>
      <c r="AL49" s="24"/>
      <c r="AM49" s="24"/>
      <c r="AN49" s="24"/>
      <c r="AO49" s="24"/>
      <c r="AP49" s="24"/>
      <c r="AQ49" s="24"/>
      <c r="AR49" s="24"/>
      <c r="AS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6"/>
      <c r="AI50" s="26"/>
      <c r="AJ50" s="24"/>
      <c r="AK50" s="24"/>
      <c r="AL50" s="24"/>
      <c r="AM50" s="24"/>
      <c r="AN50" s="24"/>
      <c r="AO50" s="24"/>
      <c r="AP50" s="24"/>
      <c r="AQ50" s="24"/>
      <c r="AR50" s="24"/>
      <c r="AS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6"/>
      <c r="AI51" s="26"/>
      <c r="AJ51" s="24"/>
      <c r="AK51" s="24"/>
      <c r="AL51" s="24"/>
      <c r="AM51" s="24"/>
      <c r="AN51" s="24"/>
      <c r="AO51" s="24"/>
      <c r="AP51" s="24"/>
      <c r="AQ51" s="24"/>
      <c r="AR51" s="24"/>
      <c r="AS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6"/>
      <c r="AI52" s="26"/>
      <c r="AJ52" s="24"/>
      <c r="AK52" s="24"/>
      <c r="AL52" s="24"/>
      <c r="AM52" s="24"/>
      <c r="AN52" s="24"/>
      <c r="AO52" s="24"/>
      <c r="AP52" s="24"/>
      <c r="AQ52" s="24"/>
      <c r="AR52" s="24"/>
      <c r="AS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6"/>
      <c r="AI53" s="26"/>
      <c r="AJ53" s="24"/>
      <c r="AK53" s="24"/>
      <c r="AL53" s="24"/>
      <c r="AM53" s="24"/>
      <c r="AN53" s="24"/>
      <c r="AO53" s="24"/>
      <c r="AP53" s="24"/>
      <c r="AQ53" s="24"/>
      <c r="AR53" s="24"/>
      <c r="AS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6"/>
      <c r="AI54" s="26"/>
      <c r="AJ54" s="24"/>
      <c r="AK54" s="24"/>
      <c r="AL54" s="24"/>
      <c r="AM54" s="24"/>
      <c r="AN54" s="24"/>
      <c r="AO54" s="24"/>
      <c r="AP54" s="24"/>
      <c r="AQ54" s="24"/>
      <c r="AR54" s="24"/>
      <c r="AS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6"/>
      <c r="AI55" s="26"/>
      <c r="AJ55" s="24"/>
      <c r="AK55" s="24"/>
      <c r="AL55" s="24"/>
      <c r="AM55" s="24"/>
      <c r="AN55" s="24"/>
      <c r="AO55" s="24"/>
      <c r="AP55" s="24"/>
      <c r="AQ55" s="24"/>
      <c r="AR55" s="24"/>
      <c r="AS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6"/>
      <c r="AI56" s="26"/>
      <c r="AJ56" s="24"/>
      <c r="AK56" s="24"/>
      <c r="AL56" s="24"/>
      <c r="AM56" s="24"/>
      <c r="AN56" s="24"/>
      <c r="AO56" s="24"/>
      <c r="AP56" s="24"/>
      <c r="AQ56" s="24"/>
      <c r="AR56" s="24"/>
      <c r="AS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6"/>
      <c r="AI57" s="26"/>
      <c r="AJ57" s="24"/>
      <c r="AK57" s="24"/>
      <c r="AL57" s="24"/>
      <c r="AM57" s="24"/>
      <c r="AN57" s="24"/>
      <c r="AO57" s="24"/>
      <c r="AP57" s="24"/>
      <c r="AQ57" s="24"/>
      <c r="AR57" s="24"/>
      <c r="AS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6"/>
      <c r="AI58" s="26"/>
      <c r="AJ58" s="24"/>
      <c r="AK58" s="24"/>
      <c r="AL58" s="24"/>
      <c r="AM58" s="24"/>
      <c r="AN58" s="24"/>
      <c r="AO58" s="24"/>
      <c r="AP58" s="24"/>
      <c r="AQ58" s="24"/>
      <c r="AR58" s="24"/>
      <c r="AS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6"/>
      <c r="AI59" s="26"/>
      <c r="AJ59" s="24"/>
      <c r="AK59" s="24"/>
      <c r="AL59" s="24"/>
      <c r="AM59" s="24"/>
      <c r="AN59" s="24"/>
      <c r="AO59" s="24"/>
      <c r="AP59" s="24"/>
      <c r="AQ59" s="24"/>
      <c r="AR59" s="24"/>
      <c r="AS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6"/>
      <c r="AI60" s="26"/>
      <c r="AJ60" s="24"/>
      <c r="AK60" s="24"/>
      <c r="AL60" s="24"/>
      <c r="AM60" s="24"/>
      <c r="AN60" s="24"/>
      <c r="AO60" s="24"/>
      <c r="AP60" s="24"/>
      <c r="AQ60" s="24"/>
      <c r="AR60" s="24"/>
      <c r="AS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6"/>
      <c r="AI61" s="26"/>
      <c r="AJ61" s="24"/>
      <c r="AK61" s="24"/>
      <c r="AL61" s="24"/>
      <c r="AM61" s="24"/>
      <c r="AN61" s="24"/>
      <c r="AO61" s="24"/>
      <c r="AP61" s="24"/>
      <c r="AQ61" s="24"/>
      <c r="AR61" s="24"/>
      <c r="AS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6"/>
      <c r="AI62" s="26"/>
      <c r="AJ62" s="24"/>
      <c r="AK62" s="24"/>
      <c r="AL62" s="24"/>
      <c r="AM62" s="24"/>
      <c r="AN62" s="24"/>
      <c r="AO62" s="24"/>
      <c r="AP62" s="24"/>
      <c r="AQ62" s="24"/>
      <c r="AR62" s="24"/>
      <c r="AS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6"/>
      <c r="AI63" s="26"/>
      <c r="AJ63" s="24"/>
      <c r="AK63" s="24"/>
      <c r="AL63" s="24"/>
      <c r="AM63" s="24"/>
      <c r="AN63" s="24"/>
      <c r="AO63" s="24"/>
      <c r="AP63" s="24"/>
      <c r="AQ63" s="24"/>
      <c r="AR63" s="24"/>
      <c r="AS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6"/>
      <c r="AI64" s="26"/>
      <c r="AJ64" s="24"/>
      <c r="AK64" s="24"/>
      <c r="AL64" s="24"/>
      <c r="AM64" s="24"/>
      <c r="AN64" s="24"/>
      <c r="AO64" s="24"/>
      <c r="AP64" s="24"/>
      <c r="AQ64" s="24"/>
      <c r="AR64" s="24"/>
      <c r="AS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6"/>
      <c r="AI65" s="26"/>
      <c r="AJ65" s="24"/>
      <c r="AK65" s="24"/>
      <c r="AL65" s="24"/>
      <c r="AM65" s="24"/>
      <c r="AN65" s="24"/>
      <c r="AO65" s="24"/>
      <c r="AP65" s="24"/>
      <c r="AQ65" s="24"/>
      <c r="AR65" s="24"/>
      <c r="AS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6"/>
      <c r="AI66" s="26"/>
      <c r="AJ66" s="24"/>
      <c r="AK66" s="24"/>
      <c r="AL66" s="24"/>
      <c r="AM66" s="24"/>
      <c r="AN66" s="24"/>
      <c r="AO66" s="24"/>
      <c r="AP66" s="24"/>
      <c r="AQ66" s="24"/>
      <c r="AR66" s="24"/>
      <c r="AS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6"/>
      <c r="AI67" s="26"/>
      <c r="AJ67" s="24"/>
      <c r="AK67" s="24"/>
      <c r="AL67" s="24"/>
      <c r="AM67" s="24"/>
      <c r="AN67" s="24"/>
      <c r="AO67" s="24"/>
      <c r="AP67" s="24"/>
      <c r="AQ67" s="24"/>
      <c r="AR67" s="24"/>
      <c r="AS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6"/>
      <c r="AI68" s="26"/>
      <c r="AJ68" s="24"/>
      <c r="AK68" s="24"/>
      <c r="AL68" s="24"/>
      <c r="AM68" s="24"/>
      <c r="AN68" s="24"/>
      <c r="AO68" s="24"/>
      <c r="AP68" s="24"/>
      <c r="AQ68" s="24"/>
      <c r="AR68" s="24"/>
      <c r="AS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6"/>
      <c r="AI69" s="26"/>
      <c r="AJ69" s="24"/>
      <c r="AK69" s="24"/>
      <c r="AL69" s="24"/>
      <c r="AM69" s="24"/>
      <c r="AN69" s="24"/>
      <c r="AO69" s="24"/>
      <c r="AP69" s="24"/>
      <c r="AQ69" s="24"/>
      <c r="AR69" s="24"/>
      <c r="AS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6"/>
      <c r="AI70" s="26"/>
      <c r="AJ70" s="24"/>
      <c r="AK70" s="24"/>
      <c r="AL70" s="24"/>
      <c r="AM70" s="24"/>
      <c r="AN70" s="24"/>
      <c r="AO70" s="24"/>
      <c r="AP70" s="24"/>
      <c r="AQ70" s="24"/>
      <c r="AR70" s="24"/>
      <c r="AS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6"/>
      <c r="AI71" s="26"/>
      <c r="AJ71" s="24"/>
      <c r="AK71" s="24"/>
      <c r="AL71" s="24"/>
      <c r="AM71" s="24"/>
      <c r="AN71" s="24"/>
      <c r="AO71" s="24"/>
      <c r="AP71" s="24"/>
      <c r="AQ71" s="24"/>
      <c r="AR71" s="24"/>
      <c r="AS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6"/>
      <c r="AI72" s="26"/>
      <c r="AJ72" s="24"/>
      <c r="AK72" s="24"/>
      <c r="AL72" s="24"/>
      <c r="AM72" s="24"/>
      <c r="AN72" s="24"/>
      <c r="AO72" s="24"/>
      <c r="AP72" s="24"/>
      <c r="AQ72" s="24"/>
      <c r="AR72" s="24"/>
      <c r="AS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6"/>
      <c r="AI73" s="26"/>
      <c r="AJ73" s="24"/>
      <c r="AK73" s="24"/>
      <c r="AL73" s="24"/>
      <c r="AM73" s="24"/>
      <c r="AN73" s="24"/>
      <c r="AO73" s="24"/>
      <c r="AP73" s="24"/>
      <c r="AQ73" s="24"/>
      <c r="AR73" s="24"/>
      <c r="AS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6"/>
      <c r="AI74" s="26"/>
      <c r="AJ74" s="24"/>
      <c r="AK74" s="24"/>
      <c r="AL74" s="24"/>
      <c r="AM74" s="24"/>
      <c r="AN74" s="24"/>
      <c r="AO74" s="24"/>
      <c r="AP74" s="24"/>
      <c r="AQ74" s="24"/>
      <c r="AR74" s="24"/>
      <c r="AS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6"/>
      <c r="AI75" s="26"/>
      <c r="AJ75" s="24"/>
      <c r="AK75" s="24"/>
      <c r="AL75" s="24"/>
      <c r="AM75" s="24"/>
      <c r="AN75" s="24"/>
      <c r="AO75" s="24"/>
      <c r="AP75" s="24"/>
      <c r="AQ75" s="24"/>
      <c r="AR75" s="24"/>
      <c r="AS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6"/>
      <c r="AI76" s="26"/>
      <c r="AJ76" s="24"/>
      <c r="AK76" s="24"/>
      <c r="AL76" s="24"/>
      <c r="AM76" s="24"/>
      <c r="AN76" s="24"/>
      <c r="AO76" s="24"/>
      <c r="AP76" s="24"/>
      <c r="AQ76" s="24"/>
      <c r="AR76" s="24"/>
      <c r="AS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6"/>
      <c r="AI77" s="26"/>
      <c r="AJ77" s="24"/>
      <c r="AK77" s="24"/>
      <c r="AL77" s="24"/>
      <c r="AM77" s="24"/>
      <c r="AN77" s="24"/>
      <c r="AO77" s="24"/>
      <c r="AP77" s="24"/>
      <c r="AQ77" s="24"/>
      <c r="AR77" s="24"/>
      <c r="AS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6"/>
      <c r="AI78" s="26"/>
      <c r="AJ78" s="24"/>
      <c r="AK78" s="24"/>
      <c r="AL78" s="24"/>
      <c r="AM78" s="24"/>
      <c r="AN78" s="24"/>
      <c r="AO78" s="24"/>
      <c r="AP78" s="24"/>
      <c r="AQ78" s="24"/>
      <c r="AR78" s="24"/>
      <c r="AS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6"/>
      <c r="AI79" s="26"/>
      <c r="AJ79" s="24"/>
      <c r="AK79" s="24"/>
      <c r="AL79" s="24"/>
      <c r="AM79" s="24"/>
      <c r="AN79" s="24"/>
      <c r="AO79" s="24"/>
      <c r="AP79" s="24"/>
      <c r="AQ79" s="24"/>
      <c r="AR79" s="24"/>
      <c r="AS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6"/>
      <c r="AI80" s="26"/>
      <c r="AJ80" s="24"/>
      <c r="AK80" s="24"/>
      <c r="AL80" s="24"/>
      <c r="AM80" s="24"/>
      <c r="AN80" s="24"/>
      <c r="AO80" s="24"/>
      <c r="AP80" s="24"/>
      <c r="AQ80" s="24"/>
      <c r="AR80" s="24"/>
      <c r="AS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6"/>
      <c r="AI81" s="26"/>
      <c r="AJ81" s="24"/>
      <c r="AK81" s="24"/>
      <c r="AL81" s="24"/>
      <c r="AM81" s="24"/>
      <c r="AN81" s="24"/>
      <c r="AO81" s="24"/>
      <c r="AP81" s="24"/>
      <c r="AQ81" s="24"/>
      <c r="AR81" s="24"/>
      <c r="AS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6"/>
      <c r="AI82" s="26"/>
      <c r="AJ82" s="24"/>
      <c r="AK82" s="24"/>
      <c r="AL82" s="24"/>
      <c r="AM82" s="24"/>
      <c r="AN82" s="24"/>
      <c r="AO82" s="24"/>
      <c r="AP82" s="24"/>
      <c r="AQ82" s="24"/>
      <c r="AR82" s="24"/>
      <c r="AS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6"/>
      <c r="AI83" s="26"/>
      <c r="AJ83" s="24"/>
      <c r="AK83" s="24"/>
      <c r="AL83" s="24"/>
      <c r="AM83" s="24"/>
      <c r="AN83" s="24"/>
      <c r="AO83" s="24"/>
      <c r="AP83" s="24"/>
      <c r="AQ83" s="24"/>
      <c r="AR83" s="24"/>
      <c r="AS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6"/>
      <c r="AI84" s="26"/>
      <c r="AJ84" s="24"/>
      <c r="AK84" s="24"/>
      <c r="AL84" s="24"/>
      <c r="AM84" s="24"/>
      <c r="AN84" s="24"/>
      <c r="AO84" s="24"/>
      <c r="AP84" s="24"/>
      <c r="AQ84" s="24"/>
      <c r="AR84" s="24"/>
      <c r="AS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6"/>
      <c r="AI85" s="26"/>
      <c r="AJ85" s="24"/>
      <c r="AK85" s="24"/>
      <c r="AL85" s="24"/>
      <c r="AM85" s="24"/>
      <c r="AN85" s="24"/>
      <c r="AO85" s="24"/>
      <c r="AP85" s="24"/>
      <c r="AQ85" s="24"/>
      <c r="AR85" s="24"/>
      <c r="AS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6"/>
      <c r="AI86" s="26"/>
      <c r="AJ86" s="24"/>
      <c r="AK86" s="24"/>
      <c r="AL86" s="24"/>
      <c r="AM86" s="24"/>
      <c r="AN86" s="24"/>
      <c r="AO86" s="24"/>
      <c r="AP86" s="24"/>
      <c r="AQ86" s="24"/>
      <c r="AR86" s="24"/>
      <c r="AS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6"/>
      <c r="AI87" s="26"/>
      <c r="AJ87" s="24"/>
      <c r="AK87" s="24"/>
      <c r="AL87" s="24"/>
      <c r="AM87" s="24"/>
      <c r="AN87" s="24"/>
      <c r="AO87" s="24"/>
      <c r="AP87" s="24"/>
      <c r="AQ87" s="24"/>
      <c r="AR87" s="24"/>
      <c r="AS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6"/>
      <c r="AI88" s="26"/>
      <c r="AJ88" s="24"/>
      <c r="AK88" s="24"/>
      <c r="AL88" s="24"/>
      <c r="AM88" s="24"/>
      <c r="AN88" s="24"/>
      <c r="AO88" s="24"/>
      <c r="AP88" s="24"/>
      <c r="AQ88" s="24"/>
      <c r="AR88" s="24"/>
      <c r="AS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6"/>
      <c r="AI89" s="26"/>
      <c r="AJ89" s="24"/>
      <c r="AK89" s="24"/>
      <c r="AL89" s="24"/>
      <c r="AM89" s="24"/>
      <c r="AN89" s="24"/>
      <c r="AO89" s="24"/>
      <c r="AP89" s="24"/>
      <c r="AQ89" s="24"/>
      <c r="AR89" s="24"/>
      <c r="AS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6"/>
      <c r="AI90" s="26"/>
      <c r="AJ90" s="24"/>
      <c r="AK90" s="24"/>
      <c r="AL90" s="24"/>
      <c r="AM90" s="24"/>
      <c r="AN90" s="24"/>
      <c r="AO90" s="24"/>
      <c r="AP90" s="24"/>
      <c r="AQ90" s="24"/>
      <c r="AR90" s="24"/>
      <c r="AS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6"/>
      <c r="AI91" s="26"/>
      <c r="AJ91" s="24"/>
      <c r="AK91" s="24"/>
      <c r="AL91" s="24"/>
      <c r="AM91" s="24"/>
      <c r="AN91" s="24"/>
      <c r="AO91" s="24"/>
      <c r="AP91" s="24"/>
      <c r="AQ91" s="24"/>
      <c r="AR91" s="24"/>
      <c r="AS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6"/>
      <c r="AI92" s="26"/>
      <c r="AJ92" s="24"/>
      <c r="AK92" s="24"/>
      <c r="AL92" s="24"/>
      <c r="AM92" s="24"/>
      <c r="AN92" s="24"/>
      <c r="AO92" s="24"/>
      <c r="AP92" s="24"/>
      <c r="AQ92" s="24"/>
      <c r="AR92" s="24"/>
      <c r="AS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6"/>
      <c r="AI93" s="26"/>
      <c r="AJ93" s="24"/>
      <c r="AK93" s="24"/>
      <c r="AL93" s="24"/>
      <c r="AM93" s="24"/>
      <c r="AN93" s="24"/>
      <c r="AO93" s="24"/>
      <c r="AP93" s="24"/>
      <c r="AQ93" s="24"/>
      <c r="AR93" s="24"/>
      <c r="AS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6"/>
      <c r="AI94" s="26"/>
      <c r="AJ94" s="24"/>
      <c r="AK94" s="24"/>
      <c r="AL94" s="24"/>
      <c r="AM94" s="24"/>
      <c r="AN94" s="24"/>
      <c r="AO94" s="24"/>
      <c r="AP94" s="24"/>
      <c r="AQ94" s="24"/>
      <c r="AR94" s="24"/>
      <c r="AS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6"/>
      <c r="AI95" s="26"/>
      <c r="AJ95" s="24"/>
      <c r="AK95" s="24"/>
      <c r="AL95" s="24"/>
      <c r="AM95" s="24"/>
      <c r="AN95" s="24"/>
      <c r="AO95" s="24"/>
      <c r="AP95" s="24"/>
      <c r="AQ95" s="24"/>
      <c r="AR95" s="24"/>
      <c r="AS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6"/>
      <c r="AI96" s="26"/>
      <c r="AJ96" s="24"/>
      <c r="AK96" s="24"/>
      <c r="AL96" s="24"/>
      <c r="AM96" s="24"/>
      <c r="AN96" s="24"/>
      <c r="AO96" s="24"/>
      <c r="AP96" s="24"/>
      <c r="AQ96" s="24"/>
      <c r="AR96" s="24"/>
      <c r="AS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6"/>
      <c r="AI97" s="26"/>
      <c r="AJ97" s="24"/>
      <c r="AK97" s="24"/>
      <c r="AL97" s="24"/>
      <c r="AM97" s="24"/>
      <c r="AN97" s="24"/>
      <c r="AO97" s="24"/>
      <c r="AP97" s="24"/>
      <c r="AQ97" s="24"/>
      <c r="AR97" s="24"/>
      <c r="AS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6"/>
      <c r="AI98" s="26"/>
      <c r="AJ98" s="24"/>
      <c r="AK98" s="24"/>
      <c r="AL98" s="24"/>
      <c r="AM98" s="24"/>
      <c r="AN98" s="24"/>
      <c r="AO98" s="24"/>
      <c r="AP98" s="24"/>
      <c r="AQ98" s="24"/>
      <c r="AR98" s="24"/>
      <c r="AS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6"/>
      <c r="AI99" s="26"/>
      <c r="AJ99" s="24"/>
      <c r="AK99" s="24"/>
      <c r="AL99" s="24"/>
      <c r="AM99" s="24"/>
      <c r="AN99" s="24"/>
      <c r="AO99" s="24"/>
      <c r="AP99" s="24"/>
      <c r="AQ99" s="24"/>
      <c r="AR99" s="24"/>
      <c r="AS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6"/>
      <c r="AI100" s="26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6"/>
      <c r="AI101" s="26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6"/>
      <c r="AI102" s="26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6"/>
      <c r="AI103" s="26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6"/>
      <c r="AI104" s="26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6"/>
      <c r="AI105" s="26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6"/>
      <c r="AI106" s="26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6"/>
      <c r="AI107" s="26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6"/>
      <c r="AI108" s="26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6"/>
      <c r="AI109" s="26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6"/>
      <c r="AI110" s="26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6"/>
      <c r="AI111" s="26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6"/>
      <c r="AI112" s="26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6"/>
      <c r="AI113" s="26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6"/>
      <c r="AI114" s="26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6"/>
      <c r="AI115" s="26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6"/>
      <c r="AI116" s="26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6"/>
      <c r="AI117" s="26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6"/>
      <c r="AI118" s="26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6"/>
      <c r="AI119" s="26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6"/>
      <c r="AI120" s="26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6"/>
      <c r="AI121" s="26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6"/>
      <c r="AI122" s="26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6"/>
      <c r="AI123" s="26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6"/>
      <c r="AI124" s="26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6"/>
      <c r="AI125" s="26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6"/>
      <c r="AI126" s="26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6"/>
      <c r="AI127" s="26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6"/>
      <c r="AI128" s="26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6"/>
      <c r="AI129" s="26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6"/>
      <c r="AI130" s="26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6"/>
      <c r="AI131" s="26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6"/>
      <c r="AI132" s="26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6"/>
      <c r="AI133" s="26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6"/>
      <c r="AI134" s="26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6"/>
      <c r="AI135" s="26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6"/>
      <c r="AI136" s="26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6"/>
      <c r="AI137" s="26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6"/>
      <c r="AI138" s="26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6"/>
      <c r="AI139" s="26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6"/>
      <c r="AI140" s="26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6"/>
      <c r="AI141" s="26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6"/>
      <c r="AI142" s="26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6"/>
      <c r="AI143" s="26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6"/>
      <c r="AI144" s="26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6"/>
      <c r="AI145" s="26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6"/>
      <c r="AI146" s="26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6"/>
      <c r="AI147" s="26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6"/>
      <c r="AI148" s="26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6"/>
      <c r="AI149" s="26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6"/>
      <c r="AI150" s="26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6"/>
      <c r="AI151" s="26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6"/>
      <c r="AI152" s="26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6"/>
      <c r="AI153" s="26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6"/>
      <c r="AI154" s="26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6"/>
      <c r="AI155" s="26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6"/>
      <c r="AI156" s="26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6"/>
      <c r="AI157" s="26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6"/>
      <c r="AI158" s="26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6"/>
      <c r="AI159" s="26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6"/>
      <c r="AI160" s="26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6"/>
      <c r="AI161" s="26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6"/>
      <c r="AI162" s="26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6"/>
      <c r="AI163" s="26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6"/>
      <c r="AI164" s="26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6"/>
      <c r="AI165" s="26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6"/>
      <c r="AI166" s="26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6"/>
      <c r="AI167" s="26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6"/>
      <c r="AI168" s="26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6"/>
      <c r="AI169" s="26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6"/>
      <c r="AI170" s="26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6"/>
      <c r="AI171" s="26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6"/>
      <c r="AI172" s="26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6"/>
      <c r="AI173" s="26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6"/>
      <c r="AI174" s="26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6"/>
      <c r="AI175" s="26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6"/>
      <c r="AI176" s="26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6"/>
      <c r="AI177" s="26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6"/>
      <c r="AI178" s="26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6"/>
      <c r="AI179" s="26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6"/>
      <c r="AI180" s="26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6"/>
      <c r="AI181" s="26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6"/>
      <c r="AI182" s="26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6"/>
      <c r="AI183" s="26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6"/>
      <c r="AI184" s="26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6"/>
      <c r="AI185" s="26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6"/>
      <c r="AI186" s="26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6"/>
      <c r="AI187" s="26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6"/>
      <c r="AI188" s="26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</row>
    <row r="189" ht="15.75" customHeight="1">
      <c r="AH189" s="26"/>
      <c r="AI189" s="26"/>
    </row>
    <row r="190" ht="15.75" customHeight="1">
      <c r="AH190" s="26"/>
      <c r="AI190" s="26"/>
    </row>
    <row r="191" ht="15.75" customHeight="1">
      <c r="AH191" s="26"/>
      <c r="AI191" s="26"/>
    </row>
    <row r="192" ht="15.75" customHeight="1">
      <c r="AH192" s="26"/>
      <c r="AI192" s="26"/>
    </row>
    <row r="193" ht="15.75" customHeight="1">
      <c r="AH193" s="26"/>
      <c r="AI193" s="26"/>
    </row>
    <row r="194" ht="15.75" customHeight="1">
      <c r="AH194" s="26"/>
      <c r="AI194" s="26"/>
    </row>
    <row r="195" ht="15.75" customHeight="1">
      <c r="AH195" s="26"/>
      <c r="AI195" s="26"/>
    </row>
    <row r="196" ht="15.75" customHeight="1">
      <c r="AH196" s="26"/>
      <c r="AI196" s="26"/>
    </row>
    <row r="197" ht="15.75" customHeight="1">
      <c r="AH197" s="26"/>
      <c r="AI197" s="26"/>
    </row>
    <row r="198" ht="15.75" customHeight="1">
      <c r="AH198" s="26"/>
      <c r="AI198" s="26"/>
    </row>
    <row r="199" ht="15.75" customHeight="1">
      <c r="AH199" s="26"/>
      <c r="AI199" s="26"/>
    </row>
    <row r="200" ht="15.75" customHeight="1">
      <c r="AH200" s="26"/>
      <c r="AI200" s="26"/>
    </row>
    <row r="201" ht="15.75" customHeight="1">
      <c r="AH201" s="26"/>
      <c r="AI201" s="26"/>
    </row>
    <row r="202" ht="15.75" customHeight="1">
      <c r="AH202" s="26"/>
      <c r="AI202" s="26"/>
    </row>
    <row r="203" ht="15.75" customHeight="1">
      <c r="AH203" s="26"/>
      <c r="AI203" s="26"/>
    </row>
    <row r="204" ht="15.75" customHeight="1">
      <c r="AH204" s="26"/>
      <c r="AI204" s="26"/>
    </row>
    <row r="205" ht="15.75" customHeight="1">
      <c r="AH205" s="26"/>
      <c r="AI205" s="26"/>
    </row>
    <row r="206" ht="15.75" customHeight="1">
      <c r="AH206" s="26"/>
      <c r="AI206" s="26"/>
    </row>
    <row r="207" ht="15.75" customHeight="1">
      <c r="AH207" s="26"/>
      <c r="AI207" s="26"/>
    </row>
    <row r="208" ht="15.75" customHeight="1">
      <c r="AH208" s="26"/>
      <c r="AI208" s="26"/>
    </row>
    <row r="209" ht="15.75" customHeight="1">
      <c r="AH209" s="26"/>
      <c r="AI209" s="26"/>
    </row>
    <row r="210" ht="15.75" customHeight="1">
      <c r="AH210" s="26"/>
      <c r="AI210" s="26"/>
    </row>
    <row r="211" ht="15.75" customHeight="1">
      <c r="AH211" s="26"/>
      <c r="AI211" s="26"/>
    </row>
    <row r="212" ht="15.75" customHeight="1">
      <c r="AH212" s="26"/>
      <c r="AI212" s="26"/>
    </row>
    <row r="213" ht="15.75" customHeight="1">
      <c r="AH213" s="26"/>
      <c r="AI213" s="26"/>
    </row>
    <row r="214" ht="15.75" customHeight="1">
      <c r="AH214" s="26"/>
      <c r="AI214" s="26"/>
    </row>
    <row r="215" ht="15.75" customHeight="1">
      <c r="AH215" s="26"/>
      <c r="AI215" s="26"/>
    </row>
    <row r="216" ht="15.75" customHeight="1">
      <c r="AH216" s="26"/>
      <c r="AI216" s="26"/>
    </row>
    <row r="217" ht="15.75" customHeight="1">
      <c r="AH217" s="26"/>
      <c r="AI217" s="26"/>
    </row>
    <row r="218" ht="15.75" customHeight="1">
      <c r="AH218" s="26"/>
      <c r="AI218" s="26"/>
    </row>
    <row r="219" ht="15.75" customHeight="1">
      <c r="AH219" s="26"/>
      <c r="AI219" s="26"/>
    </row>
    <row r="220" ht="15.75" customHeight="1">
      <c r="AH220" s="26"/>
      <c r="AI220" s="26"/>
    </row>
    <row r="221" ht="15.75" customHeight="1">
      <c r="AH221" s="26"/>
      <c r="AI221" s="26"/>
    </row>
    <row r="222" ht="15.75" customHeight="1">
      <c r="AH222" s="26"/>
      <c r="AI222" s="26"/>
    </row>
    <row r="223" ht="15.75" customHeight="1">
      <c r="AH223" s="26"/>
      <c r="AI223" s="26"/>
    </row>
    <row r="224" ht="15.75" customHeight="1">
      <c r="AH224" s="26"/>
      <c r="AI224" s="26"/>
    </row>
    <row r="225" ht="15.75" customHeight="1">
      <c r="AH225" s="26"/>
      <c r="AI225" s="26"/>
    </row>
    <row r="226" ht="15.75" customHeight="1">
      <c r="AH226" s="26"/>
      <c r="AI226" s="26"/>
    </row>
    <row r="227" ht="15.75" customHeight="1">
      <c r="AH227" s="26"/>
      <c r="AI227" s="26"/>
    </row>
    <row r="228" ht="15.75" customHeight="1">
      <c r="AH228" s="26"/>
      <c r="AI228" s="26"/>
    </row>
    <row r="229" ht="15.75" customHeight="1">
      <c r="AH229" s="26"/>
      <c r="AI229" s="26"/>
    </row>
    <row r="230" ht="15.75" customHeight="1">
      <c r="AH230" s="26"/>
      <c r="AI230" s="26"/>
    </row>
    <row r="231" ht="15.75" customHeight="1">
      <c r="AH231" s="26"/>
      <c r="AI231" s="26"/>
    </row>
    <row r="232" ht="15.75" customHeight="1">
      <c r="AH232" s="26"/>
      <c r="AI232" s="26"/>
    </row>
    <row r="233" ht="15.75" customHeight="1">
      <c r="AH233" s="26"/>
      <c r="AI233" s="26"/>
    </row>
    <row r="234" ht="15.75" customHeight="1">
      <c r="AH234" s="26"/>
      <c r="AI234" s="26"/>
    </row>
    <row r="235" ht="15.75" customHeight="1">
      <c r="AH235" s="26"/>
      <c r="AI235" s="26"/>
    </row>
    <row r="236" ht="15.75" customHeight="1">
      <c r="AH236" s="26"/>
      <c r="AI236" s="26"/>
    </row>
    <row r="237" ht="15.75" customHeight="1">
      <c r="AH237" s="26"/>
      <c r="AI237" s="26"/>
    </row>
    <row r="238" ht="15.75" customHeight="1">
      <c r="AH238" s="26"/>
      <c r="AI238" s="26"/>
    </row>
    <row r="239" ht="15.75" customHeight="1">
      <c r="AH239" s="26"/>
      <c r="AI239" s="26"/>
    </row>
    <row r="240" ht="15.75" customHeight="1">
      <c r="AH240" s="26"/>
      <c r="AI240" s="26"/>
    </row>
    <row r="241" ht="15.75" customHeight="1">
      <c r="AH241" s="26"/>
      <c r="AI241" s="26"/>
    </row>
    <row r="242" ht="15.75" customHeight="1">
      <c r="AH242" s="26"/>
      <c r="AI242" s="26"/>
    </row>
    <row r="243" ht="15.75" customHeight="1">
      <c r="AH243" s="26"/>
      <c r="AI243" s="26"/>
    </row>
    <row r="244" ht="15.75" customHeight="1">
      <c r="AH244" s="26"/>
      <c r="AI244" s="26"/>
    </row>
    <row r="245" ht="15.75" customHeight="1">
      <c r="AH245" s="26"/>
      <c r="AI245" s="26"/>
    </row>
    <row r="246" ht="15.75" customHeight="1">
      <c r="AH246" s="26"/>
      <c r="AI246" s="26"/>
    </row>
    <row r="247" ht="15.75" customHeight="1">
      <c r="AH247" s="26"/>
      <c r="AI247" s="26"/>
    </row>
    <row r="248" ht="15.75" customHeight="1">
      <c r="AH248" s="26"/>
      <c r="AI248" s="26"/>
    </row>
    <row r="249" ht="15.75" customHeight="1">
      <c r="AH249" s="26"/>
      <c r="AI249" s="26"/>
    </row>
    <row r="250" ht="15.75" customHeight="1">
      <c r="AH250" s="26"/>
      <c r="AI250" s="26"/>
    </row>
    <row r="251" ht="15.75" customHeight="1">
      <c r="AH251" s="26"/>
      <c r="AI251" s="26"/>
    </row>
    <row r="252" ht="15.75" customHeight="1">
      <c r="AH252" s="26"/>
      <c r="AI252" s="26"/>
    </row>
    <row r="253" ht="15.75" customHeight="1">
      <c r="AH253" s="26"/>
      <c r="AI253" s="26"/>
    </row>
    <row r="254" ht="15.75" customHeight="1">
      <c r="AH254" s="26"/>
      <c r="AI254" s="26"/>
    </row>
    <row r="255" ht="15.75" customHeight="1">
      <c r="AH255" s="26"/>
      <c r="AI255" s="26"/>
    </row>
    <row r="256" ht="15.75" customHeight="1">
      <c r="AH256" s="26"/>
      <c r="AI256" s="26"/>
    </row>
    <row r="257" ht="15.75" customHeight="1">
      <c r="AH257" s="26"/>
      <c r="AI257" s="26"/>
    </row>
    <row r="258" ht="15.75" customHeight="1">
      <c r="AH258" s="26"/>
      <c r="AI258" s="26"/>
    </row>
    <row r="259" ht="15.75" customHeight="1">
      <c r="AH259" s="26"/>
      <c r="AI259" s="26"/>
    </row>
    <row r="260" ht="15.75" customHeight="1">
      <c r="AH260" s="26"/>
      <c r="AI260" s="26"/>
    </row>
    <row r="261" ht="15.75" customHeight="1">
      <c r="AH261" s="26"/>
      <c r="AI261" s="26"/>
    </row>
    <row r="262" ht="15.75" customHeight="1">
      <c r="AH262" s="26"/>
      <c r="AI262" s="26"/>
    </row>
    <row r="263" ht="15.75" customHeight="1">
      <c r="AH263" s="26"/>
      <c r="AI263" s="26"/>
    </row>
    <row r="264" ht="15.75" customHeight="1">
      <c r="AH264" s="26"/>
      <c r="AI264" s="26"/>
    </row>
    <row r="265" ht="15.75" customHeight="1">
      <c r="AH265" s="26"/>
      <c r="AI265" s="26"/>
    </row>
    <row r="266" ht="15.75" customHeight="1">
      <c r="AH266" s="26"/>
      <c r="AI266" s="26"/>
    </row>
    <row r="267" ht="15.75" customHeight="1">
      <c r="AH267" s="26"/>
      <c r="AI267" s="26"/>
    </row>
    <row r="268" ht="15.75" customHeight="1">
      <c r="AH268" s="26"/>
      <c r="AI268" s="26"/>
    </row>
    <row r="269" ht="15.75" customHeight="1">
      <c r="AH269" s="26"/>
      <c r="AI269" s="26"/>
    </row>
    <row r="270" ht="15.75" customHeight="1">
      <c r="AH270" s="26"/>
      <c r="AI270" s="26"/>
    </row>
    <row r="271" ht="15.75" customHeight="1">
      <c r="AH271" s="26"/>
      <c r="AI271" s="26"/>
    </row>
    <row r="272" ht="15.75" customHeight="1">
      <c r="AH272" s="26"/>
      <c r="AI272" s="26"/>
    </row>
    <row r="273" ht="15.75" customHeight="1">
      <c r="AH273" s="26"/>
      <c r="AI273" s="26"/>
    </row>
    <row r="274" ht="15.75" customHeight="1">
      <c r="AH274" s="26"/>
      <c r="AI274" s="26"/>
    </row>
    <row r="275" ht="15.75" customHeight="1">
      <c r="AH275" s="26"/>
      <c r="AI275" s="26"/>
    </row>
    <row r="276" ht="15.75" customHeight="1">
      <c r="AH276" s="26"/>
      <c r="AI276" s="26"/>
    </row>
    <row r="277" ht="15.75" customHeight="1">
      <c r="AH277" s="26"/>
      <c r="AI277" s="26"/>
    </row>
    <row r="278" ht="15.75" customHeight="1">
      <c r="AH278" s="26"/>
      <c r="AI278" s="26"/>
    </row>
    <row r="279" ht="15.75" customHeight="1">
      <c r="AH279" s="26"/>
      <c r="AI279" s="26"/>
    </row>
    <row r="280" ht="15.75" customHeight="1">
      <c r="AH280" s="26"/>
      <c r="AI280" s="26"/>
    </row>
    <row r="281" ht="15.75" customHeight="1">
      <c r="AH281" s="26"/>
      <c r="AI281" s="26"/>
    </row>
    <row r="282" ht="15.75" customHeight="1">
      <c r="AH282" s="26"/>
      <c r="AI282" s="26"/>
    </row>
    <row r="283" ht="15.75" customHeight="1">
      <c r="AH283" s="26"/>
      <c r="AI283" s="26"/>
    </row>
    <row r="284" ht="15.75" customHeight="1">
      <c r="AH284" s="26"/>
      <c r="AI284" s="26"/>
    </row>
    <row r="285" ht="15.75" customHeight="1">
      <c r="AH285" s="26"/>
      <c r="AI285" s="26"/>
    </row>
    <row r="286" ht="15.75" customHeight="1">
      <c r="AH286" s="26"/>
      <c r="AI286" s="26"/>
    </row>
    <row r="287" ht="15.75" customHeight="1">
      <c r="AH287" s="26"/>
      <c r="AI287" s="26"/>
    </row>
    <row r="288" ht="15.75" customHeight="1">
      <c r="AH288" s="26"/>
      <c r="AI288" s="26"/>
    </row>
    <row r="289" ht="15.75" customHeight="1">
      <c r="AH289" s="26"/>
      <c r="AI289" s="26"/>
    </row>
    <row r="290" ht="15.75" customHeight="1">
      <c r="AH290" s="26"/>
      <c r="AI290" s="26"/>
    </row>
    <row r="291" ht="15.75" customHeight="1">
      <c r="AH291" s="26"/>
      <c r="AI291" s="26"/>
    </row>
    <row r="292" ht="15.75" customHeight="1">
      <c r="AH292" s="26"/>
      <c r="AI292" s="26"/>
    </row>
    <row r="293" ht="15.75" customHeight="1">
      <c r="AH293" s="26"/>
      <c r="AI293" s="26"/>
    </row>
    <row r="294" ht="15.75" customHeight="1">
      <c r="AH294" s="26"/>
      <c r="AI294" s="26"/>
    </row>
    <row r="295" ht="15.75" customHeight="1">
      <c r="AH295" s="26"/>
      <c r="AI295" s="26"/>
    </row>
    <row r="296" ht="15.75" customHeight="1">
      <c r="AH296" s="26"/>
      <c r="AI296" s="26"/>
    </row>
    <row r="297" ht="15.75" customHeight="1">
      <c r="AH297" s="26"/>
      <c r="AI297" s="26"/>
    </row>
    <row r="298" ht="15.75" customHeight="1">
      <c r="AH298" s="26"/>
      <c r="AI298" s="26"/>
    </row>
    <row r="299" ht="15.75" customHeight="1">
      <c r="AH299" s="26"/>
      <c r="AI299" s="26"/>
    </row>
    <row r="300" ht="15.75" customHeight="1">
      <c r="AH300" s="26"/>
      <c r="AI300" s="26"/>
    </row>
    <row r="301" ht="15.75" customHeight="1">
      <c r="AH301" s="26"/>
      <c r="AI301" s="26"/>
    </row>
    <row r="302" ht="15.75" customHeight="1">
      <c r="AH302" s="26"/>
      <c r="AI302" s="26"/>
    </row>
    <row r="303" ht="15.75" customHeight="1">
      <c r="AH303" s="26"/>
      <c r="AI303" s="26"/>
    </row>
    <row r="304" ht="15.75" customHeight="1">
      <c r="AH304" s="26"/>
      <c r="AI304" s="26"/>
    </row>
    <row r="305" ht="15.75" customHeight="1">
      <c r="AH305" s="26"/>
      <c r="AI305" s="26"/>
    </row>
    <row r="306" ht="15.75" customHeight="1">
      <c r="AH306" s="26"/>
      <c r="AI306" s="26"/>
    </row>
    <row r="307" ht="15.75" customHeight="1">
      <c r="AH307" s="26"/>
      <c r="AI307" s="26"/>
    </row>
    <row r="308" ht="15.75" customHeight="1">
      <c r="AH308" s="26"/>
      <c r="AI308" s="26"/>
    </row>
    <row r="309" ht="15.75" customHeight="1">
      <c r="AH309" s="26"/>
      <c r="AI309" s="26"/>
    </row>
    <row r="310" ht="15.75" customHeight="1">
      <c r="AH310" s="26"/>
      <c r="AI310" s="26"/>
    </row>
    <row r="311" ht="15.75" customHeight="1">
      <c r="AH311" s="26"/>
      <c r="AI311" s="26"/>
    </row>
    <row r="312" ht="15.75" customHeight="1">
      <c r="AH312" s="26"/>
      <c r="AI312" s="26"/>
    </row>
    <row r="313" ht="15.75" customHeight="1">
      <c r="AH313" s="26"/>
      <c r="AI313" s="26"/>
    </row>
    <row r="314" ht="15.75" customHeight="1">
      <c r="AH314" s="26"/>
      <c r="AI314" s="26"/>
    </row>
    <row r="315" ht="15.75" customHeight="1">
      <c r="AH315" s="26"/>
      <c r="AI315" s="26"/>
    </row>
    <row r="316" ht="15.75" customHeight="1">
      <c r="AH316" s="26"/>
      <c r="AI316" s="26"/>
    </row>
    <row r="317" ht="15.75" customHeight="1">
      <c r="AH317" s="26"/>
      <c r="AI317" s="26"/>
    </row>
    <row r="318" ht="15.75" customHeight="1">
      <c r="AH318" s="26"/>
      <c r="AI318" s="26"/>
    </row>
    <row r="319" ht="15.75" customHeight="1">
      <c r="AH319" s="26"/>
      <c r="AI319" s="26"/>
    </row>
    <row r="320" ht="15.75" customHeight="1">
      <c r="AH320" s="26"/>
      <c r="AI320" s="26"/>
    </row>
    <row r="321" ht="15.75" customHeight="1">
      <c r="AH321" s="26"/>
      <c r="AI321" s="26"/>
    </row>
    <row r="322" ht="15.75" customHeight="1">
      <c r="AH322" s="26"/>
      <c r="AI322" s="26"/>
    </row>
    <row r="323" ht="15.75" customHeight="1">
      <c r="AH323" s="26"/>
      <c r="AI323" s="26"/>
    </row>
    <row r="324" ht="15.75" customHeight="1">
      <c r="AH324" s="26"/>
      <c r="AI324" s="26"/>
    </row>
    <row r="325" ht="15.75" customHeight="1">
      <c r="AH325" s="26"/>
      <c r="AI325" s="26"/>
    </row>
    <row r="326" ht="15.75" customHeight="1">
      <c r="AH326" s="26"/>
      <c r="AI326" s="26"/>
    </row>
    <row r="327" ht="15.75" customHeight="1">
      <c r="AH327" s="26"/>
      <c r="AI327" s="26"/>
    </row>
    <row r="328" ht="15.75" customHeight="1">
      <c r="AH328" s="26"/>
      <c r="AI328" s="26"/>
    </row>
    <row r="329" ht="15.75" customHeight="1">
      <c r="AH329" s="26"/>
      <c r="AI329" s="26"/>
    </row>
    <row r="330" ht="15.75" customHeight="1">
      <c r="AH330" s="26"/>
      <c r="AI330" s="26"/>
    </row>
    <row r="331" ht="15.75" customHeight="1">
      <c r="AH331" s="26"/>
      <c r="AI331" s="26"/>
    </row>
    <row r="332" ht="15.75" customHeight="1">
      <c r="AH332" s="26"/>
      <c r="AI332" s="26"/>
    </row>
    <row r="333" ht="15.75" customHeight="1">
      <c r="AH333" s="26"/>
      <c r="AI333" s="26"/>
    </row>
    <row r="334" ht="15.75" customHeight="1">
      <c r="AH334" s="26"/>
      <c r="AI334" s="26"/>
    </row>
    <row r="335" ht="15.75" customHeight="1">
      <c r="AH335" s="26"/>
      <c r="AI335" s="26"/>
    </row>
    <row r="336" ht="15.75" customHeight="1">
      <c r="AH336" s="26"/>
      <c r="AI336" s="26"/>
    </row>
    <row r="337" ht="15.75" customHeight="1">
      <c r="AH337" s="26"/>
      <c r="AI337" s="26"/>
    </row>
    <row r="338" ht="15.75" customHeight="1">
      <c r="AH338" s="26"/>
      <c r="AI338" s="26"/>
    </row>
    <row r="339" ht="15.75" customHeight="1">
      <c r="AH339" s="26"/>
      <c r="AI339" s="26"/>
    </row>
    <row r="340" ht="15.75" customHeight="1">
      <c r="AH340" s="26"/>
      <c r="AI340" s="26"/>
    </row>
    <row r="341" ht="15.75" customHeight="1">
      <c r="AH341" s="26"/>
      <c r="AI341" s="26"/>
    </row>
    <row r="342" ht="15.75" customHeight="1">
      <c r="AH342" s="26"/>
      <c r="AI342" s="26"/>
    </row>
    <row r="343" ht="15.75" customHeight="1">
      <c r="AH343" s="26"/>
      <c r="AI343" s="26"/>
    </row>
    <row r="344" ht="15.75" customHeight="1">
      <c r="AH344" s="26"/>
      <c r="AI344" s="26"/>
    </row>
    <row r="345" ht="15.75" customHeight="1">
      <c r="AH345" s="26"/>
      <c r="AI345" s="26"/>
    </row>
    <row r="346" ht="15.75" customHeight="1">
      <c r="AH346" s="26"/>
      <c r="AI346" s="26"/>
    </row>
    <row r="347" ht="15.75" customHeight="1">
      <c r="AH347" s="26"/>
      <c r="AI347" s="26"/>
    </row>
    <row r="348" ht="15.75" customHeight="1">
      <c r="AH348" s="26"/>
      <c r="AI348" s="26"/>
    </row>
    <row r="349" ht="15.75" customHeight="1">
      <c r="AH349" s="26"/>
      <c r="AI349" s="26"/>
    </row>
    <row r="350" ht="15.75" customHeight="1">
      <c r="AH350" s="26"/>
      <c r="AI350" s="26"/>
    </row>
    <row r="351" ht="15.75" customHeight="1">
      <c r="AH351" s="26"/>
      <c r="AI351" s="26"/>
    </row>
    <row r="352" ht="15.75" customHeight="1">
      <c r="AH352" s="26"/>
      <c r="AI352" s="26"/>
    </row>
    <row r="353" ht="15.75" customHeight="1">
      <c r="AH353" s="26"/>
      <c r="AI353" s="26"/>
    </row>
    <row r="354" ht="15.75" customHeight="1">
      <c r="AH354" s="26"/>
      <c r="AI354" s="26"/>
    </row>
    <row r="355" ht="15.75" customHeight="1">
      <c r="AH355" s="26"/>
      <c r="AI355" s="26"/>
    </row>
    <row r="356" ht="15.75" customHeight="1">
      <c r="AH356" s="26"/>
      <c r="AI356" s="26"/>
    </row>
    <row r="357" ht="15.75" customHeight="1">
      <c r="AH357" s="26"/>
      <c r="AI357" s="26"/>
    </row>
    <row r="358" ht="15.75" customHeight="1">
      <c r="AH358" s="26"/>
      <c r="AI358" s="26"/>
    </row>
    <row r="359" ht="15.75" customHeight="1">
      <c r="AH359" s="26"/>
      <c r="AI359" s="26"/>
    </row>
    <row r="360" ht="15.75" customHeight="1">
      <c r="AH360" s="26"/>
      <c r="AI360" s="26"/>
    </row>
    <row r="361" ht="15.75" customHeight="1">
      <c r="AH361" s="26"/>
      <c r="AI361" s="26"/>
    </row>
    <row r="362" ht="15.75" customHeight="1">
      <c r="AH362" s="26"/>
      <c r="AI362" s="26"/>
    </row>
    <row r="363" ht="15.75" customHeight="1">
      <c r="AH363" s="26"/>
      <c r="AI363" s="26"/>
    </row>
    <row r="364" ht="15.75" customHeight="1">
      <c r="AH364" s="26"/>
      <c r="AI364" s="26"/>
    </row>
    <row r="365" ht="15.75" customHeight="1">
      <c r="AH365" s="26"/>
      <c r="AI365" s="26"/>
    </row>
    <row r="366" ht="15.75" customHeight="1">
      <c r="AH366" s="26"/>
      <c r="AI366" s="26"/>
    </row>
    <row r="367" ht="15.75" customHeight="1">
      <c r="AH367" s="26"/>
      <c r="AI367" s="26"/>
    </row>
    <row r="368" ht="15.75" customHeight="1">
      <c r="AH368" s="26"/>
      <c r="AI368" s="26"/>
    </row>
    <row r="369" ht="15.75" customHeight="1">
      <c r="AH369" s="26"/>
      <c r="AI369" s="26"/>
    </row>
    <row r="370" ht="15.75" customHeight="1">
      <c r="AH370" s="26"/>
      <c r="AI370" s="26"/>
    </row>
    <row r="371" ht="15.75" customHeight="1">
      <c r="AH371" s="26"/>
      <c r="AI371" s="26"/>
    </row>
    <row r="372" ht="15.75" customHeight="1">
      <c r="AH372" s="26"/>
      <c r="AI372" s="26"/>
    </row>
    <row r="373" ht="15.75" customHeight="1">
      <c r="AH373" s="26"/>
      <c r="AI373" s="26"/>
    </row>
    <row r="374" ht="15.75" customHeight="1">
      <c r="AH374" s="26"/>
      <c r="AI374" s="26"/>
    </row>
    <row r="375" ht="15.75" customHeight="1">
      <c r="AH375" s="26"/>
      <c r="AI375" s="26"/>
    </row>
    <row r="376" ht="15.75" customHeight="1">
      <c r="AH376" s="26"/>
      <c r="AI376" s="26"/>
    </row>
    <row r="377" ht="15.75" customHeight="1">
      <c r="AH377" s="26"/>
      <c r="AI377" s="26"/>
    </row>
    <row r="378" ht="15.75" customHeight="1">
      <c r="AH378" s="26"/>
      <c r="AI378" s="26"/>
    </row>
    <row r="379" ht="15.75" customHeight="1">
      <c r="AH379" s="26"/>
      <c r="AI379" s="26"/>
    </row>
    <row r="380" ht="15.75" customHeight="1">
      <c r="AH380" s="26"/>
      <c r="AI380" s="26"/>
    </row>
    <row r="381" ht="15.75" customHeight="1">
      <c r="AH381" s="26"/>
      <c r="AI381" s="26"/>
    </row>
    <row r="382" ht="15.75" customHeight="1">
      <c r="AH382" s="26"/>
      <c r="AI382" s="26"/>
    </row>
    <row r="383" ht="15.75" customHeight="1">
      <c r="AH383" s="26"/>
      <c r="AI383" s="26"/>
    </row>
    <row r="384" ht="15.75" customHeight="1">
      <c r="AH384" s="26"/>
      <c r="AI384" s="26"/>
    </row>
    <row r="385" ht="15.75" customHeight="1">
      <c r="AH385" s="26"/>
      <c r="AI385" s="26"/>
    </row>
    <row r="386" ht="15.75" customHeight="1">
      <c r="AH386" s="26"/>
      <c r="AI386" s="26"/>
    </row>
    <row r="387" ht="15.75" customHeight="1">
      <c r="AH387" s="26"/>
      <c r="AI387" s="26"/>
    </row>
    <row r="388" ht="15.75" customHeight="1">
      <c r="AH388" s="26"/>
      <c r="AI388" s="26"/>
    </row>
    <row r="389" ht="15.75" customHeight="1">
      <c r="AH389" s="26"/>
      <c r="AI389" s="26"/>
    </row>
    <row r="390" ht="15.75" customHeight="1">
      <c r="AH390" s="26"/>
      <c r="AI390" s="26"/>
    </row>
    <row r="391" ht="15.75" customHeight="1">
      <c r="AH391" s="26"/>
      <c r="AI391" s="26"/>
    </row>
    <row r="392" ht="15.75" customHeight="1">
      <c r="AH392" s="26"/>
      <c r="AI392" s="26"/>
    </row>
    <row r="393" ht="15.75" customHeight="1">
      <c r="AH393" s="26"/>
      <c r="AI393" s="26"/>
    </row>
    <row r="394" ht="15.75" customHeight="1">
      <c r="AH394" s="26"/>
      <c r="AI394" s="26"/>
    </row>
    <row r="395" ht="15.75" customHeight="1">
      <c r="AH395" s="26"/>
      <c r="AI395" s="26"/>
    </row>
    <row r="396" ht="15.75" customHeight="1">
      <c r="AH396" s="26"/>
      <c r="AI396" s="26"/>
    </row>
    <row r="397" ht="15.75" customHeight="1">
      <c r="AH397" s="26"/>
      <c r="AI397" s="26"/>
    </row>
    <row r="398" ht="15.75" customHeight="1">
      <c r="AH398" s="26"/>
      <c r="AI398" s="26"/>
    </row>
    <row r="399" ht="15.75" customHeight="1">
      <c r="AH399" s="26"/>
      <c r="AI399" s="26"/>
    </row>
    <row r="400" ht="15.75" customHeight="1">
      <c r="AH400" s="26"/>
      <c r="AI400" s="26"/>
    </row>
    <row r="401" ht="15.75" customHeight="1">
      <c r="AH401" s="26"/>
      <c r="AI401" s="26"/>
    </row>
    <row r="402" ht="15.75" customHeight="1">
      <c r="AH402" s="26"/>
      <c r="AI402" s="26"/>
    </row>
    <row r="403" ht="15.75" customHeight="1">
      <c r="AH403" s="26"/>
      <c r="AI403" s="26"/>
    </row>
    <row r="404" ht="15.75" customHeight="1">
      <c r="AH404" s="26"/>
      <c r="AI404" s="26"/>
    </row>
    <row r="405" ht="15.75" customHeight="1">
      <c r="AH405" s="26"/>
      <c r="AI405" s="26"/>
    </row>
    <row r="406" ht="15.75" customHeight="1">
      <c r="AH406" s="26"/>
      <c r="AI406" s="26"/>
    </row>
    <row r="407" ht="15.75" customHeight="1">
      <c r="AH407" s="26"/>
      <c r="AI407" s="26"/>
    </row>
    <row r="408" ht="15.75" customHeight="1">
      <c r="AH408" s="26"/>
      <c r="AI408" s="26"/>
    </row>
    <row r="409" ht="15.75" customHeight="1">
      <c r="AH409" s="26"/>
      <c r="AI409" s="26"/>
    </row>
    <row r="410" ht="15.75" customHeight="1">
      <c r="AH410" s="26"/>
      <c r="AI410" s="26"/>
    </row>
    <row r="411" ht="15.75" customHeight="1">
      <c r="AH411" s="26"/>
      <c r="AI411" s="26"/>
    </row>
    <row r="412" ht="15.75" customHeight="1">
      <c r="AH412" s="26"/>
      <c r="AI412" s="26"/>
    </row>
    <row r="413" ht="15.75" customHeight="1">
      <c r="AH413" s="26"/>
      <c r="AI413" s="26"/>
    </row>
    <row r="414" ht="15.75" customHeight="1">
      <c r="AH414" s="26"/>
      <c r="AI414" s="26"/>
    </row>
    <row r="415" ht="15.75" customHeight="1">
      <c r="AH415" s="26"/>
      <c r="AI415" s="26"/>
    </row>
    <row r="416" ht="15.75" customHeight="1">
      <c r="AH416" s="26"/>
      <c r="AI416" s="26"/>
    </row>
    <row r="417" ht="15.75" customHeight="1">
      <c r="AH417" s="26"/>
      <c r="AI417" s="26"/>
    </row>
    <row r="418" ht="15.75" customHeight="1">
      <c r="AH418" s="26"/>
      <c r="AI418" s="26"/>
    </row>
    <row r="419" ht="15.75" customHeight="1">
      <c r="AH419" s="26"/>
      <c r="AI419" s="26"/>
    </row>
    <row r="420" ht="15.75" customHeight="1">
      <c r="AH420" s="26"/>
      <c r="AI420" s="26"/>
    </row>
    <row r="421" ht="15.75" customHeight="1">
      <c r="AH421" s="26"/>
      <c r="AI421" s="26"/>
    </row>
    <row r="422" ht="15.75" customHeight="1">
      <c r="AH422" s="26"/>
      <c r="AI422" s="26"/>
    </row>
    <row r="423" ht="15.75" customHeight="1">
      <c r="AH423" s="26"/>
      <c r="AI423" s="26"/>
    </row>
    <row r="424" ht="15.75" customHeight="1">
      <c r="AH424" s="26"/>
      <c r="AI424" s="26"/>
    </row>
    <row r="425" ht="15.75" customHeight="1">
      <c r="AH425" s="26"/>
      <c r="AI425" s="26"/>
    </row>
    <row r="426" ht="15.75" customHeight="1">
      <c r="AH426" s="26"/>
      <c r="AI426" s="26"/>
    </row>
    <row r="427" ht="15.75" customHeight="1">
      <c r="AH427" s="26"/>
      <c r="AI427" s="26"/>
    </row>
    <row r="428" ht="15.75" customHeight="1">
      <c r="AH428" s="26"/>
      <c r="AI428" s="26"/>
    </row>
    <row r="429" ht="15.75" customHeight="1">
      <c r="AH429" s="26"/>
      <c r="AI429" s="26"/>
    </row>
    <row r="430" ht="15.75" customHeight="1">
      <c r="AH430" s="26"/>
      <c r="AI430" s="26"/>
    </row>
    <row r="431" ht="15.75" customHeight="1">
      <c r="AH431" s="26"/>
      <c r="AI431" s="26"/>
    </row>
    <row r="432" ht="15.75" customHeight="1">
      <c r="AH432" s="26"/>
      <c r="AI432" s="26"/>
    </row>
    <row r="433" ht="15.75" customHeight="1">
      <c r="AH433" s="26"/>
      <c r="AI433" s="26"/>
    </row>
    <row r="434" ht="15.75" customHeight="1">
      <c r="AH434" s="26"/>
      <c r="AI434" s="26"/>
    </row>
    <row r="435" ht="15.75" customHeight="1">
      <c r="AH435" s="26"/>
      <c r="AI435" s="26"/>
    </row>
    <row r="436" ht="15.75" customHeight="1">
      <c r="AH436" s="26"/>
      <c r="AI436" s="26"/>
    </row>
    <row r="437" ht="15.75" customHeight="1">
      <c r="AH437" s="26"/>
      <c r="AI437" s="26"/>
    </row>
    <row r="438" ht="15.75" customHeight="1">
      <c r="AH438" s="26"/>
      <c r="AI438" s="26"/>
    </row>
    <row r="439" ht="15.75" customHeight="1">
      <c r="AH439" s="26"/>
      <c r="AI439" s="26"/>
    </row>
    <row r="440" ht="15.75" customHeight="1">
      <c r="AH440" s="26"/>
      <c r="AI440" s="26"/>
    </row>
    <row r="441" ht="15.75" customHeight="1">
      <c r="AH441" s="26"/>
      <c r="AI441" s="26"/>
    </row>
    <row r="442" ht="15.75" customHeight="1">
      <c r="AH442" s="26"/>
      <c r="AI442" s="26"/>
    </row>
    <row r="443" ht="15.75" customHeight="1">
      <c r="AH443" s="26"/>
      <c r="AI443" s="26"/>
    </row>
    <row r="444" ht="15.75" customHeight="1">
      <c r="AH444" s="26"/>
      <c r="AI444" s="26"/>
    </row>
    <row r="445" ht="15.75" customHeight="1">
      <c r="AH445" s="26"/>
      <c r="AI445" s="26"/>
    </row>
    <row r="446" ht="15.75" customHeight="1">
      <c r="AH446" s="26"/>
      <c r="AI446" s="26"/>
    </row>
    <row r="447" ht="15.75" customHeight="1">
      <c r="AH447" s="26"/>
      <c r="AI447" s="26"/>
    </row>
    <row r="448" ht="15.75" customHeight="1">
      <c r="AH448" s="26"/>
      <c r="AI448" s="26"/>
    </row>
    <row r="449" ht="15.75" customHeight="1">
      <c r="AH449" s="26"/>
      <c r="AI449" s="26"/>
    </row>
    <row r="450" ht="15.75" customHeight="1">
      <c r="AH450" s="26"/>
      <c r="AI450" s="26"/>
    </row>
    <row r="451" ht="15.75" customHeight="1">
      <c r="AH451" s="26"/>
      <c r="AI451" s="26"/>
    </row>
    <row r="452" ht="15.75" customHeight="1">
      <c r="AH452" s="26"/>
      <c r="AI452" s="26"/>
    </row>
    <row r="453" ht="15.75" customHeight="1">
      <c r="AH453" s="26"/>
      <c r="AI453" s="26"/>
    </row>
    <row r="454" ht="15.75" customHeight="1">
      <c r="AH454" s="26"/>
      <c r="AI454" s="26"/>
    </row>
    <row r="455" ht="15.75" customHeight="1">
      <c r="AH455" s="26"/>
      <c r="AI455" s="26"/>
    </row>
    <row r="456" ht="15.75" customHeight="1">
      <c r="AH456" s="26"/>
      <c r="AI456" s="26"/>
    </row>
    <row r="457" ht="15.75" customHeight="1">
      <c r="AH457" s="26"/>
      <c r="AI457" s="26"/>
    </row>
    <row r="458" ht="15.75" customHeight="1">
      <c r="AH458" s="26"/>
      <c r="AI458" s="26"/>
    </row>
    <row r="459" ht="15.75" customHeight="1">
      <c r="AH459" s="26"/>
      <c r="AI459" s="26"/>
    </row>
    <row r="460" ht="15.75" customHeight="1">
      <c r="AH460" s="26"/>
      <c r="AI460" s="26"/>
    </row>
    <row r="461" ht="15.75" customHeight="1">
      <c r="AH461" s="26"/>
      <c r="AI461" s="26"/>
    </row>
    <row r="462" ht="15.75" customHeight="1">
      <c r="AH462" s="26"/>
      <c r="AI462" s="26"/>
    </row>
    <row r="463" ht="15.75" customHeight="1">
      <c r="AH463" s="26"/>
      <c r="AI463" s="26"/>
    </row>
    <row r="464" ht="15.75" customHeight="1">
      <c r="AH464" s="26"/>
      <c r="AI464" s="26"/>
    </row>
    <row r="465" ht="15.75" customHeight="1">
      <c r="AH465" s="26"/>
      <c r="AI465" s="26"/>
    </row>
    <row r="466" ht="15.75" customHeight="1">
      <c r="AH466" s="26"/>
      <c r="AI466" s="26"/>
    </row>
    <row r="467" ht="15.75" customHeight="1">
      <c r="AH467" s="26"/>
      <c r="AI467" s="26"/>
    </row>
    <row r="468" ht="15.75" customHeight="1">
      <c r="AH468" s="26"/>
      <c r="AI468" s="26"/>
    </row>
    <row r="469" ht="15.75" customHeight="1">
      <c r="AH469" s="26"/>
      <c r="AI469" s="26"/>
    </row>
    <row r="470" ht="15.75" customHeight="1">
      <c r="AH470" s="26"/>
      <c r="AI470" s="26"/>
    </row>
    <row r="471" ht="15.75" customHeight="1">
      <c r="AH471" s="26"/>
      <c r="AI471" s="26"/>
    </row>
    <row r="472" ht="15.75" customHeight="1">
      <c r="AH472" s="26"/>
      <c r="AI472" s="26"/>
    </row>
    <row r="473" ht="15.75" customHeight="1">
      <c r="AH473" s="26"/>
      <c r="AI473" s="26"/>
    </row>
    <row r="474" ht="15.75" customHeight="1">
      <c r="AH474" s="26"/>
      <c r="AI474" s="26"/>
    </row>
    <row r="475" ht="15.75" customHeight="1">
      <c r="AH475" s="26"/>
      <c r="AI475" s="26"/>
    </row>
    <row r="476" ht="15.75" customHeight="1">
      <c r="AH476" s="26"/>
      <c r="AI476" s="26"/>
    </row>
    <row r="477" ht="15.75" customHeight="1">
      <c r="AH477" s="26"/>
      <c r="AI477" s="26"/>
    </row>
    <row r="478" ht="15.75" customHeight="1">
      <c r="AH478" s="26"/>
      <c r="AI478" s="26"/>
    </row>
    <row r="479" ht="15.75" customHeight="1">
      <c r="AH479" s="26"/>
      <c r="AI479" s="26"/>
    </row>
    <row r="480" ht="15.75" customHeight="1">
      <c r="AH480" s="26"/>
      <c r="AI480" s="26"/>
    </row>
    <row r="481" ht="15.75" customHeight="1">
      <c r="AH481" s="26"/>
      <c r="AI481" s="26"/>
    </row>
    <row r="482" ht="15.75" customHeight="1">
      <c r="AH482" s="26"/>
      <c r="AI482" s="26"/>
    </row>
    <row r="483" ht="15.75" customHeight="1">
      <c r="AH483" s="26"/>
      <c r="AI483" s="26"/>
    </row>
    <row r="484" ht="15.75" customHeight="1">
      <c r="AH484" s="26"/>
      <c r="AI484" s="26"/>
    </row>
    <row r="485" ht="15.75" customHeight="1">
      <c r="AH485" s="26"/>
      <c r="AI485" s="26"/>
    </row>
    <row r="486" ht="15.75" customHeight="1">
      <c r="AH486" s="26"/>
      <c r="AI486" s="26"/>
    </row>
    <row r="487" ht="15.75" customHeight="1">
      <c r="AH487" s="26"/>
      <c r="AI487" s="26"/>
    </row>
    <row r="488" ht="15.75" customHeight="1">
      <c r="AH488" s="26"/>
      <c r="AI488" s="26"/>
    </row>
    <row r="489" ht="15.75" customHeight="1">
      <c r="AH489" s="26"/>
      <c r="AI489" s="26"/>
    </row>
    <row r="490" ht="15.75" customHeight="1">
      <c r="AH490" s="26"/>
      <c r="AI490" s="26"/>
    </row>
    <row r="491" ht="15.75" customHeight="1">
      <c r="AH491" s="26"/>
      <c r="AI491" s="26"/>
    </row>
    <row r="492" ht="15.75" customHeight="1">
      <c r="AH492" s="26"/>
      <c r="AI492" s="26"/>
    </row>
    <row r="493" ht="15.75" customHeight="1">
      <c r="AH493" s="26"/>
      <c r="AI493" s="26"/>
    </row>
    <row r="494" ht="15.75" customHeight="1">
      <c r="AH494" s="26"/>
      <c r="AI494" s="26"/>
    </row>
    <row r="495" ht="15.75" customHeight="1">
      <c r="AH495" s="26"/>
      <c r="AI495" s="26"/>
    </row>
    <row r="496" ht="15.75" customHeight="1">
      <c r="AH496" s="26"/>
      <c r="AI496" s="26"/>
    </row>
    <row r="497" ht="15.75" customHeight="1">
      <c r="AH497" s="26"/>
      <c r="AI497" s="26"/>
    </row>
    <row r="498" ht="15.75" customHeight="1">
      <c r="AH498" s="26"/>
      <c r="AI498" s="26"/>
    </row>
    <row r="499" ht="15.75" customHeight="1">
      <c r="AH499" s="26"/>
      <c r="AI499" s="26"/>
    </row>
    <row r="500" ht="15.75" customHeight="1">
      <c r="AH500" s="26"/>
      <c r="AI500" s="26"/>
    </row>
    <row r="501" ht="15.75" customHeight="1">
      <c r="AH501" s="26"/>
      <c r="AI501" s="26"/>
    </row>
    <row r="502" ht="15.75" customHeight="1">
      <c r="AH502" s="26"/>
      <c r="AI502" s="26"/>
    </row>
    <row r="503" ht="15.75" customHeight="1">
      <c r="AH503" s="26"/>
      <c r="AI503" s="26"/>
    </row>
    <row r="504" ht="15.75" customHeight="1">
      <c r="AH504" s="26"/>
      <c r="AI504" s="26"/>
    </row>
    <row r="505" ht="15.75" customHeight="1">
      <c r="AH505" s="26"/>
      <c r="AI505" s="26"/>
    </row>
    <row r="506" ht="15.75" customHeight="1">
      <c r="AH506" s="26"/>
      <c r="AI506" s="26"/>
    </row>
    <row r="507" ht="15.75" customHeight="1">
      <c r="AH507" s="26"/>
      <c r="AI507" s="26"/>
    </row>
    <row r="508" ht="15.75" customHeight="1">
      <c r="AH508" s="26"/>
      <c r="AI508" s="26"/>
    </row>
    <row r="509" ht="15.75" customHeight="1">
      <c r="AH509" s="26"/>
      <c r="AI509" s="26"/>
    </row>
    <row r="510" ht="15.75" customHeight="1">
      <c r="AH510" s="26"/>
      <c r="AI510" s="26"/>
    </row>
    <row r="511" ht="15.75" customHeight="1">
      <c r="AH511" s="26"/>
      <c r="AI511" s="26"/>
    </row>
    <row r="512" ht="15.75" customHeight="1">
      <c r="AH512" s="26"/>
      <c r="AI512" s="26"/>
    </row>
    <row r="513" ht="15.75" customHeight="1">
      <c r="AH513" s="26"/>
      <c r="AI513" s="26"/>
    </row>
    <row r="514" ht="15.75" customHeight="1">
      <c r="AH514" s="26"/>
      <c r="AI514" s="26"/>
    </row>
    <row r="515" ht="15.75" customHeight="1">
      <c r="AH515" s="26"/>
      <c r="AI515" s="26"/>
    </row>
    <row r="516" ht="15.75" customHeight="1">
      <c r="AH516" s="26"/>
      <c r="AI516" s="26"/>
    </row>
    <row r="517" ht="15.75" customHeight="1">
      <c r="AH517" s="26"/>
      <c r="AI517" s="26"/>
    </row>
    <row r="518" ht="15.75" customHeight="1">
      <c r="AH518" s="26"/>
      <c r="AI518" s="26"/>
    </row>
    <row r="519" ht="15.75" customHeight="1">
      <c r="AH519" s="26"/>
      <c r="AI519" s="26"/>
    </row>
    <row r="520" ht="15.75" customHeight="1">
      <c r="AH520" s="26"/>
      <c r="AI520" s="26"/>
    </row>
    <row r="521" ht="15.75" customHeight="1">
      <c r="AH521" s="26"/>
      <c r="AI521" s="26"/>
    </row>
    <row r="522" ht="15.75" customHeight="1">
      <c r="AH522" s="26"/>
      <c r="AI522" s="26"/>
    </row>
    <row r="523" ht="15.75" customHeight="1">
      <c r="AH523" s="26"/>
      <c r="AI523" s="26"/>
    </row>
    <row r="524" ht="15.75" customHeight="1">
      <c r="AH524" s="26"/>
      <c r="AI524" s="26"/>
    </row>
    <row r="525" ht="15.75" customHeight="1">
      <c r="AH525" s="26"/>
      <c r="AI525" s="26"/>
    </row>
    <row r="526" ht="15.75" customHeight="1">
      <c r="AH526" s="26"/>
      <c r="AI526" s="26"/>
    </row>
    <row r="527" ht="15.75" customHeight="1">
      <c r="AH527" s="26"/>
      <c r="AI527" s="26"/>
    </row>
    <row r="528" ht="15.75" customHeight="1">
      <c r="AH528" s="26"/>
      <c r="AI528" s="26"/>
    </row>
    <row r="529" ht="15.75" customHeight="1">
      <c r="AH529" s="26"/>
      <c r="AI529" s="26"/>
    </row>
    <row r="530" ht="15.75" customHeight="1">
      <c r="AH530" s="26"/>
      <c r="AI530" s="26"/>
    </row>
    <row r="531" ht="15.75" customHeight="1">
      <c r="AH531" s="26"/>
      <c r="AI531" s="26"/>
    </row>
    <row r="532" ht="15.75" customHeight="1">
      <c r="AH532" s="26"/>
      <c r="AI532" s="26"/>
    </row>
    <row r="533" ht="15.75" customHeight="1">
      <c r="AH533" s="26"/>
      <c r="AI533" s="26"/>
    </row>
    <row r="534" ht="15.75" customHeight="1">
      <c r="AH534" s="26"/>
      <c r="AI534" s="26"/>
    </row>
    <row r="535" ht="15.75" customHeight="1">
      <c r="AH535" s="26"/>
      <c r="AI535" s="26"/>
    </row>
    <row r="536" ht="15.75" customHeight="1">
      <c r="AH536" s="26"/>
      <c r="AI536" s="26"/>
    </row>
    <row r="537" ht="15.75" customHeight="1">
      <c r="AH537" s="26"/>
      <c r="AI537" s="26"/>
    </row>
    <row r="538" ht="15.75" customHeight="1">
      <c r="AH538" s="26"/>
      <c r="AI538" s="26"/>
    </row>
    <row r="539" ht="15.75" customHeight="1">
      <c r="AH539" s="26"/>
      <c r="AI539" s="26"/>
    </row>
    <row r="540" ht="15.75" customHeight="1">
      <c r="AH540" s="26"/>
      <c r="AI540" s="26"/>
    </row>
    <row r="541" ht="15.75" customHeight="1">
      <c r="AH541" s="26"/>
      <c r="AI541" s="26"/>
    </row>
    <row r="542" ht="15.75" customHeight="1">
      <c r="AH542" s="26"/>
      <c r="AI542" s="26"/>
    </row>
    <row r="543" ht="15.75" customHeight="1">
      <c r="AH543" s="26"/>
      <c r="AI543" s="26"/>
    </row>
    <row r="544" ht="15.75" customHeight="1">
      <c r="AH544" s="26"/>
      <c r="AI544" s="26"/>
    </row>
    <row r="545" ht="15.75" customHeight="1">
      <c r="AH545" s="26"/>
      <c r="AI545" s="26"/>
    </row>
    <row r="546" ht="15.75" customHeight="1">
      <c r="AH546" s="26"/>
      <c r="AI546" s="26"/>
    </row>
    <row r="547" ht="15.75" customHeight="1">
      <c r="AH547" s="26"/>
      <c r="AI547" s="26"/>
    </row>
    <row r="548" ht="15.75" customHeight="1">
      <c r="AH548" s="26"/>
      <c r="AI548" s="26"/>
    </row>
    <row r="549" ht="15.75" customHeight="1">
      <c r="AH549" s="26"/>
      <c r="AI549" s="26"/>
    </row>
    <row r="550" ht="15.75" customHeight="1">
      <c r="AH550" s="26"/>
      <c r="AI550" s="26"/>
    </row>
    <row r="551" ht="15.75" customHeight="1">
      <c r="AH551" s="26"/>
      <c r="AI551" s="26"/>
    </row>
    <row r="552" ht="15.75" customHeight="1">
      <c r="AH552" s="26"/>
      <c r="AI552" s="26"/>
    </row>
    <row r="553" ht="15.75" customHeight="1">
      <c r="AH553" s="26"/>
      <c r="AI553" s="26"/>
    </row>
    <row r="554" ht="15.75" customHeight="1">
      <c r="AH554" s="26"/>
      <c r="AI554" s="26"/>
    </row>
    <row r="555" ht="15.75" customHeight="1">
      <c r="AH555" s="26"/>
      <c r="AI555" s="26"/>
    </row>
    <row r="556" ht="15.75" customHeight="1">
      <c r="AH556" s="26"/>
      <c r="AI556" s="26"/>
    </row>
    <row r="557" ht="15.75" customHeight="1">
      <c r="AH557" s="26"/>
      <c r="AI557" s="26"/>
    </row>
    <row r="558" ht="15.75" customHeight="1">
      <c r="AH558" s="26"/>
      <c r="AI558" s="26"/>
    </row>
    <row r="559" ht="15.75" customHeight="1">
      <c r="AH559" s="26"/>
      <c r="AI559" s="26"/>
    </row>
    <row r="560" ht="15.75" customHeight="1">
      <c r="AH560" s="26"/>
      <c r="AI560" s="26"/>
    </row>
    <row r="561" ht="15.75" customHeight="1">
      <c r="AH561" s="26"/>
      <c r="AI561" s="26"/>
    </row>
    <row r="562" ht="15.75" customHeight="1">
      <c r="AH562" s="26"/>
      <c r="AI562" s="26"/>
    </row>
    <row r="563" ht="15.75" customHeight="1">
      <c r="AH563" s="26"/>
      <c r="AI563" s="26"/>
    </row>
    <row r="564" ht="15.75" customHeight="1">
      <c r="AH564" s="26"/>
      <c r="AI564" s="26"/>
    </row>
    <row r="565" ht="15.75" customHeight="1">
      <c r="AH565" s="26"/>
      <c r="AI565" s="26"/>
    </row>
    <row r="566" ht="15.75" customHeight="1">
      <c r="AH566" s="26"/>
      <c r="AI566" s="26"/>
    </row>
    <row r="567" ht="15.75" customHeight="1">
      <c r="AH567" s="26"/>
      <c r="AI567" s="26"/>
    </row>
    <row r="568" ht="15.75" customHeight="1">
      <c r="AH568" s="26"/>
      <c r="AI568" s="26"/>
    </row>
    <row r="569" ht="15.75" customHeight="1">
      <c r="AH569" s="26"/>
      <c r="AI569" s="26"/>
    </row>
    <row r="570" ht="15.75" customHeight="1">
      <c r="AH570" s="26"/>
      <c r="AI570" s="26"/>
    </row>
    <row r="571" ht="15.75" customHeight="1">
      <c r="AH571" s="26"/>
      <c r="AI571" s="26"/>
    </row>
    <row r="572" ht="15.75" customHeight="1">
      <c r="AH572" s="26"/>
      <c r="AI572" s="26"/>
    </row>
    <row r="573" ht="15.75" customHeight="1">
      <c r="AH573" s="26"/>
      <c r="AI573" s="26"/>
    </row>
    <row r="574" ht="15.75" customHeight="1">
      <c r="AH574" s="26"/>
      <c r="AI574" s="26"/>
    </row>
    <row r="575" ht="15.75" customHeight="1">
      <c r="AH575" s="26"/>
      <c r="AI575" s="26"/>
    </row>
    <row r="576" ht="15.75" customHeight="1">
      <c r="AH576" s="26"/>
      <c r="AI576" s="26"/>
    </row>
    <row r="577" ht="15.75" customHeight="1">
      <c r="AH577" s="26"/>
      <c r="AI577" s="26"/>
    </row>
    <row r="578" ht="15.75" customHeight="1">
      <c r="AH578" s="26"/>
      <c r="AI578" s="26"/>
    </row>
    <row r="579" ht="15.75" customHeight="1">
      <c r="AH579" s="26"/>
      <c r="AI579" s="26"/>
    </row>
    <row r="580" ht="15.75" customHeight="1">
      <c r="AH580" s="26"/>
      <c r="AI580" s="26"/>
    </row>
    <row r="581" ht="15.75" customHeight="1">
      <c r="AH581" s="26"/>
      <c r="AI581" s="26"/>
    </row>
    <row r="582" ht="15.75" customHeight="1">
      <c r="AH582" s="26"/>
      <c r="AI582" s="26"/>
    </row>
    <row r="583" ht="15.75" customHeight="1">
      <c r="AH583" s="26"/>
      <c r="AI583" s="26"/>
    </row>
    <row r="584" ht="15.75" customHeight="1">
      <c r="AH584" s="26"/>
      <c r="AI584" s="26"/>
    </row>
    <row r="585" ht="15.75" customHeight="1">
      <c r="AH585" s="26"/>
      <c r="AI585" s="26"/>
    </row>
    <row r="586" ht="15.75" customHeight="1">
      <c r="AH586" s="26"/>
      <c r="AI586" s="26"/>
    </row>
    <row r="587" ht="15.75" customHeight="1">
      <c r="AH587" s="26"/>
      <c r="AI587" s="26"/>
    </row>
    <row r="588" ht="15.75" customHeight="1">
      <c r="AH588" s="26"/>
      <c r="AI588" s="26"/>
    </row>
    <row r="589" ht="15.75" customHeight="1">
      <c r="AH589" s="26"/>
      <c r="AI589" s="26"/>
    </row>
    <row r="590" ht="15.75" customHeight="1">
      <c r="AH590" s="26"/>
      <c r="AI590" s="26"/>
    </row>
    <row r="591" ht="15.75" customHeight="1">
      <c r="AH591" s="26"/>
      <c r="AI591" s="26"/>
    </row>
    <row r="592" ht="15.75" customHeight="1">
      <c r="AH592" s="26"/>
      <c r="AI592" s="26"/>
    </row>
    <row r="593" ht="15.75" customHeight="1">
      <c r="AH593" s="26"/>
      <c r="AI593" s="26"/>
    </row>
    <row r="594" ht="15.75" customHeight="1">
      <c r="AH594" s="26"/>
      <c r="AI594" s="26"/>
    </row>
    <row r="595" ht="15.75" customHeight="1">
      <c r="AH595" s="26"/>
      <c r="AI595" s="26"/>
    </row>
    <row r="596" ht="15.75" customHeight="1">
      <c r="AH596" s="26"/>
      <c r="AI596" s="26"/>
    </row>
    <row r="597" ht="15.75" customHeight="1">
      <c r="AH597" s="26"/>
      <c r="AI597" s="26"/>
    </row>
    <row r="598" ht="15.75" customHeight="1">
      <c r="AH598" s="26"/>
      <c r="AI598" s="26"/>
    </row>
    <row r="599" ht="15.75" customHeight="1">
      <c r="AH599" s="26"/>
      <c r="AI599" s="26"/>
    </row>
    <row r="600" ht="15.75" customHeight="1">
      <c r="AH600" s="26"/>
      <c r="AI600" s="26"/>
    </row>
    <row r="601" ht="15.75" customHeight="1">
      <c r="AH601" s="26"/>
      <c r="AI601" s="26"/>
    </row>
    <row r="602" ht="15.75" customHeight="1">
      <c r="AH602" s="26"/>
      <c r="AI602" s="26"/>
    </row>
    <row r="603" ht="15.75" customHeight="1">
      <c r="AH603" s="26"/>
      <c r="AI603" s="26"/>
    </row>
    <row r="604" ht="15.75" customHeight="1">
      <c r="AH604" s="26"/>
      <c r="AI604" s="26"/>
    </row>
    <row r="605" ht="15.75" customHeight="1">
      <c r="AH605" s="26"/>
      <c r="AI605" s="26"/>
    </row>
    <row r="606" ht="15.75" customHeight="1">
      <c r="AH606" s="26"/>
      <c r="AI606" s="26"/>
    </row>
    <row r="607" ht="15.75" customHeight="1">
      <c r="AH607" s="26"/>
      <c r="AI607" s="26"/>
    </row>
    <row r="608" ht="15.75" customHeight="1">
      <c r="AH608" s="26"/>
      <c r="AI608" s="26"/>
    </row>
    <row r="609" ht="15.75" customHeight="1">
      <c r="AH609" s="26"/>
      <c r="AI609" s="26"/>
    </row>
    <row r="610" ht="15.75" customHeight="1">
      <c r="AH610" s="26"/>
      <c r="AI610" s="26"/>
    </row>
    <row r="611" ht="15.75" customHeight="1">
      <c r="AH611" s="26"/>
      <c r="AI611" s="26"/>
    </row>
    <row r="612" ht="15.75" customHeight="1">
      <c r="AH612" s="26"/>
      <c r="AI612" s="26"/>
    </row>
    <row r="613" ht="15.75" customHeight="1">
      <c r="AH613" s="26"/>
      <c r="AI613" s="26"/>
    </row>
    <row r="614" ht="15.75" customHeight="1">
      <c r="AH614" s="26"/>
      <c r="AI614" s="26"/>
    </row>
    <row r="615" ht="15.75" customHeight="1">
      <c r="AH615" s="26"/>
      <c r="AI615" s="26"/>
    </row>
    <row r="616" ht="15.75" customHeight="1">
      <c r="AH616" s="26"/>
      <c r="AI616" s="26"/>
    </row>
    <row r="617" ht="15.75" customHeight="1">
      <c r="AH617" s="26"/>
      <c r="AI617" s="26"/>
    </row>
    <row r="618" ht="15.75" customHeight="1">
      <c r="AH618" s="26"/>
      <c r="AI618" s="26"/>
    </row>
    <row r="619" ht="15.75" customHeight="1">
      <c r="AH619" s="26"/>
      <c r="AI619" s="26"/>
    </row>
    <row r="620" ht="15.75" customHeight="1">
      <c r="AH620" s="26"/>
      <c r="AI620" s="26"/>
    </row>
    <row r="621" ht="15.75" customHeight="1">
      <c r="AH621" s="26"/>
      <c r="AI621" s="26"/>
    </row>
    <row r="622" ht="15.75" customHeight="1">
      <c r="AH622" s="26"/>
      <c r="AI622" s="26"/>
    </row>
    <row r="623" ht="15.75" customHeight="1">
      <c r="AH623" s="26"/>
      <c r="AI623" s="26"/>
    </row>
    <row r="624" ht="15.75" customHeight="1">
      <c r="AH624" s="26"/>
      <c r="AI624" s="26"/>
    </row>
    <row r="625" ht="15.75" customHeight="1">
      <c r="AH625" s="26"/>
      <c r="AI625" s="26"/>
    </row>
    <row r="626" ht="15.75" customHeight="1">
      <c r="AH626" s="26"/>
      <c r="AI626" s="26"/>
    </row>
    <row r="627" ht="15.75" customHeight="1">
      <c r="AH627" s="26"/>
      <c r="AI627" s="26"/>
    </row>
    <row r="628" ht="15.75" customHeight="1">
      <c r="AH628" s="26"/>
      <c r="AI628" s="26"/>
    </row>
    <row r="629" ht="15.75" customHeight="1">
      <c r="AH629" s="26"/>
      <c r="AI629" s="26"/>
    </row>
    <row r="630" ht="15.75" customHeight="1">
      <c r="AH630" s="26"/>
      <c r="AI630" s="26"/>
    </row>
    <row r="631" ht="15.75" customHeight="1">
      <c r="AH631" s="26"/>
      <c r="AI631" s="26"/>
    </row>
    <row r="632" ht="15.75" customHeight="1">
      <c r="AH632" s="26"/>
      <c r="AI632" s="26"/>
    </row>
    <row r="633" ht="15.75" customHeight="1">
      <c r="AH633" s="26"/>
      <c r="AI633" s="26"/>
    </row>
    <row r="634" ht="15.75" customHeight="1">
      <c r="AH634" s="26"/>
      <c r="AI634" s="26"/>
    </row>
    <row r="635" ht="15.75" customHeight="1">
      <c r="AH635" s="26"/>
      <c r="AI635" s="26"/>
    </row>
    <row r="636" ht="15.75" customHeight="1">
      <c r="AH636" s="26"/>
      <c r="AI636" s="26"/>
    </row>
    <row r="637" ht="15.75" customHeight="1">
      <c r="AH637" s="26"/>
      <c r="AI637" s="26"/>
    </row>
    <row r="638" ht="15.75" customHeight="1">
      <c r="AH638" s="26"/>
      <c r="AI638" s="26"/>
    </row>
    <row r="639" ht="15.75" customHeight="1">
      <c r="AH639" s="26"/>
      <c r="AI639" s="26"/>
    </row>
    <row r="640" ht="15.75" customHeight="1">
      <c r="AH640" s="26"/>
      <c r="AI640" s="26"/>
    </row>
    <row r="641" ht="15.75" customHeight="1">
      <c r="AH641" s="26"/>
      <c r="AI641" s="26"/>
    </row>
    <row r="642" ht="15.75" customHeight="1">
      <c r="AH642" s="26"/>
      <c r="AI642" s="26"/>
    </row>
    <row r="643" ht="15.75" customHeight="1">
      <c r="AH643" s="26"/>
      <c r="AI643" s="26"/>
    </row>
    <row r="644" ht="15.75" customHeight="1">
      <c r="AH644" s="26"/>
      <c r="AI644" s="26"/>
    </row>
    <row r="645" ht="15.75" customHeight="1">
      <c r="AH645" s="26"/>
      <c r="AI645" s="26"/>
    </row>
    <row r="646" ht="15.75" customHeight="1">
      <c r="AH646" s="26"/>
      <c r="AI646" s="26"/>
    </row>
    <row r="647" ht="15.75" customHeight="1">
      <c r="AH647" s="26"/>
      <c r="AI647" s="26"/>
    </row>
    <row r="648" ht="15.75" customHeight="1">
      <c r="AH648" s="26"/>
      <c r="AI648" s="26"/>
    </row>
    <row r="649" ht="15.75" customHeight="1">
      <c r="AH649" s="26"/>
      <c r="AI649" s="26"/>
    </row>
    <row r="650" ht="15.75" customHeight="1">
      <c r="AH650" s="26"/>
      <c r="AI650" s="26"/>
    </row>
    <row r="651" ht="15.75" customHeight="1">
      <c r="AH651" s="26"/>
      <c r="AI651" s="26"/>
    </row>
    <row r="652" ht="15.75" customHeight="1">
      <c r="AH652" s="26"/>
      <c r="AI652" s="26"/>
    </row>
    <row r="653" ht="15.75" customHeight="1">
      <c r="AH653" s="26"/>
      <c r="AI653" s="26"/>
    </row>
    <row r="654" ht="15.75" customHeight="1">
      <c r="AH654" s="26"/>
      <c r="AI654" s="26"/>
    </row>
    <row r="655" ht="15.75" customHeight="1">
      <c r="AH655" s="26"/>
      <c r="AI655" s="26"/>
    </row>
    <row r="656" ht="15.75" customHeight="1">
      <c r="AH656" s="26"/>
      <c r="AI656" s="26"/>
    </row>
    <row r="657" ht="15.75" customHeight="1">
      <c r="AH657" s="26"/>
      <c r="AI657" s="26"/>
    </row>
    <row r="658" ht="15.75" customHeight="1">
      <c r="AH658" s="26"/>
      <c r="AI658" s="26"/>
    </row>
    <row r="659" ht="15.75" customHeight="1">
      <c r="AH659" s="26"/>
      <c r="AI659" s="26"/>
    </row>
    <row r="660" ht="15.75" customHeight="1">
      <c r="AH660" s="26"/>
      <c r="AI660" s="26"/>
    </row>
    <row r="661" ht="15.75" customHeight="1">
      <c r="AH661" s="26"/>
      <c r="AI661" s="26"/>
    </row>
    <row r="662" ht="15.75" customHeight="1">
      <c r="AH662" s="26"/>
      <c r="AI662" s="26"/>
    </row>
    <row r="663" ht="15.75" customHeight="1">
      <c r="AH663" s="26"/>
      <c r="AI663" s="26"/>
    </row>
    <row r="664" ht="15.75" customHeight="1">
      <c r="AH664" s="26"/>
      <c r="AI664" s="26"/>
    </row>
    <row r="665" ht="15.75" customHeight="1">
      <c r="AH665" s="26"/>
      <c r="AI665" s="26"/>
    </row>
    <row r="666" ht="15.75" customHeight="1">
      <c r="AH666" s="26"/>
      <c r="AI666" s="26"/>
    </row>
    <row r="667" ht="15.75" customHeight="1">
      <c r="AH667" s="26"/>
      <c r="AI667" s="26"/>
    </row>
    <row r="668" ht="15.75" customHeight="1">
      <c r="AH668" s="26"/>
      <c r="AI668" s="26"/>
    </row>
    <row r="669" ht="15.75" customHeight="1">
      <c r="AH669" s="26"/>
      <c r="AI669" s="26"/>
    </row>
    <row r="670" ht="15.75" customHeight="1">
      <c r="AH670" s="26"/>
      <c r="AI670" s="26"/>
    </row>
    <row r="671" ht="15.75" customHeight="1">
      <c r="AH671" s="26"/>
      <c r="AI671" s="26"/>
    </row>
    <row r="672" ht="15.75" customHeight="1">
      <c r="AH672" s="26"/>
      <c r="AI672" s="26"/>
    </row>
    <row r="673" ht="15.75" customHeight="1">
      <c r="AH673" s="26"/>
      <c r="AI673" s="26"/>
    </row>
    <row r="674" ht="15.75" customHeight="1">
      <c r="AH674" s="26"/>
      <c r="AI674" s="26"/>
    </row>
    <row r="675" ht="15.75" customHeight="1">
      <c r="AH675" s="26"/>
      <c r="AI675" s="26"/>
    </row>
    <row r="676" ht="15.75" customHeight="1">
      <c r="AH676" s="26"/>
      <c r="AI676" s="26"/>
    </row>
    <row r="677" ht="15.75" customHeight="1">
      <c r="AH677" s="26"/>
      <c r="AI677" s="26"/>
    </row>
    <row r="678" ht="15.75" customHeight="1">
      <c r="AH678" s="26"/>
      <c r="AI678" s="26"/>
    </row>
    <row r="679" ht="15.75" customHeight="1">
      <c r="AH679" s="26"/>
      <c r="AI679" s="26"/>
    </row>
    <row r="680" ht="15.75" customHeight="1">
      <c r="AH680" s="26"/>
      <c r="AI680" s="26"/>
    </row>
    <row r="681" ht="15.75" customHeight="1">
      <c r="AH681" s="26"/>
      <c r="AI681" s="26"/>
    </row>
    <row r="682" ht="15.75" customHeight="1">
      <c r="AH682" s="26"/>
      <c r="AI682" s="26"/>
    </row>
    <row r="683" ht="15.75" customHeight="1">
      <c r="AH683" s="26"/>
      <c r="AI683" s="26"/>
    </row>
    <row r="684" ht="15.75" customHeight="1">
      <c r="AH684" s="26"/>
      <c r="AI684" s="26"/>
    </row>
    <row r="685" ht="15.75" customHeight="1">
      <c r="AH685" s="26"/>
      <c r="AI685" s="26"/>
    </row>
    <row r="686" ht="15.75" customHeight="1">
      <c r="AH686" s="26"/>
      <c r="AI686" s="26"/>
    </row>
    <row r="687" ht="15.75" customHeight="1">
      <c r="AH687" s="26"/>
      <c r="AI687" s="26"/>
    </row>
    <row r="688" ht="15.75" customHeight="1">
      <c r="AH688" s="26"/>
      <c r="AI688" s="26"/>
    </row>
    <row r="689" ht="15.75" customHeight="1">
      <c r="AH689" s="26"/>
      <c r="AI689" s="26"/>
    </row>
    <row r="690" ht="15.75" customHeight="1">
      <c r="AH690" s="26"/>
      <c r="AI690" s="26"/>
    </row>
    <row r="691" ht="15.75" customHeight="1">
      <c r="AH691" s="26"/>
      <c r="AI691" s="26"/>
    </row>
    <row r="692" ht="15.75" customHeight="1">
      <c r="AH692" s="26"/>
      <c r="AI692" s="26"/>
    </row>
    <row r="693" ht="15.75" customHeight="1">
      <c r="AH693" s="26"/>
      <c r="AI693" s="26"/>
    </row>
    <row r="694" ht="15.75" customHeight="1">
      <c r="AH694" s="26"/>
      <c r="AI694" s="26"/>
    </row>
    <row r="695" ht="15.75" customHeight="1">
      <c r="AH695" s="26"/>
      <c r="AI695" s="26"/>
    </row>
    <row r="696" ht="15.75" customHeight="1">
      <c r="AH696" s="26"/>
      <c r="AI696" s="26"/>
    </row>
    <row r="697" ht="15.75" customHeight="1">
      <c r="AH697" s="26"/>
      <c r="AI697" s="26"/>
    </row>
    <row r="698" ht="15.75" customHeight="1">
      <c r="AH698" s="26"/>
      <c r="AI698" s="26"/>
    </row>
    <row r="699" ht="15.75" customHeight="1">
      <c r="AH699" s="26"/>
      <c r="AI699" s="26"/>
    </row>
    <row r="700" ht="15.75" customHeight="1">
      <c r="AH700" s="26"/>
      <c r="AI700" s="26"/>
    </row>
    <row r="701" ht="15.75" customHeight="1">
      <c r="AH701" s="26"/>
      <c r="AI701" s="26"/>
    </row>
    <row r="702" ht="15.75" customHeight="1">
      <c r="AH702" s="26"/>
      <c r="AI702" s="26"/>
    </row>
    <row r="703" ht="15.75" customHeight="1">
      <c r="AH703" s="26"/>
      <c r="AI703" s="26"/>
    </row>
    <row r="704" ht="15.75" customHeight="1">
      <c r="AH704" s="26"/>
      <c r="AI704" s="26"/>
    </row>
    <row r="705" ht="15.75" customHeight="1">
      <c r="AH705" s="26"/>
      <c r="AI705" s="26"/>
    </row>
    <row r="706" ht="15.75" customHeight="1">
      <c r="AH706" s="26"/>
      <c r="AI706" s="26"/>
    </row>
    <row r="707" ht="15.75" customHeight="1">
      <c r="AH707" s="26"/>
      <c r="AI707" s="26"/>
    </row>
    <row r="708" ht="15.75" customHeight="1">
      <c r="AH708" s="26"/>
      <c r="AI708" s="26"/>
    </row>
    <row r="709" ht="15.75" customHeight="1">
      <c r="AH709" s="26"/>
      <c r="AI709" s="26"/>
    </row>
    <row r="710" ht="15.75" customHeight="1">
      <c r="AH710" s="26"/>
      <c r="AI710" s="26"/>
    </row>
    <row r="711" ht="15.75" customHeight="1">
      <c r="AH711" s="26"/>
      <c r="AI711" s="26"/>
    </row>
    <row r="712" ht="15.75" customHeight="1">
      <c r="AH712" s="26"/>
      <c r="AI712" s="26"/>
    </row>
    <row r="713" ht="15.75" customHeight="1">
      <c r="AH713" s="26"/>
      <c r="AI713" s="26"/>
    </row>
    <row r="714" ht="15.75" customHeight="1">
      <c r="AH714" s="26"/>
      <c r="AI714" s="26"/>
    </row>
    <row r="715" ht="15.75" customHeight="1">
      <c r="AH715" s="26"/>
      <c r="AI715" s="26"/>
    </row>
    <row r="716" ht="15.75" customHeight="1">
      <c r="AH716" s="26"/>
      <c r="AI716" s="26"/>
    </row>
    <row r="717" ht="15.75" customHeight="1">
      <c r="AH717" s="26"/>
      <c r="AI717" s="26"/>
    </row>
    <row r="718" ht="15.75" customHeight="1">
      <c r="AH718" s="26"/>
      <c r="AI718" s="26"/>
    </row>
    <row r="719" ht="15.75" customHeight="1">
      <c r="AH719" s="26"/>
      <c r="AI719" s="26"/>
    </row>
    <row r="720" ht="15.75" customHeight="1">
      <c r="AH720" s="26"/>
      <c r="AI720" s="26"/>
    </row>
    <row r="721" ht="15.75" customHeight="1">
      <c r="AH721" s="26"/>
      <c r="AI721" s="26"/>
    </row>
    <row r="722" ht="15.75" customHeight="1">
      <c r="AH722" s="26"/>
      <c r="AI722" s="26"/>
    </row>
    <row r="723" ht="15.75" customHeight="1">
      <c r="AH723" s="26"/>
      <c r="AI723" s="26"/>
    </row>
    <row r="724" ht="15.75" customHeight="1">
      <c r="AH724" s="26"/>
      <c r="AI724" s="26"/>
    </row>
    <row r="725" ht="15.75" customHeight="1">
      <c r="AH725" s="26"/>
      <c r="AI725" s="26"/>
    </row>
    <row r="726" ht="15.75" customHeight="1">
      <c r="AH726" s="26"/>
      <c r="AI726" s="26"/>
    </row>
    <row r="727" ht="15.75" customHeight="1">
      <c r="AH727" s="26"/>
      <c r="AI727" s="26"/>
    </row>
    <row r="728" ht="15.75" customHeight="1">
      <c r="AH728" s="26"/>
      <c r="AI728" s="26"/>
    </row>
    <row r="729" ht="15.75" customHeight="1">
      <c r="AH729" s="26"/>
      <c r="AI729" s="26"/>
    </row>
    <row r="730" ht="15.75" customHeight="1">
      <c r="AH730" s="26"/>
      <c r="AI730" s="26"/>
    </row>
    <row r="731" ht="15.75" customHeight="1">
      <c r="AH731" s="26"/>
      <c r="AI731" s="26"/>
    </row>
    <row r="732" ht="15.75" customHeight="1">
      <c r="AH732" s="26"/>
      <c r="AI732" s="26"/>
    </row>
    <row r="733" ht="15.75" customHeight="1">
      <c r="AH733" s="26"/>
      <c r="AI733" s="26"/>
    </row>
    <row r="734" ht="15.75" customHeight="1">
      <c r="AH734" s="26"/>
      <c r="AI734" s="26"/>
    </row>
    <row r="735" ht="15.75" customHeight="1">
      <c r="AH735" s="26"/>
      <c r="AI735" s="26"/>
    </row>
    <row r="736" ht="15.75" customHeight="1">
      <c r="AH736" s="26"/>
      <c r="AI736" s="26"/>
    </row>
    <row r="737" ht="15.75" customHeight="1">
      <c r="AH737" s="26"/>
      <c r="AI737" s="26"/>
    </row>
    <row r="738" ht="15.75" customHeight="1">
      <c r="AH738" s="26"/>
      <c r="AI738" s="26"/>
    </row>
    <row r="739" ht="15.75" customHeight="1">
      <c r="AH739" s="26"/>
      <c r="AI739" s="26"/>
    </row>
    <row r="740" ht="15.75" customHeight="1">
      <c r="AH740" s="26"/>
      <c r="AI740" s="26"/>
    </row>
    <row r="741" ht="15.75" customHeight="1">
      <c r="AH741" s="26"/>
      <c r="AI741" s="26"/>
    </row>
    <row r="742" ht="15.75" customHeight="1">
      <c r="AH742" s="26"/>
      <c r="AI742" s="26"/>
    </row>
    <row r="743" ht="15.75" customHeight="1">
      <c r="AH743" s="26"/>
      <c r="AI743" s="26"/>
    </row>
    <row r="744" ht="15.75" customHeight="1">
      <c r="AH744" s="26"/>
      <c r="AI744" s="26"/>
    </row>
    <row r="745" ht="15.75" customHeight="1">
      <c r="AH745" s="26"/>
      <c r="AI745" s="26"/>
    </row>
    <row r="746" ht="15.75" customHeight="1">
      <c r="AH746" s="26"/>
      <c r="AI746" s="26"/>
    </row>
    <row r="747" ht="15.75" customHeight="1">
      <c r="AH747" s="26"/>
      <c r="AI747" s="26"/>
    </row>
    <row r="748" ht="15.75" customHeight="1">
      <c r="AH748" s="26"/>
      <c r="AI748" s="26"/>
    </row>
    <row r="749" ht="15.75" customHeight="1">
      <c r="AH749" s="26"/>
      <c r="AI749" s="26"/>
    </row>
    <row r="750" ht="15.75" customHeight="1">
      <c r="AH750" s="26"/>
      <c r="AI750" s="26"/>
    </row>
    <row r="751" ht="15.75" customHeight="1">
      <c r="AH751" s="26"/>
      <c r="AI751" s="26"/>
    </row>
    <row r="752" ht="15.75" customHeight="1">
      <c r="AH752" s="26"/>
      <c r="AI752" s="26"/>
    </row>
    <row r="753" ht="15.75" customHeight="1">
      <c r="AH753" s="26"/>
      <c r="AI753" s="26"/>
    </row>
    <row r="754" ht="15.75" customHeight="1">
      <c r="AH754" s="26"/>
      <c r="AI754" s="26"/>
    </row>
    <row r="755" ht="15.75" customHeight="1">
      <c r="AH755" s="26"/>
      <c r="AI755" s="26"/>
    </row>
    <row r="756" ht="15.75" customHeight="1">
      <c r="AH756" s="26"/>
      <c r="AI756" s="26"/>
    </row>
    <row r="757" ht="15.75" customHeight="1">
      <c r="AH757" s="26"/>
      <c r="AI757" s="26"/>
    </row>
    <row r="758" ht="15.75" customHeight="1">
      <c r="AH758" s="26"/>
      <c r="AI758" s="26"/>
    </row>
    <row r="759" ht="15.75" customHeight="1">
      <c r="AH759" s="26"/>
      <c r="AI759" s="26"/>
    </row>
    <row r="760" ht="15.75" customHeight="1">
      <c r="AH760" s="26"/>
      <c r="AI760" s="26"/>
    </row>
    <row r="761" ht="15.75" customHeight="1">
      <c r="AH761" s="26"/>
      <c r="AI761" s="26"/>
    </row>
    <row r="762" ht="15.75" customHeight="1">
      <c r="AH762" s="26"/>
      <c r="AI762" s="26"/>
    </row>
    <row r="763" ht="15.75" customHeight="1">
      <c r="AH763" s="26"/>
      <c r="AI763" s="26"/>
    </row>
    <row r="764" ht="15.75" customHeight="1">
      <c r="AH764" s="26"/>
      <c r="AI764" s="26"/>
    </row>
    <row r="765" ht="15.75" customHeight="1">
      <c r="AH765" s="26"/>
      <c r="AI765" s="26"/>
    </row>
    <row r="766" ht="15.75" customHeight="1">
      <c r="AH766" s="26"/>
      <c r="AI766" s="26"/>
    </row>
    <row r="767" ht="15.75" customHeight="1">
      <c r="AH767" s="26"/>
      <c r="AI767" s="26"/>
    </row>
    <row r="768" ht="15.75" customHeight="1">
      <c r="AH768" s="26"/>
      <c r="AI768" s="26"/>
    </row>
    <row r="769" ht="15.75" customHeight="1">
      <c r="AH769" s="26"/>
      <c r="AI769" s="26"/>
    </row>
    <row r="770" ht="15.75" customHeight="1">
      <c r="AH770" s="26"/>
      <c r="AI770" s="26"/>
    </row>
    <row r="771" ht="15.75" customHeight="1">
      <c r="AH771" s="26"/>
      <c r="AI771" s="26"/>
    </row>
    <row r="772" ht="15.75" customHeight="1">
      <c r="AH772" s="26"/>
      <c r="AI772" s="26"/>
    </row>
    <row r="773" ht="15.75" customHeight="1">
      <c r="AH773" s="26"/>
      <c r="AI773" s="26"/>
    </row>
    <row r="774" ht="15.75" customHeight="1">
      <c r="AH774" s="26"/>
      <c r="AI774" s="26"/>
    </row>
    <row r="775" ht="15.75" customHeight="1">
      <c r="AH775" s="26"/>
      <c r="AI775" s="26"/>
    </row>
    <row r="776" ht="15.75" customHeight="1">
      <c r="AH776" s="26"/>
      <c r="AI776" s="26"/>
    </row>
    <row r="777" ht="15.75" customHeight="1">
      <c r="AH777" s="26"/>
      <c r="AI777" s="26"/>
    </row>
    <row r="778" ht="15.75" customHeight="1">
      <c r="AH778" s="26"/>
      <c r="AI778" s="26"/>
    </row>
    <row r="779" ht="15.75" customHeight="1">
      <c r="AH779" s="26"/>
      <c r="AI779" s="26"/>
    </row>
    <row r="780" ht="15.75" customHeight="1">
      <c r="AH780" s="26"/>
      <c r="AI780" s="26"/>
    </row>
    <row r="781" ht="15.75" customHeight="1">
      <c r="AH781" s="26"/>
      <c r="AI781" s="26"/>
    </row>
    <row r="782" ht="15.75" customHeight="1">
      <c r="AH782" s="26"/>
      <c r="AI782" s="26"/>
    </row>
    <row r="783" ht="15.75" customHeight="1">
      <c r="AH783" s="26"/>
      <c r="AI783" s="26"/>
    </row>
    <row r="784" ht="15.75" customHeight="1">
      <c r="AH784" s="26"/>
      <c r="AI784" s="26"/>
    </row>
    <row r="785" ht="15.75" customHeight="1">
      <c r="AH785" s="26"/>
      <c r="AI785" s="26"/>
    </row>
    <row r="786" ht="15.75" customHeight="1">
      <c r="AH786" s="26"/>
      <c r="AI786" s="26"/>
    </row>
    <row r="787" ht="15.75" customHeight="1">
      <c r="AH787" s="26"/>
      <c r="AI787" s="26"/>
    </row>
    <row r="788" ht="15.75" customHeight="1">
      <c r="AH788" s="26"/>
      <c r="AI788" s="26"/>
    </row>
    <row r="789" ht="15.75" customHeight="1">
      <c r="AH789" s="26"/>
      <c r="AI789" s="26"/>
    </row>
    <row r="790" ht="15.75" customHeight="1">
      <c r="AH790" s="26"/>
      <c r="AI790" s="26"/>
    </row>
    <row r="791" ht="15.75" customHeight="1">
      <c r="AH791" s="26"/>
      <c r="AI791" s="26"/>
    </row>
    <row r="792" ht="15.75" customHeight="1">
      <c r="AH792" s="26"/>
      <c r="AI792" s="26"/>
    </row>
    <row r="793" ht="15.75" customHeight="1">
      <c r="AH793" s="26"/>
      <c r="AI793" s="26"/>
    </row>
    <row r="794" ht="15.75" customHeight="1">
      <c r="AH794" s="26"/>
      <c r="AI794" s="26"/>
    </row>
    <row r="795" ht="15.75" customHeight="1">
      <c r="AH795" s="26"/>
      <c r="AI795" s="26"/>
    </row>
    <row r="796" ht="15.75" customHeight="1">
      <c r="AH796" s="26"/>
      <c r="AI796" s="26"/>
    </row>
    <row r="797" ht="15.75" customHeight="1">
      <c r="AH797" s="26"/>
      <c r="AI797" s="26"/>
    </row>
    <row r="798" ht="15.75" customHeight="1">
      <c r="AH798" s="26"/>
      <c r="AI798" s="26"/>
    </row>
    <row r="799" ht="15.75" customHeight="1">
      <c r="AH799" s="26"/>
      <c r="AI799" s="26"/>
    </row>
    <row r="800" ht="15.75" customHeight="1">
      <c r="AH800" s="26"/>
      <c r="AI800" s="26"/>
    </row>
    <row r="801" ht="15.75" customHeight="1">
      <c r="AH801" s="26"/>
      <c r="AI801" s="26"/>
    </row>
    <row r="802" ht="15.75" customHeight="1">
      <c r="AH802" s="26"/>
      <c r="AI802" s="26"/>
    </row>
    <row r="803" ht="15.75" customHeight="1">
      <c r="AH803" s="26"/>
      <c r="AI803" s="26"/>
    </row>
    <row r="804" ht="15.75" customHeight="1">
      <c r="AH804" s="26"/>
      <c r="AI804" s="26"/>
    </row>
    <row r="805" ht="15.75" customHeight="1">
      <c r="AH805" s="26"/>
      <c r="AI805" s="26"/>
    </row>
    <row r="806" ht="15.75" customHeight="1">
      <c r="AH806" s="26"/>
      <c r="AI806" s="26"/>
    </row>
    <row r="807" ht="15.75" customHeight="1">
      <c r="AH807" s="26"/>
      <c r="AI807" s="26"/>
    </row>
    <row r="808" ht="15.75" customHeight="1">
      <c r="AH808" s="26"/>
      <c r="AI808" s="26"/>
    </row>
    <row r="809" ht="15.75" customHeight="1">
      <c r="AH809" s="26"/>
      <c r="AI809" s="26"/>
    </row>
    <row r="810" ht="15.75" customHeight="1">
      <c r="AH810" s="26"/>
      <c r="AI810" s="26"/>
    </row>
    <row r="811" ht="15.75" customHeight="1">
      <c r="AH811" s="26"/>
      <c r="AI811" s="26"/>
    </row>
    <row r="812" ht="15.75" customHeight="1">
      <c r="AH812" s="26"/>
      <c r="AI812" s="26"/>
    </row>
    <row r="813" ht="15.75" customHeight="1">
      <c r="AH813" s="26"/>
      <c r="AI813" s="26"/>
    </row>
    <row r="814" ht="15.75" customHeight="1">
      <c r="AH814" s="26"/>
      <c r="AI814" s="26"/>
    </row>
    <row r="815" ht="15.75" customHeight="1">
      <c r="AH815" s="26"/>
      <c r="AI815" s="26"/>
    </row>
    <row r="816" ht="15.75" customHeight="1">
      <c r="AH816" s="26"/>
      <c r="AI816" s="26"/>
    </row>
    <row r="817" ht="15.75" customHeight="1">
      <c r="AH817" s="26"/>
      <c r="AI817" s="26"/>
    </row>
    <row r="818" ht="15.75" customHeight="1">
      <c r="AH818" s="26"/>
      <c r="AI818" s="26"/>
    </row>
    <row r="819" ht="15.75" customHeight="1">
      <c r="AH819" s="26"/>
      <c r="AI819" s="26"/>
    </row>
    <row r="820" ht="15.75" customHeight="1">
      <c r="AH820" s="26"/>
      <c r="AI820" s="26"/>
    </row>
    <row r="821" ht="15.75" customHeight="1">
      <c r="AH821" s="26"/>
      <c r="AI821" s="26"/>
    </row>
    <row r="822" ht="15.75" customHeight="1">
      <c r="AH822" s="26"/>
      <c r="AI822" s="26"/>
    </row>
    <row r="823" ht="15.75" customHeight="1">
      <c r="AH823" s="26"/>
      <c r="AI823" s="26"/>
    </row>
    <row r="824" ht="15.75" customHeight="1">
      <c r="AH824" s="26"/>
      <c r="AI824" s="26"/>
    </row>
    <row r="825" ht="15.75" customHeight="1">
      <c r="AH825" s="26"/>
      <c r="AI825" s="26"/>
    </row>
    <row r="826" ht="15.75" customHeight="1">
      <c r="AH826" s="26"/>
      <c r="AI826" s="26"/>
    </row>
    <row r="827" ht="15.75" customHeight="1">
      <c r="AH827" s="26"/>
      <c r="AI827" s="26"/>
    </row>
    <row r="828" ht="15.75" customHeight="1">
      <c r="AH828" s="26"/>
      <c r="AI828" s="26"/>
    </row>
    <row r="829" ht="15.75" customHeight="1">
      <c r="AH829" s="26"/>
      <c r="AI829" s="26"/>
    </row>
    <row r="830" ht="15.75" customHeight="1">
      <c r="AH830" s="26"/>
      <c r="AI830" s="26"/>
    </row>
    <row r="831" ht="15.75" customHeight="1">
      <c r="AH831" s="26"/>
      <c r="AI831" s="26"/>
    </row>
    <row r="832" ht="15.75" customHeight="1">
      <c r="AH832" s="26"/>
      <c r="AI832" s="26"/>
    </row>
    <row r="833" ht="15.75" customHeight="1">
      <c r="AH833" s="26"/>
      <c r="AI833" s="26"/>
    </row>
    <row r="834" ht="15.75" customHeight="1">
      <c r="AH834" s="26"/>
      <c r="AI834" s="26"/>
    </row>
    <row r="835" ht="15.75" customHeight="1">
      <c r="AH835" s="26"/>
      <c r="AI835" s="26"/>
    </row>
    <row r="836" ht="15.75" customHeight="1">
      <c r="AH836" s="26"/>
      <c r="AI836" s="26"/>
    </row>
    <row r="837" ht="15.75" customHeight="1">
      <c r="AH837" s="26"/>
      <c r="AI837" s="26"/>
    </row>
    <row r="838" ht="15.75" customHeight="1">
      <c r="AH838" s="26"/>
      <c r="AI838" s="26"/>
    </row>
    <row r="839" ht="15.75" customHeight="1">
      <c r="AH839" s="26"/>
      <c r="AI839" s="26"/>
    </row>
    <row r="840" ht="15.75" customHeight="1">
      <c r="AH840" s="26"/>
      <c r="AI840" s="26"/>
    </row>
    <row r="841" ht="15.75" customHeight="1">
      <c r="AH841" s="26"/>
      <c r="AI841" s="26"/>
    </row>
    <row r="842" ht="15.75" customHeight="1">
      <c r="AH842" s="26"/>
      <c r="AI842" s="26"/>
    </row>
    <row r="843" ht="15.75" customHeight="1">
      <c r="AH843" s="26"/>
      <c r="AI843" s="26"/>
    </row>
    <row r="844" ht="15.75" customHeight="1">
      <c r="AH844" s="26"/>
      <c r="AI844" s="26"/>
    </row>
    <row r="845" ht="15.75" customHeight="1">
      <c r="AH845" s="26"/>
      <c r="AI845" s="26"/>
    </row>
    <row r="846" ht="15.75" customHeight="1">
      <c r="AH846" s="26"/>
      <c r="AI846" s="26"/>
    </row>
    <row r="847" ht="15.75" customHeight="1">
      <c r="AH847" s="26"/>
      <c r="AI847" s="26"/>
    </row>
    <row r="848" ht="15.75" customHeight="1">
      <c r="AH848" s="26"/>
      <c r="AI848" s="26"/>
    </row>
    <row r="849" ht="15.75" customHeight="1">
      <c r="AH849" s="26"/>
      <c r="AI849" s="26"/>
    </row>
    <row r="850" ht="15.75" customHeight="1">
      <c r="AH850" s="26"/>
      <c r="AI850" s="26"/>
    </row>
    <row r="851" ht="15.75" customHeight="1">
      <c r="AH851" s="26"/>
      <c r="AI851" s="26"/>
    </row>
    <row r="852" ht="15.75" customHeight="1">
      <c r="AH852" s="26"/>
      <c r="AI852" s="26"/>
    </row>
    <row r="853" ht="15.75" customHeight="1">
      <c r="AH853" s="26"/>
      <c r="AI853" s="26"/>
    </row>
    <row r="854" ht="15.75" customHeight="1">
      <c r="AH854" s="26"/>
      <c r="AI854" s="26"/>
    </row>
    <row r="855" ht="15.75" customHeight="1">
      <c r="AH855" s="26"/>
      <c r="AI855" s="26"/>
    </row>
    <row r="856" ht="15.75" customHeight="1">
      <c r="AH856" s="26"/>
      <c r="AI856" s="26"/>
    </row>
    <row r="857" ht="15.75" customHeight="1">
      <c r="AH857" s="26"/>
      <c r="AI857" s="26"/>
    </row>
    <row r="858" ht="15.75" customHeight="1">
      <c r="AH858" s="26"/>
      <c r="AI858" s="26"/>
    </row>
    <row r="859" ht="15.75" customHeight="1">
      <c r="AH859" s="26"/>
      <c r="AI859" s="26"/>
    </row>
    <row r="860" ht="15.75" customHeight="1">
      <c r="AH860" s="26"/>
      <c r="AI860" s="26"/>
    </row>
    <row r="861" ht="15.75" customHeight="1">
      <c r="AH861" s="26"/>
      <c r="AI861" s="26"/>
    </row>
    <row r="862" ht="15.75" customHeight="1">
      <c r="AH862" s="26"/>
      <c r="AI862" s="26"/>
    </row>
    <row r="863" ht="15.75" customHeight="1">
      <c r="AH863" s="26"/>
      <c r="AI863" s="26"/>
    </row>
    <row r="864" ht="15.75" customHeight="1">
      <c r="AH864" s="26"/>
      <c r="AI864" s="26"/>
    </row>
    <row r="865" ht="15.75" customHeight="1">
      <c r="AH865" s="26"/>
      <c r="AI865" s="26"/>
    </row>
    <row r="866" ht="15.75" customHeight="1">
      <c r="AH866" s="26"/>
      <c r="AI866" s="26"/>
    </row>
    <row r="867" ht="15.75" customHeight="1">
      <c r="AH867" s="26"/>
      <c r="AI867" s="26"/>
    </row>
    <row r="868" ht="15.75" customHeight="1">
      <c r="AH868" s="26"/>
      <c r="AI868" s="26"/>
    </row>
    <row r="869" ht="15.75" customHeight="1">
      <c r="AH869" s="26"/>
      <c r="AI869" s="26"/>
    </row>
    <row r="870" ht="15.75" customHeight="1">
      <c r="AH870" s="26"/>
      <c r="AI870" s="26"/>
    </row>
    <row r="871" ht="15.75" customHeight="1">
      <c r="AH871" s="26"/>
      <c r="AI871" s="26"/>
    </row>
    <row r="872" ht="15.75" customHeight="1">
      <c r="AH872" s="26"/>
      <c r="AI872" s="26"/>
    </row>
    <row r="873" ht="15.75" customHeight="1">
      <c r="AH873" s="26"/>
      <c r="AI873" s="26"/>
    </row>
    <row r="874" ht="15.75" customHeight="1">
      <c r="AH874" s="26"/>
      <c r="AI874" s="26"/>
    </row>
    <row r="875" ht="15.75" customHeight="1">
      <c r="AH875" s="26"/>
      <c r="AI875" s="26"/>
    </row>
    <row r="876" ht="15.75" customHeight="1">
      <c r="AH876" s="26"/>
      <c r="AI876" s="26"/>
    </row>
    <row r="877" ht="15.75" customHeight="1">
      <c r="AH877" s="26"/>
      <c r="AI877" s="26"/>
    </row>
    <row r="878" ht="15.75" customHeight="1">
      <c r="AH878" s="26"/>
      <c r="AI878" s="26"/>
    </row>
    <row r="879" ht="15.75" customHeight="1">
      <c r="AH879" s="26"/>
      <c r="AI879" s="26"/>
    </row>
    <row r="880" ht="15.75" customHeight="1">
      <c r="AH880" s="26"/>
      <c r="AI880" s="26"/>
    </row>
    <row r="881" ht="15.75" customHeight="1">
      <c r="AH881" s="26"/>
      <c r="AI881" s="26"/>
    </row>
    <row r="882" ht="15.75" customHeight="1">
      <c r="AH882" s="26"/>
      <c r="AI882" s="26"/>
    </row>
    <row r="883" ht="15.75" customHeight="1">
      <c r="AH883" s="26"/>
      <c r="AI883" s="26"/>
    </row>
    <row r="884" ht="15.75" customHeight="1">
      <c r="AH884" s="26"/>
      <c r="AI884" s="26"/>
    </row>
    <row r="885" ht="15.75" customHeight="1">
      <c r="AH885" s="26"/>
      <c r="AI885" s="26"/>
    </row>
    <row r="886" ht="15.75" customHeight="1">
      <c r="AH886" s="26"/>
      <c r="AI886" s="26"/>
    </row>
    <row r="887" ht="15.75" customHeight="1">
      <c r="AH887" s="26"/>
      <c r="AI887" s="26"/>
    </row>
    <row r="888" ht="15.75" customHeight="1">
      <c r="AH888" s="26"/>
      <c r="AI888" s="26"/>
    </row>
    <row r="889" ht="15.75" customHeight="1">
      <c r="AH889" s="26"/>
      <c r="AI889" s="26"/>
    </row>
    <row r="890" ht="15.75" customHeight="1">
      <c r="AH890" s="26"/>
      <c r="AI890" s="26"/>
    </row>
    <row r="891" ht="15.75" customHeight="1">
      <c r="AH891" s="26"/>
      <c r="AI891" s="26"/>
    </row>
    <row r="892" ht="15.75" customHeight="1">
      <c r="AH892" s="26"/>
      <c r="AI892" s="26"/>
    </row>
    <row r="893" ht="15.75" customHeight="1">
      <c r="AH893" s="26"/>
      <c r="AI893" s="26"/>
    </row>
    <row r="894" ht="15.75" customHeight="1">
      <c r="AH894" s="26"/>
      <c r="AI894" s="26"/>
    </row>
    <row r="895" ht="15.75" customHeight="1">
      <c r="AH895" s="26"/>
      <c r="AI895" s="26"/>
    </row>
    <row r="896" ht="15.75" customHeight="1">
      <c r="AH896" s="26"/>
      <c r="AI896" s="26"/>
    </row>
    <row r="897" ht="15.75" customHeight="1">
      <c r="AH897" s="26"/>
      <c r="AI897" s="26"/>
    </row>
    <row r="898" ht="15.75" customHeight="1">
      <c r="AH898" s="26"/>
      <c r="AI898" s="26"/>
    </row>
    <row r="899" ht="15.75" customHeight="1">
      <c r="AH899" s="26"/>
      <c r="AI899" s="26"/>
    </row>
    <row r="900" ht="15.75" customHeight="1">
      <c r="AH900" s="26"/>
      <c r="AI900" s="26"/>
    </row>
    <row r="901" ht="15.75" customHeight="1">
      <c r="AH901" s="26"/>
      <c r="AI901" s="26"/>
    </row>
    <row r="902" ht="15.75" customHeight="1">
      <c r="AH902" s="26"/>
      <c r="AI902" s="26"/>
    </row>
    <row r="903" ht="15.75" customHeight="1">
      <c r="AH903" s="26"/>
      <c r="AI903" s="26"/>
    </row>
    <row r="904" ht="15.75" customHeight="1">
      <c r="AH904" s="26"/>
      <c r="AI904" s="26"/>
    </row>
    <row r="905" ht="15.75" customHeight="1">
      <c r="AH905" s="26"/>
      <c r="AI905" s="26"/>
    </row>
    <row r="906" ht="15.75" customHeight="1">
      <c r="AH906" s="26"/>
      <c r="AI906" s="26"/>
    </row>
    <row r="907" ht="15.75" customHeight="1">
      <c r="AH907" s="26"/>
      <c r="AI907" s="26"/>
    </row>
    <row r="908" ht="15.75" customHeight="1">
      <c r="AH908" s="26"/>
      <c r="AI908" s="26"/>
    </row>
    <row r="909" ht="15.75" customHeight="1">
      <c r="AH909" s="26"/>
      <c r="AI909" s="26"/>
    </row>
    <row r="910" ht="15.75" customHeight="1">
      <c r="AH910" s="26"/>
      <c r="AI910" s="26"/>
    </row>
    <row r="911" ht="15.75" customHeight="1">
      <c r="AH911" s="26"/>
      <c r="AI911" s="26"/>
    </row>
    <row r="912" ht="15.75" customHeight="1">
      <c r="AH912" s="26"/>
      <c r="AI912" s="26"/>
    </row>
    <row r="913" ht="15.75" customHeight="1">
      <c r="AH913" s="26"/>
      <c r="AI913" s="26"/>
    </row>
    <row r="914" ht="15.75" customHeight="1">
      <c r="AH914" s="26"/>
      <c r="AI914" s="26"/>
    </row>
    <row r="915" ht="15.75" customHeight="1">
      <c r="AH915" s="26"/>
      <c r="AI915" s="26"/>
    </row>
    <row r="916" ht="15.75" customHeight="1">
      <c r="AH916" s="26"/>
      <c r="AI916" s="26"/>
    </row>
    <row r="917" ht="15.75" customHeight="1">
      <c r="AH917" s="26"/>
      <c r="AI917" s="26"/>
    </row>
    <row r="918" ht="15.75" customHeight="1">
      <c r="AH918" s="26"/>
      <c r="AI918" s="26"/>
    </row>
    <row r="919" ht="15.75" customHeight="1">
      <c r="AH919" s="26"/>
      <c r="AI919" s="26"/>
    </row>
    <row r="920" ht="15.75" customHeight="1">
      <c r="AH920" s="26"/>
      <c r="AI920" s="26"/>
    </row>
    <row r="921" ht="15.75" customHeight="1">
      <c r="AH921" s="26"/>
      <c r="AI921" s="26"/>
    </row>
    <row r="922" ht="15.75" customHeight="1">
      <c r="AH922" s="26"/>
      <c r="AI922" s="26"/>
    </row>
    <row r="923" ht="15.75" customHeight="1">
      <c r="AH923" s="26"/>
      <c r="AI923" s="26"/>
    </row>
    <row r="924" ht="15.75" customHeight="1">
      <c r="AH924" s="26"/>
      <c r="AI924" s="26"/>
    </row>
    <row r="925" ht="15.75" customHeight="1">
      <c r="AH925" s="26"/>
      <c r="AI925" s="26"/>
    </row>
    <row r="926" ht="15.75" customHeight="1">
      <c r="AH926" s="26"/>
      <c r="AI926" s="26"/>
    </row>
    <row r="927" ht="15.75" customHeight="1">
      <c r="AH927" s="26"/>
      <c r="AI927" s="26"/>
    </row>
    <row r="928" ht="15.75" customHeight="1">
      <c r="AH928" s="26"/>
      <c r="AI928" s="26"/>
    </row>
    <row r="929" ht="15.75" customHeight="1">
      <c r="AH929" s="26"/>
      <c r="AI929" s="26"/>
    </row>
    <row r="930" ht="15.75" customHeight="1">
      <c r="AH930" s="26"/>
      <c r="AI930" s="26"/>
    </row>
    <row r="931" ht="15.75" customHeight="1">
      <c r="AH931" s="26"/>
      <c r="AI931" s="26"/>
    </row>
    <row r="932" ht="15.75" customHeight="1">
      <c r="AH932" s="26"/>
      <c r="AI932" s="26"/>
    </row>
    <row r="933" ht="15.75" customHeight="1">
      <c r="AH933" s="26"/>
      <c r="AI933" s="26"/>
    </row>
    <row r="934" ht="15.75" customHeight="1">
      <c r="AH934" s="26"/>
      <c r="AI934" s="26"/>
    </row>
    <row r="935" ht="15.75" customHeight="1">
      <c r="AH935" s="26"/>
      <c r="AI935" s="26"/>
    </row>
    <row r="936" ht="15.75" customHeight="1">
      <c r="AH936" s="26"/>
      <c r="AI936" s="26"/>
    </row>
    <row r="937" ht="15.75" customHeight="1">
      <c r="AH937" s="26"/>
      <c r="AI937" s="26"/>
    </row>
    <row r="938" ht="15.75" customHeight="1">
      <c r="AH938" s="26"/>
      <c r="AI938" s="26"/>
    </row>
    <row r="939" ht="15.75" customHeight="1">
      <c r="AH939" s="26"/>
      <c r="AI939" s="26"/>
    </row>
    <row r="940" ht="15.75" customHeight="1">
      <c r="AH940" s="26"/>
      <c r="AI940" s="26"/>
    </row>
    <row r="941" ht="15.75" customHeight="1">
      <c r="AH941" s="26"/>
      <c r="AI941" s="26"/>
    </row>
    <row r="942" ht="15.75" customHeight="1">
      <c r="AH942" s="26"/>
      <c r="AI942" s="26"/>
    </row>
    <row r="943" ht="15.75" customHeight="1">
      <c r="AH943" s="26"/>
      <c r="AI943" s="26"/>
    </row>
    <row r="944" ht="15.75" customHeight="1">
      <c r="AH944" s="26"/>
      <c r="AI944" s="26"/>
    </row>
    <row r="945" ht="15.75" customHeight="1">
      <c r="AH945" s="26"/>
      <c r="AI945" s="26"/>
    </row>
    <row r="946" ht="15.75" customHeight="1">
      <c r="AH946" s="26"/>
      <c r="AI946" s="26"/>
    </row>
    <row r="947" ht="15.75" customHeight="1">
      <c r="AH947" s="26"/>
      <c r="AI947" s="26"/>
    </row>
    <row r="948" ht="15.75" customHeight="1">
      <c r="AH948" s="26"/>
      <c r="AI948" s="26"/>
    </row>
    <row r="949" ht="15.75" customHeight="1">
      <c r="AH949" s="26"/>
      <c r="AI949" s="26"/>
    </row>
    <row r="950" ht="15.75" customHeight="1">
      <c r="AH950" s="26"/>
      <c r="AI950" s="26"/>
    </row>
    <row r="951" ht="15.75" customHeight="1">
      <c r="AH951" s="26"/>
      <c r="AI951" s="26"/>
    </row>
    <row r="952" ht="15.75" customHeight="1">
      <c r="AH952" s="26"/>
      <c r="AI952" s="26"/>
    </row>
    <row r="953" ht="15.75" customHeight="1">
      <c r="AH953" s="26"/>
      <c r="AI953" s="26"/>
    </row>
    <row r="954" ht="15.75" customHeight="1">
      <c r="AH954" s="26"/>
      <c r="AI954" s="26"/>
    </row>
    <row r="955" ht="15.75" customHeight="1">
      <c r="AH955" s="26"/>
      <c r="AI955" s="26"/>
    </row>
    <row r="956" ht="15.75" customHeight="1">
      <c r="AH956" s="26"/>
      <c r="AI956" s="26"/>
    </row>
    <row r="957" ht="15.75" customHeight="1">
      <c r="AH957" s="26"/>
      <c r="AI957" s="26"/>
    </row>
    <row r="958" ht="15.75" customHeight="1">
      <c r="AH958" s="26"/>
      <c r="AI958" s="26"/>
    </row>
    <row r="959" ht="15.75" customHeight="1">
      <c r="AH959" s="26"/>
      <c r="AI959" s="26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1" t="s">
        <v>0</v>
      </c>
      <c r="B1" s="1" t="s">
        <v>1</v>
      </c>
      <c r="C1" s="1" t="s">
        <v>792</v>
      </c>
      <c r="D1" s="1" t="s">
        <v>793</v>
      </c>
      <c r="E1" s="1" t="s">
        <v>7</v>
      </c>
    </row>
    <row r="2" ht="15.75" customHeight="1">
      <c r="A2" s="5">
        <v>1892.0</v>
      </c>
      <c r="B2" s="5" t="s">
        <v>36</v>
      </c>
      <c r="C2" s="6" t="s">
        <v>794</v>
      </c>
      <c r="D2" s="64" t="s">
        <v>795</v>
      </c>
      <c r="E2" s="10">
        <v>0.0</v>
      </c>
    </row>
    <row r="3" ht="15.75" customHeight="1">
      <c r="A3" s="5">
        <v>1892.0</v>
      </c>
      <c r="B3" s="5" t="s">
        <v>36</v>
      </c>
      <c r="C3" s="75" t="s">
        <v>796</v>
      </c>
      <c r="D3" s="76" t="s">
        <v>797</v>
      </c>
      <c r="E3" s="57">
        <v>0.0</v>
      </c>
    </row>
    <row r="4" ht="15.75" customHeight="1">
      <c r="A4" s="5">
        <v>1892.0</v>
      </c>
      <c r="B4" s="5" t="s">
        <v>36</v>
      </c>
      <c r="C4" s="75" t="s">
        <v>798</v>
      </c>
      <c r="D4" s="64" t="s">
        <v>799</v>
      </c>
      <c r="E4" s="57">
        <v>0.0</v>
      </c>
    </row>
    <row r="5" ht="15.75" customHeight="1">
      <c r="E5" s="40"/>
    </row>
    <row r="6" ht="15.75" customHeight="1">
      <c r="E6" s="40"/>
    </row>
    <row r="7" ht="15.75" customHeight="1">
      <c r="E7" s="40"/>
    </row>
    <row r="8" ht="15.75" customHeight="1">
      <c r="E8" s="40"/>
    </row>
    <row r="9" ht="15.75" customHeight="1">
      <c r="E9" s="40"/>
    </row>
    <row r="10" ht="15.75" customHeight="1">
      <c r="E10" s="40"/>
    </row>
    <row r="11" ht="15.75" customHeight="1">
      <c r="E11" s="40"/>
    </row>
    <row r="12" ht="15.75" customHeight="1">
      <c r="E12" s="40"/>
    </row>
    <row r="13" ht="15.75" customHeight="1">
      <c r="E13" s="40"/>
    </row>
    <row r="14" ht="15.75" customHeight="1">
      <c r="E14" s="40"/>
    </row>
    <row r="15" ht="15.75" customHeight="1">
      <c r="E15" s="40"/>
    </row>
    <row r="16" ht="15.75" customHeight="1">
      <c r="E16" s="40"/>
    </row>
    <row r="17" ht="15.75" customHeight="1">
      <c r="E17" s="40"/>
    </row>
    <row r="18" ht="15.75" customHeight="1">
      <c r="E18" s="40"/>
    </row>
    <row r="19" ht="15.75" customHeight="1">
      <c r="E19" s="40"/>
    </row>
    <row r="20" ht="15.75" customHeight="1">
      <c r="E20" s="40"/>
    </row>
    <row r="21" ht="15.75" customHeight="1">
      <c r="E21" s="40"/>
    </row>
    <row r="22" ht="15.75" customHeight="1">
      <c r="E22" s="40"/>
    </row>
    <row r="23" ht="15.75" customHeight="1">
      <c r="E23" s="40"/>
    </row>
    <row r="24" ht="15.75" customHeight="1">
      <c r="E24" s="40"/>
    </row>
    <row r="25" ht="15.75" customHeight="1">
      <c r="E25" s="40"/>
    </row>
    <row r="26" ht="15.75" customHeight="1">
      <c r="E26" s="40"/>
    </row>
    <row r="27" ht="15.75" customHeight="1">
      <c r="E27" s="40"/>
    </row>
    <row r="28" ht="15.75" customHeight="1">
      <c r="E28" s="40"/>
    </row>
    <row r="29" ht="15.75" customHeight="1">
      <c r="E29" s="40"/>
    </row>
    <row r="30" ht="15.75" customHeight="1">
      <c r="E30" s="40"/>
    </row>
    <row r="31" ht="15.75" customHeight="1">
      <c r="E31" s="40"/>
    </row>
    <row r="32" ht="15.75" customHeight="1">
      <c r="E32" s="40"/>
    </row>
    <row r="33" ht="15.75" customHeight="1">
      <c r="E33" s="40"/>
    </row>
    <row r="34" ht="15.75" customHeight="1">
      <c r="E34" s="40"/>
    </row>
    <row r="35" ht="15.75" customHeight="1">
      <c r="E35" s="40"/>
    </row>
    <row r="36" ht="15.75" customHeight="1">
      <c r="E36" s="40"/>
    </row>
    <row r="37" ht="15.75" customHeight="1">
      <c r="E37" s="40"/>
    </row>
    <row r="38" ht="15.75" customHeight="1">
      <c r="E38" s="40"/>
    </row>
    <row r="39" ht="15.75" customHeight="1">
      <c r="E39" s="40"/>
    </row>
    <row r="40" ht="15.75" customHeight="1">
      <c r="E40" s="40"/>
    </row>
    <row r="41" ht="15.75" customHeight="1">
      <c r="E41" s="40"/>
    </row>
    <row r="42" ht="15.75" customHeight="1">
      <c r="E42" s="40"/>
    </row>
    <row r="43" ht="15.75" customHeight="1">
      <c r="E43" s="40"/>
    </row>
    <row r="44" ht="15.75" customHeight="1">
      <c r="E44" s="40"/>
    </row>
    <row r="45" ht="15.75" customHeight="1">
      <c r="E45" s="40"/>
    </row>
    <row r="46" ht="15.75" customHeight="1">
      <c r="E46" s="40"/>
    </row>
    <row r="47" ht="15.75" customHeight="1">
      <c r="E47" s="40"/>
    </row>
    <row r="48" ht="15.75" customHeight="1">
      <c r="E48" s="40"/>
    </row>
    <row r="49" ht="15.75" customHeight="1">
      <c r="E49" s="40"/>
    </row>
    <row r="50" ht="15.75" customHeight="1">
      <c r="E50" s="40"/>
    </row>
    <row r="51" ht="15.75" customHeight="1">
      <c r="E51" s="40"/>
    </row>
    <row r="52" ht="15.75" customHeight="1">
      <c r="E52" s="40"/>
    </row>
    <row r="53" ht="15.75" customHeight="1">
      <c r="E53" s="40"/>
    </row>
    <row r="54" ht="15.75" customHeight="1">
      <c r="E54" s="40"/>
    </row>
    <row r="55" ht="15.75" customHeight="1">
      <c r="E55" s="40"/>
    </row>
    <row r="56" ht="15.75" customHeight="1">
      <c r="E56" s="40"/>
    </row>
    <row r="57" ht="15.75" customHeight="1">
      <c r="E57" s="40"/>
    </row>
    <row r="58" ht="15.75" customHeight="1">
      <c r="E58" s="40"/>
    </row>
    <row r="59" ht="15.75" customHeight="1">
      <c r="E59" s="40"/>
    </row>
    <row r="60" ht="15.75" customHeight="1">
      <c r="E60" s="40"/>
    </row>
    <row r="61" ht="15.75" customHeight="1">
      <c r="E61" s="40"/>
    </row>
    <row r="62" ht="15.75" customHeight="1">
      <c r="E62" s="40"/>
    </row>
    <row r="63" ht="15.75" customHeight="1">
      <c r="E63" s="40"/>
    </row>
    <row r="64" ht="15.75" customHeight="1">
      <c r="E64" s="40"/>
    </row>
    <row r="65" ht="15.75" customHeight="1">
      <c r="E65" s="40"/>
    </row>
    <row r="66" ht="15.75" customHeight="1">
      <c r="E66" s="40"/>
    </row>
    <row r="67" ht="15.75" customHeight="1">
      <c r="E67" s="40"/>
    </row>
    <row r="68" ht="15.75" customHeight="1">
      <c r="E68" s="40"/>
    </row>
    <row r="69" ht="15.75" customHeight="1">
      <c r="E69" s="40"/>
    </row>
    <row r="70" ht="15.75" customHeight="1">
      <c r="E70" s="40"/>
    </row>
    <row r="71" ht="15.75" customHeight="1">
      <c r="E71" s="40"/>
    </row>
    <row r="72" ht="15.75" customHeight="1">
      <c r="E72" s="40"/>
    </row>
    <row r="73" ht="15.75" customHeight="1">
      <c r="E73" s="40"/>
    </row>
    <row r="74" ht="15.75" customHeight="1">
      <c r="E74" s="40"/>
    </row>
    <row r="75" ht="15.75" customHeight="1">
      <c r="E75" s="40"/>
    </row>
    <row r="76" ht="15.75" customHeight="1">
      <c r="E76" s="40"/>
    </row>
    <row r="77" ht="15.75" customHeight="1">
      <c r="E77" s="40"/>
    </row>
    <row r="78" ht="15.75" customHeight="1">
      <c r="E78" s="40"/>
    </row>
    <row r="79" ht="15.75" customHeight="1">
      <c r="E79" s="40"/>
    </row>
    <row r="80" ht="15.75" customHeight="1">
      <c r="E80" s="40"/>
    </row>
    <row r="81" ht="15.75" customHeight="1">
      <c r="E81" s="40"/>
    </row>
    <row r="82" ht="15.75" customHeight="1">
      <c r="E82" s="40"/>
    </row>
    <row r="83" ht="15.75" customHeight="1">
      <c r="E83" s="40"/>
    </row>
    <row r="84" ht="15.75" customHeight="1">
      <c r="E84" s="40"/>
    </row>
    <row r="85" ht="15.75" customHeight="1">
      <c r="E85" s="40"/>
    </row>
    <row r="86" ht="15.75" customHeight="1">
      <c r="E86" s="40"/>
    </row>
    <row r="87" ht="15.75" customHeight="1">
      <c r="E87" s="40"/>
    </row>
    <row r="88" ht="15.75" customHeight="1">
      <c r="E88" s="40"/>
    </row>
    <row r="89" ht="15.75" customHeight="1">
      <c r="E89" s="40"/>
    </row>
    <row r="90" ht="15.75" customHeight="1">
      <c r="E90" s="40"/>
    </row>
    <row r="91" ht="15.75" customHeight="1">
      <c r="E91" s="40"/>
    </row>
    <row r="92" ht="15.75" customHeight="1">
      <c r="E92" s="40"/>
    </row>
    <row r="93" ht="15.75" customHeight="1">
      <c r="E93" s="40"/>
    </row>
    <row r="94" ht="15.75" customHeight="1">
      <c r="E94" s="40"/>
    </row>
    <row r="95" ht="15.75" customHeight="1">
      <c r="E95" s="40"/>
    </row>
    <row r="96" ht="15.75" customHeight="1">
      <c r="E96" s="40"/>
    </row>
    <row r="97" ht="15.75" customHeight="1">
      <c r="E97" s="40"/>
    </row>
    <row r="98" ht="15.75" customHeight="1">
      <c r="E98" s="40"/>
    </row>
    <row r="99" ht="15.75" customHeight="1">
      <c r="E99" s="40"/>
    </row>
    <row r="100" ht="15.75" customHeight="1">
      <c r="E100" s="40"/>
    </row>
    <row r="101" ht="15.75" customHeight="1">
      <c r="E101" s="40"/>
    </row>
    <row r="102" ht="15.75" customHeight="1">
      <c r="E102" s="40"/>
    </row>
    <row r="103" ht="15.75" customHeight="1">
      <c r="E103" s="40"/>
    </row>
    <row r="104" ht="15.75" customHeight="1">
      <c r="E104" s="40"/>
    </row>
    <row r="105" ht="15.75" customHeight="1">
      <c r="E105" s="40"/>
    </row>
    <row r="106" ht="15.75" customHeight="1">
      <c r="E106" s="40"/>
    </row>
    <row r="107" ht="15.75" customHeight="1">
      <c r="E107" s="40"/>
    </row>
    <row r="108" ht="15.75" customHeight="1">
      <c r="E108" s="40"/>
    </row>
    <row r="109" ht="15.75" customHeight="1">
      <c r="E109" s="40"/>
    </row>
    <row r="110" ht="15.75" customHeight="1">
      <c r="E110" s="40"/>
    </row>
    <row r="111" ht="15.75" customHeight="1">
      <c r="E111" s="40"/>
    </row>
    <row r="112" ht="15.75" customHeight="1">
      <c r="E112" s="40"/>
    </row>
    <row r="113" ht="15.75" customHeight="1">
      <c r="E113" s="40"/>
    </row>
    <row r="114" ht="15.75" customHeight="1">
      <c r="E114" s="40"/>
    </row>
    <row r="115" ht="15.75" customHeight="1">
      <c r="E115" s="40"/>
    </row>
    <row r="116" ht="15.75" customHeight="1">
      <c r="E116" s="40"/>
    </row>
    <row r="117" ht="15.75" customHeight="1">
      <c r="E117" s="40"/>
    </row>
    <row r="118" ht="15.75" customHeight="1">
      <c r="E118" s="40"/>
    </row>
    <row r="119" ht="15.75" customHeight="1">
      <c r="E119" s="40"/>
    </row>
    <row r="120" ht="15.75" customHeight="1">
      <c r="E120" s="40"/>
    </row>
    <row r="121" ht="15.75" customHeight="1">
      <c r="E121" s="40"/>
    </row>
    <row r="122" ht="15.75" customHeight="1">
      <c r="E122" s="40"/>
    </row>
    <row r="123" ht="15.75" customHeight="1">
      <c r="E123" s="40"/>
    </row>
    <row r="124" ht="15.75" customHeight="1">
      <c r="E124" s="40"/>
    </row>
    <row r="125" ht="15.75" customHeight="1">
      <c r="E125" s="40"/>
    </row>
    <row r="126" ht="15.75" customHeight="1">
      <c r="E126" s="40"/>
    </row>
    <row r="127" ht="15.75" customHeight="1">
      <c r="E127" s="40"/>
    </row>
    <row r="128" ht="15.75" customHeight="1">
      <c r="E128" s="40"/>
    </row>
    <row r="129" ht="15.75" customHeight="1">
      <c r="E129" s="40"/>
    </row>
    <row r="130" ht="15.75" customHeight="1">
      <c r="E130" s="40"/>
    </row>
    <row r="131" ht="15.75" customHeight="1">
      <c r="E131" s="40"/>
    </row>
    <row r="132" ht="15.75" customHeight="1">
      <c r="E132" s="40"/>
    </row>
    <row r="133" ht="15.75" customHeight="1">
      <c r="E133" s="40"/>
    </row>
    <row r="134" ht="15.75" customHeight="1">
      <c r="E134" s="40"/>
    </row>
    <row r="135" ht="15.75" customHeight="1">
      <c r="E135" s="40"/>
    </row>
    <row r="136" ht="15.75" customHeight="1">
      <c r="E136" s="40"/>
    </row>
    <row r="137" ht="15.75" customHeight="1">
      <c r="E137" s="40"/>
    </row>
    <row r="138" ht="15.75" customHeight="1">
      <c r="E138" s="40"/>
    </row>
    <row r="139" ht="15.75" customHeight="1">
      <c r="E139" s="40"/>
    </row>
    <row r="140" ht="15.75" customHeight="1">
      <c r="E140" s="40"/>
    </row>
    <row r="141" ht="15.75" customHeight="1">
      <c r="E141" s="40"/>
    </row>
    <row r="142" ht="15.75" customHeight="1">
      <c r="E142" s="40"/>
    </row>
    <row r="143" ht="15.75" customHeight="1">
      <c r="E143" s="40"/>
    </row>
    <row r="144" ht="15.75" customHeight="1">
      <c r="E144" s="40"/>
    </row>
    <row r="145" ht="15.75" customHeight="1">
      <c r="E145" s="40"/>
    </row>
    <row r="146" ht="15.75" customHeight="1">
      <c r="E146" s="40"/>
    </row>
    <row r="147" ht="15.75" customHeight="1">
      <c r="E147" s="40"/>
    </row>
    <row r="148" ht="15.75" customHeight="1">
      <c r="E148" s="40"/>
    </row>
    <row r="149" ht="15.75" customHeight="1">
      <c r="E149" s="40"/>
    </row>
    <row r="150" ht="15.75" customHeight="1">
      <c r="E150" s="40"/>
    </row>
    <row r="151" ht="15.75" customHeight="1">
      <c r="E151" s="40"/>
    </row>
    <row r="152" ht="15.75" customHeight="1">
      <c r="E152" s="40"/>
    </row>
    <row r="153" ht="15.75" customHeight="1">
      <c r="E153" s="40"/>
    </row>
    <row r="154" ht="15.75" customHeight="1">
      <c r="E154" s="40"/>
    </row>
    <row r="155" ht="15.75" customHeight="1">
      <c r="E155" s="40"/>
    </row>
    <row r="156" ht="15.75" customHeight="1">
      <c r="E156" s="40"/>
    </row>
    <row r="157" ht="15.75" customHeight="1">
      <c r="E157" s="40"/>
    </row>
    <row r="158" ht="15.75" customHeight="1">
      <c r="E158" s="40"/>
    </row>
    <row r="159" ht="15.75" customHeight="1">
      <c r="E159" s="40"/>
    </row>
    <row r="160" ht="15.75" customHeight="1">
      <c r="E160" s="40"/>
    </row>
    <row r="161" ht="15.75" customHeight="1">
      <c r="E161" s="40"/>
    </row>
    <row r="162" ht="15.75" customHeight="1">
      <c r="E162" s="40"/>
    </row>
    <row r="163" ht="15.75" customHeight="1">
      <c r="E163" s="40"/>
    </row>
    <row r="164" ht="15.75" customHeight="1">
      <c r="E164" s="40"/>
    </row>
    <row r="165" ht="15.75" customHeight="1">
      <c r="E165" s="40"/>
    </row>
    <row r="166" ht="15.75" customHeight="1">
      <c r="E166" s="40"/>
    </row>
    <row r="167" ht="15.75" customHeight="1">
      <c r="E167" s="40"/>
    </row>
    <row r="168" ht="15.75" customHeight="1">
      <c r="E168" s="40"/>
    </row>
    <row r="169" ht="15.75" customHeight="1">
      <c r="E169" s="40"/>
    </row>
    <row r="170" ht="15.75" customHeight="1">
      <c r="E170" s="40"/>
    </row>
    <row r="171" ht="15.75" customHeight="1">
      <c r="E171" s="40"/>
    </row>
    <row r="172" ht="15.75" customHeight="1">
      <c r="E172" s="40"/>
    </row>
    <row r="173" ht="15.75" customHeight="1">
      <c r="E173" s="40"/>
    </row>
    <row r="174" ht="15.75" customHeight="1">
      <c r="E174" s="40"/>
    </row>
    <row r="175" ht="15.75" customHeight="1">
      <c r="E175" s="40"/>
    </row>
    <row r="176" ht="15.75" customHeight="1">
      <c r="E176" s="40"/>
    </row>
    <row r="177" ht="15.75" customHeight="1">
      <c r="E177" s="40"/>
    </row>
    <row r="178" ht="15.75" customHeight="1">
      <c r="E178" s="40"/>
    </row>
    <row r="179" ht="15.75" customHeight="1">
      <c r="E179" s="40"/>
    </row>
    <row r="180" ht="15.75" customHeight="1">
      <c r="E180" s="40"/>
    </row>
    <row r="181" ht="15.75" customHeight="1">
      <c r="E181" s="40"/>
    </row>
    <row r="182" ht="15.75" customHeight="1">
      <c r="E182" s="40"/>
    </row>
    <row r="183" ht="15.75" customHeight="1">
      <c r="E183" s="40"/>
    </row>
    <row r="184" ht="15.75" customHeight="1">
      <c r="E184" s="40"/>
    </row>
    <row r="185" ht="15.75" customHeight="1">
      <c r="E185" s="40"/>
    </row>
    <row r="186" ht="15.75" customHeight="1">
      <c r="E186" s="40"/>
    </row>
    <row r="187" ht="15.75" customHeight="1">
      <c r="E187" s="40"/>
    </row>
    <row r="188" ht="15.75" customHeight="1">
      <c r="E188" s="40"/>
    </row>
    <row r="189" ht="15.75" customHeight="1">
      <c r="E189" s="40"/>
    </row>
    <row r="190" ht="15.75" customHeight="1">
      <c r="E190" s="40"/>
    </row>
    <row r="191" ht="15.75" customHeight="1">
      <c r="E191" s="40"/>
    </row>
    <row r="192" ht="15.75" customHeight="1">
      <c r="E192" s="40"/>
    </row>
    <row r="193" ht="15.75" customHeight="1">
      <c r="E193" s="40"/>
    </row>
    <row r="194" ht="15.75" customHeight="1">
      <c r="E194" s="40"/>
    </row>
    <row r="195" ht="15.75" customHeight="1">
      <c r="E195" s="40"/>
    </row>
    <row r="196" ht="15.75" customHeight="1">
      <c r="E196" s="40"/>
    </row>
    <row r="197" ht="15.75" customHeight="1">
      <c r="E197" s="40"/>
    </row>
    <row r="198" ht="15.75" customHeight="1">
      <c r="E198" s="40"/>
    </row>
    <row r="199" ht="15.75" customHeight="1">
      <c r="E199" s="40"/>
    </row>
    <row r="200" ht="15.75" customHeight="1">
      <c r="E200" s="40"/>
    </row>
    <row r="201" ht="15.75" customHeight="1">
      <c r="E201" s="40"/>
    </row>
    <row r="202" ht="15.75" customHeight="1">
      <c r="E202" s="40"/>
    </row>
    <row r="203" ht="15.75" customHeight="1">
      <c r="E203" s="40"/>
    </row>
    <row r="204" ht="15.75" customHeight="1">
      <c r="E204" s="40"/>
    </row>
    <row r="205" ht="15.75" customHeight="1">
      <c r="E205" s="40"/>
    </row>
    <row r="206" ht="15.75" customHeight="1">
      <c r="E206" s="40"/>
    </row>
    <row r="207" ht="15.75" customHeight="1">
      <c r="E207" s="40"/>
    </row>
    <row r="208" ht="15.75" customHeight="1">
      <c r="E208" s="40"/>
    </row>
    <row r="209" ht="15.75" customHeight="1">
      <c r="E209" s="40"/>
    </row>
    <row r="210" ht="15.75" customHeight="1">
      <c r="E210" s="40"/>
    </row>
    <row r="211" ht="15.75" customHeight="1">
      <c r="E211" s="40"/>
    </row>
    <row r="212" ht="15.75" customHeight="1">
      <c r="E212" s="40"/>
    </row>
    <row r="213" ht="15.75" customHeight="1">
      <c r="E213" s="40"/>
    </row>
    <row r="214" ht="15.75" customHeight="1">
      <c r="E214" s="40"/>
    </row>
    <row r="215" ht="15.75" customHeight="1">
      <c r="E215" s="40"/>
    </row>
    <row r="216" ht="15.75" customHeight="1">
      <c r="E216" s="40"/>
    </row>
    <row r="217" ht="15.75" customHeight="1">
      <c r="E217" s="40"/>
    </row>
    <row r="218" ht="15.75" customHeight="1">
      <c r="E218" s="40"/>
    </row>
    <row r="219" ht="15.75" customHeight="1">
      <c r="E219" s="40"/>
    </row>
    <row r="220" ht="15.75" customHeight="1">
      <c r="E220" s="40"/>
    </row>
    <row r="221" ht="15.75" customHeight="1">
      <c r="E221" s="40"/>
    </row>
    <row r="222" ht="15.75" customHeight="1">
      <c r="E222" s="40"/>
    </row>
    <row r="223" ht="15.75" customHeight="1">
      <c r="E223" s="40"/>
    </row>
    <row r="224" ht="15.75" customHeight="1">
      <c r="E224" s="40"/>
    </row>
    <row r="225" ht="15.75" customHeight="1">
      <c r="E225" s="40"/>
    </row>
    <row r="226" ht="15.75" customHeight="1">
      <c r="E226" s="40"/>
    </row>
    <row r="227" ht="15.75" customHeight="1">
      <c r="E227" s="40"/>
    </row>
    <row r="228" ht="15.75" customHeight="1">
      <c r="E228" s="40"/>
    </row>
    <row r="229" ht="15.75" customHeight="1">
      <c r="E229" s="40"/>
    </row>
    <row r="230" ht="15.75" customHeight="1">
      <c r="E230" s="40"/>
    </row>
    <row r="231" ht="15.75" customHeight="1">
      <c r="E231" s="40"/>
    </row>
    <row r="232" ht="15.75" customHeight="1">
      <c r="E232" s="40"/>
    </row>
    <row r="233" ht="15.75" customHeight="1">
      <c r="E233" s="40"/>
    </row>
    <row r="234" ht="15.75" customHeight="1">
      <c r="E234" s="40"/>
    </row>
    <row r="235" ht="15.75" customHeight="1">
      <c r="E235" s="40"/>
    </row>
    <row r="236" ht="15.75" customHeight="1">
      <c r="E236" s="40"/>
    </row>
    <row r="237" ht="15.75" customHeight="1">
      <c r="E237" s="40"/>
    </row>
    <row r="238" ht="15.75" customHeight="1">
      <c r="E238" s="40"/>
    </row>
    <row r="239" ht="15.75" customHeight="1">
      <c r="E239" s="40"/>
    </row>
    <row r="240" ht="15.75" customHeight="1">
      <c r="E240" s="40"/>
    </row>
    <row r="241" ht="15.75" customHeight="1">
      <c r="E241" s="40"/>
    </row>
    <row r="242" ht="15.75" customHeight="1">
      <c r="E242" s="40"/>
    </row>
    <row r="243" ht="15.75" customHeight="1">
      <c r="E243" s="40"/>
    </row>
    <row r="244" ht="15.75" customHeight="1">
      <c r="E244" s="40"/>
    </row>
    <row r="245" ht="15.75" customHeight="1">
      <c r="E245" s="40"/>
    </row>
    <row r="246" ht="15.75" customHeight="1">
      <c r="E246" s="40"/>
    </row>
    <row r="247" ht="15.75" customHeight="1">
      <c r="E247" s="40"/>
    </row>
    <row r="248" ht="15.75" customHeight="1">
      <c r="E248" s="40"/>
    </row>
    <row r="249" ht="15.75" customHeight="1">
      <c r="E249" s="40"/>
    </row>
    <row r="250" ht="15.75" customHeight="1">
      <c r="E250" s="40"/>
    </row>
    <row r="251" ht="15.75" customHeight="1">
      <c r="E251" s="40"/>
    </row>
    <row r="252" ht="15.75" customHeight="1">
      <c r="E252" s="40"/>
    </row>
    <row r="253" ht="15.75" customHeight="1">
      <c r="E253" s="40"/>
    </row>
    <row r="254" ht="15.75" customHeight="1">
      <c r="E254" s="40"/>
    </row>
    <row r="255" ht="15.75" customHeight="1">
      <c r="E255" s="40"/>
    </row>
    <row r="256" ht="15.75" customHeight="1">
      <c r="E256" s="40"/>
    </row>
    <row r="257" ht="15.75" customHeight="1">
      <c r="E257" s="40"/>
    </row>
    <row r="258" ht="15.75" customHeight="1">
      <c r="E258" s="40"/>
    </row>
    <row r="259" ht="15.75" customHeight="1">
      <c r="E259" s="40"/>
    </row>
    <row r="260" ht="15.75" customHeight="1">
      <c r="E260" s="40"/>
    </row>
    <row r="261" ht="15.75" customHeight="1">
      <c r="E261" s="40"/>
    </row>
    <row r="262" ht="15.75" customHeight="1">
      <c r="E262" s="40"/>
    </row>
    <row r="263" ht="15.75" customHeight="1">
      <c r="E263" s="40"/>
    </row>
    <row r="264" ht="15.75" customHeight="1">
      <c r="E264" s="40"/>
    </row>
    <row r="265" ht="15.75" customHeight="1">
      <c r="E265" s="40"/>
    </row>
    <row r="266" ht="15.75" customHeight="1">
      <c r="E266" s="40"/>
    </row>
    <row r="267" ht="15.75" customHeight="1">
      <c r="E267" s="40"/>
    </row>
    <row r="268" ht="15.75" customHeight="1">
      <c r="E268" s="40"/>
    </row>
    <row r="269" ht="15.75" customHeight="1">
      <c r="E269" s="40"/>
    </row>
    <row r="270" ht="15.75" customHeight="1">
      <c r="E270" s="40"/>
    </row>
    <row r="271" ht="15.75" customHeight="1">
      <c r="E271" s="40"/>
    </row>
    <row r="272" ht="15.75" customHeight="1">
      <c r="E272" s="40"/>
    </row>
    <row r="273" ht="15.75" customHeight="1">
      <c r="E273" s="40"/>
    </row>
    <row r="274" ht="15.75" customHeight="1">
      <c r="E274" s="40"/>
    </row>
    <row r="275" ht="15.75" customHeight="1">
      <c r="E275" s="40"/>
    </row>
    <row r="276" ht="15.75" customHeight="1">
      <c r="E276" s="40"/>
    </row>
    <row r="277" ht="15.75" customHeight="1">
      <c r="E277" s="40"/>
    </row>
    <row r="278" ht="15.75" customHeight="1">
      <c r="E278" s="40"/>
    </row>
    <row r="279" ht="15.75" customHeight="1">
      <c r="E279" s="40"/>
    </row>
    <row r="280" ht="15.75" customHeight="1">
      <c r="E280" s="40"/>
    </row>
    <row r="281" ht="15.75" customHeight="1">
      <c r="E281" s="40"/>
    </row>
    <row r="282" ht="15.75" customHeight="1">
      <c r="E282" s="40"/>
    </row>
    <row r="283" ht="15.75" customHeight="1">
      <c r="E283" s="40"/>
    </row>
    <row r="284" ht="15.75" customHeight="1">
      <c r="E284" s="40"/>
    </row>
    <row r="285" ht="15.75" customHeight="1">
      <c r="E285" s="40"/>
    </row>
    <row r="286" ht="15.75" customHeight="1">
      <c r="E286" s="40"/>
    </row>
    <row r="287" ht="15.75" customHeight="1">
      <c r="E287" s="40"/>
    </row>
    <row r="288" ht="15.75" customHeight="1">
      <c r="E288" s="40"/>
    </row>
    <row r="289" ht="15.75" customHeight="1">
      <c r="E289" s="40"/>
    </row>
    <row r="290" ht="15.75" customHeight="1">
      <c r="E290" s="40"/>
    </row>
    <row r="291" ht="15.75" customHeight="1">
      <c r="E291" s="40"/>
    </row>
    <row r="292" ht="15.75" customHeight="1">
      <c r="E292" s="40"/>
    </row>
    <row r="293" ht="15.75" customHeight="1">
      <c r="E293" s="40"/>
    </row>
    <row r="294" ht="15.75" customHeight="1">
      <c r="E294" s="40"/>
    </row>
    <row r="295" ht="15.75" customHeight="1">
      <c r="E295" s="40"/>
    </row>
    <row r="296" ht="15.75" customHeight="1">
      <c r="E296" s="40"/>
    </row>
    <row r="297" ht="15.75" customHeight="1">
      <c r="E297" s="40"/>
    </row>
    <row r="298" ht="15.75" customHeight="1">
      <c r="E298" s="40"/>
    </row>
    <row r="299" ht="15.75" customHeight="1">
      <c r="E299" s="40"/>
    </row>
    <row r="300" ht="15.75" customHeight="1">
      <c r="E300" s="40"/>
    </row>
    <row r="301" ht="15.75" customHeight="1">
      <c r="E301" s="40"/>
    </row>
    <row r="302" ht="15.75" customHeight="1">
      <c r="E302" s="40"/>
    </row>
    <row r="303" ht="15.75" customHeight="1">
      <c r="E303" s="40"/>
    </row>
    <row r="304" ht="15.75" customHeight="1">
      <c r="E304" s="40"/>
    </row>
    <row r="305" ht="15.75" customHeight="1">
      <c r="E305" s="40"/>
    </row>
    <row r="306" ht="15.75" customHeight="1">
      <c r="E306" s="40"/>
    </row>
    <row r="307" ht="15.75" customHeight="1">
      <c r="E307" s="40"/>
    </row>
    <row r="308" ht="15.75" customHeight="1">
      <c r="E308" s="40"/>
    </row>
    <row r="309" ht="15.75" customHeight="1">
      <c r="E309" s="40"/>
    </row>
    <row r="310" ht="15.75" customHeight="1">
      <c r="E310" s="40"/>
    </row>
    <row r="311" ht="15.75" customHeight="1">
      <c r="E311" s="40"/>
    </row>
    <row r="312" ht="15.75" customHeight="1">
      <c r="E312" s="40"/>
    </row>
    <row r="313" ht="15.75" customHeight="1">
      <c r="E313" s="40"/>
    </row>
    <row r="314" ht="15.75" customHeight="1">
      <c r="E314" s="40"/>
    </row>
    <row r="315" ht="15.75" customHeight="1">
      <c r="E315" s="40"/>
    </row>
    <row r="316" ht="15.75" customHeight="1">
      <c r="E316" s="40"/>
    </row>
    <row r="317" ht="15.75" customHeight="1">
      <c r="E317" s="40"/>
    </row>
    <row r="318" ht="15.75" customHeight="1">
      <c r="E318" s="40"/>
    </row>
    <row r="319" ht="15.75" customHeight="1">
      <c r="E319" s="40"/>
    </row>
    <row r="320" ht="15.75" customHeight="1">
      <c r="E320" s="40"/>
    </row>
    <row r="321" ht="15.75" customHeight="1">
      <c r="E321" s="40"/>
    </row>
    <row r="322" ht="15.75" customHeight="1">
      <c r="E322" s="40"/>
    </row>
    <row r="323" ht="15.75" customHeight="1">
      <c r="E323" s="40"/>
    </row>
    <row r="324" ht="15.75" customHeight="1">
      <c r="E324" s="40"/>
    </row>
    <row r="325" ht="15.75" customHeight="1">
      <c r="E325" s="40"/>
    </row>
    <row r="326" ht="15.75" customHeight="1">
      <c r="E326" s="40"/>
    </row>
    <row r="327" ht="15.75" customHeight="1">
      <c r="E327" s="40"/>
    </row>
    <row r="328" ht="15.75" customHeight="1">
      <c r="E328" s="40"/>
    </row>
    <row r="329" ht="15.75" customHeight="1">
      <c r="E329" s="40"/>
    </row>
    <row r="330" ht="15.75" customHeight="1">
      <c r="E330" s="40"/>
    </row>
    <row r="331" ht="15.75" customHeight="1">
      <c r="E331" s="40"/>
    </row>
    <row r="332" ht="15.75" customHeight="1">
      <c r="E332" s="40"/>
    </row>
    <row r="333" ht="15.75" customHeight="1">
      <c r="E333" s="40"/>
    </row>
    <row r="334" ht="15.75" customHeight="1">
      <c r="E334" s="40"/>
    </row>
    <row r="335" ht="15.75" customHeight="1">
      <c r="E335" s="40"/>
    </row>
    <row r="336" ht="15.75" customHeight="1">
      <c r="E336" s="40"/>
    </row>
    <row r="337" ht="15.75" customHeight="1">
      <c r="E337" s="40"/>
    </row>
    <row r="338" ht="15.75" customHeight="1">
      <c r="E338" s="40"/>
    </row>
    <row r="339" ht="15.75" customHeight="1">
      <c r="E339" s="40"/>
    </row>
    <row r="340" ht="15.75" customHeight="1">
      <c r="E340" s="40"/>
    </row>
    <row r="341" ht="15.75" customHeight="1">
      <c r="E341" s="40"/>
    </row>
    <row r="342" ht="15.75" customHeight="1">
      <c r="E342" s="40"/>
    </row>
    <row r="343" ht="15.75" customHeight="1">
      <c r="E343" s="40"/>
    </row>
    <row r="344" ht="15.75" customHeight="1">
      <c r="E344" s="40"/>
    </row>
    <row r="345" ht="15.75" customHeight="1">
      <c r="E345" s="40"/>
    </row>
    <row r="346" ht="15.75" customHeight="1">
      <c r="E346" s="40"/>
    </row>
    <row r="347" ht="15.75" customHeight="1">
      <c r="E347" s="40"/>
    </row>
    <row r="348" ht="15.75" customHeight="1">
      <c r="E348" s="40"/>
    </row>
    <row r="349" ht="15.75" customHeight="1">
      <c r="E349" s="40"/>
    </row>
    <row r="350" ht="15.75" customHeight="1">
      <c r="E350" s="40"/>
    </row>
    <row r="351" ht="15.75" customHeight="1">
      <c r="E351" s="40"/>
    </row>
    <row r="352" ht="15.75" customHeight="1">
      <c r="E352" s="40"/>
    </row>
    <row r="353" ht="15.75" customHeight="1">
      <c r="E353" s="40"/>
    </row>
    <row r="354" ht="15.75" customHeight="1">
      <c r="E354" s="40"/>
    </row>
    <row r="355" ht="15.75" customHeight="1">
      <c r="E355" s="40"/>
    </row>
    <row r="356" ht="15.75" customHeight="1">
      <c r="E356" s="40"/>
    </row>
    <row r="357" ht="15.75" customHeight="1">
      <c r="E357" s="40"/>
    </row>
    <row r="358" ht="15.75" customHeight="1">
      <c r="E358" s="40"/>
    </row>
    <row r="359" ht="15.75" customHeight="1">
      <c r="E359" s="40"/>
    </row>
    <row r="360" ht="15.75" customHeight="1">
      <c r="E360" s="40"/>
    </row>
    <row r="361" ht="15.75" customHeight="1">
      <c r="E361" s="40"/>
    </row>
    <row r="362" ht="15.75" customHeight="1">
      <c r="E362" s="40"/>
    </row>
    <row r="363" ht="15.75" customHeight="1">
      <c r="E363" s="40"/>
    </row>
    <row r="364" ht="15.75" customHeight="1">
      <c r="E364" s="40"/>
    </row>
    <row r="365" ht="15.75" customHeight="1">
      <c r="E365" s="40"/>
    </row>
    <row r="366" ht="15.75" customHeight="1">
      <c r="E366" s="40"/>
    </row>
    <row r="367" ht="15.75" customHeight="1">
      <c r="E367" s="40"/>
    </row>
    <row r="368" ht="15.75" customHeight="1">
      <c r="E368" s="40"/>
    </row>
    <row r="369" ht="15.75" customHeight="1">
      <c r="E369" s="40"/>
    </row>
    <row r="370" ht="15.75" customHeight="1">
      <c r="E370" s="40"/>
    </row>
    <row r="371" ht="15.75" customHeight="1">
      <c r="E371" s="40"/>
    </row>
    <row r="372" ht="15.75" customHeight="1">
      <c r="E372" s="40"/>
    </row>
    <row r="373" ht="15.75" customHeight="1">
      <c r="E373" s="40"/>
    </row>
    <row r="374" ht="15.75" customHeight="1">
      <c r="E374" s="40"/>
    </row>
    <row r="375" ht="15.75" customHeight="1">
      <c r="E375" s="40"/>
    </row>
    <row r="376" ht="15.75" customHeight="1">
      <c r="E376" s="40"/>
    </row>
    <row r="377" ht="15.75" customHeight="1">
      <c r="E377" s="40"/>
    </row>
    <row r="378" ht="15.75" customHeight="1">
      <c r="E378" s="40"/>
    </row>
    <row r="379" ht="15.75" customHeight="1">
      <c r="E379" s="40"/>
    </row>
    <row r="380" ht="15.75" customHeight="1">
      <c r="E380" s="40"/>
    </row>
    <row r="381" ht="15.75" customHeight="1">
      <c r="E381" s="40"/>
    </row>
    <row r="382" ht="15.75" customHeight="1">
      <c r="E382" s="40"/>
    </row>
    <row r="383" ht="15.75" customHeight="1">
      <c r="E383" s="40"/>
    </row>
    <row r="384" ht="15.75" customHeight="1">
      <c r="E384" s="40"/>
    </row>
    <row r="385" ht="15.75" customHeight="1">
      <c r="E385" s="40"/>
    </row>
    <row r="386" ht="15.75" customHeight="1">
      <c r="E386" s="40"/>
    </row>
    <row r="387" ht="15.75" customHeight="1">
      <c r="E387" s="40"/>
    </row>
    <row r="388" ht="15.75" customHeight="1">
      <c r="E388" s="40"/>
    </row>
    <row r="389" ht="15.75" customHeight="1">
      <c r="E389" s="40"/>
    </row>
    <row r="390" ht="15.75" customHeight="1">
      <c r="E390" s="40"/>
    </row>
    <row r="391" ht="15.75" customHeight="1">
      <c r="E391" s="40"/>
    </row>
    <row r="392" ht="15.75" customHeight="1">
      <c r="E392" s="40"/>
    </row>
    <row r="393" ht="15.75" customHeight="1">
      <c r="E393" s="40"/>
    </row>
    <row r="394" ht="15.75" customHeight="1">
      <c r="E394" s="40"/>
    </row>
    <row r="395" ht="15.75" customHeight="1">
      <c r="E395" s="40"/>
    </row>
    <row r="396" ht="15.75" customHeight="1">
      <c r="E396" s="40"/>
    </row>
    <row r="397" ht="15.75" customHeight="1">
      <c r="E397" s="40"/>
    </row>
    <row r="398" ht="15.75" customHeight="1">
      <c r="E398" s="40"/>
    </row>
    <row r="399" ht="15.75" customHeight="1">
      <c r="E399" s="40"/>
    </row>
    <row r="400" ht="15.75" customHeight="1">
      <c r="E400" s="40"/>
    </row>
    <row r="401" ht="15.75" customHeight="1">
      <c r="E401" s="40"/>
    </row>
    <row r="402" ht="15.75" customHeight="1">
      <c r="E402" s="40"/>
    </row>
    <row r="403" ht="15.75" customHeight="1">
      <c r="E403" s="40"/>
    </row>
    <row r="404" ht="15.75" customHeight="1">
      <c r="E404" s="40"/>
    </row>
    <row r="405" ht="15.75" customHeight="1">
      <c r="E405" s="40"/>
    </row>
    <row r="406" ht="15.75" customHeight="1">
      <c r="E406" s="40"/>
    </row>
    <row r="407" ht="15.75" customHeight="1">
      <c r="E407" s="40"/>
    </row>
    <row r="408" ht="15.75" customHeight="1">
      <c r="E408" s="40"/>
    </row>
    <row r="409" ht="15.75" customHeight="1">
      <c r="E409" s="40"/>
    </row>
    <row r="410" ht="15.75" customHeight="1">
      <c r="E410" s="40"/>
    </row>
    <row r="411" ht="15.75" customHeight="1">
      <c r="E411" s="40"/>
    </row>
    <row r="412" ht="15.75" customHeight="1">
      <c r="E412" s="40"/>
    </row>
    <row r="413" ht="15.75" customHeight="1">
      <c r="E413" s="40"/>
    </row>
    <row r="414" ht="15.75" customHeight="1">
      <c r="E414" s="40"/>
    </row>
    <row r="415" ht="15.75" customHeight="1">
      <c r="E415" s="40"/>
    </row>
    <row r="416" ht="15.75" customHeight="1">
      <c r="E416" s="40"/>
    </row>
    <row r="417" ht="15.75" customHeight="1">
      <c r="E417" s="40"/>
    </row>
    <row r="418" ht="15.75" customHeight="1">
      <c r="E418" s="40"/>
    </row>
    <row r="419" ht="15.75" customHeight="1">
      <c r="E419" s="40"/>
    </row>
    <row r="420" ht="15.75" customHeight="1">
      <c r="E420" s="40"/>
    </row>
    <row r="421" ht="15.75" customHeight="1">
      <c r="E421" s="40"/>
    </row>
    <row r="422" ht="15.75" customHeight="1">
      <c r="E422" s="40"/>
    </row>
    <row r="423" ht="15.75" customHeight="1">
      <c r="E423" s="40"/>
    </row>
    <row r="424" ht="15.75" customHeight="1">
      <c r="E424" s="40"/>
    </row>
    <row r="425" ht="15.75" customHeight="1">
      <c r="E425" s="40"/>
    </row>
    <row r="426" ht="15.75" customHeight="1">
      <c r="E426" s="40"/>
    </row>
    <row r="427" ht="15.75" customHeight="1">
      <c r="E427" s="40"/>
    </row>
    <row r="428" ht="15.75" customHeight="1">
      <c r="E428" s="40"/>
    </row>
    <row r="429" ht="15.75" customHeight="1">
      <c r="E429" s="40"/>
    </row>
    <row r="430" ht="15.75" customHeight="1">
      <c r="E430" s="40"/>
    </row>
    <row r="431" ht="15.75" customHeight="1">
      <c r="E431" s="40"/>
    </row>
    <row r="432" ht="15.75" customHeight="1">
      <c r="E432" s="40"/>
    </row>
    <row r="433" ht="15.75" customHeight="1">
      <c r="E433" s="40"/>
    </row>
    <row r="434" ht="15.75" customHeight="1">
      <c r="E434" s="40"/>
    </row>
    <row r="435" ht="15.75" customHeight="1">
      <c r="E435" s="40"/>
    </row>
    <row r="436" ht="15.75" customHeight="1">
      <c r="E436" s="40"/>
    </row>
    <row r="437" ht="15.75" customHeight="1">
      <c r="E437" s="40"/>
    </row>
    <row r="438" ht="15.75" customHeight="1">
      <c r="E438" s="40"/>
    </row>
    <row r="439" ht="15.75" customHeight="1">
      <c r="E439" s="40"/>
    </row>
    <row r="440" ht="15.75" customHeight="1">
      <c r="E440" s="40"/>
    </row>
    <row r="441" ht="15.75" customHeight="1">
      <c r="E441" s="40"/>
    </row>
    <row r="442" ht="15.75" customHeight="1">
      <c r="E442" s="40"/>
    </row>
    <row r="443" ht="15.75" customHeight="1">
      <c r="E443" s="40"/>
    </row>
    <row r="444" ht="15.75" customHeight="1">
      <c r="E444" s="40"/>
    </row>
    <row r="445" ht="15.75" customHeight="1">
      <c r="E445" s="40"/>
    </row>
    <row r="446" ht="15.75" customHeight="1">
      <c r="E446" s="40"/>
    </row>
    <row r="447" ht="15.75" customHeight="1">
      <c r="E447" s="40"/>
    </row>
    <row r="448" ht="15.75" customHeight="1">
      <c r="E448" s="40"/>
    </row>
    <row r="449" ht="15.75" customHeight="1">
      <c r="E449" s="40"/>
    </row>
    <row r="450" ht="15.75" customHeight="1">
      <c r="E450" s="40"/>
    </row>
    <row r="451" ht="15.75" customHeight="1">
      <c r="E451" s="40"/>
    </row>
    <row r="452" ht="15.75" customHeight="1">
      <c r="E452" s="40"/>
    </row>
    <row r="453" ht="15.75" customHeight="1">
      <c r="E453" s="40"/>
    </row>
    <row r="454" ht="15.75" customHeight="1">
      <c r="E454" s="40"/>
    </row>
    <row r="455" ht="15.75" customHeight="1">
      <c r="E455" s="40"/>
    </row>
    <row r="456" ht="15.75" customHeight="1">
      <c r="E456" s="40"/>
    </row>
    <row r="457" ht="15.75" customHeight="1">
      <c r="E457" s="40"/>
    </row>
    <row r="458" ht="15.75" customHeight="1">
      <c r="E458" s="40"/>
    </row>
    <row r="459" ht="15.75" customHeight="1">
      <c r="E459" s="40"/>
    </row>
    <row r="460" ht="15.75" customHeight="1">
      <c r="E460" s="40"/>
    </row>
    <row r="461" ht="15.75" customHeight="1">
      <c r="E461" s="40"/>
    </row>
    <row r="462" ht="15.75" customHeight="1">
      <c r="E462" s="40"/>
    </row>
    <row r="463" ht="15.75" customHeight="1">
      <c r="E463" s="40"/>
    </row>
    <row r="464" ht="15.75" customHeight="1">
      <c r="E464" s="40"/>
    </row>
    <row r="465" ht="15.75" customHeight="1">
      <c r="E465" s="40"/>
    </row>
    <row r="466" ht="15.75" customHeight="1">
      <c r="E466" s="40"/>
    </row>
    <row r="467" ht="15.75" customHeight="1">
      <c r="E467" s="40"/>
    </row>
    <row r="468" ht="15.75" customHeight="1">
      <c r="E468" s="40"/>
    </row>
    <row r="469" ht="15.75" customHeight="1">
      <c r="E469" s="40"/>
    </row>
    <row r="470" ht="15.75" customHeight="1">
      <c r="E470" s="40"/>
    </row>
    <row r="471" ht="15.75" customHeight="1">
      <c r="E471" s="40"/>
    </row>
    <row r="472" ht="15.75" customHeight="1">
      <c r="E472" s="40"/>
    </row>
    <row r="473" ht="15.75" customHeight="1">
      <c r="E473" s="40"/>
    </row>
    <row r="474" ht="15.75" customHeight="1">
      <c r="E474" s="40"/>
    </row>
    <row r="475" ht="15.75" customHeight="1">
      <c r="E475" s="40"/>
    </row>
    <row r="476" ht="15.75" customHeight="1">
      <c r="E476" s="40"/>
    </row>
    <row r="477" ht="15.75" customHeight="1">
      <c r="E477" s="40"/>
    </row>
    <row r="478" ht="15.75" customHeight="1">
      <c r="E478" s="40"/>
    </row>
    <row r="479" ht="15.75" customHeight="1">
      <c r="E479" s="40"/>
    </row>
    <row r="480" ht="15.75" customHeight="1">
      <c r="E480" s="40"/>
    </row>
    <row r="481" ht="15.75" customHeight="1">
      <c r="E481" s="40"/>
    </row>
    <row r="482" ht="15.75" customHeight="1">
      <c r="E482" s="40"/>
    </row>
    <row r="483" ht="15.75" customHeight="1">
      <c r="E483" s="40"/>
    </row>
    <row r="484" ht="15.75" customHeight="1">
      <c r="E484" s="40"/>
    </row>
    <row r="485" ht="15.75" customHeight="1">
      <c r="E485" s="40"/>
    </row>
    <row r="486" ht="15.75" customHeight="1">
      <c r="E486" s="40"/>
    </row>
    <row r="487" ht="15.75" customHeight="1">
      <c r="E487" s="40"/>
    </row>
    <row r="488" ht="15.75" customHeight="1">
      <c r="E488" s="40"/>
    </row>
    <row r="489" ht="15.75" customHeight="1">
      <c r="E489" s="40"/>
    </row>
    <row r="490" ht="15.75" customHeight="1">
      <c r="E490" s="40"/>
    </row>
    <row r="491" ht="15.75" customHeight="1">
      <c r="E491" s="40"/>
    </row>
    <row r="492" ht="15.75" customHeight="1">
      <c r="E492" s="40"/>
    </row>
    <row r="493" ht="15.75" customHeight="1">
      <c r="E493" s="40"/>
    </row>
    <row r="494" ht="15.75" customHeight="1">
      <c r="E494" s="40"/>
    </row>
    <row r="495" ht="15.75" customHeight="1">
      <c r="E495" s="40"/>
    </row>
    <row r="496" ht="15.75" customHeight="1">
      <c r="E496" s="40"/>
    </row>
    <row r="497" ht="15.75" customHeight="1">
      <c r="E497" s="40"/>
    </row>
    <row r="498" ht="15.75" customHeight="1">
      <c r="E498" s="40"/>
    </row>
    <row r="499" ht="15.75" customHeight="1">
      <c r="E499" s="40"/>
    </row>
    <row r="500" ht="15.75" customHeight="1">
      <c r="E500" s="40"/>
    </row>
    <row r="501" ht="15.75" customHeight="1">
      <c r="E501" s="40"/>
    </row>
    <row r="502" ht="15.75" customHeight="1">
      <c r="E502" s="40"/>
    </row>
    <row r="503" ht="15.75" customHeight="1">
      <c r="E503" s="40"/>
    </row>
    <row r="504" ht="15.75" customHeight="1">
      <c r="E504" s="40"/>
    </row>
    <row r="505" ht="15.75" customHeight="1">
      <c r="E505" s="40"/>
    </row>
    <row r="506" ht="15.75" customHeight="1">
      <c r="E506" s="40"/>
    </row>
    <row r="507" ht="15.75" customHeight="1">
      <c r="E507" s="40"/>
    </row>
    <row r="508" ht="15.75" customHeight="1">
      <c r="E508" s="40"/>
    </row>
    <row r="509" ht="15.75" customHeight="1">
      <c r="E509" s="40"/>
    </row>
    <row r="510" ht="15.75" customHeight="1">
      <c r="E510" s="40"/>
    </row>
    <row r="511" ht="15.75" customHeight="1">
      <c r="E511" s="40"/>
    </row>
    <row r="512" ht="15.75" customHeight="1">
      <c r="E512" s="40"/>
    </row>
    <row r="513" ht="15.75" customHeight="1">
      <c r="E513" s="40"/>
    </row>
    <row r="514" ht="15.75" customHeight="1">
      <c r="E514" s="40"/>
    </row>
    <row r="515" ht="15.75" customHeight="1">
      <c r="E515" s="40"/>
    </row>
    <row r="516" ht="15.75" customHeight="1">
      <c r="E516" s="40"/>
    </row>
    <row r="517" ht="15.75" customHeight="1">
      <c r="E517" s="40"/>
    </row>
    <row r="518" ht="15.75" customHeight="1">
      <c r="E518" s="40"/>
    </row>
    <row r="519" ht="15.75" customHeight="1">
      <c r="E519" s="40"/>
    </row>
    <row r="520" ht="15.75" customHeight="1">
      <c r="E520" s="40"/>
    </row>
    <row r="521" ht="15.75" customHeight="1">
      <c r="E521" s="40"/>
    </row>
    <row r="522" ht="15.75" customHeight="1">
      <c r="E522" s="40"/>
    </row>
    <row r="523" ht="15.75" customHeight="1">
      <c r="E523" s="40"/>
    </row>
    <row r="524" ht="15.75" customHeight="1">
      <c r="E524" s="40"/>
    </row>
    <row r="525" ht="15.75" customHeight="1">
      <c r="E525" s="40"/>
    </row>
    <row r="526" ht="15.75" customHeight="1">
      <c r="E526" s="40"/>
    </row>
    <row r="527" ht="15.75" customHeight="1">
      <c r="E527" s="40"/>
    </row>
    <row r="528" ht="15.75" customHeight="1">
      <c r="E528" s="40"/>
    </row>
    <row r="529" ht="15.75" customHeight="1">
      <c r="E529" s="40"/>
    </row>
    <row r="530" ht="15.75" customHeight="1">
      <c r="E530" s="40"/>
    </row>
    <row r="531" ht="15.75" customHeight="1">
      <c r="E531" s="40"/>
    </row>
    <row r="532" ht="15.75" customHeight="1">
      <c r="E532" s="40"/>
    </row>
    <row r="533" ht="15.75" customHeight="1">
      <c r="E533" s="40"/>
    </row>
    <row r="534" ht="15.75" customHeight="1">
      <c r="E534" s="40"/>
    </row>
    <row r="535" ht="15.75" customHeight="1">
      <c r="E535" s="40"/>
    </row>
    <row r="536" ht="15.75" customHeight="1">
      <c r="E536" s="40"/>
    </row>
    <row r="537" ht="15.75" customHeight="1">
      <c r="E537" s="40"/>
    </row>
    <row r="538" ht="15.75" customHeight="1">
      <c r="E538" s="40"/>
    </row>
    <row r="539" ht="15.75" customHeight="1">
      <c r="E539" s="40"/>
    </row>
    <row r="540" ht="15.75" customHeight="1">
      <c r="E540" s="40"/>
    </row>
    <row r="541" ht="15.75" customHeight="1">
      <c r="E541" s="40"/>
    </row>
    <row r="542" ht="15.75" customHeight="1">
      <c r="E542" s="40"/>
    </row>
    <row r="543" ht="15.75" customHeight="1">
      <c r="E543" s="40"/>
    </row>
    <row r="544" ht="15.75" customHeight="1">
      <c r="E544" s="40"/>
    </row>
    <row r="545" ht="15.75" customHeight="1">
      <c r="E545" s="40"/>
    </row>
    <row r="546" ht="15.75" customHeight="1">
      <c r="E546" s="40"/>
    </row>
    <row r="547" ht="15.75" customHeight="1">
      <c r="E547" s="40"/>
    </row>
    <row r="548" ht="15.75" customHeight="1">
      <c r="E548" s="40"/>
    </row>
    <row r="549" ht="15.75" customHeight="1">
      <c r="E549" s="40"/>
    </row>
    <row r="550" ht="15.75" customHeight="1">
      <c r="E550" s="40"/>
    </row>
    <row r="551" ht="15.75" customHeight="1">
      <c r="E551" s="40"/>
    </row>
    <row r="552" ht="15.75" customHeight="1">
      <c r="E552" s="40"/>
    </row>
    <row r="553" ht="15.75" customHeight="1">
      <c r="E553" s="40"/>
    </row>
    <row r="554" ht="15.75" customHeight="1">
      <c r="E554" s="40"/>
    </row>
    <row r="555" ht="15.75" customHeight="1">
      <c r="E555" s="40"/>
    </row>
    <row r="556" ht="15.75" customHeight="1">
      <c r="E556" s="40"/>
    </row>
    <row r="557" ht="15.75" customHeight="1">
      <c r="E557" s="40"/>
    </row>
    <row r="558" ht="15.75" customHeight="1">
      <c r="E558" s="40"/>
    </row>
    <row r="559" ht="15.75" customHeight="1">
      <c r="E559" s="40"/>
    </row>
    <row r="560" ht="15.75" customHeight="1">
      <c r="E560" s="40"/>
    </row>
    <row r="561" ht="15.75" customHeight="1">
      <c r="E561" s="40"/>
    </row>
    <row r="562" ht="15.75" customHeight="1">
      <c r="E562" s="40"/>
    </row>
    <row r="563" ht="15.75" customHeight="1">
      <c r="E563" s="40"/>
    </row>
    <row r="564" ht="15.75" customHeight="1">
      <c r="E564" s="40"/>
    </row>
    <row r="565" ht="15.75" customHeight="1">
      <c r="E565" s="40"/>
    </row>
    <row r="566" ht="15.75" customHeight="1">
      <c r="E566" s="40"/>
    </row>
    <row r="567" ht="15.75" customHeight="1">
      <c r="E567" s="40"/>
    </row>
    <row r="568" ht="15.75" customHeight="1">
      <c r="E568" s="40"/>
    </row>
    <row r="569" ht="15.75" customHeight="1">
      <c r="E569" s="40"/>
    </row>
    <row r="570" ht="15.75" customHeight="1">
      <c r="E570" s="40"/>
    </row>
    <row r="571" ht="15.75" customHeight="1">
      <c r="E571" s="40"/>
    </row>
    <row r="572" ht="15.75" customHeight="1">
      <c r="E572" s="40"/>
    </row>
    <row r="573" ht="15.75" customHeight="1">
      <c r="E573" s="40"/>
    </row>
    <row r="574" ht="15.75" customHeight="1">
      <c r="E574" s="40"/>
    </row>
    <row r="575" ht="15.75" customHeight="1">
      <c r="E575" s="40"/>
    </row>
    <row r="576" ht="15.75" customHeight="1">
      <c r="E576" s="40"/>
    </row>
    <row r="577" ht="15.75" customHeight="1">
      <c r="E577" s="40"/>
    </row>
    <row r="578" ht="15.75" customHeight="1">
      <c r="E578" s="40"/>
    </row>
    <row r="579" ht="15.75" customHeight="1">
      <c r="E579" s="40"/>
    </row>
    <row r="580" ht="15.75" customHeight="1">
      <c r="E580" s="40"/>
    </row>
    <row r="581" ht="15.75" customHeight="1">
      <c r="E581" s="40"/>
    </row>
    <row r="582" ht="15.75" customHeight="1">
      <c r="E582" s="40"/>
    </row>
    <row r="583" ht="15.75" customHeight="1">
      <c r="E583" s="40"/>
    </row>
    <row r="584" ht="15.75" customHeight="1">
      <c r="E584" s="40"/>
    </row>
    <row r="585" ht="15.75" customHeight="1">
      <c r="E585" s="40"/>
    </row>
    <row r="586" ht="15.75" customHeight="1">
      <c r="E586" s="40"/>
    </row>
    <row r="587" ht="15.75" customHeight="1">
      <c r="E587" s="40"/>
    </row>
    <row r="588" ht="15.75" customHeight="1">
      <c r="E588" s="40"/>
    </row>
    <row r="589" ht="15.75" customHeight="1">
      <c r="E589" s="40"/>
    </row>
    <row r="590" ht="15.75" customHeight="1">
      <c r="E590" s="40"/>
    </row>
    <row r="591" ht="15.75" customHeight="1">
      <c r="E591" s="40"/>
    </row>
    <row r="592" ht="15.75" customHeight="1">
      <c r="E592" s="40"/>
    </row>
    <row r="593" ht="15.75" customHeight="1">
      <c r="E593" s="40"/>
    </row>
    <row r="594" ht="15.75" customHeight="1">
      <c r="E594" s="40"/>
    </row>
    <row r="595" ht="15.75" customHeight="1">
      <c r="E595" s="40"/>
    </row>
    <row r="596" ht="15.75" customHeight="1">
      <c r="E596" s="40"/>
    </row>
    <row r="597" ht="15.75" customHeight="1">
      <c r="E597" s="40"/>
    </row>
    <row r="598" ht="15.75" customHeight="1">
      <c r="E598" s="40"/>
    </row>
    <row r="599" ht="15.75" customHeight="1">
      <c r="E599" s="40"/>
    </row>
    <row r="600" ht="15.75" customHeight="1">
      <c r="E600" s="40"/>
    </row>
    <row r="601" ht="15.75" customHeight="1">
      <c r="E601" s="40"/>
    </row>
    <row r="602" ht="15.75" customHeight="1">
      <c r="E602" s="40"/>
    </row>
    <row r="603" ht="15.75" customHeight="1">
      <c r="E603" s="40"/>
    </row>
    <row r="604" ht="15.75" customHeight="1">
      <c r="E604" s="40"/>
    </row>
    <row r="605" ht="15.75" customHeight="1">
      <c r="E605" s="40"/>
    </row>
    <row r="606" ht="15.75" customHeight="1">
      <c r="E606" s="40"/>
    </row>
    <row r="607" ht="15.75" customHeight="1">
      <c r="E607" s="40"/>
    </row>
    <row r="608" ht="15.75" customHeight="1">
      <c r="E608" s="40"/>
    </row>
    <row r="609" ht="15.75" customHeight="1">
      <c r="E609" s="40"/>
    </row>
    <row r="610" ht="15.75" customHeight="1">
      <c r="E610" s="40"/>
    </row>
    <row r="611" ht="15.75" customHeight="1">
      <c r="E611" s="40"/>
    </row>
    <row r="612" ht="15.75" customHeight="1">
      <c r="E612" s="40"/>
    </row>
    <row r="613" ht="15.75" customHeight="1">
      <c r="E613" s="40"/>
    </row>
    <row r="614" ht="15.75" customHeight="1">
      <c r="E614" s="40"/>
    </row>
    <row r="615" ht="15.75" customHeight="1">
      <c r="E615" s="40"/>
    </row>
    <row r="616" ht="15.75" customHeight="1">
      <c r="E616" s="40"/>
    </row>
    <row r="617" ht="15.75" customHeight="1">
      <c r="E617" s="40"/>
    </row>
    <row r="618" ht="15.75" customHeight="1">
      <c r="E618" s="40"/>
    </row>
    <row r="619" ht="15.75" customHeight="1">
      <c r="E619" s="40"/>
    </row>
    <row r="620" ht="15.75" customHeight="1">
      <c r="E620" s="40"/>
    </row>
    <row r="621" ht="15.75" customHeight="1">
      <c r="E621" s="40"/>
    </row>
    <row r="622" ht="15.75" customHeight="1">
      <c r="E622" s="40"/>
    </row>
    <row r="623" ht="15.75" customHeight="1">
      <c r="E623" s="40"/>
    </row>
    <row r="624" ht="15.75" customHeight="1">
      <c r="E624" s="40"/>
    </row>
    <row r="625" ht="15.75" customHeight="1">
      <c r="E625" s="40"/>
    </row>
    <row r="626" ht="15.75" customHeight="1">
      <c r="E626" s="40"/>
    </row>
    <row r="627" ht="15.75" customHeight="1">
      <c r="E627" s="40"/>
    </row>
    <row r="628" ht="15.75" customHeight="1">
      <c r="E628" s="40"/>
    </row>
    <row r="629" ht="15.75" customHeight="1">
      <c r="E629" s="40"/>
    </row>
    <row r="630" ht="15.75" customHeight="1">
      <c r="E630" s="40"/>
    </row>
    <row r="631" ht="15.75" customHeight="1">
      <c r="E631" s="40"/>
    </row>
    <row r="632" ht="15.75" customHeight="1">
      <c r="E632" s="40"/>
    </row>
    <row r="633" ht="15.75" customHeight="1">
      <c r="E633" s="40"/>
    </row>
    <row r="634" ht="15.75" customHeight="1">
      <c r="E634" s="40"/>
    </row>
    <row r="635" ht="15.75" customHeight="1">
      <c r="E635" s="40"/>
    </row>
    <row r="636" ht="15.75" customHeight="1">
      <c r="E636" s="40"/>
    </row>
    <row r="637" ht="15.75" customHeight="1">
      <c r="E637" s="40"/>
    </row>
    <row r="638" ht="15.75" customHeight="1">
      <c r="E638" s="40"/>
    </row>
    <row r="639" ht="15.75" customHeight="1">
      <c r="E639" s="40"/>
    </row>
    <row r="640" ht="15.75" customHeight="1">
      <c r="E640" s="40"/>
    </row>
    <row r="641" ht="15.75" customHeight="1">
      <c r="E641" s="40"/>
    </row>
    <row r="642" ht="15.75" customHeight="1">
      <c r="E642" s="40"/>
    </row>
    <row r="643" ht="15.75" customHeight="1">
      <c r="E643" s="40"/>
    </row>
    <row r="644" ht="15.75" customHeight="1">
      <c r="E644" s="40"/>
    </row>
    <row r="645" ht="15.75" customHeight="1">
      <c r="E645" s="40"/>
    </row>
    <row r="646" ht="15.75" customHeight="1">
      <c r="E646" s="40"/>
    </row>
    <row r="647" ht="15.75" customHeight="1">
      <c r="E647" s="40"/>
    </row>
    <row r="648" ht="15.75" customHeight="1">
      <c r="E648" s="40"/>
    </row>
    <row r="649" ht="15.75" customHeight="1">
      <c r="E649" s="40"/>
    </row>
    <row r="650" ht="15.75" customHeight="1">
      <c r="E650" s="40"/>
    </row>
    <row r="651" ht="15.75" customHeight="1">
      <c r="E651" s="40"/>
    </row>
    <row r="652" ht="15.75" customHeight="1">
      <c r="E652" s="40"/>
    </row>
    <row r="653" ht="15.75" customHeight="1">
      <c r="E653" s="40"/>
    </row>
    <row r="654" ht="15.75" customHeight="1">
      <c r="E654" s="40"/>
    </row>
    <row r="655" ht="15.75" customHeight="1">
      <c r="E655" s="40"/>
    </row>
    <row r="656" ht="15.75" customHeight="1">
      <c r="E656" s="40"/>
    </row>
    <row r="657" ht="15.75" customHeight="1">
      <c r="E657" s="40"/>
    </row>
    <row r="658" ht="15.75" customHeight="1">
      <c r="E658" s="40"/>
    </row>
    <row r="659" ht="15.75" customHeight="1">
      <c r="E659" s="40"/>
    </row>
    <row r="660" ht="15.75" customHeight="1">
      <c r="E660" s="40"/>
    </row>
    <row r="661" ht="15.75" customHeight="1">
      <c r="E661" s="40"/>
    </row>
    <row r="662" ht="15.75" customHeight="1">
      <c r="E662" s="40"/>
    </row>
    <row r="663" ht="15.75" customHeight="1">
      <c r="E663" s="40"/>
    </row>
    <row r="664" ht="15.75" customHeight="1">
      <c r="E664" s="40"/>
    </row>
    <row r="665" ht="15.75" customHeight="1">
      <c r="E665" s="40"/>
    </row>
    <row r="666" ht="15.75" customHeight="1">
      <c r="E666" s="40"/>
    </row>
    <row r="667" ht="15.75" customHeight="1">
      <c r="E667" s="40"/>
    </row>
    <row r="668" ht="15.75" customHeight="1">
      <c r="E668" s="40"/>
    </row>
    <row r="669" ht="15.75" customHeight="1">
      <c r="E669" s="40"/>
    </row>
    <row r="670" ht="15.75" customHeight="1">
      <c r="E670" s="40"/>
    </row>
    <row r="671" ht="15.75" customHeight="1">
      <c r="E671" s="40"/>
    </row>
    <row r="672" ht="15.75" customHeight="1">
      <c r="E672" s="40"/>
    </row>
    <row r="673" ht="15.75" customHeight="1">
      <c r="E673" s="40"/>
    </row>
    <row r="674" ht="15.75" customHeight="1">
      <c r="E674" s="40"/>
    </row>
    <row r="675" ht="15.75" customHeight="1">
      <c r="E675" s="40"/>
    </row>
    <row r="676" ht="15.75" customHeight="1">
      <c r="E676" s="40"/>
    </row>
    <row r="677" ht="15.75" customHeight="1">
      <c r="E677" s="40"/>
    </row>
    <row r="678" ht="15.75" customHeight="1">
      <c r="E678" s="40"/>
    </row>
    <row r="679" ht="15.75" customHeight="1">
      <c r="E679" s="40"/>
    </row>
    <row r="680" ht="15.75" customHeight="1">
      <c r="E680" s="40"/>
    </row>
    <row r="681" ht="15.75" customHeight="1">
      <c r="E681" s="40"/>
    </row>
    <row r="682" ht="15.75" customHeight="1">
      <c r="E682" s="40"/>
    </row>
    <row r="683" ht="15.75" customHeight="1">
      <c r="E683" s="40"/>
    </row>
    <row r="684" ht="15.75" customHeight="1">
      <c r="E684" s="40"/>
    </row>
    <row r="685" ht="15.75" customHeight="1">
      <c r="E685" s="40"/>
    </row>
    <row r="686" ht="15.75" customHeight="1">
      <c r="E686" s="40"/>
    </row>
    <row r="687" ht="15.75" customHeight="1">
      <c r="E687" s="40"/>
    </row>
    <row r="688" ht="15.75" customHeight="1">
      <c r="E688" s="40"/>
    </row>
    <row r="689" ht="15.75" customHeight="1">
      <c r="E689" s="40"/>
    </row>
    <row r="690" ht="15.75" customHeight="1">
      <c r="E690" s="40"/>
    </row>
    <row r="691" ht="15.75" customHeight="1">
      <c r="E691" s="40"/>
    </row>
    <row r="692" ht="15.75" customHeight="1">
      <c r="E692" s="40"/>
    </row>
    <row r="693" ht="15.75" customHeight="1">
      <c r="E693" s="40"/>
    </row>
    <row r="694" ht="15.75" customHeight="1">
      <c r="E694" s="40"/>
    </row>
    <row r="695" ht="15.75" customHeight="1">
      <c r="E695" s="40"/>
    </row>
    <row r="696" ht="15.75" customHeight="1">
      <c r="E696" s="40"/>
    </row>
    <row r="697" ht="15.75" customHeight="1">
      <c r="E697" s="40"/>
    </row>
    <row r="698" ht="15.75" customHeight="1">
      <c r="E698" s="40"/>
    </row>
    <row r="699" ht="15.75" customHeight="1">
      <c r="E699" s="40"/>
    </row>
    <row r="700" ht="15.75" customHeight="1">
      <c r="E700" s="40"/>
    </row>
    <row r="701" ht="15.75" customHeight="1">
      <c r="E701" s="40"/>
    </row>
    <row r="702" ht="15.75" customHeight="1">
      <c r="E702" s="40"/>
    </row>
    <row r="703" ht="15.75" customHeight="1">
      <c r="E703" s="40"/>
    </row>
    <row r="704" ht="15.75" customHeight="1">
      <c r="E704" s="40"/>
    </row>
    <row r="705" ht="15.75" customHeight="1">
      <c r="E705" s="40"/>
    </row>
    <row r="706" ht="15.75" customHeight="1">
      <c r="E706" s="40"/>
    </row>
    <row r="707" ht="15.75" customHeight="1">
      <c r="E707" s="40"/>
    </row>
    <row r="708" ht="15.75" customHeight="1">
      <c r="E708" s="40"/>
    </row>
    <row r="709" ht="15.75" customHeight="1">
      <c r="E709" s="40"/>
    </row>
    <row r="710" ht="15.75" customHeight="1">
      <c r="E710" s="40"/>
    </row>
    <row r="711" ht="15.75" customHeight="1">
      <c r="E711" s="40"/>
    </row>
    <row r="712" ht="15.75" customHeight="1">
      <c r="E712" s="40"/>
    </row>
    <row r="713" ht="15.75" customHeight="1">
      <c r="E713" s="40"/>
    </row>
    <row r="714" ht="15.75" customHeight="1">
      <c r="E714" s="40"/>
    </row>
    <row r="715" ht="15.75" customHeight="1">
      <c r="E715" s="40"/>
    </row>
    <row r="716" ht="15.75" customHeight="1">
      <c r="E716" s="40"/>
    </row>
    <row r="717" ht="15.75" customHeight="1">
      <c r="E717" s="40"/>
    </row>
    <row r="718" ht="15.75" customHeight="1">
      <c r="E718" s="40"/>
    </row>
    <row r="719" ht="15.75" customHeight="1">
      <c r="E719" s="40"/>
    </row>
    <row r="720" ht="15.75" customHeight="1">
      <c r="E720" s="40"/>
    </row>
    <row r="721" ht="15.75" customHeight="1">
      <c r="E721" s="40"/>
    </row>
    <row r="722" ht="15.75" customHeight="1">
      <c r="E722" s="40"/>
    </row>
    <row r="723" ht="15.75" customHeight="1">
      <c r="E723" s="40"/>
    </row>
    <row r="724" ht="15.75" customHeight="1">
      <c r="E724" s="40"/>
    </row>
    <row r="725" ht="15.75" customHeight="1">
      <c r="E725" s="40"/>
    </row>
    <row r="726" ht="15.75" customHeight="1">
      <c r="E726" s="40"/>
    </row>
    <row r="727" ht="15.75" customHeight="1">
      <c r="E727" s="40"/>
    </row>
    <row r="728" ht="15.75" customHeight="1">
      <c r="E728" s="40"/>
    </row>
    <row r="729" ht="15.75" customHeight="1">
      <c r="E729" s="40"/>
    </row>
    <row r="730" ht="15.75" customHeight="1">
      <c r="E730" s="40"/>
    </row>
    <row r="731" ht="15.75" customHeight="1">
      <c r="E731" s="40"/>
    </row>
    <row r="732" ht="15.75" customHeight="1">
      <c r="E732" s="40"/>
    </row>
    <row r="733" ht="15.75" customHeight="1">
      <c r="E733" s="40"/>
    </row>
    <row r="734" ht="15.75" customHeight="1">
      <c r="E734" s="40"/>
    </row>
    <row r="735" ht="15.75" customHeight="1">
      <c r="E735" s="40"/>
    </row>
    <row r="736" ht="15.75" customHeight="1">
      <c r="E736" s="40"/>
    </row>
    <row r="737" ht="15.75" customHeight="1">
      <c r="E737" s="40"/>
    </row>
    <row r="738" ht="15.75" customHeight="1">
      <c r="E738" s="40"/>
    </row>
    <row r="739" ht="15.75" customHeight="1">
      <c r="E739" s="40"/>
    </row>
    <row r="740" ht="15.75" customHeight="1">
      <c r="E740" s="40"/>
    </row>
    <row r="741" ht="15.75" customHeight="1">
      <c r="E741" s="40"/>
    </row>
    <row r="742" ht="15.75" customHeight="1">
      <c r="E742" s="40"/>
    </row>
    <row r="743" ht="15.75" customHeight="1">
      <c r="E743" s="40"/>
    </row>
    <row r="744" ht="15.75" customHeight="1">
      <c r="E744" s="40"/>
    </row>
    <row r="745" ht="15.75" customHeight="1">
      <c r="E745" s="40"/>
    </row>
    <row r="746" ht="15.75" customHeight="1">
      <c r="E746" s="40"/>
    </row>
    <row r="747" ht="15.75" customHeight="1">
      <c r="E747" s="40"/>
    </row>
    <row r="748" ht="15.75" customHeight="1">
      <c r="E748" s="40"/>
    </row>
    <row r="749" ht="15.75" customHeight="1">
      <c r="E749" s="40"/>
    </row>
    <row r="750" ht="15.75" customHeight="1">
      <c r="E750" s="40"/>
    </row>
    <row r="751" ht="15.75" customHeight="1">
      <c r="E751" s="40"/>
    </row>
    <row r="752" ht="15.75" customHeight="1">
      <c r="E752" s="40"/>
    </row>
    <row r="753" ht="15.75" customHeight="1">
      <c r="E753" s="40"/>
    </row>
    <row r="754" ht="15.75" customHeight="1">
      <c r="E754" s="40"/>
    </row>
    <row r="755" ht="15.75" customHeight="1">
      <c r="E755" s="40"/>
    </row>
    <row r="756" ht="15.75" customHeight="1">
      <c r="E756" s="40"/>
    </row>
    <row r="757" ht="15.75" customHeight="1">
      <c r="E757" s="40"/>
    </row>
    <row r="758" ht="15.75" customHeight="1">
      <c r="E758" s="40"/>
    </row>
    <row r="759" ht="15.75" customHeight="1">
      <c r="E759" s="40"/>
    </row>
    <row r="760" ht="15.75" customHeight="1">
      <c r="E760" s="40"/>
    </row>
    <row r="761" ht="15.75" customHeight="1">
      <c r="E761" s="40"/>
    </row>
    <row r="762" ht="15.75" customHeight="1">
      <c r="E762" s="40"/>
    </row>
    <row r="763" ht="15.75" customHeight="1">
      <c r="E763" s="40"/>
    </row>
    <row r="764" ht="15.75" customHeight="1">
      <c r="E764" s="40"/>
    </row>
    <row r="765" ht="15.75" customHeight="1">
      <c r="E765" s="40"/>
    </row>
    <row r="766" ht="15.75" customHeight="1">
      <c r="E766" s="40"/>
    </row>
    <row r="767" ht="15.75" customHeight="1">
      <c r="E767" s="40"/>
    </row>
    <row r="768" ht="15.75" customHeight="1">
      <c r="E768" s="40"/>
    </row>
    <row r="769" ht="15.75" customHeight="1">
      <c r="E769" s="40"/>
    </row>
    <row r="770" ht="15.75" customHeight="1">
      <c r="E770" s="40"/>
    </row>
    <row r="771" ht="15.75" customHeight="1">
      <c r="E771" s="40"/>
    </row>
    <row r="772" ht="15.75" customHeight="1">
      <c r="E772" s="40"/>
    </row>
    <row r="773" ht="15.75" customHeight="1">
      <c r="E773" s="40"/>
    </row>
    <row r="774" ht="15.75" customHeight="1">
      <c r="E774" s="40"/>
    </row>
    <row r="775" ht="15.75" customHeight="1">
      <c r="E775" s="40"/>
    </row>
    <row r="776" ht="15.75" customHeight="1">
      <c r="E776" s="40"/>
    </row>
    <row r="777" ht="15.75" customHeight="1">
      <c r="E777" s="40"/>
    </row>
    <row r="778" ht="15.75" customHeight="1">
      <c r="E778" s="40"/>
    </row>
    <row r="779" ht="15.75" customHeight="1">
      <c r="E779" s="40"/>
    </row>
    <row r="780" ht="15.75" customHeight="1">
      <c r="E780" s="40"/>
    </row>
    <row r="781" ht="15.75" customHeight="1">
      <c r="E781" s="40"/>
    </row>
    <row r="782" ht="15.75" customHeight="1">
      <c r="E782" s="40"/>
    </row>
    <row r="783" ht="15.75" customHeight="1">
      <c r="E783" s="40"/>
    </row>
    <row r="784" ht="15.75" customHeight="1">
      <c r="E784" s="40"/>
    </row>
    <row r="785" ht="15.75" customHeight="1">
      <c r="E785" s="40"/>
    </row>
    <row r="786" ht="15.75" customHeight="1">
      <c r="E786" s="40"/>
    </row>
    <row r="787" ht="15.75" customHeight="1">
      <c r="E787" s="40"/>
    </row>
    <row r="788" ht="15.75" customHeight="1">
      <c r="E788" s="40"/>
    </row>
    <row r="789" ht="15.75" customHeight="1">
      <c r="E789" s="40"/>
    </row>
    <row r="790" ht="15.75" customHeight="1">
      <c r="E790" s="40"/>
    </row>
    <row r="791" ht="15.75" customHeight="1">
      <c r="E791" s="40"/>
    </row>
    <row r="792" ht="15.75" customHeight="1">
      <c r="E792" s="40"/>
    </row>
    <row r="793" ht="15.75" customHeight="1">
      <c r="E793" s="40"/>
    </row>
    <row r="794" ht="15.75" customHeight="1">
      <c r="E794" s="40"/>
    </row>
    <row r="795" ht="15.75" customHeight="1">
      <c r="E795" s="40"/>
    </row>
    <row r="796" ht="15.75" customHeight="1">
      <c r="E796" s="40"/>
    </row>
    <row r="797" ht="15.75" customHeight="1">
      <c r="E797" s="40"/>
    </row>
    <row r="798" ht="15.75" customHeight="1">
      <c r="E798" s="40"/>
    </row>
    <row r="799" ht="15.75" customHeight="1">
      <c r="E799" s="40"/>
    </row>
    <row r="800" ht="15.75" customHeight="1">
      <c r="E800" s="40"/>
    </row>
    <row r="801" ht="15.75" customHeight="1">
      <c r="E801" s="40"/>
    </row>
    <row r="802" ht="15.75" customHeight="1">
      <c r="E802" s="40"/>
    </row>
    <row r="803" ht="15.75" customHeight="1">
      <c r="E803" s="40"/>
    </row>
    <row r="804" ht="15.75" customHeight="1">
      <c r="E804" s="40"/>
    </row>
    <row r="805" ht="15.75" customHeight="1">
      <c r="E805" s="40"/>
    </row>
    <row r="806" ht="15.75" customHeight="1">
      <c r="E806" s="40"/>
    </row>
    <row r="807" ht="15.75" customHeight="1">
      <c r="E807" s="40"/>
    </row>
    <row r="808" ht="15.75" customHeight="1">
      <c r="E808" s="40"/>
    </row>
    <row r="809" ht="15.75" customHeight="1">
      <c r="E809" s="40"/>
    </row>
    <row r="810" ht="15.75" customHeight="1">
      <c r="E810" s="40"/>
    </row>
    <row r="811" ht="15.75" customHeight="1">
      <c r="E811" s="40"/>
    </row>
    <row r="812" ht="15.75" customHeight="1">
      <c r="E812" s="40"/>
    </row>
    <row r="813" ht="15.75" customHeight="1">
      <c r="E813" s="40"/>
    </row>
    <row r="814" ht="15.75" customHeight="1">
      <c r="E814" s="40"/>
    </row>
    <row r="815" ht="15.75" customHeight="1">
      <c r="E815" s="40"/>
    </row>
    <row r="816" ht="15.75" customHeight="1">
      <c r="E816" s="40"/>
    </row>
    <row r="817" ht="15.75" customHeight="1">
      <c r="E817" s="40"/>
    </row>
    <row r="818" ht="15.75" customHeight="1">
      <c r="E818" s="40"/>
    </row>
    <row r="819" ht="15.75" customHeight="1">
      <c r="E819" s="40"/>
    </row>
    <row r="820" ht="15.75" customHeight="1">
      <c r="E820" s="40"/>
    </row>
    <row r="821" ht="15.75" customHeight="1">
      <c r="E821" s="40"/>
    </row>
    <row r="822" ht="15.75" customHeight="1">
      <c r="E822" s="40"/>
    </row>
    <row r="823" ht="15.75" customHeight="1">
      <c r="E823" s="40"/>
    </row>
    <row r="824" ht="15.75" customHeight="1">
      <c r="E824" s="40"/>
    </row>
    <row r="825" ht="15.75" customHeight="1">
      <c r="E825" s="40"/>
    </row>
    <row r="826" ht="15.75" customHeight="1">
      <c r="E826" s="40"/>
    </row>
    <row r="827" ht="15.75" customHeight="1">
      <c r="E827" s="40"/>
    </row>
    <row r="828" ht="15.75" customHeight="1">
      <c r="E828" s="40"/>
    </row>
    <row r="829" ht="15.75" customHeight="1">
      <c r="E829" s="40"/>
    </row>
    <row r="830" ht="15.75" customHeight="1">
      <c r="E830" s="40"/>
    </row>
    <row r="831" ht="15.75" customHeight="1">
      <c r="E831" s="40"/>
    </row>
    <row r="832" ht="15.75" customHeight="1">
      <c r="E832" s="40"/>
    </row>
    <row r="833" ht="15.75" customHeight="1">
      <c r="E833" s="40"/>
    </row>
    <row r="834" ht="15.75" customHeight="1">
      <c r="E834" s="40"/>
    </row>
    <row r="835" ht="15.75" customHeight="1">
      <c r="E835" s="40"/>
    </row>
    <row r="836" ht="15.75" customHeight="1">
      <c r="E836" s="40"/>
    </row>
    <row r="837" ht="15.75" customHeight="1">
      <c r="E837" s="40"/>
    </row>
    <row r="838" ht="15.75" customHeight="1">
      <c r="E838" s="40"/>
    </row>
    <row r="839" ht="15.75" customHeight="1">
      <c r="E839" s="40"/>
    </row>
    <row r="840" ht="15.75" customHeight="1">
      <c r="E840" s="40"/>
    </row>
    <row r="841" ht="15.75" customHeight="1">
      <c r="E841" s="40"/>
    </row>
    <row r="842" ht="15.75" customHeight="1">
      <c r="E842" s="40"/>
    </row>
    <row r="843" ht="15.75" customHeight="1">
      <c r="E843" s="40"/>
    </row>
    <row r="844" ht="15.75" customHeight="1">
      <c r="E844" s="40"/>
    </row>
    <row r="845" ht="15.75" customHeight="1">
      <c r="E845" s="40"/>
    </row>
    <row r="846" ht="15.75" customHeight="1">
      <c r="E846" s="40"/>
    </row>
    <row r="847" ht="15.75" customHeight="1">
      <c r="E847" s="40"/>
    </row>
    <row r="848" ht="15.75" customHeight="1">
      <c r="E848" s="40"/>
    </row>
    <row r="849" ht="15.75" customHeight="1">
      <c r="E849" s="40"/>
    </row>
    <row r="850" ht="15.75" customHeight="1">
      <c r="E850" s="40"/>
    </row>
    <row r="851" ht="15.75" customHeight="1">
      <c r="E851" s="40"/>
    </row>
    <row r="852" ht="15.75" customHeight="1">
      <c r="E852" s="40"/>
    </row>
    <row r="853" ht="15.75" customHeight="1">
      <c r="E853" s="40"/>
    </row>
    <row r="854" ht="15.75" customHeight="1">
      <c r="E854" s="40"/>
    </row>
    <row r="855" ht="15.75" customHeight="1">
      <c r="E855" s="40"/>
    </row>
    <row r="856" ht="15.75" customHeight="1">
      <c r="E856" s="40"/>
    </row>
    <row r="857" ht="15.75" customHeight="1">
      <c r="E857" s="40"/>
    </row>
    <row r="858" ht="15.75" customHeight="1">
      <c r="E858" s="40"/>
    </row>
    <row r="859" ht="15.75" customHeight="1">
      <c r="E859" s="40"/>
    </row>
    <row r="860" ht="15.75" customHeight="1">
      <c r="E860" s="40"/>
    </row>
    <row r="861" ht="15.75" customHeight="1">
      <c r="E861" s="40"/>
    </row>
    <row r="862" ht="15.75" customHeight="1">
      <c r="E862" s="40"/>
    </row>
    <row r="863" ht="15.75" customHeight="1">
      <c r="E863" s="40"/>
    </row>
    <row r="864" ht="15.75" customHeight="1">
      <c r="E864" s="40"/>
    </row>
    <row r="865" ht="15.75" customHeight="1">
      <c r="E865" s="40"/>
    </row>
    <row r="866" ht="15.75" customHeight="1">
      <c r="E866" s="40"/>
    </row>
    <row r="867" ht="15.75" customHeight="1">
      <c r="E867" s="40"/>
    </row>
    <row r="868" ht="15.75" customHeight="1">
      <c r="E868" s="40"/>
    </row>
    <row r="869" ht="15.75" customHeight="1">
      <c r="E869" s="40"/>
    </row>
    <row r="870" ht="15.75" customHeight="1">
      <c r="E870" s="40"/>
    </row>
    <row r="871" ht="15.75" customHeight="1">
      <c r="E871" s="40"/>
    </row>
    <row r="872" ht="15.75" customHeight="1">
      <c r="E872" s="40"/>
    </row>
    <row r="873" ht="15.75" customHeight="1">
      <c r="E873" s="40"/>
    </row>
    <row r="874" ht="15.75" customHeight="1">
      <c r="E874" s="40"/>
    </row>
    <row r="875" ht="15.75" customHeight="1">
      <c r="E875" s="40"/>
    </row>
    <row r="876" ht="15.75" customHeight="1">
      <c r="E876" s="40"/>
    </row>
    <row r="877" ht="15.75" customHeight="1">
      <c r="E877" s="40"/>
    </row>
    <row r="878" ht="15.75" customHeight="1">
      <c r="E878" s="40"/>
    </row>
    <row r="879" ht="15.75" customHeight="1">
      <c r="E879" s="40"/>
    </row>
    <row r="880" ht="15.75" customHeight="1">
      <c r="E880" s="40"/>
    </row>
    <row r="881" ht="15.75" customHeight="1">
      <c r="E881" s="40"/>
    </row>
    <row r="882" ht="15.75" customHeight="1">
      <c r="E882" s="40"/>
    </row>
    <row r="883" ht="15.75" customHeight="1">
      <c r="E883" s="40"/>
    </row>
    <row r="884" ht="15.75" customHeight="1">
      <c r="E884" s="40"/>
    </row>
    <row r="885" ht="15.75" customHeight="1">
      <c r="E885" s="40"/>
    </row>
    <row r="886" ht="15.75" customHeight="1">
      <c r="E886" s="40"/>
    </row>
    <row r="887" ht="15.75" customHeight="1">
      <c r="E887" s="40"/>
    </row>
    <row r="888" ht="15.75" customHeight="1">
      <c r="E888" s="40"/>
    </row>
    <row r="889" ht="15.75" customHeight="1">
      <c r="E889" s="40"/>
    </row>
    <row r="890" ht="15.75" customHeight="1">
      <c r="E890" s="40"/>
    </row>
    <row r="891" ht="15.75" customHeight="1">
      <c r="E891" s="40"/>
    </row>
    <row r="892" ht="15.75" customHeight="1">
      <c r="E892" s="40"/>
    </row>
    <row r="893" ht="15.75" customHeight="1">
      <c r="E893" s="40"/>
    </row>
    <row r="894" ht="15.75" customHeight="1">
      <c r="E894" s="40"/>
    </row>
    <row r="895" ht="15.75" customHeight="1">
      <c r="E895" s="40"/>
    </row>
    <row r="896" ht="15.75" customHeight="1">
      <c r="E896" s="40"/>
    </row>
    <row r="897" ht="15.75" customHeight="1">
      <c r="E897" s="40"/>
    </row>
    <row r="898" ht="15.75" customHeight="1">
      <c r="E898" s="40"/>
    </row>
    <row r="899" ht="15.75" customHeight="1">
      <c r="E899" s="40"/>
    </row>
    <row r="900" ht="15.75" customHeight="1">
      <c r="E900" s="40"/>
    </row>
    <row r="901" ht="15.75" customHeight="1">
      <c r="E901" s="40"/>
    </row>
    <row r="902" ht="15.75" customHeight="1">
      <c r="E902" s="40"/>
    </row>
    <row r="903" ht="15.75" customHeight="1">
      <c r="E903" s="40"/>
    </row>
    <row r="904" ht="15.75" customHeight="1">
      <c r="E904" s="40"/>
    </row>
    <row r="905" ht="15.75" customHeight="1">
      <c r="E905" s="40"/>
    </row>
    <row r="906" ht="15.75" customHeight="1">
      <c r="E906" s="40"/>
    </row>
    <row r="907" ht="15.75" customHeight="1">
      <c r="E907" s="40"/>
    </row>
    <row r="908" ht="15.75" customHeight="1">
      <c r="E908" s="40"/>
    </row>
    <row r="909" ht="15.75" customHeight="1">
      <c r="E909" s="40"/>
    </row>
    <row r="910" ht="15.75" customHeight="1">
      <c r="E910" s="40"/>
    </row>
    <row r="911" ht="15.75" customHeight="1">
      <c r="E911" s="40"/>
    </row>
    <row r="912" ht="15.75" customHeight="1">
      <c r="E912" s="40"/>
    </row>
    <row r="913" ht="15.75" customHeight="1">
      <c r="E913" s="40"/>
    </row>
    <row r="914" ht="15.75" customHeight="1">
      <c r="E914" s="40"/>
    </row>
    <row r="915" ht="15.75" customHeight="1">
      <c r="E915" s="40"/>
    </row>
    <row r="916" ht="15.75" customHeight="1">
      <c r="E916" s="40"/>
    </row>
    <row r="917" ht="15.75" customHeight="1">
      <c r="E917" s="40"/>
    </row>
    <row r="918" ht="15.75" customHeight="1">
      <c r="E918" s="40"/>
    </row>
    <row r="919" ht="15.75" customHeight="1">
      <c r="E919" s="40"/>
    </row>
    <row r="920" ht="15.75" customHeight="1">
      <c r="E920" s="40"/>
    </row>
    <row r="921" ht="15.75" customHeight="1">
      <c r="E921" s="40"/>
    </row>
    <row r="922" ht="15.75" customHeight="1">
      <c r="E922" s="40"/>
    </row>
    <row r="923" ht="15.75" customHeight="1">
      <c r="E923" s="40"/>
    </row>
    <row r="924" ht="15.75" customHeight="1">
      <c r="E924" s="40"/>
    </row>
    <row r="925" ht="15.75" customHeight="1">
      <c r="E925" s="40"/>
    </row>
    <row r="926" ht="15.75" customHeight="1">
      <c r="E926" s="40"/>
    </row>
    <row r="927" ht="15.75" customHeight="1">
      <c r="E927" s="40"/>
    </row>
    <row r="928" ht="15.75" customHeight="1">
      <c r="E928" s="40"/>
    </row>
    <row r="929" ht="15.75" customHeight="1">
      <c r="E929" s="40"/>
    </row>
    <row r="930" ht="15.75" customHeight="1">
      <c r="E930" s="40"/>
    </row>
    <row r="931" ht="15.75" customHeight="1">
      <c r="E931" s="40"/>
    </row>
    <row r="932" ht="15.75" customHeight="1">
      <c r="E932" s="40"/>
    </row>
    <row r="933" ht="15.75" customHeight="1">
      <c r="E933" s="40"/>
    </row>
    <row r="934" ht="15.75" customHeight="1">
      <c r="E934" s="40"/>
    </row>
    <row r="935" ht="15.75" customHeight="1">
      <c r="E935" s="40"/>
    </row>
    <row r="936" ht="15.75" customHeight="1">
      <c r="E936" s="40"/>
    </row>
    <row r="937" ht="15.75" customHeight="1">
      <c r="E937" s="40"/>
    </row>
    <row r="938" ht="15.75" customHeight="1">
      <c r="E938" s="40"/>
    </row>
    <row r="939" ht="15.75" customHeight="1">
      <c r="E939" s="40"/>
    </row>
    <row r="940" ht="15.75" customHeight="1">
      <c r="E940" s="40"/>
    </row>
    <row r="941" ht="15.75" customHeight="1">
      <c r="E941" s="40"/>
    </row>
    <row r="942" ht="15.75" customHeight="1">
      <c r="E942" s="40"/>
    </row>
    <row r="943" ht="15.75" customHeight="1">
      <c r="E943" s="40"/>
    </row>
    <row r="944" ht="15.75" customHeight="1">
      <c r="E944" s="40"/>
    </row>
    <row r="945" ht="15.75" customHeight="1">
      <c r="E945" s="40"/>
    </row>
    <row r="946" ht="15.75" customHeight="1">
      <c r="E946" s="40"/>
    </row>
    <row r="947" ht="15.75" customHeight="1">
      <c r="E947" s="40"/>
    </row>
    <row r="948" ht="15.75" customHeight="1">
      <c r="E948" s="40"/>
    </row>
    <row r="949" ht="15.75" customHeight="1">
      <c r="E949" s="40"/>
    </row>
    <row r="950" ht="15.75" customHeight="1">
      <c r="E950" s="40"/>
    </row>
    <row r="951" ht="15.75" customHeight="1">
      <c r="E951" s="40"/>
    </row>
    <row r="952" ht="15.75" customHeight="1">
      <c r="E952" s="40"/>
    </row>
    <row r="953" ht="15.75" customHeight="1">
      <c r="E953" s="40"/>
    </row>
    <row r="954" ht="15.75" customHeight="1">
      <c r="E954" s="40"/>
    </row>
    <row r="955" ht="15.75" customHeight="1">
      <c r="E955" s="40"/>
    </row>
    <row r="956" ht="15.75" customHeight="1">
      <c r="E956" s="40"/>
    </row>
    <row r="957" ht="15.75" customHeight="1">
      <c r="E957" s="40"/>
    </row>
    <row r="958" ht="15.75" customHeight="1">
      <c r="E958" s="40"/>
    </row>
    <row r="959" ht="15.75" customHeight="1">
      <c r="E959" s="40"/>
    </row>
    <row r="960" ht="15.75" customHeight="1">
      <c r="E960" s="40"/>
    </row>
    <row r="961" ht="15.75" customHeight="1">
      <c r="E961" s="40"/>
    </row>
    <row r="962" ht="15.75" customHeight="1">
      <c r="E962" s="40"/>
    </row>
    <row r="963" ht="15.75" customHeight="1">
      <c r="E963" s="40"/>
    </row>
    <row r="964" ht="15.75" customHeight="1">
      <c r="E964" s="40"/>
    </row>
    <row r="965" ht="15.75" customHeight="1">
      <c r="E965" s="40"/>
    </row>
    <row r="966" ht="15.75" customHeight="1">
      <c r="E966" s="40"/>
    </row>
    <row r="967" ht="15.75" customHeight="1">
      <c r="E967" s="40"/>
    </row>
    <row r="968" ht="15.75" customHeight="1">
      <c r="E968" s="40"/>
    </row>
    <row r="969" ht="15.75" customHeight="1">
      <c r="E969" s="40"/>
    </row>
    <row r="970" ht="15.75" customHeight="1">
      <c r="E970" s="40"/>
    </row>
    <row r="971" ht="15.75" customHeight="1">
      <c r="E971" s="40"/>
    </row>
    <row r="972" ht="15.75" customHeight="1">
      <c r="E972" s="40"/>
    </row>
    <row r="973" ht="15.75" customHeight="1">
      <c r="E973" s="40"/>
    </row>
    <row r="974" ht="15.75" customHeight="1">
      <c r="E974" s="40"/>
    </row>
    <row r="975" ht="15.75" customHeight="1">
      <c r="E975" s="40"/>
    </row>
    <row r="976" ht="15.75" customHeight="1">
      <c r="E976" s="40"/>
    </row>
    <row r="977" ht="15.75" customHeight="1">
      <c r="E977" s="40"/>
    </row>
    <row r="978" ht="15.75" customHeight="1">
      <c r="E978" s="40"/>
    </row>
    <row r="979" ht="15.75" customHeight="1">
      <c r="E979" s="40"/>
    </row>
    <row r="980" ht="15.75" customHeight="1">
      <c r="E980" s="40"/>
    </row>
    <row r="981" ht="15.75" customHeight="1">
      <c r="E981" s="40"/>
    </row>
    <row r="982" ht="15.75" customHeight="1">
      <c r="E982" s="40"/>
    </row>
    <row r="983" ht="15.75" customHeight="1">
      <c r="E983" s="40"/>
    </row>
    <row r="984" ht="15.75" customHeight="1">
      <c r="E984" s="40"/>
    </row>
    <row r="985" ht="15.75" customHeight="1">
      <c r="E985" s="40"/>
    </row>
    <row r="986" ht="15.75" customHeight="1">
      <c r="E986" s="40"/>
    </row>
    <row r="987" ht="15.75" customHeight="1">
      <c r="E987" s="40"/>
    </row>
    <row r="988" ht="15.75" customHeight="1">
      <c r="E988" s="40"/>
    </row>
    <row r="989" ht="15.75" customHeight="1">
      <c r="E989" s="40"/>
    </row>
    <row r="990" ht="15.75" customHeight="1">
      <c r="E990" s="40"/>
    </row>
    <row r="991" ht="15.75" customHeight="1">
      <c r="E991" s="40"/>
    </row>
    <row r="992" ht="15.75" customHeight="1">
      <c r="E992" s="40"/>
    </row>
    <row r="993" ht="15.75" customHeight="1">
      <c r="E993" s="40"/>
    </row>
    <row r="994" ht="15.75" customHeight="1">
      <c r="E994" s="40"/>
    </row>
    <row r="995" ht="15.75" customHeight="1">
      <c r="E995" s="40"/>
    </row>
    <row r="996" ht="15.75" customHeight="1">
      <c r="E996" s="40"/>
    </row>
    <row r="997" ht="15.75" customHeight="1">
      <c r="E997" s="40"/>
    </row>
    <row r="998" ht="15.75" customHeight="1">
      <c r="E998" s="40"/>
    </row>
    <row r="999" ht="15.75" customHeight="1">
      <c r="E999" s="40"/>
    </row>
    <row r="1000" ht="15.75" customHeight="1">
      <c r="E1000" s="40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0.88"/>
    <col customWidth="1" min="13" max="13" width="10.88"/>
    <col customWidth="1" min="14" max="26" width="34.38"/>
  </cols>
  <sheetData>
    <row r="1" ht="15.75" customHeight="1">
      <c r="A1" s="1" t="s">
        <v>0</v>
      </c>
      <c r="B1" s="1" t="s">
        <v>1</v>
      </c>
      <c r="C1" s="77" t="s">
        <v>800</v>
      </c>
      <c r="D1" s="77" t="s">
        <v>801</v>
      </c>
      <c r="E1" s="77" t="s">
        <v>802</v>
      </c>
      <c r="F1" s="77" t="s">
        <v>483</v>
      </c>
      <c r="G1" s="77" t="s">
        <v>7</v>
      </c>
      <c r="H1" s="77" t="s">
        <v>484</v>
      </c>
      <c r="I1" s="77" t="s">
        <v>7</v>
      </c>
      <c r="J1" s="4" t="s">
        <v>803</v>
      </c>
      <c r="K1" s="4" t="s">
        <v>7</v>
      </c>
      <c r="L1" s="36" t="s">
        <v>804</v>
      </c>
      <c r="M1" s="36" t="s">
        <v>7</v>
      </c>
    </row>
    <row r="2" ht="15.75" customHeight="1">
      <c r="A2" s="5">
        <v>1892.0</v>
      </c>
      <c r="B2" s="5" t="s">
        <v>36</v>
      </c>
      <c r="C2" s="78" t="s">
        <v>805</v>
      </c>
      <c r="D2" s="9" t="s">
        <v>806</v>
      </c>
      <c r="E2" s="79">
        <v>0.0</v>
      </c>
      <c r="F2" s="9" t="s">
        <v>499</v>
      </c>
      <c r="G2" s="10">
        <v>0.0</v>
      </c>
      <c r="H2" s="9" t="s">
        <v>500</v>
      </c>
      <c r="I2" s="10">
        <v>0.0</v>
      </c>
      <c r="J2" s="36"/>
      <c r="K2" s="36"/>
      <c r="L2" s="9" t="s">
        <v>505</v>
      </c>
      <c r="M2" s="37">
        <v>0.0</v>
      </c>
    </row>
    <row r="3" ht="15.75" customHeight="1">
      <c r="A3" s="5">
        <v>1892.0</v>
      </c>
      <c r="B3" s="5" t="s">
        <v>36</v>
      </c>
      <c r="C3" s="80" t="s">
        <v>807</v>
      </c>
      <c r="D3" s="50" t="s">
        <v>808</v>
      </c>
      <c r="E3" s="79">
        <v>0.0</v>
      </c>
      <c r="F3" s="9" t="s">
        <v>499</v>
      </c>
      <c r="G3" s="10">
        <v>0.0</v>
      </c>
      <c r="H3" s="9" t="s">
        <v>500</v>
      </c>
      <c r="I3" s="10">
        <v>0.0</v>
      </c>
      <c r="J3" s="36"/>
      <c r="K3" s="36"/>
      <c r="L3" s="9" t="s">
        <v>505</v>
      </c>
      <c r="M3" s="37">
        <v>0.0</v>
      </c>
    </row>
    <row r="4" ht="15.75" customHeight="1">
      <c r="A4" s="5">
        <v>1892.0</v>
      </c>
      <c r="B4" s="5" t="s">
        <v>36</v>
      </c>
      <c r="C4" s="80" t="s">
        <v>809</v>
      </c>
      <c r="D4" s="50" t="s">
        <v>810</v>
      </c>
      <c r="E4" s="79">
        <v>0.0</v>
      </c>
      <c r="F4" s="9" t="s">
        <v>499</v>
      </c>
      <c r="G4" s="10">
        <v>0.0</v>
      </c>
      <c r="H4" s="9" t="s">
        <v>500</v>
      </c>
      <c r="I4" s="10">
        <v>0.0</v>
      </c>
      <c r="J4" s="36"/>
      <c r="K4" s="36"/>
      <c r="L4" s="9" t="s">
        <v>505</v>
      </c>
      <c r="M4" s="37">
        <v>0.0</v>
      </c>
    </row>
    <row r="5" ht="15.75" customHeight="1">
      <c r="A5" s="5">
        <v>1892.0</v>
      </c>
      <c r="B5" s="5" t="s">
        <v>36</v>
      </c>
      <c r="C5" s="36" t="s">
        <v>811</v>
      </c>
      <c r="D5" s="36"/>
      <c r="E5" s="36"/>
      <c r="F5" s="9" t="s">
        <v>499</v>
      </c>
      <c r="G5" s="10">
        <v>0.0</v>
      </c>
      <c r="H5" s="6"/>
      <c r="I5" s="6"/>
      <c r="J5" s="36"/>
      <c r="K5" s="36"/>
      <c r="L5" s="36"/>
      <c r="M5" s="36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11.5"/>
  </cols>
  <sheetData>
    <row r="1" ht="15.75" customHeight="1">
      <c r="A1" s="1" t="s">
        <v>0</v>
      </c>
      <c r="B1" s="1" t="s">
        <v>1</v>
      </c>
      <c r="C1" s="1" t="s">
        <v>812</v>
      </c>
      <c r="D1" s="81" t="s">
        <v>813</v>
      </c>
      <c r="E1" s="81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1" t="s">
        <v>0</v>
      </c>
      <c r="B1" s="1" t="s">
        <v>1</v>
      </c>
      <c r="C1" s="1" t="s">
        <v>814</v>
      </c>
      <c r="D1" s="4" t="s">
        <v>815</v>
      </c>
      <c r="E1" s="4" t="s">
        <v>7</v>
      </c>
    </row>
    <row r="2" ht="15.75" customHeight="1">
      <c r="A2" s="5">
        <v>1892.0</v>
      </c>
      <c r="B2" s="5" t="s">
        <v>36</v>
      </c>
      <c r="C2" s="4" t="s">
        <v>816</v>
      </c>
      <c r="D2" s="50" t="s">
        <v>817</v>
      </c>
      <c r="E2" s="82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35.63"/>
    <col customWidth="1" min="22" max="22" width="28.0"/>
    <col customWidth="1" min="24" max="24" width="16.88"/>
    <col customWidth="1" min="26" max="26" width="28.0"/>
    <col customWidth="1" min="28" max="28" width="16.88"/>
  </cols>
  <sheetData>
    <row r="1" ht="15.75" customHeight="1">
      <c r="A1" s="1" t="s">
        <v>0</v>
      </c>
      <c r="B1" s="1" t="s">
        <v>1</v>
      </c>
      <c r="C1" s="4" t="s">
        <v>818</v>
      </c>
      <c r="D1" s="4" t="s">
        <v>819</v>
      </c>
      <c r="E1" s="4" t="s">
        <v>13</v>
      </c>
      <c r="F1" s="4" t="s">
        <v>820</v>
      </c>
      <c r="G1" s="4" t="s">
        <v>13</v>
      </c>
      <c r="H1" s="4" t="s">
        <v>821</v>
      </c>
      <c r="I1" s="4" t="s">
        <v>13</v>
      </c>
      <c r="J1" s="4" t="s">
        <v>822</v>
      </c>
      <c r="K1" s="4" t="s">
        <v>13</v>
      </c>
      <c r="L1" s="4" t="s">
        <v>823</v>
      </c>
      <c r="M1" s="4" t="s">
        <v>13</v>
      </c>
      <c r="N1" s="6" t="s">
        <v>824</v>
      </c>
      <c r="O1" s="6" t="s">
        <v>7</v>
      </c>
      <c r="P1" s="6" t="s">
        <v>336</v>
      </c>
      <c r="Q1" s="6" t="s">
        <v>7</v>
      </c>
      <c r="R1" s="4" t="s">
        <v>825</v>
      </c>
      <c r="S1" s="6" t="s">
        <v>7</v>
      </c>
      <c r="T1" s="6" t="s">
        <v>826</v>
      </c>
      <c r="U1" s="6" t="s">
        <v>7</v>
      </c>
      <c r="V1" s="36" t="s">
        <v>827</v>
      </c>
      <c r="W1" s="36" t="s">
        <v>7</v>
      </c>
      <c r="X1" s="36" t="s">
        <v>828</v>
      </c>
      <c r="Y1" s="36" t="s">
        <v>7</v>
      </c>
      <c r="Z1" s="36" t="s">
        <v>829</v>
      </c>
      <c r="AA1" s="36" t="s">
        <v>7</v>
      </c>
      <c r="AB1" s="36" t="s">
        <v>830</v>
      </c>
      <c r="AC1" s="36" t="s">
        <v>7</v>
      </c>
    </row>
    <row r="2" ht="15.75" customHeight="1">
      <c r="A2" s="5">
        <v>1892.0</v>
      </c>
      <c r="B2" s="5" t="s">
        <v>36</v>
      </c>
      <c r="C2" s="4" t="s">
        <v>831</v>
      </c>
      <c r="D2" s="47" t="s">
        <v>294</v>
      </c>
      <c r="E2" s="10">
        <v>1.0</v>
      </c>
      <c r="F2" s="47" t="s">
        <v>303</v>
      </c>
      <c r="G2" s="10">
        <v>1.0</v>
      </c>
      <c r="H2" s="47" t="s">
        <v>312</v>
      </c>
      <c r="I2" s="10">
        <v>1.0</v>
      </c>
      <c r="J2" s="44" t="s">
        <v>321</v>
      </c>
      <c r="K2" s="10">
        <v>0.0</v>
      </c>
      <c r="L2" s="47" t="s">
        <v>327</v>
      </c>
      <c r="M2" s="10">
        <v>0.0</v>
      </c>
      <c r="N2" s="50" t="s">
        <v>832</v>
      </c>
      <c r="O2" s="4"/>
      <c r="P2" s="50" t="s">
        <v>833</v>
      </c>
      <c r="Q2" s="4"/>
      <c r="R2" s="83" t="s">
        <v>834</v>
      </c>
      <c r="S2" s="4"/>
      <c r="T2" s="50" t="s">
        <v>810</v>
      </c>
      <c r="U2" s="37">
        <v>0.0</v>
      </c>
      <c r="V2" s="47" t="s">
        <v>322</v>
      </c>
      <c r="W2" s="37">
        <v>1.0</v>
      </c>
      <c r="X2" s="47" t="s">
        <v>835</v>
      </c>
      <c r="Y2" s="37">
        <v>1.0</v>
      </c>
      <c r="Z2" s="47" t="s">
        <v>328</v>
      </c>
      <c r="AA2" s="37">
        <v>1.0</v>
      </c>
      <c r="AB2" s="47" t="s">
        <v>836</v>
      </c>
      <c r="AC2" s="37">
        <v>1.0</v>
      </c>
    </row>
    <row r="3" ht="15.75" customHeight="1"/>
    <row r="4" ht="15.75" customHeight="1"/>
    <row r="5" ht="15.75" customHeight="1">
      <c r="Z5" s="47"/>
    </row>
    <row r="6" ht="15.75" customHeight="1">
      <c r="Z6" s="47"/>
    </row>
    <row r="7" ht="15.75" customHeight="1"/>
    <row r="8" ht="15.75" customHeight="1"/>
    <row r="9" ht="15.75" customHeight="1"/>
    <row r="10" ht="15.75" customHeight="1">
      <c r="F10" s="39"/>
    </row>
    <row r="11" ht="15.75" customHeight="1">
      <c r="G11" s="47"/>
    </row>
    <row r="12" ht="15.75" customHeight="1">
      <c r="G12" s="47"/>
    </row>
    <row r="13" ht="15.75" customHeight="1">
      <c r="G13" s="47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