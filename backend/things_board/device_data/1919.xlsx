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OI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</sheets>
  <definedNames>
    <definedName hidden="1" localSheetId="2" name="_xlnm._FilterDatabase">'Pump Master'!$A$1:$AA$40</definedName>
  </definedNames>
  <calcPr/>
  <extLst>
    <ext uri="GoogleSheetsCustomDataVersion2">
      <go:sheetsCustomData xmlns:go="http://customooxmlschemas.google.com/" r:id="rId21" roundtripDataChecksum="dzDE/cfx5yUowS85dhI9aZrIOqshsZHR1UP4mH1ZR6o="/>
    </ext>
  </extLst>
</workbook>
</file>

<file path=xl/sharedStrings.xml><?xml version="1.0" encoding="utf-8"?>
<sst xmlns="http://schemas.openxmlformats.org/spreadsheetml/2006/main" count="3725" uniqueCount="2172">
  <si>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</si>
  <si>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</si>
  <si>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</si>
  <si>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</si>
  <si>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</si>
  <si>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</si>
  <si>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</si>
  <si>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</si>
  <si>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</si>
  <si>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</si>
  <si>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</si>
  <si>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 xml:space="preserve">TANK LEAKAGE STATUS </t>
  </si>
  <si>
    <t>Primary Gauge HIGH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</si>
  <si>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</si>
  <si>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</si>
  <si>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</si>
  <si>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</si>
  <si>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</si>
  <si>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</si>
  <si>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</si>
  <si>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Normal Value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</si>
  <si>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</si>
  <si>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</si>
  <si>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</si>
  <si>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</si>
  <si>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</si>
  <si>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</si>
  <si>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</si>
  <si>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</si>
  <si>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</si>
  <si>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</si>
  <si>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</si>
  <si>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</si>
  <si>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</si>
  <si>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</si>
  <si>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Secunderabad</t>
  </si>
  <si>
    <t>51-TT-CR-003D</t>
  </si>
  <si>
    <t>AG</t>
  </si>
  <si>
    <t>BS VI HSD</t>
  </si>
  <si>
    <t>PLC.SFTPLC.CAUSE_ANY_ESD_PB_ACTI</t>
  </si>
  <si>
    <t>TANK.51-TT-CR-003D.LEVEL</t>
  </si>
  <si>
    <t>Primary Radar</t>
  </si>
  <si>
    <t>TANK.51-TT-CR-003D.TANK_ALERT</t>
  </si>
  <si>
    <t>TANK.51-TT-CR-003D.HIGH_LEVEL</t>
  </si>
  <si>
    <t>TANK.51-TT-CR-003D.HIGH_HIGH_LEVEL</t>
  </si>
  <si>
    <t>LEVELSWITCH.LSW-08.SWITCH_STATUS</t>
  </si>
  <si>
    <t>VFT</t>
  </si>
  <si>
    <t>LEVELSWITCH.LSW-08.PROOF_TEST_OK</t>
  </si>
  <si>
    <t>LEVELSWITCH.LSW-08.PROOF_TEST_FAILED</t>
  </si>
  <si>
    <t>LEVELSWITCH.RDR-08.SWITCH_STATUS</t>
  </si>
  <si>
    <t>RADAR</t>
  </si>
  <si>
    <t>LEVELSWITCH.RDR-08.PROOF_TEST_OK</t>
  </si>
  <si>
    <t>RDR-08</t>
  </si>
  <si>
    <t>LEVELSWITCH.RDR-08.PROOF_TEST_FAILED</t>
  </si>
  <si>
    <t>MOV.ROSOV-15.OPEN_STATUS</t>
  </si>
  <si>
    <t>ROSOV IL1</t>
  </si>
  <si>
    <t>MOV.ROSOV-15.FAILED_TO_OPEN</t>
  </si>
  <si>
    <t>ROSOV-15</t>
  </si>
  <si>
    <t>ROSOV FAILED IL1</t>
  </si>
  <si>
    <t>MOV.ROSOV-16.OPEN_STATUS</t>
  </si>
  <si>
    <t>ROSOV OL</t>
  </si>
  <si>
    <t>MOV.ROSOV-16.FAILED_TO_CLOSE</t>
  </si>
  <si>
    <t>ROSOV-16</t>
  </si>
  <si>
    <t>ROSOV FAILED OL</t>
  </si>
  <si>
    <t>MOV.MOV-1307.CLOSE_STATUS</t>
  </si>
  <si>
    <t>MOV IL1</t>
  </si>
  <si>
    <t>MOV.MOV-1308.CLOSE_STATUS</t>
  </si>
  <si>
    <t>MOV OL</t>
  </si>
  <si>
    <t>51-TT-CR-005A</t>
  </si>
  <si>
    <t>ETHANOL</t>
  </si>
  <si>
    <t>TANK.51-TT-CR-005A.LEVEL</t>
  </si>
  <si>
    <t>TANK.51-TT-CR-005A.TANK_ALERT</t>
  </si>
  <si>
    <t>TANK.51-TT-CR-005A.HIGH_LEVEL</t>
  </si>
  <si>
    <t>TANK.51-TT-CR-005A.HIGH_HIGH_LEVEL</t>
  </si>
  <si>
    <t>LEVELSWITCH.LSW-17.SWITCH_STATUS</t>
  </si>
  <si>
    <t>LEVELSWITCH.LSW-17.PROOF_TEST_OK</t>
  </si>
  <si>
    <t>LEVELSWITCH.LSW-17.PROOF_TEST_FAILED</t>
  </si>
  <si>
    <t>LEVELSWITCH.RDR-17.SWITCH_STATUS</t>
  </si>
  <si>
    <t>LEVELSWITCH.RDR-17.PROOF_TEST_OK</t>
  </si>
  <si>
    <t>RDR-17</t>
  </si>
  <si>
    <t>LEVELSWITCH.RDR-17.PROOF_TEST_FAILED</t>
  </si>
  <si>
    <t>MOV.ROSOV-33.OPEN_STATUS</t>
  </si>
  <si>
    <t>MOV.ROSOV-33.FAILED_TO_OPEN</t>
  </si>
  <si>
    <t>ROSOV-33</t>
  </si>
  <si>
    <t>MOV.ROSOV-23.OPEN_STATUS</t>
  </si>
  <si>
    <t>MOV.ROSOV-23.FAILED_TO_CLOSE</t>
  </si>
  <si>
    <t>ROSOV-23</t>
  </si>
  <si>
    <t>MOV.MOV-1506.CLOSE_STATUS</t>
  </si>
  <si>
    <t>MOV.MOV-1513.CLOSE_STATUS</t>
  </si>
  <si>
    <t>51-TT-CR-005B</t>
  </si>
  <si>
    <t>INTERFACE</t>
  </si>
  <si>
    <t>TANK.51-TT-CR-005B.LEVEL</t>
  </si>
  <si>
    <t>TANK.51-TT-CR-005B.TANK_ALERT</t>
  </si>
  <si>
    <t>TANK.51-TT-CR-005B.HIGH_LEVEL</t>
  </si>
  <si>
    <t>TANK.51-TT-CR-005B.HIGH_HIGH_LEVEL</t>
  </si>
  <si>
    <t>LEVELSWITCH.LSW-15.SWITCH_STATUS</t>
  </si>
  <si>
    <t>LEVELSWITCH.LSW-15.PROOF_TEST_OK</t>
  </si>
  <si>
    <t>LEVELSWITCH.LSW-15.PROOF_TEST_FAILED</t>
  </si>
  <si>
    <t>LEVELSWITCH.RDR-15.SWITCH_STATUS</t>
  </si>
  <si>
    <t>LEVELSWITCH.RDR-15.PROOF_TEST_OK</t>
  </si>
  <si>
    <t>RDR-15</t>
  </si>
  <si>
    <t>LEVELSWITCH.RDR-15.PROOF_TEST_FAILED</t>
  </si>
  <si>
    <t>MOV.ROSOV-30.OPEN_STATUS</t>
  </si>
  <si>
    <t>MOV.ROSOV-30.FAILED_TO_CLOSE</t>
  </si>
  <si>
    <t>ROSOV-30</t>
  </si>
  <si>
    <t>MOV.MOV-1508.CLOSE_STATUS</t>
  </si>
  <si>
    <t>51-TT-CR-006A</t>
  </si>
  <si>
    <t>WATER</t>
  </si>
  <si>
    <t>TANK.51-TT-CR-006A.LEVEL</t>
  </si>
  <si>
    <t>TANK.51-TT-CR-006A.TANK_ALERT</t>
  </si>
  <si>
    <t>51-TT-CR-006B</t>
  </si>
  <si>
    <t>TANK.51-TT-CR-006B.LEVEL</t>
  </si>
  <si>
    <t>TANK.51-TT-CR-006B.TANK_ALERT</t>
  </si>
  <si>
    <t>51-TT-CR-006C</t>
  </si>
  <si>
    <t>TANK.51-TT-CR-006C.LEVEL</t>
  </si>
  <si>
    <t>TANK.51-TT-CR-006C.TANK_ALERT</t>
  </si>
  <si>
    <t>51-TT-CR-006D</t>
  </si>
  <si>
    <t>TANK.51-TT-CR-006D.LEVEL</t>
  </si>
  <si>
    <t>TANK.51-TT-CR-006D.TANK_ALERT</t>
  </si>
  <si>
    <t>51-TT-FR-001A</t>
  </si>
  <si>
    <t>BS VI MS</t>
  </si>
  <si>
    <t>TANK.51-TT-FR-001A.LEVEL</t>
  </si>
  <si>
    <t>TANK.51-TT-FR-001A.TANK_ALERT</t>
  </si>
  <si>
    <t>TANK.51-TT-FR-001A.HIGH_LEVEL</t>
  </si>
  <si>
    <t>TANK.51-TT-FR-001A.HIGH_HIGH_LEVEL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</si>
  <si>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</si>
  <si>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</si>
  <si>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</si>
  <si>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</si>
  <si>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</si>
  <si>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RDR-03</t>
  </si>
  <si>
    <t>LEVELSWITCH.RDR-03.PROOF_TEST_FAILED</t>
  </si>
  <si>
    <t>MOV.ROSOV-05.OPEN_STATUS</t>
  </si>
  <si>
    <t>MOV.ROSOV-05.FAILED_TO_OPEN</t>
  </si>
  <si>
    <t>ROSOV-05</t>
  </si>
  <si>
    <t>MOV.ROSOV-06.OPEN_STATUS</t>
  </si>
  <si>
    <t>MOV.ROSOV-06.FAILED_TO_CLOSE</t>
  </si>
  <si>
    <t>ROSOV-06</t>
  </si>
  <si>
    <t>MOV.MOV-1101.CLOSE_STATUS</t>
  </si>
  <si>
    <t>MOV.MOV-1103.CLOSE_STATUS</t>
  </si>
  <si>
    <t>RIMSEAL.RIMSEAL-01.FIRE_ALARM</t>
  </si>
  <si>
    <t>RIMSEAL</t>
  </si>
  <si>
    <t>RIMSEAL.RIMSEAL-01.DETECTOR_FAULT</t>
  </si>
  <si>
    <t>RIMSEAL-01</t>
  </si>
  <si>
    <t>51-TT-FR-001B</t>
  </si>
  <si>
    <t>TANK.51-TT-FR-001B.LEVEL</t>
  </si>
  <si>
    <t>TANK.51-TT-FR-001B.TANK_ALERT</t>
  </si>
  <si>
    <t>TANK.51-TT-FR-001B.HIGH_LEVEL</t>
  </si>
  <si>
    <t>TANK.51-TT-FR-001B.HIGH_HIGH_LEVEL</t>
  </si>
  <si>
    <t>LEVELSWITCH.LSW-01.SWITCH_STATUS</t>
  </si>
  <si>
    <t>LEVELSWITCH.LSW-01.PROOF_TEST_OK</t>
  </si>
  <si>
    <t>LEVELSWITCH.LSW-01.PROOF_TEST_FAILED</t>
  </si>
  <si>
    <t>LEVELSWITCH.RDR-01.SWITCH_STATUS</t>
  </si>
  <si>
    <t>LEVELSWITCH.RDR-01.PROOF_TEST_OK</t>
  </si>
  <si>
    <t>RDR-01</t>
  </si>
  <si>
    <t>LEVELSWITCH.RDR-01.PROOF_TEST_FAILED</t>
  </si>
  <si>
    <t>MOV.ROSOV-01.OPEN_STATUS</t>
  </si>
  <si>
    <t>MOV.ROSOV-01.FAILED_TO_OPEN</t>
  </si>
  <si>
    <t>ROSOV-01</t>
  </si>
  <si>
    <t>MOV.ROSOV-02.OPEN_STATUS</t>
  </si>
  <si>
    <t>MOV.ROSOV-02.FAILED_TO_CLOSE</t>
  </si>
  <si>
    <t>ROSOV-02</t>
  </si>
  <si>
    <t>MOV.MOV-1102.CLOSE_STATUS</t>
  </si>
  <si>
    <t>MOV.MOV-1104.CLOSE_STATUS</t>
  </si>
  <si>
    <t>RIMSEAL.RIMSEAL-02.FIRE_ALARM</t>
  </si>
  <si>
    <t>RIMSEAL.RIMSEAL-02.DETECTOR_FAULT</t>
  </si>
  <si>
    <t>RIMSEAL-02</t>
  </si>
  <si>
    <t>51-TT-FR-001C</t>
  </si>
  <si>
    <t>GASOHOL</t>
  </si>
  <si>
    <t>TANK.51-TT-FR-001C.LEVEL</t>
  </si>
  <si>
    <t>TANK.51-TT-FR-001C.TANK_ALERT</t>
  </si>
  <si>
    <t>TANK.51-TT-FR-001C.HIGH_LEVEL</t>
  </si>
  <si>
    <t>TANK.51-TT-FR-001C.HIGH_HIGH_LEVEL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</si>
  <si>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</si>
  <si>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</si>
  <si>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</si>
  <si>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</si>
  <si>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</si>
  <si>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RDR-04</t>
  </si>
  <si>
    <t>LEVELSWITCH.RDR-04.PROOF_TEST_FAILED</t>
  </si>
  <si>
    <t>MOV.ROSOV-07.OPEN_STATUS</t>
  </si>
  <si>
    <t>MOV.ROSOV-07.FAILED_TO_OPEN</t>
  </si>
  <si>
    <t>ROSOV-07</t>
  </si>
  <si>
    <t>MOV.ROSOV-08.OPEN_STATUS</t>
  </si>
  <si>
    <t>MOV.ROSOV-08.FAILED_TO_CLOSE</t>
  </si>
  <si>
    <t>ROSOV-08</t>
  </si>
  <si>
    <t>MOV.MOV-1105.CLOSE_STATUS</t>
  </si>
  <si>
    <t>MOV.MOV-1107.CLOSE_STATUS</t>
  </si>
  <si>
    <t>RIMSEAL.RIMSEAL-03.FIRE_ALARM</t>
  </si>
  <si>
    <t>RIMSEAL.RIMSEAL-03.DETECTOR_FAULT</t>
  </si>
  <si>
    <t>RIMSEAL-03</t>
  </si>
  <si>
    <t>51-TT-FR-001D</t>
  </si>
  <si>
    <t>TANK.51-TT-FR-001D.LEVEL</t>
  </si>
  <si>
    <t>TANK.51-TT-FR-001D.TANK_ALERT</t>
  </si>
  <si>
    <t>TANK.51-TT-FR-001D.HIGH_LEVEL</t>
  </si>
  <si>
    <t>TANK.51-TT-FR-001D.HIGH_HIGH_LEVEL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</si>
  <si>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</si>
  <si>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</si>
  <si>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</si>
  <si>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</si>
  <si>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</si>
  <si>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RDR-12</t>
  </si>
  <si>
    <t>LEVELSWITCH.RDR-12.PROOF_TEST_FAILED</t>
  </si>
  <si>
    <t>MOV.ROSOV-24.OPEN_STATUS</t>
  </si>
  <si>
    <t>MOV.ROSOV-24.FAILED_TO_CLOSE</t>
  </si>
  <si>
    <t>ROSOV-24</t>
  </si>
  <si>
    <t>MOV.MOV-1106.CLOSE_STATUS</t>
  </si>
  <si>
    <t>MOV.MOV-1108.CLOSE_STATUS</t>
  </si>
  <si>
    <t>51-TT-FR-002A</t>
  </si>
  <si>
    <t>SKO</t>
  </si>
  <si>
    <t>TANK.51-TT-FR-002A.LEVEL</t>
  </si>
  <si>
    <t>TANK.51-TT-FR-002A.TANK_ALERT</t>
  </si>
  <si>
    <t>TANK.51-TT-FR-002A.HIGH_LEVEL</t>
  </si>
  <si>
    <t>TANK.51-TT-FR-002A.HIGH_HIGH_LEVEL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</si>
  <si>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</si>
  <si>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</si>
  <si>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</si>
  <si>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</si>
  <si>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</si>
  <si>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RDR-13</t>
  </si>
  <si>
    <t>LEVELSWITCH.RDR-13.PROOF_TEST_FAILED</t>
  </si>
  <si>
    <t>MOV.ROSOV-25.OPEN_STATUS</t>
  </si>
  <si>
    <t>MOV.ROSOV-25.FAILED_TO_OPEN</t>
  </si>
  <si>
    <t>ROSOV-25</t>
  </si>
  <si>
    <t>MOV.ROSOV-26.OPEN_STATUS</t>
  </si>
  <si>
    <t>MOV.ROSOV-26.FAILED_TO_CLOSE</t>
  </si>
  <si>
    <t>ROSOV-26</t>
  </si>
  <si>
    <t>MOV.MOV-1201.CLOSE_STATUS</t>
  </si>
  <si>
    <t>MOV.MOV-1204.CLOSE_STATUS</t>
  </si>
  <si>
    <t>51-TT-FR-002B</t>
  </si>
  <si>
    <t>TANK.51-TT-FR-002B.LEVEL</t>
  </si>
  <si>
    <t xml:space="preserve">  </t>
  </si>
  <si>
    <t>TANK.51-TT-FR-002B.HIGH_LEVEL</t>
  </si>
  <si>
    <t>TANK.51-TT-FR-002B.HIGH_HIGH_LEVEL</t>
  </si>
  <si>
    <t>LEVELSWITCH.LSW-14.SWITCH_STATUS</t>
  </si>
  <si>
    <t>LEVELSWITCH.LSW-14.PROOF_TEST_OK</t>
  </si>
  <si>
    <t>LEVELSWITCH.LSW-14.PROOF_TEST_FAILED</t>
  </si>
  <si>
    <t>LEVELSWITCH.RDR-14.SWITCH_STATUS</t>
  </si>
  <si>
    <t>LEVELSWITCH.RDR-14.PROOF_TEST_OK</t>
  </si>
  <si>
    <t>RDR-14</t>
  </si>
  <si>
    <t>LEVELSWITCH.RDR-14.PROOF_TEST_FAILED</t>
  </si>
  <si>
    <t>MOV.ROSOV-27.OPEN_STATUS</t>
  </si>
  <si>
    <t>MOV.ROSOV-27.FAILED_TO_OPEN</t>
  </si>
  <si>
    <t>ROSOV-27</t>
  </si>
  <si>
    <t>MOV.ROSOV-28.OPEN_STATUS</t>
  </si>
  <si>
    <t>MOV.ROSOV-28.FAILED_TO_CLOSE</t>
  </si>
  <si>
    <t>ROSOV-28</t>
  </si>
  <si>
    <t>MOV.MOV-1202.CLOSE_STATUS</t>
  </si>
  <si>
    <t>MOV.MOV-1205.CLOSE_STATUS</t>
  </si>
  <si>
    <t>51-TT-FR-003A</t>
  </si>
  <si>
    <t>TANK.51-TT-FR-003A.LEVEL</t>
  </si>
  <si>
    <t>TANK.51-TT-FR-003A.TANK_ALERT</t>
  </si>
  <si>
    <t>TANK.51-TT-FR-003A.HIGH_LEVEL</t>
  </si>
  <si>
    <t>TANK.51-TT-FR-003A.HIGH_HIGH_LEVEL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</si>
  <si>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</si>
  <si>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</si>
  <si>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</si>
  <si>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</si>
  <si>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</si>
  <si>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RDR-09</t>
  </si>
  <si>
    <t>LEVELSWITCH.RDR-09.PROOF_TEST_FAILED</t>
  </si>
  <si>
    <t>MOV.ROSOV-17.OPEN_STATUS</t>
  </si>
  <si>
    <t>MOV.ROSOV-17.FAILED_TO_OPEN</t>
  </si>
  <si>
    <t>ROSOV-17</t>
  </si>
  <si>
    <t>MOV.ROSOV-18.OPEN_STATUS</t>
  </si>
  <si>
    <t>MOV.ROSOV-18.FAILED_TO_CLOSE</t>
  </si>
  <si>
    <t>ROSOV-18</t>
  </si>
  <si>
    <t>MOV.MOV-1301.CLOSE_STATUS</t>
  </si>
  <si>
    <t>MOV.MOV-1303.CLOSE_STATUS</t>
  </si>
  <si>
    <t>51-TT-FR-003B</t>
  </si>
  <si>
    <t>TANK.51-TT-FR-003B.LEVEL</t>
  </si>
  <si>
    <t>TANK.51-TT-FR-003B.TANK_ALERT</t>
  </si>
  <si>
    <t>TANK.51-TT-FR-003B.HIGH_LEVEL</t>
  </si>
  <si>
    <t>TANK.51-TT-FR-003B.HIGH_HIGH_LEVEL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</si>
  <si>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</si>
  <si>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</si>
  <si>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</si>
  <si>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</si>
  <si>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</si>
  <si>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RDR-06</t>
  </si>
  <si>
    <t>LEVELSWITCH.RDR-06.PROOF_TEST_FAILED</t>
  </si>
  <si>
    <t>MOV.ROSOV-11.OPEN_STATUS</t>
  </si>
  <si>
    <t>MOV.ROSOV-11.FAILED_TO_OPEN</t>
  </si>
  <si>
    <t>ROSOV-11</t>
  </si>
  <si>
    <t>MOV.ROSOV-12.OPEN_STATUS</t>
  </si>
  <si>
    <t>MOV.ROSOV-12.FAILED_TO_CLOSE</t>
  </si>
  <si>
    <t>ROSOV-12</t>
  </si>
  <si>
    <t>MOV.MOV-1302.CLOSE_STATUS</t>
  </si>
  <si>
    <t>MOV.MOV-1304.CLOSE_STATUS</t>
  </si>
  <si>
    <t>51-TT-FR-003C</t>
  </si>
  <si>
    <t>TANK.51-TT-FR-003C.LEVEL</t>
  </si>
  <si>
    <t>TANK.51-TT-FR-003C.TANK_ALERT</t>
  </si>
  <si>
    <t>TANK.51-TT-FR-003C.HIGH_LEVEL</t>
  </si>
  <si>
    <t>TANK.51-TT-FR-003C.HIGH_HIGH_LEVEL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</si>
  <si>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</si>
  <si>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</si>
  <si>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</si>
  <si>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</si>
  <si>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</si>
  <si>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RDR-02</t>
  </si>
  <si>
    <t>LEVELSWITCH.RDR-02.PROOF_TEST_FAILED</t>
  </si>
  <si>
    <t>MOV.ROSOV-03.OPEN_STATUS</t>
  </si>
  <si>
    <t>MOV.ROSOV-03.FAILED_TO_OPEN</t>
  </si>
  <si>
    <t>ROSOV-03</t>
  </si>
  <si>
    <t>MOV.ROSOV-04.OPEN_STATUS</t>
  </si>
  <si>
    <t>MOV.ROSOV-04.FAILED_TO_CLOSE</t>
  </si>
  <si>
    <t>ROSOV-04</t>
  </si>
  <si>
    <t>MOV.MOV-1305.CLOSE_STATUS</t>
  </si>
  <si>
    <t>MOV.MOV-1306.CLOSE_STATUS</t>
  </si>
  <si>
    <t>RIMSEAL.RIMSEAL-04.FIRE_ALARM</t>
  </si>
  <si>
    <t>RIMSEAL.RIMSEAL-04.DETECTOR_FAULT</t>
  </si>
  <si>
    <t>RIMSEAL-04</t>
  </si>
  <si>
    <t>51-TT-FR-003E</t>
  </si>
  <si>
    <t>TANK.51-TT-FR-003E.LEVEL</t>
  </si>
  <si>
    <t>TANK.51-TT-FR-003E.TANK_ALERT</t>
  </si>
  <si>
    <t>TANK.51-TT-FR-003E.HIGH_LEVEL</t>
  </si>
  <si>
    <t>TANK.51-TT-FR-003E.HIGH_HIGH_LEVEL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</si>
  <si>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</si>
  <si>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</si>
  <si>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</si>
  <si>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</si>
  <si>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</si>
  <si>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RDR-11</t>
  </si>
  <si>
    <t>LEVELSWITCH.RDR-11.PROOF_TEST_FAILED</t>
  </si>
  <si>
    <t>MOV.ROSOV-21.OPEN_STATUS</t>
  </si>
  <si>
    <t>MOV.ROSOV-21.FAILED_TO_OPEN</t>
  </si>
  <si>
    <t>ROSOV-21</t>
  </si>
  <si>
    <t>MOV.ROSOV-22.OPEN_STATUS</t>
  </si>
  <si>
    <t>MOV.ROSOV-22.FAILED_TO_CLOSE</t>
  </si>
  <si>
    <t>ROSOV-22</t>
  </si>
  <si>
    <t>MOV.MOV-1309.CLOSE_STATUS</t>
  </si>
  <si>
    <t>MOV.MOV-1310.CLOSE_STATUS</t>
  </si>
  <si>
    <t>51-TT-FR-004A</t>
  </si>
  <si>
    <t>ATF</t>
  </si>
  <si>
    <t>TANK.51-TT-FR-004A.LEVEL</t>
  </si>
  <si>
    <t>TANK.51-TT-FR-004A.TANK_ALERT</t>
  </si>
  <si>
    <t>TANK.51-TT-FR-004A.HIGH_LEVEL</t>
  </si>
  <si>
    <t>TANK.51-TT-FR-004A.HIGH_HIGH_LEVEL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</si>
  <si>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</si>
  <si>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</si>
  <si>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</si>
  <si>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</si>
  <si>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</si>
  <si>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RDR-07</t>
  </si>
  <si>
    <t>LEVELSWITCH.RDR-07.PROOF_TEST_FAILED</t>
  </si>
  <si>
    <t>MOV.ROSOV-13.OPEN_STATUS</t>
  </si>
  <si>
    <t>MOV.ROSOV-13.FAILED_TO_OPEN</t>
  </si>
  <si>
    <t>ROSOV-13</t>
  </si>
  <si>
    <t>MOV.ROSOV-14.OPEN_STATUS</t>
  </si>
  <si>
    <t>MOV.ROSOV-14.FAILED_TO_CLOSE</t>
  </si>
  <si>
    <t>ROSOV-14</t>
  </si>
  <si>
    <t>MOV.MOV-1401.CLOSE_STATUS</t>
  </si>
  <si>
    <t>MOV.MOV-1404.CLOSE_STATUS</t>
  </si>
  <si>
    <t>51-TT-FR-004B</t>
  </si>
  <si>
    <t>TANK.51-TT-FR-004B.LEVEL</t>
  </si>
  <si>
    <t>TANK.51-TT-FR-004B.TANK_ALERT</t>
  </si>
  <si>
    <t>TANK.51-TT-FR-004B.HIGH_LEVEL</t>
  </si>
  <si>
    <t>TANK.51-TT-FR-004B.HIGH_HIGH_LEVEL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</si>
  <si>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</si>
  <si>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</si>
  <si>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</si>
  <si>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</si>
  <si>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</si>
  <si>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RDR-10</t>
  </si>
  <si>
    <t>LEVELSWITCH.RDR-10.PROOF_TEST_FAILED</t>
  </si>
  <si>
    <t>MOV.ROSOV-19.OPEN_STATUS</t>
  </si>
  <si>
    <t>MOV.ROSOV-19.FAILED_TO_OPEN</t>
  </si>
  <si>
    <t>ROSOV-19</t>
  </si>
  <si>
    <t>MOV.ROSOV-20.OPEN_STATUS</t>
  </si>
  <si>
    <t>MOV.ROSOV-20.FAILED_TO_CLOSE</t>
  </si>
  <si>
    <t>ROSOV-20</t>
  </si>
  <si>
    <t>MOV.MOV-1402.CLOSE_STATUS</t>
  </si>
  <si>
    <t>MOV.MOV-1405.CLOSE_STATUS</t>
  </si>
  <si>
    <t>51-TT-FR-004C</t>
  </si>
  <si>
    <t>TANK.51-TT-FR-004C.LEVEL</t>
  </si>
  <si>
    <t>TANK.51-TT-FR-004C.TANK_ALERT</t>
  </si>
  <si>
    <t>TANK.51-TT-FR-004C.HIGH_LEVEL</t>
  </si>
  <si>
    <t>TANK.51-TT-FR-004C.HIGH_HIGH_LEVEL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</si>
  <si>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</si>
  <si>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</si>
  <si>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</si>
  <si>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</si>
  <si>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</si>
  <si>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RDR-05</t>
  </si>
  <si>
    <t>LEVELSWITCH.RDR-05.PROOF_TEST_FAILED</t>
  </si>
  <si>
    <t>MOV.ROSOV-09.OPEN_STATUS</t>
  </si>
  <si>
    <t>MOV.ROSOV-09.FAILED_TO_OPEN</t>
  </si>
  <si>
    <t>ROSOV-09</t>
  </si>
  <si>
    <t>MOV.ROSOV-10.OPEN_STATUS</t>
  </si>
  <si>
    <t>MOV.ROSOV-10.FAILED_TO_CLOSE</t>
  </si>
  <si>
    <t>ROSOV-10</t>
  </si>
  <si>
    <t>MOV.MOV-1403.CLOSE_STATUS</t>
  </si>
  <si>
    <t>MOV.MOV-1406.CLOSE_STATUS</t>
  </si>
  <si>
    <t>RIMSEAL.RIMSEAL-05.FIRE_ALARM</t>
  </si>
  <si>
    <t>RIMSEAL.RIMSEAL-05.DETECTOR_FAULT</t>
  </si>
  <si>
    <t>RIMSEAL-05</t>
  </si>
  <si>
    <t>51-TT-FR-005C</t>
  </si>
  <si>
    <t>TANK.51-TT-FR-005C.LEVEL</t>
  </si>
  <si>
    <t>TANK.51-TT-FR-005C.TANK_ALERT</t>
  </si>
  <si>
    <t>TANK.51-TT-FR-005C.HIGH_LEVEL</t>
  </si>
  <si>
    <t>TANK.51-TT-FR-005C.HIGH_HIGH_LEVEL</t>
  </si>
  <si>
    <t>LEVELSWITCH.LSW-16.SWITCH_STATUS</t>
  </si>
  <si>
    <t>LEVELSWITCH.LSW-16.PROOF_TEST_OK</t>
  </si>
  <si>
    <t>LEVELSWITCH.LSW-16.PROOF_TEST_FAILED</t>
  </si>
  <si>
    <t>LEVELSWITCH.RDR-16.SWITCH_STATUS</t>
  </si>
  <si>
    <t>LEVELSWITCH.RDR-16.PROOF_TEST_OK</t>
  </si>
  <si>
    <t>RDR-16</t>
  </si>
  <si>
    <t>LEVELSWITCH.RDR-16.PROOF_TEST_FAILED</t>
  </si>
  <si>
    <t>MOV.ROSOV-31.OPEN_STATUS</t>
  </si>
  <si>
    <t>MOV.ROSOV-31.FAILED_TO_OPEN</t>
  </si>
  <si>
    <t>ROSOV-31</t>
  </si>
  <si>
    <t>MOV.ROSOV-32.OPEN_STATUS</t>
  </si>
  <si>
    <t>MOV.ROSOV-32.FAILED_TO_CLOSE</t>
  </si>
  <si>
    <t>ROSOV-32</t>
  </si>
  <si>
    <t>MOV.MOV-1510.CLOSE_STATUS</t>
  </si>
  <si>
    <t>MOV.MOV-1511.CLOSE_STATUS</t>
  </si>
  <si>
    <t>51-TT-UG-0001</t>
  </si>
  <si>
    <t>UG</t>
  </si>
  <si>
    <t>TANK.51-TT-UG-0001.LEVEL</t>
  </si>
  <si>
    <t>TANK.51-TT-UG-0001.TANK_ALERT</t>
  </si>
  <si>
    <t>TANK.51-TT-UG-0001.HIGH_LEVEL</t>
  </si>
  <si>
    <t>TANK.51-TT-UG-0001.HIGH_HIGH_LEVEL</t>
  </si>
  <si>
    <t>51-TT-UG-0002</t>
  </si>
  <si>
    <t>TANK.51-TT-UG-0002.LEVEL</t>
  </si>
  <si>
    <t>TANK.51-TT-UG-0002.TANK_ALERT</t>
  </si>
  <si>
    <t>TANK.51-TT-UG-0002.HIGH_LEVEL</t>
  </si>
  <si>
    <t>TANK.51-TT-UG-0002.HIGH_HIGH_LEVEL</t>
  </si>
  <si>
    <t>51-TT-UG-0003</t>
  </si>
  <si>
    <t>TANK.51-TT-UG-0003.LEVEL</t>
  </si>
  <si>
    <t>TANK.51-TT-UG-0003.TANK_ALERT</t>
  </si>
  <si>
    <t>TANK.51-TT-UG-0003.HIGH_LEVEL</t>
  </si>
  <si>
    <t>TANK.51-TT-UG-0003.HIGH_HIGH_LEVEL</t>
  </si>
  <si>
    <t>51-TT-UG-0010</t>
  </si>
  <si>
    <t>TANK.51-TT-UG-0010.LEVEL</t>
  </si>
  <si>
    <t>TANK.51-TT-UG-0010.TANK_ALERT</t>
  </si>
  <si>
    <t>TANK.51-TT-UG-0010.HIGH_LEVEL</t>
  </si>
  <si>
    <t>TANK.51-TT-UG-0010.HIGH_HIGH_LEVEL</t>
  </si>
  <si>
    <t>51-TT-UG-0013</t>
  </si>
  <si>
    <t>TANK.51-TT-UG-0013.LEVEL</t>
  </si>
  <si>
    <t>TANK.51-TT-UG-0013.TANK_ALERT</t>
  </si>
  <si>
    <t>TANK.51-TT-UG-0013.HIGH_LEVEL</t>
  </si>
  <si>
    <t>TANK.51-TT-UG-0013.HIGH_HIGH_LEVEL</t>
  </si>
  <si>
    <t>51-TT-UG-0014</t>
  </si>
  <si>
    <t>BIO HSD</t>
  </si>
  <si>
    <t>TANK.51-TT-UG-0014.LEVEL</t>
  </si>
  <si>
    <t>TANK.51-TT-UG-0014.TANK_ALERT</t>
  </si>
  <si>
    <t>TANK.51-TT-UG-0014.HIGH_LEVEL</t>
  </si>
  <si>
    <t>TANK.51-TT-UG-0014.HIGH_HIGH_LEVEL</t>
  </si>
  <si>
    <t>51-TT-UG-0015</t>
  </si>
  <si>
    <t>TANK.51-TT-UG-0015.LEVEL</t>
  </si>
  <si>
    <t>TANK.51-TT-UG-0015.TANK_ALERT</t>
  </si>
  <si>
    <t>TANK.51-TT-UG-0015.HIGH_LEVEL</t>
  </si>
  <si>
    <t>TANK.51-TT-UG-0015.HIGH_HIGH_LEVEL</t>
  </si>
  <si>
    <t>51-TT-UG-SLOP</t>
  </si>
  <si>
    <t>SLOP</t>
  </si>
  <si>
    <t>TANK MAINTENANCE</t>
  </si>
  <si>
    <t>LEVEL SWITCH MAINTENANCE</t>
  </si>
  <si>
    <t>RADAR MAINTENANCE</t>
  </si>
  <si>
    <t>ROSOV MAINTENANCE IL1</t>
  </si>
  <si>
    <t>ROSOV MAINTENANCE IL2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</si>
  <si>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</si>
  <si>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</si>
  <si>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</si>
  <si>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</si>
  <si>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</si>
  <si>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</si>
  <si>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</si>
  <si>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Secunderabad_M</t>
  </si>
  <si>
    <t>TANK.51-TT-CR-003D.MAINTENANCE_STATUS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</si>
  <si>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</si>
  <si>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</si>
  <si>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</si>
  <si>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</si>
  <si>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MOV.MOV-1307.MAINTENANCE_STATUS</t>
  </si>
  <si>
    <t>MOV.MOV-1308.MAINTENANCE_STATUS</t>
  </si>
  <si>
    <t>TANK.51-TT-CR-005A.MAINTENANCE_STATUS</t>
  </si>
  <si>
    <t>LEVELSWITCH.LSW-17.MAINTENANCE_STATUS</t>
  </si>
  <si>
    <t>LEVELSWITCH.RDR-17.MAINTENANCE_STATUS</t>
  </si>
  <si>
    <t>MOV.ROSOV-33.MAINTENANCE_STATUS</t>
  </si>
  <si>
    <t>MOV.ROSOV-23.MAINTENANCE_STATUS</t>
  </si>
  <si>
    <t>MOV.MOV-1506.MAINTENANCE_STATUS</t>
  </si>
  <si>
    <t>MOV.MOV-1513.MAINTENANCE_STATUS</t>
  </si>
  <si>
    <t>TANK.51-TT-CR-005B.MAINTENANCE_STATUS</t>
  </si>
  <si>
    <t>LEVELSWITCH.LSW-15.MAINTENANCE_STATUS</t>
  </si>
  <si>
    <t>LEVELSWITCH.RDR-15.MAINTENANCE_STATUS</t>
  </si>
  <si>
    <t>MOV.MOV-1508.MAINTENANCE_STATUS</t>
  </si>
  <si>
    <t>TANK.51-TT-FR-001A.MAINTENANCE_STATUS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</si>
  <si>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</si>
  <si>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</si>
  <si>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</si>
  <si>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</si>
  <si>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MOV.MOV-1101.MAINTENANCE_STATUS</t>
  </si>
  <si>
    <t>MOV.MOV-1103.MAINTENANCE_STATUS</t>
  </si>
  <si>
    <t>TANK.51-TT-FR-001B.MAINTENANCE_STATUS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</si>
  <si>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</si>
  <si>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</si>
  <si>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</si>
  <si>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</si>
  <si>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MOV.MOV-1102.MAINTENANCE_STATUS</t>
  </si>
  <si>
    <t>MOV.MOV-1104.MAINTENANCE_STATUS</t>
  </si>
  <si>
    <t>TANK.51-TT-FR-001C.MAINTENANCE_STATUS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</si>
  <si>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</si>
  <si>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</si>
  <si>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</si>
  <si>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</si>
  <si>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MOV.MOV-1105.MAINTENANCE_STATUS</t>
  </si>
  <si>
    <t>MOV.MOV-1107.MAINTENANCE_STATUS</t>
  </si>
  <si>
    <t>TANK.51-TT-FR-001D.MAINTENANCE_STATUS</t>
  </si>
  <si>
    <t>LEVELSWITCH.LSW-12.MAINTENANCE_STATUS</t>
  </si>
  <si>
    <t>LEVELSWITCH.RDR-12.MAINTENANCE_STATUS</t>
  </si>
  <si>
    <t>MOV.ROSOV-24.MAINTENANCE_STATUS</t>
  </si>
  <si>
    <t>MOV.MOV-1106.MAINTENANCE_STATUS</t>
  </si>
  <si>
    <t>MOV.MOV-1108.MAINTENANCE_STATUS</t>
  </si>
  <si>
    <t>TANK.51-TT-FR-002A.MAINTENANCE_STATUS</t>
  </si>
  <si>
    <t>LEVELSWITCH.LSW-13.MAINTENANCE_STATUS</t>
  </si>
  <si>
    <t>LEVELSWITCH.RDR-13.MAINTENANCE_STATUS</t>
  </si>
  <si>
    <t>MOV.ROSOV-25.MAINTENANCE_STATUS</t>
  </si>
  <si>
    <t>MOV.ROSOV-26.MAINTENANCE_STATUS</t>
  </si>
  <si>
    <t>MOV.MOV-1201.MAINTENANCE_STATUS</t>
  </si>
  <si>
    <t>MOV.MOV-1204.MAINTENANCE_STATUS</t>
  </si>
  <si>
    <t>TANK.51-TT-FR-002B.MAINTENANCE_STATUS</t>
  </si>
  <si>
    <t>LEVELSWITCH.LSW-14.MAINTENANCE_STATUS</t>
  </si>
  <si>
    <t>LEVELSWITCH.RDR-14.MAINTENANCE_STATUS</t>
  </si>
  <si>
    <t>MOV.ROSOV-27.MAINTENANCE_STATUS</t>
  </si>
  <si>
    <t>MOV.ROSOV-28.MAINTENANCE_STATUS</t>
  </si>
  <si>
    <t>MOV.MOV-1202.MAINTENANCE_STATUS</t>
  </si>
  <si>
    <t>MOV.MOV-1205.MAINTENANCE_STATUS</t>
  </si>
  <si>
    <t>TANK.51-TT-FR-003A.MAINTENANCE_STATUS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</si>
  <si>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</si>
  <si>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</si>
  <si>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</si>
  <si>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</si>
  <si>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MOV.MOV-1301.MAINTENANCE_STATUS</t>
  </si>
  <si>
    <t>MOV.MOV-1303.MAINTENANCE_STATUS</t>
  </si>
  <si>
    <t>TANK.51-TT-FR-003B.MAINTENANCE_STATUS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</si>
  <si>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</si>
  <si>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</si>
  <si>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</si>
  <si>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</si>
  <si>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MOV.MOV-1302.MAINTENANCE_STATUS</t>
  </si>
  <si>
    <t>MOV.MOV-1304.MAINTENANCE_STATUS</t>
  </si>
  <si>
    <t>TANK.51-TT-FR-003C.MAINTENANCE_STATUS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</si>
  <si>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</si>
  <si>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</si>
  <si>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</si>
  <si>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</si>
  <si>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MOV.MOV-1305.MAINTENANCE_STATUS</t>
  </si>
  <si>
    <t>MOV.MOV-1306.MAINTENANCE_STATUS</t>
  </si>
  <si>
    <t>TANK.51-TT-FR-003E.MAINTENANCE_STATUS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</si>
  <si>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</si>
  <si>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</si>
  <si>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</si>
  <si>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</si>
  <si>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MOV.MOV-1309.MAINTENANCE_STATUS</t>
  </si>
  <si>
    <t>MOV.MOV-1310.MAINTENANCE_STATUS</t>
  </si>
  <si>
    <t>TANK.51-TT-FR-004A.MAINTENANCE_STATUS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</si>
  <si>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</si>
  <si>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</si>
  <si>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</si>
  <si>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</si>
  <si>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MOV.MOV-1401.MAINTENANCE_STATUS</t>
  </si>
  <si>
    <t>MOV.MOV-1404.MAINTENANCE_STATUS</t>
  </si>
  <si>
    <t>TANK.51-TT-FR-004B.MAINTENANCE_STATUS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</si>
  <si>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</si>
  <si>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</si>
  <si>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</si>
  <si>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</si>
  <si>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MOV.MOV-1402.MAINTENANCE_STATUS</t>
  </si>
  <si>
    <t>MOV.MOV-1405.MAINTENANCE_STATUS</t>
  </si>
  <si>
    <t>TANK.51-TT-FR-004C.MAINTENANCE_STATUS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</si>
  <si>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</si>
  <si>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</si>
  <si>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</si>
  <si>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</si>
  <si>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MOV.MOV-1403.MAINTENANCE_STATUS</t>
  </si>
  <si>
    <t>MOV.MOV-1406.MAINTENANCE_STATUS</t>
  </si>
  <si>
    <t>TANK.51-TT-FR-005C.MAINTENANCE_STATUS</t>
  </si>
  <si>
    <t>LEVELSWITCH.LSW-16.MAINTENANCE_STATUS</t>
  </si>
  <si>
    <t>LEVELSWITCH.RDR-16.MAINTENANCE_STATUS</t>
  </si>
  <si>
    <t>MOV.ROSOV-31.MAINTENANCE_STATUS</t>
  </si>
  <si>
    <t>MOV.ROSOV-32.MAINTENANCE_STATUS</t>
  </si>
  <si>
    <t>MOV.MOV-1510.MAINTENANCE_STATUS</t>
  </si>
  <si>
    <t>MOV.MOV-1511.MAINTENANCE_STATUS</t>
  </si>
  <si>
    <t>Pump ID</t>
  </si>
  <si>
    <t>Fuel Type</t>
  </si>
  <si>
    <t>Pump Type</t>
  </si>
  <si>
    <t>Pump Direction(Reciept/Dispatch)</t>
  </si>
  <si>
    <t>PUMP ON STATUS</t>
  </si>
  <si>
    <t>PUMP OFF STATUS</t>
  </si>
  <si>
    <t>PUMP LR STATUS</t>
  </si>
  <si>
    <t>51-PA-CF-001A</t>
  </si>
  <si>
    <t>TLF</t>
  </si>
  <si>
    <t>DISPATCH</t>
  </si>
  <si>
    <t>PUMP.51-PA-CF-001A.ON</t>
  </si>
  <si>
    <t>PUMP.51-PA-CF-001A.OFF</t>
  </si>
  <si>
    <t>PUMP.51-PA-CF-001A.REMOTE_STATUS</t>
  </si>
  <si>
    <t>51-PA-CF-001B</t>
  </si>
  <si>
    <t>PUMP.51-PA-CF-001B.ON</t>
  </si>
  <si>
    <t>PUMP.51-PA-CF-001B.OFF</t>
  </si>
  <si>
    <t>PUMP.51-PA-CF-001B.REMOTE_STATUS</t>
  </si>
  <si>
    <t>51-PA-CF-001C</t>
  </si>
  <si>
    <t>PUMP.51-PA-CF-001C.ON</t>
  </si>
  <si>
    <t>PUMP.51-PA-CF-001C.OFF</t>
  </si>
  <si>
    <t>PUMP.51-PA-CF-001C.REMOTE_STATUS</t>
  </si>
  <si>
    <t>51-PA-CF-001E</t>
  </si>
  <si>
    <t>PUMP.51-PA-CF-001E.ON</t>
  </si>
  <si>
    <t>PUMP.51-PA-CF-001E.OFF</t>
  </si>
  <si>
    <t>PUMP.51-PA-CF-001E.REMOTE_STATUS</t>
  </si>
  <si>
    <t>51-PA-CF-001F</t>
  </si>
  <si>
    <t>PUMP.51-PA-CF-001F.ON</t>
  </si>
  <si>
    <t>PUMP.51-PA-CF-001F.OFF</t>
  </si>
  <si>
    <t>PUMP.51-PA-CF-001F.REMOTE_STATUS</t>
  </si>
  <si>
    <t>51-PA-CF-003A</t>
  </si>
  <si>
    <t>PUMP.51-PA-CF-003A.ON</t>
  </si>
  <si>
    <t>PUMP.51-PA-CF-003A.OFF</t>
  </si>
  <si>
    <t>PUMP.51-PA-CF-003A.REMOTE_STATUS</t>
  </si>
  <si>
    <t>51-PA-CF-003B</t>
  </si>
  <si>
    <t>PUMP.51-PA-CF-003B.ON</t>
  </si>
  <si>
    <t>PUMP.51-PA-CF-003B.OFF</t>
  </si>
  <si>
    <t>PUMP.51-PA-CF-003B.REMOTE_STATUS</t>
  </si>
  <si>
    <t>51-PA-CF-003C</t>
  </si>
  <si>
    <t>PUMP.51-PA-CF-003C.ON</t>
  </si>
  <si>
    <t>PUMP.51-PA-CF-003C.OFF</t>
  </si>
  <si>
    <t>PUMP.51-PA-CF-003C.REMOTE_STATUS</t>
  </si>
  <si>
    <t>51-PA-CF-003D</t>
  </si>
  <si>
    <t>PUMP.51-PA-CF-003D.ON</t>
  </si>
  <si>
    <t>PUMP.51-PA-CF-003D.OFF</t>
  </si>
  <si>
    <t>PUMP.51-PA-CF-003D.REMOTE_STATUS</t>
  </si>
  <si>
    <t>51-PA-CF-003E</t>
  </si>
  <si>
    <t>PUMP.51-PA-CF-003E.ON</t>
  </si>
  <si>
    <t>PUMP.51-PA-CF-003E.OFF</t>
  </si>
  <si>
    <t>PUMP.51-PA-CF-003E.REMOTE_STATUS</t>
  </si>
  <si>
    <t>51-PA-CF-003F</t>
  </si>
  <si>
    <t>PUMP.51-PA-CF-003F.ON</t>
  </si>
  <si>
    <t>PUMP.51-PA-CF-003F.OFF</t>
  </si>
  <si>
    <t>PUMP.51-PA-CF-003F.REMOTE_STATUS</t>
  </si>
  <si>
    <t>51-PA-CF-006A</t>
  </si>
  <si>
    <t>SUMP</t>
  </si>
  <si>
    <t>51-PA-CF-006B</t>
  </si>
  <si>
    <t>PUMP.51-PA-CF-006B.ON</t>
  </si>
  <si>
    <t>PUMP.51-PA-CF-006B.OFF</t>
  </si>
  <si>
    <t>PUMP.51-PA-CF-006B.REMOTE_STATUS</t>
  </si>
  <si>
    <t>51-PA-CF-006C</t>
  </si>
  <si>
    <t>PUMP.51-PA-CF-006C.ON</t>
  </si>
  <si>
    <t>PUMP.51-PA-CF-006C.OFF</t>
  </si>
  <si>
    <t>PUMP.51-PA-CF-006C.REMOTE_STATUS</t>
  </si>
  <si>
    <t>51-PA-CF-007</t>
  </si>
  <si>
    <t>PUMP.51-PA-CF-007.ON</t>
  </si>
  <si>
    <t>PUMP.51-PA-CF-007.OFF</t>
  </si>
  <si>
    <t>PUMP.51-PA-CF-007.REMOTE_STATUS</t>
  </si>
  <si>
    <t>51-PA-HEXANE-13</t>
  </si>
  <si>
    <t>HEXANE</t>
  </si>
  <si>
    <t>PUMP.51-PA-HEXANE-13.ON</t>
  </si>
  <si>
    <t>PUMP.51-PA-HEXANE-13.OFF</t>
  </si>
  <si>
    <t>PUMP.51-PA-HEXANE-13.REMOTE_STATUS</t>
  </si>
  <si>
    <t>51-PA-HEXANE-14</t>
  </si>
  <si>
    <t>PUMP.51-PA-HEXANE-14.ON</t>
  </si>
  <si>
    <t>PUMP.51-PA-HEXANE-14.OFF</t>
  </si>
  <si>
    <t>PUMP.51-PA-HEXANE-14.REMOTE_STATUS</t>
  </si>
  <si>
    <t>51-PA-MTO-15</t>
  </si>
  <si>
    <t>MTO</t>
  </si>
  <si>
    <t>PUMP.51-PA-MTO-15.ON</t>
  </si>
  <si>
    <t>PUMP.51-PA-MTO-15.OFF</t>
  </si>
  <si>
    <t>PUMP.51-PA-MTO-15.REMOTE_STATUS</t>
  </si>
  <si>
    <t>51-PA-RP-9A</t>
  </si>
  <si>
    <t>POWER100</t>
  </si>
  <si>
    <t>PUMP.51-PA-RP-9A.ON</t>
  </si>
  <si>
    <t>PUMP.51-PA-RP-9A.OFF</t>
  </si>
  <si>
    <t>PUMP.51-PA-RP-9A.REMOTE_STATUS</t>
  </si>
  <si>
    <t>51-PA-RP-9B</t>
  </si>
  <si>
    <t>PUMP.51-PA-RP-9B.ON</t>
  </si>
  <si>
    <t>PUMP.51-PA-RP-9B.OFF</t>
  </si>
  <si>
    <t>PUMP.51-PA-RP-9B.REMOTE_STATUS</t>
  </si>
  <si>
    <t>ADTV PMP-1 POWER</t>
  </si>
  <si>
    <t>POWER</t>
  </si>
  <si>
    <t>PUMP.ADTV PMP-1 POWER.ON</t>
  </si>
  <si>
    <t>PUMP.ADTV PMP-1 POWER.OFF</t>
  </si>
  <si>
    <t>PUMP.ADTV PMP-1 POWER.REMOTE_STATUS</t>
  </si>
  <si>
    <t>ADTV PMP-1 TURBO</t>
  </si>
  <si>
    <t>TURBO</t>
  </si>
  <si>
    <t>PUMP.ADTV PMP-1 TURBO.ON</t>
  </si>
  <si>
    <t>PUMP.ADTV PMP-1 TURBO.OFF</t>
  </si>
  <si>
    <t>PUMP.ADTV PMP-1 TURBO.REMOTE_STATUS</t>
  </si>
  <si>
    <t>ADTV PMP-2 POWER</t>
  </si>
  <si>
    <t>PUMP.ADTV PMP-2 POWER.ON</t>
  </si>
  <si>
    <t>PUMP.ADTV PMP-2 POWER.OFF</t>
  </si>
  <si>
    <t>PUMP.ADTV PMP-2 POWER.REMOTE_STATUS</t>
  </si>
  <si>
    <t>ADTV PMP-2 TURBO</t>
  </si>
  <si>
    <t>PUMP.ADTV PMP-2 TURBO.ON</t>
  </si>
  <si>
    <t>PUMP.ADTV PMP-2 TURBO.OFF</t>
  </si>
  <si>
    <t>PUMP.ADTV PMP-2 TURBO.REMOTE_STATUS</t>
  </si>
  <si>
    <t>PMP-01</t>
  </si>
  <si>
    <t>PUMP.PMP-01.ON</t>
  </si>
  <si>
    <t>PUMP.PMP-01.OFF</t>
  </si>
  <si>
    <t>PUMP.PMP-01.REMOTE_STATUS</t>
  </si>
  <si>
    <t>PMP-02</t>
  </si>
  <si>
    <t>PUMP.PMP-02.ON</t>
  </si>
  <si>
    <t>PUMP.PMP-02.OFF</t>
  </si>
  <si>
    <t>PUMP.PMP-02.REMOTE_STATUS</t>
  </si>
  <si>
    <t>PMP-03</t>
  </si>
  <si>
    <t>PUMP.PMP-03.ON</t>
  </si>
  <si>
    <t>PUMP.PMP-03.OFF</t>
  </si>
  <si>
    <t>PUMP.PMP-03.REMOTE_STATUS</t>
  </si>
  <si>
    <t>PMP-05</t>
  </si>
  <si>
    <t>PUMP.PMP-05.ON</t>
  </si>
  <si>
    <t>PUMP.PMP-05.OFF</t>
  </si>
  <si>
    <t>PUMP.PMP-05.REMOTE_STATUS</t>
  </si>
  <si>
    <t>PMP-06</t>
  </si>
  <si>
    <t>PUMP.PMP-06.ON</t>
  </si>
  <si>
    <t>PUMP.PMP-06.OFF</t>
  </si>
  <si>
    <t>PUMP.PMP-06.REMOTE_STATUS</t>
  </si>
  <si>
    <t>PMP-07</t>
  </si>
  <si>
    <t>TWD</t>
  </si>
  <si>
    <t>RECEIPT</t>
  </si>
  <si>
    <t>PUMP.PMP-07.ON</t>
  </si>
  <si>
    <t>PUMP.PMP-07.OFF</t>
  </si>
  <si>
    <t>PUMP.PMP-07.REMOTE_STATUS</t>
  </si>
  <si>
    <t>PMP-08</t>
  </si>
  <si>
    <t>PUMP.PMP-08.ON</t>
  </si>
  <si>
    <t>PUMP.PMP-08.OFF</t>
  </si>
  <si>
    <t>PUMP.PMP-08.REMOTE_STATUS</t>
  </si>
  <si>
    <t>PMP-09</t>
  </si>
  <si>
    <t>PUMP.PMP-09.ON</t>
  </si>
  <si>
    <t>PUMP.PMP-09.OFF</t>
  </si>
  <si>
    <t>PUMP.PMP-09.REMOTE_STATUS</t>
  </si>
  <si>
    <t>PMP-10</t>
  </si>
  <si>
    <t>CI</t>
  </si>
  <si>
    <t>PUMP.PMP-10.ON</t>
  </si>
  <si>
    <t>PUMP.PMP-10.OFF</t>
  </si>
  <si>
    <t>PUMP.PMP-10.REMOTE_STATUS</t>
  </si>
  <si>
    <t>PMP-11</t>
  </si>
  <si>
    <t>PUMP.PMP-11.ON</t>
  </si>
  <si>
    <t>PUMP.PMP-11.OFF</t>
  </si>
  <si>
    <t>PUMP.PMP-11.REMOTE_STATUS</t>
  </si>
  <si>
    <t>PMP-47</t>
  </si>
  <si>
    <t>PUMP.PMP-47.ON</t>
  </si>
  <si>
    <t>PUMP.PMP-47.OFF</t>
  </si>
  <si>
    <t>PUMP.PMP-47.REMOTE_STATUS</t>
  </si>
  <si>
    <t>PMP-48</t>
  </si>
  <si>
    <t>PUMP.PMP-48.ON</t>
  </si>
  <si>
    <t>PUMP.PMP-48.OFF</t>
  </si>
  <si>
    <t>PUMP.PMP-48.REMOTE_STATUS</t>
  </si>
  <si>
    <t>PMP-49</t>
  </si>
  <si>
    <t>POWER99</t>
  </si>
  <si>
    <t>PUMP.PMP-49.ON</t>
  </si>
  <si>
    <t>PUMP.PMP-49.OFF</t>
  </si>
  <si>
    <t>PUMP.PMP-49.REMOTE_STATUS</t>
  </si>
  <si>
    <t>PMP-50</t>
  </si>
  <si>
    <t>PUMP.PMP-50.ON</t>
  </si>
  <si>
    <t>PUMP.PMP-50.OFF</t>
  </si>
  <si>
    <t>PUMP.PMP-50.REMOTE_STATUS</t>
  </si>
  <si>
    <t>VRU-PMP-01</t>
  </si>
  <si>
    <t>BS IV HSD</t>
  </si>
  <si>
    <t>PUMP.VRU-PMP-01.ON</t>
  </si>
  <si>
    <t>PUMP.VRU-PMP-01.OFF</t>
  </si>
  <si>
    <t>PUMP ON STATUS Normal value</t>
  </si>
  <si>
    <t>PUMP OFF STATUS Normal value</t>
  </si>
  <si>
    <t>PUMP LR STATUS Normal value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</si>
  <si>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</si>
  <si>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</si>
  <si>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</si>
  <si>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</si>
  <si>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</si>
  <si>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</si>
  <si>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</si>
  <si>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</si>
  <si>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4</t>
  </si>
  <si>
    <t>FIRE PUMP FAIL TO START 5</t>
  </si>
  <si>
    <t>FIRE PUMP FAIL TO START STANDBY1</t>
  </si>
  <si>
    <t>FIRE PUMP FAIL TO START STANDBY2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</si>
  <si>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</si>
  <si>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</si>
  <si>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</si>
  <si>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</si>
  <si>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</si>
  <si>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</si>
  <si>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</si>
  <si>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</si>
  <si>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</si>
  <si>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</si>
  <si>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</si>
  <si>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</si>
  <si>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</si>
  <si>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</si>
  <si>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</si>
  <si>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PUMP.FWP-01.FAILED_TO_START_MAIN4</t>
  </si>
  <si>
    <t>PUMP.FWP-01.FAILED_TO_START_MAIN5</t>
  </si>
  <si>
    <t>PUMP.FWP-01.FAILED_TO_START_STANDBY1</t>
  </si>
  <si>
    <t>PUMP.FWP-01.FAILED_TO_START_STANDBY2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</si>
  <si>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</si>
  <si>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</si>
  <si>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</si>
  <si>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</si>
  <si>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</si>
  <si>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</si>
  <si>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</si>
  <si>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</si>
  <si>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</si>
  <si>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</si>
  <si>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PUMP.FWP-02.FAILED_TO_START_MAIN4</t>
  </si>
  <si>
    <t>PUMP.FWP-02.FAILED_TO_START_MAIN5</t>
  </si>
  <si>
    <t>PUMP.FWP-02.FAILED_TO_START_STANDBY1</t>
  </si>
  <si>
    <t>PUMP.FWP-02.FAILED_TO_START_STANDBY2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</si>
  <si>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</si>
  <si>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</si>
  <si>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</si>
  <si>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</si>
  <si>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</si>
  <si>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</si>
  <si>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</si>
  <si>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</si>
  <si>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</si>
  <si>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</si>
  <si>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PUMP.FWP-03.FAILED_TO_START_MAIN4</t>
  </si>
  <si>
    <t>PUMP.FWP-03.FAILED_TO_START_MAIN5</t>
  </si>
  <si>
    <t>PUMP.FWP-03.FAILED_TO_START_STANDBY1</t>
  </si>
  <si>
    <t>PUMP.FWP-03.FAILED_TO_START_STANDBY2</t>
  </si>
  <si>
    <t>PUMP.FWP-03.PUMP_TRIPPED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</si>
  <si>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</si>
  <si>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</si>
  <si>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</si>
  <si>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</si>
  <si>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</si>
  <si>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</si>
  <si>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</si>
  <si>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</si>
  <si>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</si>
  <si>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PUMP.FWP-04.FAILED_TO_START_MAIN4</t>
  </si>
  <si>
    <t>PUMP.FWP-04.FAILED_TO_START_MAIN5</t>
  </si>
  <si>
    <t>PUMP.FWP-04.FAILED_TO_START_STANDBY1</t>
  </si>
  <si>
    <t>PUMP.FWP-04.FAILED_TO_START_STANDBY2</t>
  </si>
  <si>
    <t>PUMP.FWP-04.PUMP_TRIPPED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</si>
  <si>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</si>
  <si>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</si>
  <si>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</si>
  <si>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</si>
  <si>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</si>
  <si>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</si>
  <si>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</si>
  <si>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</si>
  <si>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</si>
  <si>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PUMP.FWP-05.FAILED_TO_START_MAIN4</t>
  </si>
  <si>
    <t>PUMP.FWP-05.FAILED_TO_START_MAIN5</t>
  </si>
  <si>
    <t>PUMP.FWP-05.FAILED_TO_START_STANDBY1</t>
  </si>
  <si>
    <t>PUMP.FWP-05.FAILED_TO_START_STANDBY2</t>
  </si>
  <si>
    <t>PUMP.FWP-05.PUMP_TRIPPED</t>
  </si>
  <si>
    <t>PUMP.FWP-05.HIGH_TEMPERATURE_ALARM</t>
  </si>
  <si>
    <t>FWP-06</t>
  </si>
  <si>
    <t>PUMP.FWP-06.ON</t>
  </si>
  <si>
    <t>PUMP.FWP-06.OFF</t>
  </si>
  <si>
    <t>PUMP.FWP-06.REMOTE_STATUS</t>
  </si>
  <si>
    <t>PUMP.FWP-06.MAINTENANCE_STATUS</t>
  </si>
  <si>
    <t>PUMP.FWP-06.FAILED_TO_START_MAIN1</t>
  </si>
  <si>
    <t>PUMP.FWP-06.FAILED_TO_START_MAIN2</t>
  </si>
  <si>
    <t>PUMP.FWP-06.FAILED_TO_START_MAIN3</t>
  </si>
  <si>
    <t>PUMP.FWP-06.FAILED_TO_START_MAIN4</t>
  </si>
  <si>
    <t>PUMP.FWP-06.FAILED_TO_START_MAIN5</t>
  </si>
  <si>
    <t>PUMP.FWP-06.FAILED_TO_START_STANDBY1</t>
  </si>
  <si>
    <t>PUMP.FWP-06.FAILED_TO_START_STANDBY2</t>
  </si>
  <si>
    <t>PUMP.FWP-06.PUMP_TRIPPED</t>
  </si>
  <si>
    <t>PUMP.FWP-06.HIGH_TEMPERATURE_ALARM</t>
  </si>
  <si>
    <t>FWP-07</t>
  </si>
  <si>
    <t>PUMP.FWP-07.ON</t>
  </si>
  <si>
    <t>PUMP.FWP-07.OFF</t>
  </si>
  <si>
    <t>PUMP.FWP-07.REMOTE_STATUS</t>
  </si>
  <si>
    <t>PUMP.FWP-07.MAINTENANCE_STATUS</t>
  </si>
  <si>
    <t>PUMP.FWP-07.FAILED_TO_START_MAIN1</t>
  </si>
  <si>
    <t>PUMP.FWP-07.FAILED_TO_START_MAIN2</t>
  </si>
  <si>
    <t>PUMP.FWP-07.FAILED_TO_START_MAIN3</t>
  </si>
  <si>
    <t>PUMP.FWP-07.FAILED_TO_START_MAIN4</t>
  </si>
  <si>
    <t>PUMP.FWP-07.FAILED_TO_START_MAIN5</t>
  </si>
  <si>
    <t>PUMP.FWP-07.FAILED_TO_START_STANDBY1</t>
  </si>
  <si>
    <t>PUMP.FWP-07.FAILED_TO_START_STANDBY2</t>
  </si>
  <si>
    <t>PUMP.FWP-07.PUMP_TRIPPED</t>
  </si>
  <si>
    <t>PUMP.FWP-07.HIGH_TEMPERATURE_ALARM</t>
  </si>
  <si>
    <t>FWP-08</t>
  </si>
  <si>
    <t>PUMP.FWP-08.ON</t>
  </si>
  <si>
    <t>PUMP.FWP-08.OFF</t>
  </si>
  <si>
    <t>PUMP.FWP-08.REMOTE_STATUS</t>
  </si>
  <si>
    <t>PUMP.FWP-08.MAINTENANCE_STATUS</t>
  </si>
  <si>
    <t>PUMP.FWP-08.FAILED_TO_START_MAIN1</t>
  </si>
  <si>
    <t>PUMP.FWP-08.FAILED_TO_START_MAIN2</t>
  </si>
  <si>
    <t>PUMP.FWP-08.FAILED_TO_START_MAIN3</t>
  </si>
  <si>
    <t>PUMP.FWP-08.FAILED_TO_START_MAIN4</t>
  </si>
  <si>
    <t>PUMP.FWP-08.FAILED_TO_START_MAIN5</t>
  </si>
  <si>
    <t>PUMP.FWP-08.FAILED_TO_START_STANDBY1</t>
  </si>
  <si>
    <t>PUMP.FWP-08.FAILED_TO_START_STANDBY2</t>
  </si>
  <si>
    <t>PUMP.FWP-08.PUMP_TRIPPED</t>
  </si>
  <si>
    <t>PUMP.FWP-08.HIGH_TEMPERATURE_ALARM</t>
  </si>
  <si>
    <t>JCY-01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</si>
  <si>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</si>
  <si>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</si>
  <si>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</si>
  <si>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</si>
  <si>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</si>
  <si>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</si>
  <si>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</si>
  <si>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</si>
  <si>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</si>
  <si>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</si>
  <si>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</si>
  <si>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</si>
  <si>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</si>
  <si>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</si>
  <si>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</si>
  <si>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Hydrant</t>
  </si>
  <si>
    <t>PT</t>
  </si>
  <si>
    <t>Farthest Point</t>
  </si>
  <si>
    <t>PressureTransmitter.PT-01.MAINTENANCE_STATUS</t>
  </si>
  <si>
    <t>Nearest Point</t>
  </si>
  <si>
    <t>PressureTransmitter.PT-02.MAINTENANCE_STATUS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</si>
  <si>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</si>
  <si>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</si>
  <si>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</si>
  <si>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</si>
  <si>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</si>
  <si>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</si>
  <si>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</si>
  <si>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</si>
  <si>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</si>
  <si>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</si>
  <si>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</t>
  </si>
  <si>
    <t>UPS.UPS-01.MAIN_AC_FAIL</t>
  </si>
  <si>
    <t>UPS.UPS-01.LOW_BATTERY</t>
  </si>
  <si>
    <t>UPS.UPS-01.OVERLOAD_ALARM</t>
  </si>
  <si>
    <t>UPS-02</t>
  </si>
  <si>
    <t>UPS.UPS-02.MAIN_AC_FAIL</t>
  </si>
  <si>
    <t>UPS.UPS-02.LOW_BATTERY</t>
  </si>
  <si>
    <t>UPS.UPS-02.OVERLOAD_ALARM</t>
  </si>
  <si>
    <t>UPS-03</t>
  </si>
  <si>
    <t>UPS.UPS-03.MAIN_AC_FAIL</t>
  </si>
  <si>
    <t>UPS.UPS-03.LOW_BATTERY</t>
  </si>
  <si>
    <t>UPS.UPS-03.LOAD_ON_UPS</t>
  </si>
  <si>
    <t>UPS-04</t>
  </si>
  <si>
    <t>UPS.UPS-04.MAIN_AC_FAIL</t>
  </si>
  <si>
    <t>UPS.UPS-04.LOW_BATTERY</t>
  </si>
  <si>
    <t>UPS.UPS-04.LOAD_ON_UPS</t>
  </si>
  <si>
    <t>PLC ID</t>
  </si>
  <si>
    <t>PLC A IS MASTER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</si>
  <si>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</si>
  <si>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</si>
  <si>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</si>
  <si>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</si>
  <si>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</si>
  <si>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</si>
  <si>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PLC A COOMUNCIATION</t>
  </si>
  <si>
    <t>PLC A COOMUNCIATION Normal Value</t>
  </si>
  <si>
    <t>PLC B COOMUNCIATION</t>
  </si>
  <si>
    <t>PLC B COOMUNCIATION Normal Value</t>
  </si>
  <si>
    <t>GEPLC</t>
  </si>
  <si>
    <t>PLC.GEPLC.PLCA_IS_MASTER</t>
  </si>
  <si>
    <t>PLC A</t>
  </si>
  <si>
    <t>PLC.GEPLC.PLCB_IS_MASTER</t>
  </si>
  <si>
    <t>PLC B</t>
  </si>
  <si>
    <t>SFT PLC</t>
  </si>
  <si>
    <t>PLC.SFTPLC.PLCA_IS_MASTER</t>
  </si>
  <si>
    <t>SFTPLC</t>
  </si>
  <si>
    <t>PLC.SFTPLC.PLCB_IS_MASTER</t>
  </si>
  <si>
    <t>PLC.SFTPLC.PLCAB_FAIL_SAFE_STATUS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</si>
  <si>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</si>
  <si>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</si>
  <si>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</si>
  <si>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</si>
  <si>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</si>
  <si>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</si>
  <si>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</si>
  <si>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</si>
  <si>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</si>
  <si>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</si>
  <si>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</si>
  <si>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</si>
  <si>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</si>
  <si>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</si>
  <si>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</si>
  <si>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</si>
  <si>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OPEN PATH</t>
  </si>
  <si>
    <t>TANK1A TANK1B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</si>
  <si>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</si>
  <si>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</si>
  <si>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</si>
  <si>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</si>
  <si>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</si>
  <si>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PLC.SFTPLC.EFFECT_HOOTER_FOR_HC_CR</t>
  </si>
  <si>
    <t>HDS-02</t>
  </si>
  <si>
    <t>TANK1C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</si>
  <si>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</si>
  <si>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</si>
  <si>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</si>
  <si>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</si>
  <si>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</si>
  <si>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</si>
  <si>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PRODUCT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</si>
  <si>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</si>
  <si>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</si>
  <si>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</si>
  <si>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</si>
  <si>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</si>
  <si>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</si>
  <si>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TANK5C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</si>
  <si>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</si>
  <si>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</si>
  <si>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</si>
  <si>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</si>
  <si>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</si>
  <si>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</si>
  <si>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POINT TYPE</t>
  </si>
  <si>
    <t>TANK5A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</si>
  <si>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</si>
  <si>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</si>
  <si>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</si>
  <si>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</si>
  <si>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</si>
  <si>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</si>
  <si>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TANK3C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</si>
  <si>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</si>
  <si>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</si>
  <si>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</si>
  <si>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</si>
  <si>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</si>
  <si>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</si>
  <si>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TANK4C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</si>
  <si>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</si>
  <si>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</si>
  <si>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</si>
  <si>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</si>
  <si>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</si>
  <si>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</si>
  <si>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TANK1B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</si>
  <si>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</si>
  <si>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</si>
  <si>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</si>
  <si>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</si>
  <si>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</si>
  <si>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</si>
  <si>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</si>
  <si>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</si>
  <si>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</si>
  <si>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</si>
  <si>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</si>
  <si>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</si>
  <si>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TANK 1A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</si>
  <si>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</si>
  <si>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</si>
  <si>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</si>
  <si>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</si>
  <si>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</si>
  <si>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</si>
  <si>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TANK5B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</si>
  <si>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</si>
  <si>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</si>
  <si>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</si>
  <si>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</si>
  <si>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</si>
  <si>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</si>
  <si>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</si>
  <si>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</si>
  <si>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</si>
  <si>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</si>
  <si>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</si>
  <si>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</si>
  <si>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</si>
  <si>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</si>
  <si>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</si>
  <si>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</si>
  <si>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</si>
  <si>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</si>
  <si>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HCD-BPCL PLT MFM AREA</t>
  </si>
  <si>
    <t>BPCL PLT MFM AREA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</si>
  <si>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</si>
  <si>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</si>
  <si>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</si>
  <si>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</si>
  <si>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</si>
  <si>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</si>
  <si>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HCD-15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</si>
  <si>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</si>
  <si>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</si>
  <si>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</si>
  <si>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</si>
  <si>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</si>
  <si>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</si>
  <si>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HCD-16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</si>
  <si>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</si>
  <si>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</si>
  <si>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</si>
  <si>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</si>
  <si>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</si>
  <si>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</si>
  <si>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HCD-17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</si>
  <si>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</si>
  <si>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</si>
  <si>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</si>
  <si>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</si>
  <si>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</si>
  <si>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</si>
  <si>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HCD-18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</si>
  <si>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</si>
  <si>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</si>
  <si>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</si>
  <si>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</si>
  <si>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</si>
  <si>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</si>
  <si>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HCD-19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</si>
  <si>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</si>
  <si>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</si>
  <si>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</si>
  <si>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</si>
  <si>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</si>
  <si>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</si>
  <si>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</si>
  <si>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</si>
  <si>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</si>
  <si>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</si>
  <si>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</si>
  <si>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</si>
  <si>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</si>
  <si>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</si>
  <si>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</si>
  <si>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</si>
  <si>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</si>
  <si>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</si>
  <si>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</si>
  <si>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</si>
  <si>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</si>
  <si>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</si>
  <si>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</si>
  <si>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</si>
  <si>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</si>
  <si>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</si>
  <si>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</si>
  <si>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</si>
  <si>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DV-10</t>
  </si>
  <si>
    <t>DRAINVALVE.DV-10.DRAIN_VALVE_STATUS</t>
  </si>
  <si>
    <t>DV-11</t>
  </si>
  <si>
    <t>DRAINVALVE.DV-11.DRAIN_VALVE_STATUS</t>
  </si>
  <si>
    <t>DV-12</t>
  </si>
  <si>
    <t>DRAINVALVE.DV-12.DRAIN_VALVE_STATUS</t>
  </si>
  <si>
    <t>DV-13</t>
  </si>
  <si>
    <t>DRAINVALVE.DV-13.DRAIN_VALVE_STATUS</t>
  </si>
  <si>
    <t>DV-14</t>
  </si>
  <si>
    <t>DRAINVALVE.DV-14.DRAIN_VALVE_STATUS</t>
  </si>
  <si>
    <t>DV-15</t>
  </si>
  <si>
    <t>DRAINVALVE.DV-15.DRAIN_VALVE_STATUS</t>
  </si>
  <si>
    <t>DV-16</t>
  </si>
  <si>
    <t>DRAINVALVE.DV-16.DRAIN_VALVE_STATUS</t>
  </si>
  <si>
    <t>DV-17</t>
  </si>
  <si>
    <t>DRAINVALVE.DV-17.DRAIN_VALVE_STATUS</t>
  </si>
  <si>
    <t>DV-18</t>
  </si>
  <si>
    <t>DRAINVALVE.DV-18.DRAIN_VALVE_STATUS</t>
  </si>
  <si>
    <t>DV-19</t>
  </si>
  <si>
    <t>DRAINVALVE.DV-19.DRAIN_VALVE_STATUS</t>
  </si>
  <si>
    <t>DV-20</t>
  </si>
  <si>
    <t>DRAINVALVE.DV-20.DRAIN_VALVE_STATUS</t>
  </si>
  <si>
    <t>DV-21</t>
  </si>
  <si>
    <t>DRAINVALVE.DV-21.DRAIN_VALVE_STATUS</t>
  </si>
  <si>
    <t>DV-22</t>
  </si>
  <si>
    <t>DRAINVALVE.DV-22.DRAIN_VALVE_STATUS</t>
  </si>
  <si>
    <t>DV-23</t>
  </si>
  <si>
    <t>DRAINVALVE.DV-23.DRAIN_VALVE_STATUS</t>
  </si>
  <si>
    <t>DV-24</t>
  </si>
  <si>
    <t>DRAINVALVE.DV-24.DRAIN_VALVE_STATUS</t>
  </si>
  <si>
    <t>DV-25</t>
  </si>
  <si>
    <t>DRAINVALVE.DV-25.DRAIN_VALVE_STATUS</t>
  </si>
  <si>
    <t>DV-26</t>
  </si>
  <si>
    <t>DRAINVALVE.DV-26.DRAIN_VALVE_STATUS</t>
  </si>
  <si>
    <t>DV-27</t>
  </si>
  <si>
    <t>DRAINVALVE.DV-27.DRAIN_VALVE_STATUS</t>
  </si>
  <si>
    <t>DV-28</t>
  </si>
  <si>
    <t>DRAINVALVE.DV-28.DRAIN_VALVE_STATUS</t>
  </si>
  <si>
    <t>DV-29</t>
  </si>
  <si>
    <t>DRAINVALVE.DV-29.DRAIN_VALVE_STATUS</t>
  </si>
  <si>
    <t>DV-30</t>
  </si>
  <si>
    <t>DRAINVALVE.DV-30.DRAIN_VALVE_STATUS</t>
  </si>
  <si>
    <t>DV-31</t>
  </si>
  <si>
    <t>DRAINVALVE.DV-31.DRAIN_VALVE_STATUS</t>
  </si>
  <si>
    <t>DV-32</t>
  </si>
  <si>
    <t>DRAINVALVE.DV-32.DRAIN_VALVE_STATUS</t>
  </si>
  <si>
    <t>DV-33</t>
  </si>
  <si>
    <t>DRAINVALVE.DV-33.DRAIN_VALVE_STATUS</t>
  </si>
  <si>
    <t>DV-34</t>
  </si>
  <si>
    <t>DRAINVALVE.DV-34.DRAIN_VALVE_STATUS</t>
  </si>
  <si>
    <t>DV-35</t>
  </si>
  <si>
    <t>DRAINVALVE.DV-35.DRAIN_VALVE_STATUS</t>
  </si>
  <si>
    <t>DV-36</t>
  </si>
  <si>
    <t>DRAINVALVE.DV-36.DRAIN_VALVE_STATUS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</si>
  <si>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</si>
  <si>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</si>
  <si>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</si>
  <si>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</si>
  <si>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</si>
  <si>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</si>
  <si>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</si>
  <si>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</si>
  <si>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</si>
  <si>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</si>
  <si>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</si>
  <si>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</si>
  <si>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</si>
  <si>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</si>
  <si>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Name</t>
  </si>
  <si>
    <t>Hooter ID</t>
  </si>
  <si>
    <t>HOOTER STATUS</t>
  </si>
  <si>
    <t>HOOTER STATUS Normal Value</t>
  </si>
  <si>
    <t>Control room - Dyke/2 FWP/Gantry Permis sive</t>
  </si>
  <si>
    <t>Control room - ESD</t>
  </si>
  <si>
    <t>PLC.SFTPLC.EFFECT_HOOTER_FOR_ESD_CR</t>
  </si>
  <si>
    <t>Control room - HCD</t>
  </si>
  <si>
    <t>HCD activated in Field</t>
  </si>
  <si>
    <t>PLC.SFTPLC.EFFECT_HOOTER_FOR_HC_FIELD</t>
  </si>
  <si>
    <t>Dyke activated in field</t>
  </si>
  <si>
    <t>PLC.SFTPLC.EFFECT_HOOTER_FOR_RIMSEAL_CR</t>
  </si>
  <si>
    <t>Tank 1A activated in Field</t>
  </si>
  <si>
    <t>PLC.SFTPLC.HOOTER_FIELD_1</t>
  </si>
  <si>
    <t>TTL P/H activated in Field</t>
  </si>
  <si>
    <t>PLC.SFTPLC.HOOTER_FIELD_2</t>
  </si>
  <si>
    <t>Tank 3C activated in Field</t>
  </si>
  <si>
    <t>PLC.SFTPLC.HOOTER_FIELD_3</t>
  </si>
  <si>
    <t>Tank 4C activated in Field</t>
  </si>
  <si>
    <t>PLC.SFTPLC.HOOTER_FIELD_4</t>
  </si>
  <si>
    <t>Tank 5A activated in Field</t>
  </si>
  <si>
    <t>PLC.SFTPLC.HOOTER_FIELD_5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</si>
  <si>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</si>
  <si>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</si>
  <si>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</si>
  <si>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</si>
  <si>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</si>
  <si>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</si>
  <si>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</si>
  <si>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</si>
  <si>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</si>
  <si>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</si>
  <si>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</si>
  <si>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</si>
  <si>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</si>
  <si>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</si>
  <si>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</si>
  <si>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</si>
  <si>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</si>
  <si>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</si>
  <si>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</si>
  <si>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</si>
  <si>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</si>
  <si>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</si>
  <si>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</si>
  <si>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</si>
  <si>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</si>
  <si>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</si>
  <si>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</si>
  <si>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</si>
  <si>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</si>
  <si>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ESD-PB-01</t>
  </si>
  <si>
    <t>Control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</si>
  <si>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</si>
  <si>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</si>
  <si>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</si>
  <si>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</si>
  <si>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</si>
  <si>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</si>
  <si>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</si>
  <si>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</si>
  <si>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PLC.SFTPLC.EFFECT_SIREN_ACTIVATED</t>
  </si>
  <si>
    <t>PLC.SFTPLC.EFFECT_POWER_ESD_ACTI</t>
  </si>
  <si>
    <t>PLC.SFTPLC.EFFECT_ALL_DISPATCH_TANKS_IN_DORMANT</t>
  </si>
  <si>
    <t>ESD-02</t>
  </si>
  <si>
    <t>ESD-PB-02</t>
  </si>
  <si>
    <t>Gantry - 01</t>
  </si>
  <si>
    <t>ESD.ESD-02.ESD_STATUS</t>
  </si>
  <si>
    <t>ESD.ESD-02.MAINTENANCE_STATUS</t>
  </si>
  <si>
    <t>ESD-03</t>
  </si>
  <si>
    <t>ESD-PB-03</t>
  </si>
  <si>
    <t>BETWEEN GANTRY 1 AND 2</t>
  </si>
  <si>
    <t>ESD.ESD-03.ESD_STATUS</t>
  </si>
  <si>
    <t>ESD.ESD-03.MAINTENANCE_STATUS</t>
  </si>
  <si>
    <t>ESD-04</t>
  </si>
  <si>
    <t>ESD-PB-04</t>
  </si>
  <si>
    <t>Gantry - 02</t>
  </si>
  <si>
    <t>ESD.ESD-04.ESD_STATUS</t>
  </si>
  <si>
    <t>ESD.ESD-04.MAINTENANCE_STATUS</t>
  </si>
  <si>
    <t>ESD-05</t>
  </si>
  <si>
    <t>ESD-PB-05</t>
  </si>
  <si>
    <t>NEAR TANK-1B</t>
  </si>
  <si>
    <t>ESD.ESD-05.ESD_STATUS</t>
  </si>
  <si>
    <t>ESD.ESD-05.MAINTENANCE_STATUS</t>
  </si>
  <si>
    <t>ESD-06</t>
  </si>
  <si>
    <t>ESD-CENTRAL</t>
  </si>
  <si>
    <t>CENTRAL ESD</t>
  </si>
  <si>
    <t>ESD.ESD-06.ESD_STATUS</t>
  </si>
  <si>
    <t>ESD-09</t>
  </si>
  <si>
    <t>ESD-PB-06</t>
  </si>
  <si>
    <t>WEST OF TK3C</t>
  </si>
  <si>
    <t>ESD.ESD-09.ESD_STATUS</t>
  </si>
  <si>
    <t>ESD.ESD-09.MAINTENANCE_STATUS</t>
  </si>
  <si>
    <t>ESD-10</t>
  </si>
  <si>
    <t>ESD-PB-07</t>
  </si>
  <si>
    <t>NEAR TANK-4A</t>
  </si>
  <si>
    <t>ESD.ESD-10.ESD_STATUS</t>
  </si>
  <si>
    <t>ESD.ESD-10.MAINTENANCE_STATUS</t>
  </si>
  <si>
    <t>ESD-11</t>
  </si>
  <si>
    <t>ESD-PB-08</t>
  </si>
  <si>
    <t>NEAR TANK 5B</t>
  </si>
  <si>
    <t>ESD.ESD-11.ESD_STATUS</t>
  </si>
  <si>
    <t>ESD.ESD-11.MAINTENANCE_STATUS</t>
  </si>
  <si>
    <t>ESD-12</t>
  </si>
  <si>
    <t>ESD-PB-09</t>
  </si>
  <si>
    <t>NEAR TANK-1C</t>
  </si>
  <si>
    <t>ESD.ESD-12.ESD_STATUS</t>
  </si>
  <si>
    <t>ESD.ESD-12.MAINTENANCE_STATUS</t>
  </si>
  <si>
    <t>ESD-13</t>
  </si>
  <si>
    <t>PIPELINE PLC</t>
  </si>
  <si>
    <t>ESD.ESD-13.ESD_STATUS</t>
  </si>
  <si>
    <t>ESD-15</t>
  </si>
  <si>
    <t>ESD-PB-10</t>
  </si>
  <si>
    <t>TLF PPH</t>
  </si>
  <si>
    <t>ESD.ESD-15.ESD_STATUS</t>
  </si>
  <si>
    <t>ESD.ESD-15.MAINTENANCE_STATUS</t>
  </si>
  <si>
    <t>ESD-16</t>
  </si>
  <si>
    <t>ESD-PB-16</t>
  </si>
  <si>
    <t>NEAR TANK-3B</t>
  </si>
  <si>
    <t>ESD.ESD-16.ESD_STATUS</t>
  </si>
  <si>
    <t>ESD.ESD-16.MAINTENANCE_STATUS</t>
  </si>
  <si>
    <t>ESD-17</t>
  </si>
  <si>
    <t>ESD-PB-17</t>
  </si>
  <si>
    <t>NEAR TANK-5C</t>
  </si>
  <si>
    <t>ESD.ESD-17.ESD_STATUS</t>
  </si>
  <si>
    <t>ESD.ESD-17.MAINTENANCE_STATUS</t>
  </si>
  <si>
    <t>ESD-18</t>
  </si>
  <si>
    <t>ESD-PB-18</t>
  </si>
  <si>
    <t>TLF GANTRY BAY 0</t>
  </si>
  <si>
    <t>ESD.ESD-18.ESD_STATUS</t>
  </si>
  <si>
    <t>ESD.ESD-18.MAINTENANCE_STATUS</t>
  </si>
  <si>
    <t>ESD-19</t>
  </si>
  <si>
    <t>ESD-PB-19</t>
  </si>
  <si>
    <t>LIC ROOM</t>
  </si>
  <si>
    <t>ESD.ESD-19.ESD_STATUS</t>
  </si>
  <si>
    <t>ESD.ESD-19.MAINTENANCE_STATUS</t>
  </si>
  <si>
    <t>ESD-20</t>
  </si>
  <si>
    <t>ESD-PB-20</t>
  </si>
  <si>
    <t>SECURITY MAIN GATE</t>
  </si>
  <si>
    <t>ESD.ESD-20.ESD_STATUS</t>
  </si>
  <si>
    <t>ESD.ESD-20.MAINTENANCE_STATUS</t>
  </si>
  <si>
    <t>ESD-21</t>
  </si>
  <si>
    <t>ESD-PB-21</t>
  </si>
  <si>
    <t>UNLOADING GANTRY</t>
  </si>
  <si>
    <t>ESD.ESD-21.ESD_STATUS</t>
  </si>
  <si>
    <t>ESD.ESD-21.MAINTENANCE_STATUS</t>
  </si>
  <si>
    <t>ESD-22</t>
  </si>
  <si>
    <t>ESD-PB-22</t>
  </si>
  <si>
    <t>TLF GANTRY BAY 15</t>
  </si>
  <si>
    <t>ESD.ESD-22.ESD_STATUS</t>
  </si>
  <si>
    <t>ESD.ESD-22.MAINTENANCE_STATUS</t>
  </si>
  <si>
    <t>ESD-24</t>
  </si>
  <si>
    <t>ESD-PB-24</t>
  </si>
  <si>
    <t>ESD TO BPCL PH ACB</t>
  </si>
  <si>
    <t>ESD.ESD-24.ESD_STATUS</t>
  </si>
  <si>
    <t>ESD.ESD-24.MAINTENANCE_STATUS</t>
  </si>
  <si>
    <t>ESD-BPCL</t>
  </si>
  <si>
    <t>Common ESD BPCL</t>
  </si>
  <si>
    <t>ESD.ESD-BPCL.ESD_STATUS</t>
  </si>
  <si>
    <t>ESD-IOCL</t>
  </si>
  <si>
    <t>Common ESD IOCL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</si>
  <si>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</si>
  <si>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</si>
  <si>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</si>
  <si>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</si>
  <si>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</si>
  <si>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</si>
  <si>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</si>
  <si>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</si>
  <si>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</si>
  <si>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</si>
  <si>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</si>
  <si>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</si>
  <si>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</si>
  <si>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</si>
  <si>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</si>
  <si>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UNAUTHORISE FLOW STATUS OF BLEND</t>
  </si>
  <si>
    <t>METER OVERRUN STATUS OF MAIN</t>
  </si>
  <si>
    <t>METER OVERRUN STATUS OF BLEND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</si>
  <si>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</si>
  <si>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</si>
  <si>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</si>
  <si>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</si>
  <si>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</si>
  <si>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>BCU VS MFM TOTALIZER MISMATCH</t>
  </si>
  <si>
    <t>BCU VS MFM TOTALIZER MISMATCH Normal Value</t>
  </si>
  <si>
    <t>DAY START TOTALIZER MISMATCH</t>
  </si>
  <si>
    <t>DAY START TOTALIZER MISMATCH Normal value</t>
  </si>
  <si>
    <t>DAY START TOTALIZER MISMATCH BLEND</t>
  </si>
  <si>
    <t xml:space="preserve">K-FACTOR CHANGE STATUS </t>
  </si>
  <si>
    <t>K-FACTOR CHANGE STATUS BLEND</t>
  </si>
  <si>
    <t>LP 01</t>
  </si>
  <si>
    <t>BC-01A</t>
  </si>
  <si>
    <t>SmartLoad-Single.BC-01A.EARTH_ALARM_STATUS</t>
  </si>
  <si>
    <t>SmartLoad-Single.BC-01A.NO_FLOW_ALARM_STATUS_M1</t>
  </si>
  <si>
    <t>SmartLoad-Single.BC-01A.LOW_FLOW_ALARM_STATUS_M1</t>
  </si>
  <si>
    <t>SmartLoad-Single.BC-01A.HIGH_FLOW_ALARM_STATUS_M1</t>
  </si>
  <si>
    <t>SmartLoad-Single.BC-01A.UNAUTHORIZE_FLOW_ALARM_STATUS_M1</t>
  </si>
  <si>
    <t>SmartLoad-Single.BC-01A.METER_OVERRUN_ALARM_STATUS_M1</t>
  </si>
  <si>
    <t>SmartLoad-Single.BC-01A.BLEND_UNDERDOSE_ALARM_STATUS</t>
  </si>
  <si>
    <t>SmartLoad-Single.BC-01A.ADDITIVE_OVERDOSE_ALARM_STATUS</t>
  </si>
  <si>
    <t>SmartLoad-Single.BC-01A.ADDITIVE_UNDERDOSE_ALARM_STATUS</t>
  </si>
  <si>
    <t>SmartLoad-Single.BC-01A.BATCH_STATUS</t>
  </si>
  <si>
    <t>SmartLoad-Single.BC-01A.MFM_BCU_QTY_BEYOND_TOLERANCE_LIMIT_STATUS</t>
  </si>
  <si>
    <t>SmartLoad-Single.BC-01A.BCU_C1_TOTALIZER_MISMATCH_ALARM</t>
  </si>
  <si>
    <t>SmartLoad-Single.BC-01A.NOMINAL_COMP1_KFACTOR_CHANGED</t>
  </si>
  <si>
    <t>LP 02</t>
  </si>
  <si>
    <t>BC-01B</t>
  </si>
  <si>
    <t>SmartLoad-Single.BC-01B.EARTH_ALARM_STATUS</t>
  </si>
  <si>
    <t>SmartLoad-Single.BC-01B.NO_FLOW_ALARM_STATUS_M1</t>
  </si>
  <si>
    <t>SmartLoad-Single.BC-01B.LOW_FLOW_ALARM_STATUS_M1</t>
  </si>
  <si>
    <t>SmartLoad-Single.BC-01B.HIGH_FLOW_ALARM_STATUS_M1</t>
  </si>
  <si>
    <t>SmartLoad-Single.BC-01B.UNAUTHORIZE_FLOW_ALARM_STATUS_M1</t>
  </si>
  <si>
    <t>SmartLoad-Single.BC-01B.METER_OVERRUN_ALARM_STATUS_M1</t>
  </si>
  <si>
    <t>SmartLoad-Single.BC-01B.BLEND_UNDERDOSE_ALARM_STATUS</t>
  </si>
  <si>
    <t>SmartLoad-Single.BC-01B.ADDITIVE_OVERDOSE_ALARM_STATUS</t>
  </si>
  <si>
    <t>SmartLoad-Single.BC-01B.ADDITIVE_UNDERDOSE_ALARM_STATUS</t>
  </si>
  <si>
    <t>SmartLoad-Single.BC-01B.BATCH_STATUS</t>
  </si>
  <si>
    <t>SmartLoad-Single.BC-01B.MFM_BCU_QTY_BEYOND_TOLERANCE_LIMIT_STATUS</t>
  </si>
  <si>
    <t>SmartLoad-Single.BC-01B.BCU_C1_TOTALIZER_MISMATCH_ALARM</t>
  </si>
  <si>
    <t>SmartLoad-Single.BC-01B.NOMINAL_COMP1_KFACTOR_CHANGED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</si>
  <si>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</si>
  <si>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</si>
  <si>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</si>
  <si>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</si>
  <si>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</si>
  <si>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</si>
  <si>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</si>
  <si>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</si>
  <si>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SmartLoad-Dual.BC-02A.HIGH_FLOW_ALARM_STATUS_M2</t>
  </si>
  <si>
    <t>SmartLoad-Dual.BC-02A.UNAUTHORIZE_FLOW_ALARM_STATUS_M1</t>
  </si>
  <si>
    <t>SmartLoad-Dual.BC-02A.UNAUTHORIZE_FLOW_ALARM_STATUS_M2</t>
  </si>
  <si>
    <t>SmartLoad-Dual.BC-02A.METER_OVERRUN_ALARM_STATUS_M1</t>
  </si>
  <si>
    <t>SmartLoad-Dual.BC-02A.METER_OVERRUN_ALARM_STATUS_M2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</si>
  <si>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</si>
  <si>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</si>
  <si>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</si>
  <si>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</si>
  <si>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SmartLoad-Dual.BC-02A.MFM_BCU_QTY_BEYOND_TOLERANCE_LIMIT_STATUS</t>
  </si>
  <si>
    <t>SmartLoad-Dual.BC-02A.BCU_C1_TOTALIZER_MISMATCH_ALARM</t>
  </si>
  <si>
    <t>SmartLoad-Dual.BC-02A.BCU_C2_TOTALIZER_MISMATCH_ALARM</t>
  </si>
  <si>
    <t>SmartLoad-Dual.BC-02A.NOMINAL_ARM1_COMP1_KFACTOR_CHANGED</t>
  </si>
  <si>
    <t>SmartLoad-Dual.BC-02A.NOMINAL_ARM1_COMP2_KFACTOR_CHANGED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</si>
  <si>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</si>
  <si>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</si>
  <si>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</si>
  <si>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</si>
  <si>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</si>
  <si>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</si>
  <si>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</si>
  <si>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</si>
  <si>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</si>
  <si>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</si>
  <si>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SmartLoad-Dual.BC-02B.UNAUTHORIZE_FLOW_ALARM_STATUS_M4</t>
  </si>
  <si>
    <t>SmartLoad-Dual.BC-02B.METER_OVERRUN_ALARM_STATUS_M3</t>
  </si>
  <si>
    <t>SmartLoad-Dual.BC-02B.METER_OVERRUN_ALARM_STATUS_M4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</si>
  <si>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</si>
  <si>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</si>
  <si>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</si>
  <si>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</si>
  <si>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SmartLoad-Dual.BC-02B.MFM_BCU_QTY_BEYOND_TOLERANCE_LIMIT_STATUS</t>
  </si>
  <si>
    <t>SmartLoad-Dual.BC-02B.BCU_C3_TOTALIZER_MISMATCH_ALARM</t>
  </si>
  <si>
    <t>SmartLoad-Dual.BC-02B.BCU_C4_TOTALIZER_MISMATCH_ALARM</t>
  </si>
  <si>
    <t>SmartLoad-Dual.BC-02B.NOMINAL_ARM2_COMP1_KFACTOR_CHANGED</t>
  </si>
  <si>
    <t>SmartLoad-Dual.BC-02B.NOMINAL_ARM2_COMP2_KFACTOR_CHANGED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</si>
  <si>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</si>
  <si>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</si>
  <si>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</si>
  <si>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</si>
  <si>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</si>
  <si>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</si>
  <si>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</si>
  <si>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</si>
  <si>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</si>
  <si>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</si>
  <si>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SmartLoad-Dual.BC-03A.UNAUTHORIZE_FLOW_ALARM_STATUS_M2</t>
  </si>
  <si>
    <t>SmartLoad-Dual.BC-03A.METER_OVERRUN_ALARM_STATUS_M1</t>
  </si>
  <si>
    <t>SmartLoad-Dual.BC-03A.METER_OVERRUN_ALARM_STATUS_M2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</si>
  <si>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</si>
  <si>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</si>
  <si>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</si>
  <si>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</si>
  <si>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SmartLoad-Dual.BC-03A.MFM_BCU_QTY_BEYOND_TOLERANCE_LIMIT_STATUS</t>
  </si>
  <si>
    <t>SmartLoad-Dual.BC-03A.BCU_C1_TOTALIZER_MISMATCH_ALARM</t>
  </si>
  <si>
    <t>SmartLoad-Dual.BC-03A.BCU_C2_TOTALIZER_MISMATCH_ALARM</t>
  </si>
  <si>
    <t>SmartLoad-Dual.BC-03A.NOMINAL_ARM1_COMP1_KFACTOR_CHANGED</t>
  </si>
  <si>
    <t>SmartLoad-Dual.BC-03A.NOMINAL_ARM1_COMP2_KFACTOR_CHANGED</t>
  </si>
  <si>
    <t>LP 06</t>
  </si>
  <si>
    <t>BC-03B</t>
  </si>
  <si>
    <t>SmartLoad-Dual.BC-03B.EARTH_ALARM_STATUS</t>
  </si>
  <si>
    <t>SmartLoad-Dual.BC-03B.NO_FLOW_ALARM_STATUS_M3</t>
  </si>
  <si>
    <t>SmartLoad-Dual.BC-03B.NO_FLOW_ALARM_STATUS_M4</t>
  </si>
  <si>
    <t>SmartLoad-Dual.BC-03B.LOW_FLOW_ALARM_STATUS_M3</t>
  </si>
  <si>
    <t>SmartLoad-Dual.BC-03B.LOW_FLOW_ALARM_STATUS_M4</t>
  </si>
  <si>
    <t>SmartLoad-Dual.BC-03B.HIGH_FLOW_ALARM_STATUS_M3</t>
  </si>
  <si>
    <t>SmartLoad-Dual.BC-03B.HIGH_FLOW_ALARM_STATUS_M4</t>
  </si>
  <si>
    <t>SmartLoad-Dual.BC-03B.UNAUTHORIZE_FLOW_ALARM_STATUS_M3</t>
  </si>
  <si>
    <t>SmartLoad-Dual.BC-03B.UNAUTHORIZE_FLOW_ALARM_STATUS_M4</t>
  </si>
  <si>
    <t>SmartLoad-Dual.BC-03B.METER_OVERRUN_ALARM_STATUS_M3</t>
  </si>
  <si>
    <t>SmartLoad-Dual.BC-03B.METER_OVERRUN_ALARM_STATUS_M4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</si>
  <si>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</si>
  <si>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</si>
  <si>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</si>
  <si>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</si>
  <si>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SmartLoad-Dual.BC-03B.MFM_BCU_QTY_BEYOND_TOLERANCE_LIMIT_STATUS</t>
  </si>
  <si>
    <t>SmartLoad-Dual.BC-03B.BCU_C3_TOTALIZER_MISMATCH_ALARM</t>
  </si>
  <si>
    <t>SmartLoad-Dual.BC-03B.BCU_C4_TOTALIZER_MISMATCH_ALARM</t>
  </si>
  <si>
    <t>SmartLoad-Dual.BC-03B.NOMINAL_ARM2_COMP1_KFACTOR_CHANGED</t>
  </si>
  <si>
    <t>SmartLoad-Dual.BC-03B.NOMINAL_ARM2_COMP2_KFACTOR_CHANGED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</si>
  <si>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</si>
  <si>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</si>
  <si>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</si>
  <si>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</si>
  <si>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</si>
  <si>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</si>
  <si>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</si>
  <si>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</si>
  <si>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</si>
  <si>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</si>
  <si>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SmartLoad-Dual.BC-04A.UNAUTHORIZE_FLOW_ALARM_STATUS_M2</t>
  </si>
  <si>
    <t>SmartLoad-Dual.BC-04A.METER_OVERRUN_ALARM_STATUS_M1</t>
  </si>
  <si>
    <t>SmartLoad-Dual.BC-04A.METER_OVERRUN_ALARM_STATUS_M2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</si>
  <si>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</si>
  <si>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</si>
  <si>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</si>
  <si>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</si>
  <si>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SmartLoad-Dual.BC-04A.MFM_BCU_QTY_BEYOND_TOLERANCE_LIMIT_STATUS</t>
  </si>
  <si>
    <t>SmartLoad-Dual.BC-04A.BCU_C1_TOTALIZER_MISMATCH_ALARM</t>
  </si>
  <si>
    <t>SmartLoad-Dual.BC-04A.BCU_C2_TOTALIZER_MISMATCH_ALARM</t>
  </si>
  <si>
    <t>SmartLoad-Dual.BC-04A.NOMINAL_ARM1_COMP1_KFACTOR_CHANGED</t>
  </si>
  <si>
    <t>SmartLoad-Dual.BC-04A.NOMINAL_ARM1_COMP2_KFACTOR_CHANGED</t>
  </si>
  <si>
    <t>LP 08</t>
  </si>
  <si>
    <t>BC-04B</t>
  </si>
  <si>
    <t>SmartLoad-Dual.BC-04B.EARTH_ALARM_STATUS</t>
  </si>
  <si>
    <t>SmartLoad-Dual.BC-04B.NO_FLOW_ALARM_STATUS_M3</t>
  </si>
  <si>
    <t>SmartLoad-Dual.BC-04B.NO_FLOW_ALARM_STATUS_M4</t>
  </si>
  <si>
    <t>SmartLoad-Dual.BC-04B.LOW_FLOW_ALARM_STATUS_M3</t>
  </si>
  <si>
    <t>SmartLoad-Dual.BC-04B.LOW_FLOW_ALARM_STATUS_M4</t>
  </si>
  <si>
    <t>SmartLoad-Dual.BC-04B.HIGH_FLOW_ALARM_STATUS_M3</t>
  </si>
  <si>
    <t>SmartLoad-Dual.BC-04B.HIGH_FLOW_ALARM_STATUS_M4</t>
  </si>
  <si>
    <t>SmartLoad-Dual.BC-04B.UNAUTHORIZE_FLOW_ALARM_STATUS_M3</t>
  </si>
  <si>
    <t>SmartLoad-Dual.BC-04B.UNAUTHORIZE_FLOW_ALARM_STATUS_M4</t>
  </si>
  <si>
    <t>SmartLoad-Dual.BC-04B.METER_OVERRUN_ALARM_STATUS_M3</t>
  </si>
  <si>
    <t>SmartLoad-Dual.BC-04B.METER_OVERRUN_ALARM_STATUS_M4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</si>
  <si>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</si>
  <si>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</si>
  <si>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</si>
  <si>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</si>
  <si>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SmartLoad-Dual.BC-04B.MFM_BCU_QTY_BEYOND_TOLERANCE_LIMIT_STATUS</t>
  </si>
  <si>
    <t>SmartLoad-Dual.BC-04B.BCU_C3_TOTALIZER_MISMATCH_ALARM</t>
  </si>
  <si>
    <t>SmartLoad-Dual.BC-04B.BCU_C4_TOTALIZER_MISMATCH_ALARM</t>
  </si>
  <si>
    <t>SmartLoad-Dual.BC-04B.NOMINAL_ARM2_COMP1_KFACTOR_CHANGED</t>
  </si>
  <si>
    <t>SmartLoad-Dual.BC-04B.NOMINAL_ARM2_COMP2_KFACTOR_CHANGED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</si>
  <si>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</si>
  <si>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</si>
  <si>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</si>
  <si>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</si>
  <si>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</si>
  <si>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</si>
  <si>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</si>
  <si>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</si>
  <si>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</si>
  <si>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</si>
  <si>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SmartLoad-Dual.BC-05A.UNAUTHORIZE_FLOW_ALARM_STATUS_M2</t>
  </si>
  <si>
    <t>SmartLoad-Dual.BC-05A.METER_OVERRUN_ALARM_STATUS_M1</t>
  </si>
  <si>
    <t>SmartLoad-Dual.BC-05A.METER_OVERRUN_ALARM_STATUS_M2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</si>
  <si>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</si>
  <si>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</si>
  <si>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</si>
  <si>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</si>
  <si>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SmartLoad-Dual.BC-05A.MFM_BCU_QTY_BEYOND_TOLERANCE_LIMIT_STATUS</t>
  </si>
  <si>
    <t>SmartLoad-Dual.BC-05A.BCU_C1_TOTALIZER_MISMATCH_ALARM</t>
  </si>
  <si>
    <t>SmartLoad-Dual.BC-05A.BCU_C2_TOTALIZER_MISMATCH_ALARM</t>
  </si>
  <si>
    <t>SmartLoad-Dual.BC-05A.NOMINAL_ARM1_COMP1_KFACTOR_CHANGED</t>
  </si>
  <si>
    <t>SmartLoad-Dual.BC-05A.NOMINAL_ARM1_COMP2_KFACTOR_CHANGED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</si>
  <si>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</si>
  <si>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</si>
  <si>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</si>
  <si>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</si>
  <si>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</si>
  <si>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</si>
  <si>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</si>
  <si>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</si>
  <si>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</si>
  <si>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</si>
  <si>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SmartLoad-Dual.BC-05B.UNAUTHORIZE_FLOW_ALARM_STATUS_M4</t>
  </si>
  <si>
    <t>SmartLoad-Dual.BC-05B.METER_OVERRUN_ALARM_STATUS_M3</t>
  </si>
  <si>
    <t>SmartLoad-Dual.BC-05B.METER_OVERRUN_ALARM_STATUS_M4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</si>
  <si>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</si>
  <si>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</si>
  <si>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</si>
  <si>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</si>
  <si>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SmartLoad-Dual.BC-05B.MFM_BCU_QTY_BEYOND_TOLERANCE_LIMIT_STATUS</t>
  </si>
  <si>
    <t>SmartLoad-Dual.BC-05B.BCU_C3_TOTALIZER_MISMATCH_ALARM</t>
  </si>
  <si>
    <t>SmartLoad-Dual.BC-05B.BCU_C4_TOTALIZER_MISMATCH_ALARM</t>
  </si>
  <si>
    <t>SmartLoad-Dual.BC-05B.NOMINAL_ARM2_COMP1_KFACTOR_CHANGED</t>
  </si>
  <si>
    <t>SmartLoad-Dual.BC-05B.NOMINAL_ARM2_COMP2_KFACTOR_CHANGED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</si>
  <si>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</si>
  <si>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</si>
  <si>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</si>
  <si>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</si>
  <si>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</si>
  <si>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</si>
  <si>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</si>
  <si>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</si>
  <si>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</si>
  <si>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</si>
  <si>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SmartLoad-Dual.BC-06A.UNAUTHORIZE_FLOW_ALARM_STATUS_M2</t>
  </si>
  <si>
    <t>SmartLoad-Dual.BC-06A.METER_OVERRUN_ALARM_STATUS_M1</t>
  </si>
  <si>
    <t>SmartLoad-Dual.BC-06A.METER_OVERRUN_ALARM_STATUS_M2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</si>
  <si>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</si>
  <si>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</si>
  <si>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</si>
  <si>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</si>
  <si>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SmartLoad-Dual.BC-06A.MFM_BCU_QTY_BEYOND_TOLERANCE_LIMIT_STATUS</t>
  </si>
  <si>
    <t>SmartLoad-Dual.BC-06A.BCU_C1_TOTALIZER_MISMATCH_ALARM</t>
  </si>
  <si>
    <t>SmartLoad-Dual.BC-06A.BCU_C2_TOTALIZER_MISMATCH_ALARM</t>
  </si>
  <si>
    <t>SmartLoad-Dual.BC-06A.NOMINAL_ARM1_COMP1_KFACTOR_CHANGED</t>
  </si>
  <si>
    <t>SmartLoad-Dual.BC-06A.NOMINAL_ARM1_COMP2_KFACTOR_CHANGED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</si>
  <si>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</si>
  <si>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</si>
  <si>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</si>
  <si>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</si>
  <si>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</si>
  <si>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</si>
  <si>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</si>
  <si>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</si>
  <si>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</si>
  <si>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</si>
  <si>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SmartLoad-Dual.BC-06B.UNAUTHORIZE_FLOW_ALARM_STATUS_M4</t>
  </si>
  <si>
    <t>SmartLoad-Dual.BC-06B.METER_OVERRUN_ALARM_STATUS_M3</t>
  </si>
  <si>
    <t>SmartLoad-Dual.BC-06B.METER_OVERRUN_ALARM_STATUS_M4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</si>
  <si>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</si>
  <si>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</si>
  <si>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</si>
  <si>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</si>
  <si>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SmartLoad-Dual.BC-06B.MFM_BCU_QTY_BEYOND_TOLERANCE_LIMIT_STATUS</t>
  </si>
  <si>
    <t>SmartLoad-Dual.BC-06B.BCU_C3_TOTALIZER_MISMATCH_ALARM</t>
  </si>
  <si>
    <t>SmartLoad-Dual.BC-06B.BCU_C4_TOTALIZER_MISMATCH_ALARM</t>
  </si>
  <si>
    <t>SmartLoad-Dual.BC-06B.NOMINAL_ARM2_COMP1_KFACTOR_CHANGED</t>
  </si>
  <si>
    <t>SmartLoad-Dual.BC-06B.NOMINAL_ARM2_COMP2_KFACTOR_CHANGED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</si>
  <si>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</si>
  <si>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</si>
  <si>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</si>
  <si>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</si>
  <si>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</si>
  <si>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</si>
  <si>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</si>
  <si>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</si>
  <si>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</si>
  <si>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</si>
  <si>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SmartLoad-Dual.BC-07A.UNAUTHORIZE_FLOW_ALARM_STATUS_M2</t>
  </si>
  <si>
    <t>SmartLoad-Dual.BC-07A.METER_OVERRUN_ALARM_STATUS_M1</t>
  </si>
  <si>
    <t>SmartLoad-Dual.BC-07A.METER_OVERRUN_ALARM_STATUS_M2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</si>
  <si>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</si>
  <si>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</si>
  <si>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</si>
  <si>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</si>
  <si>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SmartLoad-Dual.BC-07A.MFM_BCU_QTY_BEYOND_TOLERANCE_LIMIT_STATUS</t>
  </si>
  <si>
    <t>SmartLoad-Dual.BC-07A.BCU_C1_TOTALIZER_MISMATCH_ALARM</t>
  </si>
  <si>
    <t>SmartLoad-Dual.BC-07A.BCU_C2_TOTALIZER_MISMATCH_ALARM</t>
  </si>
  <si>
    <t>SmartLoad-Dual.BC-07A.NOMINAL_ARM1_COMP1_KFACTOR_CHANGED</t>
  </si>
  <si>
    <t>SmartLoad-Dual.BC-07A.NOMINAL_ARM1_COMP2_KFACTOR_CHANGED</t>
  </si>
  <si>
    <t>LP 14</t>
  </si>
  <si>
    <t>BC-07B</t>
  </si>
  <si>
    <t>SmartLoad-Dual.BC-07B.EARTH_ALARM_STATUS</t>
  </si>
  <si>
    <t>SmartLoad-Dual.BC-07B.NO_FLOW_ALARM_STATUS_M3</t>
  </si>
  <si>
    <t>SmartLoad-Dual.BC-07B.NO_FLOW_ALARM_STATUS_M4</t>
  </si>
  <si>
    <t>SmartLoad-Dual.BC-07B.LOW_FLOW_ALARM_STATUS_M3</t>
  </si>
  <si>
    <t>SmartLoad-Dual.BC-07B.LOW_FLOW_ALARM_STATUS_M4</t>
  </si>
  <si>
    <t>SmartLoad-Dual.BC-07B.HIGH_FLOW_ALARM_STATUS_M3</t>
  </si>
  <si>
    <t>SmartLoad-Dual.BC-07B.HIGH_FLOW_ALARM_STATUS_M4</t>
  </si>
  <si>
    <t>SmartLoad-Dual.BC-07B.UNAUTHORIZE_FLOW_ALARM_STATUS_M3</t>
  </si>
  <si>
    <t>SmartLoad-Dual.BC-07B.UNAUTHORIZE_FLOW_ALARM_STATUS_M4</t>
  </si>
  <si>
    <t>SmartLoad-Dual.BC-07B.METER_OVERRUN_ALARM_STATUS_M3</t>
  </si>
  <si>
    <t>SmartLoad-Dual.BC-07B.METER_OVERRUN_ALARM_STATUS_M4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</si>
  <si>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</si>
  <si>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</si>
  <si>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</si>
  <si>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</si>
  <si>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SmartLoad-Dual.BC-07B.MFM_BCU_QTY_BEYOND_TOLERANCE_LIMIT_STATUS</t>
  </si>
  <si>
    <t>SmartLoad-Dual.BC-07B.BCU_C3_TOTALIZER_MISMATCH_ALARM</t>
  </si>
  <si>
    <t>SmartLoad-Dual.BC-07B.BCU_C4_TOTALIZER_MISMATCH_ALARM</t>
  </si>
  <si>
    <t>SmartLoad-Dual.BC-07B.NOMINAL_ARM2_COMP1_KFACTOR_CHANGED</t>
  </si>
  <si>
    <t>SmartLoad-Dual.BC-07B.NOMINAL_ARM2_COMP2_KFACTOR_CHANGED</t>
  </si>
  <si>
    <t>LP 15</t>
  </si>
  <si>
    <t>BC-09A-LP1</t>
  </si>
  <si>
    <t>SmartLoad-Dual.BC-09A-LP1.EARTH_ALARM_STATUS</t>
  </si>
  <si>
    <t>SmartLoad-Dual.BC-09A-LP1.NO_FLOW_ALARM_STATUS_M1</t>
  </si>
  <si>
    <t>SmartLoad-Dual.BC-09A-LP1.NO_FLOW_ALARM_STATUS_M2</t>
  </si>
  <si>
    <t>SmartLoad-Dual.BC-09A-LP1.LOW_FLOW_ALARM_STATUS_M1</t>
  </si>
  <si>
    <t>SmartLoad-Dual.BC-09A-LP1.LOW_FLOW_ALARM_STATUS_M2</t>
  </si>
  <si>
    <t>SmartLoad-Dual.BC-09A-LP1.HIGH_FLOW_ALARM_STATUS_M1</t>
  </si>
  <si>
    <t>SmartLoad-Dual.BC-09A-LP1.HIGH_FLOW_ALARM_STATUS_M2</t>
  </si>
  <si>
    <t>SmartLoad-Dual.BC-09A-LP1.UNAUTHORIZE_FLOW_ALARM_STATUS_M1</t>
  </si>
  <si>
    <t>SmartLoad-Dual.BC-09A-LP1.UNAUTHORIZE_FLOW_ALARM_STATUS_M2</t>
  </si>
  <si>
    <t>SmartLoad-Dual.BC-09A-LP1.METER_OVERRUN_ALARM_STATUS_M1</t>
  </si>
  <si>
    <t>SmartLoad-Dual.BC-09A-LP1.METER_OVERRUN_ALARM_STATUS_M2</t>
  </si>
  <si>
    <t>SmartLoad-Dual.BC-09A-LP1.BLEND_UNDERDOSE_ALARM_STATUS</t>
  </si>
  <si>
    <t>SmartLoad-Dual.BC-09A-LP1.ADDITIVE_OVERDOSE_ALARM_STATUS</t>
  </si>
  <si>
    <t>SmartLoad-Dual.BC-09A-LP1.ADDITIVE_UNDERDOSE_ALARM_STATUS</t>
  </si>
  <si>
    <t>SmartLoad-Dual.BC-09A-LP1.BATCH_STATUS</t>
  </si>
  <si>
    <t>SmartLoad-Dual.BC-09A-LP1.MFM_BCU_QTY_BEYOND_TOLERANCE_LIMIT_STATUS</t>
  </si>
  <si>
    <t>SmartLoad-Dual.BC-09A-LP1.BCU_C1_TOTALIZER_MISMATCH_ALARM</t>
  </si>
  <si>
    <t>SmartLoad-Dual.BC-09A-LP1.BCU_C2_TOTALIZER_MISMATCH_ALARM</t>
  </si>
  <si>
    <t>SmartLoad-Dual.BC-09A-LP1.NOMINAL_ARM1_COMP1_KFACTOR_CHANGED</t>
  </si>
  <si>
    <t>SmartLoad-Dual.BC-09A-LP1.NOMINAL_ARM1_COMP2_KFACTOR_CHANGED</t>
  </si>
  <si>
    <t>LP 16</t>
  </si>
  <si>
    <t>BC-09A-LP2</t>
  </si>
  <si>
    <t>SmartLoad-Dual.BC-09A-LP2.EARTH_ALARM_STATUS</t>
  </si>
  <si>
    <t>SmartLoad-Dual.BC-09A-LP2.NO_FLOW_ALARM_STATUS_M3</t>
  </si>
  <si>
    <t>SmartLoad-Dual.BC-09A-LP2.NO_FLOW_ALARM_STATUS_M4</t>
  </si>
  <si>
    <t>SmartLoad-Dual.BC-09A-LP2.LOW_FLOW_ALARM_STATUS_M3</t>
  </si>
  <si>
    <t>SmartLoad-Dual.BC-09A-LP2.LOW_FLOW_ALARM_STATUS_M4</t>
  </si>
  <si>
    <t>SmartLoad-Dual.BC-09A-LP2.HIGH_FLOW_ALARM_STATUS_M3</t>
  </si>
  <si>
    <t>SmartLoad-Dual.BC-09A-LP2.HIGH_FLOW_ALARM_STATUS_M4</t>
  </si>
  <si>
    <t>SmartLoad-Dual.BC-09A-LP2.UNAUTHORIZE_FLOW_ALARM_STATUS_M3</t>
  </si>
  <si>
    <t>SmartLoad-Dual.BC-09A-LP2.UNAUTHORIZE_FLOW_ALARM_STATUS_M4</t>
  </si>
  <si>
    <t>SmartLoad-Dual.BC-09A-LP2.METER_OVERRUN_ALARM_STATUS_M3</t>
  </si>
  <si>
    <t>SmartLoad-Dual.BC-09A-LP2.METER_OVERRUN_ALARM_STATUS_M4</t>
  </si>
  <si>
    <t>SmartLoad-Dual.BC-09A-LP2.BLEND_UNDERDOSE_ALARM_STATUS</t>
  </si>
  <si>
    <t>SmartLoad-Dual.BC-09A-LP2.ADDITIVE_OVERDOSE_ALARM_STATUS</t>
  </si>
  <si>
    <t>SmartLoad-Dual.BC-09A-LP2.ADDITIVE_UNDERDOSE_ALARM_STATUS</t>
  </si>
  <si>
    <t>SmartLoad-Dual.BC-09A-LP2.BATCH_STATUS</t>
  </si>
  <si>
    <t>SmartLoad-Dual.BC-09A-LP2.MFM_BCU_QTY_BEYOND_TOLERANCE_LIMIT_STATUS</t>
  </si>
  <si>
    <t>SmartLoad-Dual.BC-09A-LP2.BCU_C3_TOTALIZER_MISMATCH_ALARM</t>
  </si>
  <si>
    <t>SmartLoad-Dual.BC-09A-LP2.BCU_C4_TOTALIZER_MISMATCH_ALARM</t>
  </si>
  <si>
    <t>SmartLoad-Dual.BC-09A-LP2.NOMINAL_ARM2_COMP1_KFACTOR_CHANGED</t>
  </si>
  <si>
    <t>SmartLoad-Dual.BC-09A-LP2.NOMINAL_ARM2_COMP2_KFACTOR_CHANGED</t>
  </si>
  <si>
    <t>LP 17</t>
  </si>
  <si>
    <t>BC-09B-LP2</t>
  </si>
  <si>
    <t>SmartLoad-Dual.BC-09B-LP2.EARTH_ALARM_STATUS</t>
  </si>
  <si>
    <t>SmartLoad-Dual.BC-09B-LP2.NO_FLOW_ALARM_STATUS_M3</t>
  </si>
  <si>
    <t>SmartLoad-Dual.BC-09B-LP2.LOW_FLOW_ALARM_STATUS_M3</t>
  </si>
  <si>
    <t>SmartLoad-Dual.BC-09B-LP2.HIGH_FLOW_ALARM_STATUS_M3</t>
  </si>
  <si>
    <t>SmartLoad-Dual.BC-09B-LP2.UNAUTHORIZE_FLOW_ALARM_STATUS_M3</t>
  </si>
  <si>
    <t>SmartLoad-Dual.BC-09B-LP2.METER_OVERRUN_ALARM_STATUS_M3</t>
  </si>
  <si>
    <t>SmartLoad-Dual.BC-09B-LP2.BLEND_UNDERDOSE_ALARM_STATUS</t>
  </si>
  <si>
    <t>SmartLoad-Dual.BC-09B-LP2.ADDITIVE_OVERDOSE_ALARM_STATUS</t>
  </si>
  <si>
    <t>SmartLoad-Dual.BC-09B-LP2.ADDITIVE_UNDERDOSE_ALARM_STATUS</t>
  </si>
  <si>
    <t>SmartLoad-Dual.BC-09B-LP2.BATCH_STATUS</t>
  </si>
  <si>
    <t>SmartLoad-Dual.BC-09B-LP2.MFM_BCU_QTY_BEYOND_TOLERANCE_LIMIT_STATUS</t>
  </si>
  <si>
    <t>SmartLoad-Dual.BC-09B-LP2.BCU_C3_TOTALIZER_MISMATCH_ALARM</t>
  </si>
  <si>
    <t>SmartLoad-Dual.BC-09B-LP2.NOMINAL_ARM2_COMP1_KFACTOR_CHANGED</t>
  </si>
  <si>
    <t>LP 18</t>
  </si>
  <si>
    <t>BC-0A-LP1</t>
  </si>
  <si>
    <t>SmartLoad-Dual.BC-0A-LP1.EARTH_ALARM_STATUS</t>
  </si>
  <si>
    <t>SmartLoad-Dual.BC-0A-LP1.NO_FLOW_ALARM_STATUS_M1</t>
  </si>
  <si>
    <t>SmartLoad-Dual.BC-0A-LP1.NO_FLOW_ALARM_STATUS_M2</t>
  </si>
  <si>
    <t>SmartLoad-Dual.BC-0A-LP1.LOW_FLOW_ALARM_STATUS_M1</t>
  </si>
  <si>
    <t>SmartLoad-Dual.BC-0A-LP1.LOW_FLOW_ALARM_STATUS_M2</t>
  </si>
  <si>
    <t>SmartLoad-Dual.BC-0A-LP1.HIGH_FLOW_ALARM_STATUS_M1</t>
  </si>
  <si>
    <t>SmartLoad-Dual.BC-0A-LP1.HIGH_FLOW_ALARM_STATUS_M2</t>
  </si>
  <si>
    <t>SmartLoad-Dual.BC-0A-LP1.UNAUTHORIZE_FLOW_ALARM_STATUS_M1</t>
  </si>
  <si>
    <t>SmartLoad-Dual.BC-0A-LP1.UNAUTHORIZE_FLOW_ALARM_STATUS_M2</t>
  </si>
  <si>
    <t>SmartLoad-Dual.BC-0A-LP1.METER_OVERRUN_ALARM_STATUS_M1</t>
  </si>
  <si>
    <t>SmartLoad-Dual.BC-0A-LP1.METER_OVERRUN_ALARM_STATUS_M2</t>
  </si>
  <si>
    <t>SmartLoad-Dual.BC-0A-LP1.BLEND_UNDERDOSE_ALARM_STATUS</t>
  </si>
  <si>
    <t>SmartLoad-Dual.BC-0A-LP1.ADDITIVE_OVERDOSE_ALARM_STATUS</t>
  </si>
  <si>
    <t>SmartLoad-Dual.BC-0A-LP1.ADDITIVE_UNDERDOSE_ALARM_STATUS</t>
  </si>
  <si>
    <t>SmartLoad-Dual.BC-0A-LP1.BATCH_STATUS</t>
  </si>
  <si>
    <t>SmartLoad-Dual.BC-0A-LP1.MFM_BCU_QTY_BEYOND_TOLERANCE_LIMIT_STATUS</t>
  </si>
  <si>
    <t>SmartLoad-Dual.BC-0A-LP1.BCU_C1_TOTALIZER_MISMATCH_ALARM</t>
  </si>
  <si>
    <t>SmartLoad-Dual.BC-0A-LP1.BCU_C2_TOTALIZER_MISMATCH_ALARM</t>
  </si>
  <si>
    <t>SmartLoad-Dual.BC-0A-LP1.NOMINAL_ARM1_COMP1_KFACTOR_CHANGED</t>
  </si>
  <si>
    <t>SmartLoad-Dual.BC-0A-LP1.NOMINAL_ARM1_COMP2_KFACTOR_CHANGED</t>
  </si>
  <si>
    <t>LP 19</t>
  </si>
  <si>
    <t>BC-0A-LP2</t>
  </si>
  <si>
    <t>SmartLoad-Dual.BC-0A-LP2.EARTH_ALARM_STATUS</t>
  </si>
  <si>
    <t>SmartLoad-Dual.BC-0A-LP2.NO_FLOW_ALARM_STATUS_M3</t>
  </si>
  <si>
    <t>SmartLoad-Dual.BC-0A-LP2.NO_FLOW_ALARM_STATUS_M4</t>
  </si>
  <si>
    <t>SmartLoad-Dual.BC-0A-LP2.LOW_FLOW_ALARM_STATUS_M3</t>
  </si>
  <si>
    <t>SmartLoad-Dual.BC-0A-LP2.LOW_FLOW_ALARM_STATUS_M4</t>
  </si>
  <si>
    <t>SmartLoad-Dual.BC-0A-LP2.HIGH_FLOW_ALARM_STATUS_M3</t>
  </si>
  <si>
    <t>SmartLoad-Dual.BC-0A-LP2.HIGH_FLOW_ALARM_STATUS_M4</t>
  </si>
  <si>
    <t>SmartLoad-Dual.BC-0A-LP2.UNAUTHORIZE_FLOW_ALARM_STATUS_M3</t>
  </si>
  <si>
    <t>SmartLoad-Dual.BC-0A-LP2.UNAUTHORIZE_FLOW_ALARM_STATUS_M4</t>
  </si>
  <si>
    <t>SmartLoad-Dual.BC-0A-LP2.METER_OVERRUN_ALARM_STATUS_M3</t>
  </si>
  <si>
    <t>SmartLoad-Dual.BC-0A-LP2.METER_OVERRUN_ALARM_STATUS_M4</t>
  </si>
  <si>
    <t>SmartLoad-Dual.BC-0A-LP2.BLEND_UNDERDOSE_ALARM_STATUS</t>
  </si>
  <si>
    <t>SmartLoad-Dual.BC-0A-LP2.ADDITIVE_OVERDOSE_ALARM_STATUS</t>
  </si>
  <si>
    <t>SmartLoad-Dual.BC-0A-LP2.ADDITIVE_UNDERDOSE_ALARM_STATUS</t>
  </si>
  <si>
    <t>SmartLoad-Dual.BC-0A-LP2.BATCH_STATUS</t>
  </si>
  <si>
    <t>SmartLoad-Dual.BC-0A-LP2.MFM_BCU_QTY_BEYOND_TOLERANCE_LIMIT_STATUS</t>
  </si>
  <si>
    <t>SmartLoad-Dual.BC-0A-LP2.BCU_C3_TOTALIZER_MISMATCH_ALARM</t>
  </si>
  <si>
    <t>SmartLoad-Dual.BC-0A-LP2.BCU_C4_TOTALIZER_MISMATCH_ALARM</t>
  </si>
  <si>
    <t>SmartLoad-Dual.BC-0A-LP2.NOMINAL_ARM2_COMP1_KFACTOR_CHANGED</t>
  </si>
  <si>
    <t>SmartLoad-Dual.BC-0A-LP2.NOMINAL_ARM2_COMP2_KFACTOR_CHANGED</t>
  </si>
  <si>
    <t>LP 20</t>
  </si>
  <si>
    <t>BC-0B-LP1</t>
  </si>
  <si>
    <t>SmartLoad-Dual.BC-0B-LP1.EARTH_ALARM_STATUS</t>
  </si>
  <si>
    <t>SmartLoad-Dual.BC-0B-LP1.NO_FLOW_ALARM_STATUS_M1</t>
  </si>
  <si>
    <t>SmartLoad-Dual.BC-0B-LP1.LOW_FLOW_ALARM_STATUS_M1</t>
  </si>
  <si>
    <t>SmartLoad-Dual.BC-0B-LP1.HIGH_FLOW_ALARM_STATUS_M1</t>
  </si>
  <si>
    <t>SmartLoad-Dual.BC-0B-LP1.UNAUTHORIZE_FLOW_ALARM_STATUS_M1</t>
  </si>
  <si>
    <t>SmartLoad-Dual.BC-0B-LP1.METER_OVERRUN_ALARM_STATUS_M1</t>
  </si>
  <si>
    <t>SmartLoad-Dual.BC-0B-LP1.BLEND_UNDERDOSE_ALARM_STATUS</t>
  </si>
  <si>
    <t>SmartLoad-Dual.BC-0B-LP1.ADDITIVE_OVERDOSE_ALARM_STATUS</t>
  </si>
  <si>
    <t>SmartLoad-Dual.BC-0B-LP1.ADDITIVE_UNDERDOSE_ALARM_STATUS</t>
  </si>
  <si>
    <t>SmartLoad-Dual.BC-0B-LP1.BATCH_STATUS</t>
  </si>
  <si>
    <t>SmartLoad-Dual.BC-0B-LP1.MFM_BCU_QTY_BEYOND_TOLERANCE_LIMIT_STATUS</t>
  </si>
  <si>
    <t>SmartLoad-Dual.BC-0B-LP1.BCU_C1_TOTALIZER_MISMATCH_ALARM</t>
  </si>
  <si>
    <t>SmartLoad-Dual.BC-0B-LP1.NOMINAL_ARM1_COMP1_KFACTOR_CHANGED</t>
  </si>
  <si>
    <t>LP 21</t>
  </si>
  <si>
    <t>BC-0B-LP2</t>
  </si>
  <si>
    <t>SmartLoad-Dual.BC-0B-LP2.EARTH_ALARM_STATUS</t>
  </si>
  <si>
    <t>SmartLoad-Dual.BC-0B-LP2.NO_FLOW_ALARM_STATUS_M3</t>
  </si>
  <si>
    <t>SmartLoad-Dual.BC-0B-LP2.LOW_FLOW_ALARM_STATUS_M3</t>
  </si>
  <si>
    <t>SmartLoad-Dual.BC-0B-LP2.HIGH_FLOW_ALARM_STATUS_M3</t>
  </si>
  <si>
    <t>SmartLoad-Dual.BC-0B-LP2.UNAUTHORIZE_FLOW_ALARM_STATUS_M3</t>
  </si>
  <si>
    <t>SmartLoad-Dual.BC-0B-LP2.METER_OVERRUN_ALARM_STATUS_M3</t>
  </si>
  <si>
    <t>SmartLoad-Dual.BC-0B-LP2.BLEND_UNDERDOSE_ALARM_STATUS</t>
  </si>
  <si>
    <t>SmartLoad-Dual.BC-0B-LP2.ADDITIVE_OVERDOSE_ALARM_STATUS</t>
  </si>
  <si>
    <t>SmartLoad-Dual.BC-0B-LP2.ADDITIVE_UNDERDOSE_ALARM_STATUS</t>
  </si>
  <si>
    <t>SmartLoad-Dual.BC-0B-LP2.BATCH_STATUS</t>
  </si>
  <si>
    <t>SmartLoad-Dual.BC-0B-LP2.MFM_BCU_QTY_BEYOND_TOLERANCE_LIMIT_STATUS</t>
  </si>
  <si>
    <t>SmartLoad-Dual.BC-0B-LP2.BCU_C3_TOTALIZER_MISMATCH_ALARM</t>
  </si>
  <si>
    <t>SmartLoad-Dual.BC-0B-LP2.NOMINAL_ARM2_COMP1_KFACTOR_CHANGED</t>
  </si>
  <si>
    <t>LP 22</t>
  </si>
  <si>
    <t>BC-10A</t>
  </si>
  <si>
    <t>SmartLoad-Dual.BC-10A.EARTH_ALARM_STATUS</t>
  </si>
  <si>
    <t>SmartLoad-Dual.BC-10A.NO_FLOW_ALARM_STATUS_M1</t>
  </si>
  <si>
    <t>SmartLoad-Dual.BC-10A.NO_FLOW_ALARM_STATUS_M2</t>
  </si>
  <si>
    <t>SmartLoad-Dual.BC-10A.LOW_FLOW_ALARM_STATUS_M1</t>
  </si>
  <si>
    <t>SmartLoad-Dual.BC-10A.LOW_FLOW_ALARM_STATUS_M2</t>
  </si>
  <si>
    <t>SmartLoad-Dual.BC-10A.HIGH_FLOW_ALARM_STATUS_M1</t>
  </si>
  <si>
    <t>SmartLoad-Dual.BC-10A.HIGH_FLOW_ALARM_STATUS_M2</t>
  </si>
  <si>
    <t>SmartLoad-Dual.BC-10A.UNAUTHORIZE_FLOW_ALARM_STATUS_M1</t>
  </si>
  <si>
    <t>SmartLoad-Dual.BC-10A.UNAUTHORIZE_FLOW_ALARM_STATUS_M2</t>
  </si>
  <si>
    <t>SmartLoad-Dual.BC-10A.METER_OVERRUN_ALARM_STATUS_M1</t>
  </si>
  <si>
    <t>SmartLoad-Dual.BC-10A.METER_OVERRUN_ALARM_STATUS_M2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</si>
  <si>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</si>
  <si>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</si>
  <si>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</si>
  <si>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</si>
  <si>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SmartLoad-Dual.BC-10A.MFM_BCU_QTY_BEYOND_TOLERANCE_LIMIT_STATUS</t>
  </si>
  <si>
    <t>SmartLoad-Dual.BC-10A.BCU_C1_TOTALIZER_MISMATCH_ALARM</t>
  </si>
  <si>
    <t>SmartLoad-Dual.BC-10A.BCU_C2_TOTALIZER_MISMATCH_ALARM</t>
  </si>
  <si>
    <t>SmartLoad-Dual.BC-10A.NOMINAL_ARM1_COMP1_KFACTOR_CHANGED</t>
  </si>
  <si>
    <t>SmartLoad-Dual.BC-10A.NOMINAL_ARM1_COMP2_KFACTOR_CHANGED</t>
  </si>
  <si>
    <t>LP 23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</si>
  <si>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</si>
  <si>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</si>
  <si>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</si>
  <si>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</si>
  <si>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</si>
  <si>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</si>
  <si>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</si>
  <si>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</si>
  <si>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</si>
  <si>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SmartLoad-Dual.BC-10B.UNAUTHORIZE_FLOW_ALARM_STATUS_M4</t>
  </si>
  <si>
    <t>SmartLoad-Dual.BC-10B.METER_OVERRUN_ALARM_STATUS_M3</t>
  </si>
  <si>
    <t>SmartLoad-Dual.BC-10B.METER_OVERRUN_ALARM_STATUS_M4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</si>
  <si>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</si>
  <si>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</si>
  <si>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</si>
  <si>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</si>
  <si>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SmartLoad-Dual.BC-10B.MFM_BCU_QTY_BEYOND_TOLERANCE_LIMIT_STATUS</t>
  </si>
  <si>
    <t>SmartLoad-Dual.BC-10B.BCU_C3_TOTALIZER_MISMATCH_ALARM</t>
  </si>
  <si>
    <t>SmartLoad-Dual.BC-10B.BCU_C4_TOTALIZER_MISMATCH_ALARM</t>
  </si>
  <si>
    <t>SmartLoad-Dual.BC-10B.NOMINAL_ARM2_COMP1_KFACTOR_CHANGED</t>
  </si>
  <si>
    <t>SmartLoad-Dual.BC-10B.NOMINAL_ARM2_COMP2_KFACTOR_CHANGED</t>
  </si>
  <si>
    <t>LP 24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</si>
  <si>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</si>
  <si>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</si>
  <si>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</si>
  <si>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</si>
  <si>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</si>
  <si>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</si>
  <si>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</si>
  <si>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</si>
  <si>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</si>
  <si>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</si>
  <si>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</si>
  <si>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SmartLoad-Dual.BC-11A.MFM_BCU_QTY_BEYOND_TOLERANCE_LIMIT_STATUS</t>
  </si>
  <si>
    <t>SmartLoad-Dual.BC-11A.BCU_C1_TOTALIZER_MISMATCH_ALARM</t>
  </si>
  <si>
    <t>SmartLoad-Dual.BC-11A.NOMINAL_ARM1_COMP1_KFACTOR_CHANGED</t>
  </si>
  <si>
    <t>LP 25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</si>
  <si>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</si>
  <si>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</si>
  <si>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</si>
  <si>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</si>
  <si>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</si>
  <si>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</si>
  <si>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</si>
  <si>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</si>
  <si>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</si>
  <si>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</si>
  <si>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</si>
  <si>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SmartLoad-Dual.BC-11B.MFM_BCU_QTY_BEYOND_TOLERANCE_LIMIT_STATUS</t>
  </si>
  <si>
    <t>SmartLoad-Dual.BC-11B.BCU_C3_TOTALIZER_MISMATCH_ALARM</t>
  </si>
  <si>
    <t>SmartLoad-Dual.BC-11B.NOMINAL_ARM2_COMP1_KFACTOR_CHANGED</t>
  </si>
  <si>
    <t>LP 26</t>
  </si>
  <si>
    <t>BC-12A</t>
  </si>
  <si>
    <t>SmartLoad-Dual.BC-12A.EARTH_ALARM_STATUS</t>
  </si>
  <si>
    <t>SmartLoad-Dual.BC-12A.NO_FLOW_ALARM_STATUS_M1</t>
  </si>
  <si>
    <t>SmartLoad-Dual.BC-12A.LOW_FLOW_ALARM_STATUS_M1</t>
  </si>
  <si>
    <t>SmartLoad-Dual.BC-12A.HIGH_FLOW_ALARM_STATUS_M1</t>
  </si>
  <si>
    <t>SmartLoad-Dual.BC-12A.UNAUTHORIZE_FLOW_ALARM_STATUS_M1</t>
  </si>
  <si>
    <t>SmartLoad-Dual.BC-12A.METER_OVERRUN_ALARM_STATUS_M1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</si>
  <si>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</si>
  <si>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</si>
  <si>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</si>
  <si>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</si>
  <si>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SmartLoad-Dual.BC-12A.MFM_BCU_QTY_BEYOND_TOLERANCE_LIMIT_STATUS</t>
  </si>
  <si>
    <t>SmartLoad-Dual.BC-12A.BCU_C1_TOTALIZER_MISMATCH_ALARM</t>
  </si>
  <si>
    <t>SmartLoad-Dual.BC-12A.NOMINAL_ARM1_COMP1_KFACTOR_CHANGED</t>
  </si>
  <si>
    <t>LP 27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</si>
  <si>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</si>
  <si>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</si>
  <si>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</si>
  <si>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</si>
  <si>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</si>
  <si>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</si>
  <si>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</si>
  <si>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</si>
  <si>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</si>
  <si>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</si>
  <si>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</si>
  <si>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SmartLoad-Dual.BC-12B.MFM_BCU_QTY_BEYOND_TOLERANCE_LIMIT_STATUS</t>
  </si>
  <si>
    <t>SmartLoad-Dual.BC-12B.BCU_C3_TOTALIZER_MISMATCH_ALARM</t>
  </si>
  <si>
    <t>SmartLoad-Dual.BC-12B.NOMINAL_ARM2_COMP1_KFACTOR_CHANGED</t>
  </si>
  <si>
    <t>LP 28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</si>
  <si>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</si>
  <si>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</si>
  <si>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</si>
  <si>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</si>
  <si>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</si>
  <si>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</si>
  <si>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</si>
  <si>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</si>
  <si>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</si>
  <si>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SmartLoad-Dual.BC-13A.UNAUTHORIZE_FLOW_ALARM_STATUS_M2</t>
  </si>
  <si>
    <t>SmartLoad-Dual.BC-13A.METER_OVERRUN_ALARM_STATUS_M1</t>
  </si>
  <si>
    <t>SmartLoad-Dual.BC-13A.METER_OVERRUN_ALARM_STATUS_M2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</si>
  <si>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</si>
  <si>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</si>
  <si>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</si>
  <si>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</si>
  <si>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SmartLoad-Dual.BC-13A.MFM_BCU_QTY_BEYOND_TOLERANCE_LIMIT_STATUS</t>
  </si>
  <si>
    <t>SmartLoad-Dual.BC-13A.BCU_C1_TOTALIZER_MISMATCH_ALARM</t>
  </si>
  <si>
    <t>SmartLoad-Dual.BC-13A.BCU_C2_TOTALIZER_MISMATCH_ALARM</t>
  </si>
  <si>
    <t>SmartLoad-Dual.BC-13A.NOMINAL_ARM1_COMP1_KFACTOR_CHANGED</t>
  </si>
  <si>
    <t>SmartLoad-Dual.BC-13A.NOMINAL_ARM1_COMP2_KFACTOR_CHANGED</t>
  </si>
  <si>
    <t>LP 29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</si>
  <si>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</si>
  <si>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</si>
  <si>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</si>
  <si>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</si>
  <si>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</si>
  <si>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</si>
  <si>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</si>
  <si>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</si>
  <si>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</si>
  <si>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SmartLoad-Dual.BC-13B.UNAUTHORIZE_FLOW_ALARM_STATUS_M4</t>
  </si>
  <si>
    <t>SmartLoad-Dual.BC-13B.METER_OVERRUN_ALARM_STATUS_M3</t>
  </si>
  <si>
    <t>SmartLoad-Dual.BC-13B.METER_OVERRUN_ALARM_STATUS_M4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</si>
  <si>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</si>
  <si>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</si>
  <si>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</si>
  <si>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</si>
  <si>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SmartLoad-Dual.BC-13B.MFM_BCU_QTY_BEYOND_TOLERANCE_LIMIT_STATUS</t>
  </si>
  <si>
    <t>SmartLoad-Dual.BC-13B.BCU_C3_TOTALIZER_MISMATCH_ALARM</t>
  </si>
  <si>
    <t>SmartLoad-Dual.BC-13B.BCU_C4_TOTALIZER_MISMATCH_ALARM</t>
  </si>
  <si>
    <t>SmartLoad-Dual.BC-13B.NOMINAL_ARM2_COMP1_KFACTOR_CHANGED</t>
  </si>
  <si>
    <t>SmartLoad-Dual.BC-13B.NOMINAL_ARM2_COMP2_KFACTOR_CHANGED</t>
  </si>
  <si>
    <t>LP 30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</si>
  <si>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</si>
  <si>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</si>
  <si>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</si>
  <si>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</si>
  <si>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</si>
  <si>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</si>
  <si>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</si>
  <si>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</si>
  <si>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</si>
  <si>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SmartLoad-Dual.BC-14A.UNAUTHORIZE_FLOW_ALARM_STATUS_M2</t>
  </si>
  <si>
    <t>SmartLoad-Dual.BC-14A.METER_OVERRUN_ALARM_STATUS_M1</t>
  </si>
  <si>
    <t>SmartLoad-Dual.BC-14A.METER_OVERRUN_ALARM_STATUS_M2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</si>
  <si>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</si>
  <si>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</si>
  <si>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</si>
  <si>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</si>
  <si>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SmartLoad-Dual.BC-14A.MFM_BCU_QTY_BEYOND_TOLERANCE_LIMIT_STATUS</t>
  </si>
  <si>
    <t>SmartLoad-Dual.BC-14A.BCU_C1_TOTALIZER_MISMATCH_ALARM</t>
  </si>
  <si>
    <t>SmartLoad-Dual.BC-14A.BCU_C2_TOTALIZER_MISMATCH_ALARM</t>
  </si>
  <si>
    <t>SmartLoad-Dual.BC-14A.NOMINAL_ARM1_COMP1_KFACTOR_CHANGED</t>
  </si>
  <si>
    <t>SmartLoad-Dual.BC-14A.NOMINAL_ARM1_COMP2_KFACTOR_CHANGED</t>
  </si>
  <si>
    <t>LP 31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</si>
  <si>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</si>
  <si>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</si>
  <si>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</si>
  <si>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</si>
  <si>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</si>
  <si>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</si>
  <si>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</si>
  <si>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</si>
  <si>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</si>
  <si>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SmartLoad-Dual.BC-14B.UNAUTHORIZE_FLOW_ALARM_STATUS_M4</t>
  </si>
  <si>
    <t>SmartLoad-Dual.BC-14B.METER_OVERRUN_ALARM_STATUS_M3</t>
  </si>
  <si>
    <t>SmartLoad-Dual.BC-14B.METER_OVERRUN_ALARM_STATUS_M4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</si>
  <si>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</si>
  <si>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</si>
  <si>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</si>
  <si>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</si>
  <si>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SmartLoad-Dual.BC-14B.MFM_BCU_QTY_BEYOND_TOLERANCE_LIMIT_STATUS</t>
  </si>
  <si>
    <t>SmartLoad-Dual.BC-14B.BCU_C3_TOTALIZER_MISMATCH_ALARM</t>
  </si>
  <si>
    <t>SmartLoad-Dual.BC-14B.BCU_C4_TOTALIZER_MISMATCH_ALARM</t>
  </si>
  <si>
    <t>SmartLoad-Dual.BC-14B.NOMINAL_ARM2_COMP1_KFACTOR_CHANGED</t>
  </si>
  <si>
    <t>SmartLoad-Dual.BC-14B.NOMINAL_ARM2_COMP2_KFACTOR_CHANGED</t>
  </si>
  <si>
    <t>LP 32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</si>
  <si>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</si>
  <si>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</si>
  <si>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</si>
  <si>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</si>
  <si>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</si>
  <si>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</si>
  <si>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</si>
  <si>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</si>
  <si>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</si>
  <si>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SmartLoad-Dual.BC-15A.UNAUTHORIZE_FLOW_ALARM_STATUS_M2</t>
  </si>
  <si>
    <t>SmartLoad-Dual.BC-15A.METER_OVERRUN_ALARM_STATUS_M1</t>
  </si>
  <si>
    <t>SmartLoad-Dual.BC-15A.METER_OVERRUN_ALARM_STATUS_M2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</si>
  <si>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</si>
  <si>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</si>
  <si>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</si>
  <si>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</si>
  <si>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SmartLoad-Dual.BC-15A.MFM_BCU_QTY_BEYOND_TOLERANCE_LIMIT_STATUS</t>
  </si>
  <si>
    <t>SmartLoad-Dual.BC-15A.BCU_C1_TOTALIZER_MISMATCH_ALARM</t>
  </si>
  <si>
    <t>SmartLoad-Dual.BC-15A.BCU_C2_TOTALIZER_MISMATCH_ALARM</t>
  </si>
  <si>
    <t>SmartLoad-Dual.BC-15A.NOMINAL_ARM1_COMP1_KFACTOR_CHANGED</t>
  </si>
  <si>
    <t>SmartLoad-Dual.BC-15A.NOMINAL_ARM1_COMP2_KFACTOR_CHANGED</t>
  </si>
  <si>
    <t>LP 33</t>
  </si>
  <si>
    <t>BC-15B</t>
  </si>
  <si>
    <t>SmartLoad-Dual.BC-15B.EARTH_ALARM_STATUS</t>
  </si>
  <si>
    <t>SmartLoad-Dual.BC-15B.NO_FLOW_ALARM_STATUS_M3</t>
  </si>
  <si>
    <t>SmartLoad-Dual.BC-15B.NO_FLOW_ALARM_STATUS_M4</t>
  </si>
  <si>
    <t>SmartLoad-Dual.BC-15B.LOW_FLOW_ALARM_STATUS_M3</t>
  </si>
  <si>
    <t>SmartLoad-Dual.BC-15B.LOW_FLOW_ALARM_STATUS_M4</t>
  </si>
  <si>
    <t>SmartLoad-Dual.BC-15B.HIGH_FLOW_ALARM_STATUS_M3</t>
  </si>
  <si>
    <t>SmartLoad-Dual.BC-15B.HIGH_FLOW_ALARM_STATUS_M4</t>
  </si>
  <si>
    <t>SmartLoad-Dual.BC-15B.UNAUTHORIZE_FLOW_ALARM_STATUS_M3</t>
  </si>
  <si>
    <t>SmartLoad-Dual.BC-15B.UNAUTHORIZE_FLOW_ALARM_STATUS_M4</t>
  </si>
  <si>
    <t>SmartLoad-Dual.BC-15B.METER_OVERRUN_ALARM_STATUS_M3</t>
  </si>
  <si>
    <t>SmartLoad-Dual.BC-15B.METER_OVERRUN_ALARM_STATUS_M4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</si>
  <si>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</si>
  <si>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</si>
  <si>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</si>
  <si>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</si>
  <si>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SmartLoad-Dual.BC-15B.MFM_BCU_QTY_BEYOND_TOLERANCE_LIMIT_STATUS</t>
  </si>
  <si>
    <t>SmartLoad-Dual.BC-15B.BCU_C3_TOTALIZER_MISMATCH_ALARM</t>
  </si>
  <si>
    <t>SmartLoad-Dual.BC-15B.BCU_C4_TOTALIZER_MISMATCH_ALARM</t>
  </si>
  <si>
    <t>SmartLoad-Dual.BC-15B.NOMINAL_ARM2_COMP1_KFACTOR_CHANGED</t>
  </si>
  <si>
    <t>SmartLoad-Dual.BC-15B.NOMINAL_ARM2_COMP2_KFACTOR_CHANGED</t>
  </si>
  <si>
    <t>LP 34</t>
  </si>
  <si>
    <t>BC-8A-LP1</t>
  </si>
  <si>
    <t>SmartLoad-Dual.BC-8A-LP1.EARTH_ALARM_STATUS</t>
  </si>
  <si>
    <t>SmartLoad-Dual.BC-8A-LP1.NO_FLOW_ALARM_STATUS_M1</t>
  </si>
  <si>
    <t>SmartLoad-Dual.BC-8A-LP1.NO_FLOW_ALARM_STATUS_M2</t>
  </si>
  <si>
    <t>SmartLoad-Dual.BC-8A-LP1.LOW_FLOW_ALARM_STATUS_M1</t>
  </si>
  <si>
    <t>SmartLoad-Dual.BC-8A-LP1.LOW_FLOW_ALARM_STATUS_M2</t>
  </si>
  <si>
    <t>SmartLoad-Dual.BC-8A-LP1.HIGH_FLOW_ALARM_STATUS_M1</t>
  </si>
  <si>
    <t>SmartLoad-Dual.BC-8A-LP1.HIGH_FLOW_ALARM_STATUS_M2</t>
  </si>
  <si>
    <t>SmartLoad-Dual.BC-8A-LP1.UNAUTHORIZE_FLOW_ALARM_STATUS_M1</t>
  </si>
  <si>
    <t>SmartLoad-Dual.BC-8A-LP1.UNAUTHORIZE_FLOW_ALARM_STATUS_M2</t>
  </si>
  <si>
    <t>SmartLoad-Dual.BC-8A-LP1.METER_OVERRUN_ALARM_STATUS_M1</t>
  </si>
  <si>
    <t>SmartLoad-Dual.BC-8A-LP1.METER_OVERRUN_ALARM_STATUS_M2</t>
  </si>
  <si>
    <t>SmartLoad-Dual.BC-8A-LP1.BLEND_UNDERDOSE_ALARM_STATUS</t>
  </si>
  <si>
    <t>SmartLoad-Dual.BC-8A-LP1.ADDITIVE_OVERDOSE_ALARM_STATUS</t>
  </si>
  <si>
    <t>SmartLoad-Dual.BC-8A-LP1.ADDITIVE_UNDERDOSE_ALARM_STATUS</t>
  </si>
  <si>
    <t>SmartLoad-Dual.BC-8A-LP1.BATCH_STATUS</t>
  </si>
  <si>
    <t>SmartLoad-Dual.BC-8A-LP1.MFM_BCU_QTY_BEYOND_TOLERANCE_LIMIT_STATUS</t>
  </si>
  <si>
    <t>SmartLoad-Dual.BC-8A-LP1.BCU_C1_TOTALIZER_MISMATCH_ALARM</t>
  </si>
  <si>
    <t>SmartLoad-Dual.BC-8A-LP1.BCU_C2_TOTALIZER_MISMATCH_ALARM</t>
  </si>
  <si>
    <t>SmartLoad-Dual.BC-8A-LP1.NOMINAL_ARM1_COMP1_KFACTOR_CHANGED</t>
  </si>
  <si>
    <t>SmartLoad-Dual.BC-8A-LP1.NOMINAL_ARM1_COMP2_KFACTOR_CHANGED</t>
  </si>
  <si>
    <t>LP 35</t>
  </si>
  <si>
    <t>BC-8A-LP2</t>
  </si>
  <si>
    <t>SmartLoad-Dual.BC-8A-LP2.EARTH_ALARM_STATUS</t>
  </si>
  <si>
    <t>SmartLoad-Dual.BC-8A-LP2.NO_FLOW_ALARM_STATUS_M3</t>
  </si>
  <si>
    <t>SmartLoad-Dual.BC-8A-LP2.NO_FLOW_ALARM_STATUS_M4</t>
  </si>
  <si>
    <t>SmartLoad-Dual.BC-8A-LP2.LOW_FLOW_ALARM_STATUS_M3</t>
  </si>
  <si>
    <t>SmartLoad-Dual.BC-8A-LP2.LOW_FLOW_ALARM_STATUS_M4</t>
  </si>
  <si>
    <t>SmartLoad-Dual.BC-8A-LP2.HIGH_FLOW_ALARM_STATUS_M3</t>
  </si>
  <si>
    <t>SmartLoad-Dual.BC-8A-LP2.HIGH_FLOW_ALARM_STATUS_M4</t>
  </si>
  <si>
    <t>SmartLoad-Dual.BC-8A-LP2.UNAUTHORIZE_FLOW_ALARM_STATUS_M3</t>
  </si>
  <si>
    <t>SmartLoad-Dual.BC-8A-LP2.UNAUTHORIZE_FLOW_ALARM_STATUS_M4</t>
  </si>
  <si>
    <t>SmartLoad-Dual.BC-8A-LP2.METER_OVERRUN_ALARM_STATUS_M3</t>
  </si>
  <si>
    <t>SmartLoad-Dual.BC-8A-LP2.METER_OVERRUN_ALARM_STATUS_M4</t>
  </si>
  <si>
    <t>SmartLoad-Dual.BC-8A-LP2.BLEND_UNDERDOSE_ALARM_STATUS</t>
  </si>
  <si>
    <t>SmartLoad-Dual.BC-8A-LP2.ADDITIVE_OVERDOSE_ALARM_STATUS</t>
  </si>
  <si>
    <t>SmartLoad-Dual.BC-8A-LP2.ADDITIVE_UNDERDOSE_ALARM_STATUS</t>
  </si>
  <si>
    <t>SmartLoad-Dual.BC-8A-LP2.BATCH_STATUS</t>
  </si>
  <si>
    <t>SmartLoad-Dual.BC-8A-LP2.MFM_BCU_QTY_BEYOND_TOLERANCE_LIMIT_STATUS</t>
  </si>
  <si>
    <t>SmartLoad-Dual.BC-8A-LP2.BCU_C3_TOTALIZER_MISMATCH_ALARM</t>
  </si>
  <si>
    <t>SmartLoad-Dual.BC-8A-LP2.BCU_C4_TOTALIZER_MISMATCH_ALARM</t>
  </si>
  <si>
    <t>SmartLoad-Dual.BC-8A-LP2.NOMINAL_ARM2_COMP1_KFACTOR_CHANGED</t>
  </si>
  <si>
    <t>SmartLoad-Dual.BC-8A-LP2.NOMINAL_ARM2_COMP2_KFACTOR_CHANGED</t>
  </si>
  <si>
    <t>LP 36</t>
  </si>
  <si>
    <t>BC-8B-LP1</t>
  </si>
  <si>
    <t>SmartLoad-Dual.BC-8B-LP1.EARTH_ALARM_STATUS</t>
  </si>
  <si>
    <t>SmartLoad-Dual.BC-8B-LP1.NO_FLOW_ALARM_STATUS_M1</t>
  </si>
  <si>
    <t>SmartLoad-Dual.BC-8B-LP1.LOW_FLOW_ALARM_STATUS_M1</t>
  </si>
  <si>
    <t>SmartLoad-Dual.BC-8B-LP1.HIGH_FLOW_ALARM_STATUS_M1</t>
  </si>
  <si>
    <t>SmartLoad-Dual.BC-8B-LP1.UNAUTHORIZE_FLOW_ALARM_STATUS_M1</t>
  </si>
  <si>
    <t>SmartLoad-Dual.BC-8B-LP1.METER_OVERRUN_ALARM_STATUS_M1</t>
  </si>
  <si>
    <t>SmartLoad-Dual.BC-8B-LP1.BLEND_UNDERDOSE_ALARM_STATUS</t>
  </si>
  <si>
    <t>SmartLoad-Dual.BC-8B-LP1.ADDITIVE_OVERDOSE_ALARM_STATUS</t>
  </si>
  <si>
    <t>SmartLoad-Dual.BC-8B-LP1.ADDITIVE_UNDERDOSE_ALARM_STATUS</t>
  </si>
  <si>
    <t>SmartLoad-Dual.BC-8B-LP1.BATCH_STATUS</t>
  </si>
  <si>
    <t>SmartLoad-Dual.BC-8B-LP1.MFM_BCU_QTY_BEYOND_TOLERANCE_LIMIT_STATUS</t>
  </si>
  <si>
    <t>SmartLoad-Dual.BC-8B-LP1.BCU_C1_TOTALIZER_MISMATCH_ALARM</t>
  </si>
  <si>
    <t>SmartLoad-Dual.BC-8B-LP1.NOMINAL_ARM1_COMP1_KFACTOR_CHANGED</t>
  </si>
  <si>
    <t>LP 37</t>
  </si>
  <si>
    <t>BC-8B-LP2</t>
  </si>
  <si>
    <t>SmartLoad-Dual.BC-8B-LP2.EARTH_ALARM_STATUS</t>
  </si>
  <si>
    <t>SmartLoad-Dual.BC-8B-LP2.NO_FLOW_ALARM_STATUS_M3</t>
  </si>
  <si>
    <t>SmartLoad-Dual.BC-8B-LP2.LOW_FLOW_ALARM_STATUS_M3</t>
  </si>
  <si>
    <t>SmartLoad-Dual.BC-8B-LP2.HIGH_FLOW_ALARM_STATUS_M3</t>
  </si>
  <si>
    <t>SmartLoad-Dual.BC-8B-LP2.UNAUTHORIZE_FLOW_ALARM_STATUS_M3</t>
  </si>
  <si>
    <t>SmartLoad-Dual.BC-8B-LP2.METER_OVERRUN_ALARM_STATUS_M3</t>
  </si>
  <si>
    <t>SmartLoad-Dual.BC-8B-LP2.BLEND_UNDERDOSE_ALARM_STATUS</t>
  </si>
  <si>
    <t>SmartLoad-Dual.BC-8B-LP2.ADDITIVE_OVERDOSE_ALARM_STATUS</t>
  </si>
  <si>
    <t>SmartLoad-Dual.BC-8B-LP2.ADDITIVE_UNDERDOSE_ALARM_STATUS</t>
  </si>
  <si>
    <t>SmartLoad-Dual.BC-8B-LP2.BATCH_STATUS</t>
  </si>
  <si>
    <t>SmartLoad-Dual.BC-8B-LP2.MFM_BCU_QTY_BEYOND_TOLERANCE_LIMIT_STATUS</t>
  </si>
  <si>
    <t>SmartLoad-Dual.BC-8B-LP2.BCU_C3_TOTALIZER_MISMATCH_ALARM</t>
  </si>
  <si>
    <t>SmartLoad-Dual.BC-8B-LP2.NOMINAL_ARM2_COMP1_KFACTOR_CHANGED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</si>
  <si>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</si>
  <si>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</si>
  <si>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</si>
  <si>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</si>
  <si>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</si>
  <si>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</si>
  <si>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</si>
  <si>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Fire Engine7</t>
  </si>
  <si>
    <t>Fire Engine8</t>
  </si>
  <si>
    <t>Jockey Pump Run1</t>
  </si>
  <si>
    <t>Jockey Pump Run2</t>
  </si>
  <si>
    <t>Farthest Point Pt</t>
  </si>
  <si>
    <t>Nearest Point PT</t>
  </si>
  <si>
    <t>Water Volume</t>
  </si>
  <si>
    <t>Operability Index</t>
  </si>
  <si>
    <t>PressureTransmitter.PT-01.PRESSURE</t>
  </si>
  <si>
    <t>PressureTransmitter.PT-02.PRESSURE</t>
  </si>
  <si>
    <t>PLC.GEPLC.TOV_ON_SCREEN</t>
  </si>
  <si>
    <t xml:space="preserve">OVERRIDE STATUS </t>
  </si>
  <si>
    <t>OVERRIDE STATUS Normal value</t>
  </si>
  <si>
    <t>Gantry Permissive override condition</t>
  </si>
  <si>
    <t>PLC.SFTPLC.RESET_GANTRY_OPERATION</t>
  </si>
  <si>
    <t>Gantry Permissive Write CMD status</t>
  </si>
  <si>
    <t>SmartLoad-Single.BC-01A.PERMISSIVE_FROM_DNC_STATUS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</si>
  <si>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</si>
  <si>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</si>
  <si>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</si>
  <si>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</si>
  <si>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</si>
  <si>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</si>
  <si>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Two Fire Engine Running status</t>
  </si>
  <si>
    <t>PLC.SFTPLC.CAUSE_ANY_FWP_IS_RUNNING</t>
  </si>
  <si>
    <t>PLC.SFTPLC.EFFECT_ALL_HEADER_MOV_CLOSED</t>
  </si>
  <si>
    <t>WATER Level below Ref. Volume</t>
  </si>
  <si>
    <t>PLC.SFTPLC.CAUSE_WATERTK_VOL_BELOW_90PCT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</si>
  <si>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</si>
  <si>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</si>
  <si>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</si>
  <si>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</si>
  <si>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</si>
  <si>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</si>
  <si>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Location ID</t>
  </si>
  <si>
    <t>LRC SWITCHOVER 30 DAYS STATUS</t>
  </si>
  <si>
    <t>CR LRC Switch Over</t>
  </si>
  <si>
    <t>CLIENT.LRCA.HSB_COMMS_FAIL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</si>
</sst>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222222"/>
      <name val="&quot;Google Sans&quot;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3" fontId="3" numFmtId="0" xfId="0" applyBorder="1" applyFont="1"/>
    <xf borderId="1" fillId="0" fontId="3" numFmtId="0" xfId="0" applyBorder="1" applyFont="1"/>
    <xf borderId="0" fillId="0" fontId="3" numFmtId="0" xfId="0" applyFont="1"/>
    <xf borderId="1" fillId="0" fontId="1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3" fontId="3" numFmtId="0" xfId="0" applyAlignment="1" applyBorder="1" applyFont="1">
      <alignment horizontal="center"/>
    </xf>
    <xf borderId="3" fillId="3" fontId="3" numFmtId="0" xfId="0" applyBorder="1" applyFont="1"/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3" fillId="5" fontId="4" numFmtId="0" xfId="0" applyAlignment="1" applyBorder="1" applyFill="1" applyFont="1">
      <alignment horizontal="center" vertical="center"/>
    </xf>
    <xf borderId="3" fillId="5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3" fillId="5" fontId="3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2" fillId="0" fontId="3" numFmtId="0" xfId="0" applyBorder="1" applyFont="1"/>
    <xf borderId="0" fillId="0" fontId="6" numFmtId="0" xfId="0" applyAlignment="1" applyFont="1">
      <alignment horizontal="center"/>
    </xf>
    <xf borderId="0" fillId="6" fontId="7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vertical="bottom" wrapText="1"/>
    </xf>
    <xf borderId="0" fillId="0" fontId="9" numFmtId="0" xfId="0" applyFont="1"/>
    <xf borderId="0" fillId="0" fontId="9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bottom"/>
    </xf>
    <xf borderId="3" fillId="5" fontId="4" numFmtId="0" xfId="0" applyAlignment="1" applyBorder="1" applyFont="1">
      <alignment horizontal="left" vertical="center"/>
    </xf>
    <xf borderId="5" fillId="0" fontId="9" numFmtId="0" xfId="0" applyBorder="1" applyFont="1"/>
    <xf borderId="1" fillId="0" fontId="3" numFmtId="0" xfId="0" applyAlignment="1" applyBorder="1" applyFont="1">
      <alignment readingOrder="0"/>
    </xf>
    <xf borderId="1" fillId="0" fontId="10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vertical="center"/>
    </xf>
    <xf borderId="1" fillId="0" fontId="6" numFmtId="0" xfId="0" applyAlignment="1" applyBorder="1" applyFont="1">
      <alignment readingOrder="0"/>
    </xf>
    <xf borderId="1" fillId="3" fontId="4" numFmtId="0" xfId="0" applyAlignment="1" applyBorder="1" applyFont="1">
      <alignment horizontal="left" vertical="center"/>
    </xf>
    <xf borderId="1" fillId="0" fontId="6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11.88"/>
    <col customWidth="1" min="3" max="3" width="23.0"/>
    <col customWidth="1" min="4" max="4" width="13.38"/>
    <col customWidth="1" min="5" max="5" width="15.5"/>
    <col customWidth="1" min="6" max="6" width="10.38"/>
    <col customWidth="1" min="7" max="7" width="33.88"/>
    <col customWidth="1" min="8" max="10" width="23.25"/>
    <col customWidth="1" min="11" max="11" width="12.88"/>
    <col customWidth="1" min="12" max="12" width="11.75"/>
    <col customWidth="1" min="13" max="14" width="28.63"/>
    <col customWidth="1" min="15" max="16" width="28.38"/>
    <col customWidth="1" min="17" max="17" width="17.63"/>
    <col customWidth="1" min="18" max="18" width="11.75"/>
    <col customWidth="1" min="19" max="19" width="33.5"/>
    <col customWidth="1" min="20" max="20" width="11.5"/>
    <col customWidth="1" min="21" max="21" width="12.88"/>
    <col customWidth="1" min="22" max="22" width="11.75"/>
    <col customWidth="1" min="23" max="23" width="33.5"/>
    <col customWidth="1" min="24" max="24" width="11.5"/>
    <col customWidth="1" min="25" max="25" width="9.0"/>
    <col customWidth="1" min="26" max="26" width="11.38"/>
    <col customWidth="1" min="27" max="27" width="34.13"/>
    <col customWidth="1" min="28" max="28" width="11.5"/>
    <col customWidth="1" min="29" max="29" width="9.0"/>
    <col customWidth="1" min="30" max="30" width="11.38"/>
    <col customWidth="1" min="31" max="31" width="37.5"/>
    <col customWidth="1" min="32" max="32" width="11.5"/>
    <col customWidth="1" min="33" max="33" width="9.0"/>
    <col customWidth="1" min="34" max="34" width="11.38"/>
    <col customWidth="1" min="35" max="35" width="33.5"/>
    <col customWidth="1" min="36" max="36" width="11.5"/>
    <col customWidth="1" min="37" max="37" width="9.0"/>
    <col customWidth="1" min="38" max="38" width="11.38"/>
    <col customWidth="1" min="39" max="39" width="34.13"/>
    <col customWidth="1" min="40" max="40" width="11.5"/>
    <col customWidth="1" min="41" max="41" width="9.0"/>
    <col customWidth="1" min="42" max="42" width="11.38"/>
    <col customWidth="1" min="43" max="43" width="37.5"/>
    <col customWidth="1" min="44" max="44" width="11.5"/>
    <col customWidth="1" min="45" max="45" width="9.0"/>
    <col customWidth="1" min="46" max="46" width="11.38"/>
    <col customWidth="1" min="47" max="47" width="25.88"/>
    <col customWidth="1" min="48" max="48" width="11.5"/>
    <col customWidth="1" min="49" max="49" width="9.38"/>
    <col customWidth="1" min="50" max="50" width="11.38"/>
    <col customWidth="1" min="51" max="51" width="28.5"/>
    <col customWidth="1" min="52" max="52" width="11.5"/>
    <col customWidth="1" min="53" max="53" width="9.38"/>
    <col customWidth="1" min="54" max="54" width="16.0"/>
    <col customWidth="1" min="55" max="55" width="22.0"/>
    <col customWidth="1" min="56" max="56" width="11.5"/>
    <col customWidth="1" min="57" max="57" width="26.88"/>
    <col customWidth="1" min="58" max="58" width="11.5"/>
    <col customWidth="1" min="59" max="59" width="25.88"/>
    <col customWidth="1" min="60" max="60" width="11.5"/>
    <col customWidth="1" min="61" max="61" width="9.38"/>
    <col customWidth="1" min="62" max="62" width="11.38"/>
    <col customWidth="1" min="63" max="63" width="29.38"/>
    <col customWidth="1" min="64" max="64" width="11.5"/>
    <col customWidth="1" min="65" max="65" width="9.38"/>
    <col customWidth="1" min="66" max="66" width="15.88"/>
    <col customWidth="1" min="67" max="67" width="23.0"/>
    <col customWidth="1" min="68" max="68" width="11.5"/>
    <col customWidth="1" min="69" max="69" width="26.88"/>
    <col customWidth="1" min="70" max="70" width="11.5"/>
    <col customWidth="1" min="71" max="71" width="30.5"/>
    <col customWidth="1" min="72" max="72" width="11.5"/>
    <col customWidth="1" min="73" max="73" width="9.0"/>
    <col customWidth="1" min="74" max="74" width="11.38"/>
    <col customWidth="1" min="75" max="75" width="14.5"/>
    <col customWidth="1" min="76" max="76" width="11.5"/>
    <col customWidth="1" min="77" max="77" width="26.38"/>
    <col customWidth="1" min="78" max="78" width="11.5"/>
    <col customWidth="1" min="79" max="79" width="9.0"/>
    <col customWidth="1" min="80" max="80" width="11.38"/>
    <col customWidth="1" min="81" max="81" width="15.63"/>
    <col customWidth="1" min="82" max="82" width="11.5"/>
    <col customWidth="1" min="83" max="83" width="29.38"/>
    <col customWidth="1" min="84" max="84" width="11.5"/>
    <col customWidth="1" min="85" max="85" width="10.75"/>
    <col customWidth="1" min="86" max="86" width="11.38"/>
    <col customWidth="1" min="87" max="87" width="34.13"/>
    <col customWidth="1" min="88" max="88" width="11.5"/>
    <col customWidth="1" min="89" max="89" width="10.75"/>
    <col customWidth="1" min="90" max="90" width="11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7</v>
      </c>
      <c r="K1" s="3" t="s">
        <v>9</v>
      </c>
      <c r="L1" s="3" t="s">
        <v>10</v>
      </c>
      <c r="M1" s="4" t="s">
        <v>11</v>
      </c>
      <c r="N1" s="2" t="s">
        <v>7</v>
      </c>
      <c r="O1" s="3" t="s">
        <v>12</v>
      </c>
      <c r="P1" s="2" t="s">
        <v>7</v>
      </c>
      <c r="Q1" s="3" t="s">
        <v>9</v>
      </c>
      <c r="R1" s="3" t="s">
        <v>10</v>
      </c>
      <c r="S1" s="3" t="s">
        <v>13</v>
      </c>
      <c r="T1" s="2" t="s">
        <v>7</v>
      </c>
      <c r="U1" s="3" t="s">
        <v>9</v>
      </c>
      <c r="V1" s="3" t="s">
        <v>10</v>
      </c>
      <c r="W1" s="3" t="s">
        <v>14</v>
      </c>
      <c r="X1" s="2" t="s">
        <v>7</v>
      </c>
      <c r="Y1" s="3" t="s">
        <v>9</v>
      </c>
      <c r="Z1" s="3" t="s">
        <v>10</v>
      </c>
      <c r="AA1" s="3" t="s">
        <v>15</v>
      </c>
      <c r="AB1" s="2" t="s">
        <v>7</v>
      </c>
      <c r="AC1" s="3" t="s">
        <v>9</v>
      </c>
      <c r="AD1" s="3" t="s">
        <v>10</v>
      </c>
      <c r="AE1" s="3" t="s">
        <v>16</v>
      </c>
      <c r="AF1" s="2" t="s">
        <v>7</v>
      </c>
      <c r="AG1" s="3" t="s">
        <v>9</v>
      </c>
      <c r="AH1" s="3" t="s">
        <v>10</v>
      </c>
      <c r="AI1" s="3" t="s">
        <v>17</v>
      </c>
      <c r="AJ1" s="2" t="s">
        <v>7</v>
      </c>
      <c r="AK1" s="3" t="s">
        <v>9</v>
      </c>
      <c r="AL1" s="3" t="s">
        <v>10</v>
      </c>
      <c r="AM1" s="3" t="s">
        <v>18</v>
      </c>
      <c r="AN1" s="2" t="s">
        <v>7</v>
      </c>
      <c r="AO1" s="3" t="s">
        <v>9</v>
      </c>
      <c r="AP1" s="3" t="s">
        <v>10</v>
      </c>
      <c r="AQ1" s="3" t="s">
        <v>19</v>
      </c>
      <c r="AR1" s="3" t="s">
        <v>20</v>
      </c>
      <c r="AS1" s="3" t="s">
        <v>9</v>
      </c>
      <c r="AT1" s="3" t="s">
        <v>10</v>
      </c>
      <c r="AU1" s="3" t="s">
        <v>21</v>
      </c>
      <c r="AV1" s="3" t="s">
        <v>7</v>
      </c>
      <c r="AW1" s="3" t="s">
        <v>9</v>
      </c>
      <c r="AX1" s="3" t="s">
        <v>10</v>
      </c>
      <c r="AY1" s="3" t="s">
        <v>22</v>
      </c>
      <c r="AZ1" s="3" t="s">
        <v>20</v>
      </c>
      <c r="BA1" s="3" t="s">
        <v>9</v>
      </c>
      <c r="BB1" s="3" t="s">
        <v>10</v>
      </c>
      <c r="BC1" s="3" t="s">
        <v>23</v>
      </c>
      <c r="BD1" s="3" t="s">
        <v>7</v>
      </c>
      <c r="BE1" s="3" t="s">
        <v>24</v>
      </c>
      <c r="BF1" s="3" t="s">
        <v>7</v>
      </c>
      <c r="BG1" s="3" t="s">
        <v>25</v>
      </c>
      <c r="BH1" s="3" t="s">
        <v>7</v>
      </c>
      <c r="BI1" s="3" t="s">
        <v>9</v>
      </c>
      <c r="BJ1" s="3" t="s">
        <v>10</v>
      </c>
      <c r="BK1" s="3" t="s">
        <v>26</v>
      </c>
      <c r="BL1" s="3" t="s">
        <v>7</v>
      </c>
      <c r="BM1" s="3" t="s">
        <v>9</v>
      </c>
      <c r="BN1" s="3" t="s">
        <v>10</v>
      </c>
      <c r="BO1" s="3" t="s">
        <v>27</v>
      </c>
      <c r="BP1" s="3" t="s">
        <v>7</v>
      </c>
      <c r="BQ1" s="3" t="s">
        <v>28</v>
      </c>
      <c r="BR1" s="3" t="s">
        <v>7</v>
      </c>
      <c r="BS1" s="3" t="s">
        <v>29</v>
      </c>
      <c r="BT1" s="3" t="s">
        <v>20</v>
      </c>
      <c r="BU1" s="3" t="s">
        <v>9</v>
      </c>
      <c r="BV1" s="5" t="s">
        <v>10</v>
      </c>
      <c r="BW1" s="3" t="s">
        <v>30</v>
      </c>
      <c r="BX1" s="3" t="s">
        <v>20</v>
      </c>
      <c r="BY1" s="3" t="s">
        <v>31</v>
      </c>
      <c r="BZ1" s="3" t="s">
        <v>20</v>
      </c>
      <c r="CA1" s="3" t="s">
        <v>9</v>
      </c>
      <c r="CB1" s="3" t="s">
        <v>10</v>
      </c>
      <c r="CC1" s="3" t="s">
        <v>32</v>
      </c>
      <c r="CD1" s="3" t="s">
        <v>20</v>
      </c>
      <c r="CE1" s="3" t="s">
        <v>33</v>
      </c>
      <c r="CF1" s="3" t="s">
        <v>20</v>
      </c>
      <c r="CG1" s="3" t="s">
        <v>9</v>
      </c>
      <c r="CH1" s="3" t="s">
        <v>10</v>
      </c>
      <c r="CI1" s="3" t="s">
        <v>34</v>
      </c>
      <c r="CJ1" s="3" t="s">
        <v>20</v>
      </c>
      <c r="CK1" s="3" t="s">
        <v>9</v>
      </c>
      <c r="CL1" s="3" t="s">
        <v>10</v>
      </c>
    </row>
    <row r="2" ht="15.75" customHeight="1">
      <c r="A2" s="6">
        <v>1919.0</v>
      </c>
      <c r="B2" s="6" t="s">
        <v>35</v>
      </c>
      <c r="C2" s="6" t="str">
        <f t="shared" ref="C2:C30" si="1">CONCATENATE(D2,"_",F2)</f>
        <v>51-TT-CR-003D_BS VI HSD</v>
      </c>
      <c r="D2" s="6" t="s">
        <v>36</v>
      </c>
      <c r="E2" s="6" t="s">
        <v>37</v>
      </c>
      <c r="F2" s="6" t="s">
        <v>38</v>
      </c>
      <c r="G2" s="7" t="s">
        <v>39</v>
      </c>
      <c r="H2" s="8">
        <v>0.0</v>
      </c>
      <c r="I2" s="6" t="s">
        <v>40</v>
      </c>
      <c r="J2" s="6"/>
      <c r="K2" s="6" t="str">
        <f t="shared" ref="K2:K29" si="2">MID(I2, SEARCH(".", I2) + 1, SEARCH(".LEVEL", I2) - SEARCH(".", I2) - 1)</f>
        <v>51-TT-CR-003D</v>
      </c>
      <c r="L2" s="9" t="s">
        <v>41</v>
      </c>
      <c r="M2" s="6" t="s">
        <v>42</v>
      </c>
      <c r="N2" s="8">
        <v>0.0</v>
      </c>
      <c r="O2" s="6" t="s">
        <v>43</v>
      </c>
      <c r="P2" s="8">
        <v>0.0</v>
      </c>
      <c r="Q2" s="6" t="str">
        <f t="shared" ref="Q2:Q4" si="3">MID(O2, SEARCH(".", O2) + 1, SEARCH(".HIGH", O2) - SEARCH(".", O2) - 1)</f>
        <v>51-TT-CR-003D</v>
      </c>
      <c r="R2" s="9" t="s">
        <v>41</v>
      </c>
      <c r="S2" s="6" t="s">
        <v>44</v>
      </c>
      <c r="T2" s="8">
        <v>0.0</v>
      </c>
      <c r="U2" s="6" t="str">
        <f t="shared" ref="U2:U4" si="4">MID(S2, SEARCH(".", S2) + 1, SEARCH(".HIGH", S2) - SEARCH(".", S2) - 1)</f>
        <v>51-TT-CR-003D</v>
      </c>
      <c r="V2" s="9" t="s">
        <v>41</v>
      </c>
      <c r="W2" s="6" t="s">
        <v>45</v>
      </c>
      <c r="X2" s="8">
        <v>0.0</v>
      </c>
      <c r="Y2" s="6" t="str">
        <f t="shared" ref="Y2:Y4" si="5">MID(W2, SEARCH(".", W2) + 1, SEARCH(".SWITCH", W2) - SEARCH(".", W2) - 1)</f>
        <v>LSW-08</v>
      </c>
      <c r="Z2" s="6" t="s">
        <v>46</v>
      </c>
      <c r="AA2" s="6" t="s">
        <v>47</v>
      </c>
      <c r="AB2" s="8">
        <v>0.0</v>
      </c>
      <c r="AC2" s="6" t="str">
        <f t="shared" ref="AC2:AC4" si="6">MID(AA2, SEARCH(".", AA2) + 1, SEARCH(".PROOF", AA2) - SEARCH(".", AA2) - 1)</f>
        <v>LSW-08</v>
      </c>
      <c r="AD2" s="6" t="s">
        <v>46</v>
      </c>
      <c r="AE2" s="6" t="s">
        <v>48</v>
      </c>
      <c r="AF2" s="8">
        <v>0.0</v>
      </c>
      <c r="AG2" s="6" t="str">
        <f t="shared" ref="AG2:AG4" si="7">MID(AE2, SEARCH(".", AE2) + 1, SEARCH(".PROOF", AE2) - SEARCH(".", AE2) - 1)</f>
        <v>LSW-08</v>
      </c>
      <c r="AH2" s="6" t="s">
        <v>46</v>
      </c>
      <c r="AI2" s="6" t="s">
        <v>49</v>
      </c>
      <c r="AJ2" s="8">
        <v>0.0</v>
      </c>
      <c r="AK2" s="6" t="str">
        <f t="shared" ref="AK2:AK4" si="8">MID(AI2, SEARCH(".", AI2) + 1, SEARCH(".SWITCH", AI2) - SEARCH(".", AI2) - 1)</f>
        <v>RDR-08</v>
      </c>
      <c r="AL2" s="6" t="s">
        <v>50</v>
      </c>
      <c r="AM2" s="6" t="s">
        <v>51</v>
      </c>
      <c r="AN2" s="8">
        <v>0.0</v>
      </c>
      <c r="AO2" s="6" t="s">
        <v>52</v>
      </c>
      <c r="AP2" s="6" t="s">
        <v>50</v>
      </c>
      <c r="AQ2" s="6" t="s">
        <v>53</v>
      </c>
      <c r="AR2" s="6">
        <v>0.0</v>
      </c>
      <c r="AS2" s="6" t="s">
        <v>52</v>
      </c>
      <c r="AT2" s="6" t="s">
        <v>50</v>
      </c>
      <c r="AU2" s="6" t="s">
        <v>54</v>
      </c>
      <c r="AV2" s="6">
        <v>0.0</v>
      </c>
      <c r="AW2" s="6" t="str">
        <f t="shared" ref="AW2:AW3" si="9">MID(AU2, SEARCH(".", AU2) + 1, SEARCH(".OPEN", AU2) - SEARCH(".", AU2) - 1)</f>
        <v>ROSOV-15</v>
      </c>
      <c r="AX2" s="6" t="s">
        <v>55</v>
      </c>
      <c r="AY2" s="6" t="s">
        <v>56</v>
      </c>
      <c r="AZ2" s="6">
        <v>0.0</v>
      </c>
      <c r="BA2" s="6" t="s">
        <v>57</v>
      </c>
      <c r="BB2" s="6" t="s">
        <v>58</v>
      </c>
      <c r="BC2" s="10"/>
      <c r="BD2" s="11"/>
      <c r="BE2" s="10"/>
      <c r="BF2" s="11"/>
      <c r="BG2" s="6" t="s">
        <v>59</v>
      </c>
      <c r="BH2" s="6">
        <v>0.0</v>
      </c>
      <c r="BI2" s="6" t="str">
        <f t="shared" ref="BI2:BI4" si="10">MID(BG2, SEARCH(".", BG2) + 1, SEARCH(".OPEN", BG2) - SEARCH(".", BG2) - 1)</f>
        <v>ROSOV-16</v>
      </c>
      <c r="BJ2" s="6" t="s">
        <v>60</v>
      </c>
      <c r="BK2" s="6" t="s">
        <v>61</v>
      </c>
      <c r="BL2" s="6">
        <v>0.0</v>
      </c>
      <c r="BM2" s="6" t="s">
        <v>62</v>
      </c>
      <c r="BN2" s="6" t="s">
        <v>63</v>
      </c>
      <c r="BO2" s="10"/>
      <c r="BP2" s="11"/>
      <c r="BQ2" s="11"/>
      <c r="BR2" s="11"/>
      <c r="BS2" s="6" t="s">
        <v>64</v>
      </c>
      <c r="BT2" s="6">
        <v>1.0</v>
      </c>
      <c r="BU2" s="6" t="str">
        <f t="shared" ref="BU2:BU4" si="11">MID(BS2, SEARCH(".", BS2) + 1, SEARCH(".CLOSE", BS2) - SEARCH(".", BS2) - 1)</f>
        <v>MOV-1307</v>
      </c>
      <c r="BV2" s="6" t="s">
        <v>65</v>
      </c>
      <c r="BW2" s="11"/>
      <c r="BX2" s="11"/>
      <c r="BY2" s="6" t="s">
        <v>66</v>
      </c>
      <c r="BZ2" s="6">
        <v>1.0</v>
      </c>
      <c r="CA2" s="6" t="str">
        <f t="shared" ref="CA2:CA3" si="12">MID(BY2, SEARCH(".", BY2) + 1, SEARCH(".CLOSE", BY2) - SEARCH(".", BY2) - 1)</f>
        <v>MOV-1308</v>
      </c>
      <c r="CB2" s="6" t="s">
        <v>67</v>
      </c>
      <c r="CC2" s="11"/>
      <c r="CD2" s="11"/>
      <c r="CE2" s="11"/>
      <c r="CF2" s="11"/>
      <c r="CG2" s="11"/>
      <c r="CH2" s="11"/>
      <c r="CI2" s="11"/>
      <c r="CJ2" s="11"/>
      <c r="CK2" s="11"/>
      <c r="CL2" s="11"/>
    </row>
    <row r="3" ht="15.75" customHeight="1">
      <c r="A3" s="6">
        <v>1919.0</v>
      </c>
      <c r="B3" s="6" t="s">
        <v>35</v>
      </c>
      <c r="C3" s="6" t="str">
        <f t="shared" si="1"/>
        <v>51-TT-CR-005A_ETHANOL</v>
      </c>
      <c r="D3" s="6" t="s">
        <v>68</v>
      </c>
      <c r="E3" s="6" t="s">
        <v>37</v>
      </c>
      <c r="F3" s="6" t="s">
        <v>69</v>
      </c>
      <c r="G3" s="7" t="s">
        <v>39</v>
      </c>
      <c r="H3" s="8">
        <v>0.0</v>
      </c>
      <c r="I3" s="6" t="s">
        <v>70</v>
      </c>
      <c r="J3" s="6"/>
      <c r="K3" s="6" t="str">
        <f t="shared" si="2"/>
        <v>51-TT-CR-005A</v>
      </c>
      <c r="L3" s="9" t="s">
        <v>41</v>
      </c>
      <c r="M3" s="6" t="s">
        <v>71</v>
      </c>
      <c r="N3" s="8">
        <v>0.0</v>
      </c>
      <c r="O3" s="6" t="s">
        <v>72</v>
      </c>
      <c r="P3" s="8">
        <v>0.0</v>
      </c>
      <c r="Q3" s="6" t="str">
        <f t="shared" si="3"/>
        <v>51-TT-CR-005A</v>
      </c>
      <c r="R3" s="9" t="s">
        <v>41</v>
      </c>
      <c r="S3" s="6" t="s">
        <v>73</v>
      </c>
      <c r="T3" s="8">
        <v>0.0</v>
      </c>
      <c r="U3" s="6" t="str">
        <f t="shared" si="4"/>
        <v>51-TT-CR-005A</v>
      </c>
      <c r="V3" s="9" t="s">
        <v>41</v>
      </c>
      <c r="W3" s="6" t="s">
        <v>74</v>
      </c>
      <c r="X3" s="8">
        <v>0.0</v>
      </c>
      <c r="Y3" s="6" t="str">
        <f t="shared" si="5"/>
        <v>LSW-17</v>
      </c>
      <c r="Z3" s="6" t="s">
        <v>46</v>
      </c>
      <c r="AA3" s="6" t="s">
        <v>75</v>
      </c>
      <c r="AB3" s="8">
        <v>0.0</v>
      </c>
      <c r="AC3" s="6" t="str">
        <f t="shared" si="6"/>
        <v>LSW-17</v>
      </c>
      <c r="AD3" s="6" t="s">
        <v>46</v>
      </c>
      <c r="AE3" s="6" t="s">
        <v>76</v>
      </c>
      <c r="AF3" s="8">
        <v>0.0</v>
      </c>
      <c r="AG3" s="6" t="str">
        <f t="shared" si="7"/>
        <v>LSW-17</v>
      </c>
      <c r="AH3" s="6" t="s">
        <v>46</v>
      </c>
      <c r="AI3" s="6" t="s">
        <v>77</v>
      </c>
      <c r="AJ3" s="8">
        <v>0.0</v>
      </c>
      <c r="AK3" s="6" t="str">
        <f t="shared" si="8"/>
        <v>RDR-17</v>
      </c>
      <c r="AL3" s="6" t="s">
        <v>50</v>
      </c>
      <c r="AM3" s="6" t="s">
        <v>78</v>
      </c>
      <c r="AN3" s="8">
        <v>0.0</v>
      </c>
      <c r="AO3" s="6" t="s">
        <v>79</v>
      </c>
      <c r="AP3" s="6" t="s">
        <v>50</v>
      </c>
      <c r="AQ3" s="6" t="s">
        <v>80</v>
      </c>
      <c r="AR3" s="6">
        <v>0.0</v>
      </c>
      <c r="AS3" s="6" t="s">
        <v>79</v>
      </c>
      <c r="AT3" s="6" t="s">
        <v>50</v>
      </c>
      <c r="AU3" s="6" t="s">
        <v>81</v>
      </c>
      <c r="AV3" s="6">
        <v>0.0</v>
      </c>
      <c r="AW3" s="6" t="str">
        <f t="shared" si="9"/>
        <v>ROSOV-33</v>
      </c>
      <c r="AX3" s="6" t="s">
        <v>55</v>
      </c>
      <c r="AY3" s="6" t="s">
        <v>82</v>
      </c>
      <c r="AZ3" s="6">
        <v>0.0</v>
      </c>
      <c r="BA3" s="6" t="s">
        <v>83</v>
      </c>
      <c r="BB3" s="6" t="s">
        <v>58</v>
      </c>
      <c r="BC3" s="10"/>
      <c r="BD3" s="11"/>
      <c r="BE3" s="10"/>
      <c r="BF3" s="11"/>
      <c r="BG3" s="6" t="s">
        <v>84</v>
      </c>
      <c r="BH3" s="6">
        <v>0.0</v>
      </c>
      <c r="BI3" s="6" t="str">
        <f t="shared" si="10"/>
        <v>ROSOV-23</v>
      </c>
      <c r="BJ3" s="6" t="s">
        <v>60</v>
      </c>
      <c r="BK3" s="6" t="s">
        <v>85</v>
      </c>
      <c r="BL3" s="6">
        <v>0.0</v>
      </c>
      <c r="BM3" s="6" t="s">
        <v>86</v>
      </c>
      <c r="BN3" s="6" t="s">
        <v>63</v>
      </c>
      <c r="BO3" s="10"/>
      <c r="BP3" s="11"/>
      <c r="BQ3" s="11"/>
      <c r="BR3" s="11"/>
      <c r="BS3" s="6" t="s">
        <v>87</v>
      </c>
      <c r="BT3" s="6">
        <v>1.0</v>
      </c>
      <c r="BU3" s="6" t="str">
        <f t="shared" si="11"/>
        <v>MOV-1506</v>
      </c>
      <c r="BV3" s="6" t="s">
        <v>65</v>
      </c>
      <c r="BW3" s="11"/>
      <c r="BX3" s="11"/>
      <c r="BY3" s="6" t="s">
        <v>88</v>
      </c>
      <c r="BZ3" s="6">
        <v>1.0</v>
      </c>
      <c r="CA3" s="6" t="str">
        <f t="shared" si="12"/>
        <v>MOV-1513</v>
      </c>
      <c r="CB3" s="6" t="s">
        <v>67</v>
      </c>
      <c r="CC3" s="11"/>
      <c r="CD3" s="11"/>
      <c r="CE3" s="11"/>
      <c r="CF3" s="11"/>
      <c r="CG3" s="11"/>
      <c r="CH3" s="11"/>
      <c r="CI3" s="11"/>
      <c r="CJ3" s="11"/>
      <c r="CK3" s="11"/>
      <c r="CL3" s="11"/>
    </row>
    <row r="4" ht="15.75" customHeight="1">
      <c r="A4" s="6">
        <v>1919.0</v>
      </c>
      <c r="B4" s="6" t="s">
        <v>35</v>
      </c>
      <c r="C4" s="6" t="str">
        <f t="shared" si="1"/>
        <v>51-TT-CR-005B_INTERFACE</v>
      </c>
      <c r="D4" s="6" t="s">
        <v>89</v>
      </c>
      <c r="E4" s="6" t="s">
        <v>37</v>
      </c>
      <c r="F4" s="6" t="s">
        <v>90</v>
      </c>
      <c r="G4" s="7" t="s">
        <v>39</v>
      </c>
      <c r="H4" s="8">
        <v>0.0</v>
      </c>
      <c r="I4" s="6" t="s">
        <v>91</v>
      </c>
      <c r="J4" s="6"/>
      <c r="K4" s="6" t="str">
        <f t="shared" si="2"/>
        <v>51-TT-CR-005B</v>
      </c>
      <c r="L4" s="9" t="s">
        <v>41</v>
      </c>
      <c r="M4" s="6" t="s">
        <v>92</v>
      </c>
      <c r="N4" s="8">
        <v>0.0</v>
      </c>
      <c r="O4" s="6" t="s">
        <v>93</v>
      </c>
      <c r="P4" s="8">
        <v>0.0</v>
      </c>
      <c r="Q4" s="6" t="str">
        <f t="shared" si="3"/>
        <v>51-TT-CR-005B</v>
      </c>
      <c r="R4" s="9" t="s">
        <v>41</v>
      </c>
      <c r="S4" s="6" t="s">
        <v>94</v>
      </c>
      <c r="T4" s="8">
        <v>0.0</v>
      </c>
      <c r="U4" s="6" t="str">
        <f t="shared" si="4"/>
        <v>51-TT-CR-005B</v>
      </c>
      <c r="V4" s="9" t="s">
        <v>41</v>
      </c>
      <c r="W4" s="6" t="s">
        <v>95</v>
      </c>
      <c r="X4" s="8">
        <v>0.0</v>
      </c>
      <c r="Y4" s="6" t="str">
        <f t="shared" si="5"/>
        <v>LSW-15</v>
      </c>
      <c r="Z4" s="6" t="s">
        <v>46</v>
      </c>
      <c r="AA4" s="6" t="s">
        <v>96</v>
      </c>
      <c r="AB4" s="8">
        <v>0.0</v>
      </c>
      <c r="AC4" s="6" t="str">
        <f t="shared" si="6"/>
        <v>LSW-15</v>
      </c>
      <c r="AD4" s="6" t="s">
        <v>46</v>
      </c>
      <c r="AE4" s="6" t="s">
        <v>97</v>
      </c>
      <c r="AF4" s="8">
        <v>0.0</v>
      </c>
      <c r="AG4" s="6" t="str">
        <f t="shared" si="7"/>
        <v>LSW-15</v>
      </c>
      <c r="AH4" s="6" t="s">
        <v>46</v>
      </c>
      <c r="AI4" s="6" t="s">
        <v>98</v>
      </c>
      <c r="AJ4" s="8">
        <v>0.0</v>
      </c>
      <c r="AK4" s="6" t="str">
        <f t="shared" si="8"/>
        <v>RDR-15</v>
      </c>
      <c r="AL4" s="6" t="s">
        <v>50</v>
      </c>
      <c r="AM4" s="6" t="s">
        <v>99</v>
      </c>
      <c r="AN4" s="8">
        <v>0.0</v>
      </c>
      <c r="AO4" s="6" t="s">
        <v>100</v>
      </c>
      <c r="AP4" s="6" t="s">
        <v>50</v>
      </c>
      <c r="AQ4" s="6" t="s">
        <v>101</v>
      </c>
      <c r="AR4" s="6">
        <v>0.0</v>
      </c>
      <c r="AS4" s="6" t="s">
        <v>100</v>
      </c>
      <c r="AT4" s="6" t="s">
        <v>50</v>
      </c>
      <c r="AU4" s="11"/>
      <c r="AV4" s="11"/>
      <c r="AW4" s="6"/>
      <c r="AX4" s="6"/>
      <c r="AY4" s="11"/>
      <c r="AZ4" s="11"/>
      <c r="BA4" s="11"/>
      <c r="BB4" s="6"/>
      <c r="BC4" s="10"/>
      <c r="BD4" s="11"/>
      <c r="BE4" s="10"/>
      <c r="BF4" s="11"/>
      <c r="BG4" s="6" t="s">
        <v>102</v>
      </c>
      <c r="BH4" s="6">
        <v>0.0</v>
      </c>
      <c r="BI4" s="6" t="str">
        <f t="shared" si="10"/>
        <v>ROSOV-30</v>
      </c>
      <c r="BJ4" s="6" t="s">
        <v>60</v>
      </c>
      <c r="BK4" s="6" t="s">
        <v>103</v>
      </c>
      <c r="BL4" s="6">
        <v>0.0</v>
      </c>
      <c r="BM4" s="6" t="s">
        <v>104</v>
      </c>
      <c r="BN4" s="6" t="s">
        <v>63</v>
      </c>
      <c r="BO4" s="10"/>
      <c r="BP4" s="11"/>
      <c r="BQ4" s="11"/>
      <c r="BR4" s="11"/>
      <c r="BS4" s="6" t="s">
        <v>105</v>
      </c>
      <c r="BT4" s="6">
        <v>1.0</v>
      </c>
      <c r="BU4" s="6" t="str">
        <f t="shared" si="11"/>
        <v>MOV-1508</v>
      </c>
      <c r="BV4" s="6" t="s">
        <v>65</v>
      </c>
      <c r="BW4" s="11"/>
      <c r="BX4" s="11"/>
      <c r="BY4" s="11"/>
      <c r="BZ4" s="6">
        <v>1.0</v>
      </c>
      <c r="CA4" s="6"/>
      <c r="CB4" s="6"/>
      <c r="CC4" s="11"/>
      <c r="CD4" s="11"/>
      <c r="CE4" s="11"/>
      <c r="CF4" s="11"/>
      <c r="CG4" s="11"/>
      <c r="CH4" s="11"/>
      <c r="CI4" s="11"/>
      <c r="CJ4" s="11"/>
      <c r="CK4" s="11"/>
      <c r="CL4" s="11"/>
    </row>
    <row r="5" ht="15.75" customHeight="1">
      <c r="A5" s="6">
        <v>1919.0</v>
      </c>
      <c r="B5" s="6" t="s">
        <v>35</v>
      </c>
      <c r="C5" s="6" t="str">
        <f t="shared" si="1"/>
        <v>51-TT-CR-006A_WATER</v>
      </c>
      <c r="D5" s="6" t="s">
        <v>106</v>
      </c>
      <c r="E5" s="6" t="s">
        <v>37</v>
      </c>
      <c r="F5" s="6" t="s">
        <v>107</v>
      </c>
      <c r="G5" s="7" t="s">
        <v>39</v>
      </c>
      <c r="H5" s="8">
        <v>0.0</v>
      </c>
      <c r="I5" s="6" t="s">
        <v>108</v>
      </c>
      <c r="J5" s="6"/>
      <c r="K5" s="6" t="str">
        <f t="shared" si="2"/>
        <v>51-TT-CR-006A</v>
      </c>
      <c r="L5" s="9" t="s">
        <v>41</v>
      </c>
      <c r="M5" s="6" t="s">
        <v>109</v>
      </c>
      <c r="N5" s="8">
        <v>0.0</v>
      </c>
      <c r="O5" s="11"/>
      <c r="P5" s="11"/>
      <c r="Q5" s="6"/>
      <c r="R5" s="6"/>
      <c r="S5" s="11"/>
      <c r="T5" s="11"/>
      <c r="U5" s="6"/>
      <c r="V5" s="6"/>
      <c r="W5" s="11"/>
      <c r="X5" s="11"/>
      <c r="Y5" s="6"/>
      <c r="Z5" s="6"/>
      <c r="AA5" s="11"/>
      <c r="AB5" s="11"/>
      <c r="AC5" s="6"/>
      <c r="AD5" s="6"/>
      <c r="AE5" s="11"/>
      <c r="AF5" s="11"/>
      <c r="AG5" s="6"/>
      <c r="AH5" s="6"/>
      <c r="AI5" s="11"/>
      <c r="AJ5" s="11"/>
      <c r="AK5" s="6"/>
      <c r="AL5" s="6"/>
      <c r="AM5" s="11"/>
      <c r="AN5" s="11"/>
      <c r="AO5" s="11"/>
      <c r="AP5" s="6"/>
      <c r="AQ5" s="11"/>
      <c r="AR5" s="11"/>
      <c r="AS5" s="11"/>
      <c r="AT5" s="6"/>
      <c r="AU5" s="11"/>
      <c r="AV5" s="11"/>
      <c r="AW5" s="6"/>
      <c r="AX5" s="6"/>
      <c r="AY5" s="11"/>
      <c r="AZ5" s="11"/>
      <c r="BA5" s="11"/>
      <c r="BB5" s="6"/>
      <c r="BC5" s="10"/>
      <c r="BD5" s="11"/>
      <c r="BE5" s="10"/>
      <c r="BF5" s="11"/>
      <c r="BG5" s="11"/>
      <c r="BH5" s="11"/>
      <c r="BI5" s="6"/>
      <c r="BJ5" s="6"/>
      <c r="BK5" s="11"/>
      <c r="BL5" s="11"/>
      <c r="BM5" s="11"/>
      <c r="BN5" s="6"/>
      <c r="BO5" s="10"/>
      <c r="BP5" s="11"/>
      <c r="BQ5" s="11"/>
      <c r="BR5" s="11"/>
      <c r="BS5" s="11"/>
      <c r="BT5" s="11"/>
      <c r="BU5" s="6"/>
      <c r="BV5" s="6"/>
      <c r="BW5" s="11"/>
      <c r="BX5" s="11"/>
      <c r="BY5" s="11"/>
      <c r="BZ5" s="11"/>
      <c r="CA5" s="6"/>
      <c r="CB5" s="6"/>
      <c r="CC5" s="11"/>
      <c r="CD5" s="11"/>
      <c r="CE5" s="11"/>
      <c r="CF5" s="11"/>
      <c r="CG5" s="11"/>
      <c r="CH5" s="11"/>
      <c r="CI5" s="11"/>
      <c r="CJ5" s="11"/>
      <c r="CK5" s="11"/>
      <c r="CL5" s="11"/>
    </row>
    <row r="6" ht="15.75" customHeight="1">
      <c r="A6" s="6">
        <v>1919.0</v>
      </c>
      <c r="B6" s="6" t="s">
        <v>35</v>
      </c>
      <c r="C6" s="6" t="str">
        <f t="shared" si="1"/>
        <v>51-TT-CR-006B_WATER</v>
      </c>
      <c r="D6" s="6" t="s">
        <v>110</v>
      </c>
      <c r="E6" s="6" t="s">
        <v>37</v>
      </c>
      <c r="F6" s="6" t="s">
        <v>107</v>
      </c>
      <c r="G6" s="7" t="s">
        <v>39</v>
      </c>
      <c r="H6" s="8">
        <v>0.0</v>
      </c>
      <c r="I6" s="6" t="s">
        <v>111</v>
      </c>
      <c r="J6" s="6"/>
      <c r="K6" s="6" t="str">
        <f t="shared" si="2"/>
        <v>51-TT-CR-006B</v>
      </c>
      <c r="L6" s="9" t="s">
        <v>41</v>
      </c>
      <c r="M6" s="6" t="s">
        <v>112</v>
      </c>
      <c r="N6" s="8">
        <v>0.0</v>
      </c>
      <c r="O6" s="11"/>
      <c r="P6" s="11"/>
      <c r="Q6" s="6"/>
      <c r="R6" s="6"/>
      <c r="S6" s="11"/>
      <c r="T6" s="11"/>
      <c r="U6" s="6"/>
      <c r="V6" s="6"/>
      <c r="W6" s="11"/>
      <c r="X6" s="11"/>
      <c r="Y6" s="6"/>
      <c r="Z6" s="6"/>
      <c r="AA6" s="11"/>
      <c r="AB6" s="11"/>
      <c r="AC6" s="6"/>
      <c r="AD6" s="6"/>
      <c r="AE6" s="11"/>
      <c r="AF6" s="11"/>
      <c r="AG6" s="6"/>
      <c r="AH6" s="6"/>
      <c r="AI6" s="11"/>
      <c r="AJ6" s="11"/>
      <c r="AK6" s="6"/>
      <c r="AL6" s="6"/>
      <c r="AM6" s="11"/>
      <c r="AN6" s="11"/>
      <c r="AO6" s="11"/>
      <c r="AP6" s="6"/>
      <c r="AQ6" s="11"/>
      <c r="AR6" s="11"/>
      <c r="AS6" s="11"/>
      <c r="AT6" s="6"/>
      <c r="AU6" s="11"/>
      <c r="AV6" s="11"/>
      <c r="AW6" s="6"/>
      <c r="AX6" s="6"/>
      <c r="AY6" s="11"/>
      <c r="AZ6" s="11"/>
      <c r="BA6" s="11"/>
      <c r="BB6" s="6"/>
      <c r="BC6" s="10"/>
      <c r="BD6" s="11"/>
      <c r="BE6" s="10"/>
      <c r="BF6" s="11"/>
      <c r="BG6" s="11"/>
      <c r="BH6" s="11"/>
      <c r="BI6" s="6"/>
      <c r="BJ6" s="6"/>
      <c r="BK6" s="11"/>
      <c r="BL6" s="11"/>
      <c r="BM6" s="11"/>
      <c r="BN6" s="6"/>
      <c r="BO6" s="10"/>
      <c r="BP6" s="11"/>
      <c r="BQ6" s="11"/>
      <c r="BR6" s="11"/>
      <c r="BS6" s="11"/>
      <c r="BT6" s="11"/>
      <c r="BU6" s="6"/>
      <c r="BV6" s="6"/>
      <c r="BW6" s="11"/>
      <c r="BX6" s="11"/>
      <c r="BY6" s="11"/>
      <c r="BZ6" s="11"/>
      <c r="CA6" s="6"/>
      <c r="CB6" s="6"/>
      <c r="CC6" s="11"/>
      <c r="CD6" s="11"/>
      <c r="CE6" s="11"/>
      <c r="CF6" s="11"/>
      <c r="CG6" s="11"/>
      <c r="CH6" s="11"/>
      <c r="CI6" s="11"/>
      <c r="CJ6" s="11"/>
      <c r="CK6" s="11"/>
      <c r="CL6" s="11"/>
    </row>
    <row r="7" ht="15.75" customHeight="1">
      <c r="A7" s="6">
        <v>1919.0</v>
      </c>
      <c r="B7" s="6" t="s">
        <v>35</v>
      </c>
      <c r="C7" s="6" t="str">
        <f t="shared" si="1"/>
        <v>51-TT-CR-006C_WATER</v>
      </c>
      <c r="D7" s="6" t="s">
        <v>113</v>
      </c>
      <c r="E7" s="6" t="s">
        <v>37</v>
      </c>
      <c r="F7" s="6" t="s">
        <v>107</v>
      </c>
      <c r="G7" s="7" t="s">
        <v>39</v>
      </c>
      <c r="H7" s="8">
        <v>0.0</v>
      </c>
      <c r="I7" s="6" t="s">
        <v>114</v>
      </c>
      <c r="J7" s="6"/>
      <c r="K7" s="6" t="str">
        <f t="shared" si="2"/>
        <v>51-TT-CR-006C</v>
      </c>
      <c r="L7" s="9" t="s">
        <v>41</v>
      </c>
      <c r="M7" s="6" t="s">
        <v>115</v>
      </c>
      <c r="N7" s="8">
        <v>0.0</v>
      </c>
      <c r="O7" s="11"/>
      <c r="P7" s="11"/>
      <c r="Q7" s="6"/>
      <c r="R7" s="6"/>
      <c r="S7" s="11"/>
      <c r="T7" s="11"/>
      <c r="U7" s="6"/>
      <c r="V7" s="6"/>
      <c r="W7" s="11"/>
      <c r="X7" s="11"/>
      <c r="Y7" s="6"/>
      <c r="Z7" s="6"/>
      <c r="AA7" s="11"/>
      <c r="AB7" s="11"/>
      <c r="AC7" s="6"/>
      <c r="AD7" s="6"/>
      <c r="AE7" s="11"/>
      <c r="AF7" s="11"/>
      <c r="AG7" s="6"/>
      <c r="AH7" s="6"/>
      <c r="AI7" s="11"/>
      <c r="AJ7" s="11"/>
      <c r="AK7" s="6"/>
      <c r="AL7" s="6"/>
      <c r="AM7" s="11"/>
      <c r="AN7" s="11"/>
      <c r="AO7" s="11"/>
      <c r="AP7" s="6"/>
      <c r="AQ7" s="11"/>
      <c r="AR7" s="11"/>
      <c r="AS7" s="11"/>
      <c r="AT7" s="6"/>
      <c r="AU7" s="11"/>
      <c r="AV7" s="11"/>
      <c r="AW7" s="6"/>
      <c r="AX7" s="6"/>
      <c r="AY7" s="11"/>
      <c r="AZ7" s="11"/>
      <c r="BA7" s="11"/>
      <c r="BB7" s="6"/>
      <c r="BC7" s="10"/>
      <c r="BD7" s="11"/>
      <c r="BE7" s="10"/>
      <c r="BF7" s="11"/>
      <c r="BG7" s="11"/>
      <c r="BH7" s="11"/>
      <c r="BI7" s="6"/>
      <c r="BJ7" s="6"/>
      <c r="BK7" s="11"/>
      <c r="BL7" s="11"/>
      <c r="BM7" s="11"/>
      <c r="BN7" s="6"/>
      <c r="BO7" s="10"/>
      <c r="BP7" s="11"/>
      <c r="BQ7" s="11"/>
      <c r="BR7" s="11"/>
      <c r="BS7" s="11"/>
      <c r="BT7" s="11"/>
      <c r="BU7" s="6"/>
      <c r="BV7" s="6"/>
      <c r="BW7" s="11"/>
      <c r="BX7" s="11"/>
      <c r="BY7" s="11"/>
      <c r="BZ7" s="11"/>
      <c r="CA7" s="6"/>
      <c r="CB7" s="6"/>
      <c r="CC7" s="11"/>
      <c r="CD7" s="11"/>
      <c r="CE7" s="11"/>
      <c r="CF7" s="11"/>
      <c r="CG7" s="11"/>
      <c r="CH7" s="11"/>
      <c r="CI7" s="11"/>
      <c r="CJ7" s="11"/>
      <c r="CK7" s="11"/>
      <c r="CL7" s="11"/>
    </row>
    <row r="8" ht="15.75" customHeight="1">
      <c r="A8" s="6">
        <v>1919.0</v>
      </c>
      <c r="B8" s="6" t="s">
        <v>35</v>
      </c>
      <c r="C8" s="6" t="str">
        <f t="shared" si="1"/>
        <v>51-TT-CR-006D_WATER</v>
      </c>
      <c r="D8" s="6" t="s">
        <v>116</v>
      </c>
      <c r="E8" s="6" t="s">
        <v>37</v>
      </c>
      <c r="F8" s="6" t="s">
        <v>107</v>
      </c>
      <c r="G8" s="7" t="s">
        <v>39</v>
      </c>
      <c r="H8" s="8">
        <v>0.0</v>
      </c>
      <c r="I8" s="6" t="s">
        <v>117</v>
      </c>
      <c r="J8" s="6"/>
      <c r="K8" s="6" t="str">
        <f t="shared" si="2"/>
        <v>51-TT-CR-006D</v>
      </c>
      <c r="L8" s="9" t="s">
        <v>41</v>
      </c>
      <c r="M8" s="6" t="s">
        <v>118</v>
      </c>
      <c r="N8" s="8">
        <v>0.0</v>
      </c>
      <c r="O8" s="11"/>
      <c r="P8" s="11"/>
      <c r="Q8" s="6"/>
      <c r="R8" s="6"/>
      <c r="S8" s="11"/>
      <c r="T8" s="11"/>
      <c r="U8" s="6"/>
      <c r="V8" s="6"/>
      <c r="W8" s="11"/>
      <c r="X8" s="11"/>
      <c r="Y8" s="6"/>
      <c r="Z8" s="6"/>
      <c r="AA8" s="11"/>
      <c r="AB8" s="11"/>
      <c r="AC8" s="6"/>
      <c r="AD8" s="6"/>
      <c r="AE8" s="11"/>
      <c r="AF8" s="11"/>
      <c r="AG8" s="6"/>
      <c r="AH8" s="6"/>
      <c r="AI8" s="11"/>
      <c r="AJ8" s="11"/>
      <c r="AK8" s="6"/>
      <c r="AL8" s="6"/>
      <c r="AM8" s="11"/>
      <c r="AN8" s="11"/>
      <c r="AO8" s="11"/>
      <c r="AP8" s="6"/>
      <c r="AQ8" s="11"/>
      <c r="AR8" s="11"/>
      <c r="AS8" s="11"/>
      <c r="AT8" s="6"/>
      <c r="AU8" s="11"/>
      <c r="AV8" s="11"/>
      <c r="AW8" s="6"/>
      <c r="AX8" s="6"/>
      <c r="AY8" s="11"/>
      <c r="AZ8" s="11"/>
      <c r="BA8" s="11"/>
      <c r="BB8" s="6"/>
      <c r="BC8" s="10"/>
      <c r="BD8" s="11"/>
      <c r="BE8" s="10"/>
      <c r="BF8" s="11"/>
      <c r="BG8" s="11"/>
      <c r="BH8" s="11"/>
      <c r="BI8" s="6"/>
      <c r="BJ8" s="6"/>
      <c r="BK8" s="11"/>
      <c r="BL8" s="11"/>
      <c r="BM8" s="11"/>
      <c r="BN8" s="6"/>
      <c r="BO8" s="10"/>
      <c r="BP8" s="11"/>
      <c r="BQ8" s="11"/>
      <c r="BR8" s="11"/>
      <c r="BS8" s="11"/>
      <c r="BT8" s="11"/>
      <c r="BU8" s="6"/>
      <c r="BV8" s="6"/>
      <c r="BW8" s="11"/>
      <c r="BX8" s="11"/>
      <c r="BY8" s="11"/>
      <c r="BZ8" s="11"/>
      <c r="CA8" s="6"/>
      <c r="CB8" s="6"/>
      <c r="CC8" s="11"/>
      <c r="CD8" s="11"/>
      <c r="CE8" s="11"/>
      <c r="CF8" s="11"/>
      <c r="CG8" s="11"/>
      <c r="CH8" s="11"/>
      <c r="CI8" s="11"/>
      <c r="CJ8" s="11"/>
      <c r="CK8" s="11"/>
      <c r="CL8" s="11"/>
    </row>
    <row r="9" ht="15.75" customHeight="1">
      <c r="A9" s="6">
        <v>1919.0</v>
      </c>
      <c r="B9" s="6" t="s">
        <v>35</v>
      </c>
      <c r="C9" s="6" t="str">
        <f t="shared" si="1"/>
        <v>51-TT-FR-001A_BS VI MS</v>
      </c>
      <c r="D9" s="6" t="s">
        <v>119</v>
      </c>
      <c r="E9" s="6" t="s">
        <v>37</v>
      </c>
      <c r="F9" s="6" t="s">
        <v>120</v>
      </c>
      <c r="G9" s="7" t="s">
        <v>39</v>
      </c>
      <c r="H9" s="8">
        <v>0.0</v>
      </c>
      <c r="I9" s="6" t="s">
        <v>121</v>
      </c>
      <c r="J9" s="6"/>
      <c r="K9" s="6" t="str">
        <f t="shared" si="2"/>
        <v>51-TT-FR-001A</v>
      </c>
      <c r="L9" s="9" t="s">
        <v>41</v>
      </c>
      <c r="M9" s="6" t="s">
        <v>122</v>
      </c>
      <c r="N9" s="8">
        <v>0.0</v>
      </c>
      <c r="O9" s="6" t="s">
        <v>123</v>
      </c>
      <c r="P9" s="8">
        <v>0.0</v>
      </c>
      <c r="Q9" s="6" t="str">
        <f t="shared" ref="Q9:Q29" si="13">MID(O9, SEARCH(".", O9) + 1, SEARCH(".HIGH", O9) - SEARCH(".", O9) - 1)</f>
        <v>51-TT-FR-001A</v>
      </c>
      <c r="R9" s="9" t="s">
        <v>41</v>
      </c>
      <c r="S9" s="6" t="s">
        <v>124</v>
      </c>
      <c r="T9" s="8">
        <v>0.0</v>
      </c>
      <c r="U9" s="6" t="str">
        <f t="shared" ref="U9:U29" si="14">MID(S9, SEARCH(".", S9) + 1, SEARCH(".HIGH", S9) - SEARCH(".", S9) - 1)</f>
        <v>51-TT-FR-001A</v>
      </c>
      <c r="V9" s="9" t="s">
        <v>41</v>
      </c>
      <c r="W9" s="6" t="s">
        <v>125</v>
      </c>
      <c r="X9" s="8">
        <v>0.0</v>
      </c>
      <c r="Y9" s="6" t="str">
        <f t="shared" ref="Y9:Y22" si="15">MID(W9, SEARCH(".", W9) + 1, SEARCH(".SWITCH", W9) - SEARCH(".", W9) - 1)</f>
        <v>LSW-03</v>
      </c>
      <c r="Z9" s="6" t="s">
        <v>46</v>
      </c>
      <c r="AA9" s="6" t="s">
        <v>126</v>
      </c>
      <c r="AB9" s="8">
        <v>0.0</v>
      </c>
      <c r="AC9" s="6" t="str">
        <f t="shared" ref="AC9:AC22" si="16">MID(AA9, SEARCH(".", AA9) + 1, SEARCH(".PROOF", AA9) - SEARCH(".", AA9) - 1)</f>
        <v>LSW-03</v>
      </c>
      <c r="AD9" s="6" t="s">
        <v>46</v>
      </c>
      <c r="AE9" s="6" t="s">
        <v>127</v>
      </c>
      <c r="AF9" s="8">
        <v>0.0</v>
      </c>
      <c r="AG9" s="6" t="str">
        <f t="shared" ref="AG9:AG22" si="17">MID(AE9, SEARCH(".", AE9) + 1, SEARCH(".PROOF", AE9) - SEARCH(".", AE9) - 1)</f>
        <v>LSW-03</v>
      </c>
      <c r="AH9" s="6" t="s">
        <v>46</v>
      </c>
      <c r="AI9" s="6" t="s">
        <v>128</v>
      </c>
      <c r="AJ9" s="8">
        <v>0.0</v>
      </c>
      <c r="AK9" s="6" t="str">
        <f t="shared" ref="AK9:AK22" si="18">MID(AI9, SEARCH(".", AI9) + 1, SEARCH(".SWITCH", AI9) - SEARCH(".", AI9) - 1)</f>
        <v>RDR-03</v>
      </c>
      <c r="AL9" s="6" t="s">
        <v>50</v>
      </c>
      <c r="AM9" s="6" t="s">
        <v>129</v>
      </c>
      <c r="AN9" s="8">
        <v>0.0</v>
      </c>
      <c r="AO9" s="6" t="s">
        <v>130</v>
      </c>
      <c r="AP9" s="6" t="s">
        <v>50</v>
      </c>
      <c r="AQ9" s="6" t="s">
        <v>131</v>
      </c>
      <c r="AR9" s="6">
        <v>0.0</v>
      </c>
      <c r="AS9" s="6" t="s">
        <v>130</v>
      </c>
      <c r="AT9" s="6" t="s">
        <v>50</v>
      </c>
      <c r="AU9" s="6" t="s">
        <v>132</v>
      </c>
      <c r="AV9" s="6">
        <v>0.0</v>
      </c>
      <c r="AW9" s="6" t="str">
        <f t="shared" ref="AW9:AW11" si="19">MID(AU9, SEARCH(".", AU9) + 1, SEARCH(".OPEN", AU9) - SEARCH(".", AU9) - 1)</f>
        <v>ROSOV-05</v>
      </c>
      <c r="AX9" s="6" t="s">
        <v>55</v>
      </c>
      <c r="AY9" s="6" t="s">
        <v>133</v>
      </c>
      <c r="AZ9" s="6">
        <v>0.0</v>
      </c>
      <c r="BA9" s="6" t="s">
        <v>134</v>
      </c>
      <c r="BB9" s="6" t="s">
        <v>58</v>
      </c>
      <c r="BC9" s="10"/>
      <c r="BD9" s="11"/>
      <c r="BE9" s="10"/>
      <c r="BF9" s="11"/>
      <c r="BG9" s="6" t="s">
        <v>135</v>
      </c>
      <c r="BH9" s="6">
        <v>0.0</v>
      </c>
      <c r="BI9" s="6" t="str">
        <f t="shared" ref="BI9:BI22" si="20">MID(BG9, SEARCH(".", BG9) + 1, SEARCH(".OPEN", BG9) - SEARCH(".", BG9) - 1)</f>
        <v>ROSOV-06</v>
      </c>
      <c r="BJ9" s="6" t="s">
        <v>60</v>
      </c>
      <c r="BK9" s="6" t="s">
        <v>136</v>
      </c>
      <c r="BL9" s="6">
        <v>0.0</v>
      </c>
      <c r="BM9" s="6" t="s">
        <v>137</v>
      </c>
      <c r="BN9" s="6" t="s">
        <v>63</v>
      </c>
      <c r="BO9" s="10"/>
      <c r="BP9" s="11"/>
      <c r="BQ9" s="11"/>
      <c r="BR9" s="11"/>
      <c r="BS9" s="6" t="s">
        <v>138</v>
      </c>
      <c r="BT9" s="6">
        <v>1.0</v>
      </c>
      <c r="BU9" s="6" t="str">
        <f t="shared" ref="BU9:BU22" si="21">MID(BS9, SEARCH(".", BS9) + 1, SEARCH(".CLOSE", BS9) - SEARCH(".", BS9) - 1)</f>
        <v>MOV-1101</v>
      </c>
      <c r="BV9" s="6" t="s">
        <v>65</v>
      </c>
      <c r="BW9" s="11"/>
      <c r="BX9" s="11"/>
      <c r="BY9" s="6" t="s">
        <v>139</v>
      </c>
      <c r="BZ9" s="6">
        <v>1.0</v>
      </c>
      <c r="CA9" s="6" t="str">
        <f t="shared" ref="CA9:CA22" si="22">MID(BY9, SEARCH(".", BY9) + 1, SEARCH(".CLOSE", BY9) - SEARCH(".", BY9) - 1)</f>
        <v>MOV-1103</v>
      </c>
      <c r="CB9" s="6" t="s">
        <v>67</v>
      </c>
      <c r="CC9" s="11"/>
      <c r="CD9" s="11"/>
      <c r="CE9" s="6" t="s">
        <v>140</v>
      </c>
      <c r="CF9" s="6">
        <v>0.0</v>
      </c>
      <c r="CG9" s="6" t="str">
        <f t="shared" ref="CG9:CG11" si="23">MID(CE9, SEARCH(".", CE9) + 1, SEARCH(".FIRE", CE9) - SEARCH(".", CE9) - 1)</f>
        <v>RIMSEAL-01</v>
      </c>
      <c r="CH9" s="6" t="s">
        <v>141</v>
      </c>
      <c r="CI9" s="6" t="s">
        <v>142</v>
      </c>
      <c r="CJ9" s="6">
        <v>0.0</v>
      </c>
      <c r="CK9" s="6" t="s">
        <v>143</v>
      </c>
      <c r="CL9" s="6" t="s">
        <v>141</v>
      </c>
    </row>
    <row r="10" ht="15.75" customHeight="1">
      <c r="A10" s="6">
        <v>1919.0</v>
      </c>
      <c r="B10" s="6" t="s">
        <v>35</v>
      </c>
      <c r="C10" s="6" t="str">
        <f t="shared" si="1"/>
        <v>51-TT-FR-001B_BS VI MS</v>
      </c>
      <c r="D10" s="6" t="s">
        <v>144</v>
      </c>
      <c r="E10" s="6" t="s">
        <v>37</v>
      </c>
      <c r="F10" s="6" t="s">
        <v>120</v>
      </c>
      <c r="G10" s="7" t="s">
        <v>39</v>
      </c>
      <c r="H10" s="8">
        <v>0.0</v>
      </c>
      <c r="I10" s="6" t="s">
        <v>145</v>
      </c>
      <c r="J10" s="6"/>
      <c r="K10" s="6" t="str">
        <f t="shared" si="2"/>
        <v>51-TT-FR-001B</v>
      </c>
      <c r="L10" s="9" t="s">
        <v>41</v>
      </c>
      <c r="M10" s="6" t="s">
        <v>146</v>
      </c>
      <c r="N10" s="8">
        <v>0.0</v>
      </c>
      <c r="O10" s="6" t="s">
        <v>147</v>
      </c>
      <c r="P10" s="8">
        <v>0.0</v>
      </c>
      <c r="Q10" s="6" t="str">
        <f t="shared" si="13"/>
        <v>51-TT-FR-001B</v>
      </c>
      <c r="R10" s="9" t="s">
        <v>41</v>
      </c>
      <c r="S10" s="6" t="s">
        <v>148</v>
      </c>
      <c r="T10" s="8">
        <v>0.0</v>
      </c>
      <c r="U10" s="6" t="str">
        <f t="shared" si="14"/>
        <v>51-TT-FR-001B</v>
      </c>
      <c r="V10" s="9" t="s">
        <v>41</v>
      </c>
      <c r="W10" s="6" t="s">
        <v>149</v>
      </c>
      <c r="X10" s="8">
        <v>0.0</v>
      </c>
      <c r="Y10" s="6" t="str">
        <f t="shared" si="15"/>
        <v>LSW-01</v>
      </c>
      <c r="Z10" s="6" t="s">
        <v>46</v>
      </c>
      <c r="AA10" s="6" t="s">
        <v>150</v>
      </c>
      <c r="AB10" s="8">
        <v>0.0</v>
      </c>
      <c r="AC10" s="6" t="str">
        <f t="shared" si="16"/>
        <v>LSW-01</v>
      </c>
      <c r="AD10" s="6" t="s">
        <v>46</v>
      </c>
      <c r="AE10" s="6" t="s">
        <v>151</v>
      </c>
      <c r="AF10" s="8">
        <v>0.0</v>
      </c>
      <c r="AG10" s="6" t="str">
        <f t="shared" si="17"/>
        <v>LSW-01</v>
      </c>
      <c r="AH10" s="6" t="s">
        <v>46</v>
      </c>
      <c r="AI10" s="6" t="s">
        <v>152</v>
      </c>
      <c r="AJ10" s="8">
        <v>0.0</v>
      </c>
      <c r="AK10" s="6" t="str">
        <f t="shared" si="18"/>
        <v>RDR-01</v>
      </c>
      <c r="AL10" s="6" t="s">
        <v>50</v>
      </c>
      <c r="AM10" s="6" t="s">
        <v>153</v>
      </c>
      <c r="AN10" s="8">
        <v>0.0</v>
      </c>
      <c r="AO10" s="6" t="s">
        <v>154</v>
      </c>
      <c r="AP10" s="6" t="s">
        <v>50</v>
      </c>
      <c r="AQ10" s="6" t="s">
        <v>155</v>
      </c>
      <c r="AR10" s="6">
        <v>0.0</v>
      </c>
      <c r="AS10" s="6" t="s">
        <v>154</v>
      </c>
      <c r="AT10" s="6" t="s">
        <v>50</v>
      </c>
      <c r="AU10" s="6" t="s">
        <v>156</v>
      </c>
      <c r="AV10" s="6">
        <v>0.0</v>
      </c>
      <c r="AW10" s="6" t="str">
        <f t="shared" si="19"/>
        <v>ROSOV-01</v>
      </c>
      <c r="AX10" s="6" t="s">
        <v>55</v>
      </c>
      <c r="AY10" s="6" t="s">
        <v>157</v>
      </c>
      <c r="AZ10" s="6">
        <v>0.0</v>
      </c>
      <c r="BA10" s="6" t="s">
        <v>158</v>
      </c>
      <c r="BB10" s="6" t="s">
        <v>58</v>
      </c>
      <c r="BC10" s="10"/>
      <c r="BD10" s="11"/>
      <c r="BE10" s="10"/>
      <c r="BF10" s="11"/>
      <c r="BG10" s="6" t="s">
        <v>159</v>
      </c>
      <c r="BH10" s="6">
        <v>0.0</v>
      </c>
      <c r="BI10" s="6" t="str">
        <f t="shared" si="20"/>
        <v>ROSOV-02</v>
      </c>
      <c r="BJ10" s="6" t="s">
        <v>60</v>
      </c>
      <c r="BK10" s="6" t="s">
        <v>160</v>
      </c>
      <c r="BL10" s="6">
        <v>0.0</v>
      </c>
      <c r="BM10" s="6" t="s">
        <v>161</v>
      </c>
      <c r="BN10" s="6" t="s">
        <v>63</v>
      </c>
      <c r="BO10" s="10"/>
      <c r="BP10" s="11"/>
      <c r="BQ10" s="11"/>
      <c r="BR10" s="11"/>
      <c r="BS10" s="6" t="s">
        <v>162</v>
      </c>
      <c r="BT10" s="6">
        <v>1.0</v>
      </c>
      <c r="BU10" s="6" t="str">
        <f t="shared" si="21"/>
        <v>MOV-1102</v>
      </c>
      <c r="BV10" s="6" t="s">
        <v>65</v>
      </c>
      <c r="BW10" s="11"/>
      <c r="BX10" s="11"/>
      <c r="BY10" s="6" t="s">
        <v>163</v>
      </c>
      <c r="BZ10" s="6">
        <v>1.0</v>
      </c>
      <c r="CA10" s="6" t="str">
        <f t="shared" si="22"/>
        <v>MOV-1104</v>
      </c>
      <c r="CB10" s="6" t="s">
        <v>67</v>
      </c>
      <c r="CC10" s="11"/>
      <c r="CD10" s="11"/>
      <c r="CE10" s="6" t="s">
        <v>164</v>
      </c>
      <c r="CF10" s="6">
        <v>0.0</v>
      </c>
      <c r="CG10" s="6" t="str">
        <f t="shared" si="23"/>
        <v>RIMSEAL-02</v>
      </c>
      <c r="CH10" s="6" t="s">
        <v>141</v>
      </c>
      <c r="CI10" s="6" t="s">
        <v>165</v>
      </c>
      <c r="CJ10" s="6">
        <v>0.0</v>
      </c>
      <c r="CK10" s="6" t="s">
        <v>166</v>
      </c>
      <c r="CL10" s="6" t="s">
        <v>141</v>
      </c>
    </row>
    <row r="11" ht="15.75" customHeight="1">
      <c r="A11" s="6">
        <v>1919.0</v>
      </c>
      <c r="B11" s="6" t="s">
        <v>35</v>
      </c>
      <c r="C11" s="6" t="str">
        <f t="shared" si="1"/>
        <v>51-TT-FR-001C_GASOHOL</v>
      </c>
      <c r="D11" s="6" t="s">
        <v>167</v>
      </c>
      <c r="E11" s="6" t="s">
        <v>37</v>
      </c>
      <c r="F11" s="6" t="s">
        <v>168</v>
      </c>
      <c r="G11" s="7" t="s">
        <v>39</v>
      </c>
      <c r="H11" s="8">
        <v>0.0</v>
      </c>
      <c r="I11" s="6" t="s">
        <v>169</v>
      </c>
      <c r="J11" s="6"/>
      <c r="K11" s="6" t="str">
        <f t="shared" si="2"/>
        <v>51-TT-FR-001C</v>
      </c>
      <c r="L11" s="9" t="s">
        <v>41</v>
      </c>
      <c r="M11" s="6" t="s">
        <v>170</v>
      </c>
      <c r="N11" s="8">
        <v>0.0</v>
      </c>
      <c r="O11" s="6" t="s">
        <v>171</v>
      </c>
      <c r="P11" s="8">
        <v>0.0</v>
      </c>
      <c r="Q11" s="6" t="str">
        <f t="shared" si="13"/>
        <v>51-TT-FR-001C</v>
      </c>
      <c r="R11" s="9" t="s">
        <v>41</v>
      </c>
      <c r="S11" s="6" t="s">
        <v>172</v>
      </c>
      <c r="T11" s="8">
        <v>0.0</v>
      </c>
      <c r="U11" s="6" t="str">
        <f t="shared" si="14"/>
        <v>51-TT-FR-001C</v>
      </c>
      <c r="V11" s="9" t="s">
        <v>41</v>
      </c>
      <c r="W11" s="6" t="s">
        <v>173</v>
      </c>
      <c r="X11" s="8">
        <v>0.0</v>
      </c>
      <c r="Y11" s="6" t="str">
        <f t="shared" si="15"/>
        <v>LSW-04</v>
      </c>
      <c r="Z11" s="6" t="s">
        <v>46</v>
      </c>
      <c r="AA11" s="6" t="s">
        <v>174</v>
      </c>
      <c r="AB11" s="8">
        <v>0.0</v>
      </c>
      <c r="AC11" s="6" t="str">
        <f t="shared" si="16"/>
        <v>LSW-04</v>
      </c>
      <c r="AD11" s="6" t="s">
        <v>46</v>
      </c>
      <c r="AE11" s="6" t="s">
        <v>175</v>
      </c>
      <c r="AF11" s="8">
        <v>0.0</v>
      </c>
      <c r="AG11" s="6" t="str">
        <f t="shared" si="17"/>
        <v>LSW-04</v>
      </c>
      <c r="AH11" s="6" t="s">
        <v>46</v>
      </c>
      <c r="AI11" s="6" t="s">
        <v>176</v>
      </c>
      <c r="AJ11" s="8">
        <v>0.0</v>
      </c>
      <c r="AK11" s="6" t="str">
        <f t="shared" si="18"/>
        <v>RDR-04</v>
      </c>
      <c r="AL11" s="6" t="s">
        <v>50</v>
      </c>
      <c r="AM11" s="6" t="s">
        <v>177</v>
      </c>
      <c r="AN11" s="8">
        <v>0.0</v>
      </c>
      <c r="AO11" s="6" t="s">
        <v>178</v>
      </c>
      <c r="AP11" s="6" t="s">
        <v>50</v>
      </c>
      <c r="AQ11" s="6" t="s">
        <v>179</v>
      </c>
      <c r="AR11" s="6">
        <v>0.0</v>
      </c>
      <c r="AS11" s="6" t="s">
        <v>178</v>
      </c>
      <c r="AT11" s="6" t="s">
        <v>50</v>
      </c>
      <c r="AU11" s="6" t="s">
        <v>180</v>
      </c>
      <c r="AV11" s="6">
        <v>0.0</v>
      </c>
      <c r="AW11" s="6" t="str">
        <f t="shared" si="19"/>
        <v>ROSOV-07</v>
      </c>
      <c r="AX11" s="6" t="s">
        <v>55</v>
      </c>
      <c r="AY11" s="6" t="s">
        <v>181</v>
      </c>
      <c r="AZ11" s="6">
        <v>0.0</v>
      </c>
      <c r="BA11" s="6" t="s">
        <v>182</v>
      </c>
      <c r="BB11" s="6" t="s">
        <v>58</v>
      </c>
      <c r="BC11" s="10"/>
      <c r="BD11" s="11"/>
      <c r="BE11" s="10"/>
      <c r="BF11" s="11"/>
      <c r="BG11" s="6" t="s">
        <v>183</v>
      </c>
      <c r="BH11" s="6">
        <v>0.0</v>
      </c>
      <c r="BI11" s="6" t="str">
        <f t="shared" si="20"/>
        <v>ROSOV-08</v>
      </c>
      <c r="BJ11" s="6" t="s">
        <v>60</v>
      </c>
      <c r="BK11" s="6" t="s">
        <v>184</v>
      </c>
      <c r="BL11" s="6">
        <v>0.0</v>
      </c>
      <c r="BM11" s="6" t="s">
        <v>185</v>
      </c>
      <c r="BN11" s="6" t="s">
        <v>63</v>
      </c>
      <c r="BO11" s="10"/>
      <c r="BP11" s="11"/>
      <c r="BQ11" s="11"/>
      <c r="BR11" s="11"/>
      <c r="BS11" s="6" t="s">
        <v>186</v>
      </c>
      <c r="BT11" s="6">
        <v>1.0</v>
      </c>
      <c r="BU11" s="6" t="str">
        <f t="shared" si="21"/>
        <v>MOV-1105</v>
      </c>
      <c r="BV11" s="6" t="s">
        <v>65</v>
      </c>
      <c r="BW11" s="11"/>
      <c r="BX11" s="11"/>
      <c r="BY11" s="6" t="s">
        <v>187</v>
      </c>
      <c r="BZ11" s="6">
        <v>1.0</v>
      </c>
      <c r="CA11" s="6" t="str">
        <f t="shared" si="22"/>
        <v>MOV-1107</v>
      </c>
      <c r="CB11" s="6" t="s">
        <v>67</v>
      </c>
      <c r="CC11" s="11"/>
      <c r="CD11" s="11"/>
      <c r="CE11" s="6" t="s">
        <v>188</v>
      </c>
      <c r="CF11" s="6">
        <v>0.0</v>
      </c>
      <c r="CG11" s="6" t="str">
        <f t="shared" si="23"/>
        <v>RIMSEAL-03</v>
      </c>
      <c r="CH11" s="6" t="s">
        <v>141</v>
      </c>
      <c r="CI11" s="6" t="s">
        <v>189</v>
      </c>
      <c r="CJ11" s="6">
        <v>0.0</v>
      </c>
      <c r="CK11" s="6" t="s">
        <v>190</v>
      </c>
      <c r="CL11" s="6" t="s">
        <v>141</v>
      </c>
    </row>
    <row r="12" ht="15.75" customHeight="1">
      <c r="A12" s="6">
        <v>1919.0</v>
      </c>
      <c r="B12" s="6" t="s">
        <v>35</v>
      </c>
      <c r="C12" s="6" t="str">
        <f t="shared" si="1"/>
        <v>51-TT-FR-001D_INTERFACE</v>
      </c>
      <c r="D12" s="6" t="s">
        <v>191</v>
      </c>
      <c r="E12" s="6" t="s">
        <v>37</v>
      </c>
      <c r="F12" s="6" t="s">
        <v>90</v>
      </c>
      <c r="G12" s="7" t="s">
        <v>39</v>
      </c>
      <c r="H12" s="8">
        <v>0.0</v>
      </c>
      <c r="I12" s="6" t="s">
        <v>192</v>
      </c>
      <c r="J12" s="6"/>
      <c r="K12" s="6" t="str">
        <f t="shared" si="2"/>
        <v>51-TT-FR-001D</v>
      </c>
      <c r="L12" s="9" t="s">
        <v>41</v>
      </c>
      <c r="M12" s="6" t="s">
        <v>193</v>
      </c>
      <c r="N12" s="8">
        <v>0.0</v>
      </c>
      <c r="O12" s="6" t="s">
        <v>194</v>
      </c>
      <c r="P12" s="8">
        <v>0.0</v>
      </c>
      <c r="Q12" s="6" t="str">
        <f t="shared" si="13"/>
        <v>51-TT-FR-001D</v>
      </c>
      <c r="R12" s="9" t="s">
        <v>41</v>
      </c>
      <c r="S12" s="6" t="s">
        <v>195</v>
      </c>
      <c r="T12" s="8">
        <v>0.0</v>
      </c>
      <c r="U12" s="6" t="str">
        <f t="shared" si="14"/>
        <v>51-TT-FR-001D</v>
      </c>
      <c r="V12" s="9" t="s">
        <v>41</v>
      </c>
      <c r="W12" s="6" t="s">
        <v>196</v>
      </c>
      <c r="X12" s="8">
        <v>0.0</v>
      </c>
      <c r="Y12" s="6" t="str">
        <f t="shared" si="15"/>
        <v>LSW-12</v>
      </c>
      <c r="Z12" s="6" t="s">
        <v>46</v>
      </c>
      <c r="AA12" s="6" t="s">
        <v>197</v>
      </c>
      <c r="AB12" s="8">
        <v>0.0</v>
      </c>
      <c r="AC12" s="6" t="str">
        <f t="shared" si="16"/>
        <v>LSW-12</v>
      </c>
      <c r="AD12" s="6" t="s">
        <v>46</v>
      </c>
      <c r="AE12" s="6" t="s">
        <v>198</v>
      </c>
      <c r="AF12" s="8">
        <v>0.0</v>
      </c>
      <c r="AG12" s="6" t="str">
        <f t="shared" si="17"/>
        <v>LSW-12</v>
      </c>
      <c r="AH12" s="6" t="s">
        <v>46</v>
      </c>
      <c r="AI12" s="6" t="s">
        <v>199</v>
      </c>
      <c r="AJ12" s="8">
        <v>0.0</v>
      </c>
      <c r="AK12" s="6" t="str">
        <f t="shared" si="18"/>
        <v>RDR-12</v>
      </c>
      <c r="AL12" s="6" t="s">
        <v>50</v>
      </c>
      <c r="AM12" s="6" t="s">
        <v>200</v>
      </c>
      <c r="AN12" s="8">
        <v>0.0</v>
      </c>
      <c r="AO12" s="6" t="s">
        <v>201</v>
      </c>
      <c r="AP12" s="6" t="s">
        <v>50</v>
      </c>
      <c r="AQ12" s="6" t="s">
        <v>202</v>
      </c>
      <c r="AR12" s="6">
        <v>0.0</v>
      </c>
      <c r="AS12" s="6" t="s">
        <v>201</v>
      </c>
      <c r="AT12" s="6" t="s">
        <v>50</v>
      </c>
      <c r="AU12" s="11"/>
      <c r="AV12" s="11"/>
      <c r="AW12" s="6"/>
      <c r="AX12" s="6"/>
      <c r="AY12" s="11"/>
      <c r="AZ12" s="11"/>
      <c r="BA12" s="11"/>
      <c r="BB12" s="6"/>
      <c r="BC12" s="10"/>
      <c r="BD12" s="11"/>
      <c r="BE12" s="10"/>
      <c r="BF12" s="11"/>
      <c r="BG12" s="6" t="s">
        <v>203</v>
      </c>
      <c r="BH12" s="6">
        <v>0.0</v>
      </c>
      <c r="BI12" s="6" t="str">
        <f t="shared" si="20"/>
        <v>ROSOV-24</v>
      </c>
      <c r="BJ12" s="6" t="s">
        <v>60</v>
      </c>
      <c r="BK12" s="6" t="s">
        <v>204</v>
      </c>
      <c r="BL12" s="6">
        <v>0.0</v>
      </c>
      <c r="BM12" s="6" t="s">
        <v>205</v>
      </c>
      <c r="BN12" s="6" t="s">
        <v>63</v>
      </c>
      <c r="BO12" s="10"/>
      <c r="BP12" s="11"/>
      <c r="BQ12" s="11"/>
      <c r="BR12" s="11"/>
      <c r="BS12" s="6" t="s">
        <v>206</v>
      </c>
      <c r="BT12" s="6">
        <v>1.0</v>
      </c>
      <c r="BU12" s="6" t="str">
        <f t="shared" si="21"/>
        <v>MOV-1106</v>
      </c>
      <c r="BV12" s="6" t="s">
        <v>65</v>
      </c>
      <c r="BW12" s="11"/>
      <c r="BX12" s="11"/>
      <c r="BY12" s="6" t="s">
        <v>207</v>
      </c>
      <c r="BZ12" s="6">
        <v>1.0</v>
      </c>
      <c r="CA12" s="6" t="str">
        <f t="shared" si="22"/>
        <v>MOV-1108</v>
      </c>
      <c r="CB12" s="6" t="s">
        <v>67</v>
      </c>
      <c r="CC12" s="11"/>
      <c r="CD12" s="11"/>
      <c r="CE12" s="11"/>
      <c r="CF12" s="11"/>
      <c r="CG12" s="6"/>
      <c r="CH12" s="6"/>
      <c r="CI12" s="11"/>
      <c r="CJ12" s="11"/>
      <c r="CK12" s="11"/>
      <c r="CL12" s="6"/>
    </row>
    <row r="13" ht="15.75" customHeight="1">
      <c r="A13" s="6">
        <v>1919.0</v>
      </c>
      <c r="B13" s="6" t="s">
        <v>35</v>
      </c>
      <c r="C13" s="6" t="str">
        <f t="shared" si="1"/>
        <v>51-TT-FR-002A_SKO</v>
      </c>
      <c r="D13" s="6" t="s">
        <v>208</v>
      </c>
      <c r="E13" s="6" t="s">
        <v>37</v>
      </c>
      <c r="F13" s="6" t="s">
        <v>209</v>
      </c>
      <c r="G13" s="7" t="s">
        <v>39</v>
      </c>
      <c r="H13" s="8">
        <v>0.0</v>
      </c>
      <c r="I13" s="6" t="s">
        <v>210</v>
      </c>
      <c r="J13" s="6"/>
      <c r="K13" s="6" t="str">
        <f t="shared" si="2"/>
        <v>51-TT-FR-002A</v>
      </c>
      <c r="L13" s="9" t="s">
        <v>41</v>
      </c>
      <c r="M13" s="6" t="s">
        <v>211</v>
      </c>
      <c r="N13" s="8">
        <v>0.0</v>
      </c>
      <c r="O13" s="6" t="s">
        <v>212</v>
      </c>
      <c r="P13" s="8">
        <v>0.0</v>
      </c>
      <c r="Q13" s="6" t="str">
        <f t="shared" si="13"/>
        <v>51-TT-FR-002A</v>
      </c>
      <c r="R13" s="9" t="s">
        <v>41</v>
      </c>
      <c r="S13" s="6" t="s">
        <v>213</v>
      </c>
      <c r="T13" s="8">
        <v>0.0</v>
      </c>
      <c r="U13" s="6" t="str">
        <f t="shared" si="14"/>
        <v>51-TT-FR-002A</v>
      </c>
      <c r="V13" s="9" t="s">
        <v>41</v>
      </c>
      <c r="W13" s="6" t="s">
        <v>214</v>
      </c>
      <c r="X13" s="8">
        <v>0.0</v>
      </c>
      <c r="Y13" s="6" t="str">
        <f t="shared" si="15"/>
        <v>LSW-13</v>
      </c>
      <c r="Z13" s="6" t="s">
        <v>46</v>
      </c>
      <c r="AA13" s="6" t="s">
        <v>215</v>
      </c>
      <c r="AB13" s="8">
        <v>0.0</v>
      </c>
      <c r="AC13" s="6" t="str">
        <f t="shared" si="16"/>
        <v>LSW-13</v>
      </c>
      <c r="AD13" s="6" t="s">
        <v>46</v>
      </c>
      <c r="AE13" s="6" t="s">
        <v>216</v>
      </c>
      <c r="AF13" s="8">
        <v>0.0</v>
      </c>
      <c r="AG13" s="6" t="str">
        <f t="shared" si="17"/>
        <v>LSW-13</v>
      </c>
      <c r="AH13" s="6" t="s">
        <v>46</v>
      </c>
      <c r="AI13" s="6" t="s">
        <v>217</v>
      </c>
      <c r="AJ13" s="8">
        <v>0.0</v>
      </c>
      <c r="AK13" s="6" t="str">
        <f t="shared" si="18"/>
        <v>RDR-13</v>
      </c>
      <c r="AL13" s="6" t="s">
        <v>50</v>
      </c>
      <c r="AM13" s="6" t="s">
        <v>218</v>
      </c>
      <c r="AN13" s="8">
        <v>0.0</v>
      </c>
      <c r="AO13" s="6" t="s">
        <v>219</v>
      </c>
      <c r="AP13" s="6" t="s">
        <v>50</v>
      </c>
      <c r="AQ13" s="6" t="s">
        <v>220</v>
      </c>
      <c r="AR13" s="6">
        <v>0.0</v>
      </c>
      <c r="AS13" s="6" t="s">
        <v>219</v>
      </c>
      <c r="AT13" s="6" t="s">
        <v>50</v>
      </c>
      <c r="AU13" s="6" t="s">
        <v>221</v>
      </c>
      <c r="AV13" s="6">
        <v>0.0</v>
      </c>
      <c r="AW13" s="6" t="str">
        <f t="shared" ref="AW13:AW22" si="24">MID(AU13, SEARCH(".", AU13) + 1, SEARCH(".OPEN", AU13) - SEARCH(".", AU13) - 1)</f>
        <v>ROSOV-25</v>
      </c>
      <c r="AX13" s="6" t="s">
        <v>55</v>
      </c>
      <c r="AY13" s="6" t="s">
        <v>222</v>
      </c>
      <c r="AZ13" s="6">
        <v>0.0</v>
      </c>
      <c r="BA13" s="6" t="s">
        <v>223</v>
      </c>
      <c r="BB13" s="6" t="s">
        <v>58</v>
      </c>
      <c r="BC13" s="10"/>
      <c r="BD13" s="11"/>
      <c r="BE13" s="10"/>
      <c r="BF13" s="11"/>
      <c r="BG13" s="6" t="s">
        <v>224</v>
      </c>
      <c r="BH13" s="6">
        <v>0.0</v>
      </c>
      <c r="BI13" s="6" t="str">
        <f t="shared" si="20"/>
        <v>ROSOV-26</v>
      </c>
      <c r="BJ13" s="6" t="s">
        <v>60</v>
      </c>
      <c r="BK13" s="6" t="s">
        <v>225</v>
      </c>
      <c r="BL13" s="6">
        <v>0.0</v>
      </c>
      <c r="BM13" s="6" t="s">
        <v>226</v>
      </c>
      <c r="BN13" s="6" t="s">
        <v>63</v>
      </c>
      <c r="BO13" s="10"/>
      <c r="BP13" s="11"/>
      <c r="BQ13" s="11"/>
      <c r="BR13" s="11"/>
      <c r="BS13" s="6" t="s">
        <v>227</v>
      </c>
      <c r="BT13" s="6">
        <v>1.0</v>
      </c>
      <c r="BU13" s="6" t="str">
        <f t="shared" si="21"/>
        <v>MOV-1201</v>
      </c>
      <c r="BV13" s="6" t="s">
        <v>65</v>
      </c>
      <c r="BW13" s="11"/>
      <c r="BX13" s="11"/>
      <c r="BY13" s="6" t="s">
        <v>228</v>
      </c>
      <c r="BZ13" s="6">
        <v>1.0</v>
      </c>
      <c r="CA13" s="6" t="str">
        <f t="shared" si="22"/>
        <v>MOV-1204</v>
      </c>
      <c r="CB13" s="6" t="s">
        <v>67</v>
      </c>
      <c r="CC13" s="11"/>
      <c r="CD13" s="11"/>
      <c r="CE13" s="11"/>
      <c r="CF13" s="11"/>
      <c r="CG13" s="6"/>
      <c r="CH13" s="6"/>
      <c r="CI13" s="11"/>
      <c r="CJ13" s="11"/>
      <c r="CK13" s="11"/>
      <c r="CL13" s="6"/>
    </row>
    <row r="14" ht="15.75" customHeight="1">
      <c r="A14" s="6">
        <v>1919.0</v>
      </c>
      <c r="B14" s="6" t="s">
        <v>35</v>
      </c>
      <c r="C14" s="6" t="str">
        <f t="shared" si="1"/>
        <v>51-TT-FR-002B_BS VI HSD</v>
      </c>
      <c r="D14" s="6" t="s">
        <v>229</v>
      </c>
      <c r="E14" s="6" t="s">
        <v>37</v>
      </c>
      <c r="F14" s="6" t="s">
        <v>38</v>
      </c>
      <c r="G14" s="7" t="s">
        <v>39</v>
      </c>
      <c r="H14" s="8">
        <v>0.0</v>
      </c>
      <c r="I14" s="6" t="s">
        <v>230</v>
      </c>
      <c r="J14" s="6"/>
      <c r="K14" s="6" t="str">
        <f t="shared" si="2"/>
        <v>51-TT-FR-002B</v>
      </c>
      <c r="L14" s="9" t="s">
        <v>41</v>
      </c>
      <c r="M14" s="6" t="s">
        <v>231</v>
      </c>
      <c r="N14" s="8"/>
      <c r="O14" s="6" t="s">
        <v>232</v>
      </c>
      <c r="P14" s="8">
        <v>0.0</v>
      </c>
      <c r="Q14" s="6" t="str">
        <f t="shared" si="13"/>
        <v>51-TT-FR-002B</v>
      </c>
      <c r="R14" s="9" t="s">
        <v>41</v>
      </c>
      <c r="S14" s="6" t="s">
        <v>233</v>
      </c>
      <c r="T14" s="8">
        <v>0.0</v>
      </c>
      <c r="U14" s="6" t="str">
        <f t="shared" si="14"/>
        <v>51-TT-FR-002B</v>
      </c>
      <c r="V14" s="9" t="s">
        <v>41</v>
      </c>
      <c r="W14" s="6" t="s">
        <v>234</v>
      </c>
      <c r="X14" s="8">
        <v>0.0</v>
      </c>
      <c r="Y14" s="6" t="str">
        <f t="shared" si="15"/>
        <v>LSW-14</v>
      </c>
      <c r="Z14" s="6" t="s">
        <v>46</v>
      </c>
      <c r="AA14" s="6" t="s">
        <v>235</v>
      </c>
      <c r="AB14" s="8">
        <v>0.0</v>
      </c>
      <c r="AC14" s="6" t="str">
        <f t="shared" si="16"/>
        <v>LSW-14</v>
      </c>
      <c r="AD14" s="6" t="s">
        <v>46</v>
      </c>
      <c r="AE14" s="6" t="s">
        <v>236</v>
      </c>
      <c r="AF14" s="8">
        <v>0.0</v>
      </c>
      <c r="AG14" s="6" t="str">
        <f t="shared" si="17"/>
        <v>LSW-14</v>
      </c>
      <c r="AH14" s="6" t="s">
        <v>46</v>
      </c>
      <c r="AI14" s="6" t="s">
        <v>237</v>
      </c>
      <c r="AJ14" s="8">
        <v>0.0</v>
      </c>
      <c r="AK14" s="6" t="str">
        <f t="shared" si="18"/>
        <v>RDR-14</v>
      </c>
      <c r="AL14" s="6" t="s">
        <v>50</v>
      </c>
      <c r="AM14" s="6" t="s">
        <v>238</v>
      </c>
      <c r="AN14" s="8">
        <v>0.0</v>
      </c>
      <c r="AO14" s="6" t="s">
        <v>239</v>
      </c>
      <c r="AP14" s="6" t="s">
        <v>50</v>
      </c>
      <c r="AQ14" s="6" t="s">
        <v>240</v>
      </c>
      <c r="AR14" s="6">
        <v>0.0</v>
      </c>
      <c r="AS14" s="6" t="s">
        <v>239</v>
      </c>
      <c r="AT14" s="6" t="s">
        <v>50</v>
      </c>
      <c r="AU14" s="6" t="s">
        <v>241</v>
      </c>
      <c r="AV14" s="6">
        <v>0.0</v>
      </c>
      <c r="AW14" s="6" t="str">
        <f t="shared" si="24"/>
        <v>ROSOV-27</v>
      </c>
      <c r="AX14" s="6" t="s">
        <v>55</v>
      </c>
      <c r="AY14" s="6" t="s">
        <v>242</v>
      </c>
      <c r="AZ14" s="6">
        <v>0.0</v>
      </c>
      <c r="BA14" s="6" t="s">
        <v>243</v>
      </c>
      <c r="BB14" s="6" t="s">
        <v>58</v>
      </c>
      <c r="BC14" s="10"/>
      <c r="BD14" s="11"/>
      <c r="BE14" s="10"/>
      <c r="BF14" s="11"/>
      <c r="BG14" s="6" t="s">
        <v>244</v>
      </c>
      <c r="BH14" s="6">
        <v>0.0</v>
      </c>
      <c r="BI14" s="6" t="str">
        <f t="shared" si="20"/>
        <v>ROSOV-28</v>
      </c>
      <c r="BJ14" s="6" t="s">
        <v>60</v>
      </c>
      <c r="BK14" s="6" t="s">
        <v>245</v>
      </c>
      <c r="BL14" s="6">
        <v>0.0</v>
      </c>
      <c r="BM14" s="6" t="s">
        <v>246</v>
      </c>
      <c r="BN14" s="6" t="s">
        <v>63</v>
      </c>
      <c r="BO14" s="10"/>
      <c r="BP14" s="11"/>
      <c r="BQ14" s="11"/>
      <c r="BR14" s="11"/>
      <c r="BS14" s="6" t="s">
        <v>247</v>
      </c>
      <c r="BT14" s="6">
        <v>1.0</v>
      </c>
      <c r="BU14" s="6" t="str">
        <f t="shared" si="21"/>
        <v>MOV-1202</v>
      </c>
      <c r="BV14" s="6" t="s">
        <v>65</v>
      </c>
      <c r="BW14" s="11"/>
      <c r="BX14" s="11"/>
      <c r="BY14" s="6" t="s">
        <v>248</v>
      </c>
      <c r="BZ14" s="6">
        <v>1.0</v>
      </c>
      <c r="CA14" s="6" t="str">
        <f t="shared" si="22"/>
        <v>MOV-1205</v>
      </c>
      <c r="CB14" s="6" t="s">
        <v>67</v>
      </c>
      <c r="CC14" s="11"/>
      <c r="CD14" s="11"/>
      <c r="CE14" s="11"/>
      <c r="CF14" s="11"/>
      <c r="CG14" s="6"/>
      <c r="CH14" s="6"/>
      <c r="CI14" s="11"/>
      <c r="CJ14" s="11"/>
      <c r="CK14" s="11"/>
      <c r="CL14" s="6"/>
    </row>
    <row r="15" ht="15.75" customHeight="1">
      <c r="A15" s="6">
        <v>1919.0</v>
      </c>
      <c r="B15" s="6" t="s">
        <v>35</v>
      </c>
      <c r="C15" s="6" t="str">
        <f t="shared" si="1"/>
        <v>51-TT-FR-003A_BS VI HSD</v>
      </c>
      <c r="D15" s="6" t="s">
        <v>249</v>
      </c>
      <c r="E15" s="6" t="s">
        <v>37</v>
      </c>
      <c r="F15" s="6" t="s">
        <v>38</v>
      </c>
      <c r="G15" s="7" t="s">
        <v>39</v>
      </c>
      <c r="H15" s="8">
        <v>0.0</v>
      </c>
      <c r="I15" s="6" t="s">
        <v>250</v>
      </c>
      <c r="J15" s="6"/>
      <c r="K15" s="6" t="str">
        <f t="shared" si="2"/>
        <v>51-TT-FR-003A</v>
      </c>
      <c r="L15" s="9" t="s">
        <v>41</v>
      </c>
      <c r="M15" s="6" t="s">
        <v>251</v>
      </c>
      <c r="N15" s="8">
        <v>0.0</v>
      </c>
      <c r="O15" s="6" t="s">
        <v>252</v>
      </c>
      <c r="P15" s="8">
        <v>0.0</v>
      </c>
      <c r="Q15" s="6" t="str">
        <f t="shared" si="13"/>
        <v>51-TT-FR-003A</v>
      </c>
      <c r="R15" s="9" t="s">
        <v>41</v>
      </c>
      <c r="S15" s="6" t="s">
        <v>253</v>
      </c>
      <c r="T15" s="8">
        <v>0.0</v>
      </c>
      <c r="U15" s="6" t="str">
        <f t="shared" si="14"/>
        <v>51-TT-FR-003A</v>
      </c>
      <c r="V15" s="9" t="s">
        <v>41</v>
      </c>
      <c r="W15" s="6" t="s">
        <v>254</v>
      </c>
      <c r="X15" s="8">
        <v>0.0</v>
      </c>
      <c r="Y15" s="6" t="str">
        <f t="shared" si="15"/>
        <v>LSW-09</v>
      </c>
      <c r="Z15" s="6" t="s">
        <v>46</v>
      </c>
      <c r="AA15" s="6" t="s">
        <v>255</v>
      </c>
      <c r="AB15" s="8">
        <v>0.0</v>
      </c>
      <c r="AC15" s="6" t="str">
        <f t="shared" si="16"/>
        <v>LSW-09</v>
      </c>
      <c r="AD15" s="6" t="s">
        <v>46</v>
      </c>
      <c r="AE15" s="6" t="s">
        <v>256</v>
      </c>
      <c r="AF15" s="8">
        <v>0.0</v>
      </c>
      <c r="AG15" s="6" t="str">
        <f t="shared" si="17"/>
        <v>LSW-09</v>
      </c>
      <c r="AH15" s="6" t="s">
        <v>46</v>
      </c>
      <c r="AI15" s="6" t="s">
        <v>257</v>
      </c>
      <c r="AJ15" s="8">
        <v>0.0</v>
      </c>
      <c r="AK15" s="6" t="str">
        <f t="shared" si="18"/>
        <v>RDR-09</v>
      </c>
      <c r="AL15" s="6" t="s">
        <v>50</v>
      </c>
      <c r="AM15" s="6" t="s">
        <v>258</v>
      </c>
      <c r="AN15" s="8">
        <v>0.0</v>
      </c>
      <c r="AO15" s="6" t="s">
        <v>259</v>
      </c>
      <c r="AP15" s="6" t="s">
        <v>50</v>
      </c>
      <c r="AQ15" s="6" t="s">
        <v>260</v>
      </c>
      <c r="AR15" s="6">
        <v>0.0</v>
      </c>
      <c r="AS15" s="6" t="s">
        <v>259</v>
      </c>
      <c r="AT15" s="6" t="s">
        <v>50</v>
      </c>
      <c r="AU15" s="6" t="s">
        <v>261</v>
      </c>
      <c r="AV15" s="6">
        <v>0.0</v>
      </c>
      <c r="AW15" s="6" t="str">
        <f t="shared" si="24"/>
        <v>ROSOV-17</v>
      </c>
      <c r="AX15" s="6" t="s">
        <v>55</v>
      </c>
      <c r="AY15" s="6" t="s">
        <v>262</v>
      </c>
      <c r="AZ15" s="6">
        <v>0.0</v>
      </c>
      <c r="BA15" s="6" t="s">
        <v>263</v>
      </c>
      <c r="BB15" s="6" t="s">
        <v>58</v>
      </c>
      <c r="BC15" s="10"/>
      <c r="BD15" s="11"/>
      <c r="BE15" s="10"/>
      <c r="BF15" s="11"/>
      <c r="BG15" s="6" t="s">
        <v>264</v>
      </c>
      <c r="BH15" s="6">
        <v>0.0</v>
      </c>
      <c r="BI15" s="6" t="str">
        <f t="shared" si="20"/>
        <v>ROSOV-18</v>
      </c>
      <c r="BJ15" s="6" t="s">
        <v>60</v>
      </c>
      <c r="BK15" s="6" t="s">
        <v>265</v>
      </c>
      <c r="BL15" s="6">
        <v>0.0</v>
      </c>
      <c r="BM15" s="6" t="s">
        <v>266</v>
      </c>
      <c r="BN15" s="6" t="s">
        <v>63</v>
      </c>
      <c r="BO15" s="10"/>
      <c r="BP15" s="11"/>
      <c r="BQ15" s="11"/>
      <c r="BR15" s="11"/>
      <c r="BS15" s="6" t="s">
        <v>267</v>
      </c>
      <c r="BT15" s="6">
        <v>1.0</v>
      </c>
      <c r="BU15" s="6" t="str">
        <f t="shared" si="21"/>
        <v>MOV-1301</v>
      </c>
      <c r="BV15" s="6" t="s">
        <v>65</v>
      </c>
      <c r="BW15" s="11"/>
      <c r="BX15" s="11"/>
      <c r="BY15" s="6" t="s">
        <v>268</v>
      </c>
      <c r="BZ15" s="6">
        <v>1.0</v>
      </c>
      <c r="CA15" s="6" t="str">
        <f t="shared" si="22"/>
        <v>MOV-1303</v>
      </c>
      <c r="CB15" s="6" t="s">
        <v>67</v>
      </c>
      <c r="CC15" s="11"/>
      <c r="CD15" s="11"/>
      <c r="CE15" s="11"/>
      <c r="CF15" s="11"/>
      <c r="CG15" s="6"/>
      <c r="CH15" s="6"/>
      <c r="CI15" s="11"/>
      <c r="CJ15" s="11"/>
      <c r="CK15" s="11"/>
      <c r="CL15" s="6"/>
    </row>
    <row r="16" ht="15.75" customHeight="1">
      <c r="A16" s="6">
        <v>1919.0</v>
      </c>
      <c r="B16" s="6" t="s">
        <v>35</v>
      </c>
      <c r="C16" s="6" t="str">
        <f t="shared" si="1"/>
        <v>51-TT-FR-003B_BS VI HSD</v>
      </c>
      <c r="D16" s="6" t="s">
        <v>269</v>
      </c>
      <c r="E16" s="6" t="s">
        <v>37</v>
      </c>
      <c r="F16" s="6" t="s">
        <v>38</v>
      </c>
      <c r="G16" s="7" t="s">
        <v>39</v>
      </c>
      <c r="H16" s="8">
        <v>0.0</v>
      </c>
      <c r="I16" s="6" t="s">
        <v>270</v>
      </c>
      <c r="J16" s="6"/>
      <c r="K16" s="6" t="str">
        <f t="shared" si="2"/>
        <v>51-TT-FR-003B</v>
      </c>
      <c r="L16" s="9" t="s">
        <v>41</v>
      </c>
      <c r="M16" s="6" t="s">
        <v>271</v>
      </c>
      <c r="N16" s="8">
        <v>0.0</v>
      </c>
      <c r="O16" s="6" t="s">
        <v>272</v>
      </c>
      <c r="P16" s="8">
        <v>0.0</v>
      </c>
      <c r="Q16" s="6" t="str">
        <f t="shared" si="13"/>
        <v>51-TT-FR-003B</v>
      </c>
      <c r="R16" s="9" t="s">
        <v>41</v>
      </c>
      <c r="S16" s="6" t="s">
        <v>273</v>
      </c>
      <c r="T16" s="8">
        <v>0.0</v>
      </c>
      <c r="U16" s="6" t="str">
        <f t="shared" si="14"/>
        <v>51-TT-FR-003B</v>
      </c>
      <c r="V16" s="9" t="s">
        <v>41</v>
      </c>
      <c r="W16" s="6" t="s">
        <v>274</v>
      </c>
      <c r="X16" s="8">
        <v>0.0</v>
      </c>
      <c r="Y16" s="6" t="str">
        <f t="shared" si="15"/>
        <v>LSW-06</v>
      </c>
      <c r="Z16" s="6" t="s">
        <v>46</v>
      </c>
      <c r="AA16" s="6" t="s">
        <v>275</v>
      </c>
      <c r="AB16" s="8">
        <v>0.0</v>
      </c>
      <c r="AC16" s="6" t="str">
        <f t="shared" si="16"/>
        <v>LSW-06</v>
      </c>
      <c r="AD16" s="6" t="s">
        <v>46</v>
      </c>
      <c r="AE16" s="6" t="s">
        <v>276</v>
      </c>
      <c r="AF16" s="8">
        <v>0.0</v>
      </c>
      <c r="AG16" s="6" t="str">
        <f t="shared" si="17"/>
        <v>LSW-06</v>
      </c>
      <c r="AH16" s="6" t="s">
        <v>46</v>
      </c>
      <c r="AI16" s="6" t="s">
        <v>277</v>
      </c>
      <c r="AJ16" s="8">
        <v>0.0</v>
      </c>
      <c r="AK16" s="6" t="str">
        <f t="shared" si="18"/>
        <v>RDR-06</v>
      </c>
      <c r="AL16" s="6" t="s">
        <v>50</v>
      </c>
      <c r="AM16" s="6" t="s">
        <v>278</v>
      </c>
      <c r="AN16" s="8">
        <v>0.0</v>
      </c>
      <c r="AO16" s="6" t="s">
        <v>279</v>
      </c>
      <c r="AP16" s="6" t="s">
        <v>50</v>
      </c>
      <c r="AQ16" s="6" t="s">
        <v>280</v>
      </c>
      <c r="AR16" s="6">
        <v>0.0</v>
      </c>
      <c r="AS16" s="6" t="s">
        <v>279</v>
      </c>
      <c r="AT16" s="6" t="s">
        <v>50</v>
      </c>
      <c r="AU16" s="6" t="s">
        <v>281</v>
      </c>
      <c r="AV16" s="6">
        <v>0.0</v>
      </c>
      <c r="AW16" s="6" t="str">
        <f t="shared" si="24"/>
        <v>ROSOV-11</v>
      </c>
      <c r="AX16" s="6" t="s">
        <v>55</v>
      </c>
      <c r="AY16" s="6" t="s">
        <v>282</v>
      </c>
      <c r="AZ16" s="6">
        <v>0.0</v>
      </c>
      <c r="BA16" s="6" t="s">
        <v>283</v>
      </c>
      <c r="BB16" s="6" t="s">
        <v>58</v>
      </c>
      <c r="BC16" s="10"/>
      <c r="BD16" s="11"/>
      <c r="BE16" s="10"/>
      <c r="BF16" s="11"/>
      <c r="BG16" s="6" t="s">
        <v>284</v>
      </c>
      <c r="BH16" s="6">
        <v>0.0</v>
      </c>
      <c r="BI16" s="6" t="str">
        <f t="shared" si="20"/>
        <v>ROSOV-12</v>
      </c>
      <c r="BJ16" s="6" t="s">
        <v>60</v>
      </c>
      <c r="BK16" s="6" t="s">
        <v>285</v>
      </c>
      <c r="BL16" s="6">
        <v>0.0</v>
      </c>
      <c r="BM16" s="6" t="s">
        <v>286</v>
      </c>
      <c r="BN16" s="6" t="s">
        <v>63</v>
      </c>
      <c r="BO16" s="10"/>
      <c r="BP16" s="11"/>
      <c r="BQ16" s="11"/>
      <c r="BR16" s="11"/>
      <c r="BS16" s="6" t="s">
        <v>287</v>
      </c>
      <c r="BT16" s="6">
        <v>1.0</v>
      </c>
      <c r="BU16" s="6" t="str">
        <f t="shared" si="21"/>
        <v>MOV-1302</v>
      </c>
      <c r="BV16" s="6" t="s">
        <v>65</v>
      </c>
      <c r="BW16" s="11"/>
      <c r="BX16" s="11"/>
      <c r="BY16" s="6" t="s">
        <v>288</v>
      </c>
      <c r="BZ16" s="6">
        <v>1.0</v>
      </c>
      <c r="CA16" s="6" t="str">
        <f t="shared" si="22"/>
        <v>MOV-1304</v>
      </c>
      <c r="CB16" s="6" t="s">
        <v>67</v>
      </c>
      <c r="CC16" s="11"/>
      <c r="CD16" s="11"/>
      <c r="CE16" s="11"/>
      <c r="CF16" s="11"/>
      <c r="CG16" s="6"/>
      <c r="CH16" s="6"/>
      <c r="CI16" s="11"/>
      <c r="CJ16" s="11"/>
      <c r="CK16" s="11"/>
      <c r="CL16" s="6"/>
    </row>
    <row r="17" ht="15.75" customHeight="1">
      <c r="A17" s="6">
        <v>1919.0</v>
      </c>
      <c r="B17" s="6" t="s">
        <v>35</v>
      </c>
      <c r="C17" s="6" t="str">
        <f t="shared" si="1"/>
        <v>51-TT-FR-003C_ETHANOL</v>
      </c>
      <c r="D17" s="6" t="s">
        <v>289</v>
      </c>
      <c r="E17" s="6" t="s">
        <v>37</v>
      </c>
      <c r="F17" s="6" t="s">
        <v>69</v>
      </c>
      <c r="G17" s="7" t="s">
        <v>39</v>
      </c>
      <c r="H17" s="8">
        <v>0.0</v>
      </c>
      <c r="I17" s="6" t="s">
        <v>290</v>
      </c>
      <c r="J17" s="6"/>
      <c r="K17" s="6" t="str">
        <f t="shared" si="2"/>
        <v>51-TT-FR-003C</v>
      </c>
      <c r="L17" s="9" t="s">
        <v>41</v>
      </c>
      <c r="M17" s="6" t="s">
        <v>291</v>
      </c>
      <c r="N17" s="8">
        <v>0.0</v>
      </c>
      <c r="O17" s="6" t="s">
        <v>292</v>
      </c>
      <c r="P17" s="8">
        <v>0.0</v>
      </c>
      <c r="Q17" s="6" t="str">
        <f t="shared" si="13"/>
        <v>51-TT-FR-003C</v>
      </c>
      <c r="R17" s="9" t="s">
        <v>41</v>
      </c>
      <c r="S17" s="6" t="s">
        <v>293</v>
      </c>
      <c r="T17" s="8">
        <v>0.0</v>
      </c>
      <c r="U17" s="6" t="str">
        <f t="shared" si="14"/>
        <v>51-TT-FR-003C</v>
      </c>
      <c r="V17" s="9" t="s">
        <v>41</v>
      </c>
      <c r="W17" s="6" t="s">
        <v>294</v>
      </c>
      <c r="X17" s="8">
        <v>0.0</v>
      </c>
      <c r="Y17" s="6" t="str">
        <f t="shared" si="15"/>
        <v>LSW-02</v>
      </c>
      <c r="Z17" s="6" t="s">
        <v>46</v>
      </c>
      <c r="AA17" s="6" t="s">
        <v>295</v>
      </c>
      <c r="AB17" s="8">
        <v>0.0</v>
      </c>
      <c r="AC17" s="6" t="str">
        <f t="shared" si="16"/>
        <v>LSW-02</v>
      </c>
      <c r="AD17" s="6" t="s">
        <v>46</v>
      </c>
      <c r="AE17" s="6" t="s">
        <v>296</v>
      </c>
      <c r="AF17" s="8">
        <v>0.0</v>
      </c>
      <c r="AG17" s="6" t="str">
        <f t="shared" si="17"/>
        <v>LSW-02</v>
      </c>
      <c r="AH17" s="6" t="s">
        <v>46</v>
      </c>
      <c r="AI17" s="6" t="s">
        <v>297</v>
      </c>
      <c r="AJ17" s="8">
        <v>0.0</v>
      </c>
      <c r="AK17" s="6" t="str">
        <f t="shared" si="18"/>
        <v>RDR-02</v>
      </c>
      <c r="AL17" s="6" t="s">
        <v>50</v>
      </c>
      <c r="AM17" s="6" t="s">
        <v>298</v>
      </c>
      <c r="AN17" s="8">
        <v>0.0</v>
      </c>
      <c r="AO17" s="6" t="s">
        <v>299</v>
      </c>
      <c r="AP17" s="6" t="s">
        <v>50</v>
      </c>
      <c r="AQ17" s="6" t="s">
        <v>300</v>
      </c>
      <c r="AR17" s="6">
        <v>0.0</v>
      </c>
      <c r="AS17" s="6" t="s">
        <v>299</v>
      </c>
      <c r="AT17" s="6" t="s">
        <v>50</v>
      </c>
      <c r="AU17" s="6" t="s">
        <v>301</v>
      </c>
      <c r="AV17" s="6">
        <v>0.0</v>
      </c>
      <c r="AW17" s="6" t="str">
        <f t="shared" si="24"/>
        <v>ROSOV-03</v>
      </c>
      <c r="AX17" s="6" t="s">
        <v>55</v>
      </c>
      <c r="AY17" s="6" t="s">
        <v>302</v>
      </c>
      <c r="AZ17" s="6">
        <v>0.0</v>
      </c>
      <c r="BA17" s="6" t="s">
        <v>303</v>
      </c>
      <c r="BB17" s="6" t="s">
        <v>58</v>
      </c>
      <c r="BC17" s="10"/>
      <c r="BD17" s="11"/>
      <c r="BE17" s="10"/>
      <c r="BF17" s="11"/>
      <c r="BG17" s="6" t="s">
        <v>304</v>
      </c>
      <c r="BH17" s="6">
        <v>0.0</v>
      </c>
      <c r="BI17" s="6" t="str">
        <f t="shared" si="20"/>
        <v>ROSOV-04</v>
      </c>
      <c r="BJ17" s="6" t="s">
        <v>60</v>
      </c>
      <c r="BK17" s="6" t="s">
        <v>305</v>
      </c>
      <c r="BL17" s="6">
        <v>0.0</v>
      </c>
      <c r="BM17" s="6" t="s">
        <v>306</v>
      </c>
      <c r="BN17" s="6" t="s">
        <v>63</v>
      </c>
      <c r="BO17" s="10"/>
      <c r="BP17" s="11"/>
      <c r="BQ17" s="11"/>
      <c r="BR17" s="11"/>
      <c r="BS17" s="6" t="s">
        <v>307</v>
      </c>
      <c r="BT17" s="6">
        <v>1.0</v>
      </c>
      <c r="BU17" s="6" t="str">
        <f t="shared" si="21"/>
        <v>MOV-1305</v>
      </c>
      <c r="BV17" s="6" t="s">
        <v>65</v>
      </c>
      <c r="BW17" s="11"/>
      <c r="BX17" s="11"/>
      <c r="BY17" s="6" t="s">
        <v>308</v>
      </c>
      <c r="BZ17" s="6">
        <v>1.0</v>
      </c>
      <c r="CA17" s="6" t="str">
        <f t="shared" si="22"/>
        <v>MOV-1306</v>
      </c>
      <c r="CB17" s="6" t="s">
        <v>67</v>
      </c>
      <c r="CC17" s="11"/>
      <c r="CD17" s="11"/>
      <c r="CE17" s="6" t="s">
        <v>309</v>
      </c>
      <c r="CF17" s="6">
        <v>0.0</v>
      </c>
      <c r="CG17" s="6" t="str">
        <f>MID(CE17, SEARCH(".", CE17) + 1, SEARCH(".FIRE", CE17) - SEARCH(".", CE17) - 1)</f>
        <v>RIMSEAL-04</v>
      </c>
      <c r="CH17" s="6" t="s">
        <v>141</v>
      </c>
      <c r="CI17" s="6" t="s">
        <v>310</v>
      </c>
      <c r="CJ17" s="6">
        <v>0.0</v>
      </c>
      <c r="CK17" s="6" t="s">
        <v>311</v>
      </c>
      <c r="CL17" s="6" t="s">
        <v>141</v>
      </c>
    </row>
    <row r="18" ht="15.75" customHeight="1">
      <c r="A18" s="6">
        <v>1919.0</v>
      </c>
      <c r="B18" s="6" t="s">
        <v>35</v>
      </c>
      <c r="C18" s="6" t="str">
        <f t="shared" si="1"/>
        <v>51-TT-FR-003E_BS VI HSD</v>
      </c>
      <c r="D18" s="6" t="s">
        <v>312</v>
      </c>
      <c r="E18" s="6" t="s">
        <v>37</v>
      </c>
      <c r="F18" s="6" t="s">
        <v>38</v>
      </c>
      <c r="G18" s="7" t="s">
        <v>39</v>
      </c>
      <c r="H18" s="8">
        <v>0.0</v>
      </c>
      <c r="I18" s="6" t="s">
        <v>313</v>
      </c>
      <c r="J18" s="6"/>
      <c r="K18" s="6" t="str">
        <f t="shared" si="2"/>
        <v>51-TT-FR-003E</v>
      </c>
      <c r="L18" s="9" t="s">
        <v>41</v>
      </c>
      <c r="M18" s="6" t="s">
        <v>314</v>
      </c>
      <c r="N18" s="8">
        <v>0.0</v>
      </c>
      <c r="O18" s="6" t="s">
        <v>315</v>
      </c>
      <c r="P18" s="8">
        <v>0.0</v>
      </c>
      <c r="Q18" s="6" t="str">
        <f t="shared" si="13"/>
        <v>51-TT-FR-003E</v>
      </c>
      <c r="R18" s="9" t="s">
        <v>41</v>
      </c>
      <c r="S18" s="6" t="s">
        <v>316</v>
      </c>
      <c r="T18" s="8">
        <v>0.0</v>
      </c>
      <c r="U18" s="6" t="str">
        <f t="shared" si="14"/>
        <v>51-TT-FR-003E</v>
      </c>
      <c r="V18" s="9" t="s">
        <v>41</v>
      </c>
      <c r="W18" s="6" t="s">
        <v>317</v>
      </c>
      <c r="X18" s="8">
        <v>0.0</v>
      </c>
      <c r="Y18" s="6" t="str">
        <f t="shared" si="15"/>
        <v>LSW-11</v>
      </c>
      <c r="Z18" s="6" t="s">
        <v>46</v>
      </c>
      <c r="AA18" s="6" t="s">
        <v>318</v>
      </c>
      <c r="AB18" s="8">
        <v>0.0</v>
      </c>
      <c r="AC18" s="6" t="str">
        <f t="shared" si="16"/>
        <v>LSW-11</v>
      </c>
      <c r="AD18" s="6" t="s">
        <v>46</v>
      </c>
      <c r="AE18" s="6" t="s">
        <v>319</v>
      </c>
      <c r="AF18" s="8">
        <v>0.0</v>
      </c>
      <c r="AG18" s="6" t="str">
        <f t="shared" si="17"/>
        <v>LSW-11</v>
      </c>
      <c r="AH18" s="6" t="s">
        <v>46</v>
      </c>
      <c r="AI18" s="6" t="s">
        <v>320</v>
      </c>
      <c r="AJ18" s="8">
        <v>0.0</v>
      </c>
      <c r="AK18" s="6" t="str">
        <f t="shared" si="18"/>
        <v>RDR-11</v>
      </c>
      <c r="AL18" s="6" t="s">
        <v>50</v>
      </c>
      <c r="AM18" s="6" t="s">
        <v>321</v>
      </c>
      <c r="AN18" s="8">
        <v>0.0</v>
      </c>
      <c r="AO18" s="6" t="s">
        <v>322</v>
      </c>
      <c r="AP18" s="6" t="s">
        <v>50</v>
      </c>
      <c r="AQ18" s="6" t="s">
        <v>323</v>
      </c>
      <c r="AR18" s="6">
        <v>0.0</v>
      </c>
      <c r="AS18" s="6" t="s">
        <v>322</v>
      </c>
      <c r="AT18" s="6" t="s">
        <v>50</v>
      </c>
      <c r="AU18" s="6" t="s">
        <v>324</v>
      </c>
      <c r="AV18" s="6">
        <v>0.0</v>
      </c>
      <c r="AW18" s="6" t="str">
        <f t="shared" si="24"/>
        <v>ROSOV-21</v>
      </c>
      <c r="AX18" s="6" t="s">
        <v>55</v>
      </c>
      <c r="AY18" s="6" t="s">
        <v>325</v>
      </c>
      <c r="AZ18" s="6">
        <v>0.0</v>
      </c>
      <c r="BA18" s="6" t="s">
        <v>326</v>
      </c>
      <c r="BB18" s="6" t="s">
        <v>58</v>
      </c>
      <c r="BC18" s="10"/>
      <c r="BD18" s="11"/>
      <c r="BE18" s="10"/>
      <c r="BF18" s="11"/>
      <c r="BG18" s="6" t="s">
        <v>327</v>
      </c>
      <c r="BH18" s="6">
        <v>0.0</v>
      </c>
      <c r="BI18" s="6" t="str">
        <f t="shared" si="20"/>
        <v>ROSOV-22</v>
      </c>
      <c r="BJ18" s="6" t="s">
        <v>60</v>
      </c>
      <c r="BK18" s="6" t="s">
        <v>328</v>
      </c>
      <c r="BL18" s="6">
        <v>0.0</v>
      </c>
      <c r="BM18" s="6" t="s">
        <v>329</v>
      </c>
      <c r="BN18" s="6" t="s">
        <v>63</v>
      </c>
      <c r="BO18" s="10"/>
      <c r="BP18" s="11"/>
      <c r="BQ18" s="11"/>
      <c r="BR18" s="11"/>
      <c r="BS18" s="6" t="s">
        <v>330</v>
      </c>
      <c r="BT18" s="6">
        <v>1.0</v>
      </c>
      <c r="BU18" s="6" t="str">
        <f t="shared" si="21"/>
        <v>MOV-1309</v>
      </c>
      <c r="BV18" s="6" t="s">
        <v>65</v>
      </c>
      <c r="BW18" s="11"/>
      <c r="BX18" s="11"/>
      <c r="BY18" s="6" t="s">
        <v>331</v>
      </c>
      <c r="BZ18" s="6">
        <v>1.0</v>
      </c>
      <c r="CA18" s="6" t="str">
        <f t="shared" si="22"/>
        <v>MOV-1310</v>
      </c>
      <c r="CB18" s="6" t="s">
        <v>67</v>
      </c>
      <c r="CC18" s="11"/>
      <c r="CD18" s="11"/>
      <c r="CE18" s="11"/>
      <c r="CF18" s="11"/>
      <c r="CG18" s="6"/>
      <c r="CH18" s="6"/>
      <c r="CI18" s="11"/>
      <c r="CJ18" s="11"/>
      <c r="CK18" s="11"/>
      <c r="CL18" s="6"/>
    </row>
    <row r="19" ht="15.75" customHeight="1">
      <c r="A19" s="6">
        <v>1919.0</v>
      </c>
      <c r="B19" s="6" t="s">
        <v>35</v>
      </c>
      <c r="C19" s="6" t="str">
        <f t="shared" si="1"/>
        <v>51-TT-FR-004A_ATF</v>
      </c>
      <c r="D19" s="6" t="s">
        <v>332</v>
      </c>
      <c r="E19" s="6" t="s">
        <v>37</v>
      </c>
      <c r="F19" s="6" t="s">
        <v>333</v>
      </c>
      <c r="G19" s="7" t="s">
        <v>39</v>
      </c>
      <c r="H19" s="8">
        <v>0.0</v>
      </c>
      <c r="I19" s="6" t="s">
        <v>334</v>
      </c>
      <c r="J19" s="6"/>
      <c r="K19" s="6" t="str">
        <f t="shared" si="2"/>
        <v>51-TT-FR-004A</v>
      </c>
      <c r="L19" s="9" t="s">
        <v>41</v>
      </c>
      <c r="M19" s="6" t="s">
        <v>335</v>
      </c>
      <c r="N19" s="8">
        <v>0.0</v>
      </c>
      <c r="O19" s="6" t="s">
        <v>336</v>
      </c>
      <c r="P19" s="8">
        <v>0.0</v>
      </c>
      <c r="Q19" s="6" t="str">
        <f t="shared" si="13"/>
        <v>51-TT-FR-004A</v>
      </c>
      <c r="R19" s="9" t="s">
        <v>41</v>
      </c>
      <c r="S19" s="6" t="s">
        <v>337</v>
      </c>
      <c r="T19" s="8">
        <v>0.0</v>
      </c>
      <c r="U19" s="6" t="str">
        <f t="shared" si="14"/>
        <v>51-TT-FR-004A</v>
      </c>
      <c r="V19" s="9" t="s">
        <v>41</v>
      </c>
      <c r="W19" s="6" t="s">
        <v>338</v>
      </c>
      <c r="X19" s="8">
        <v>0.0</v>
      </c>
      <c r="Y19" s="6" t="str">
        <f t="shared" si="15"/>
        <v>LSW-07</v>
      </c>
      <c r="Z19" s="6" t="s">
        <v>46</v>
      </c>
      <c r="AA19" s="6" t="s">
        <v>339</v>
      </c>
      <c r="AB19" s="8">
        <v>0.0</v>
      </c>
      <c r="AC19" s="6" t="str">
        <f t="shared" si="16"/>
        <v>LSW-07</v>
      </c>
      <c r="AD19" s="6" t="s">
        <v>46</v>
      </c>
      <c r="AE19" s="6" t="s">
        <v>340</v>
      </c>
      <c r="AF19" s="8">
        <v>0.0</v>
      </c>
      <c r="AG19" s="6" t="str">
        <f t="shared" si="17"/>
        <v>LSW-07</v>
      </c>
      <c r="AH19" s="6" t="s">
        <v>46</v>
      </c>
      <c r="AI19" s="6" t="s">
        <v>341</v>
      </c>
      <c r="AJ19" s="8">
        <v>0.0</v>
      </c>
      <c r="AK19" s="6" t="str">
        <f t="shared" si="18"/>
        <v>RDR-07</v>
      </c>
      <c r="AL19" s="6" t="s">
        <v>50</v>
      </c>
      <c r="AM19" s="6" t="s">
        <v>342</v>
      </c>
      <c r="AN19" s="8">
        <v>0.0</v>
      </c>
      <c r="AO19" s="6" t="s">
        <v>343</v>
      </c>
      <c r="AP19" s="6" t="s">
        <v>50</v>
      </c>
      <c r="AQ19" s="6" t="s">
        <v>344</v>
      </c>
      <c r="AR19" s="6">
        <v>0.0</v>
      </c>
      <c r="AS19" s="6" t="s">
        <v>343</v>
      </c>
      <c r="AT19" s="6" t="s">
        <v>50</v>
      </c>
      <c r="AU19" s="6" t="s">
        <v>345</v>
      </c>
      <c r="AV19" s="6">
        <v>0.0</v>
      </c>
      <c r="AW19" s="6" t="str">
        <f t="shared" si="24"/>
        <v>ROSOV-13</v>
      </c>
      <c r="AX19" s="6" t="s">
        <v>55</v>
      </c>
      <c r="AY19" s="6" t="s">
        <v>346</v>
      </c>
      <c r="AZ19" s="6">
        <v>0.0</v>
      </c>
      <c r="BA19" s="6" t="s">
        <v>347</v>
      </c>
      <c r="BB19" s="6" t="s">
        <v>58</v>
      </c>
      <c r="BC19" s="10"/>
      <c r="BD19" s="11"/>
      <c r="BE19" s="10"/>
      <c r="BF19" s="11"/>
      <c r="BG19" s="6" t="s">
        <v>348</v>
      </c>
      <c r="BH19" s="6">
        <v>0.0</v>
      </c>
      <c r="BI19" s="6" t="str">
        <f t="shared" si="20"/>
        <v>ROSOV-14</v>
      </c>
      <c r="BJ19" s="6" t="s">
        <v>60</v>
      </c>
      <c r="BK19" s="6" t="s">
        <v>349</v>
      </c>
      <c r="BL19" s="6">
        <v>0.0</v>
      </c>
      <c r="BM19" s="6" t="s">
        <v>350</v>
      </c>
      <c r="BN19" s="6" t="s">
        <v>63</v>
      </c>
      <c r="BO19" s="10"/>
      <c r="BP19" s="11"/>
      <c r="BQ19" s="11"/>
      <c r="BR19" s="11"/>
      <c r="BS19" s="6" t="s">
        <v>351</v>
      </c>
      <c r="BT19" s="6">
        <v>1.0</v>
      </c>
      <c r="BU19" s="6" t="str">
        <f t="shared" si="21"/>
        <v>MOV-1401</v>
      </c>
      <c r="BV19" s="6" t="s">
        <v>65</v>
      </c>
      <c r="BW19" s="11"/>
      <c r="BX19" s="11"/>
      <c r="BY19" s="6" t="s">
        <v>352</v>
      </c>
      <c r="BZ19" s="6">
        <v>1.0</v>
      </c>
      <c r="CA19" s="6" t="str">
        <f t="shared" si="22"/>
        <v>MOV-1404</v>
      </c>
      <c r="CB19" s="6" t="s">
        <v>67</v>
      </c>
      <c r="CC19" s="11"/>
      <c r="CD19" s="11"/>
      <c r="CE19" s="11"/>
      <c r="CF19" s="11"/>
      <c r="CG19" s="6"/>
      <c r="CH19" s="6"/>
      <c r="CI19" s="11"/>
      <c r="CJ19" s="11"/>
      <c r="CK19" s="11"/>
      <c r="CL19" s="6"/>
    </row>
    <row r="20" ht="15.75" customHeight="1">
      <c r="A20" s="6">
        <v>1919.0</v>
      </c>
      <c r="B20" s="6" t="s">
        <v>35</v>
      </c>
      <c r="C20" s="6" t="str">
        <f t="shared" si="1"/>
        <v>51-TT-FR-004B_ATF</v>
      </c>
      <c r="D20" s="6" t="s">
        <v>353</v>
      </c>
      <c r="E20" s="6" t="s">
        <v>37</v>
      </c>
      <c r="F20" s="6" t="s">
        <v>333</v>
      </c>
      <c r="G20" s="7" t="s">
        <v>39</v>
      </c>
      <c r="H20" s="8">
        <v>0.0</v>
      </c>
      <c r="I20" s="6" t="s">
        <v>354</v>
      </c>
      <c r="J20" s="6"/>
      <c r="K20" s="6" t="str">
        <f t="shared" si="2"/>
        <v>51-TT-FR-004B</v>
      </c>
      <c r="L20" s="9" t="s">
        <v>41</v>
      </c>
      <c r="M20" s="6" t="s">
        <v>355</v>
      </c>
      <c r="N20" s="8">
        <v>0.0</v>
      </c>
      <c r="O20" s="6" t="s">
        <v>356</v>
      </c>
      <c r="P20" s="8">
        <v>0.0</v>
      </c>
      <c r="Q20" s="6" t="str">
        <f t="shared" si="13"/>
        <v>51-TT-FR-004B</v>
      </c>
      <c r="R20" s="9" t="s">
        <v>41</v>
      </c>
      <c r="S20" s="6" t="s">
        <v>357</v>
      </c>
      <c r="T20" s="8">
        <v>0.0</v>
      </c>
      <c r="U20" s="6" t="str">
        <f t="shared" si="14"/>
        <v>51-TT-FR-004B</v>
      </c>
      <c r="V20" s="9" t="s">
        <v>41</v>
      </c>
      <c r="W20" s="6" t="s">
        <v>358</v>
      </c>
      <c r="X20" s="8">
        <v>0.0</v>
      </c>
      <c r="Y20" s="6" t="str">
        <f t="shared" si="15"/>
        <v>LSW-10</v>
      </c>
      <c r="Z20" s="6" t="s">
        <v>46</v>
      </c>
      <c r="AA20" s="6" t="s">
        <v>359</v>
      </c>
      <c r="AB20" s="8">
        <v>0.0</v>
      </c>
      <c r="AC20" s="6" t="str">
        <f t="shared" si="16"/>
        <v>LSW-10</v>
      </c>
      <c r="AD20" s="6" t="s">
        <v>46</v>
      </c>
      <c r="AE20" s="6" t="s">
        <v>360</v>
      </c>
      <c r="AF20" s="8">
        <v>0.0</v>
      </c>
      <c r="AG20" s="6" t="str">
        <f t="shared" si="17"/>
        <v>LSW-10</v>
      </c>
      <c r="AH20" s="6" t="s">
        <v>46</v>
      </c>
      <c r="AI20" s="6" t="s">
        <v>361</v>
      </c>
      <c r="AJ20" s="8">
        <v>0.0</v>
      </c>
      <c r="AK20" s="6" t="str">
        <f t="shared" si="18"/>
        <v>RDR-10</v>
      </c>
      <c r="AL20" s="6" t="s">
        <v>50</v>
      </c>
      <c r="AM20" s="6" t="s">
        <v>362</v>
      </c>
      <c r="AN20" s="8">
        <v>0.0</v>
      </c>
      <c r="AO20" s="6" t="s">
        <v>363</v>
      </c>
      <c r="AP20" s="6" t="s">
        <v>50</v>
      </c>
      <c r="AQ20" s="6" t="s">
        <v>364</v>
      </c>
      <c r="AR20" s="6">
        <v>0.0</v>
      </c>
      <c r="AS20" s="6" t="s">
        <v>363</v>
      </c>
      <c r="AT20" s="6" t="s">
        <v>50</v>
      </c>
      <c r="AU20" s="6" t="s">
        <v>365</v>
      </c>
      <c r="AV20" s="6">
        <v>0.0</v>
      </c>
      <c r="AW20" s="6" t="str">
        <f t="shared" si="24"/>
        <v>ROSOV-19</v>
      </c>
      <c r="AX20" s="6" t="s">
        <v>55</v>
      </c>
      <c r="AY20" s="6" t="s">
        <v>366</v>
      </c>
      <c r="AZ20" s="6">
        <v>0.0</v>
      </c>
      <c r="BA20" s="6" t="s">
        <v>367</v>
      </c>
      <c r="BB20" s="6" t="s">
        <v>58</v>
      </c>
      <c r="BC20" s="10"/>
      <c r="BD20" s="11"/>
      <c r="BE20" s="10"/>
      <c r="BF20" s="11"/>
      <c r="BG20" s="6" t="s">
        <v>368</v>
      </c>
      <c r="BH20" s="6">
        <v>0.0</v>
      </c>
      <c r="BI20" s="6" t="str">
        <f t="shared" si="20"/>
        <v>ROSOV-20</v>
      </c>
      <c r="BJ20" s="6" t="s">
        <v>60</v>
      </c>
      <c r="BK20" s="6" t="s">
        <v>369</v>
      </c>
      <c r="BL20" s="6">
        <v>0.0</v>
      </c>
      <c r="BM20" s="6" t="s">
        <v>370</v>
      </c>
      <c r="BN20" s="6" t="s">
        <v>63</v>
      </c>
      <c r="BO20" s="10"/>
      <c r="BP20" s="11"/>
      <c r="BQ20" s="11"/>
      <c r="BR20" s="11"/>
      <c r="BS20" s="6" t="s">
        <v>371</v>
      </c>
      <c r="BT20" s="6">
        <v>1.0</v>
      </c>
      <c r="BU20" s="6" t="str">
        <f t="shared" si="21"/>
        <v>MOV-1402</v>
      </c>
      <c r="BV20" s="6" t="s">
        <v>65</v>
      </c>
      <c r="BW20" s="11"/>
      <c r="BX20" s="11"/>
      <c r="BY20" s="6" t="s">
        <v>372</v>
      </c>
      <c r="BZ20" s="6">
        <v>1.0</v>
      </c>
      <c r="CA20" s="6" t="str">
        <f t="shared" si="22"/>
        <v>MOV-1405</v>
      </c>
      <c r="CB20" s="6" t="s">
        <v>67</v>
      </c>
      <c r="CC20" s="11"/>
      <c r="CD20" s="11"/>
      <c r="CE20" s="11"/>
      <c r="CF20" s="11"/>
      <c r="CG20" s="6"/>
      <c r="CH20" s="6"/>
      <c r="CI20" s="11"/>
      <c r="CJ20" s="11"/>
      <c r="CK20" s="11"/>
      <c r="CL20" s="6"/>
    </row>
    <row r="21" ht="15.75" customHeight="1">
      <c r="A21" s="6">
        <v>1919.0</v>
      </c>
      <c r="B21" s="6" t="s">
        <v>35</v>
      </c>
      <c r="C21" s="6" t="str">
        <f t="shared" si="1"/>
        <v>51-TT-FR-004C_BS VI MS</v>
      </c>
      <c r="D21" s="6" t="s">
        <v>373</v>
      </c>
      <c r="E21" s="6" t="s">
        <v>37</v>
      </c>
      <c r="F21" s="6" t="s">
        <v>120</v>
      </c>
      <c r="G21" s="7" t="s">
        <v>39</v>
      </c>
      <c r="H21" s="8">
        <v>0.0</v>
      </c>
      <c r="I21" s="6" t="s">
        <v>374</v>
      </c>
      <c r="J21" s="6"/>
      <c r="K21" s="6" t="str">
        <f t="shared" si="2"/>
        <v>51-TT-FR-004C</v>
      </c>
      <c r="L21" s="9" t="s">
        <v>41</v>
      </c>
      <c r="M21" s="6" t="s">
        <v>375</v>
      </c>
      <c r="N21" s="8">
        <v>0.0</v>
      </c>
      <c r="O21" s="6" t="s">
        <v>376</v>
      </c>
      <c r="P21" s="8">
        <v>0.0</v>
      </c>
      <c r="Q21" s="6" t="str">
        <f t="shared" si="13"/>
        <v>51-TT-FR-004C</v>
      </c>
      <c r="R21" s="9" t="s">
        <v>41</v>
      </c>
      <c r="S21" s="6" t="s">
        <v>377</v>
      </c>
      <c r="T21" s="8">
        <v>0.0</v>
      </c>
      <c r="U21" s="6" t="str">
        <f t="shared" si="14"/>
        <v>51-TT-FR-004C</v>
      </c>
      <c r="V21" s="9" t="s">
        <v>41</v>
      </c>
      <c r="W21" s="6" t="s">
        <v>378</v>
      </c>
      <c r="X21" s="8">
        <v>0.0</v>
      </c>
      <c r="Y21" s="6" t="str">
        <f t="shared" si="15"/>
        <v>LSW-05</v>
      </c>
      <c r="Z21" s="6" t="s">
        <v>46</v>
      </c>
      <c r="AA21" s="6" t="s">
        <v>379</v>
      </c>
      <c r="AB21" s="8">
        <v>0.0</v>
      </c>
      <c r="AC21" s="6" t="str">
        <f t="shared" si="16"/>
        <v>LSW-05</v>
      </c>
      <c r="AD21" s="6" t="s">
        <v>46</v>
      </c>
      <c r="AE21" s="6" t="s">
        <v>380</v>
      </c>
      <c r="AF21" s="8">
        <v>0.0</v>
      </c>
      <c r="AG21" s="6" t="str">
        <f t="shared" si="17"/>
        <v>LSW-05</v>
      </c>
      <c r="AH21" s="6" t="s">
        <v>46</v>
      </c>
      <c r="AI21" s="6" t="s">
        <v>381</v>
      </c>
      <c r="AJ21" s="8">
        <v>0.0</v>
      </c>
      <c r="AK21" s="6" t="str">
        <f t="shared" si="18"/>
        <v>RDR-05</v>
      </c>
      <c r="AL21" s="6" t="s">
        <v>50</v>
      </c>
      <c r="AM21" s="6" t="s">
        <v>382</v>
      </c>
      <c r="AN21" s="8">
        <v>0.0</v>
      </c>
      <c r="AO21" s="6" t="s">
        <v>383</v>
      </c>
      <c r="AP21" s="6" t="s">
        <v>50</v>
      </c>
      <c r="AQ21" s="6" t="s">
        <v>384</v>
      </c>
      <c r="AR21" s="6">
        <v>0.0</v>
      </c>
      <c r="AS21" s="6" t="s">
        <v>383</v>
      </c>
      <c r="AT21" s="6" t="s">
        <v>50</v>
      </c>
      <c r="AU21" s="6" t="s">
        <v>385</v>
      </c>
      <c r="AV21" s="6">
        <v>0.0</v>
      </c>
      <c r="AW21" s="6" t="str">
        <f t="shared" si="24"/>
        <v>ROSOV-09</v>
      </c>
      <c r="AX21" s="6" t="s">
        <v>55</v>
      </c>
      <c r="AY21" s="6" t="s">
        <v>386</v>
      </c>
      <c r="AZ21" s="6">
        <v>0.0</v>
      </c>
      <c r="BA21" s="6" t="s">
        <v>387</v>
      </c>
      <c r="BB21" s="6" t="s">
        <v>58</v>
      </c>
      <c r="BC21" s="10"/>
      <c r="BD21" s="11"/>
      <c r="BE21" s="10"/>
      <c r="BF21" s="11"/>
      <c r="BG21" s="6" t="s">
        <v>388</v>
      </c>
      <c r="BH21" s="6">
        <v>0.0</v>
      </c>
      <c r="BI21" s="6" t="str">
        <f t="shared" si="20"/>
        <v>ROSOV-10</v>
      </c>
      <c r="BJ21" s="6" t="s">
        <v>60</v>
      </c>
      <c r="BK21" s="6" t="s">
        <v>389</v>
      </c>
      <c r="BL21" s="6">
        <v>0.0</v>
      </c>
      <c r="BM21" s="6" t="s">
        <v>390</v>
      </c>
      <c r="BN21" s="6" t="s">
        <v>63</v>
      </c>
      <c r="BO21" s="10"/>
      <c r="BP21" s="11"/>
      <c r="BQ21" s="11"/>
      <c r="BR21" s="11"/>
      <c r="BS21" s="6" t="s">
        <v>391</v>
      </c>
      <c r="BT21" s="6">
        <v>1.0</v>
      </c>
      <c r="BU21" s="6" t="str">
        <f t="shared" si="21"/>
        <v>MOV-1403</v>
      </c>
      <c r="BV21" s="6" t="s">
        <v>65</v>
      </c>
      <c r="BW21" s="11"/>
      <c r="BX21" s="11"/>
      <c r="BY21" s="6" t="s">
        <v>392</v>
      </c>
      <c r="BZ21" s="6">
        <v>1.0</v>
      </c>
      <c r="CA21" s="6" t="str">
        <f t="shared" si="22"/>
        <v>MOV-1406</v>
      </c>
      <c r="CB21" s="6" t="s">
        <v>67</v>
      </c>
      <c r="CC21" s="11"/>
      <c r="CD21" s="11"/>
      <c r="CE21" s="6" t="s">
        <v>393</v>
      </c>
      <c r="CF21" s="6">
        <v>0.0</v>
      </c>
      <c r="CG21" s="6" t="str">
        <f>MID(CE21, SEARCH(".", CE21) + 1, SEARCH(".FIRE", CE21) - SEARCH(".", CE21) - 1)</f>
        <v>RIMSEAL-05</v>
      </c>
      <c r="CH21" s="6" t="s">
        <v>141</v>
      </c>
      <c r="CI21" s="6" t="s">
        <v>394</v>
      </c>
      <c r="CJ21" s="6">
        <v>0.0</v>
      </c>
      <c r="CK21" s="6" t="s">
        <v>395</v>
      </c>
      <c r="CL21" s="6" t="s">
        <v>141</v>
      </c>
    </row>
    <row r="22" ht="15.75" customHeight="1">
      <c r="A22" s="6">
        <v>1919.0</v>
      </c>
      <c r="B22" s="6" t="s">
        <v>35</v>
      </c>
      <c r="C22" s="6" t="str">
        <f t="shared" si="1"/>
        <v>51-TT-FR-005C_ETHANOL</v>
      </c>
      <c r="D22" s="6" t="s">
        <v>396</v>
      </c>
      <c r="E22" s="6" t="s">
        <v>37</v>
      </c>
      <c r="F22" s="6" t="s">
        <v>69</v>
      </c>
      <c r="G22" s="7" t="s">
        <v>39</v>
      </c>
      <c r="H22" s="8">
        <v>0.0</v>
      </c>
      <c r="I22" s="6" t="s">
        <v>397</v>
      </c>
      <c r="J22" s="6"/>
      <c r="K22" s="6" t="str">
        <f t="shared" si="2"/>
        <v>51-TT-FR-005C</v>
      </c>
      <c r="L22" s="9" t="s">
        <v>41</v>
      </c>
      <c r="M22" s="6" t="s">
        <v>398</v>
      </c>
      <c r="N22" s="8">
        <v>0.0</v>
      </c>
      <c r="O22" s="6" t="s">
        <v>399</v>
      </c>
      <c r="P22" s="8">
        <v>0.0</v>
      </c>
      <c r="Q22" s="6" t="str">
        <f t="shared" si="13"/>
        <v>51-TT-FR-005C</v>
      </c>
      <c r="R22" s="9" t="s">
        <v>41</v>
      </c>
      <c r="S22" s="6" t="s">
        <v>400</v>
      </c>
      <c r="T22" s="8">
        <v>0.0</v>
      </c>
      <c r="U22" s="6" t="str">
        <f t="shared" si="14"/>
        <v>51-TT-FR-005C</v>
      </c>
      <c r="V22" s="9" t="s">
        <v>41</v>
      </c>
      <c r="W22" s="6" t="s">
        <v>401</v>
      </c>
      <c r="X22" s="8">
        <v>0.0</v>
      </c>
      <c r="Y22" s="6" t="str">
        <f t="shared" si="15"/>
        <v>LSW-16</v>
      </c>
      <c r="Z22" s="6" t="s">
        <v>46</v>
      </c>
      <c r="AA22" s="6" t="s">
        <v>402</v>
      </c>
      <c r="AB22" s="8">
        <v>0.0</v>
      </c>
      <c r="AC22" s="6" t="str">
        <f t="shared" si="16"/>
        <v>LSW-16</v>
      </c>
      <c r="AD22" s="6" t="s">
        <v>46</v>
      </c>
      <c r="AE22" s="6" t="s">
        <v>403</v>
      </c>
      <c r="AF22" s="8">
        <v>0.0</v>
      </c>
      <c r="AG22" s="6" t="str">
        <f t="shared" si="17"/>
        <v>LSW-16</v>
      </c>
      <c r="AH22" s="6" t="s">
        <v>46</v>
      </c>
      <c r="AI22" s="6" t="s">
        <v>404</v>
      </c>
      <c r="AJ22" s="8">
        <v>0.0</v>
      </c>
      <c r="AK22" s="6" t="str">
        <f t="shared" si="18"/>
        <v>RDR-16</v>
      </c>
      <c r="AL22" s="6" t="s">
        <v>50</v>
      </c>
      <c r="AM22" s="6" t="s">
        <v>405</v>
      </c>
      <c r="AN22" s="8">
        <v>0.0</v>
      </c>
      <c r="AO22" s="6" t="s">
        <v>406</v>
      </c>
      <c r="AP22" s="6" t="s">
        <v>50</v>
      </c>
      <c r="AQ22" s="6" t="s">
        <v>407</v>
      </c>
      <c r="AR22" s="6">
        <v>0.0</v>
      </c>
      <c r="AS22" s="6" t="s">
        <v>406</v>
      </c>
      <c r="AT22" s="6" t="s">
        <v>50</v>
      </c>
      <c r="AU22" s="6" t="s">
        <v>408</v>
      </c>
      <c r="AV22" s="6">
        <v>0.0</v>
      </c>
      <c r="AW22" s="6" t="str">
        <f t="shared" si="24"/>
        <v>ROSOV-31</v>
      </c>
      <c r="AX22" s="6" t="s">
        <v>55</v>
      </c>
      <c r="AY22" s="6" t="s">
        <v>409</v>
      </c>
      <c r="AZ22" s="6">
        <v>0.0</v>
      </c>
      <c r="BA22" s="6" t="s">
        <v>410</v>
      </c>
      <c r="BB22" s="6" t="s">
        <v>58</v>
      </c>
      <c r="BC22" s="10"/>
      <c r="BD22" s="11"/>
      <c r="BE22" s="10"/>
      <c r="BF22" s="11"/>
      <c r="BG22" s="6" t="s">
        <v>411</v>
      </c>
      <c r="BH22" s="6">
        <v>0.0</v>
      </c>
      <c r="BI22" s="6" t="str">
        <f t="shared" si="20"/>
        <v>ROSOV-32</v>
      </c>
      <c r="BJ22" s="6" t="s">
        <v>60</v>
      </c>
      <c r="BK22" s="6" t="s">
        <v>412</v>
      </c>
      <c r="BL22" s="6">
        <v>0.0</v>
      </c>
      <c r="BM22" s="6" t="s">
        <v>413</v>
      </c>
      <c r="BN22" s="6" t="s">
        <v>63</v>
      </c>
      <c r="BO22" s="10"/>
      <c r="BP22" s="11"/>
      <c r="BQ22" s="11"/>
      <c r="BR22" s="11"/>
      <c r="BS22" s="6" t="s">
        <v>414</v>
      </c>
      <c r="BT22" s="6">
        <v>1.0</v>
      </c>
      <c r="BU22" s="6" t="str">
        <f t="shared" si="21"/>
        <v>MOV-1510</v>
      </c>
      <c r="BV22" s="6" t="s">
        <v>65</v>
      </c>
      <c r="BW22" s="11"/>
      <c r="BX22" s="11"/>
      <c r="BY22" s="6" t="s">
        <v>415</v>
      </c>
      <c r="BZ22" s="6">
        <v>1.0</v>
      </c>
      <c r="CA22" s="6" t="str">
        <f t="shared" si="22"/>
        <v>MOV-1511</v>
      </c>
      <c r="CB22" s="6" t="s">
        <v>67</v>
      </c>
      <c r="CC22" s="11"/>
      <c r="CD22" s="11"/>
      <c r="CE22" s="11"/>
      <c r="CF22" s="11"/>
      <c r="CG22" s="11"/>
      <c r="CH22" s="11"/>
      <c r="CI22" s="11"/>
      <c r="CJ22" s="11"/>
      <c r="CK22" s="11"/>
      <c r="CL22" s="11"/>
    </row>
    <row r="23" ht="15.75" customHeight="1">
      <c r="A23" s="6">
        <v>1919.0</v>
      </c>
      <c r="B23" s="6" t="s">
        <v>35</v>
      </c>
      <c r="C23" s="6" t="str">
        <f t="shared" si="1"/>
        <v>51-TT-UG-0001_BS VI MS</v>
      </c>
      <c r="D23" s="6" t="s">
        <v>416</v>
      </c>
      <c r="E23" s="6" t="s">
        <v>417</v>
      </c>
      <c r="F23" s="6" t="s">
        <v>120</v>
      </c>
      <c r="G23" s="7" t="s">
        <v>39</v>
      </c>
      <c r="H23" s="8">
        <v>0.0</v>
      </c>
      <c r="I23" s="6" t="s">
        <v>418</v>
      </c>
      <c r="J23" s="6"/>
      <c r="K23" s="6" t="str">
        <f t="shared" si="2"/>
        <v>51-TT-UG-0001</v>
      </c>
      <c r="L23" s="9" t="s">
        <v>41</v>
      </c>
      <c r="M23" s="6" t="s">
        <v>419</v>
      </c>
      <c r="N23" s="8">
        <v>0.0</v>
      </c>
      <c r="O23" s="6" t="s">
        <v>420</v>
      </c>
      <c r="P23" s="8">
        <v>0.0</v>
      </c>
      <c r="Q23" s="6" t="str">
        <f t="shared" si="13"/>
        <v>51-TT-UG-0001</v>
      </c>
      <c r="R23" s="9" t="s">
        <v>41</v>
      </c>
      <c r="S23" s="6" t="s">
        <v>421</v>
      </c>
      <c r="T23" s="8">
        <v>0.0</v>
      </c>
      <c r="U23" s="6" t="str">
        <f t="shared" si="14"/>
        <v>51-TT-UG-0001</v>
      </c>
      <c r="V23" s="9" t="s">
        <v>41</v>
      </c>
      <c r="W23" s="11"/>
      <c r="X23" s="8"/>
      <c r="Y23" s="6"/>
      <c r="Z23" s="11"/>
      <c r="AA23" s="11"/>
      <c r="AB23" s="8"/>
      <c r="AC23" s="6"/>
      <c r="AD23" s="11"/>
      <c r="AE23" s="11"/>
      <c r="AF23" s="8"/>
      <c r="AG23" s="6"/>
      <c r="AH23" s="11"/>
      <c r="AI23" s="11"/>
      <c r="AJ23" s="8"/>
      <c r="AK23" s="11"/>
      <c r="AL23" s="11"/>
      <c r="AM23" s="11"/>
      <c r="AN23" s="8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0"/>
      <c r="AZ23" s="11"/>
      <c r="BA23" s="10"/>
      <c r="BB23" s="11"/>
      <c r="BC23" s="10"/>
      <c r="BD23" s="11"/>
      <c r="BE23" s="10"/>
      <c r="BF23" s="11"/>
      <c r="BG23" s="10"/>
      <c r="BH23" s="11"/>
      <c r="BI23" s="10"/>
      <c r="BJ23" s="11"/>
      <c r="BK23" s="10"/>
      <c r="BL23" s="11"/>
      <c r="BM23" s="10"/>
      <c r="BN23" s="11"/>
      <c r="BO23" s="10"/>
      <c r="BP23" s="11"/>
      <c r="BQ23" s="11"/>
      <c r="BR23" s="11"/>
      <c r="BS23" s="11"/>
      <c r="BT23" s="11"/>
      <c r="BU23" s="6"/>
      <c r="BV23" s="6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</row>
    <row r="24" ht="15.75" customHeight="1">
      <c r="A24" s="6">
        <v>1919.0</v>
      </c>
      <c r="B24" s="6" t="s">
        <v>35</v>
      </c>
      <c r="C24" s="6" t="str">
        <f t="shared" si="1"/>
        <v>51-TT-UG-0002_SKO</v>
      </c>
      <c r="D24" s="6" t="s">
        <v>422</v>
      </c>
      <c r="E24" s="6" t="s">
        <v>417</v>
      </c>
      <c r="F24" s="6" t="s">
        <v>209</v>
      </c>
      <c r="G24" s="7" t="s">
        <v>39</v>
      </c>
      <c r="H24" s="8">
        <v>0.0</v>
      </c>
      <c r="I24" s="6" t="s">
        <v>423</v>
      </c>
      <c r="J24" s="6"/>
      <c r="K24" s="6" t="str">
        <f t="shared" si="2"/>
        <v>51-TT-UG-0002</v>
      </c>
      <c r="L24" s="9" t="s">
        <v>41</v>
      </c>
      <c r="M24" s="6" t="s">
        <v>424</v>
      </c>
      <c r="N24" s="8">
        <v>0.0</v>
      </c>
      <c r="O24" s="6" t="s">
        <v>425</v>
      </c>
      <c r="P24" s="8">
        <v>0.0</v>
      </c>
      <c r="Q24" s="6" t="str">
        <f t="shared" si="13"/>
        <v>51-TT-UG-0002</v>
      </c>
      <c r="R24" s="9" t="s">
        <v>41</v>
      </c>
      <c r="S24" s="6" t="s">
        <v>426</v>
      </c>
      <c r="T24" s="8">
        <v>0.0</v>
      </c>
      <c r="U24" s="6" t="str">
        <f t="shared" si="14"/>
        <v>51-TT-UG-0002</v>
      </c>
      <c r="V24" s="9" t="s">
        <v>41</v>
      </c>
      <c r="W24" s="11"/>
      <c r="X24" s="8"/>
      <c r="Y24" s="6"/>
      <c r="Z24" s="11"/>
      <c r="AA24" s="11"/>
      <c r="AB24" s="8"/>
      <c r="AC24" s="6"/>
      <c r="AD24" s="11"/>
      <c r="AE24" s="11"/>
      <c r="AF24" s="8"/>
      <c r="AG24" s="6"/>
      <c r="AH24" s="11"/>
      <c r="AI24" s="11"/>
      <c r="AJ24" s="8"/>
      <c r="AK24" s="11"/>
      <c r="AL24" s="11"/>
      <c r="AM24" s="11"/>
      <c r="AN24" s="8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0"/>
      <c r="AZ24" s="11"/>
      <c r="BA24" s="10"/>
      <c r="BB24" s="11"/>
      <c r="BC24" s="10"/>
      <c r="BD24" s="11"/>
      <c r="BE24" s="10"/>
      <c r="BF24" s="11"/>
      <c r="BG24" s="10"/>
      <c r="BH24" s="11"/>
      <c r="BI24" s="10"/>
      <c r="BJ24" s="11"/>
      <c r="BK24" s="11"/>
      <c r="BL24" s="11"/>
      <c r="BM24" s="11"/>
      <c r="BN24" s="11"/>
      <c r="BO24" s="10"/>
      <c r="BP24" s="11"/>
      <c r="BQ24" s="11"/>
      <c r="BR24" s="11"/>
      <c r="BS24" s="11"/>
      <c r="BT24" s="11"/>
      <c r="BU24" s="6"/>
      <c r="BV24" s="6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</row>
    <row r="25" ht="15.75" customHeight="1">
      <c r="A25" s="6">
        <v>1919.0</v>
      </c>
      <c r="B25" s="6" t="s">
        <v>35</v>
      </c>
      <c r="C25" s="6" t="str">
        <f t="shared" si="1"/>
        <v>51-TT-UG-0003_BS VI HSD</v>
      </c>
      <c r="D25" s="6" t="s">
        <v>427</v>
      </c>
      <c r="E25" s="6" t="s">
        <v>417</v>
      </c>
      <c r="F25" s="6" t="s">
        <v>38</v>
      </c>
      <c r="G25" s="7" t="s">
        <v>39</v>
      </c>
      <c r="H25" s="8">
        <v>0.0</v>
      </c>
      <c r="I25" s="6" t="s">
        <v>428</v>
      </c>
      <c r="J25" s="6"/>
      <c r="K25" s="6" t="str">
        <f t="shared" si="2"/>
        <v>51-TT-UG-0003</v>
      </c>
      <c r="L25" s="9" t="s">
        <v>41</v>
      </c>
      <c r="M25" s="6" t="s">
        <v>429</v>
      </c>
      <c r="N25" s="8">
        <v>0.0</v>
      </c>
      <c r="O25" s="6" t="s">
        <v>430</v>
      </c>
      <c r="P25" s="8">
        <v>0.0</v>
      </c>
      <c r="Q25" s="6" t="str">
        <f t="shared" si="13"/>
        <v>51-TT-UG-0003</v>
      </c>
      <c r="R25" s="9" t="s">
        <v>41</v>
      </c>
      <c r="S25" s="6" t="s">
        <v>431</v>
      </c>
      <c r="T25" s="8">
        <v>0.0</v>
      </c>
      <c r="U25" s="6" t="str">
        <f t="shared" si="14"/>
        <v>51-TT-UG-0003</v>
      </c>
      <c r="V25" s="9" t="s">
        <v>41</v>
      </c>
      <c r="W25" s="11"/>
      <c r="X25" s="8"/>
      <c r="Y25" s="6"/>
      <c r="Z25" s="11"/>
      <c r="AA25" s="11"/>
      <c r="AB25" s="8"/>
      <c r="AC25" s="6"/>
      <c r="AD25" s="11"/>
      <c r="AE25" s="11"/>
      <c r="AF25" s="8"/>
      <c r="AG25" s="6"/>
      <c r="AH25" s="11"/>
      <c r="AI25" s="11"/>
      <c r="AJ25" s="8"/>
      <c r="AK25" s="11"/>
      <c r="AL25" s="11"/>
      <c r="AM25" s="11"/>
      <c r="AN25" s="8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0"/>
      <c r="BP25" s="11"/>
      <c r="BQ25" s="11"/>
      <c r="BR25" s="11"/>
      <c r="BS25" s="11"/>
      <c r="BT25" s="11"/>
      <c r="BU25" s="6"/>
      <c r="BV25" s="6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</row>
    <row r="26" ht="15.75" customHeight="1">
      <c r="A26" s="6">
        <v>1919.0</v>
      </c>
      <c r="B26" s="6" t="s">
        <v>35</v>
      </c>
      <c r="C26" s="6" t="str">
        <f t="shared" si="1"/>
        <v>51-TT-UG-0010_ETHANOL</v>
      </c>
      <c r="D26" s="6" t="s">
        <v>432</v>
      </c>
      <c r="E26" s="6" t="s">
        <v>417</v>
      </c>
      <c r="F26" s="6" t="s">
        <v>69</v>
      </c>
      <c r="G26" s="7" t="s">
        <v>39</v>
      </c>
      <c r="H26" s="8">
        <v>0.0</v>
      </c>
      <c r="I26" s="6" t="s">
        <v>433</v>
      </c>
      <c r="J26" s="6"/>
      <c r="K26" s="6" t="str">
        <f t="shared" si="2"/>
        <v>51-TT-UG-0010</v>
      </c>
      <c r="L26" s="9" t="s">
        <v>41</v>
      </c>
      <c r="M26" s="6" t="s">
        <v>434</v>
      </c>
      <c r="N26" s="8">
        <v>0.0</v>
      </c>
      <c r="O26" s="6" t="s">
        <v>435</v>
      </c>
      <c r="P26" s="8">
        <v>0.0</v>
      </c>
      <c r="Q26" s="6" t="str">
        <f t="shared" si="13"/>
        <v>51-TT-UG-0010</v>
      </c>
      <c r="R26" s="9" t="s">
        <v>41</v>
      </c>
      <c r="S26" s="6" t="s">
        <v>436</v>
      </c>
      <c r="T26" s="8">
        <v>0.0</v>
      </c>
      <c r="U26" s="6" t="str">
        <f t="shared" si="14"/>
        <v>51-TT-UG-0010</v>
      </c>
      <c r="V26" s="9" t="s">
        <v>41</v>
      </c>
      <c r="W26" s="11"/>
      <c r="X26" s="8"/>
      <c r="Y26" s="6"/>
      <c r="Z26" s="11"/>
      <c r="AA26" s="11"/>
      <c r="AB26" s="8"/>
      <c r="AC26" s="6"/>
      <c r="AD26" s="11"/>
      <c r="AE26" s="11"/>
      <c r="AF26" s="8"/>
      <c r="AG26" s="6"/>
      <c r="AH26" s="11"/>
      <c r="AI26" s="11"/>
      <c r="AJ26" s="8"/>
      <c r="AK26" s="11"/>
      <c r="AL26" s="11"/>
      <c r="AM26" s="11"/>
      <c r="AN26" s="8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0"/>
      <c r="BP26" s="11"/>
      <c r="BQ26" s="11"/>
      <c r="BR26" s="11"/>
      <c r="BS26" s="11"/>
      <c r="BT26" s="11"/>
      <c r="BU26" s="6"/>
      <c r="BV26" s="6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</row>
    <row r="27" ht="15.75" customHeight="1">
      <c r="A27" s="6">
        <v>1919.0</v>
      </c>
      <c r="B27" s="6" t="s">
        <v>35</v>
      </c>
      <c r="C27" s="6" t="str">
        <f t="shared" si="1"/>
        <v>51-TT-UG-0013_ETHANOL</v>
      </c>
      <c r="D27" s="6" t="s">
        <v>437</v>
      </c>
      <c r="E27" s="6" t="s">
        <v>417</v>
      </c>
      <c r="F27" s="6" t="s">
        <v>69</v>
      </c>
      <c r="G27" s="7" t="s">
        <v>39</v>
      </c>
      <c r="H27" s="8">
        <v>0.0</v>
      </c>
      <c r="I27" s="6" t="s">
        <v>438</v>
      </c>
      <c r="J27" s="6"/>
      <c r="K27" s="6" t="str">
        <f t="shared" si="2"/>
        <v>51-TT-UG-0013</v>
      </c>
      <c r="L27" s="9" t="s">
        <v>41</v>
      </c>
      <c r="M27" s="6" t="s">
        <v>439</v>
      </c>
      <c r="N27" s="8">
        <v>0.0</v>
      </c>
      <c r="O27" s="6" t="s">
        <v>440</v>
      </c>
      <c r="P27" s="8">
        <v>0.0</v>
      </c>
      <c r="Q27" s="6" t="str">
        <f t="shared" si="13"/>
        <v>51-TT-UG-0013</v>
      </c>
      <c r="R27" s="9" t="s">
        <v>41</v>
      </c>
      <c r="S27" s="6" t="s">
        <v>441</v>
      </c>
      <c r="T27" s="8">
        <v>0.0</v>
      </c>
      <c r="U27" s="6" t="str">
        <f t="shared" si="14"/>
        <v>51-TT-UG-0013</v>
      </c>
      <c r="V27" s="9" t="s">
        <v>41</v>
      </c>
      <c r="W27" s="11"/>
      <c r="X27" s="8"/>
      <c r="Y27" s="6"/>
      <c r="Z27" s="11"/>
      <c r="AA27" s="11"/>
      <c r="AB27" s="8"/>
      <c r="AC27" s="6"/>
      <c r="AD27" s="11"/>
      <c r="AE27" s="11"/>
      <c r="AF27" s="8"/>
      <c r="AG27" s="6"/>
      <c r="AH27" s="11"/>
      <c r="AI27" s="11"/>
      <c r="AJ27" s="8"/>
      <c r="AK27" s="11"/>
      <c r="AL27" s="11"/>
      <c r="AM27" s="11"/>
      <c r="AN27" s="8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0"/>
      <c r="BP27" s="11"/>
      <c r="BQ27" s="11"/>
      <c r="BR27" s="11"/>
      <c r="BS27" s="11"/>
      <c r="BT27" s="11"/>
      <c r="BU27" s="6"/>
      <c r="BV27" s="6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</row>
    <row r="28" ht="15.75" customHeight="1">
      <c r="A28" s="6">
        <v>1919.0</v>
      </c>
      <c r="B28" s="6" t="s">
        <v>35</v>
      </c>
      <c r="C28" s="6" t="str">
        <f t="shared" si="1"/>
        <v>51-TT-UG-0014_BIO HSD</v>
      </c>
      <c r="D28" s="6" t="s">
        <v>442</v>
      </c>
      <c r="E28" s="6" t="s">
        <v>417</v>
      </c>
      <c r="F28" s="6" t="s">
        <v>443</v>
      </c>
      <c r="G28" s="7" t="s">
        <v>39</v>
      </c>
      <c r="H28" s="8">
        <v>0.0</v>
      </c>
      <c r="I28" s="6" t="s">
        <v>444</v>
      </c>
      <c r="J28" s="6"/>
      <c r="K28" s="6" t="str">
        <f t="shared" si="2"/>
        <v>51-TT-UG-0014</v>
      </c>
      <c r="L28" s="9" t="s">
        <v>41</v>
      </c>
      <c r="M28" s="6" t="s">
        <v>445</v>
      </c>
      <c r="N28" s="8">
        <v>0.0</v>
      </c>
      <c r="O28" s="6" t="s">
        <v>446</v>
      </c>
      <c r="P28" s="8">
        <v>0.0</v>
      </c>
      <c r="Q28" s="6" t="str">
        <f t="shared" si="13"/>
        <v>51-TT-UG-0014</v>
      </c>
      <c r="R28" s="9" t="s">
        <v>41</v>
      </c>
      <c r="S28" s="6" t="s">
        <v>447</v>
      </c>
      <c r="T28" s="8">
        <v>0.0</v>
      </c>
      <c r="U28" s="6" t="str">
        <f t="shared" si="14"/>
        <v>51-TT-UG-0014</v>
      </c>
      <c r="V28" s="9" t="s">
        <v>41</v>
      </c>
      <c r="W28" s="11"/>
      <c r="X28" s="8"/>
      <c r="Y28" s="6"/>
      <c r="Z28" s="11"/>
      <c r="AA28" s="11"/>
      <c r="AB28" s="8"/>
      <c r="AC28" s="6"/>
      <c r="AD28" s="11"/>
      <c r="AE28" s="11"/>
      <c r="AF28" s="8"/>
      <c r="AG28" s="6"/>
      <c r="AH28" s="11"/>
      <c r="AI28" s="11"/>
      <c r="AJ28" s="8"/>
      <c r="AK28" s="11"/>
      <c r="AL28" s="11"/>
      <c r="AM28" s="11"/>
      <c r="AN28" s="8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6"/>
      <c r="BV28" s="6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</row>
    <row r="29" ht="15.75" customHeight="1">
      <c r="A29" s="6">
        <v>1919.0</v>
      </c>
      <c r="B29" s="6" t="s">
        <v>35</v>
      </c>
      <c r="C29" s="6" t="str">
        <f t="shared" si="1"/>
        <v>51-TT-UG-0015_BIO HSD</v>
      </c>
      <c r="D29" s="6" t="s">
        <v>448</v>
      </c>
      <c r="E29" s="6" t="s">
        <v>417</v>
      </c>
      <c r="F29" s="6" t="s">
        <v>443</v>
      </c>
      <c r="G29" s="7" t="s">
        <v>39</v>
      </c>
      <c r="H29" s="8">
        <v>0.0</v>
      </c>
      <c r="I29" s="6" t="s">
        <v>449</v>
      </c>
      <c r="J29" s="6"/>
      <c r="K29" s="6" t="str">
        <f t="shared" si="2"/>
        <v>51-TT-UG-0015</v>
      </c>
      <c r="L29" s="9" t="s">
        <v>41</v>
      </c>
      <c r="M29" s="6" t="s">
        <v>450</v>
      </c>
      <c r="N29" s="8">
        <v>0.0</v>
      </c>
      <c r="O29" s="6" t="s">
        <v>451</v>
      </c>
      <c r="P29" s="8">
        <v>0.0</v>
      </c>
      <c r="Q29" s="6" t="str">
        <f t="shared" si="13"/>
        <v>51-TT-UG-0015</v>
      </c>
      <c r="R29" s="9" t="s">
        <v>41</v>
      </c>
      <c r="S29" s="6" t="s">
        <v>452</v>
      </c>
      <c r="T29" s="8">
        <v>0.0</v>
      </c>
      <c r="U29" s="6" t="str">
        <f t="shared" si="14"/>
        <v>51-TT-UG-0015</v>
      </c>
      <c r="V29" s="9" t="s">
        <v>41</v>
      </c>
      <c r="W29" s="11"/>
      <c r="X29" s="8"/>
      <c r="Y29" s="6"/>
      <c r="Z29" s="11"/>
      <c r="AA29" s="11"/>
      <c r="AB29" s="8"/>
      <c r="AC29" s="6"/>
      <c r="AD29" s="11"/>
      <c r="AE29" s="11"/>
      <c r="AF29" s="8"/>
      <c r="AG29" s="6"/>
      <c r="AH29" s="11"/>
      <c r="AI29" s="11"/>
      <c r="AJ29" s="8"/>
      <c r="AK29" s="11"/>
      <c r="AL29" s="11"/>
      <c r="AM29" s="11"/>
      <c r="AN29" s="8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6"/>
      <c r="BV29" s="6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</row>
    <row r="30" ht="15.75" customHeight="1">
      <c r="A30" s="6">
        <v>1919.0</v>
      </c>
      <c r="B30" s="6" t="s">
        <v>35</v>
      </c>
      <c r="C30" s="6" t="str">
        <f t="shared" si="1"/>
        <v>51-TT-UG-SLOP_SLOP</v>
      </c>
      <c r="D30" s="6" t="s">
        <v>453</v>
      </c>
      <c r="E30" s="6" t="s">
        <v>417</v>
      </c>
      <c r="F30" s="6" t="s">
        <v>454</v>
      </c>
      <c r="G30" s="7" t="s">
        <v>39</v>
      </c>
      <c r="H30" s="8">
        <v>0.0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6"/>
      <c r="AD30" s="11"/>
      <c r="AE30" s="11"/>
      <c r="AF30" s="11"/>
      <c r="AG30" s="6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6"/>
      <c r="BV30" s="6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</row>
    <row r="31" ht="15.75" customHeight="1"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6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</row>
    <row r="32" ht="15.75" customHeight="1"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6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</row>
    <row r="33" ht="15.75" customHeight="1"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6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</row>
    <row r="34" ht="15.75" customHeight="1"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6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</row>
    <row r="35" ht="15.75" customHeight="1"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6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</row>
    <row r="36" ht="15.75" customHeight="1"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6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</row>
    <row r="37" ht="15.75" customHeight="1"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6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</row>
    <row r="38" ht="15.75" customHeight="1"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6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</row>
    <row r="39" ht="15.75" customHeight="1"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6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</row>
    <row r="40" ht="15.75" customHeight="1"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6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</row>
    <row r="41" ht="15.75" customHeight="1"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6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</row>
    <row r="42" ht="15.75" customHeight="1"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6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</row>
    <row r="43" ht="15.75" customHeight="1"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6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</row>
    <row r="44" ht="15.75" customHeight="1"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6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</row>
    <row r="45" ht="15.75" customHeight="1"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6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</row>
    <row r="46" ht="15.75" customHeight="1"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6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</row>
    <row r="47" ht="15.75" customHeight="1"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6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</row>
    <row r="48" ht="15.75" customHeight="1"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6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</row>
    <row r="49" ht="15.75" customHeight="1"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6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</row>
    <row r="50" ht="15.75" customHeight="1"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6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</row>
    <row r="51" ht="15.75" customHeight="1"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6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</row>
    <row r="52" ht="15.75" customHeight="1"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6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</row>
    <row r="53" ht="15.75" customHeight="1"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6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</row>
    <row r="54" ht="15.75" customHeight="1"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6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</row>
    <row r="55" ht="15.75" customHeight="1"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6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</row>
    <row r="56" ht="15.75" customHeight="1"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6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</row>
    <row r="57" ht="15.75" customHeight="1"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6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</row>
    <row r="58" ht="15.75" customHeight="1"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6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</row>
    <row r="59" ht="15.75" customHeight="1"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6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</row>
    <row r="60" ht="15.75" customHeight="1"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6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</row>
    <row r="61" ht="15.75" customHeight="1"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6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</row>
    <row r="62" ht="15.75" customHeight="1"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6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</row>
    <row r="63" ht="15.75" customHeight="1"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6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</row>
    <row r="64" ht="15.75" customHeight="1"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</row>
    <row r="65" ht="15.75" customHeight="1"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6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</row>
    <row r="66" ht="15.75" customHeight="1"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6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</row>
    <row r="67" ht="15.75" customHeight="1"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6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</row>
    <row r="68" ht="15.75" customHeight="1"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6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</row>
    <row r="69" ht="15.75" customHeight="1"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6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</row>
    <row r="70" ht="15.75" customHeight="1"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6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</row>
    <row r="71" ht="15.75" customHeight="1"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6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</row>
    <row r="72" ht="15.75" customHeight="1"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6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</row>
    <row r="73" ht="15.75" customHeight="1"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6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</row>
    <row r="74" ht="15.75" customHeight="1"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6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</row>
    <row r="75" ht="15.75" customHeight="1"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6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</row>
    <row r="76" ht="15.75" customHeight="1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6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</row>
    <row r="77" ht="15.75" customHeight="1"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6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</row>
    <row r="78" ht="15.75" customHeight="1"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6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</row>
    <row r="79" ht="15.75" customHeight="1"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6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</row>
    <row r="80" ht="15.75" customHeight="1"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6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</row>
    <row r="81" ht="15.75" customHeight="1"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6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</row>
    <row r="82" ht="15.75" customHeight="1"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6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</row>
    <row r="83" ht="15.75" customHeight="1"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6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</row>
    <row r="84" ht="15.75" customHeight="1"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6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</row>
    <row r="85" ht="15.75" customHeight="1"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6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</row>
    <row r="86" ht="15.75" customHeight="1"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6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</row>
    <row r="87" ht="15.75" customHeight="1"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6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</row>
    <row r="88" ht="15.75" customHeight="1"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6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</row>
    <row r="89" ht="15.75" customHeight="1"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6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</row>
    <row r="90" ht="15.75" customHeight="1"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6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</row>
    <row r="91" ht="15.75" customHeight="1"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6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</row>
    <row r="92" ht="15.75" customHeight="1"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6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</row>
    <row r="93" ht="15.75" customHeight="1"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6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</row>
    <row r="94" ht="15.75" customHeight="1"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6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</row>
    <row r="95" ht="15.75" customHeight="1"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6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</row>
    <row r="96" ht="15.75" customHeight="1"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6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</row>
    <row r="97" ht="15.75" customHeight="1"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6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</row>
    <row r="98" ht="15.75" customHeight="1"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6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</row>
    <row r="99" ht="15.75" customHeight="1"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6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</row>
    <row r="100" ht="15.75" customHeight="1"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6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</row>
    <row r="101" ht="15.75" customHeight="1"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6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</row>
    <row r="102" ht="15.75" customHeight="1"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</row>
    <row r="103" ht="15.75" customHeight="1"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6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</row>
    <row r="104" ht="15.75" customHeight="1"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6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</row>
    <row r="105" ht="15.75" customHeight="1"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6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</row>
    <row r="106" ht="15.75" customHeight="1"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6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</row>
    <row r="107" ht="15.75" customHeight="1"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6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</row>
    <row r="108" ht="15.75" customHeight="1"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6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</row>
    <row r="109" ht="15.75" customHeight="1"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6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</row>
    <row r="110" ht="15.75" customHeight="1"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6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</row>
    <row r="111" ht="15.75" customHeight="1"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6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</row>
    <row r="112" ht="15.75" customHeight="1"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6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</row>
    <row r="113" ht="15.75" customHeight="1"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6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</row>
    <row r="114" ht="15.75" customHeight="1"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6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</row>
    <row r="115" ht="15.75" customHeight="1"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6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</row>
    <row r="116" ht="15.75" customHeight="1"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6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</row>
    <row r="117" ht="15.75" customHeight="1"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6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</row>
    <row r="118" ht="15.75" customHeight="1"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6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</row>
    <row r="119" ht="15.75" customHeight="1"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6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</row>
    <row r="120" ht="15.75" customHeight="1"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6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</row>
    <row r="121" ht="15.75" customHeight="1"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6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</row>
    <row r="122" ht="15.75" customHeight="1"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6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</row>
    <row r="123" ht="15.75" customHeight="1"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6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</row>
    <row r="124" ht="15.75" customHeight="1"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6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</row>
    <row r="125" ht="15.75" customHeight="1"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6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</row>
    <row r="126" ht="15.75" customHeight="1"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6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</row>
    <row r="127" ht="15.75" customHeight="1"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6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</row>
    <row r="128" ht="15.75" customHeight="1"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6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</row>
    <row r="129" ht="15.75" customHeight="1"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6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</row>
    <row r="130" ht="15.75" customHeight="1"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6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</row>
    <row r="131" ht="15.75" customHeight="1"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6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</row>
    <row r="132" ht="15.75" customHeight="1"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6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</row>
    <row r="133" ht="15.75" customHeight="1"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6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</row>
    <row r="134" ht="15.75" customHeight="1"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6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</row>
    <row r="135" ht="15.75" customHeight="1"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6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</row>
    <row r="136" ht="15.75" customHeight="1"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6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</row>
    <row r="137" ht="15.75" customHeight="1"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6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</row>
    <row r="138" ht="15.75" customHeight="1"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6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</row>
    <row r="139" ht="15.75" customHeight="1"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6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</row>
    <row r="140" ht="15.75" customHeight="1"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</row>
    <row r="141" ht="15.75" customHeight="1"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6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</row>
    <row r="142" ht="15.75" customHeight="1"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6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</row>
    <row r="143" ht="15.75" customHeight="1"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6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</row>
    <row r="144" ht="15.75" customHeight="1"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6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</row>
    <row r="145" ht="15.75" customHeight="1"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6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</row>
    <row r="146" ht="15.75" customHeight="1"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6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</row>
    <row r="147" ht="15.75" customHeight="1"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6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</row>
    <row r="148" ht="15.75" customHeight="1"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6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</row>
    <row r="149" ht="15.75" customHeight="1"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6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</row>
    <row r="150" ht="15.75" customHeight="1"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6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</row>
    <row r="151" ht="15.75" customHeight="1"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6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</row>
    <row r="152" ht="15.75" customHeight="1"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6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</row>
    <row r="153" ht="15.75" customHeight="1"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6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</row>
    <row r="154" ht="15.75" customHeight="1"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6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</row>
    <row r="155" ht="15.75" customHeight="1"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6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</row>
    <row r="156" ht="15.75" customHeight="1"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6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</row>
    <row r="157" ht="15.75" customHeight="1"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6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</row>
    <row r="158" ht="15.75" customHeight="1"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6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</row>
    <row r="159" ht="15.75" customHeight="1"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6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</row>
    <row r="160" ht="15.75" customHeight="1"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6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</row>
    <row r="161" ht="15.75" customHeight="1"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6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</row>
    <row r="162" ht="15.75" customHeight="1"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6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</row>
    <row r="163" ht="15.75" customHeight="1"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6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</row>
    <row r="164" ht="15.75" customHeight="1"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T164" s="12"/>
      <c r="V164" s="12"/>
      <c r="X164" s="12"/>
      <c r="AB164" s="12"/>
      <c r="AF164" s="12"/>
      <c r="AJ164" s="12"/>
      <c r="AN164" s="12"/>
      <c r="AY164" s="12"/>
      <c r="AZ164" s="12"/>
      <c r="BA164" s="12"/>
      <c r="BC164" s="12"/>
      <c r="BD164" s="12"/>
      <c r="BE164" s="12"/>
      <c r="BF164" s="12"/>
      <c r="BG164" s="12"/>
      <c r="BH164" s="12"/>
      <c r="BI164" s="12"/>
      <c r="BK164" s="12"/>
      <c r="BL164" s="12"/>
      <c r="BM164" s="12"/>
      <c r="BO164" s="12"/>
      <c r="BP164" s="12"/>
      <c r="BQ164" s="12"/>
      <c r="BR164" s="12"/>
      <c r="BS164" s="12"/>
      <c r="BT164" s="12"/>
      <c r="BU164" s="12"/>
      <c r="BV164" s="6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</row>
    <row r="165" ht="15.75" customHeight="1"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T165" s="12"/>
      <c r="V165" s="12"/>
      <c r="X165" s="12"/>
      <c r="AB165" s="12"/>
      <c r="AF165" s="12"/>
      <c r="AJ165" s="12"/>
      <c r="AN165" s="12"/>
      <c r="AY165" s="12"/>
      <c r="AZ165" s="12"/>
      <c r="BA165" s="12"/>
      <c r="BC165" s="12"/>
      <c r="BD165" s="12"/>
      <c r="BE165" s="12"/>
      <c r="BF165" s="12"/>
      <c r="BG165" s="12"/>
      <c r="BH165" s="12"/>
      <c r="BI165" s="12"/>
      <c r="BK165" s="12"/>
      <c r="BL165" s="12"/>
      <c r="BM165" s="12"/>
      <c r="BO165" s="12"/>
      <c r="BP165" s="12"/>
      <c r="BQ165" s="12"/>
      <c r="BR165" s="12"/>
      <c r="BS165" s="12"/>
      <c r="BT165" s="12"/>
      <c r="BU165" s="12"/>
      <c r="BV165" s="6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</row>
    <row r="166" ht="15.75" customHeight="1"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T166" s="12"/>
      <c r="V166" s="12"/>
      <c r="X166" s="12"/>
      <c r="AB166" s="12"/>
      <c r="AF166" s="12"/>
      <c r="AJ166" s="12"/>
      <c r="AN166" s="12"/>
      <c r="AY166" s="12"/>
      <c r="AZ166" s="12"/>
      <c r="BA166" s="12"/>
      <c r="BC166" s="12"/>
      <c r="BD166" s="12"/>
      <c r="BE166" s="12"/>
      <c r="BF166" s="12"/>
      <c r="BG166" s="12"/>
      <c r="BH166" s="12"/>
      <c r="BI166" s="12"/>
      <c r="BK166" s="12"/>
      <c r="BL166" s="12"/>
      <c r="BM166" s="12"/>
      <c r="BO166" s="12"/>
      <c r="BP166" s="12"/>
      <c r="BQ166" s="12"/>
      <c r="BR166" s="12"/>
      <c r="BS166" s="12"/>
      <c r="BT166" s="12"/>
      <c r="BU166" s="12"/>
      <c r="BV166" s="6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</row>
    <row r="167" ht="15.75" customHeight="1"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T167" s="12"/>
      <c r="V167" s="12"/>
      <c r="X167" s="12"/>
      <c r="AB167" s="12"/>
      <c r="AF167" s="12"/>
      <c r="AJ167" s="12"/>
      <c r="AN167" s="12"/>
      <c r="AY167" s="12"/>
      <c r="AZ167" s="12"/>
      <c r="BA167" s="12"/>
      <c r="BC167" s="12"/>
      <c r="BD167" s="12"/>
      <c r="BE167" s="12"/>
      <c r="BF167" s="12"/>
      <c r="BG167" s="12"/>
      <c r="BH167" s="12"/>
      <c r="BI167" s="12"/>
      <c r="BK167" s="12"/>
      <c r="BL167" s="12"/>
      <c r="BM167" s="12"/>
      <c r="BO167" s="12"/>
      <c r="BP167" s="12"/>
      <c r="BQ167" s="12"/>
      <c r="BR167" s="12"/>
      <c r="BS167" s="12"/>
      <c r="BT167" s="12"/>
      <c r="BU167" s="12"/>
      <c r="BV167" s="6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</row>
    <row r="168" ht="15.75" customHeight="1"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T168" s="12"/>
      <c r="V168" s="12"/>
      <c r="X168" s="12"/>
      <c r="AB168" s="12"/>
      <c r="AF168" s="12"/>
      <c r="AJ168" s="12"/>
      <c r="AN168" s="12"/>
      <c r="AY168" s="12"/>
      <c r="AZ168" s="12"/>
      <c r="BA168" s="12"/>
      <c r="BC168" s="12"/>
      <c r="BD168" s="12"/>
      <c r="BE168" s="12"/>
      <c r="BF168" s="12"/>
      <c r="BG168" s="12"/>
      <c r="BH168" s="12"/>
      <c r="BI168" s="12"/>
      <c r="BK168" s="12"/>
      <c r="BL168" s="12"/>
      <c r="BM168" s="12"/>
      <c r="BO168" s="12"/>
      <c r="BP168" s="12"/>
      <c r="BQ168" s="12"/>
      <c r="BR168" s="12"/>
      <c r="BS168" s="12"/>
      <c r="BT168" s="12"/>
      <c r="BU168" s="12"/>
      <c r="BV168" s="6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</row>
    <row r="169" ht="15.75" customHeight="1"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T169" s="12"/>
      <c r="V169" s="12"/>
      <c r="X169" s="12"/>
      <c r="AB169" s="12"/>
      <c r="AF169" s="12"/>
      <c r="AJ169" s="12"/>
      <c r="AN169" s="12"/>
      <c r="AY169" s="12"/>
      <c r="AZ169" s="12"/>
      <c r="BA169" s="12"/>
      <c r="BC169" s="12"/>
      <c r="BD169" s="12"/>
      <c r="BE169" s="12"/>
      <c r="BF169" s="12"/>
      <c r="BG169" s="12"/>
      <c r="BH169" s="12"/>
      <c r="BI169" s="12"/>
      <c r="BK169" s="12"/>
      <c r="BL169" s="12"/>
      <c r="BM169" s="12"/>
      <c r="BO169" s="12"/>
      <c r="BP169" s="12"/>
      <c r="BQ169" s="12"/>
      <c r="BR169" s="12"/>
      <c r="BS169" s="12"/>
      <c r="BT169" s="12"/>
      <c r="BU169" s="12"/>
      <c r="BV169" s="6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</row>
    <row r="170" ht="15.75" customHeight="1"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T170" s="12"/>
      <c r="V170" s="12"/>
      <c r="X170" s="12"/>
      <c r="AB170" s="12"/>
      <c r="AF170" s="12"/>
      <c r="AJ170" s="12"/>
      <c r="AN170" s="12"/>
      <c r="AY170" s="12"/>
      <c r="AZ170" s="12"/>
      <c r="BA170" s="12"/>
      <c r="BC170" s="12"/>
      <c r="BD170" s="12"/>
      <c r="BE170" s="12"/>
      <c r="BF170" s="12"/>
      <c r="BG170" s="12"/>
      <c r="BH170" s="12"/>
      <c r="BI170" s="12"/>
      <c r="BK170" s="12"/>
      <c r="BL170" s="12"/>
      <c r="BM170" s="12"/>
      <c r="BO170" s="12"/>
      <c r="BP170" s="12"/>
      <c r="BQ170" s="12"/>
      <c r="BR170" s="12"/>
      <c r="BS170" s="12"/>
      <c r="BT170" s="12"/>
      <c r="BU170" s="12"/>
      <c r="BV170" s="6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</row>
    <row r="171" ht="15.75" customHeight="1"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T171" s="12"/>
      <c r="V171" s="12"/>
      <c r="X171" s="12"/>
      <c r="AB171" s="12"/>
      <c r="AF171" s="12"/>
      <c r="AJ171" s="12"/>
      <c r="AN171" s="12"/>
      <c r="AY171" s="12"/>
      <c r="AZ171" s="12"/>
      <c r="BA171" s="12"/>
      <c r="BC171" s="12"/>
      <c r="BD171" s="12"/>
      <c r="BE171" s="12"/>
      <c r="BF171" s="12"/>
      <c r="BG171" s="12"/>
      <c r="BH171" s="12"/>
      <c r="BI171" s="12"/>
      <c r="BK171" s="12"/>
      <c r="BL171" s="12"/>
      <c r="BM171" s="12"/>
      <c r="BO171" s="12"/>
      <c r="BP171" s="12"/>
      <c r="BQ171" s="12"/>
      <c r="BR171" s="12"/>
      <c r="BS171" s="12"/>
      <c r="BT171" s="12"/>
      <c r="BU171" s="12"/>
      <c r="BV171" s="6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</row>
    <row r="172" ht="15.75" customHeight="1"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T172" s="12"/>
      <c r="V172" s="12"/>
      <c r="X172" s="12"/>
      <c r="AB172" s="12"/>
      <c r="AF172" s="12"/>
      <c r="AJ172" s="12"/>
      <c r="AN172" s="12"/>
      <c r="AY172" s="12"/>
      <c r="AZ172" s="12"/>
      <c r="BA172" s="12"/>
      <c r="BC172" s="12"/>
      <c r="BD172" s="12"/>
      <c r="BE172" s="12"/>
      <c r="BF172" s="12"/>
      <c r="BG172" s="12"/>
      <c r="BH172" s="12"/>
      <c r="BI172" s="12"/>
      <c r="BK172" s="12"/>
      <c r="BL172" s="12"/>
      <c r="BM172" s="12"/>
      <c r="BO172" s="12"/>
      <c r="BP172" s="12"/>
      <c r="BQ172" s="12"/>
      <c r="BR172" s="12"/>
      <c r="BS172" s="12"/>
      <c r="BT172" s="12"/>
      <c r="BU172" s="12"/>
      <c r="BV172" s="6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</row>
    <row r="173" ht="15.75" customHeight="1"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T173" s="12"/>
      <c r="V173" s="12"/>
      <c r="X173" s="12"/>
      <c r="AB173" s="12"/>
      <c r="AF173" s="12"/>
      <c r="AJ173" s="12"/>
      <c r="AN173" s="12"/>
      <c r="AY173" s="12"/>
      <c r="AZ173" s="12"/>
      <c r="BA173" s="12"/>
      <c r="BC173" s="12"/>
      <c r="BD173" s="12"/>
      <c r="BE173" s="12"/>
      <c r="BF173" s="12"/>
      <c r="BG173" s="12"/>
      <c r="BH173" s="12"/>
      <c r="BI173" s="12"/>
      <c r="BK173" s="12"/>
      <c r="BL173" s="12"/>
      <c r="BM173" s="12"/>
      <c r="BO173" s="12"/>
      <c r="BP173" s="12"/>
      <c r="BQ173" s="12"/>
      <c r="BR173" s="12"/>
      <c r="BS173" s="12"/>
      <c r="BT173" s="12"/>
      <c r="BU173" s="12"/>
      <c r="BV173" s="6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</row>
    <row r="174" ht="15.75" customHeight="1"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T174" s="12"/>
      <c r="V174" s="12"/>
      <c r="X174" s="12"/>
      <c r="AB174" s="12"/>
      <c r="AF174" s="12"/>
      <c r="AJ174" s="12"/>
      <c r="AN174" s="12"/>
      <c r="AY174" s="12"/>
      <c r="AZ174" s="12"/>
      <c r="BA174" s="12"/>
      <c r="BC174" s="12"/>
      <c r="BD174" s="12"/>
      <c r="BE174" s="12"/>
      <c r="BF174" s="12"/>
      <c r="BG174" s="12"/>
      <c r="BH174" s="12"/>
      <c r="BI174" s="12"/>
      <c r="BK174" s="12"/>
      <c r="BL174" s="12"/>
      <c r="BM174" s="12"/>
      <c r="BO174" s="12"/>
      <c r="BP174" s="12"/>
      <c r="BQ174" s="12"/>
      <c r="BR174" s="12"/>
      <c r="BS174" s="12"/>
      <c r="BT174" s="12"/>
      <c r="BU174" s="12"/>
      <c r="BV174" s="6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</row>
    <row r="175" ht="15.75" customHeight="1"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T175" s="12"/>
      <c r="V175" s="12"/>
      <c r="X175" s="12"/>
      <c r="AB175" s="12"/>
      <c r="AF175" s="12"/>
      <c r="AJ175" s="12"/>
      <c r="AN175" s="12"/>
      <c r="AY175" s="12"/>
      <c r="AZ175" s="12"/>
      <c r="BA175" s="12"/>
      <c r="BC175" s="12"/>
      <c r="BD175" s="12"/>
      <c r="BE175" s="12"/>
      <c r="BF175" s="12"/>
      <c r="BG175" s="12"/>
      <c r="BH175" s="12"/>
      <c r="BI175" s="12"/>
      <c r="BK175" s="12"/>
      <c r="BL175" s="12"/>
      <c r="BM175" s="12"/>
      <c r="BO175" s="12"/>
      <c r="BP175" s="12"/>
      <c r="BQ175" s="12"/>
      <c r="BR175" s="12"/>
      <c r="BS175" s="12"/>
      <c r="BT175" s="12"/>
      <c r="BU175" s="12"/>
      <c r="BV175" s="6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</row>
    <row r="176" ht="15.75" customHeight="1"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T176" s="12"/>
      <c r="V176" s="12"/>
      <c r="X176" s="12"/>
      <c r="AB176" s="12"/>
      <c r="AF176" s="12"/>
      <c r="AJ176" s="12"/>
      <c r="AN176" s="12"/>
      <c r="AY176" s="12"/>
      <c r="AZ176" s="12"/>
      <c r="BA176" s="12"/>
      <c r="BC176" s="12"/>
      <c r="BD176" s="12"/>
      <c r="BE176" s="12"/>
      <c r="BF176" s="12"/>
      <c r="BG176" s="12"/>
      <c r="BH176" s="12"/>
      <c r="BI176" s="12"/>
      <c r="BK176" s="12"/>
      <c r="BL176" s="12"/>
      <c r="BM176" s="12"/>
      <c r="BO176" s="12"/>
      <c r="BP176" s="12"/>
      <c r="BQ176" s="12"/>
      <c r="BR176" s="12"/>
      <c r="BS176" s="12"/>
      <c r="BT176" s="12"/>
      <c r="BU176" s="12"/>
      <c r="BV176" s="6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</row>
    <row r="177" ht="15.75" customHeight="1"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T177" s="12"/>
      <c r="V177" s="12"/>
      <c r="X177" s="12"/>
      <c r="AB177" s="12"/>
      <c r="AF177" s="12"/>
      <c r="AJ177" s="12"/>
      <c r="AN177" s="12"/>
      <c r="AY177" s="12"/>
      <c r="AZ177" s="12"/>
      <c r="BA177" s="12"/>
      <c r="BC177" s="12"/>
      <c r="BD177" s="12"/>
      <c r="BE177" s="12"/>
      <c r="BF177" s="12"/>
      <c r="BG177" s="12"/>
      <c r="BH177" s="12"/>
      <c r="BI177" s="12"/>
      <c r="BK177" s="12"/>
      <c r="BL177" s="12"/>
      <c r="BM177" s="12"/>
      <c r="BO177" s="12"/>
      <c r="BP177" s="12"/>
      <c r="BQ177" s="12"/>
      <c r="BR177" s="12"/>
      <c r="BS177" s="12"/>
      <c r="BT177" s="12"/>
      <c r="BU177" s="12"/>
      <c r="BV177" s="6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</row>
    <row r="178" ht="15.75" customHeight="1"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T178" s="12"/>
      <c r="V178" s="12"/>
      <c r="X178" s="12"/>
      <c r="AB178" s="12"/>
      <c r="AF178" s="12"/>
      <c r="AJ178" s="12"/>
      <c r="AN178" s="12"/>
      <c r="AY178" s="12"/>
      <c r="AZ178" s="12"/>
      <c r="BA178" s="12"/>
      <c r="BC178" s="12"/>
      <c r="BD178" s="12"/>
      <c r="BE178" s="12"/>
      <c r="BF178" s="12"/>
      <c r="BG178" s="12"/>
      <c r="BH178" s="12"/>
      <c r="BI178" s="12"/>
      <c r="BK178" s="12"/>
      <c r="BL178" s="12"/>
      <c r="BM178" s="12"/>
      <c r="BO178" s="12"/>
      <c r="BP178" s="12"/>
      <c r="BQ178" s="12"/>
      <c r="BR178" s="12"/>
      <c r="BS178" s="12"/>
      <c r="BT178" s="12"/>
      <c r="BU178" s="12"/>
      <c r="BV178" s="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</row>
    <row r="179" ht="15.75" customHeight="1"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T179" s="12"/>
      <c r="V179" s="12"/>
      <c r="X179" s="12"/>
      <c r="AB179" s="12"/>
      <c r="AF179" s="12"/>
      <c r="AJ179" s="12"/>
      <c r="AN179" s="12"/>
      <c r="AY179" s="12"/>
      <c r="AZ179" s="12"/>
      <c r="BA179" s="12"/>
      <c r="BC179" s="12"/>
      <c r="BD179" s="12"/>
      <c r="BE179" s="12"/>
      <c r="BF179" s="12"/>
      <c r="BG179" s="12"/>
      <c r="BH179" s="12"/>
      <c r="BI179" s="12"/>
      <c r="BK179" s="12"/>
      <c r="BL179" s="12"/>
      <c r="BM179" s="12"/>
      <c r="BO179" s="12"/>
      <c r="BP179" s="12"/>
      <c r="BQ179" s="12"/>
      <c r="BR179" s="12"/>
      <c r="BS179" s="12"/>
      <c r="BT179" s="12"/>
      <c r="BU179" s="12"/>
      <c r="BV179" s="6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</row>
    <row r="180" ht="15.75" customHeight="1"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T180" s="12"/>
      <c r="V180" s="12"/>
      <c r="X180" s="12"/>
      <c r="AB180" s="12"/>
      <c r="AF180" s="12"/>
      <c r="AJ180" s="12"/>
      <c r="AN180" s="12"/>
      <c r="AY180" s="12"/>
      <c r="AZ180" s="12"/>
      <c r="BA180" s="12"/>
      <c r="BC180" s="12"/>
      <c r="BD180" s="12"/>
      <c r="BE180" s="12"/>
      <c r="BF180" s="12"/>
      <c r="BG180" s="12"/>
      <c r="BH180" s="12"/>
      <c r="BI180" s="12"/>
      <c r="BK180" s="12"/>
      <c r="BL180" s="12"/>
      <c r="BM180" s="12"/>
      <c r="BO180" s="12"/>
      <c r="BP180" s="12"/>
      <c r="BQ180" s="12"/>
      <c r="BR180" s="12"/>
      <c r="BS180" s="12"/>
      <c r="BT180" s="12"/>
      <c r="BU180" s="12"/>
      <c r="BV180" s="6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</row>
    <row r="181" ht="15.75" customHeight="1"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T181" s="12"/>
      <c r="V181" s="12"/>
      <c r="X181" s="12"/>
      <c r="AB181" s="12"/>
      <c r="AF181" s="12"/>
      <c r="AJ181" s="12"/>
      <c r="AN181" s="12"/>
      <c r="AY181" s="12"/>
      <c r="AZ181" s="12"/>
      <c r="BA181" s="12"/>
      <c r="BC181" s="12"/>
      <c r="BD181" s="12"/>
      <c r="BE181" s="12"/>
      <c r="BF181" s="12"/>
      <c r="BG181" s="12"/>
      <c r="BH181" s="12"/>
      <c r="BI181" s="12"/>
      <c r="BK181" s="12"/>
      <c r="BL181" s="12"/>
      <c r="BM181" s="12"/>
      <c r="BO181" s="12"/>
      <c r="BP181" s="12"/>
      <c r="BQ181" s="12"/>
      <c r="BR181" s="12"/>
      <c r="BS181" s="12"/>
      <c r="BT181" s="12"/>
      <c r="BU181" s="12"/>
      <c r="BV181" s="6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</row>
    <row r="182" ht="15.75" customHeight="1"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T182" s="12"/>
      <c r="V182" s="12"/>
      <c r="X182" s="12"/>
      <c r="AB182" s="12"/>
      <c r="AF182" s="12"/>
      <c r="AJ182" s="12"/>
      <c r="AN182" s="12"/>
      <c r="AY182" s="12"/>
      <c r="AZ182" s="12"/>
      <c r="BA182" s="12"/>
      <c r="BC182" s="12"/>
      <c r="BD182" s="12"/>
      <c r="BE182" s="12"/>
      <c r="BF182" s="12"/>
      <c r="BG182" s="12"/>
      <c r="BH182" s="12"/>
      <c r="BI182" s="12"/>
      <c r="BK182" s="12"/>
      <c r="BL182" s="12"/>
      <c r="BM182" s="12"/>
      <c r="BO182" s="12"/>
      <c r="BP182" s="12"/>
      <c r="BQ182" s="12"/>
      <c r="BR182" s="12"/>
      <c r="BS182" s="12"/>
      <c r="BT182" s="12"/>
      <c r="BU182" s="12"/>
      <c r="BV182" s="6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</row>
    <row r="183" ht="15.75" customHeight="1"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T183" s="12"/>
      <c r="V183" s="12"/>
      <c r="X183" s="12"/>
      <c r="AB183" s="12"/>
      <c r="AF183" s="12"/>
      <c r="AJ183" s="12"/>
      <c r="AN183" s="12"/>
      <c r="AY183" s="12"/>
      <c r="AZ183" s="12"/>
      <c r="BA183" s="12"/>
      <c r="BC183" s="12"/>
      <c r="BD183" s="12"/>
      <c r="BE183" s="12"/>
      <c r="BF183" s="12"/>
      <c r="BG183" s="12"/>
      <c r="BH183" s="12"/>
      <c r="BI183" s="12"/>
      <c r="BK183" s="12"/>
      <c r="BL183" s="12"/>
      <c r="BM183" s="12"/>
      <c r="BO183" s="12"/>
      <c r="BP183" s="12"/>
      <c r="BQ183" s="12"/>
      <c r="BR183" s="12"/>
      <c r="BS183" s="12"/>
      <c r="BT183" s="12"/>
      <c r="BU183" s="12"/>
      <c r="BV183" s="6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</row>
    <row r="184" ht="15.75" customHeight="1"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T184" s="12"/>
      <c r="V184" s="12"/>
      <c r="X184" s="12"/>
      <c r="AB184" s="12"/>
      <c r="AF184" s="12"/>
      <c r="AJ184" s="12"/>
      <c r="AN184" s="12"/>
      <c r="AY184" s="12"/>
      <c r="AZ184" s="12"/>
      <c r="BA184" s="12"/>
      <c r="BC184" s="12"/>
      <c r="BD184" s="12"/>
      <c r="BE184" s="12"/>
      <c r="BF184" s="12"/>
      <c r="BG184" s="12"/>
      <c r="BH184" s="12"/>
      <c r="BI184" s="12"/>
      <c r="BK184" s="12"/>
      <c r="BL184" s="12"/>
      <c r="BM184" s="12"/>
      <c r="BO184" s="12"/>
      <c r="BP184" s="12"/>
      <c r="BQ184" s="12"/>
      <c r="BR184" s="12"/>
      <c r="BS184" s="12"/>
      <c r="BT184" s="12"/>
      <c r="BU184" s="12"/>
      <c r="BV184" s="6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</row>
    <row r="185" ht="15.75" customHeight="1"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T185" s="12"/>
      <c r="V185" s="12"/>
      <c r="X185" s="12"/>
      <c r="AB185" s="12"/>
      <c r="AF185" s="12"/>
      <c r="AJ185" s="12"/>
      <c r="AN185" s="12"/>
      <c r="AY185" s="12"/>
      <c r="AZ185" s="12"/>
      <c r="BA185" s="12"/>
      <c r="BC185" s="12"/>
      <c r="BD185" s="12"/>
      <c r="BE185" s="12"/>
      <c r="BF185" s="12"/>
      <c r="BG185" s="12"/>
      <c r="BH185" s="12"/>
      <c r="BI185" s="12"/>
      <c r="BK185" s="12"/>
      <c r="BL185" s="12"/>
      <c r="BM185" s="12"/>
      <c r="BO185" s="12"/>
      <c r="BP185" s="12"/>
      <c r="BQ185" s="12"/>
      <c r="BR185" s="12"/>
      <c r="BS185" s="12"/>
      <c r="BT185" s="12"/>
      <c r="BU185" s="12"/>
      <c r="BV185" s="6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</row>
    <row r="186" ht="15.75" customHeight="1"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T186" s="12"/>
      <c r="V186" s="12"/>
      <c r="X186" s="12"/>
      <c r="AB186" s="12"/>
      <c r="AF186" s="12"/>
      <c r="AJ186" s="12"/>
      <c r="AN186" s="12"/>
      <c r="AY186" s="12"/>
      <c r="AZ186" s="12"/>
      <c r="BA186" s="12"/>
      <c r="BC186" s="12"/>
      <c r="BD186" s="12"/>
      <c r="BE186" s="12"/>
      <c r="BF186" s="12"/>
      <c r="BG186" s="12"/>
      <c r="BH186" s="12"/>
      <c r="BI186" s="12"/>
      <c r="BK186" s="12"/>
      <c r="BL186" s="12"/>
      <c r="BM186" s="12"/>
      <c r="BO186" s="12"/>
      <c r="BP186" s="12"/>
      <c r="BQ186" s="12"/>
      <c r="BR186" s="12"/>
      <c r="BS186" s="12"/>
      <c r="BT186" s="12"/>
      <c r="BU186" s="12"/>
      <c r="BV186" s="6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</row>
    <row r="187" ht="15.75" customHeight="1"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T187" s="12"/>
      <c r="V187" s="12"/>
      <c r="X187" s="12"/>
      <c r="AB187" s="12"/>
      <c r="AF187" s="12"/>
      <c r="AJ187" s="12"/>
      <c r="AN187" s="12"/>
      <c r="AY187" s="12"/>
      <c r="AZ187" s="12"/>
      <c r="BA187" s="12"/>
      <c r="BC187" s="12"/>
      <c r="BD187" s="12"/>
      <c r="BE187" s="12"/>
      <c r="BF187" s="12"/>
      <c r="BG187" s="12"/>
      <c r="BH187" s="12"/>
      <c r="BI187" s="12"/>
      <c r="BK187" s="12"/>
      <c r="BL187" s="12"/>
      <c r="BM187" s="12"/>
      <c r="BO187" s="12"/>
      <c r="BP187" s="12"/>
      <c r="BQ187" s="12"/>
      <c r="BR187" s="12"/>
      <c r="BS187" s="12"/>
      <c r="BT187" s="12"/>
      <c r="BU187" s="12"/>
      <c r="BV187" s="6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</row>
    <row r="188" ht="15.75" customHeight="1"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T188" s="12"/>
      <c r="V188" s="12"/>
      <c r="X188" s="12"/>
      <c r="AB188" s="12"/>
      <c r="AF188" s="12"/>
      <c r="AJ188" s="12"/>
      <c r="AN188" s="12"/>
      <c r="AY188" s="12"/>
      <c r="AZ188" s="12"/>
      <c r="BA188" s="12"/>
      <c r="BC188" s="12"/>
      <c r="BD188" s="12"/>
      <c r="BE188" s="12"/>
      <c r="BF188" s="12"/>
      <c r="BG188" s="12"/>
      <c r="BH188" s="12"/>
      <c r="BI188" s="12"/>
      <c r="BK188" s="12"/>
      <c r="BL188" s="12"/>
      <c r="BM188" s="12"/>
      <c r="BO188" s="12"/>
      <c r="BP188" s="12"/>
      <c r="BQ188" s="12"/>
      <c r="BR188" s="12"/>
      <c r="BS188" s="12"/>
      <c r="BT188" s="12"/>
      <c r="BU188" s="12"/>
      <c r="BV188" s="6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</row>
    <row r="189" ht="15.75" customHeight="1"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T189" s="12"/>
      <c r="V189" s="12"/>
      <c r="X189" s="12"/>
      <c r="AB189" s="12"/>
      <c r="AF189" s="12"/>
      <c r="AJ189" s="12"/>
      <c r="AN189" s="12"/>
      <c r="AY189" s="12"/>
      <c r="AZ189" s="12"/>
      <c r="BA189" s="12"/>
      <c r="BC189" s="12"/>
      <c r="BD189" s="12"/>
      <c r="BE189" s="12"/>
      <c r="BF189" s="12"/>
      <c r="BG189" s="12"/>
      <c r="BH189" s="12"/>
      <c r="BI189" s="12"/>
      <c r="BK189" s="12"/>
      <c r="BL189" s="12"/>
      <c r="BM189" s="12"/>
      <c r="BO189" s="12"/>
      <c r="BP189" s="12"/>
      <c r="BQ189" s="12"/>
      <c r="BR189" s="12"/>
      <c r="BS189" s="12"/>
      <c r="BT189" s="12"/>
      <c r="BU189" s="12"/>
      <c r="BV189" s="6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</row>
    <row r="190" ht="15.75" customHeight="1"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T190" s="12"/>
      <c r="V190" s="12"/>
      <c r="X190" s="12"/>
      <c r="AB190" s="12"/>
      <c r="AF190" s="12"/>
      <c r="AJ190" s="12"/>
      <c r="AN190" s="12"/>
      <c r="AY190" s="12"/>
      <c r="AZ190" s="12"/>
      <c r="BA190" s="12"/>
      <c r="BC190" s="12"/>
      <c r="BD190" s="12"/>
      <c r="BE190" s="12"/>
      <c r="BF190" s="12"/>
      <c r="BG190" s="12"/>
      <c r="BH190" s="12"/>
      <c r="BI190" s="12"/>
      <c r="BK190" s="12"/>
      <c r="BL190" s="12"/>
      <c r="BM190" s="12"/>
      <c r="BO190" s="12"/>
      <c r="BP190" s="12"/>
      <c r="BQ190" s="12"/>
      <c r="BR190" s="12"/>
      <c r="BS190" s="12"/>
      <c r="BT190" s="12"/>
      <c r="BU190" s="12"/>
      <c r="BV190" s="6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</row>
    <row r="191" ht="15.75" customHeight="1"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T191" s="12"/>
      <c r="V191" s="12"/>
      <c r="X191" s="12"/>
      <c r="AB191" s="12"/>
      <c r="AF191" s="12"/>
      <c r="AJ191" s="12"/>
      <c r="AN191" s="12"/>
      <c r="AY191" s="12"/>
      <c r="AZ191" s="12"/>
      <c r="BA191" s="12"/>
      <c r="BC191" s="12"/>
      <c r="BD191" s="12"/>
      <c r="BE191" s="12"/>
      <c r="BF191" s="12"/>
      <c r="BG191" s="12"/>
      <c r="BH191" s="12"/>
      <c r="BI191" s="12"/>
      <c r="BK191" s="12"/>
      <c r="BL191" s="12"/>
      <c r="BM191" s="12"/>
      <c r="BO191" s="12"/>
      <c r="BP191" s="12"/>
      <c r="BQ191" s="12"/>
      <c r="BR191" s="12"/>
      <c r="BS191" s="12"/>
      <c r="BT191" s="12"/>
      <c r="BU191" s="12"/>
      <c r="BV191" s="6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</row>
    <row r="192" ht="15.75" customHeight="1">
      <c r="BV192" s="6"/>
    </row>
    <row r="193" ht="15.75" customHeight="1">
      <c r="BV193" s="6"/>
    </row>
    <row r="194" ht="15.75" customHeight="1">
      <c r="BV194" s="6"/>
    </row>
    <row r="195" ht="15.75" customHeight="1">
      <c r="BV195" s="6"/>
    </row>
    <row r="196" ht="15.75" customHeight="1">
      <c r="BV196" s="6"/>
    </row>
    <row r="197" ht="15.75" customHeight="1">
      <c r="BV197" s="6"/>
    </row>
    <row r="198" ht="15.75" customHeight="1">
      <c r="BV198" s="6"/>
    </row>
    <row r="199" ht="15.75" customHeight="1">
      <c r="BV199" s="6"/>
    </row>
    <row r="200" ht="15.75" customHeight="1">
      <c r="BV200" s="6"/>
    </row>
    <row r="201" ht="15.75" customHeight="1">
      <c r="BV201" s="6"/>
    </row>
    <row r="202" ht="15.75" customHeight="1">
      <c r="BV202" s="6"/>
    </row>
    <row r="203" ht="15.75" customHeight="1">
      <c r="BV203" s="6"/>
    </row>
    <row r="204" ht="15.75" customHeight="1">
      <c r="BV204" s="6"/>
    </row>
    <row r="205" ht="15.75" customHeight="1">
      <c r="BV205" s="6"/>
    </row>
    <row r="206" ht="15.75" customHeight="1">
      <c r="BV206" s="6"/>
    </row>
    <row r="207" ht="15.75" customHeight="1">
      <c r="BV207" s="6"/>
    </row>
    <row r="208" ht="15.75" customHeight="1">
      <c r="BV208" s="6"/>
    </row>
    <row r="209" ht="15.75" customHeight="1">
      <c r="BV209" s="6"/>
    </row>
    <row r="210" ht="15.75" customHeight="1">
      <c r="BV210" s="6"/>
    </row>
    <row r="211" ht="15.75" customHeight="1">
      <c r="BV211" s="6"/>
    </row>
    <row r="212" ht="15.75" customHeight="1">
      <c r="BV212" s="6"/>
    </row>
    <row r="213" ht="15.75" customHeight="1">
      <c r="BV213" s="6"/>
    </row>
    <row r="214" ht="15.75" customHeight="1">
      <c r="BV214" s="6"/>
    </row>
    <row r="215" ht="15.75" customHeight="1">
      <c r="BV215" s="6"/>
    </row>
    <row r="216" ht="15.75" customHeight="1">
      <c r="BV216" s="6"/>
    </row>
    <row r="217" ht="15.75" customHeight="1">
      <c r="BV217" s="6"/>
    </row>
    <row r="218" ht="15.75" customHeight="1">
      <c r="BV218" s="6"/>
    </row>
    <row r="219" ht="15.75" customHeight="1">
      <c r="BV219" s="6"/>
    </row>
    <row r="220" ht="15.75" customHeight="1">
      <c r="BV220" s="6"/>
    </row>
    <row r="221" ht="15.75" customHeight="1">
      <c r="BV221" s="6"/>
    </row>
    <row r="222" ht="15.75" customHeight="1">
      <c r="BV222" s="6"/>
    </row>
    <row r="223" ht="15.75" customHeight="1">
      <c r="BV223" s="6"/>
    </row>
    <row r="224" ht="15.75" customHeight="1">
      <c r="BV224" s="6"/>
    </row>
    <row r="225" ht="15.75" customHeight="1">
      <c r="BV225" s="6"/>
    </row>
    <row r="226" ht="15.75" customHeight="1">
      <c r="BV226" s="6"/>
    </row>
    <row r="227" ht="15.75" customHeight="1">
      <c r="BV227" s="6"/>
    </row>
    <row r="228" ht="15.75" customHeight="1">
      <c r="BV228" s="6"/>
    </row>
    <row r="229" ht="15.75" customHeight="1">
      <c r="BV229" s="6"/>
    </row>
    <row r="230" ht="15.75" customHeight="1">
      <c r="BV230" s="6"/>
    </row>
    <row r="231" ht="15.75" customHeight="1">
      <c r="BV231" s="6"/>
    </row>
    <row r="232" ht="15.75" customHeight="1">
      <c r="BV232" s="6"/>
    </row>
    <row r="233" ht="15.75" customHeight="1">
      <c r="BV233" s="6"/>
    </row>
    <row r="234" ht="15.75" customHeight="1">
      <c r="BV234" s="6"/>
    </row>
    <row r="235" ht="15.75" customHeight="1">
      <c r="BV235" s="6"/>
    </row>
    <row r="236" ht="15.75" customHeight="1">
      <c r="BV236" s="6"/>
    </row>
    <row r="237" ht="15.75" customHeight="1">
      <c r="BV237" s="6"/>
    </row>
    <row r="238" ht="15.75" customHeight="1">
      <c r="BV238" s="6"/>
    </row>
    <row r="239" ht="15.75" customHeight="1">
      <c r="BV239" s="6"/>
    </row>
    <row r="240" ht="15.75" customHeight="1">
      <c r="BV240" s="6"/>
    </row>
    <row r="241" ht="15.75" customHeight="1">
      <c r="BV241" s="6"/>
    </row>
    <row r="242" ht="15.75" customHeight="1">
      <c r="BV242" s="6"/>
    </row>
    <row r="243" ht="15.75" customHeight="1">
      <c r="BV243" s="6"/>
    </row>
    <row r="244" ht="15.75" customHeight="1">
      <c r="BV244" s="6"/>
    </row>
    <row r="245" ht="15.75" customHeight="1">
      <c r="BV245" s="6"/>
    </row>
    <row r="246" ht="15.75" customHeight="1">
      <c r="BV246" s="6"/>
    </row>
    <row r="247" ht="15.75" customHeight="1">
      <c r="BV247" s="6"/>
    </row>
    <row r="248" ht="15.75" customHeight="1">
      <c r="BV248" s="6"/>
    </row>
    <row r="249" ht="15.75" customHeight="1">
      <c r="BV249" s="6"/>
    </row>
    <row r="250" ht="15.75" customHeight="1">
      <c r="BV250" s="6"/>
    </row>
    <row r="251" ht="15.75" customHeight="1">
      <c r="BV251" s="6"/>
    </row>
    <row r="252" ht="15.75" customHeight="1">
      <c r="BV252" s="6"/>
    </row>
    <row r="253" ht="15.75" customHeight="1">
      <c r="BV253" s="6"/>
    </row>
    <row r="254" ht="15.75" customHeight="1">
      <c r="BV254" s="6"/>
    </row>
    <row r="255" ht="15.75" customHeight="1">
      <c r="BV255" s="6"/>
    </row>
    <row r="256" ht="15.75" customHeight="1">
      <c r="BV256" s="6"/>
    </row>
    <row r="257" ht="15.75" customHeight="1">
      <c r="BV257" s="6"/>
    </row>
    <row r="258" ht="15.75" customHeight="1">
      <c r="BV258" s="6"/>
    </row>
    <row r="259" ht="15.75" customHeight="1">
      <c r="BV259" s="6"/>
    </row>
    <row r="260" ht="15.75" customHeight="1">
      <c r="BV260" s="6"/>
    </row>
    <row r="261" ht="15.75" customHeight="1">
      <c r="BV261" s="6"/>
    </row>
    <row r="262" ht="15.75" customHeight="1">
      <c r="BV262" s="6"/>
    </row>
    <row r="263" ht="15.75" customHeight="1">
      <c r="BV263" s="6"/>
    </row>
    <row r="264" ht="15.75" customHeight="1">
      <c r="BV264" s="6"/>
    </row>
    <row r="265" ht="15.75" customHeight="1">
      <c r="BV265" s="6"/>
    </row>
    <row r="266" ht="15.75" customHeight="1">
      <c r="BV266" s="6"/>
    </row>
    <row r="267" ht="15.75" customHeight="1">
      <c r="BV267" s="6"/>
    </row>
    <row r="268" ht="15.75" customHeight="1">
      <c r="BV268" s="6"/>
    </row>
    <row r="269" ht="15.75" customHeight="1">
      <c r="BV269" s="6"/>
    </row>
    <row r="270" ht="15.75" customHeight="1">
      <c r="BV270" s="6"/>
    </row>
    <row r="271" ht="15.75" customHeight="1">
      <c r="BV271" s="6"/>
    </row>
    <row r="272" ht="15.75" customHeight="1">
      <c r="BV272" s="6"/>
    </row>
    <row r="273" ht="15.75" customHeight="1">
      <c r="BV273" s="6"/>
    </row>
    <row r="274" ht="15.75" customHeight="1">
      <c r="BV274" s="6"/>
    </row>
    <row r="275" ht="15.75" customHeight="1">
      <c r="BV275" s="6"/>
    </row>
    <row r="276" ht="15.75" customHeight="1">
      <c r="BV276" s="6"/>
    </row>
    <row r="277" ht="15.75" customHeight="1">
      <c r="BV277" s="6"/>
    </row>
    <row r="278" ht="15.75" customHeight="1">
      <c r="BV278" s="6"/>
    </row>
    <row r="279" ht="15.75" customHeight="1">
      <c r="BV279" s="6"/>
    </row>
    <row r="280" ht="15.75" customHeight="1">
      <c r="BV280" s="6"/>
    </row>
    <row r="281" ht="15.75" customHeight="1">
      <c r="BV281" s="6"/>
    </row>
    <row r="282" ht="15.75" customHeight="1">
      <c r="BV282" s="6"/>
    </row>
    <row r="283" ht="15.75" customHeight="1">
      <c r="BV283" s="6"/>
    </row>
    <row r="284" ht="15.75" customHeight="1">
      <c r="BV284" s="6"/>
    </row>
    <row r="285" ht="15.75" customHeight="1">
      <c r="BV285" s="6"/>
    </row>
    <row r="286" ht="15.75" customHeight="1">
      <c r="BV286" s="6"/>
    </row>
    <row r="287" ht="15.75" customHeight="1">
      <c r="BV287" s="6"/>
    </row>
    <row r="288" ht="15.75" customHeight="1">
      <c r="BV288" s="6"/>
    </row>
    <row r="289" ht="15.75" customHeight="1">
      <c r="BV289" s="6"/>
    </row>
    <row r="290" ht="15.75" customHeight="1">
      <c r="BV290" s="6"/>
    </row>
    <row r="291" ht="15.75" customHeight="1">
      <c r="BV291" s="6"/>
    </row>
    <row r="292" ht="15.75" customHeight="1">
      <c r="BV292" s="6"/>
    </row>
    <row r="293" ht="15.75" customHeight="1">
      <c r="BV293" s="6"/>
    </row>
    <row r="294" ht="15.75" customHeight="1">
      <c r="BV294" s="6"/>
    </row>
    <row r="295" ht="15.75" customHeight="1">
      <c r="BV295" s="6"/>
    </row>
    <row r="296" ht="15.75" customHeight="1">
      <c r="BV296" s="6"/>
    </row>
    <row r="297" ht="15.75" customHeight="1">
      <c r="BV297" s="6"/>
    </row>
    <row r="298" ht="15.75" customHeight="1">
      <c r="BV298" s="6"/>
    </row>
    <row r="299" ht="15.75" customHeight="1">
      <c r="BV299" s="6"/>
    </row>
    <row r="300" ht="15.75" customHeight="1">
      <c r="BV300" s="6"/>
    </row>
    <row r="301" ht="15.75" customHeight="1">
      <c r="BV301" s="6"/>
    </row>
    <row r="302" ht="15.75" customHeight="1">
      <c r="BV302" s="6"/>
    </row>
    <row r="303" ht="15.75" customHeight="1">
      <c r="BV303" s="6"/>
    </row>
    <row r="304" ht="15.75" customHeight="1">
      <c r="BV304" s="6"/>
    </row>
    <row r="305" ht="15.75" customHeight="1">
      <c r="BV305" s="6"/>
    </row>
    <row r="306" ht="15.75" customHeight="1">
      <c r="BV306" s="6"/>
    </row>
    <row r="307" ht="15.75" customHeight="1">
      <c r="BV307" s="6"/>
    </row>
    <row r="308" ht="15.75" customHeight="1">
      <c r="BV308" s="6"/>
    </row>
    <row r="309" ht="15.75" customHeight="1">
      <c r="BV309" s="6"/>
    </row>
    <row r="310" ht="15.75" customHeight="1">
      <c r="BV310" s="6"/>
    </row>
    <row r="311" ht="15.75" customHeight="1">
      <c r="BV311" s="6"/>
    </row>
    <row r="312" ht="15.75" customHeight="1">
      <c r="BV312" s="6"/>
    </row>
    <row r="313" ht="15.75" customHeight="1">
      <c r="BV313" s="6"/>
    </row>
    <row r="314" ht="15.75" customHeight="1">
      <c r="BV314" s="6"/>
    </row>
    <row r="315" ht="15.75" customHeight="1">
      <c r="BV315" s="6"/>
    </row>
    <row r="316" ht="15.75" customHeight="1">
      <c r="BV316" s="6"/>
    </row>
    <row r="317" ht="15.75" customHeight="1">
      <c r="BV317" s="6"/>
    </row>
    <row r="318" ht="15.75" customHeight="1">
      <c r="BV318" s="6"/>
    </row>
    <row r="319" ht="15.75" customHeight="1">
      <c r="BV319" s="6"/>
    </row>
    <row r="320" ht="15.75" customHeight="1">
      <c r="BV320" s="6"/>
    </row>
    <row r="321" ht="15.75" customHeight="1">
      <c r="BV321" s="6"/>
    </row>
    <row r="322" ht="15.75" customHeight="1">
      <c r="BV322" s="6"/>
    </row>
    <row r="323" ht="15.75" customHeight="1">
      <c r="BV323" s="6"/>
    </row>
    <row r="324" ht="15.75" customHeight="1">
      <c r="BV324" s="6"/>
    </row>
    <row r="325" ht="15.75" customHeight="1">
      <c r="BV325" s="6"/>
    </row>
    <row r="326" ht="15.75" customHeight="1">
      <c r="BV326" s="6"/>
    </row>
    <row r="327" ht="15.75" customHeight="1">
      <c r="BV327" s="6"/>
    </row>
    <row r="328" ht="15.75" customHeight="1">
      <c r="BV328" s="6"/>
    </row>
    <row r="329" ht="15.75" customHeight="1">
      <c r="BV329" s="6"/>
    </row>
    <row r="330" ht="15.75" customHeight="1">
      <c r="BV330" s="6"/>
    </row>
    <row r="331" ht="15.75" customHeight="1">
      <c r="BV331" s="6"/>
    </row>
    <row r="332" ht="15.75" customHeight="1">
      <c r="BV332" s="6"/>
    </row>
    <row r="333" ht="15.75" customHeight="1">
      <c r="BV333" s="6"/>
    </row>
    <row r="334" ht="15.75" customHeight="1">
      <c r="BV334" s="6"/>
    </row>
    <row r="335" ht="15.75" customHeight="1">
      <c r="BV335" s="6"/>
    </row>
    <row r="336" ht="15.75" customHeight="1">
      <c r="BV336" s="6"/>
    </row>
    <row r="337" ht="15.75" customHeight="1">
      <c r="BV337" s="6"/>
    </row>
    <row r="338" ht="15.75" customHeight="1">
      <c r="BV338" s="6"/>
    </row>
    <row r="339" ht="15.75" customHeight="1">
      <c r="BV339" s="6"/>
    </row>
    <row r="340" ht="15.75" customHeight="1">
      <c r="BV340" s="6"/>
    </row>
    <row r="341" ht="15.75" customHeight="1">
      <c r="BV341" s="6"/>
    </row>
    <row r="342" ht="15.75" customHeight="1">
      <c r="BV342" s="6"/>
    </row>
    <row r="343" ht="15.75" customHeight="1">
      <c r="BV343" s="6"/>
    </row>
    <row r="344" ht="15.75" customHeight="1">
      <c r="BV344" s="6"/>
    </row>
    <row r="345" ht="15.75" customHeight="1">
      <c r="BV345" s="6"/>
    </row>
    <row r="346" ht="15.75" customHeight="1">
      <c r="BV346" s="6"/>
    </row>
    <row r="347" ht="15.75" customHeight="1">
      <c r="BV347" s="6"/>
    </row>
    <row r="348" ht="15.75" customHeight="1">
      <c r="BV348" s="6"/>
    </row>
    <row r="349" ht="15.75" customHeight="1">
      <c r="BV349" s="6"/>
    </row>
    <row r="350" ht="15.75" customHeight="1">
      <c r="BV350" s="6"/>
    </row>
    <row r="351" ht="15.75" customHeight="1">
      <c r="BV351" s="6"/>
    </row>
    <row r="352" ht="15.75" customHeight="1">
      <c r="BV352" s="6"/>
    </row>
    <row r="353" ht="15.75" customHeight="1">
      <c r="BV353" s="6"/>
    </row>
    <row r="354" ht="15.75" customHeight="1">
      <c r="BV354" s="6"/>
    </row>
    <row r="355" ht="15.75" customHeight="1">
      <c r="BV355" s="6"/>
    </row>
    <row r="356" ht="15.75" customHeight="1">
      <c r="BV356" s="6"/>
    </row>
    <row r="357" ht="15.75" customHeight="1">
      <c r="BV357" s="6"/>
    </row>
    <row r="358" ht="15.75" customHeight="1">
      <c r="BV358" s="6"/>
    </row>
    <row r="359" ht="15.75" customHeight="1">
      <c r="BV359" s="6"/>
    </row>
    <row r="360" ht="15.75" customHeight="1">
      <c r="BV360" s="6"/>
    </row>
    <row r="361" ht="15.75" customHeight="1">
      <c r="BV361" s="6"/>
    </row>
    <row r="362" ht="15.75" customHeight="1">
      <c r="BV362" s="6"/>
    </row>
    <row r="363" ht="15.75" customHeight="1">
      <c r="BV363" s="6"/>
    </row>
    <row r="364" ht="15.75" customHeight="1">
      <c r="BV364" s="6"/>
    </row>
    <row r="365" ht="15.75" customHeight="1">
      <c r="BV365" s="6"/>
    </row>
    <row r="366" ht="15.75" customHeight="1">
      <c r="BV366" s="6"/>
    </row>
    <row r="367" ht="15.75" customHeight="1">
      <c r="BV367" s="6"/>
    </row>
    <row r="368" ht="15.75" customHeight="1">
      <c r="BV368" s="6"/>
    </row>
    <row r="369" ht="15.75" customHeight="1">
      <c r="BV369" s="6"/>
    </row>
    <row r="370" ht="15.75" customHeight="1">
      <c r="BV370" s="6"/>
    </row>
    <row r="371" ht="15.75" customHeight="1">
      <c r="BV371" s="6"/>
    </row>
    <row r="372" ht="15.75" customHeight="1">
      <c r="BV372" s="6"/>
    </row>
    <row r="373" ht="15.75" customHeight="1">
      <c r="BV373" s="6"/>
    </row>
    <row r="374" ht="15.75" customHeight="1">
      <c r="BV374" s="6"/>
    </row>
    <row r="375" ht="15.75" customHeight="1">
      <c r="BV375" s="6"/>
    </row>
    <row r="376" ht="15.75" customHeight="1">
      <c r="BV376" s="6"/>
    </row>
    <row r="377" ht="15.75" customHeight="1">
      <c r="BV377" s="6"/>
    </row>
    <row r="378" ht="15.75" customHeight="1">
      <c r="BV378" s="6"/>
    </row>
    <row r="379" ht="15.75" customHeight="1">
      <c r="BV379" s="6"/>
    </row>
    <row r="380" ht="15.75" customHeight="1">
      <c r="BV380" s="6"/>
    </row>
    <row r="381" ht="15.75" customHeight="1">
      <c r="BV381" s="6"/>
    </row>
    <row r="382" ht="15.75" customHeight="1">
      <c r="BV382" s="6"/>
    </row>
    <row r="383" ht="15.75" customHeight="1">
      <c r="BV383" s="6"/>
    </row>
    <row r="384" ht="15.75" customHeight="1">
      <c r="BV384" s="6"/>
    </row>
    <row r="385" ht="15.75" customHeight="1">
      <c r="BV385" s="6"/>
    </row>
    <row r="386" ht="15.75" customHeight="1">
      <c r="BV386" s="6"/>
    </row>
    <row r="387" ht="15.75" customHeight="1">
      <c r="BV387" s="6"/>
    </row>
    <row r="388" ht="15.75" customHeight="1">
      <c r="BV388" s="6"/>
    </row>
    <row r="389" ht="15.75" customHeight="1">
      <c r="BV389" s="6"/>
    </row>
    <row r="390" ht="15.75" customHeight="1">
      <c r="BV390" s="6"/>
    </row>
    <row r="391" ht="15.75" customHeight="1">
      <c r="BV391" s="6"/>
    </row>
    <row r="392" ht="15.75" customHeight="1">
      <c r="BV392" s="6"/>
    </row>
    <row r="393" ht="15.75" customHeight="1">
      <c r="BV393" s="6"/>
    </row>
    <row r="394" ht="15.75" customHeight="1">
      <c r="BV394" s="6"/>
    </row>
    <row r="395" ht="15.75" customHeight="1">
      <c r="BV395" s="6"/>
    </row>
    <row r="396" ht="15.75" customHeight="1">
      <c r="BV396" s="6"/>
    </row>
    <row r="397" ht="15.75" customHeight="1">
      <c r="BV397" s="6"/>
    </row>
    <row r="398" ht="15.75" customHeight="1">
      <c r="BV398" s="6"/>
    </row>
    <row r="399" ht="15.75" customHeight="1">
      <c r="BV399" s="6"/>
    </row>
    <row r="400" ht="15.75" customHeight="1">
      <c r="BV400" s="6"/>
    </row>
    <row r="401" ht="15.75" customHeight="1">
      <c r="BV401" s="6"/>
    </row>
    <row r="402" ht="15.75" customHeight="1">
      <c r="BV402" s="6"/>
    </row>
    <row r="403" ht="15.75" customHeight="1">
      <c r="BV403" s="6"/>
    </row>
    <row r="404" ht="15.75" customHeight="1">
      <c r="BV404" s="6"/>
    </row>
    <row r="405" ht="15.75" customHeight="1">
      <c r="BV405" s="6"/>
    </row>
    <row r="406" ht="15.75" customHeight="1">
      <c r="BV406" s="6"/>
    </row>
    <row r="407" ht="15.75" customHeight="1">
      <c r="BV407" s="6"/>
    </row>
    <row r="408" ht="15.75" customHeight="1">
      <c r="BV408" s="6"/>
    </row>
    <row r="409" ht="15.75" customHeight="1">
      <c r="BV409" s="6"/>
    </row>
    <row r="410" ht="15.75" customHeight="1">
      <c r="BV410" s="6"/>
    </row>
    <row r="411" ht="15.75" customHeight="1">
      <c r="BV411" s="6"/>
    </row>
    <row r="412" ht="15.75" customHeight="1">
      <c r="BV412" s="6"/>
    </row>
    <row r="413" ht="15.75" customHeight="1">
      <c r="BV413" s="6"/>
    </row>
    <row r="414" ht="15.75" customHeight="1">
      <c r="BV414" s="6"/>
    </row>
    <row r="415" ht="15.75" customHeight="1">
      <c r="BV415" s="6"/>
    </row>
    <row r="416" ht="15.75" customHeight="1">
      <c r="BV416" s="6"/>
    </row>
    <row r="417" ht="15.75" customHeight="1">
      <c r="BV417" s="6"/>
    </row>
    <row r="418" ht="15.75" customHeight="1">
      <c r="BV418" s="6"/>
    </row>
    <row r="419" ht="15.75" customHeight="1">
      <c r="BV419" s="6"/>
    </row>
    <row r="420" ht="15.75" customHeight="1">
      <c r="BV420" s="6"/>
    </row>
    <row r="421" ht="15.75" customHeight="1">
      <c r="BV421" s="6"/>
    </row>
    <row r="422" ht="15.75" customHeight="1">
      <c r="BV422" s="6"/>
    </row>
    <row r="423" ht="15.75" customHeight="1">
      <c r="BV423" s="6"/>
    </row>
    <row r="424" ht="15.75" customHeight="1">
      <c r="BV424" s="6"/>
    </row>
    <row r="425" ht="15.75" customHeight="1">
      <c r="BV425" s="6"/>
    </row>
    <row r="426" ht="15.75" customHeight="1">
      <c r="BV426" s="6"/>
    </row>
    <row r="427" ht="15.75" customHeight="1">
      <c r="BV427" s="6"/>
    </row>
    <row r="428" ht="15.75" customHeight="1">
      <c r="BV428" s="6"/>
    </row>
    <row r="429" ht="15.75" customHeight="1">
      <c r="BV429" s="6"/>
    </row>
    <row r="430" ht="15.75" customHeight="1">
      <c r="BV430" s="6"/>
    </row>
    <row r="431" ht="15.75" customHeight="1">
      <c r="BV431" s="6"/>
    </row>
    <row r="432" ht="15.75" customHeight="1">
      <c r="BV432" s="6"/>
    </row>
    <row r="433" ht="15.75" customHeight="1">
      <c r="BV433" s="6"/>
    </row>
    <row r="434" ht="15.75" customHeight="1">
      <c r="BV434" s="6"/>
    </row>
    <row r="435" ht="15.75" customHeight="1">
      <c r="BV435" s="6"/>
    </row>
    <row r="436" ht="15.75" customHeight="1">
      <c r="BV436" s="6"/>
    </row>
    <row r="437" ht="15.75" customHeight="1">
      <c r="BV437" s="6"/>
    </row>
    <row r="438" ht="15.75" customHeight="1">
      <c r="BV438" s="6"/>
    </row>
    <row r="439" ht="15.75" customHeight="1">
      <c r="BV439" s="6"/>
    </row>
    <row r="440" ht="15.75" customHeight="1">
      <c r="BV440" s="6"/>
    </row>
    <row r="441" ht="15.75" customHeight="1">
      <c r="BV441" s="6"/>
    </row>
    <row r="442" ht="15.75" customHeight="1">
      <c r="BV442" s="6"/>
    </row>
    <row r="443" ht="15.75" customHeight="1">
      <c r="BV443" s="6"/>
    </row>
    <row r="444" ht="15.75" customHeight="1">
      <c r="BV444" s="6"/>
    </row>
    <row r="445" ht="15.75" customHeight="1">
      <c r="BV445" s="6"/>
    </row>
    <row r="446" ht="15.75" customHeight="1">
      <c r="BV446" s="6"/>
    </row>
    <row r="447" ht="15.75" customHeight="1">
      <c r="BV447" s="6"/>
    </row>
    <row r="448" ht="15.75" customHeight="1">
      <c r="BV448" s="6"/>
    </row>
    <row r="449" ht="15.75" customHeight="1">
      <c r="BV449" s="6"/>
    </row>
    <row r="450" ht="15.75" customHeight="1">
      <c r="BV450" s="6"/>
    </row>
    <row r="451" ht="15.75" customHeight="1">
      <c r="BV451" s="6"/>
    </row>
    <row r="452" ht="15.75" customHeight="1">
      <c r="BV452" s="6"/>
    </row>
    <row r="453" ht="15.75" customHeight="1">
      <c r="BV453" s="6"/>
    </row>
    <row r="454" ht="15.75" customHeight="1">
      <c r="BV454" s="6"/>
    </row>
    <row r="455" ht="15.75" customHeight="1">
      <c r="BV455" s="6"/>
    </row>
    <row r="456" ht="15.75" customHeight="1">
      <c r="BV456" s="6"/>
    </row>
    <row r="457" ht="15.75" customHeight="1">
      <c r="BV457" s="6"/>
    </row>
    <row r="458" ht="15.75" customHeight="1">
      <c r="BV458" s="6"/>
    </row>
    <row r="459" ht="15.75" customHeight="1">
      <c r="BV459" s="6"/>
    </row>
    <row r="460" ht="15.75" customHeight="1">
      <c r="BV460" s="6"/>
    </row>
    <row r="461" ht="15.75" customHeight="1">
      <c r="BV461" s="6"/>
    </row>
    <row r="462" ht="15.75" customHeight="1">
      <c r="BV462" s="6"/>
    </row>
    <row r="463" ht="15.75" customHeight="1">
      <c r="BV463" s="6"/>
    </row>
    <row r="464" ht="15.75" customHeight="1">
      <c r="BV464" s="6"/>
    </row>
    <row r="465" ht="15.75" customHeight="1">
      <c r="BV465" s="6"/>
    </row>
    <row r="466" ht="15.75" customHeight="1">
      <c r="BV466" s="6"/>
    </row>
    <row r="467" ht="15.75" customHeight="1">
      <c r="BV467" s="6"/>
    </row>
    <row r="468" ht="15.75" customHeight="1">
      <c r="BV468" s="6"/>
    </row>
    <row r="469" ht="15.75" customHeight="1">
      <c r="BV469" s="6"/>
    </row>
    <row r="470" ht="15.75" customHeight="1">
      <c r="BV470" s="6"/>
    </row>
    <row r="471" ht="15.75" customHeight="1">
      <c r="BV471" s="6"/>
    </row>
    <row r="472" ht="15.75" customHeight="1">
      <c r="BV472" s="6"/>
    </row>
    <row r="473" ht="15.75" customHeight="1">
      <c r="BV473" s="6"/>
    </row>
    <row r="474" ht="15.75" customHeight="1">
      <c r="BV474" s="6"/>
    </row>
    <row r="475" ht="15.75" customHeight="1">
      <c r="BV475" s="6"/>
    </row>
    <row r="476" ht="15.75" customHeight="1">
      <c r="BV476" s="6"/>
    </row>
    <row r="477" ht="15.75" customHeight="1">
      <c r="BV477" s="6"/>
    </row>
    <row r="478" ht="15.75" customHeight="1">
      <c r="BV478" s="6"/>
    </row>
    <row r="479" ht="15.75" customHeight="1">
      <c r="BV479" s="6"/>
    </row>
    <row r="480" ht="15.75" customHeight="1">
      <c r="BV480" s="6"/>
    </row>
    <row r="481" ht="15.75" customHeight="1">
      <c r="BV481" s="6"/>
    </row>
    <row r="482" ht="15.75" customHeight="1">
      <c r="BV482" s="6"/>
    </row>
    <row r="483" ht="15.75" customHeight="1">
      <c r="BV483" s="6"/>
    </row>
    <row r="484" ht="15.75" customHeight="1">
      <c r="BV484" s="6"/>
    </row>
    <row r="485" ht="15.75" customHeight="1">
      <c r="BV485" s="6"/>
    </row>
    <row r="486" ht="15.75" customHeight="1">
      <c r="BV486" s="6"/>
    </row>
    <row r="487" ht="15.75" customHeight="1">
      <c r="BV487" s="6"/>
    </row>
    <row r="488" ht="15.75" customHeight="1">
      <c r="BV488" s="6"/>
    </row>
    <row r="489" ht="15.75" customHeight="1">
      <c r="BV489" s="6"/>
    </row>
    <row r="490" ht="15.75" customHeight="1">
      <c r="BV490" s="6"/>
    </row>
    <row r="491" ht="15.75" customHeight="1">
      <c r="BV491" s="6"/>
    </row>
    <row r="492" ht="15.75" customHeight="1">
      <c r="BV492" s="6"/>
    </row>
    <row r="493" ht="15.75" customHeight="1">
      <c r="BV493" s="6"/>
    </row>
    <row r="494" ht="15.75" customHeight="1">
      <c r="BV494" s="6"/>
    </row>
    <row r="495" ht="15.75" customHeight="1">
      <c r="BV495" s="6"/>
    </row>
    <row r="496" ht="15.75" customHeight="1">
      <c r="BV496" s="6"/>
    </row>
    <row r="497" ht="15.75" customHeight="1">
      <c r="BV497" s="6"/>
    </row>
    <row r="498" ht="15.75" customHeight="1">
      <c r="BV498" s="6"/>
    </row>
    <row r="499" ht="15.75" customHeight="1">
      <c r="BV499" s="6"/>
    </row>
    <row r="500" ht="15.75" customHeight="1">
      <c r="BV500" s="6"/>
    </row>
    <row r="501" ht="15.75" customHeight="1">
      <c r="BV501" s="6"/>
    </row>
    <row r="502" ht="15.75" customHeight="1">
      <c r="BV502" s="6"/>
    </row>
    <row r="503" ht="15.75" customHeight="1">
      <c r="BV503" s="6"/>
    </row>
    <row r="504" ht="15.75" customHeight="1">
      <c r="BV504" s="6"/>
    </row>
    <row r="505" ht="15.75" customHeight="1">
      <c r="BV505" s="6"/>
    </row>
    <row r="506" ht="15.75" customHeight="1">
      <c r="BV506" s="6"/>
    </row>
    <row r="507" ht="15.75" customHeight="1">
      <c r="BV507" s="6"/>
    </row>
    <row r="508" ht="15.75" customHeight="1">
      <c r="BV508" s="6"/>
    </row>
    <row r="509" ht="15.75" customHeight="1">
      <c r="BV509" s="6"/>
    </row>
    <row r="510" ht="15.75" customHeight="1">
      <c r="BV510" s="6"/>
    </row>
    <row r="511" ht="15.75" customHeight="1">
      <c r="BV511" s="6"/>
    </row>
    <row r="512" ht="15.75" customHeight="1">
      <c r="BV512" s="6"/>
    </row>
    <row r="513" ht="15.75" customHeight="1">
      <c r="BV513" s="6"/>
    </row>
    <row r="514" ht="15.75" customHeight="1">
      <c r="BV514" s="6"/>
    </row>
    <row r="515" ht="15.75" customHeight="1">
      <c r="BV515" s="6"/>
    </row>
    <row r="516" ht="15.75" customHeight="1">
      <c r="BV516" s="6"/>
    </row>
    <row r="517" ht="15.75" customHeight="1">
      <c r="BV517" s="6"/>
    </row>
    <row r="518" ht="15.75" customHeight="1">
      <c r="BV518" s="6"/>
    </row>
    <row r="519" ht="15.75" customHeight="1">
      <c r="BV519" s="6"/>
    </row>
    <row r="520" ht="15.75" customHeight="1">
      <c r="BV520" s="6"/>
    </row>
    <row r="521" ht="15.75" customHeight="1">
      <c r="BV521" s="6"/>
    </row>
    <row r="522" ht="15.75" customHeight="1">
      <c r="BV522" s="6"/>
    </row>
    <row r="523" ht="15.75" customHeight="1">
      <c r="BV523" s="6"/>
    </row>
    <row r="524" ht="15.75" customHeight="1">
      <c r="BV524" s="6"/>
    </row>
    <row r="525" ht="15.75" customHeight="1">
      <c r="BV525" s="6"/>
    </row>
    <row r="526" ht="15.75" customHeight="1">
      <c r="BV526" s="6"/>
    </row>
    <row r="527" ht="15.75" customHeight="1">
      <c r="BV527" s="6"/>
    </row>
    <row r="528" ht="15.75" customHeight="1">
      <c r="BV528" s="6"/>
    </row>
    <row r="529" ht="15.75" customHeight="1">
      <c r="BV529" s="6"/>
    </row>
    <row r="530" ht="15.75" customHeight="1">
      <c r="BV530" s="6"/>
    </row>
    <row r="531" ht="15.75" customHeight="1">
      <c r="BV531" s="6"/>
    </row>
    <row r="532" ht="15.75" customHeight="1">
      <c r="BV532" s="6"/>
    </row>
    <row r="533" ht="15.75" customHeight="1">
      <c r="BV533" s="6"/>
    </row>
    <row r="534" ht="15.75" customHeight="1">
      <c r="BV534" s="6"/>
    </row>
    <row r="535" ht="15.75" customHeight="1">
      <c r="BV535" s="6"/>
    </row>
    <row r="536" ht="15.75" customHeight="1">
      <c r="BV536" s="6"/>
    </row>
    <row r="537" ht="15.75" customHeight="1">
      <c r="BV537" s="6"/>
    </row>
    <row r="538" ht="15.75" customHeight="1">
      <c r="BV538" s="6"/>
    </row>
    <row r="539" ht="15.75" customHeight="1">
      <c r="BV539" s="6"/>
    </row>
    <row r="540" ht="15.75" customHeight="1">
      <c r="BV540" s="6"/>
    </row>
    <row r="541" ht="15.75" customHeight="1">
      <c r="BV541" s="6"/>
    </row>
    <row r="542" ht="15.75" customHeight="1">
      <c r="BV542" s="6"/>
    </row>
    <row r="543" ht="15.75" customHeight="1">
      <c r="BV543" s="6"/>
    </row>
    <row r="544" ht="15.75" customHeight="1">
      <c r="BV544" s="6"/>
    </row>
    <row r="545" ht="15.75" customHeight="1">
      <c r="BV545" s="6"/>
    </row>
    <row r="546" ht="15.75" customHeight="1">
      <c r="BV546" s="6"/>
    </row>
    <row r="547" ht="15.75" customHeight="1">
      <c r="BV547" s="6"/>
    </row>
    <row r="548" ht="15.75" customHeight="1">
      <c r="BV548" s="6"/>
    </row>
    <row r="549" ht="15.75" customHeight="1">
      <c r="BV549" s="6"/>
    </row>
    <row r="550" ht="15.75" customHeight="1">
      <c r="BV550" s="6"/>
    </row>
    <row r="551" ht="15.75" customHeight="1">
      <c r="BV551" s="6"/>
    </row>
    <row r="552" ht="15.75" customHeight="1">
      <c r="BV552" s="6"/>
    </row>
    <row r="553" ht="15.75" customHeight="1">
      <c r="BV553" s="6"/>
    </row>
    <row r="554" ht="15.75" customHeight="1">
      <c r="BV554" s="6"/>
    </row>
    <row r="555" ht="15.75" customHeight="1">
      <c r="BV555" s="6"/>
    </row>
    <row r="556" ht="15.75" customHeight="1">
      <c r="BV556" s="6"/>
    </row>
    <row r="557" ht="15.75" customHeight="1">
      <c r="BV557" s="6"/>
    </row>
    <row r="558" ht="15.75" customHeight="1">
      <c r="BV558" s="6"/>
    </row>
    <row r="559" ht="15.75" customHeight="1">
      <c r="BV559" s="6"/>
    </row>
    <row r="560" ht="15.75" customHeight="1">
      <c r="BV560" s="6"/>
    </row>
    <row r="561" ht="15.75" customHeight="1">
      <c r="BV561" s="6"/>
    </row>
    <row r="562" ht="15.75" customHeight="1">
      <c r="BV562" s="6"/>
    </row>
    <row r="563" ht="15.75" customHeight="1">
      <c r="BV563" s="6"/>
    </row>
    <row r="564" ht="15.75" customHeight="1">
      <c r="BV564" s="6"/>
    </row>
    <row r="565" ht="15.75" customHeight="1">
      <c r="BV565" s="6"/>
    </row>
    <row r="566" ht="15.75" customHeight="1">
      <c r="BV566" s="6"/>
    </row>
    <row r="567" ht="15.75" customHeight="1">
      <c r="BV567" s="6"/>
    </row>
    <row r="568" ht="15.75" customHeight="1">
      <c r="BV568" s="6"/>
    </row>
    <row r="569" ht="15.75" customHeight="1">
      <c r="BV569" s="6"/>
    </row>
    <row r="570" ht="15.75" customHeight="1">
      <c r="BV570" s="6"/>
    </row>
    <row r="571" ht="15.75" customHeight="1">
      <c r="BV571" s="6"/>
    </row>
    <row r="572" ht="15.75" customHeight="1">
      <c r="BV572" s="6"/>
    </row>
    <row r="573" ht="15.75" customHeight="1">
      <c r="BV573" s="6"/>
    </row>
    <row r="574" ht="15.75" customHeight="1">
      <c r="BV574" s="6"/>
    </row>
    <row r="575" ht="15.75" customHeight="1">
      <c r="BV575" s="6"/>
    </row>
    <row r="576" ht="15.75" customHeight="1">
      <c r="BV576" s="6"/>
    </row>
    <row r="577" ht="15.75" customHeight="1">
      <c r="BV577" s="6"/>
    </row>
    <row r="578" ht="15.75" customHeight="1">
      <c r="BV578" s="6"/>
    </row>
    <row r="579" ht="15.75" customHeight="1">
      <c r="BV579" s="6"/>
    </row>
    <row r="580" ht="15.75" customHeight="1">
      <c r="BV580" s="6"/>
    </row>
    <row r="581" ht="15.75" customHeight="1">
      <c r="BV581" s="6"/>
    </row>
    <row r="582" ht="15.75" customHeight="1">
      <c r="BV582" s="6"/>
    </row>
    <row r="583" ht="15.75" customHeight="1">
      <c r="BV583" s="6"/>
    </row>
    <row r="584" ht="15.75" customHeight="1">
      <c r="BV584" s="6"/>
    </row>
    <row r="585" ht="15.75" customHeight="1">
      <c r="BV585" s="6"/>
    </row>
    <row r="586" ht="15.75" customHeight="1">
      <c r="BV586" s="6"/>
    </row>
    <row r="587" ht="15.75" customHeight="1">
      <c r="BV587" s="6"/>
    </row>
    <row r="588" ht="15.75" customHeight="1">
      <c r="BV588" s="6"/>
    </row>
    <row r="589" ht="15.75" customHeight="1">
      <c r="BV589" s="6"/>
    </row>
    <row r="590" ht="15.75" customHeight="1">
      <c r="BV590" s="6"/>
    </row>
    <row r="591" ht="15.75" customHeight="1">
      <c r="BV591" s="6"/>
    </row>
    <row r="592" ht="15.75" customHeight="1">
      <c r="BV592" s="6"/>
    </row>
    <row r="593" ht="15.75" customHeight="1">
      <c r="BV593" s="6"/>
    </row>
    <row r="594" ht="15.75" customHeight="1">
      <c r="BV594" s="6"/>
    </row>
    <row r="595" ht="15.75" customHeight="1">
      <c r="BV595" s="6"/>
    </row>
    <row r="596" ht="15.75" customHeight="1">
      <c r="BV596" s="6"/>
    </row>
    <row r="597" ht="15.75" customHeight="1">
      <c r="BV597" s="6"/>
    </row>
    <row r="598" ht="15.75" customHeight="1">
      <c r="BV598" s="6"/>
    </row>
    <row r="599" ht="15.75" customHeight="1">
      <c r="BV599" s="6"/>
    </row>
    <row r="600" ht="15.75" customHeight="1">
      <c r="BV600" s="6"/>
    </row>
    <row r="601" ht="15.75" customHeight="1">
      <c r="BV601" s="6"/>
    </row>
    <row r="602" ht="15.75" customHeight="1">
      <c r="BV602" s="6"/>
    </row>
    <row r="603" ht="15.75" customHeight="1">
      <c r="BV603" s="6"/>
    </row>
    <row r="604" ht="15.75" customHeight="1">
      <c r="BV604" s="6"/>
    </row>
    <row r="605" ht="15.75" customHeight="1">
      <c r="BV605" s="6"/>
    </row>
    <row r="606" ht="15.75" customHeight="1">
      <c r="BV606" s="6"/>
    </row>
    <row r="607" ht="15.75" customHeight="1">
      <c r="BV607" s="6"/>
    </row>
    <row r="608" ht="15.75" customHeight="1">
      <c r="BV608" s="6"/>
    </row>
    <row r="609" ht="15.75" customHeight="1">
      <c r="BV609" s="6"/>
    </row>
    <row r="610" ht="15.75" customHeight="1">
      <c r="BV610" s="6"/>
    </row>
    <row r="611" ht="15.75" customHeight="1">
      <c r="BV611" s="6"/>
    </row>
    <row r="612" ht="15.75" customHeight="1">
      <c r="BV612" s="6"/>
    </row>
    <row r="613" ht="15.75" customHeight="1">
      <c r="BV613" s="6"/>
    </row>
    <row r="614" ht="15.75" customHeight="1">
      <c r="BV614" s="6"/>
    </row>
    <row r="615" ht="15.75" customHeight="1">
      <c r="BV615" s="6"/>
    </row>
    <row r="616" ht="15.75" customHeight="1">
      <c r="BV616" s="6"/>
    </row>
    <row r="617" ht="15.75" customHeight="1">
      <c r="BV617" s="6"/>
    </row>
    <row r="618" ht="15.75" customHeight="1">
      <c r="BV618" s="6"/>
    </row>
    <row r="619" ht="15.75" customHeight="1">
      <c r="BV619" s="6"/>
    </row>
    <row r="620" ht="15.75" customHeight="1">
      <c r="BV620" s="6"/>
    </row>
    <row r="621" ht="15.75" customHeight="1">
      <c r="BV621" s="6"/>
    </row>
    <row r="622" ht="15.75" customHeight="1">
      <c r="BV622" s="6"/>
    </row>
    <row r="623" ht="15.75" customHeight="1">
      <c r="BV623" s="6"/>
    </row>
    <row r="624" ht="15.75" customHeight="1">
      <c r="BV624" s="6"/>
    </row>
    <row r="625" ht="15.75" customHeight="1">
      <c r="BV625" s="6"/>
    </row>
    <row r="626" ht="15.75" customHeight="1">
      <c r="BV626" s="6"/>
    </row>
    <row r="627" ht="15.75" customHeight="1">
      <c r="BV627" s="6"/>
    </row>
    <row r="628" ht="15.75" customHeight="1">
      <c r="BV628" s="6"/>
    </row>
    <row r="629" ht="15.75" customHeight="1">
      <c r="BV629" s="6"/>
    </row>
    <row r="630" ht="15.75" customHeight="1">
      <c r="BV630" s="6"/>
    </row>
    <row r="631" ht="15.75" customHeight="1">
      <c r="BV631" s="6"/>
    </row>
    <row r="632" ht="15.75" customHeight="1">
      <c r="BV632" s="6"/>
    </row>
    <row r="633" ht="15.75" customHeight="1">
      <c r="BV633" s="6"/>
    </row>
    <row r="634" ht="15.75" customHeight="1">
      <c r="BV634" s="6"/>
    </row>
    <row r="635" ht="15.75" customHeight="1">
      <c r="BV635" s="6"/>
    </row>
    <row r="636" ht="15.75" customHeight="1">
      <c r="BV636" s="6"/>
    </row>
    <row r="637" ht="15.75" customHeight="1">
      <c r="BV637" s="6"/>
    </row>
    <row r="638" ht="15.75" customHeight="1">
      <c r="BV638" s="6"/>
    </row>
    <row r="639" ht="15.75" customHeight="1">
      <c r="BV639" s="6"/>
    </row>
    <row r="640" ht="15.75" customHeight="1">
      <c r="BV640" s="6"/>
    </row>
    <row r="641" ht="15.75" customHeight="1">
      <c r="BV641" s="6"/>
    </row>
    <row r="642" ht="15.75" customHeight="1">
      <c r="BV642" s="6"/>
    </row>
    <row r="643" ht="15.75" customHeight="1">
      <c r="BV643" s="6"/>
    </row>
    <row r="644" ht="15.75" customHeight="1">
      <c r="BV644" s="6"/>
    </row>
    <row r="645" ht="15.75" customHeight="1">
      <c r="BV645" s="6"/>
    </row>
    <row r="646" ht="15.75" customHeight="1">
      <c r="BV646" s="6"/>
    </row>
    <row r="647" ht="15.75" customHeight="1">
      <c r="BV647" s="6"/>
    </row>
    <row r="648" ht="15.75" customHeight="1">
      <c r="BV648" s="6"/>
    </row>
    <row r="649" ht="15.75" customHeight="1">
      <c r="BV649" s="6"/>
    </row>
    <row r="650" ht="15.75" customHeight="1">
      <c r="BV650" s="6"/>
    </row>
    <row r="651" ht="15.75" customHeight="1">
      <c r="BV651" s="6"/>
    </row>
    <row r="652" ht="15.75" customHeight="1">
      <c r="BV652" s="6"/>
    </row>
    <row r="653" ht="15.75" customHeight="1">
      <c r="BV653" s="6"/>
    </row>
    <row r="654" ht="15.75" customHeight="1">
      <c r="BV654" s="6"/>
    </row>
    <row r="655" ht="15.75" customHeight="1">
      <c r="BV655" s="6"/>
    </row>
    <row r="656" ht="15.75" customHeight="1">
      <c r="BV656" s="6"/>
    </row>
    <row r="657" ht="15.75" customHeight="1">
      <c r="BV657" s="6"/>
    </row>
    <row r="658" ht="15.75" customHeight="1">
      <c r="BV658" s="6"/>
    </row>
    <row r="659" ht="15.75" customHeight="1">
      <c r="BV659" s="6"/>
    </row>
    <row r="660" ht="15.75" customHeight="1">
      <c r="BV660" s="6"/>
    </row>
    <row r="661" ht="15.75" customHeight="1">
      <c r="BV661" s="6"/>
    </row>
    <row r="662" ht="15.75" customHeight="1">
      <c r="BV662" s="6"/>
    </row>
    <row r="663" ht="15.75" customHeight="1">
      <c r="BV663" s="6"/>
    </row>
    <row r="664" ht="15.75" customHeight="1">
      <c r="BV664" s="6"/>
    </row>
    <row r="665" ht="15.75" customHeight="1">
      <c r="BV665" s="6"/>
    </row>
    <row r="666" ht="15.75" customHeight="1">
      <c r="BV666" s="6"/>
    </row>
    <row r="667" ht="15.75" customHeight="1">
      <c r="BV667" s="6"/>
    </row>
    <row r="668" ht="15.75" customHeight="1">
      <c r="BV668" s="6"/>
    </row>
    <row r="669" ht="15.75" customHeight="1">
      <c r="BV669" s="6"/>
    </row>
    <row r="670" ht="15.75" customHeight="1">
      <c r="BV670" s="6"/>
    </row>
    <row r="671" ht="15.75" customHeight="1">
      <c r="BV671" s="6"/>
    </row>
    <row r="672" ht="15.75" customHeight="1">
      <c r="BV672" s="6"/>
    </row>
    <row r="673" ht="15.75" customHeight="1">
      <c r="BV673" s="6"/>
    </row>
    <row r="674" ht="15.75" customHeight="1">
      <c r="BV674" s="6"/>
    </row>
    <row r="675" ht="15.75" customHeight="1">
      <c r="BV675" s="6"/>
    </row>
    <row r="676" ht="15.75" customHeight="1">
      <c r="BV676" s="6"/>
    </row>
    <row r="677" ht="15.75" customHeight="1">
      <c r="BV677" s="6"/>
    </row>
    <row r="678" ht="15.75" customHeight="1">
      <c r="BV678" s="6"/>
    </row>
    <row r="679" ht="15.75" customHeight="1">
      <c r="BV679" s="6"/>
    </row>
    <row r="680" ht="15.75" customHeight="1">
      <c r="BV680" s="6"/>
    </row>
    <row r="681" ht="15.75" customHeight="1">
      <c r="BV681" s="6"/>
    </row>
    <row r="682" ht="15.75" customHeight="1">
      <c r="BV682" s="6"/>
    </row>
    <row r="683" ht="15.75" customHeight="1">
      <c r="BV683" s="6"/>
    </row>
    <row r="684" ht="15.75" customHeight="1">
      <c r="BV684" s="6"/>
    </row>
    <row r="685" ht="15.75" customHeight="1">
      <c r="BV685" s="6"/>
    </row>
    <row r="686" ht="15.75" customHeight="1">
      <c r="BV686" s="6"/>
    </row>
    <row r="687" ht="15.75" customHeight="1">
      <c r="BV687" s="6"/>
    </row>
    <row r="688" ht="15.75" customHeight="1">
      <c r="BV688" s="6"/>
    </row>
    <row r="689" ht="15.75" customHeight="1">
      <c r="BV689" s="6"/>
    </row>
    <row r="690" ht="15.75" customHeight="1">
      <c r="BV690" s="6"/>
    </row>
    <row r="691" ht="15.75" customHeight="1">
      <c r="BV691" s="6"/>
    </row>
    <row r="692" ht="15.75" customHeight="1">
      <c r="BV692" s="6"/>
    </row>
    <row r="693" ht="15.75" customHeight="1">
      <c r="BV693" s="6"/>
    </row>
    <row r="694" ht="15.75" customHeight="1">
      <c r="BV694" s="6"/>
    </row>
    <row r="695" ht="15.75" customHeight="1">
      <c r="BV695" s="6"/>
    </row>
    <row r="696" ht="15.75" customHeight="1">
      <c r="BV696" s="6"/>
    </row>
    <row r="697" ht="15.75" customHeight="1">
      <c r="BV697" s="6"/>
    </row>
    <row r="698" ht="15.75" customHeight="1">
      <c r="BV698" s="6"/>
    </row>
    <row r="699" ht="15.75" customHeight="1">
      <c r="BV699" s="6"/>
    </row>
    <row r="700" ht="15.75" customHeight="1">
      <c r="BV700" s="6"/>
    </row>
    <row r="701" ht="15.75" customHeight="1">
      <c r="BV701" s="6"/>
    </row>
    <row r="702" ht="15.75" customHeight="1">
      <c r="BV702" s="6"/>
    </row>
    <row r="703" ht="15.75" customHeight="1">
      <c r="BV703" s="6"/>
    </row>
    <row r="704" ht="15.75" customHeight="1">
      <c r="BV704" s="6"/>
    </row>
    <row r="705" ht="15.75" customHeight="1">
      <c r="BV705" s="6"/>
    </row>
    <row r="706" ht="15.75" customHeight="1">
      <c r="BV706" s="6"/>
    </row>
    <row r="707" ht="15.75" customHeight="1">
      <c r="BV707" s="6"/>
    </row>
    <row r="708" ht="15.75" customHeight="1">
      <c r="BV708" s="6"/>
    </row>
    <row r="709" ht="15.75" customHeight="1">
      <c r="BV709" s="6"/>
    </row>
    <row r="710" ht="15.75" customHeight="1">
      <c r="BV710" s="6"/>
    </row>
    <row r="711" ht="15.75" customHeight="1">
      <c r="BV711" s="6"/>
    </row>
    <row r="712" ht="15.75" customHeight="1">
      <c r="BV712" s="6"/>
    </row>
    <row r="713" ht="15.75" customHeight="1">
      <c r="BV713" s="6"/>
    </row>
    <row r="714" ht="15.75" customHeight="1">
      <c r="BV714" s="6"/>
    </row>
    <row r="715" ht="15.75" customHeight="1">
      <c r="BV715" s="6"/>
    </row>
    <row r="716" ht="15.75" customHeight="1">
      <c r="BV716" s="6"/>
    </row>
    <row r="717" ht="15.75" customHeight="1">
      <c r="BV717" s="6"/>
    </row>
    <row r="718" ht="15.75" customHeight="1">
      <c r="BV718" s="6"/>
    </row>
    <row r="719" ht="15.75" customHeight="1">
      <c r="BV719" s="6"/>
    </row>
    <row r="720" ht="15.75" customHeight="1">
      <c r="BV720" s="6"/>
    </row>
    <row r="721" ht="15.75" customHeight="1">
      <c r="BV721" s="6"/>
    </row>
    <row r="722" ht="15.75" customHeight="1">
      <c r="BV722" s="6"/>
    </row>
    <row r="723" ht="15.75" customHeight="1">
      <c r="BV723" s="6"/>
    </row>
    <row r="724" ht="15.75" customHeight="1">
      <c r="BV724" s="6"/>
    </row>
    <row r="725" ht="15.75" customHeight="1">
      <c r="BV725" s="6"/>
    </row>
    <row r="726" ht="15.75" customHeight="1">
      <c r="BV726" s="6"/>
    </row>
    <row r="727" ht="15.75" customHeight="1">
      <c r="BV727" s="6"/>
    </row>
    <row r="728" ht="15.75" customHeight="1">
      <c r="BV728" s="6"/>
    </row>
    <row r="729" ht="15.75" customHeight="1">
      <c r="BV729" s="6"/>
    </row>
    <row r="730" ht="15.75" customHeight="1">
      <c r="BV730" s="6"/>
    </row>
    <row r="731" ht="15.75" customHeight="1">
      <c r="BV731" s="6"/>
    </row>
    <row r="732" ht="15.75" customHeight="1">
      <c r="BV732" s="6"/>
    </row>
    <row r="733" ht="15.75" customHeight="1">
      <c r="BV733" s="6"/>
    </row>
    <row r="734" ht="15.75" customHeight="1">
      <c r="BV734" s="6"/>
    </row>
    <row r="735" ht="15.75" customHeight="1">
      <c r="BV735" s="6"/>
    </row>
    <row r="736" ht="15.75" customHeight="1">
      <c r="BV736" s="6"/>
    </row>
    <row r="737" ht="15.75" customHeight="1">
      <c r="BV737" s="6"/>
    </row>
    <row r="738" ht="15.75" customHeight="1">
      <c r="BV738" s="6"/>
    </row>
    <row r="739" ht="15.75" customHeight="1">
      <c r="BV739" s="6"/>
    </row>
    <row r="740" ht="15.75" customHeight="1">
      <c r="BV740" s="6"/>
    </row>
    <row r="741" ht="15.75" customHeight="1">
      <c r="BV741" s="6"/>
    </row>
    <row r="742" ht="15.75" customHeight="1">
      <c r="BV742" s="6"/>
    </row>
    <row r="743" ht="15.75" customHeight="1">
      <c r="BV743" s="6"/>
    </row>
    <row r="744" ht="15.75" customHeight="1">
      <c r="BV744" s="6"/>
    </row>
    <row r="745" ht="15.75" customHeight="1">
      <c r="BV745" s="6"/>
    </row>
    <row r="746" ht="15.75" customHeight="1">
      <c r="BV746" s="6"/>
    </row>
    <row r="747" ht="15.75" customHeight="1">
      <c r="BV747" s="6"/>
    </row>
    <row r="748" ht="15.75" customHeight="1">
      <c r="BV748" s="6"/>
    </row>
    <row r="749" ht="15.75" customHeight="1">
      <c r="BV749" s="6"/>
    </row>
    <row r="750" ht="15.75" customHeight="1">
      <c r="BV750" s="6"/>
    </row>
    <row r="751" ht="15.75" customHeight="1">
      <c r="BV751" s="6"/>
    </row>
    <row r="752" ht="15.75" customHeight="1">
      <c r="BV752" s="6"/>
    </row>
    <row r="753" ht="15.75" customHeight="1">
      <c r="BV753" s="6"/>
    </row>
    <row r="754" ht="15.75" customHeight="1">
      <c r="BV754" s="6"/>
    </row>
    <row r="755" ht="15.75" customHeight="1">
      <c r="BV755" s="6"/>
    </row>
    <row r="756" ht="15.75" customHeight="1">
      <c r="BV756" s="6"/>
    </row>
    <row r="757" ht="15.75" customHeight="1">
      <c r="BV757" s="6"/>
    </row>
    <row r="758" ht="15.75" customHeight="1">
      <c r="BV758" s="6"/>
    </row>
    <row r="759" ht="15.75" customHeight="1">
      <c r="BV759" s="6"/>
    </row>
    <row r="760" ht="15.75" customHeight="1">
      <c r="BV760" s="6"/>
    </row>
    <row r="761" ht="15.75" customHeight="1">
      <c r="BV761" s="6"/>
    </row>
    <row r="762" ht="15.75" customHeight="1">
      <c r="BV762" s="6"/>
    </row>
    <row r="763" ht="15.75" customHeight="1">
      <c r="BV763" s="6"/>
    </row>
    <row r="764" ht="15.75" customHeight="1">
      <c r="BV764" s="6"/>
    </row>
    <row r="765" ht="15.75" customHeight="1">
      <c r="BV765" s="6"/>
    </row>
    <row r="766" ht="15.75" customHeight="1">
      <c r="BV766" s="6"/>
    </row>
    <row r="767" ht="15.75" customHeight="1">
      <c r="BV767" s="6"/>
    </row>
    <row r="768" ht="15.75" customHeight="1">
      <c r="BV768" s="6"/>
    </row>
    <row r="769" ht="15.75" customHeight="1">
      <c r="BV769" s="6"/>
    </row>
    <row r="770" ht="15.75" customHeight="1">
      <c r="BV770" s="6"/>
    </row>
    <row r="771" ht="15.75" customHeight="1">
      <c r="BV771" s="6"/>
    </row>
    <row r="772" ht="15.75" customHeight="1">
      <c r="BV772" s="6"/>
    </row>
    <row r="773" ht="15.75" customHeight="1">
      <c r="BV773" s="6"/>
    </row>
    <row r="774" ht="15.75" customHeight="1">
      <c r="BV774" s="6"/>
    </row>
    <row r="775" ht="15.75" customHeight="1">
      <c r="BV775" s="6"/>
    </row>
    <row r="776" ht="15.75" customHeight="1">
      <c r="BV776" s="6"/>
    </row>
    <row r="777" ht="15.75" customHeight="1">
      <c r="BV777" s="6"/>
    </row>
    <row r="778" ht="15.75" customHeight="1">
      <c r="BV778" s="6"/>
    </row>
    <row r="779" ht="15.75" customHeight="1">
      <c r="BV779" s="6"/>
    </row>
    <row r="780" ht="15.75" customHeight="1">
      <c r="BV780" s="6"/>
    </row>
    <row r="781" ht="15.75" customHeight="1">
      <c r="BV781" s="6"/>
    </row>
    <row r="782" ht="15.75" customHeight="1">
      <c r="BV782" s="6"/>
    </row>
    <row r="783" ht="15.75" customHeight="1">
      <c r="BV783" s="6"/>
    </row>
    <row r="784" ht="15.75" customHeight="1">
      <c r="BV784" s="6"/>
    </row>
    <row r="785" ht="15.75" customHeight="1">
      <c r="BV785" s="6"/>
    </row>
    <row r="786" ht="15.75" customHeight="1">
      <c r="BV786" s="6"/>
    </row>
    <row r="787" ht="15.75" customHeight="1">
      <c r="BV787" s="6"/>
    </row>
    <row r="788" ht="15.75" customHeight="1">
      <c r="BV788" s="6"/>
    </row>
    <row r="789" ht="15.75" customHeight="1">
      <c r="BV789" s="6"/>
    </row>
    <row r="790" ht="15.75" customHeight="1">
      <c r="BV790" s="6"/>
    </row>
    <row r="791" ht="15.75" customHeight="1">
      <c r="BV791" s="6"/>
    </row>
    <row r="792" ht="15.75" customHeight="1">
      <c r="BV792" s="6"/>
    </row>
    <row r="793" ht="15.75" customHeight="1">
      <c r="BV793" s="6"/>
    </row>
    <row r="794" ht="15.75" customHeight="1">
      <c r="BV794" s="6"/>
    </row>
    <row r="795" ht="15.75" customHeight="1">
      <c r="BV795" s="6"/>
    </row>
    <row r="796" ht="15.75" customHeight="1">
      <c r="BV796" s="6"/>
    </row>
    <row r="797" ht="15.75" customHeight="1">
      <c r="BV797" s="6"/>
    </row>
    <row r="798" ht="15.75" customHeight="1">
      <c r="BV798" s="6"/>
    </row>
    <row r="799" ht="15.75" customHeight="1">
      <c r="BV799" s="6"/>
    </row>
    <row r="800" ht="15.75" customHeight="1">
      <c r="BV800" s="6"/>
    </row>
    <row r="801" ht="15.75" customHeight="1">
      <c r="BV801" s="6"/>
    </row>
    <row r="802" ht="15.75" customHeight="1">
      <c r="BV802" s="6"/>
    </row>
    <row r="803" ht="15.75" customHeight="1">
      <c r="BV803" s="6"/>
    </row>
    <row r="804" ht="15.75" customHeight="1">
      <c r="BV804" s="6"/>
    </row>
    <row r="805" ht="15.75" customHeight="1">
      <c r="BV805" s="6"/>
    </row>
    <row r="806" ht="15.75" customHeight="1">
      <c r="BV806" s="6"/>
    </row>
    <row r="807" ht="15.75" customHeight="1">
      <c r="BV807" s="6"/>
    </row>
    <row r="808" ht="15.75" customHeight="1">
      <c r="BV808" s="6"/>
    </row>
    <row r="809" ht="15.75" customHeight="1">
      <c r="BV809" s="6"/>
    </row>
    <row r="810" ht="15.75" customHeight="1">
      <c r="BV810" s="6"/>
    </row>
    <row r="811" ht="15.75" customHeight="1">
      <c r="BV811" s="6"/>
    </row>
    <row r="812" ht="15.75" customHeight="1">
      <c r="BV812" s="6"/>
    </row>
    <row r="813" ht="15.75" customHeight="1">
      <c r="BV813" s="6"/>
    </row>
    <row r="814" ht="15.75" customHeight="1">
      <c r="BV814" s="6"/>
    </row>
    <row r="815" ht="15.75" customHeight="1">
      <c r="BV815" s="6"/>
    </row>
    <row r="816" ht="15.75" customHeight="1">
      <c r="BV816" s="6"/>
    </row>
    <row r="817" ht="15.75" customHeight="1">
      <c r="BV817" s="6"/>
    </row>
    <row r="818" ht="15.75" customHeight="1">
      <c r="BV818" s="6"/>
    </row>
    <row r="819" ht="15.75" customHeight="1">
      <c r="BV819" s="6"/>
    </row>
    <row r="820" ht="15.75" customHeight="1">
      <c r="BV820" s="6"/>
    </row>
    <row r="821" ht="15.75" customHeight="1">
      <c r="BV821" s="6"/>
    </row>
    <row r="822" ht="15.75" customHeight="1">
      <c r="BV822" s="6"/>
    </row>
    <row r="823" ht="15.75" customHeight="1">
      <c r="BV823" s="6"/>
    </row>
    <row r="824" ht="15.75" customHeight="1">
      <c r="BV824" s="6"/>
    </row>
    <row r="825" ht="15.75" customHeight="1">
      <c r="BV825" s="6"/>
    </row>
    <row r="826" ht="15.75" customHeight="1">
      <c r="BV826" s="6"/>
    </row>
    <row r="827" ht="15.75" customHeight="1">
      <c r="BV827" s="6"/>
    </row>
    <row r="828" ht="15.75" customHeight="1">
      <c r="BV828" s="6"/>
    </row>
    <row r="829" ht="15.75" customHeight="1">
      <c r="BV829" s="6"/>
    </row>
    <row r="830" ht="15.75" customHeight="1">
      <c r="BV830" s="6"/>
    </row>
    <row r="831" ht="15.75" customHeight="1">
      <c r="BV831" s="6"/>
    </row>
    <row r="832" ht="15.75" customHeight="1">
      <c r="BV832" s="6"/>
    </row>
    <row r="833" ht="15.75" customHeight="1">
      <c r="BV833" s="6"/>
    </row>
    <row r="834" ht="15.75" customHeight="1">
      <c r="BV834" s="6"/>
    </row>
    <row r="835" ht="15.75" customHeight="1">
      <c r="BV835" s="6"/>
    </row>
    <row r="836" ht="15.75" customHeight="1">
      <c r="BV836" s="6"/>
    </row>
    <row r="837" ht="15.75" customHeight="1">
      <c r="BV837" s="6"/>
    </row>
    <row r="838" ht="15.75" customHeight="1">
      <c r="BV838" s="6"/>
    </row>
    <row r="839" ht="15.75" customHeight="1">
      <c r="BV839" s="6"/>
    </row>
    <row r="840" ht="15.75" customHeight="1">
      <c r="BV840" s="6"/>
    </row>
    <row r="841" ht="15.75" customHeight="1">
      <c r="BV841" s="6"/>
    </row>
    <row r="842" ht="15.75" customHeight="1">
      <c r="BV842" s="6"/>
    </row>
    <row r="843" ht="15.75" customHeight="1">
      <c r="BV843" s="6"/>
    </row>
    <row r="844" ht="15.75" customHeight="1">
      <c r="BV844" s="6"/>
    </row>
    <row r="845" ht="15.75" customHeight="1">
      <c r="BV845" s="6"/>
    </row>
    <row r="846" ht="15.75" customHeight="1">
      <c r="BV846" s="6"/>
    </row>
    <row r="847" ht="15.75" customHeight="1">
      <c r="BV847" s="6"/>
    </row>
    <row r="848" ht="15.75" customHeight="1">
      <c r="BV848" s="6"/>
    </row>
    <row r="849" ht="15.75" customHeight="1">
      <c r="BV849" s="6"/>
    </row>
    <row r="850" ht="15.75" customHeight="1">
      <c r="BV850" s="6"/>
    </row>
    <row r="851" ht="15.75" customHeight="1">
      <c r="BV851" s="6"/>
    </row>
    <row r="852" ht="15.75" customHeight="1">
      <c r="BV852" s="6"/>
    </row>
    <row r="853" ht="15.75" customHeight="1">
      <c r="BV853" s="6"/>
    </row>
    <row r="854" ht="15.75" customHeight="1">
      <c r="BV854" s="6"/>
    </row>
    <row r="855" ht="15.75" customHeight="1">
      <c r="BV855" s="6"/>
    </row>
    <row r="856" ht="15.75" customHeight="1">
      <c r="BV856" s="6"/>
    </row>
    <row r="857" ht="15.75" customHeight="1">
      <c r="BV857" s="6"/>
    </row>
    <row r="858" ht="15.75" customHeight="1">
      <c r="BV858" s="6"/>
    </row>
    <row r="859" ht="15.75" customHeight="1">
      <c r="BV859" s="6"/>
    </row>
    <row r="860" ht="15.75" customHeight="1">
      <c r="BV860" s="6"/>
    </row>
    <row r="861" ht="15.75" customHeight="1">
      <c r="BV861" s="6"/>
    </row>
    <row r="862" ht="15.75" customHeight="1">
      <c r="BV862" s="6"/>
    </row>
    <row r="863" ht="15.75" customHeight="1">
      <c r="BV863" s="6"/>
    </row>
    <row r="864" ht="15.75" customHeight="1">
      <c r="BV864" s="6"/>
    </row>
    <row r="865" ht="15.75" customHeight="1">
      <c r="BV865" s="6"/>
    </row>
    <row r="866" ht="15.75" customHeight="1">
      <c r="BV866" s="6"/>
    </row>
    <row r="867" ht="15.75" customHeight="1">
      <c r="BV867" s="6"/>
    </row>
    <row r="868" ht="15.75" customHeight="1">
      <c r="BV868" s="6"/>
    </row>
    <row r="869" ht="15.75" customHeight="1">
      <c r="BV869" s="6"/>
    </row>
    <row r="870" ht="15.75" customHeight="1">
      <c r="BV870" s="6"/>
    </row>
    <row r="871" ht="15.75" customHeight="1">
      <c r="BV871" s="6"/>
    </row>
    <row r="872" ht="15.75" customHeight="1">
      <c r="BV872" s="6"/>
    </row>
    <row r="873" ht="15.75" customHeight="1">
      <c r="BV873" s="6"/>
    </row>
    <row r="874" ht="15.75" customHeight="1">
      <c r="BV874" s="6"/>
    </row>
    <row r="875" ht="15.75" customHeight="1">
      <c r="BV875" s="6"/>
    </row>
    <row r="876" ht="15.75" customHeight="1">
      <c r="BV876" s="6"/>
    </row>
    <row r="877" ht="15.75" customHeight="1">
      <c r="BV877" s="6"/>
    </row>
    <row r="878" ht="15.75" customHeight="1">
      <c r="BV878" s="6"/>
    </row>
    <row r="879" ht="15.75" customHeight="1">
      <c r="BV879" s="6"/>
    </row>
    <row r="880" ht="15.75" customHeight="1">
      <c r="BV880" s="6"/>
    </row>
    <row r="881" ht="15.75" customHeight="1">
      <c r="BV881" s="6"/>
    </row>
    <row r="882" ht="15.75" customHeight="1">
      <c r="BV882" s="6"/>
    </row>
    <row r="883" ht="15.75" customHeight="1">
      <c r="BV883" s="6"/>
    </row>
    <row r="884" ht="15.75" customHeight="1">
      <c r="BV884" s="6"/>
    </row>
    <row r="885" ht="15.75" customHeight="1">
      <c r="BV885" s="6"/>
    </row>
    <row r="886" ht="15.75" customHeight="1">
      <c r="BV886" s="6"/>
    </row>
    <row r="887" ht="15.75" customHeight="1">
      <c r="BV887" s="6"/>
    </row>
    <row r="888" ht="15.75" customHeight="1">
      <c r="BV888" s="6"/>
    </row>
    <row r="889" ht="15.75" customHeight="1">
      <c r="BV889" s="6"/>
    </row>
    <row r="890" ht="15.75" customHeight="1">
      <c r="BV890" s="6"/>
    </row>
    <row r="891" ht="15.75" customHeight="1">
      <c r="BV891" s="6"/>
    </row>
    <row r="892" ht="15.75" customHeight="1">
      <c r="BV892" s="6"/>
    </row>
    <row r="893" ht="15.75" customHeight="1">
      <c r="BV893" s="6"/>
    </row>
    <row r="894" ht="15.75" customHeight="1">
      <c r="BV894" s="6"/>
    </row>
    <row r="895" ht="15.75" customHeight="1">
      <c r="BV895" s="6"/>
    </row>
    <row r="896" ht="15.75" customHeight="1">
      <c r="BV896" s="6"/>
    </row>
    <row r="897" ht="15.75" customHeight="1">
      <c r="BV897" s="6"/>
    </row>
    <row r="898" ht="15.75" customHeight="1">
      <c r="BV898" s="6"/>
    </row>
    <row r="899" ht="15.75" customHeight="1">
      <c r="BV899" s="6"/>
    </row>
    <row r="900" ht="15.75" customHeight="1">
      <c r="BV900" s="6"/>
    </row>
    <row r="901" ht="15.75" customHeight="1">
      <c r="BV901" s="6"/>
    </row>
    <row r="902" ht="15.75" customHeight="1">
      <c r="BV902" s="6"/>
    </row>
    <row r="903" ht="15.75" customHeight="1">
      <c r="BV903" s="6"/>
    </row>
    <row r="904" ht="15.75" customHeight="1">
      <c r="BV904" s="6"/>
    </row>
    <row r="905" ht="15.75" customHeight="1">
      <c r="BV905" s="6"/>
    </row>
    <row r="906" ht="15.75" customHeight="1">
      <c r="BV906" s="6"/>
    </row>
    <row r="907" ht="15.75" customHeight="1">
      <c r="BV907" s="6"/>
    </row>
    <row r="908" ht="15.75" customHeight="1">
      <c r="BV908" s="6"/>
    </row>
    <row r="909" ht="15.75" customHeight="1">
      <c r="BV909" s="6"/>
    </row>
    <row r="910" ht="15.75" customHeight="1">
      <c r="BV910" s="6"/>
    </row>
    <row r="911" ht="15.75" customHeight="1">
      <c r="BV911" s="6"/>
    </row>
    <row r="912" ht="15.75" customHeight="1">
      <c r="BV912" s="6"/>
    </row>
    <row r="913" ht="15.75" customHeight="1">
      <c r="BV913" s="6"/>
    </row>
    <row r="914" ht="15.75" customHeight="1">
      <c r="BV914" s="6"/>
    </row>
    <row r="915" ht="15.75" customHeight="1">
      <c r="BV915" s="6"/>
    </row>
    <row r="916" ht="15.75" customHeight="1">
      <c r="BV916" s="6"/>
    </row>
    <row r="917" ht="15.75" customHeight="1">
      <c r="BV917" s="6"/>
    </row>
    <row r="918" ht="15.75" customHeight="1">
      <c r="BV918" s="6"/>
    </row>
    <row r="919" ht="15.75" customHeight="1">
      <c r="BV919" s="6"/>
    </row>
    <row r="920" ht="15.75" customHeight="1">
      <c r="BV920" s="6"/>
    </row>
    <row r="921" ht="15.75" customHeight="1">
      <c r="BV921" s="6"/>
    </row>
    <row r="922" ht="15.75" customHeight="1">
      <c r="BV922" s="6"/>
    </row>
    <row r="923" ht="15.75" customHeight="1">
      <c r="BV923" s="6"/>
    </row>
    <row r="924" ht="15.75" customHeight="1">
      <c r="BV924" s="6"/>
    </row>
    <row r="925" ht="15.75" customHeight="1">
      <c r="BV925" s="6"/>
    </row>
    <row r="926" ht="15.75" customHeight="1">
      <c r="BV926" s="6"/>
    </row>
    <row r="927" ht="15.75" customHeight="1">
      <c r="BV927" s="6"/>
    </row>
    <row r="928" ht="15.75" customHeight="1">
      <c r="BV928" s="6"/>
    </row>
    <row r="929" ht="15.75" customHeight="1">
      <c r="BV929" s="6"/>
    </row>
    <row r="930" ht="15.75" customHeight="1">
      <c r="BV930" s="6"/>
    </row>
    <row r="931" ht="15.75" customHeight="1">
      <c r="BV931" s="6"/>
    </row>
    <row r="932" ht="15.75" customHeight="1">
      <c r="BV932" s="6"/>
    </row>
    <row r="933" ht="15.75" customHeight="1">
      <c r="BV933" s="6"/>
    </row>
    <row r="934" ht="15.75" customHeight="1">
      <c r="BV934" s="6"/>
    </row>
    <row r="935" ht="15.75" customHeight="1">
      <c r="BV935" s="6"/>
    </row>
    <row r="936" ht="15.75" customHeight="1">
      <c r="BV936" s="6"/>
    </row>
    <row r="937" ht="15.75" customHeight="1">
      <c r="BV937" s="6"/>
    </row>
    <row r="938" ht="15.75" customHeight="1">
      <c r="BV938" s="6"/>
    </row>
    <row r="939" ht="15.75" customHeight="1">
      <c r="BV939" s="6"/>
    </row>
    <row r="940" ht="15.75" customHeight="1">
      <c r="BV940" s="6"/>
    </row>
    <row r="941" ht="15.75" customHeight="1">
      <c r="BV941" s="6"/>
    </row>
    <row r="942" ht="15.75" customHeight="1">
      <c r="BV942" s="6"/>
    </row>
    <row r="943" ht="15.75" customHeight="1">
      <c r="BV943" s="6"/>
    </row>
    <row r="944" ht="15.75" customHeight="1">
      <c r="BV944" s="6"/>
    </row>
    <row r="945" ht="15.75" customHeight="1">
      <c r="BV945" s="6"/>
    </row>
    <row r="946" ht="15.75" customHeight="1">
      <c r="BV946" s="6"/>
    </row>
    <row r="947" ht="15.75" customHeight="1">
      <c r="BV947" s="6"/>
    </row>
    <row r="948" ht="15.75" customHeight="1">
      <c r="BV948" s="6"/>
    </row>
    <row r="949" ht="15.75" customHeight="1">
      <c r="BV949" s="6"/>
    </row>
    <row r="950" ht="15.75" customHeight="1">
      <c r="BV950" s="6"/>
    </row>
    <row r="951" ht="15.75" customHeight="1">
      <c r="BV951" s="6"/>
    </row>
    <row r="952" ht="15.75" customHeight="1">
      <c r="BV952" s="6"/>
    </row>
    <row r="953" ht="15.75" customHeight="1">
      <c r="BV953" s="6"/>
    </row>
    <row r="954" ht="15.75" customHeight="1">
      <c r="BV954" s="6"/>
    </row>
    <row r="955" ht="15.75" customHeight="1">
      <c r="BV955" s="6"/>
    </row>
    <row r="956" ht="15.75" customHeight="1">
      <c r="BV956" s="6"/>
    </row>
    <row r="957" ht="15.75" customHeight="1">
      <c r="BV957" s="6"/>
    </row>
    <row r="958" ht="15.75" customHeight="1">
      <c r="BV958" s="6"/>
    </row>
    <row r="959" ht="15.75" customHeight="1">
      <c r="BV959" s="6"/>
    </row>
    <row r="960" ht="15.75" customHeight="1">
      <c r="BV960" s="6"/>
    </row>
    <row r="961" ht="15.75" customHeight="1">
      <c r="BV961" s="6"/>
    </row>
    <row r="962" ht="15.75" customHeight="1">
      <c r="BV962" s="6"/>
    </row>
    <row r="963" ht="15.75" customHeight="1">
      <c r="BV963" s="6"/>
    </row>
    <row r="964" ht="15.75" customHeight="1">
      <c r="BV964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14.13"/>
    <col customWidth="1" min="3" max="3" width="28.25"/>
    <col customWidth="1" min="4" max="4" width="37.88"/>
    <col customWidth="1" min="5" max="5" width="18.63"/>
    <col customWidth="1" min="8" max="8" width="42.63"/>
    <col customWidth="1" min="9" max="9" width="11.5"/>
    <col customWidth="1" min="10" max="10" width="39.0"/>
    <col customWidth="1" min="11" max="11" width="11.5"/>
    <col customWidth="1" min="12" max="12" width="9.0"/>
    <col customWidth="1" min="13" max="13" width="11.38"/>
    <col customWidth="1" min="14" max="14" width="39.13"/>
    <col customWidth="1" min="16" max="16" width="9.0"/>
    <col customWidth="1" min="17" max="17" width="11.38"/>
    <col customWidth="1" min="18" max="18" width="33.25"/>
    <col customWidth="1" min="19" max="19" width="11.5"/>
    <col customWidth="1" min="20" max="20" width="9.38"/>
    <col customWidth="1" min="21" max="21" width="11.38"/>
    <col customWidth="1" min="22" max="22" width="22.63"/>
    <col customWidth="1" min="23" max="23" width="11.5"/>
    <col customWidth="1" min="24" max="24" width="33.25"/>
    <col customWidth="1" min="25" max="25" width="11.5"/>
    <col customWidth="1" min="26" max="26" width="9.38"/>
    <col customWidth="1" min="27" max="27" width="11.38"/>
    <col customWidth="1" min="28" max="28" width="33.25"/>
    <col customWidth="1" min="29" max="29" width="11.5"/>
    <col customWidth="1" min="30" max="30" width="31.75"/>
    <col customWidth="1" min="31" max="31" width="11.5"/>
    <col customWidth="1" min="32" max="32" width="9.0"/>
    <col customWidth="1" min="33" max="33" width="11.38"/>
    <col customWidth="1" min="34" max="34" width="31.75"/>
    <col customWidth="1" min="35" max="35" width="11.5"/>
    <col customWidth="1" min="36" max="36" width="31.75"/>
    <col customWidth="1" min="37" max="37" width="11.5"/>
    <col customWidth="1" min="38" max="38" width="32.88"/>
    <col customWidth="1" min="39" max="39" width="11.5"/>
    <col customWidth="1" min="40" max="40" width="9.0"/>
    <col customWidth="1" min="41" max="41" width="11.38"/>
    <col customWidth="1" min="42" max="42" width="33.13"/>
    <col customWidth="1" min="43" max="43" width="23.25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3" t="s">
        <v>455</v>
      </c>
      <c r="I1" s="3" t="s">
        <v>7</v>
      </c>
      <c r="J1" s="3" t="s">
        <v>456</v>
      </c>
      <c r="K1" s="3" t="s">
        <v>20</v>
      </c>
      <c r="L1" s="3" t="s">
        <v>9</v>
      </c>
      <c r="M1" s="3" t="s">
        <v>10</v>
      </c>
      <c r="N1" s="3" t="s">
        <v>457</v>
      </c>
      <c r="O1" s="3" t="s">
        <v>7</v>
      </c>
      <c r="P1" s="3" t="s">
        <v>9</v>
      </c>
      <c r="Q1" s="3" t="s">
        <v>10</v>
      </c>
      <c r="R1" s="3" t="s">
        <v>458</v>
      </c>
      <c r="S1" s="3" t="s">
        <v>20</v>
      </c>
      <c r="T1" s="3" t="s">
        <v>9</v>
      </c>
      <c r="U1" s="3" t="s">
        <v>10</v>
      </c>
      <c r="V1" s="3" t="s">
        <v>459</v>
      </c>
      <c r="W1" s="3" t="s">
        <v>20</v>
      </c>
      <c r="X1" s="3" t="s">
        <v>460</v>
      </c>
      <c r="Y1" s="3" t="s">
        <v>20</v>
      </c>
      <c r="Z1" s="3" t="s">
        <v>9</v>
      </c>
      <c r="AA1" s="3" t="s">
        <v>10</v>
      </c>
      <c r="AB1" s="3" t="s">
        <v>461</v>
      </c>
      <c r="AC1" s="3" t="s">
        <v>20</v>
      </c>
      <c r="AD1" s="3" t="s">
        <v>462</v>
      </c>
      <c r="AE1" s="3" t="s">
        <v>20</v>
      </c>
      <c r="AF1" s="3" t="s">
        <v>9</v>
      </c>
      <c r="AG1" s="3" t="s">
        <v>10</v>
      </c>
      <c r="AH1" s="3" t="s">
        <v>463</v>
      </c>
      <c r="AI1" s="3" t="s">
        <v>20</v>
      </c>
      <c r="AJ1" s="3" t="s">
        <v>464</v>
      </c>
      <c r="AK1" s="3" t="s">
        <v>20</v>
      </c>
      <c r="AL1" s="3" t="s">
        <v>465</v>
      </c>
      <c r="AM1" s="3" t="s">
        <v>20</v>
      </c>
      <c r="AN1" s="3" t="s">
        <v>9</v>
      </c>
      <c r="AO1" s="3" t="s">
        <v>10</v>
      </c>
      <c r="AP1" s="13" t="s">
        <v>466</v>
      </c>
      <c r="AQ1" s="13" t="s">
        <v>7</v>
      </c>
      <c r="AR1" s="14"/>
      <c r="AS1" s="14"/>
      <c r="AT1" s="14"/>
      <c r="AU1" s="14"/>
      <c r="AV1" s="14"/>
      <c r="AW1" s="14"/>
      <c r="AX1" s="14"/>
    </row>
    <row r="2" ht="15.75" customHeight="1">
      <c r="A2" s="6">
        <v>1919.0</v>
      </c>
      <c r="B2" s="6" t="s">
        <v>467</v>
      </c>
      <c r="C2" s="6" t="str">
        <f t="shared" ref="C2:C22" si="1">CONCATENATE(E2,"_",G2)</f>
        <v>51-TT-CR-003D_BS VI HSD</v>
      </c>
      <c r="D2" s="6" t="str">
        <f t="shared" ref="D2:D22" si="2">CONCATENATE(C2,"@",B2)</f>
        <v>51-TT-CR-003D_BS VI HSD@Secunderabad_M</v>
      </c>
      <c r="E2" s="6" t="s">
        <v>36</v>
      </c>
      <c r="F2" s="6" t="s">
        <v>37</v>
      </c>
      <c r="G2" s="6" t="s">
        <v>38</v>
      </c>
      <c r="H2" s="15" t="s">
        <v>468</v>
      </c>
      <c r="I2" s="9">
        <v>0.0</v>
      </c>
      <c r="J2" s="9" t="s">
        <v>469</v>
      </c>
      <c r="K2" s="9">
        <v>0.0</v>
      </c>
      <c r="L2" s="9" t="str">
        <f t="shared" ref="L2:L4" si="3">MID(J2, SEARCH(".", J2) + 1, SEARCH(".MAINTENANCE", J2) - SEARCH(".", J2) - 1)</f>
        <v>LSW-08</v>
      </c>
      <c r="M2" s="9" t="s">
        <v>46</v>
      </c>
      <c r="N2" s="9" t="s">
        <v>470</v>
      </c>
      <c r="O2" s="9">
        <v>0.0</v>
      </c>
      <c r="P2" s="9" t="str">
        <f t="shared" ref="P2:P4" si="4">MID(N2, SEARCH(".", N2) + 1, SEARCH(".MAINTENANCE", N2) - SEARCH(".", N2) - 1)</f>
        <v>RDR-08</v>
      </c>
      <c r="Q2" s="9" t="s">
        <v>50</v>
      </c>
      <c r="R2" s="9" t="s">
        <v>471</v>
      </c>
      <c r="S2" s="9">
        <v>0.0</v>
      </c>
      <c r="T2" s="9" t="str">
        <f t="shared" ref="T2:T3" si="5">MID(R2, SEARCH(".", R2) + 1, SEARCH(".MAINTENANCE", R2) - SEARCH(".", R2) - 1)</f>
        <v>ROSOV-15</v>
      </c>
      <c r="U2" s="9" t="s">
        <v>55</v>
      </c>
      <c r="V2" s="16"/>
      <c r="W2" s="16"/>
      <c r="X2" s="9" t="s">
        <v>472</v>
      </c>
      <c r="Y2" s="9">
        <v>0.0</v>
      </c>
      <c r="Z2" s="9" t="str">
        <f t="shared" ref="Z2:Z3" si="6">MID(X2, SEARCH(".", X2) + 1, SEARCH(".MAINTENANCE", X2) - SEARCH(".", X2) - 1)</f>
        <v>ROSOV-16</v>
      </c>
      <c r="AA2" s="9" t="s">
        <v>60</v>
      </c>
      <c r="AB2" s="16"/>
      <c r="AC2" s="16"/>
      <c r="AD2" s="9" t="s">
        <v>473</v>
      </c>
      <c r="AE2" s="9">
        <v>0.0</v>
      </c>
      <c r="AF2" s="9" t="str">
        <f t="shared" ref="AF2:AF4" si="7">MID(AD2, SEARCH(".", AD2) + 1, SEARCH(".MAINTENANCE", AD2) - SEARCH(".", AD2) - 1)</f>
        <v>MOV-1307</v>
      </c>
      <c r="AG2" s="9" t="s">
        <v>65</v>
      </c>
      <c r="AH2" s="16"/>
      <c r="AI2" s="16"/>
      <c r="AJ2" s="16"/>
      <c r="AK2" s="16"/>
      <c r="AL2" s="9" t="s">
        <v>474</v>
      </c>
      <c r="AM2" s="9">
        <v>0.0</v>
      </c>
      <c r="AN2" s="9" t="str">
        <f t="shared" ref="AN2:AN3" si="8">MID(AL2, SEARCH(".", AL2) + 1, SEARCH(".MAINTENANCE", AL2) - SEARCH(".", AL2) - 1)</f>
        <v>MOV-1308</v>
      </c>
      <c r="AO2" s="9" t="s">
        <v>67</v>
      </c>
    </row>
    <row r="3" ht="15.75" customHeight="1">
      <c r="A3" s="6">
        <v>1919.0</v>
      </c>
      <c r="B3" s="6" t="s">
        <v>467</v>
      </c>
      <c r="C3" s="6" t="str">
        <f t="shared" si="1"/>
        <v>51-TT-CR-005A_ETHANOL</v>
      </c>
      <c r="D3" s="6" t="str">
        <f t="shared" si="2"/>
        <v>51-TT-CR-005A_ETHANOL@Secunderabad_M</v>
      </c>
      <c r="E3" s="6" t="s">
        <v>68</v>
      </c>
      <c r="F3" s="6" t="s">
        <v>37</v>
      </c>
      <c r="G3" s="6" t="s">
        <v>69</v>
      </c>
      <c r="H3" s="15" t="s">
        <v>475</v>
      </c>
      <c r="I3" s="9">
        <v>0.0</v>
      </c>
      <c r="J3" s="9" t="s">
        <v>476</v>
      </c>
      <c r="K3" s="9">
        <v>0.0</v>
      </c>
      <c r="L3" s="9" t="str">
        <f t="shared" si="3"/>
        <v>LSW-17</v>
      </c>
      <c r="M3" s="9" t="s">
        <v>46</v>
      </c>
      <c r="N3" s="9" t="s">
        <v>477</v>
      </c>
      <c r="O3" s="9">
        <v>0.0</v>
      </c>
      <c r="P3" s="9" t="str">
        <f t="shared" si="4"/>
        <v>RDR-17</v>
      </c>
      <c r="Q3" s="9" t="s">
        <v>50</v>
      </c>
      <c r="R3" s="9" t="s">
        <v>478</v>
      </c>
      <c r="S3" s="9">
        <v>0.0</v>
      </c>
      <c r="T3" s="9" t="str">
        <f t="shared" si="5"/>
        <v>ROSOV-33</v>
      </c>
      <c r="U3" s="9" t="s">
        <v>55</v>
      </c>
      <c r="V3" s="16"/>
      <c r="W3" s="16"/>
      <c r="X3" s="9" t="s">
        <v>479</v>
      </c>
      <c r="Y3" s="9">
        <v>0.0</v>
      </c>
      <c r="Z3" s="9" t="str">
        <f t="shared" si="6"/>
        <v>ROSOV-23</v>
      </c>
      <c r="AA3" s="9" t="s">
        <v>60</v>
      </c>
      <c r="AB3" s="16"/>
      <c r="AC3" s="16"/>
      <c r="AD3" s="9" t="s">
        <v>480</v>
      </c>
      <c r="AE3" s="9">
        <v>0.0</v>
      </c>
      <c r="AF3" s="9" t="str">
        <f t="shared" si="7"/>
        <v>MOV-1506</v>
      </c>
      <c r="AG3" s="9" t="s">
        <v>65</v>
      </c>
      <c r="AH3" s="16"/>
      <c r="AI3" s="16"/>
      <c r="AJ3" s="16"/>
      <c r="AK3" s="16"/>
      <c r="AL3" s="9" t="s">
        <v>481</v>
      </c>
      <c r="AM3" s="9">
        <v>0.0</v>
      </c>
      <c r="AN3" s="9" t="str">
        <f t="shared" si="8"/>
        <v>MOV-1513</v>
      </c>
      <c r="AO3" s="9" t="s">
        <v>67</v>
      </c>
    </row>
    <row r="4" ht="15.75" customHeight="1">
      <c r="A4" s="6">
        <v>1919.0</v>
      </c>
      <c r="B4" s="6" t="s">
        <v>467</v>
      </c>
      <c r="C4" s="6" t="str">
        <f t="shared" si="1"/>
        <v>51-TT-CR-005B_INTERFACE</v>
      </c>
      <c r="D4" s="6" t="str">
        <f t="shared" si="2"/>
        <v>51-TT-CR-005B_INTERFACE@Secunderabad_M</v>
      </c>
      <c r="E4" s="6" t="s">
        <v>89</v>
      </c>
      <c r="F4" s="6" t="s">
        <v>37</v>
      </c>
      <c r="G4" s="6" t="s">
        <v>90</v>
      </c>
      <c r="H4" s="15" t="s">
        <v>482</v>
      </c>
      <c r="I4" s="9">
        <v>0.0</v>
      </c>
      <c r="J4" s="9" t="s">
        <v>483</v>
      </c>
      <c r="K4" s="9">
        <v>0.0</v>
      </c>
      <c r="L4" s="9" t="str">
        <f t="shared" si="3"/>
        <v>LSW-15</v>
      </c>
      <c r="M4" s="9" t="s">
        <v>46</v>
      </c>
      <c r="N4" s="9" t="s">
        <v>484</v>
      </c>
      <c r="O4" s="9">
        <v>0.0</v>
      </c>
      <c r="P4" s="9" t="str">
        <f t="shared" si="4"/>
        <v>RDR-15</v>
      </c>
      <c r="Q4" s="9" t="s">
        <v>50</v>
      </c>
      <c r="R4" s="12"/>
      <c r="S4" s="12"/>
      <c r="T4" s="9"/>
      <c r="U4" s="9"/>
      <c r="V4" s="16"/>
      <c r="W4" s="16"/>
      <c r="X4" s="12"/>
      <c r="Y4" s="12"/>
      <c r="Z4" s="9"/>
      <c r="AA4" s="9"/>
      <c r="AB4" s="16"/>
      <c r="AC4" s="16"/>
      <c r="AD4" s="9" t="s">
        <v>485</v>
      </c>
      <c r="AE4" s="9">
        <v>0.0</v>
      </c>
      <c r="AF4" s="9" t="str">
        <f t="shared" si="7"/>
        <v>MOV-1508</v>
      </c>
      <c r="AG4" s="9" t="s">
        <v>65</v>
      </c>
      <c r="AH4" s="16"/>
      <c r="AI4" s="16"/>
      <c r="AJ4" s="16"/>
      <c r="AK4" s="16"/>
      <c r="AL4" s="12"/>
      <c r="AM4" s="12"/>
      <c r="AN4" s="9"/>
      <c r="AO4" s="9"/>
    </row>
    <row r="5" ht="15.75" customHeight="1">
      <c r="A5" s="6">
        <v>1919.0</v>
      </c>
      <c r="B5" s="6" t="s">
        <v>467</v>
      </c>
      <c r="C5" s="6" t="str">
        <f t="shared" si="1"/>
        <v>51-TT-CR-006A_WATER</v>
      </c>
      <c r="D5" s="6" t="str">
        <f t="shared" si="2"/>
        <v>51-TT-CR-006A_WATER@Secunderabad_M</v>
      </c>
      <c r="E5" s="6" t="s">
        <v>106</v>
      </c>
      <c r="F5" s="6" t="s">
        <v>37</v>
      </c>
      <c r="G5" s="6" t="s">
        <v>107</v>
      </c>
      <c r="H5" s="16"/>
      <c r="I5" s="12"/>
      <c r="J5" s="12"/>
      <c r="K5" s="12"/>
      <c r="L5" s="9"/>
      <c r="M5" s="9"/>
      <c r="N5" s="12"/>
      <c r="O5" s="12"/>
      <c r="P5" s="9"/>
      <c r="Q5" s="9"/>
      <c r="R5" s="12"/>
      <c r="S5" s="12"/>
      <c r="T5" s="9"/>
      <c r="U5" s="9"/>
      <c r="V5" s="16"/>
      <c r="W5" s="16"/>
      <c r="X5" s="12"/>
      <c r="Y5" s="12"/>
      <c r="Z5" s="9"/>
      <c r="AA5" s="9"/>
      <c r="AB5" s="16"/>
      <c r="AC5" s="16"/>
      <c r="AD5" s="12"/>
      <c r="AE5" s="12"/>
      <c r="AF5" s="9"/>
      <c r="AG5" s="9"/>
      <c r="AH5" s="16"/>
      <c r="AI5" s="16"/>
      <c r="AJ5" s="16"/>
      <c r="AK5" s="16"/>
      <c r="AL5" s="12"/>
      <c r="AM5" s="12"/>
      <c r="AN5" s="9"/>
      <c r="AO5" s="9"/>
    </row>
    <row r="6" ht="15.75" customHeight="1">
      <c r="A6" s="6">
        <v>1919.0</v>
      </c>
      <c r="B6" s="6" t="s">
        <v>467</v>
      </c>
      <c r="C6" s="6" t="str">
        <f t="shared" si="1"/>
        <v>51-TT-CR-006B_WATER</v>
      </c>
      <c r="D6" s="6" t="str">
        <f t="shared" si="2"/>
        <v>51-TT-CR-006B_WATER@Secunderabad_M</v>
      </c>
      <c r="E6" s="6" t="s">
        <v>110</v>
      </c>
      <c r="F6" s="6" t="s">
        <v>37</v>
      </c>
      <c r="G6" s="6" t="s">
        <v>107</v>
      </c>
      <c r="H6" s="16"/>
      <c r="I6" s="12"/>
      <c r="J6" s="12"/>
      <c r="K6" s="12"/>
      <c r="L6" s="9"/>
      <c r="M6" s="9"/>
      <c r="N6" s="12"/>
      <c r="O6" s="12"/>
      <c r="P6" s="9"/>
      <c r="Q6" s="9"/>
      <c r="R6" s="12"/>
      <c r="S6" s="12"/>
      <c r="T6" s="9"/>
      <c r="U6" s="9"/>
      <c r="V6" s="16"/>
      <c r="W6" s="16"/>
      <c r="X6" s="12"/>
      <c r="Y6" s="12"/>
      <c r="Z6" s="9"/>
      <c r="AA6" s="9"/>
      <c r="AB6" s="16"/>
      <c r="AC6" s="16"/>
      <c r="AD6" s="12"/>
      <c r="AE6" s="12"/>
      <c r="AF6" s="9"/>
      <c r="AG6" s="9"/>
      <c r="AH6" s="16"/>
      <c r="AI6" s="16"/>
      <c r="AJ6" s="16"/>
      <c r="AK6" s="16"/>
      <c r="AL6" s="12"/>
      <c r="AM6" s="12"/>
      <c r="AN6" s="9"/>
      <c r="AO6" s="9"/>
    </row>
    <row r="7" ht="15.75" customHeight="1">
      <c r="A7" s="6">
        <v>1919.0</v>
      </c>
      <c r="B7" s="6" t="s">
        <v>467</v>
      </c>
      <c r="C7" s="6" t="str">
        <f t="shared" si="1"/>
        <v>51-TT-CR-006C_WATER</v>
      </c>
      <c r="D7" s="6" t="str">
        <f t="shared" si="2"/>
        <v>51-TT-CR-006C_WATER@Secunderabad_M</v>
      </c>
      <c r="E7" s="6" t="s">
        <v>113</v>
      </c>
      <c r="F7" s="6" t="s">
        <v>37</v>
      </c>
      <c r="G7" s="6" t="s">
        <v>107</v>
      </c>
      <c r="H7" s="16"/>
      <c r="I7" s="12"/>
      <c r="J7" s="12"/>
      <c r="K7" s="12"/>
      <c r="L7" s="9"/>
      <c r="M7" s="9"/>
      <c r="N7" s="12"/>
      <c r="O7" s="12"/>
      <c r="P7" s="9"/>
      <c r="Q7" s="9"/>
      <c r="R7" s="12"/>
      <c r="S7" s="12"/>
      <c r="T7" s="9"/>
      <c r="U7" s="9"/>
      <c r="V7" s="16"/>
      <c r="W7" s="16"/>
      <c r="X7" s="12"/>
      <c r="Y7" s="12"/>
      <c r="Z7" s="9"/>
      <c r="AA7" s="9"/>
      <c r="AB7" s="16"/>
      <c r="AC7" s="16"/>
      <c r="AD7" s="12"/>
      <c r="AE7" s="12"/>
      <c r="AF7" s="9"/>
      <c r="AG7" s="9"/>
      <c r="AH7" s="16"/>
      <c r="AI7" s="16"/>
      <c r="AJ7" s="16"/>
      <c r="AK7" s="16"/>
      <c r="AL7" s="12"/>
      <c r="AM7" s="12"/>
      <c r="AN7" s="9"/>
      <c r="AO7" s="9"/>
    </row>
    <row r="8" ht="15.75" customHeight="1">
      <c r="A8" s="6">
        <v>1919.0</v>
      </c>
      <c r="B8" s="6" t="s">
        <v>467</v>
      </c>
      <c r="C8" s="6" t="str">
        <f t="shared" si="1"/>
        <v>51-TT-CR-006D_WATER</v>
      </c>
      <c r="D8" s="6" t="str">
        <f t="shared" si="2"/>
        <v>51-TT-CR-006D_WATER@Secunderabad_M</v>
      </c>
      <c r="E8" s="6" t="s">
        <v>116</v>
      </c>
      <c r="F8" s="6" t="s">
        <v>37</v>
      </c>
      <c r="G8" s="6" t="s">
        <v>107</v>
      </c>
      <c r="H8" s="16"/>
      <c r="I8" s="12"/>
      <c r="J8" s="12"/>
      <c r="K8" s="12"/>
      <c r="L8" s="9"/>
      <c r="M8" s="9"/>
      <c r="N8" s="12"/>
      <c r="O8" s="12"/>
      <c r="P8" s="9"/>
      <c r="Q8" s="9"/>
      <c r="R8" s="12"/>
      <c r="S8" s="12"/>
      <c r="T8" s="9"/>
      <c r="U8" s="9"/>
      <c r="V8" s="16"/>
      <c r="W8" s="16"/>
      <c r="X8" s="12"/>
      <c r="Y8" s="12"/>
      <c r="Z8" s="9"/>
      <c r="AA8" s="9"/>
      <c r="AB8" s="16"/>
      <c r="AC8" s="16"/>
      <c r="AD8" s="12"/>
      <c r="AE8" s="12"/>
      <c r="AF8" s="9"/>
      <c r="AG8" s="9"/>
      <c r="AH8" s="16"/>
      <c r="AI8" s="16"/>
      <c r="AJ8" s="16"/>
      <c r="AK8" s="16"/>
      <c r="AL8" s="12"/>
      <c r="AM8" s="12"/>
      <c r="AN8" s="9"/>
      <c r="AO8" s="9"/>
    </row>
    <row r="9" ht="15.75" customHeight="1">
      <c r="A9" s="6">
        <v>1919.0</v>
      </c>
      <c r="B9" s="6" t="s">
        <v>467</v>
      </c>
      <c r="C9" s="6" t="str">
        <f t="shared" si="1"/>
        <v>51-TT-FR-001A_BS VI MS</v>
      </c>
      <c r="D9" s="6" t="str">
        <f t="shared" si="2"/>
        <v>51-TT-FR-001A_BS VI MS@Secunderabad_M</v>
      </c>
      <c r="E9" s="6" t="s">
        <v>119</v>
      </c>
      <c r="F9" s="6" t="s">
        <v>37</v>
      </c>
      <c r="G9" s="6" t="s">
        <v>120</v>
      </c>
      <c r="H9" s="15" t="s">
        <v>486</v>
      </c>
      <c r="I9" s="9">
        <v>0.0</v>
      </c>
      <c r="J9" s="9" t="s">
        <v>487</v>
      </c>
      <c r="K9" s="9">
        <v>0.0</v>
      </c>
      <c r="L9" s="9" t="str">
        <f t="shared" ref="L9:L22" si="9">MID(J9, SEARCH(".", J9) + 1, SEARCH(".MAINTENANCE", J9) - SEARCH(".", J9) - 1)</f>
        <v>LSW-03</v>
      </c>
      <c r="M9" s="9" t="s">
        <v>46</v>
      </c>
      <c r="N9" s="9" t="s">
        <v>488</v>
      </c>
      <c r="O9" s="9">
        <v>0.0</v>
      </c>
      <c r="P9" s="9" t="str">
        <f t="shared" ref="P9:P22" si="10">MID(N9, SEARCH(".", N9) + 1, SEARCH(".MAINTENANCE", N9) - SEARCH(".", N9) - 1)</f>
        <v>RDR-03</v>
      </c>
      <c r="Q9" s="9" t="s">
        <v>50</v>
      </c>
      <c r="R9" s="9" t="s">
        <v>489</v>
      </c>
      <c r="S9" s="9">
        <v>0.0</v>
      </c>
      <c r="T9" s="9" t="str">
        <f t="shared" ref="T9:T11" si="11">MID(R9, SEARCH(".", R9) + 1, SEARCH(".MAINTENANCE", R9) - SEARCH(".", R9) - 1)</f>
        <v>ROSOV-05</v>
      </c>
      <c r="U9" s="9" t="s">
        <v>55</v>
      </c>
      <c r="V9" s="16"/>
      <c r="W9" s="16"/>
      <c r="X9" s="9" t="s">
        <v>490</v>
      </c>
      <c r="Y9" s="9">
        <v>0.0</v>
      </c>
      <c r="Z9" s="9" t="str">
        <f t="shared" ref="Z9:Z22" si="12">MID(X9, SEARCH(".", X9) + 1, SEARCH(".MAINTENANCE", X9) - SEARCH(".", X9) - 1)</f>
        <v>ROSOV-06</v>
      </c>
      <c r="AA9" s="9" t="s">
        <v>60</v>
      </c>
      <c r="AB9" s="16"/>
      <c r="AC9" s="16"/>
      <c r="AD9" s="9" t="s">
        <v>491</v>
      </c>
      <c r="AE9" s="9">
        <v>0.0</v>
      </c>
      <c r="AF9" s="9" t="str">
        <f t="shared" ref="AF9:AF22" si="13">MID(AD9, SEARCH(".", AD9) + 1, SEARCH(".MAINTENANCE", AD9) - SEARCH(".", AD9) - 1)</f>
        <v>MOV-1101</v>
      </c>
      <c r="AG9" s="9" t="s">
        <v>65</v>
      </c>
      <c r="AH9" s="16"/>
      <c r="AI9" s="16"/>
      <c r="AJ9" s="16"/>
      <c r="AK9" s="16"/>
      <c r="AL9" s="9" t="s">
        <v>492</v>
      </c>
      <c r="AM9" s="9">
        <v>0.0</v>
      </c>
      <c r="AN9" s="9" t="str">
        <f t="shared" ref="AN9:AN22" si="14">MID(AL9, SEARCH(".", AL9) + 1, SEARCH(".MAINTENANCE", AL9) - SEARCH(".", AL9) - 1)</f>
        <v>MOV-1103</v>
      </c>
      <c r="AO9" s="9" t="s">
        <v>67</v>
      </c>
    </row>
    <row r="10" ht="15.75" customHeight="1">
      <c r="A10" s="6">
        <v>1919.0</v>
      </c>
      <c r="B10" s="6" t="s">
        <v>467</v>
      </c>
      <c r="C10" s="6" t="str">
        <f t="shared" si="1"/>
        <v>51-TT-FR-001B_BS VI MS</v>
      </c>
      <c r="D10" s="6" t="str">
        <f t="shared" si="2"/>
        <v>51-TT-FR-001B_BS VI MS@Secunderabad_M</v>
      </c>
      <c r="E10" s="6" t="s">
        <v>144</v>
      </c>
      <c r="F10" s="6" t="s">
        <v>37</v>
      </c>
      <c r="G10" s="6" t="s">
        <v>120</v>
      </c>
      <c r="H10" s="15" t="s">
        <v>493</v>
      </c>
      <c r="I10" s="9">
        <v>0.0</v>
      </c>
      <c r="J10" s="9" t="s">
        <v>494</v>
      </c>
      <c r="K10" s="9">
        <v>0.0</v>
      </c>
      <c r="L10" s="9" t="str">
        <f t="shared" si="9"/>
        <v>LSW-01</v>
      </c>
      <c r="M10" s="9" t="s">
        <v>46</v>
      </c>
      <c r="N10" s="9" t="s">
        <v>495</v>
      </c>
      <c r="O10" s="9">
        <v>0.0</v>
      </c>
      <c r="P10" s="9" t="str">
        <f t="shared" si="10"/>
        <v>RDR-01</v>
      </c>
      <c r="Q10" s="9" t="s">
        <v>50</v>
      </c>
      <c r="R10" s="9" t="s">
        <v>496</v>
      </c>
      <c r="S10" s="9">
        <v>0.0</v>
      </c>
      <c r="T10" s="9" t="str">
        <f t="shared" si="11"/>
        <v>ROSOV-01</v>
      </c>
      <c r="U10" s="9" t="s">
        <v>55</v>
      </c>
      <c r="V10" s="16"/>
      <c r="W10" s="16"/>
      <c r="X10" s="9" t="s">
        <v>497</v>
      </c>
      <c r="Y10" s="9">
        <v>0.0</v>
      </c>
      <c r="Z10" s="9" t="str">
        <f t="shared" si="12"/>
        <v>ROSOV-02</v>
      </c>
      <c r="AA10" s="9" t="s">
        <v>60</v>
      </c>
      <c r="AB10" s="16"/>
      <c r="AC10" s="16"/>
      <c r="AD10" s="9" t="s">
        <v>498</v>
      </c>
      <c r="AE10" s="9">
        <v>0.0</v>
      </c>
      <c r="AF10" s="9" t="str">
        <f t="shared" si="13"/>
        <v>MOV-1102</v>
      </c>
      <c r="AG10" s="9" t="s">
        <v>65</v>
      </c>
      <c r="AH10" s="16"/>
      <c r="AI10" s="16"/>
      <c r="AJ10" s="16"/>
      <c r="AK10" s="16"/>
      <c r="AL10" s="9" t="s">
        <v>499</v>
      </c>
      <c r="AM10" s="9">
        <v>0.0</v>
      </c>
      <c r="AN10" s="9" t="str">
        <f t="shared" si="14"/>
        <v>MOV-1104</v>
      </c>
      <c r="AO10" s="9" t="s">
        <v>67</v>
      </c>
    </row>
    <row r="11" ht="15.75" customHeight="1">
      <c r="A11" s="6">
        <v>1919.0</v>
      </c>
      <c r="B11" s="6" t="s">
        <v>467</v>
      </c>
      <c r="C11" s="6" t="str">
        <f t="shared" si="1"/>
        <v>51-TT-FR-001C_GASOHOL</v>
      </c>
      <c r="D11" s="6" t="str">
        <f t="shared" si="2"/>
        <v>51-TT-FR-001C_GASOHOL@Secunderabad_M</v>
      </c>
      <c r="E11" s="6" t="s">
        <v>167</v>
      </c>
      <c r="F11" s="6" t="s">
        <v>37</v>
      </c>
      <c r="G11" s="6" t="s">
        <v>168</v>
      </c>
      <c r="H11" s="15" t="s">
        <v>500</v>
      </c>
      <c r="I11" s="9">
        <v>0.0</v>
      </c>
      <c r="J11" s="9" t="s">
        <v>501</v>
      </c>
      <c r="K11" s="9">
        <v>0.0</v>
      </c>
      <c r="L11" s="9" t="str">
        <f t="shared" si="9"/>
        <v>LSW-04</v>
      </c>
      <c r="M11" s="9" t="s">
        <v>46</v>
      </c>
      <c r="N11" s="9" t="s">
        <v>502</v>
      </c>
      <c r="O11" s="9">
        <v>0.0</v>
      </c>
      <c r="P11" s="9" t="str">
        <f t="shared" si="10"/>
        <v>RDR-04</v>
      </c>
      <c r="Q11" s="9" t="s">
        <v>50</v>
      </c>
      <c r="R11" s="9" t="s">
        <v>503</v>
      </c>
      <c r="S11" s="9">
        <v>0.0</v>
      </c>
      <c r="T11" s="9" t="str">
        <f t="shared" si="11"/>
        <v>ROSOV-07</v>
      </c>
      <c r="U11" s="9" t="s">
        <v>55</v>
      </c>
      <c r="V11" s="16"/>
      <c r="W11" s="16"/>
      <c r="X11" s="9" t="s">
        <v>504</v>
      </c>
      <c r="Y11" s="9">
        <v>0.0</v>
      </c>
      <c r="Z11" s="9" t="str">
        <f t="shared" si="12"/>
        <v>ROSOV-08</v>
      </c>
      <c r="AA11" s="9" t="s">
        <v>60</v>
      </c>
      <c r="AB11" s="16"/>
      <c r="AC11" s="16"/>
      <c r="AD11" s="9" t="s">
        <v>505</v>
      </c>
      <c r="AE11" s="9">
        <v>0.0</v>
      </c>
      <c r="AF11" s="9" t="str">
        <f t="shared" si="13"/>
        <v>MOV-1105</v>
      </c>
      <c r="AG11" s="9" t="s">
        <v>65</v>
      </c>
      <c r="AH11" s="16"/>
      <c r="AI11" s="16"/>
      <c r="AJ11" s="16"/>
      <c r="AK11" s="16"/>
      <c r="AL11" s="9" t="s">
        <v>506</v>
      </c>
      <c r="AM11" s="9">
        <v>0.0</v>
      </c>
      <c r="AN11" s="9" t="str">
        <f t="shared" si="14"/>
        <v>MOV-1107</v>
      </c>
      <c r="AO11" s="9" t="s">
        <v>67</v>
      </c>
    </row>
    <row r="12" ht="15.75" customHeight="1">
      <c r="A12" s="6">
        <v>1919.0</v>
      </c>
      <c r="B12" s="6" t="s">
        <v>467</v>
      </c>
      <c r="C12" s="6" t="str">
        <f t="shared" si="1"/>
        <v>51-TT-FR-001D_INTERFACE</v>
      </c>
      <c r="D12" s="6" t="str">
        <f t="shared" si="2"/>
        <v>51-TT-FR-001D_INTERFACE@Secunderabad_M</v>
      </c>
      <c r="E12" s="6" t="s">
        <v>191</v>
      </c>
      <c r="F12" s="6" t="s">
        <v>37</v>
      </c>
      <c r="G12" s="6" t="s">
        <v>90</v>
      </c>
      <c r="H12" s="15" t="s">
        <v>507</v>
      </c>
      <c r="I12" s="9">
        <v>0.0</v>
      </c>
      <c r="J12" s="9" t="s">
        <v>508</v>
      </c>
      <c r="K12" s="9">
        <v>0.0</v>
      </c>
      <c r="L12" s="9" t="str">
        <f t="shared" si="9"/>
        <v>LSW-12</v>
      </c>
      <c r="M12" s="9" t="s">
        <v>46</v>
      </c>
      <c r="N12" s="9" t="s">
        <v>509</v>
      </c>
      <c r="O12" s="9">
        <v>0.0</v>
      </c>
      <c r="P12" s="9" t="str">
        <f t="shared" si="10"/>
        <v>RDR-12</v>
      </c>
      <c r="Q12" s="9" t="s">
        <v>50</v>
      </c>
      <c r="R12" s="12"/>
      <c r="S12" s="12"/>
      <c r="T12" s="9"/>
      <c r="U12" s="9"/>
      <c r="V12" s="16"/>
      <c r="W12" s="16"/>
      <c r="X12" s="9" t="s">
        <v>510</v>
      </c>
      <c r="Y12" s="9">
        <v>0.0</v>
      </c>
      <c r="Z12" s="9" t="str">
        <f t="shared" si="12"/>
        <v>ROSOV-24</v>
      </c>
      <c r="AA12" s="9" t="s">
        <v>60</v>
      </c>
      <c r="AB12" s="16"/>
      <c r="AC12" s="16"/>
      <c r="AD12" s="9" t="s">
        <v>511</v>
      </c>
      <c r="AE12" s="9">
        <v>0.0</v>
      </c>
      <c r="AF12" s="9" t="str">
        <f t="shared" si="13"/>
        <v>MOV-1106</v>
      </c>
      <c r="AG12" s="9" t="s">
        <v>65</v>
      </c>
      <c r="AH12" s="16"/>
      <c r="AI12" s="16"/>
      <c r="AJ12" s="16"/>
      <c r="AK12" s="16"/>
      <c r="AL12" s="9" t="s">
        <v>512</v>
      </c>
      <c r="AM12" s="9">
        <v>0.0</v>
      </c>
      <c r="AN12" s="9" t="str">
        <f t="shared" si="14"/>
        <v>MOV-1108</v>
      </c>
      <c r="AO12" s="9" t="s">
        <v>67</v>
      </c>
    </row>
    <row r="13" ht="15.75" customHeight="1">
      <c r="A13" s="6">
        <v>1919.0</v>
      </c>
      <c r="B13" s="6" t="s">
        <v>467</v>
      </c>
      <c r="C13" s="6" t="str">
        <f t="shared" si="1"/>
        <v>51-TT-FR-002A_SKO</v>
      </c>
      <c r="D13" s="6" t="str">
        <f t="shared" si="2"/>
        <v>51-TT-FR-002A_SKO@Secunderabad_M</v>
      </c>
      <c r="E13" s="6" t="s">
        <v>208</v>
      </c>
      <c r="F13" s="6" t="s">
        <v>37</v>
      </c>
      <c r="G13" s="6" t="s">
        <v>209</v>
      </c>
      <c r="H13" s="15" t="s">
        <v>513</v>
      </c>
      <c r="I13" s="9">
        <v>0.0</v>
      </c>
      <c r="J13" s="9" t="s">
        <v>514</v>
      </c>
      <c r="K13" s="9">
        <v>0.0</v>
      </c>
      <c r="L13" s="9" t="str">
        <f t="shared" si="9"/>
        <v>LSW-13</v>
      </c>
      <c r="M13" s="9" t="s">
        <v>46</v>
      </c>
      <c r="N13" s="9" t="s">
        <v>515</v>
      </c>
      <c r="O13" s="9">
        <v>0.0</v>
      </c>
      <c r="P13" s="9" t="str">
        <f t="shared" si="10"/>
        <v>RDR-13</v>
      </c>
      <c r="Q13" s="9" t="s">
        <v>50</v>
      </c>
      <c r="R13" s="9" t="s">
        <v>516</v>
      </c>
      <c r="S13" s="9">
        <v>0.0</v>
      </c>
      <c r="T13" s="9" t="str">
        <f t="shared" ref="T13:T22" si="15">MID(R13, SEARCH(".", R13) + 1, SEARCH(".MAINTENANCE", R13) - SEARCH(".", R13) - 1)</f>
        <v>ROSOV-25</v>
      </c>
      <c r="U13" s="9" t="s">
        <v>55</v>
      </c>
      <c r="V13" s="16"/>
      <c r="W13" s="16"/>
      <c r="X13" s="9" t="s">
        <v>517</v>
      </c>
      <c r="Y13" s="9">
        <v>0.0</v>
      </c>
      <c r="Z13" s="9" t="str">
        <f t="shared" si="12"/>
        <v>ROSOV-26</v>
      </c>
      <c r="AA13" s="9" t="s">
        <v>60</v>
      </c>
      <c r="AB13" s="16"/>
      <c r="AC13" s="16"/>
      <c r="AD13" s="9" t="s">
        <v>518</v>
      </c>
      <c r="AE13" s="9">
        <v>0.0</v>
      </c>
      <c r="AF13" s="9" t="str">
        <f t="shared" si="13"/>
        <v>MOV-1201</v>
      </c>
      <c r="AG13" s="9" t="s">
        <v>65</v>
      </c>
      <c r="AH13" s="16"/>
      <c r="AI13" s="16"/>
      <c r="AJ13" s="16"/>
      <c r="AK13" s="16"/>
      <c r="AL13" s="9" t="s">
        <v>519</v>
      </c>
      <c r="AM13" s="9">
        <v>0.0</v>
      </c>
      <c r="AN13" s="9" t="str">
        <f t="shared" si="14"/>
        <v>MOV-1204</v>
      </c>
      <c r="AO13" s="9" t="s">
        <v>67</v>
      </c>
    </row>
    <row r="14" ht="15.75" customHeight="1">
      <c r="A14" s="6">
        <v>1919.0</v>
      </c>
      <c r="B14" s="6" t="s">
        <v>467</v>
      </c>
      <c r="C14" s="6" t="str">
        <f t="shared" si="1"/>
        <v>51-TT-FR-002B_BS VI HSD</v>
      </c>
      <c r="D14" s="6" t="str">
        <f t="shared" si="2"/>
        <v>51-TT-FR-002B_BS VI HSD@Secunderabad_M</v>
      </c>
      <c r="E14" s="6" t="s">
        <v>229</v>
      </c>
      <c r="F14" s="6" t="s">
        <v>37</v>
      </c>
      <c r="G14" s="6" t="s">
        <v>38</v>
      </c>
      <c r="H14" s="15" t="s">
        <v>520</v>
      </c>
      <c r="I14" s="9">
        <v>0.0</v>
      </c>
      <c r="J14" s="9" t="s">
        <v>521</v>
      </c>
      <c r="K14" s="9">
        <v>0.0</v>
      </c>
      <c r="L14" s="9" t="str">
        <f t="shared" si="9"/>
        <v>LSW-14</v>
      </c>
      <c r="M14" s="9" t="s">
        <v>46</v>
      </c>
      <c r="N14" s="9" t="s">
        <v>522</v>
      </c>
      <c r="O14" s="9">
        <v>0.0</v>
      </c>
      <c r="P14" s="9" t="str">
        <f t="shared" si="10"/>
        <v>RDR-14</v>
      </c>
      <c r="Q14" s="9" t="s">
        <v>50</v>
      </c>
      <c r="R14" s="9" t="s">
        <v>523</v>
      </c>
      <c r="S14" s="9">
        <v>0.0</v>
      </c>
      <c r="T14" s="9" t="str">
        <f t="shared" si="15"/>
        <v>ROSOV-27</v>
      </c>
      <c r="U14" s="9" t="s">
        <v>55</v>
      </c>
      <c r="V14" s="16"/>
      <c r="W14" s="16"/>
      <c r="X14" s="9" t="s">
        <v>524</v>
      </c>
      <c r="Y14" s="9">
        <v>0.0</v>
      </c>
      <c r="Z14" s="9" t="str">
        <f t="shared" si="12"/>
        <v>ROSOV-28</v>
      </c>
      <c r="AA14" s="9" t="s">
        <v>60</v>
      </c>
      <c r="AB14" s="16"/>
      <c r="AC14" s="16"/>
      <c r="AD14" s="9" t="s">
        <v>525</v>
      </c>
      <c r="AE14" s="9">
        <v>0.0</v>
      </c>
      <c r="AF14" s="9" t="str">
        <f t="shared" si="13"/>
        <v>MOV-1202</v>
      </c>
      <c r="AG14" s="9" t="s">
        <v>65</v>
      </c>
      <c r="AH14" s="16"/>
      <c r="AI14" s="16"/>
      <c r="AJ14" s="16"/>
      <c r="AK14" s="16"/>
      <c r="AL14" s="9" t="s">
        <v>526</v>
      </c>
      <c r="AM14" s="9">
        <v>0.0</v>
      </c>
      <c r="AN14" s="9" t="str">
        <f t="shared" si="14"/>
        <v>MOV-1205</v>
      </c>
      <c r="AO14" s="9" t="s">
        <v>67</v>
      </c>
    </row>
    <row r="15" ht="15.75" customHeight="1">
      <c r="A15" s="6">
        <v>1919.0</v>
      </c>
      <c r="B15" s="6" t="s">
        <v>467</v>
      </c>
      <c r="C15" s="6" t="str">
        <f t="shared" si="1"/>
        <v>51-TT-FR-003A_BS VI HSD</v>
      </c>
      <c r="D15" s="6" t="str">
        <f t="shared" si="2"/>
        <v>51-TT-FR-003A_BS VI HSD@Secunderabad_M</v>
      </c>
      <c r="E15" s="6" t="s">
        <v>249</v>
      </c>
      <c r="F15" s="6" t="s">
        <v>37</v>
      </c>
      <c r="G15" s="6" t="s">
        <v>38</v>
      </c>
      <c r="H15" s="15" t="s">
        <v>527</v>
      </c>
      <c r="I15" s="9">
        <v>0.0</v>
      </c>
      <c r="J15" s="9" t="s">
        <v>528</v>
      </c>
      <c r="K15" s="9">
        <v>0.0</v>
      </c>
      <c r="L15" s="9" t="str">
        <f t="shared" si="9"/>
        <v>LSW-09</v>
      </c>
      <c r="M15" s="9" t="s">
        <v>46</v>
      </c>
      <c r="N15" s="9" t="s">
        <v>529</v>
      </c>
      <c r="O15" s="9">
        <v>0.0</v>
      </c>
      <c r="P15" s="9" t="str">
        <f t="shared" si="10"/>
        <v>RDR-09</v>
      </c>
      <c r="Q15" s="9" t="s">
        <v>50</v>
      </c>
      <c r="R15" s="9" t="s">
        <v>530</v>
      </c>
      <c r="S15" s="9">
        <v>0.0</v>
      </c>
      <c r="T15" s="9" t="str">
        <f t="shared" si="15"/>
        <v>ROSOV-17</v>
      </c>
      <c r="U15" s="9" t="s">
        <v>55</v>
      </c>
      <c r="V15" s="16"/>
      <c r="W15" s="16"/>
      <c r="X15" s="9" t="s">
        <v>531</v>
      </c>
      <c r="Y15" s="9">
        <v>0.0</v>
      </c>
      <c r="Z15" s="9" t="str">
        <f t="shared" si="12"/>
        <v>ROSOV-18</v>
      </c>
      <c r="AA15" s="9" t="s">
        <v>60</v>
      </c>
      <c r="AB15" s="16"/>
      <c r="AC15" s="16"/>
      <c r="AD15" s="9" t="s">
        <v>532</v>
      </c>
      <c r="AE15" s="9">
        <v>0.0</v>
      </c>
      <c r="AF15" s="9" t="str">
        <f t="shared" si="13"/>
        <v>MOV-1301</v>
      </c>
      <c r="AG15" s="9" t="s">
        <v>65</v>
      </c>
      <c r="AH15" s="16"/>
      <c r="AI15" s="16"/>
      <c r="AJ15" s="16"/>
      <c r="AK15" s="16"/>
      <c r="AL15" s="9" t="s">
        <v>533</v>
      </c>
      <c r="AM15" s="9">
        <v>0.0</v>
      </c>
      <c r="AN15" s="9" t="str">
        <f t="shared" si="14"/>
        <v>MOV-1303</v>
      </c>
      <c r="AO15" s="9" t="s">
        <v>67</v>
      </c>
    </row>
    <row r="16" ht="15.75" customHeight="1">
      <c r="A16" s="6">
        <v>1919.0</v>
      </c>
      <c r="B16" s="6" t="s">
        <v>467</v>
      </c>
      <c r="C16" s="6" t="str">
        <f t="shared" si="1"/>
        <v>51-TT-FR-003B_BS VI HSD</v>
      </c>
      <c r="D16" s="6" t="str">
        <f t="shared" si="2"/>
        <v>51-TT-FR-003B_BS VI HSD@Secunderabad_M</v>
      </c>
      <c r="E16" s="6" t="s">
        <v>269</v>
      </c>
      <c r="F16" s="6" t="s">
        <v>37</v>
      </c>
      <c r="G16" s="6" t="s">
        <v>38</v>
      </c>
      <c r="H16" s="15" t="s">
        <v>534</v>
      </c>
      <c r="I16" s="9">
        <v>0.0</v>
      </c>
      <c r="J16" s="9" t="s">
        <v>535</v>
      </c>
      <c r="K16" s="9">
        <v>0.0</v>
      </c>
      <c r="L16" s="9" t="str">
        <f t="shared" si="9"/>
        <v>LSW-06</v>
      </c>
      <c r="M16" s="9" t="s">
        <v>46</v>
      </c>
      <c r="N16" s="9" t="s">
        <v>536</v>
      </c>
      <c r="O16" s="9">
        <v>0.0</v>
      </c>
      <c r="P16" s="9" t="str">
        <f t="shared" si="10"/>
        <v>RDR-06</v>
      </c>
      <c r="Q16" s="9" t="s">
        <v>50</v>
      </c>
      <c r="R16" s="9" t="s">
        <v>537</v>
      </c>
      <c r="S16" s="9">
        <v>0.0</v>
      </c>
      <c r="T16" s="9" t="str">
        <f t="shared" si="15"/>
        <v>ROSOV-11</v>
      </c>
      <c r="U16" s="9" t="s">
        <v>55</v>
      </c>
      <c r="V16" s="16"/>
      <c r="W16" s="16"/>
      <c r="X16" s="9" t="s">
        <v>538</v>
      </c>
      <c r="Y16" s="9">
        <v>0.0</v>
      </c>
      <c r="Z16" s="9" t="str">
        <f t="shared" si="12"/>
        <v>ROSOV-12</v>
      </c>
      <c r="AA16" s="9" t="s">
        <v>60</v>
      </c>
      <c r="AB16" s="16"/>
      <c r="AC16" s="16"/>
      <c r="AD16" s="9" t="s">
        <v>539</v>
      </c>
      <c r="AE16" s="9">
        <v>0.0</v>
      </c>
      <c r="AF16" s="9" t="str">
        <f t="shared" si="13"/>
        <v>MOV-1302</v>
      </c>
      <c r="AG16" s="9" t="s">
        <v>65</v>
      </c>
      <c r="AH16" s="16"/>
      <c r="AI16" s="16"/>
      <c r="AJ16" s="16"/>
      <c r="AK16" s="16"/>
      <c r="AL16" s="9" t="s">
        <v>540</v>
      </c>
      <c r="AM16" s="9">
        <v>0.0</v>
      </c>
      <c r="AN16" s="9" t="str">
        <f t="shared" si="14"/>
        <v>MOV-1304</v>
      </c>
      <c r="AO16" s="9" t="s">
        <v>67</v>
      </c>
    </row>
    <row r="17" ht="15.75" customHeight="1">
      <c r="A17" s="6">
        <v>1919.0</v>
      </c>
      <c r="B17" s="6" t="s">
        <v>467</v>
      </c>
      <c r="C17" s="6" t="str">
        <f t="shared" si="1"/>
        <v>51-TT-FR-003C_ETHANOL</v>
      </c>
      <c r="D17" s="6" t="str">
        <f t="shared" si="2"/>
        <v>51-TT-FR-003C_ETHANOL@Secunderabad_M</v>
      </c>
      <c r="E17" s="6" t="s">
        <v>289</v>
      </c>
      <c r="F17" s="6" t="s">
        <v>37</v>
      </c>
      <c r="G17" s="6" t="s">
        <v>69</v>
      </c>
      <c r="H17" s="15" t="s">
        <v>541</v>
      </c>
      <c r="I17" s="9">
        <v>0.0</v>
      </c>
      <c r="J17" s="9" t="s">
        <v>542</v>
      </c>
      <c r="K17" s="9">
        <v>0.0</v>
      </c>
      <c r="L17" s="9" t="str">
        <f t="shared" si="9"/>
        <v>LSW-02</v>
      </c>
      <c r="M17" s="9" t="s">
        <v>46</v>
      </c>
      <c r="N17" s="9" t="s">
        <v>543</v>
      </c>
      <c r="O17" s="9">
        <v>0.0</v>
      </c>
      <c r="P17" s="9" t="str">
        <f t="shared" si="10"/>
        <v>RDR-02</v>
      </c>
      <c r="Q17" s="9" t="s">
        <v>50</v>
      </c>
      <c r="R17" s="9" t="s">
        <v>544</v>
      </c>
      <c r="S17" s="9">
        <v>0.0</v>
      </c>
      <c r="T17" s="9" t="str">
        <f t="shared" si="15"/>
        <v>ROSOV-03</v>
      </c>
      <c r="U17" s="9" t="s">
        <v>55</v>
      </c>
      <c r="V17" s="16"/>
      <c r="W17" s="16"/>
      <c r="X17" s="9" t="s">
        <v>545</v>
      </c>
      <c r="Y17" s="9">
        <v>0.0</v>
      </c>
      <c r="Z17" s="9" t="str">
        <f t="shared" si="12"/>
        <v>ROSOV-04</v>
      </c>
      <c r="AA17" s="9" t="s">
        <v>60</v>
      </c>
      <c r="AB17" s="16"/>
      <c r="AC17" s="16"/>
      <c r="AD17" s="9" t="s">
        <v>546</v>
      </c>
      <c r="AE17" s="9">
        <v>0.0</v>
      </c>
      <c r="AF17" s="9" t="str">
        <f t="shared" si="13"/>
        <v>MOV-1305</v>
      </c>
      <c r="AG17" s="9" t="s">
        <v>65</v>
      </c>
      <c r="AH17" s="16"/>
      <c r="AI17" s="16"/>
      <c r="AJ17" s="16"/>
      <c r="AK17" s="16"/>
      <c r="AL17" s="9" t="s">
        <v>547</v>
      </c>
      <c r="AM17" s="9">
        <v>0.0</v>
      </c>
      <c r="AN17" s="9" t="str">
        <f t="shared" si="14"/>
        <v>MOV-1306</v>
      </c>
      <c r="AO17" s="9" t="s">
        <v>67</v>
      </c>
    </row>
    <row r="18" ht="15.75" customHeight="1">
      <c r="A18" s="6">
        <v>1919.0</v>
      </c>
      <c r="B18" s="6" t="s">
        <v>467</v>
      </c>
      <c r="C18" s="6" t="str">
        <f t="shared" si="1"/>
        <v>51-TT-FR-003E_BS VI HSD</v>
      </c>
      <c r="D18" s="6" t="str">
        <f t="shared" si="2"/>
        <v>51-TT-FR-003E_BS VI HSD@Secunderabad_M</v>
      </c>
      <c r="E18" s="6" t="s">
        <v>312</v>
      </c>
      <c r="F18" s="6" t="s">
        <v>37</v>
      </c>
      <c r="G18" s="6" t="s">
        <v>38</v>
      </c>
      <c r="H18" s="15" t="s">
        <v>548</v>
      </c>
      <c r="I18" s="9">
        <v>0.0</v>
      </c>
      <c r="J18" s="9" t="s">
        <v>549</v>
      </c>
      <c r="K18" s="9">
        <v>0.0</v>
      </c>
      <c r="L18" s="9" t="str">
        <f t="shared" si="9"/>
        <v>LSW-11</v>
      </c>
      <c r="M18" s="9" t="s">
        <v>46</v>
      </c>
      <c r="N18" s="9" t="s">
        <v>550</v>
      </c>
      <c r="O18" s="9">
        <v>0.0</v>
      </c>
      <c r="P18" s="9" t="str">
        <f t="shared" si="10"/>
        <v>RDR-11</v>
      </c>
      <c r="Q18" s="9" t="s">
        <v>50</v>
      </c>
      <c r="R18" s="9" t="s">
        <v>551</v>
      </c>
      <c r="S18" s="9">
        <v>0.0</v>
      </c>
      <c r="T18" s="9" t="str">
        <f t="shared" si="15"/>
        <v>ROSOV-21</v>
      </c>
      <c r="U18" s="9" t="s">
        <v>55</v>
      </c>
      <c r="V18" s="16"/>
      <c r="W18" s="16"/>
      <c r="X18" s="9" t="s">
        <v>552</v>
      </c>
      <c r="Y18" s="9">
        <v>0.0</v>
      </c>
      <c r="Z18" s="9" t="str">
        <f t="shared" si="12"/>
        <v>ROSOV-22</v>
      </c>
      <c r="AA18" s="9" t="s">
        <v>60</v>
      </c>
      <c r="AB18" s="16"/>
      <c r="AC18" s="16"/>
      <c r="AD18" s="9" t="s">
        <v>553</v>
      </c>
      <c r="AE18" s="9">
        <v>0.0</v>
      </c>
      <c r="AF18" s="9" t="str">
        <f t="shared" si="13"/>
        <v>MOV-1309</v>
      </c>
      <c r="AG18" s="9" t="s">
        <v>65</v>
      </c>
      <c r="AH18" s="16"/>
      <c r="AI18" s="16"/>
      <c r="AJ18" s="16"/>
      <c r="AK18" s="16"/>
      <c r="AL18" s="9" t="s">
        <v>554</v>
      </c>
      <c r="AM18" s="9">
        <v>0.0</v>
      </c>
      <c r="AN18" s="9" t="str">
        <f t="shared" si="14"/>
        <v>MOV-1310</v>
      </c>
      <c r="AO18" s="9" t="s">
        <v>67</v>
      </c>
    </row>
    <row r="19" ht="15.75" customHeight="1">
      <c r="A19" s="6">
        <v>1919.0</v>
      </c>
      <c r="B19" s="6" t="s">
        <v>467</v>
      </c>
      <c r="C19" s="6" t="str">
        <f t="shared" si="1"/>
        <v>51-TT-FR-004A_ATF</v>
      </c>
      <c r="D19" s="6" t="str">
        <f t="shared" si="2"/>
        <v>51-TT-FR-004A_ATF@Secunderabad_M</v>
      </c>
      <c r="E19" s="6" t="s">
        <v>332</v>
      </c>
      <c r="F19" s="6" t="s">
        <v>37</v>
      </c>
      <c r="G19" s="6" t="s">
        <v>333</v>
      </c>
      <c r="H19" s="15" t="s">
        <v>555</v>
      </c>
      <c r="I19" s="9">
        <v>0.0</v>
      </c>
      <c r="J19" s="9" t="s">
        <v>556</v>
      </c>
      <c r="K19" s="9">
        <v>0.0</v>
      </c>
      <c r="L19" s="9" t="str">
        <f t="shared" si="9"/>
        <v>LSW-07</v>
      </c>
      <c r="M19" s="9" t="s">
        <v>46</v>
      </c>
      <c r="N19" s="9" t="s">
        <v>557</v>
      </c>
      <c r="O19" s="9">
        <v>0.0</v>
      </c>
      <c r="P19" s="9" t="str">
        <f t="shared" si="10"/>
        <v>RDR-07</v>
      </c>
      <c r="Q19" s="9" t="s">
        <v>50</v>
      </c>
      <c r="R19" s="9" t="s">
        <v>558</v>
      </c>
      <c r="S19" s="9">
        <v>0.0</v>
      </c>
      <c r="T19" s="9" t="str">
        <f t="shared" si="15"/>
        <v>ROSOV-13</v>
      </c>
      <c r="U19" s="9" t="s">
        <v>55</v>
      </c>
      <c r="V19" s="16"/>
      <c r="W19" s="16"/>
      <c r="X19" s="9" t="s">
        <v>559</v>
      </c>
      <c r="Y19" s="9">
        <v>0.0</v>
      </c>
      <c r="Z19" s="9" t="str">
        <f t="shared" si="12"/>
        <v>ROSOV-14</v>
      </c>
      <c r="AA19" s="9" t="s">
        <v>60</v>
      </c>
      <c r="AB19" s="16"/>
      <c r="AC19" s="16"/>
      <c r="AD19" s="9" t="s">
        <v>560</v>
      </c>
      <c r="AE19" s="9">
        <v>0.0</v>
      </c>
      <c r="AF19" s="9" t="str">
        <f t="shared" si="13"/>
        <v>MOV-1401</v>
      </c>
      <c r="AG19" s="9" t="s">
        <v>65</v>
      </c>
      <c r="AH19" s="16"/>
      <c r="AI19" s="16"/>
      <c r="AJ19" s="16"/>
      <c r="AK19" s="16"/>
      <c r="AL19" s="9" t="s">
        <v>561</v>
      </c>
      <c r="AM19" s="9">
        <v>0.0</v>
      </c>
      <c r="AN19" s="9" t="str">
        <f t="shared" si="14"/>
        <v>MOV-1404</v>
      </c>
      <c r="AO19" s="9" t="s">
        <v>67</v>
      </c>
    </row>
    <row r="20" ht="15.75" customHeight="1">
      <c r="A20" s="6">
        <v>1919.0</v>
      </c>
      <c r="B20" s="6" t="s">
        <v>467</v>
      </c>
      <c r="C20" s="6" t="str">
        <f t="shared" si="1"/>
        <v>51-TT-FR-004B_ATF</v>
      </c>
      <c r="D20" s="6" t="str">
        <f t="shared" si="2"/>
        <v>51-TT-FR-004B_ATF@Secunderabad_M</v>
      </c>
      <c r="E20" s="6" t="s">
        <v>353</v>
      </c>
      <c r="F20" s="6" t="s">
        <v>37</v>
      </c>
      <c r="G20" s="6" t="s">
        <v>333</v>
      </c>
      <c r="H20" s="15" t="s">
        <v>562</v>
      </c>
      <c r="I20" s="9">
        <v>0.0</v>
      </c>
      <c r="J20" s="9" t="s">
        <v>563</v>
      </c>
      <c r="K20" s="9">
        <v>0.0</v>
      </c>
      <c r="L20" s="9" t="str">
        <f t="shared" si="9"/>
        <v>LSW-10</v>
      </c>
      <c r="M20" s="9" t="s">
        <v>46</v>
      </c>
      <c r="N20" s="9" t="s">
        <v>564</v>
      </c>
      <c r="O20" s="9">
        <v>0.0</v>
      </c>
      <c r="P20" s="9" t="str">
        <f t="shared" si="10"/>
        <v>RDR-10</v>
      </c>
      <c r="Q20" s="9" t="s">
        <v>50</v>
      </c>
      <c r="R20" s="9" t="s">
        <v>565</v>
      </c>
      <c r="S20" s="9">
        <v>0.0</v>
      </c>
      <c r="T20" s="9" t="str">
        <f t="shared" si="15"/>
        <v>ROSOV-19</v>
      </c>
      <c r="U20" s="9" t="s">
        <v>55</v>
      </c>
      <c r="V20" s="16"/>
      <c r="W20" s="16"/>
      <c r="X20" s="9" t="s">
        <v>566</v>
      </c>
      <c r="Y20" s="9">
        <v>0.0</v>
      </c>
      <c r="Z20" s="9" t="str">
        <f t="shared" si="12"/>
        <v>ROSOV-20</v>
      </c>
      <c r="AA20" s="9" t="s">
        <v>60</v>
      </c>
      <c r="AB20" s="16"/>
      <c r="AC20" s="16"/>
      <c r="AD20" s="9" t="s">
        <v>567</v>
      </c>
      <c r="AE20" s="9">
        <v>0.0</v>
      </c>
      <c r="AF20" s="9" t="str">
        <f t="shared" si="13"/>
        <v>MOV-1402</v>
      </c>
      <c r="AG20" s="9" t="s">
        <v>65</v>
      </c>
      <c r="AH20" s="16"/>
      <c r="AI20" s="16"/>
      <c r="AJ20" s="16"/>
      <c r="AK20" s="16"/>
      <c r="AL20" s="9" t="s">
        <v>568</v>
      </c>
      <c r="AM20" s="9">
        <v>0.0</v>
      </c>
      <c r="AN20" s="9" t="str">
        <f t="shared" si="14"/>
        <v>MOV-1405</v>
      </c>
      <c r="AO20" s="9" t="s">
        <v>67</v>
      </c>
    </row>
    <row r="21" ht="15.75" customHeight="1">
      <c r="A21" s="6">
        <v>1919.0</v>
      </c>
      <c r="B21" s="6" t="s">
        <v>467</v>
      </c>
      <c r="C21" s="6" t="str">
        <f t="shared" si="1"/>
        <v>51-TT-FR-004C_BS VI MS</v>
      </c>
      <c r="D21" s="6" t="str">
        <f t="shared" si="2"/>
        <v>51-TT-FR-004C_BS VI MS@Secunderabad_M</v>
      </c>
      <c r="E21" s="6" t="s">
        <v>373</v>
      </c>
      <c r="F21" s="6" t="s">
        <v>37</v>
      </c>
      <c r="G21" s="6" t="s">
        <v>120</v>
      </c>
      <c r="H21" s="15" t="s">
        <v>569</v>
      </c>
      <c r="I21" s="9">
        <v>0.0</v>
      </c>
      <c r="J21" s="9" t="s">
        <v>570</v>
      </c>
      <c r="K21" s="9">
        <v>0.0</v>
      </c>
      <c r="L21" s="9" t="str">
        <f t="shared" si="9"/>
        <v>LSW-05</v>
      </c>
      <c r="M21" s="9" t="s">
        <v>46</v>
      </c>
      <c r="N21" s="9" t="s">
        <v>571</v>
      </c>
      <c r="O21" s="9">
        <v>0.0</v>
      </c>
      <c r="P21" s="9" t="str">
        <f t="shared" si="10"/>
        <v>RDR-05</v>
      </c>
      <c r="Q21" s="9" t="s">
        <v>50</v>
      </c>
      <c r="R21" s="9" t="s">
        <v>572</v>
      </c>
      <c r="S21" s="9">
        <v>0.0</v>
      </c>
      <c r="T21" s="9" t="str">
        <f t="shared" si="15"/>
        <v>ROSOV-09</v>
      </c>
      <c r="U21" s="9" t="s">
        <v>55</v>
      </c>
      <c r="V21" s="16"/>
      <c r="W21" s="16"/>
      <c r="X21" s="9" t="s">
        <v>573</v>
      </c>
      <c r="Y21" s="9">
        <v>0.0</v>
      </c>
      <c r="Z21" s="9" t="str">
        <f t="shared" si="12"/>
        <v>ROSOV-10</v>
      </c>
      <c r="AA21" s="9" t="s">
        <v>60</v>
      </c>
      <c r="AB21" s="16"/>
      <c r="AC21" s="16"/>
      <c r="AD21" s="9" t="s">
        <v>574</v>
      </c>
      <c r="AE21" s="9">
        <v>0.0</v>
      </c>
      <c r="AF21" s="9" t="str">
        <f t="shared" si="13"/>
        <v>MOV-1403</v>
      </c>
      <c r="AG21" s="9" t="s">
        <v>65</v>
      </c>
      <c r="AH21" s="16"/>
      <c r="AI21" s="16"/>
      <c r="AJ21" s="16"/>
      <c r="AK21" s="16"/>
      <c r="AL21" s="9" t="s">
        <v>575</v>
      </c>
      <c r="AM21" s="9">
        <v>0.0</v>
      </c>
      <c r="AN21" s="9" t="str">
        <f t="shared" si="14"/>
        <v>MOV-1406</v>
      </c>
      <c r="AO21" s="9" t="s">
        <v>67</v>
      </c>
    </row>
    <row r="22" ht="15.75" customHeight="1">
      <c r="A22" s="6">
        <v>1919.0</v>
      </c>
      <c r="B22" s="6" t="s">
        <v>467</v>
      </c>
      <c r="C22" s="6" t="str">
        <f t="shared" si="1"/>
        <v>51-TT-FR-005C_ETHANOL</v>
      </c>
      <c r="D22" s="6" t="str">
        <f t="shared" si="2"/>
        <v>51-TT-FR-005C_ETHANOL@Secunderabad_M</v>
      </c>
      <c r="E22" s="6" t="s">
        <v>396</v>
      </c>
      <c r="F22" s="6" t="s">
        <v>37</v>
      </c>
      <c r="G22" s="6" t="s">
        <v>69</v>
      </c>
      <c r="H22" s="15" t="s">
        <v>576</v>
      </c>
      <c r="I22" s="9">
        <v>0.0</v>
      </c>
      <c r="J22" s="9" t="s">
        <v>577</v>
      </c>
      <c r="K22" s="9">
        <v>0.0</v>
      </c>
      <c r="L22" s="9" t="str">
        <f t="shared" si="9"/>
        <v>LSW-16</v>
      </c>
      <c r="M22" s="9" t="s">
        <v>46</v>
      </c>
      <c r="N22" s="9" t="s">
        <v>578</v>
      </c>
      <c r="O22" s="9">
        <v>0.0</v>
      </c>
      <c r="P22" s="9" t="str">
        <f t="shared" si="10"/>
        <v>RDR-16</v>
      </c>
      <c r="Q22" s="9" t="s">
        <v>50</v>
      </c>
      <c r="R22" s="9" t="s">
        <v>579</v>
      </c>
      <c r="S22" s="9">
        <v>0.0</v>
      </c>
      <c r="T22" s="9" t="str">
        <f t="shared" si="15"/>
        <v>ROSOV-31</v>
      </c>
      <c r="U22" s="9" t="s">
        <v>55</v>
      </c>
      <c r="V22" s="16"/>
      <c r="W22" s="16"/>
      <c r="X22" s="9" t="s">
        <v>580</v>
      </c>
      <c r="Y22" s="9">
        <v>0.0</v>
      </c>
      <c r="Z22" s="9" t="str">
        <f t="shared" si="12"/>
        <v>ROSOV-32</v>
      </c>
      <c r="AA22" s="9" t="s">
        <v>60</v>
      </c>
      <c r="AB22" s="16"/>
      <c r="AC22" s="16"/>
      <c r="AD22" s="9" t="s">
        <v>581</v>
      </c>
      <c r="AE22" s="9">
        <v>0.0</v>
      </c>
      <c r="AF22" s="9" t="str">
        <f t="shared" si="13"/>
        <v>MOV-1510</v>
      </c>
      <c r="AG22" s="9" t="s">
        <v>65</v>
      </c>
      <c r="AH22" s="16"/>
      <c r="AI22" s="16"/>
      <c r="AJ22" s="16"/>
      <c r="AK22" s="16"/>
      <c r="AL22" s="9" t="s">
        <v>582</v>
      </c>
      <c r="AM22" s="9">
        <v>0.0</v>
      </c>
      <c r="AN22" s="9" t="str">
        <f t="shared" si="14"/>
        <v>MOV-1511</v>
      </c>
      <c r="AO22" s="9" t="s">
        <v>67</v>
      </c>
    </row>
    <row r="23" ht="15.75" customHeight="1">
      <c r="H23" s="16"/>
      <c r="I23" s="16"/>
      <c r="J23" s="12"/>
      <c r="K23" s="12"/>
      <c r="L23" s="12"/>
      <c r="M23" s="12"/>
      <c r="N23" s="12"/>
      <c r="O23" s="12"/>
      <c r="P23" s="12"/>
      <c r="Q23" s="12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 ht="15.75" customHeight="1">
      <c r="H24" s="16"/>
      <c r="I24" s="16"/>
      <c r="J24" s="12"/>
      <c r="K24" s="12"/>
      <c r="L24" s="12"/>
      <c r="M24" s="12"/>
      <c r="N24" s="12"/>
      <c r="O24" s="12"/>
      <c r="P24" s="12"/>
      <c r="Q24" s="12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ht="15.75" customHeight="1">
      <c r="H25" s="16"/>
      <c r="I25" s="16"/>
      <c r="J25" s="12"/>
      <c r="K25" s="12"/>
      <c r="L25" s="12"/>
      <c r="M25" s="12"/>
      <c r="N25" s="12"/>
      <c r="O25" s="12"/>
      <c r="P25" s="12"/>
      <c r="Q25" s="12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 ht="15.75" customHeight="1">
      <c r="H26" s="16"/>
      <c r="I26" s="16"/>
      <c r="J26" s="12"/>
      <c r="K26" s="12"/>
      <c r="L26" s="12"/>
      <c r="M26" s="12"/>
      <c r="N26" s="12"/>
      <c r="O26" s="12"/>
      <c r="P26" s="12"/>
      <c r="Q26" s="12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 ht="15.75" customHeight="1">
      <c r="H27" s="16"/>
      <c r="I27" s="16"/>
      <c r="J27" s="12"/>
      <c r="K27" s="12"/>
      <c r="L27" s="12"/>
      <c r="M27" s="12"/>
      <c r="N27" s="12"/>
      <c r="O27" s="12"/>
      <c r="P27" s="12"/>
      <c r="Q27" s="12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ht="15.75" customHeight="1">
      <c r="H28" s="16"/>
      <c r="I28" s="16"/>
      <c r="J28" s="12"/>
      <c r="K28" s="12"/>
      <c r="L28" s="12"/>
      <c r="M28" s="12"/>
      <c r="N28" s="12"/>
      <c r="O28" s="12"/>
      <c r="P28" s="12"/>
      <c r="Q28" s="12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ht="15.75" customHeight="1">
      <c r="H29" s="16"/>
      <c r="I29" s="16"/>
      <c r="J29" s="12"/>
      <c r="K29" s="12"/>
      <c r="L29" s="12"/>
      <c r="M29" s="12"/>
      <c r="N29" s="12"/>
      <c r="O29" s="12"/>
      <c r="P29" s="12"/>
      <c r="Q29" s="12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ht="15.75" customHeight="1">
      <c r="H30" s="16"/>
      <c r="I30" s="16"/>
      <c r="J30" s="12"/>
      <c r="K30" s="12"/>
      <c r="L30" s="12"/>
      <c r="M30" s="12"/>
      <c r="N30" s="12"/>
      <c r="O30" s="12"/>
      <c r="P30" s="12"/>
      <c r="Q30" s="12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ht="15.75" customHeight="1">
      <c r="H31" s="16"/>
      <c r="I31" s="16"/>
      <c r="J31" s="12"/>
      <c r="K31" s="12"/>
      <c r="L31" s="12"/>
      <c r="M31" s="12"/>
      <c r="N31" s="12"/>
      <c r="O31" s="12"/>
      <c r="P31" s="12"/>
      <c r="Q31" s="12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ht="15.75" customHeight="1">
      <c r="H32" s="16"/>
      <c r="I32" s="16"/>
      <c r="J32" s="12"/>
      <c r="K32" s="12"/>
      <c r="L32" s="12"/>
      <c r="M32" s="12"/>
      <c r="N32" s="12"/>
      <c r="O32" s="12"/>
      <c r="P32" s="12"/>
      <c r="Q32" s="12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 ht="15.75" customHeight="1">
      <c r="H33" s="16"/>
      <c r="I33" s="16"/>
      <c r="J33" s="12"/>
      <c r="K33" s="12"/>
      <c r="L33" s="12"/>
      <c r="M33" s="12"/>
      <c r="N33" s="12"/>
      <c r="O33" s="12"/>
      <c r="P33" s="12"/>
      <c r="Q33" s="12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ht="15.75" customHeight="1">
      <c r="H34" s="16"/>
      <c r="I34" s="16"/>
      <c r="J34" s="12"/>
      <c r="K34" s="12"/>
      <c r="L34" s="12"/>
      <c r="M34" s="12"/>
      <c r="N34" s="12"/>
      <c r="O34" s="12"/>
      <c r="P34" s="12"/>
      <c r="Q34" s="12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ht="15.75" customHeight="1">
      <c r="C35" s="12"/>
      <c r="H35" s="16"/>
      <c r="I35" s="16"/>
      <c r="J35" s="12"/>
      <c r="K35" s="12"/>
      <c r="L35" s="12"/>
      <c r="M35" s="12"/>
      <c r="N35" s="12"/>
      <c r="O35" s="12"/>
      <c r="P35" s="12"/>
      <c r="Q35" s="12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ht="15.75" customHeight="1">
      <c r="C36" s="12"/>
      <c r="H36" s="16"/>
      <c r="I36" s="16"/>
      <c r="J36" s="12"/>
      <c r="K36" s="12"/>
      <c r="L36" s="12"/>
      <c r="M36" s="12"/>
      <c r="N36" s="12"/>
      <c r="O36" s="12"/>
      <c r="P36" s="12"/>
      <c r="Q36" s="12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ht="15.75" customHeight="1">
      <c r="C37" s="12"/>
      <c r="H37" s="16"/>
      <c r="I37" s="16"/>
      <c r="J37" s="12"/>
      <c r="K37" s="12"/>
      <c r="L37" s="12"/>
      <c r="M37" s="12"/>
      <c r="N37" s="12"/>
      <c r="O37" s="12"/>
      <c r="P37" s="12"/>
      <c r="Q37" s="12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ht="15.75" customHeight="1">
      <c r="C38" s="12"/>
      <c r="H38" s="16"/>
      <c r="I38" s="16"/>
      <c r="J38" s="12"/>
      <c r="K38" s="12"/>
      <c r="L38" s="12"/>
      <c r="M38" s="12"/>
      <c r="N38" s="12"/>
      <c r="O38" s="12"/>
      <c r="P38" s="12"/>
      <c r="Q38" s="12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ht="15.75" customHeight="1">
      <c r="C39" s="12"/>
      <c r="H39" s="16"/>
      <c r="I39" s="16"/>
      <c r="J39" s="12"/>
      <c r="K39" s="12"/>
      <c r="L39" s="12"/>
      <c r="M39" s="12"/>
      <c r="N39" s="12"/>
      <c r="O39" s="12"/>
      <c r="P39" s="12"/>
      <c r="Q39" s="12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ht="15.75" customHeight="1">
      <c r="C40" s="12"/>
      <c r="H40" s="16"/>
      <c r="I40" s="16"/>
      <c r="J40" s="12"/>
      <c r="K40" s="12"/>
      <c r="L40" s="12"/>
      <c r="M40" s="12"/>
      <c r="N40" s="12"/>
      <c r="O40" s="12"/>
      <c r="P40" s="12"/>
      <c r="Q40" s="12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ht="15.75" customHeight="1">
      <c r="C41" s="12"/>
      <c r="H41" s="16"/>
      <c r="I41" s="16"/>
      <c r="J41" s="12"/>
      <c r="K41" s="12"/>
      <c r="L41" s="12"/>
      <c r="M41" s="12"/>
      <c r="N41" s="12"/>
      <c r="O41" s="12"/>
      <c r="P41" s="12"/>
      <c r="Q41" s="12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ht="15.75" customHeight="1">
      <c r="C42" s="12"/>
      <c r="H42" s="16"/>
      <c r="I42" s="16"/>
      <c r="J42" s="12"/>
      <c r="K42" s="12"/>
      <c r="L42" s="12"/>
      <c r="M42" s="12"/>
      <c r="N42" s="12"/>
      <c r="O42" s="12"/>
      <c r="P42" s="12"/>
      <c r="Q42" s="12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ht="15.75" customHeight="1">
      <c r="C43" s="12"/>
      <c r="H43" s="16"/>
      <c r="I43" s="16"/>
      <c r="J43" s="12"/>
      <c r="K43" s="12"/>
      <c r="L43" s="12"/>
      <c r="M43" s="12"/>
      <c r="N43" s="12"/>
      <c r="O43" s="12"/>
      <c r="P43" s="12"/>
      <c r="Q43" s="12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ht="15.75" customHeight="1">
      <c r="C44" s="12"/>
      <c r="H44" s="16"/>
      <c r="I44" s="16"/>
      <c r="J44" s="12"/>
      <c r="K44" s="12"/>
      <c r="L44" s="12"/>
      <c r="M44" s="12"/>
      <c r="N44" s="12"/>
      <c r="O44" s="12"/>
      <c r="P44" s="12"/>
      <c r="Q44" s="12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ht="15.75" customHeight="1">
      <c r="C45" s="12"/>
      <c r="H45" s="16"/>
      <c r="I45" s="16"/>
      <c r="J45" s="12"/>
      <c r="K45" s="12"/>
      <c r="L45" s="12"/>
      <c r="M45" s="12"/>
      <c r="N45" s="12"/>
      <c r="O45" s="12"/>
      <c r="P45" s="12"/>
      <c r="Q45" s="12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ht="15.75" customHeight="1">
      <c r="C46" s="12"/>
      <c r="H46" s="16"/>
      <c r="I46" s="16"/>
      <c r="J46" s="12"/>
      <c r="K46" s="12"/>
      <c r="L46" s="12"/>
      <c r="M46" s="12"/>
      <c r="N46" s="12"/>
      <c r="O46" s="12"/>
      <c r="P46" s="12"/>
      <c r="Q46" s="12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ht="15.75" customHeight="1">
      <c r="C47" s="12"/>
      <c r="H47" s="16"/>
      <c r="I47" s="16"/>
      <c r="J47" s="12"/>
      <c r="K47" s="12"/>
      <c r="L47" s="12"/>
      <c r="M47" s="12"/>
      <c r="N47" s="12"/>
      <c r="O47" s="12"/>
      <c r="P47" s="12"/>
      <c r="Q47" s="12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ht="15.75" customHeight="1">
      <c r="C48" s="12"/>
      <c r="H48" s="16"/>
      <c r="I48" s="16"/>
      <c r="J48" s="12"/>
      <c r="K48" s="12"/>
      <c r="L48" s="12"/>
      <c r="M48" s="12"/>
      <c r="N48" s="12"/>
      <c r="O48" s="12"/>
      <c r="P48" s="12"/>
      <c r="Q48" s="12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ht="15.75" customHeight="1">
      <c r="C49" s="12"/>
      <c r="H49" s="16"/>
      <c r="I49" s="16"/>
      <c r="J49" s="12"/>
      <c r="K49" s="12"/>
      <c r="L49" s="12"/>
      <c r="M49" s="12"/>
      <c r="N49" s="12"/>
      <c r="O49" s="12"/>
      <c r="P49" s="12"/>
      <c r="Q49" s="12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ht="15.75" customHeight="1">
      <c r="C50" s="12"/>
      <c r="H50" s="16"/>
      <c r="I50" s="16"/>
      <c r="J50" s="12"/>
      <c r="K50" s="12"/>
      <c r="L50" s="12"/>
      <c r="M50" s="12"/>
      <c r="N50" s="12"/>
      <c r="O50" s="12"/>
      <c r="P50" s="12"/>
      <c r="Q50" s="12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ht="15.75" customHeight="1">
      <c r="C51" s="12"/>
      <c r="H51" s="16"/>
      <c r="I51" s="16"/>
      <c r="J51" s="12"/>
      <c r="K51" s="12"/>
      <c r="L51" s="12"/>
      <c r="M51" s="12"/>
      <c r="N51" s="12"/>
      <c r="O51" s="12"/>
      <c r="P51" s="12"/>
      <c r="Q51" s="12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ht="15.75" customHeight="1">
      <c r="C52" s="12"/>
      <c r="H52" s="16"/>
      <c r="I52" s="16"/>
      <c r="J52" s="12"/>
      <c r="K52" s="12"/>
      <c r="L52" s="12"/>
      <c r="M52" s="12"/>
      <c r="N52" s="12"/>
      <c r="O52" s="12"/>
      <c r="P52" s="12"/>
      <c r="Q52" s="12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ht="15.75" customHeight="1">
      <c r="C53" s="12"/>
      <c r="H53" s="16"/>
      <c r="I53" s="16"/>
      <c r="J53" s="12"/>
      <c r="K53" s="12"/>
      <c r="L53" s="12"/>
      <c r="M53" s="12"/>
      <c r="N53" s="12"/>
      <c r="O53" s="12"/>
      <c r="P53" s="12"/>
      <c r="Q53" s="12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ht="15.75" customHeight="1">
      <c r="C54" s="12"/>
      <c r="H54" s="16"/>
      <c r="I54" s="16"/>
      <c r="J54" s="12"/>
      <c r="K54" s="12"/>
      <c r="L54" s="12"/>
      <c r="M54" s="12"/>
      <c r="N54" s="12"/>
      <c r="O54" s="12"/>
      <c r="P54" s="12"/>
      <c r="Q54" s="12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</row>
    <row r="55" ht="15.75" customHeight="1">
      <c r="H55" s="16"/>
      <c r="I55" s="16"/>
      <c r="J55" s="12"/>
      <c r="K55" s="12"/>
      <c r="L55" s="12"/>
      <c r="M55" s="12"/>
      <c r="N55" s="12"/>
      <c r="O55" s="12"/>
      <c r="P55" s="12"/>
      <c r="Q55" s="12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ht="15.75" customHeight="1">
      <c r="H56" s="16"/>
      <c r="I56" s="16"/>
      <c r="J56" s="12"/>
      <c r="K56" s="12"/>
      <c r="L56" s="12"/>
      <c r="M56" s="12"/>
      <c r="N56" s="12"/>
      <c r="O56" s="12"/>
      <c r="P56" s="12"/>
      <c r="Q56" s="12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</row>
    <row r="57" ht="15.75" customHeight="1">
      <c r="H57" s="16"/>
      <c r="I57" s="16"/>
      <c r="J57" s="12"/>
      <c r="K57" s="12"/>
      <c r="L57" s="12"/>
      <c r="M57" s="12"/>
      <c r="N57" s="12"/>
      <c r="O57" s="12"/>
      <c r="P57" s="12"/>
      <c r="Q57" s="12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ht="15.75" customHeight="1">
      <c r="H58" s="16"/>
      <c r="I58" s="16"/>
      <c r="J58" s="12"/>
      <c r="K58" s="12"/>
      <c r="L58" s="12"/>
      <c r="M58" s="12"/>
      <c r="N58" s="12"/>
      <c r="O58" s="12"/>
      <c r="P58" s="12"/>
      <c r="Q58" s="12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</row>
    <row r="59" ht="15.75" customHeight="1">
      <c r="H59" s="16"/>
      <c r="I59" s="16"/>
      <c r="J59" s="12"/>
      <c r="K59" s="12"/>
      <c r="L59" s="12"/>
      <c r="M59" s="12"/>
      <c r="N59" s="12"/>
      <c r="O59" s="12"/>
      <c r="P59" s="12"/>
      <c r="Q59" s="12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</row>
    <row r="60" ht="15.75" customHeight="1">
      <c r="H60" s="16"/>
      <c r="I60" s="16"/>
      <c r="J60" s="12"/>
      <c r="K60" s="12"/>
      <c r="L60" s="12"/>
      <c r="M60" s="12"/>
      <c r="N60" s="12"/>
      <c r="O60" s="12"/>
      <c r="P60" s="12"/>
      <c r="Q60" s="12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</row>
    <row r="61" ht="15.75" customHeight="1">
      <c r="H61" s="16"/>
      <c r="I61" s="16"/>
      <c r="J61" s="12"/>
      <c r="K61" s="12"/>
      <c r="L61" s="12"/>
      <c r="M61" s="12"/>
      <c r="N61" s="12"/>
      <c r="O61" s="12"/>
      <c r="P61" s="12"/>
      <c r="Q61" s="12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</row>
    <row r="62" ht="15.75" customHeight="1">
      <c r="H62" s="16"/>
      <c r="I62" s="16"/>
      <c r="J62" s="12"/>
      <c r="K62" s="12"/>
      <c r="L62" s="12"/>
      <c r="M62" s="12"/>
      <c r="N62" s="12"/>
      <c r="O62" s="12"/>
      <c r="P62" s="12"/>
      <c r="Q62" s="12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</row>
    <row r="63" ht="15.75" customHeight="1">
      <c r="H63" s="16"/>
      <c r="I63" s="16"/>
      <c r="J63" s="12"/>
      <c r="K63" s="12"/>
      <c r="L63" s="12"/>
      <c r="M63" s="12"/>
      <c r="N63" s="12"/>
      <c r="O63" s="12"/>
      <c r="P63" s="12"/>
      <c r="Q63" s="12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</row>
    <row r="64" ht="15.75" customHeight="1">
      <c r="H64" s="16"/>
      <c r="I64" s="16"/>
      <c r="J64" s="12"/>
      <c r="K64" s="12"/>
      <c r="L64" s="12"/>
      <c r="M64" s="12"/>
      <c r="N64" s="12"/>
      <c r="O64" s="12"/>
      <c r="P64" s="12"/>
      <c r="Q64" s="12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</row>
    <row r="65" ht="15.75" customHeight="1">
      <c r="H65" s="16"/>
      <c r="I65" s="16"/>
      <c r="J65" s="12"/>
      <c r="K65" s="12"/>
      <c r="L65" s="12"/>
      <c r="M65" s="12"/>
      <c r="N65" s="12"/>
      <c r="O65" s="12"/>
      <c r="P65" s="12"/>
      <c r="Q65" s="12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</row>
    <row r="66" ht="15.75" customHeight="1">
      <c r="H66" s="16"/>
      <c r="I66" s="16"/>
      <c r="J66" s="12"/>
      <c r="K66" s="12"/>
      <c r="L66" s="12"/>
      <c r="M66" s="12"/>
      <c r="N66" s="12"/>
      <c r="O66" s="12"/>
      <c r="P66" s="12"/>
      <c r="Q66" s="12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</row>
    <row r="67" ht="15.75" customHeight="1">
      <c r="H67" s="16"/>
      <c r="I67" s="16"/>
      <c r="J67" s="12"/>
      <c r="K67" s="12"/>
      <c r="L67" s="12"/>
      <c r="M67" s="12"/>
      <c r="N67" s="12"/>
      <c r="O67" s="12"/>
      <c r="P67" s="12"/>
      <c r="Q67" s="12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</row>
    <row r="68" ht="15.75" customHeight="1">
      <c r="H68" s="16"/>
      <c r="I68" s="16"/>
      <c r="J68" s="12"/>
      <c r="K68" s="12"/>
      <c r="L68" s="12"/>
      <c r="M68" s="12"/>
      <c r="N68" s="12"/>
      <c r="O68" s="12"/>
      <c r="P68" s="12"/>
      <c r="Q68" s="12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ht="15.75" customHeight="1">
      <c r="H69" s="16"/>
      <c r="I69" s="16"/>
      <c r="J69" s="12"/>
      <c r="K69" s="12"/>
      <c r="L69" s="12"/>
      <c r="M69" s="12"/>
      <c r="N69" s="12"/>
      <c r="O69" s="12"/>
      <c r="P69" s="12"/>
      <c r="Q69" s="12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</row>
    <row r="70" ht="15.75" customHeight="1">
      <c r="H70" s="16"/>
      <c r="I70" s="16"/>
      <c r="J70" s="12"/>
      <c r="K70" s="12"/>
      <c r="L70" s="12"/>
      <c r="M70" s="12"/>
      <c r="N70" s="12"/>
      <c r="O70" s="12"/>
      <c r="P70" s="12"/>
      <c r="Q70" s="12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</row>
    <row r="71" ht="15.75" customHeight="1">
      <c r="H71" s="16"/>
      <c r="I71" s="16"/>
      <c r="J71" s="12"/>
      <c r="K71" s="12"/>
      <c r="L71" s="12"/>
      <c r="M71" s="12"/>
      <c r="N71" s="12"/>
      <c r="O71" s="12"/>
      <c r="P71" s="12"/>
      <c r="Q71" s="12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</row>
    <row r="72" ht="15.75" customHeight="1">
      <c r="H72" s="16"/>
      <c r="I72" s="16"/>
      <c r="J72" s="12"/>
      <c r="K72" s="12"/>
      <c r="L72" s="12"/>
      <c r="M72" s="12"/>
      <c r="N72" s="12"/>
      <c r="O72" s="12"/>
      <c r="P72" s="12"/>
      <c r="Q72" s="12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</row>
    <row r="73" ht="15.75" customHeight="1">
      <c r="H73" s="16"/>
      <c r="I73" s="16"/>
      <c r="J73" s="12"/>
      <c r="K73" s="12"/>
      <c r="L73" s="12"/>
      <c r="M73" s="12"/>
      <c r="N73" s="12"/>
      <c r="O73" s="12"/>
      <c r="P73" s="12"/>
      <c r="Q73" s="12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</row>
    <row r="74" ht="15.75" customHeight="1">
      <c r="H74" s="16"/>
      <c r="I74" s="16"/>
      <c r="J74" s="12"/>
      <c r="K74" s="12"/>
      <c r="L74" s="12"/>
      <c r="M74" s="12"/>
      <c r="N74" s="12"/>
      <c r="O74" s="12"/>
      <c r="P74" s="12"/>
      <c r="Q74" s="12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</row>
    <row r="75" ht="15.75" customHeight="1">
      <c r="H75" s="16"/>
      <c r="I75" s="16"/>
      <c r="J75" s="12"/>
      <c r="K75" s="12"/>
      <c r="L75" s="12"/>
      <c r="M75" s="12"/>
      <c r="N75" s="12"/>
      <c r="O75" s="12"/>
      <c r="P75" s="12"/>
      <c r="Q75" s="12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</row>
    <row r="76" ht="15.75" customHeight="1">
      <c r="H76" s="16"/>
      <c r="I76" s="16"/>
      <c r="J76" s="12"/>
      <c r="K76" s="12"/>
      <c r="L76" s="12"/>
      <c r="M76" s="12"/>
      <c r="N76" s="12"/>
      <c r="O76" s="12"/>
      <c r="P76" s="12"/>
      <c r="Q76" s="12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</row>
    <row r="77" ht="15.75" customHeight="1">
      <c r="H77" s="16"/>
      <c r="I77" s="16"/>
      <c r="J77" s="12"/>
      <c r="K77" s="12"/>
      <c r="L77" s="12"/>
      <c r="M77" s="12"/>
      <c r="N77" s="12"/>
      <c r="O77" s="12"/>
      <c r="P77" s="12"/>
      <c r="Q77" s="12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</row>
    <row r="78" ht="15.75" customHeight="1">
      <c r="H78" s="16"/>
      <c r="I78" s="16"/>
      <c r="J78" s="12"/>
      <c r="K78" s="12"/>
      <c r="L78" s="12"/>
      <c r="M78" s="12"/>
      <c r="N78" s="12"/>
      <c r="O78" s="12"/>
      <c r="P78" s="12"/>
      <c r="Q78" s="12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</row>
    <row r="79" ht="15.75" customHeight="1">
      <c r="H79" s="16"/>
      <c r="I79" s="16"/>
      <c r="J79" s="12"/>
      <c r="K79" s="12"/>
      <c r="L79" s="12"/>
      <c r="M79" s="12"/>
      <c r="N79" s="12"/>
      <c r="O79" s="12"/>
      <c r="P79" s="12"/>
      <c r="Q79" s="12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</row>
    <row r="80" ht="15.75" customHeight="1">
      <c r="H80" s="16"/>
      <c r="I80" s="16"/>
      <c r="J80" s="12"/>
      <c r="K80" s="12"/>
      <c r="L80" s="12"/>
      <c r="M80" s="12"/>
      <c r="N80" s="12"/>
      <c r="O80" s="12"/>
      <c r="P80" s="12"/>
      <c r="Q80" s="12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</row>
    <row r="81" ht="15.75" customHeight="1">
      <c r="H81" s="16"/>
      <c r="I81" s="16"/>
      <c r="J81" s="12"/>
      <c r="K81" s="12"/>
      <c r="L81" s="12"/>
      <c r="M81" s="12"/>
      <c r="N81" s="12"/>
      <c r="O81" s="12"/>
      <c r="P81" s="12"/>
      <c r="Q81" s="12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</row>
    <row r="82" ht="15.75" customHeight="1">
      <c r="H82" s="16"/>
      <c r="I82" s="16"/>
      <c r="J82" s="12"/>
      <c r="K82" s="12"/>
      <c r="L82" s="12"/>
      <c r="M82" s="12"/>
      <c r="N82" s="12"/>
      <c r="O82" s="12"/>
      <c r="P82" s="12"/>
      <c r="Q82" s="12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</row>
    <row r="83" ht="15.75" customHeight="1">
      <c r="H83" s="16"/>
      <c r="I83" s="16"/>
      <c r="J83" s="12"/>
      <c r="K83" s="12"/>
      <c r="L83" s="12"/>
      <c r="M83" s="12"/>
      <c r="N83" s="12"/>
      <c r="O83" s="12"/>
      <c r="P83" s="12"/>
      <c r="Q83" s="12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</row>
    <row r="84" ht="15.75" customHeight="1">
      <c r="H84" s="16"/>
      <c r="I84" s="16"/>
      <c r="J84" s="12"/>
      <c r="K84" s="12"/>
      <c r="L84" s="12"/>
      <c r="M84" s="12"/>
      <c r="N84" s="12"/>
      <c r="O84" s="12"/>
      <c r="P84" s="12"/>
      <c r="Q84" s="12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</row>
    <row r="85" ht="15.75" customHeight="1">
      <c r="H85" s="16"/>
      <c r="I85" s="16"/>
      <c r="J85" s="12"/>
      <c r="K85" s="12"/>
      <c r="L85" s="12"/>
      <c r="M85" s="12"/>
      <c r="N85" s="12"/>
      <c r="O85" s="12"/>
      <c r="P85" s="12"/>
      <c r="Q85" s="12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</row>
    <row r="86" ht="15.75" customHeight="1">
      <c r="H86" s="16"/>
      <c r="I86" s="16"/>
      <c r="J86" s="12"/>
      <c r="K86" s="12"/>
      <c r="L86" s="12"/>
      <c r="M86" s="12"/>
      <c r="N86" s="12"/>
      <c r="O86" s="12"/>
      <c r="P86" s="12"/>
      <c r="Q86" s="12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</row>
    <row r="87" ht="15.75" customHeight="1">
      <c r="H87" s="16"/>
      <c r="I87" s="16"/>
      <c r="J87" s="12"/>
      <c r="K87" s="12"/>
      <c r="L87" s="12"/>
      <c r="M87" s="12"/>
      <c r="N87" s="12"/>
      <c r="O87" s="12"/>
      <c r="P87" s="12"/>
      <c r="Q87" s="12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</row>
    <row r="88" ht="15.75" customHeight="1">
      <c r="H88" s="16"/>
      <c r="I88" s="16"/>
      <c r="J88" s="12"/>
      <c r="K88" s="12"/>
      <c r="L88" s="12"/>
      <c r="M88" s="12"/>
      <c r="N88" s="12"/>
      <c r="O88" s="12"/>
      <c r="P88" s="12"/>
      <c r="Q88" s="12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</row>
    <row r="89" ht="15.75" customHeight="1">
      <c r="H89" s="16"/>
      <c r="I89" s="16"/>
      <c r="J89" s="12"/>
      <c r="K89" s="12"/>
      <c r="L89" s="12"/>
      <c r="M89" s="12"/>
      <c r="N89" s="12"/>
      <c r="O89" s="12"/>
      <c r="P89" s="12"/>
      <c r="Q89" s="12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</row>
    <row r="90" ht="15.75" customHeight="1">
      <c r="H90" s="16"/>
      <c r="I90" s="16"/>
      <c r="J90" s="12"/>
      <c r="K90" s="12"/>
      <c r="L90" s="12"/>
      <c r="M90" s="12"/>
      <c r="N90" s="12"/>
      <c r="O90" s="12"/>
      <c r="P90" s="12"/>
      <c r="Q90" s="12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</row>
    <row r="91" ht="15.75" customHeight="1">
      <c r="H91" s="16"/>
      <c r="I91" s="16"/>
      <c r="J91" s="12"/>
      <c r="K91" s="12"/>
      <c r="L91" s="12"/>
      <c r="M91" s="12"/>
      <c r="N91" s="12"/>
      <c r="O91" s="12"/>
      <c r="P91" s="12"/>
      <c r="Q91" s="12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</row>
    <row r="92" ht="15.75" customHeight="1">
      <c r="H92" s="16"/>
      <c r="I92" s="16"/>
      <c r="J92" s="12"/>
      <c r="K92" s="12"/>
      <c r="L92" s="12"/>
      <c r="M92" s="12"/>
      <c r="N92" s="12"/>
      <c r="O92" s="12"/>
      <c r="P92" s="12"/>
      <c r="Q92" s="12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</row>
    <row r="93" ht="15.75" customHeight="1">
      <c r="H93" s="16"/>
      <c r="I93" s="16"/>
      <c r="J93" s="12"/>
      <c r="K93" s="12"/>
      <c r="L93" s="12"/>
      <c r="M93" s="12"/>
      <c r="N93" s="12"/>
      <c r="O93" s="12"/>
      <c r="P93" s="12"/>
      <c r="Q93" s="12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</row>
    <row r="94" ht="15.75" customHeight="1">
      <c r="H94" s="16"/>
      <c r="I94" s="16"/>
      <c r="J94" s="12"/>
      <c r="K94" s="12"/>
      <c r="L94" s="12"/>
      <c r="M94" s="12"/>
      <c r="N94" s="12"/>
      <c r="O94" s="12"/>
      <c r="P94" s="12"/>
      <c r="Q94" s="12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</row>
    <row r="95" ht="15.75" customHeight="1">
      <c r="H95" s="16"/>
      <c r="I95" s="16"/>
      <c r="J95" s="12"/>
      <c r="K95" s="12"/>
      <c r="L95" s="12"/>
      <c r="M95" s="12"/>
      <c r="N95" s="12"/>
      <c r="O95" s="12"/>
      <c r="P95" s="12"/>
      <c r="Q95" s="12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</row>
    <row r="96" ht="15.75" customHeight="1">
      <c r="H96" s="16"/>
      <c r="I96" s="16"/>
      <c r="J96" s="12"/>
      <c r="K96" s="12"/>
      <c r="L96" s="12"/>
      <c r="M96" s="12"/>
      <c r="N96" s="12"/>
      <c r="O96" s="12"/>
      <c r="P96" s="12"/>
      <c r="Q96" s="12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</row>
    <row r="97" ht="15.75" customHeight="1">
      <c r="H97" s="16"/>
      <c r="I97" s="16"/>
      <c r="J97" s="12"/>
      <c r="K97" s="12"/>
      <c r="L97" s="12"/>
      <c r="M97" s="12"/>
      <c r="N97" s="12"/>
      <c r="O97" s="12"/>
      <c r="P97" s="12"/>
      <c r="Q97" s="12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</row>
    <row r="98" ht="15.75" customHeight="1">
      <c r="H98" s="16"/>
      <c r="I98" s="16"/>
      <c r="J98" s="12"/>
      <c r="K98" s="12"/>
      <c r="L98" s="12"/>
      <c r="M98" s="12"/>
      <c r="N98" s="12"/>
      <c r="O98" s="12"/>
      <c r="P98" s="12"/>
      <c r="Q98" s="12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</row>
    <row r="99" ht="15.75" customHeight="1">
      <c r="H99" s="16"/>
      <c r="I99" s="16"/>
      <c r="J99" s="12"/>
      <c r="K99" s="12"/>
      <c r="L99" s="12"/>
      <c r="M99" s="12"/>
      <c r="N99" s="12"/>
      <c r="O99" s="12"/>
      <c r="P99" s="12"/>
      <c r="Q99" s="12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</row>
    <row r="100" ht="15.75" customHeight="1">
      <c r="H100" s="16"/>
      <c r="I100" s="16"/>
      <c r="J100" s="12"/>
      <c r="K100" s="12"/>
      <c r="L100" s="12"/>
      <c r="M100" s="12"/>
      <c r="N100" s="12"/>
      <c r="O100" s="12"/>
      <c r="P100" s="12"/>
      <c r="Q100" s="12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</row>
    <row r="101" ht="15.75" customHeight="1">
      <c r="H101" s="16"/>
      <c r="I101" s="16"/>
      <c r="J101" s="12"/>
      <c r="K101" s="12"/>
      <c r="L101" s="12"/>
      <c r="M101" s="12"/>
      <c r="N101" s="12"/>
      <c r="O101" s="12"/>
      <c r="P101" s="12"/>
      <c r="Q101" s="12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</row>
    <row r="102" ht="15.75" customHeight="1">
      <c r="H102" s="16"/>
      <c r="I102" s="16"/>
      <c r="J102" s="12"/>
      <c r="K102" s="12"/>
      <c r="L102" s="12"/>
      <c r="M102" s="12"/>
      <c r="N102" s="12"/>
      <c r="O102" s="12"/>
      <c r="P102" s="12"/>
      <c r="Q102" s="12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</row>
    <row r="103" ht="15.75" customHeight="1">
      <c r="H103" s="16"/>
      <c r="I103" s="16"/>
      <c r="J103" s="12"/>
      <c r="K103" s="12"/>
      <c r="L103" s="12"/>
      <c r="M103" s="12"/>
      <c r="N103" s="12"/>
      <c r="O103" s="12"/>
      <c r="P103" s="12"/>
      <c r="Q103" s="12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</row>
    <row r="104" ht="15.75" customHeight="1">
      <c r="H104" s="16"/>
      <c r="I104" s="16"/>
      <c r="J104" s="12"/>
      <c r="K104" s="12"/>
      <c r="L104" s="12"/>
      <c r="M104" s="12"/>
      <c r="N104" s="12"/>
      <c r="O104" s="12"/>
      <c r="P104" s="12"/>
      <c r="Q104" s="12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</row>
    <row r="105" ht="15.75" customHeight="1">
      <c r="H105" s="16"/>
      <c r="I105" s="16"/>
      <c r="J105" s="12"/>
      <c r="K105" s="12"/>
      <c r="L105" s="12"/>
      <c r="M105" s="12"/>
      <c r="N105" s="12"/>
      <c r="O105" s="12"/>
      <c r="P105" s="12"/>
      <c r="Q105" s="12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</row>
    <row r="106" ht="15.75" customHeight="1">
      <c r="H106" s="16"/>
      <c r="I106" s="16"/>
      <c r="J106" s="12"/>
      <c r="K106" s="12"/>
      <c r="L106" s="12"/>
      <c r="M106" s="12"/>
      <c r="N106" s="12"/>
      <c r="O106" s="12"/>
      <c r="P106" s="12"/>
      <c r="Q106" s="12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</row>
    <row r="107" ht="15.75" customHeight="1">
      <c r="H107" s="16"/>
      <c r="I107" s="16"/>
      <c r="J107" s="12"/>
      <c r="K107" s="12"/>
      <c r="L107" s="12"/>
      <c r="M107" s="12"/>
      <c r="N107" s="12"/>
      <c r="O107" s="12"/>
      <c r="P107" s="12"/>
      <c r="Q107" s="12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</row>
    <row r="108" ht="15.75" customHeight="1">
      <c r="H108" s="16"/>
      <c r="I108" s="16"/>
      <c r="J108" s="12"/>
      <c r="K108" s="12"/>
      <c r="L108" s="12"/>
      <c r="M108" s="12"/>
      <c r="N108" s="12"/>
      <c r="O108" s="12"/>
      <c r="P108" s="12"/>
      <c r="Q108" s="12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</row>
    <row r="109" ht="15.75" customHeight="1">
      <c r="H109" s="16"/>
      <c r="I109" s="16"/>
      <c r="J109" s="12"/>
      <c r="K109" s="12"/>
      <c r="L109" s="12"/>
      <c r="M109" s="12"/>
      <c r="N109" s="12"/>
      <c r="O109" s="12"/>
      <c r="P109" s="12"/>
      <c r="Q109" s="12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</row>
    <row r="110" ht="15.75" customHeight="1">
      <c r="H110" s="16"/>
      <c r="I110" s="16"/>
      <c r="J110" s="12"/>
      <c r="K110" s="12"/>
      <c r="L110" s="12"/>
      <c r="M110" s="12"/>
      <c r="N110" s="12"/>
      <c r="O110" s="12"/>
      <c r="P110" s="12"/>
      <c r="Q110" s="12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</row>
    <row r="111" ht="15.75" customHeight="1">
      <c r="H111" s="16"/>
      <c r="I111" s="16"/>
      <c r="J111" s="12"/>
      <c r="K111" s="12"/>
      <c r="L111" s="12"/>
      <c r="M111" s="12"/>
      <c r="N111" s="12"/>
      <c r="O111" s="12"/>
      <c r="P111" s="12"/>
      <c r="Q111" s="12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</row>
    <row r="112" ht="15.75" customHeight="1">
      <c r="H112" s="16"/>
      <c r="I112" s="16"/>
      <c r="J112" s="12"/>
      <c r="K112" s="12"/>
      <c r="L112" s="12"/>
      <c r="M112" s="12"/>
      <c r="N112" s="12"/>
      <c r="O112" s="12"/>
      <c r="P112" s="12"/>
      <c r="Q112" s="12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</row>
    <row r="113" ht="15.75" customHeight="1">
      <c r="H113" s="16"/>
      <c r="I113" s="16"/>
      <c r="J113" s="12"/>
      <c r="K113" s="12"/>
      <c r="L113" s="12"/>
      <c r="M113" s="12"/>
      <c r="N113" s="12"/>
      <c r="O113" s="12"/>
      <c r="P113" s="12"/>
      <c r="Q113" s="12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</row>
    <row r="114" ht="15.75" customHeight="1">
      <c r="H114" s="16"/>
      <c r="I114" s="16"/>
      <c r="J114" s="12"/>
      <c r="K114" s="12"/>
      <c r="L114" s="12"/>
      <c r="M114" s="12"/>
      <c r="N114" s="12"/>
      <c r="O114" s="12"/>
      <c r="P114" s="12"/>
      <c r="Q114" s="12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</row>
    <row r="115" ht="15.75" customHeight="1">
      <c r="H115" s="16"/>
      <c r="I115" s="16"/>
      <c r="J115" s="12"/>
      <c r="K115" s="12"/>
      <c r="L115" s="12"/>
      <c r="M115" s="12"/>
      <c r="N115" s="12"/>
      <c r="O115" s="12"/>
      <c r="P115" s="12"/>
      <c r="Q115" s="12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</row>
    <row r="116" ht="15.75" customHeight="1">
      <c r="H116" s="16"/>
      <c r="I116" s="16"/>
      <c r="J116" s="12"/>
      <c r="K116" s="12"/>
      <c r="L116" s="12"/>
      <c r="M116" s="12"/>
      <c r="N116" s="12"/>
      <c r="O116" s="12"/>
      <c r="P116" s="12"/>
      <c r="Q116" s="12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</row>
    <row r="117" ht="15.75" customHeight="1">
      <c r="H117" s="16"/>
      <c r="I117" s="16"/>
      <c r="J117" s="12"/>
      <c r="K117" s="12"/>
      <c r="L117" s="12"/>
      <c r="M117" s="12"/>
      <c r="N117" s="12"/>
      <c r="O117" s="12"/>
      <c r="P117" s="12"/>
      <c r="Q117" s="12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</row>
    <row r="118" ht="15.75" customHeight="1">
      <c r="H118" s="16"/>
      <c r="I118" s="16"/>
      <c r="J118" s="12"/>
      <c r="K118" s="12"/>
      <c r="L118" s="12"/>
      <c r="M118" s="12"/>
      <c r="N118" s="12"/>
      <c r="O118" s="12"/>
      <c r="P118" s="12"/>
      <c r="Q118" s="12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</row>
    <row r="119" ht="15.75" customHeight="1">
      <c r="H119" s="16"/>
      <c r="I119" s="16"/>
      <c r="J119" s="12"/>
      <c r="K119" s="12"/>
      <c r="L119" s="12"/>
      <c r="M119" s="12"/>
      <c r="N119" s="12"/>
      <c r="O119" s="12"/>
      <c r="P119" s="12"/>
      <c r="Q119" s="12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</row>
    <row r="120" ht="15.75" customHeight="1">
      <c r="H120" s="16"/>
      <c r="I120" s="16"/>
      <c r="J120" s="12"/>
      <c r="K120" s="12"/>
      <c r="L120" s="12"/>
      <c r="M120" s="12"/>
      <c r="N120" s="12"/>
      <c r="O120" s="12"/>
      <c r="P120" s="12"/>
      <c r="Q120" s="12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</row>
    <row r="121" ht="15.75" customHeight="1">
      <c r="H121" s="16"/>
      <c r="I121" s="16"/>
      <c r="J121" s="12"/>
      <c r="K121" s="12"/>
      <c r="L121" s="12"/>
      <c r="M121" s="12"/>
      <c r="N121" s="12"/>
      <c r="O121" s="12"/>
      <c r="P121" s="12"/>
      <c r="Q121" s="12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</row>
    <row r="122" ht="15.75" customHeight="1">
      <c r="H122" s="16"/>
      <c r="I122" s="16"/>
      <c r="J122" s="12"/>
      <c r="K122" s="12"/>
      <c r="L122" s="12"/>
      <c r="M122" s="12"/>
      <c r="N122" s="12"/>
      <c r="O122" s="12"/>
      <c r="P122" s="12"/>
      <c r="Q122" s="12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</row>
    <row r="123" ht="15.75" customHeight="1">
      <c r="H123" s="16"/>
      <c r="I123" s="16"/>
      <c r="J123" s="12"/>
      <c r="K123" s="12"/>
      <c r="L123" s="12"/>
      <c r="M123" s="12"/>
      <c r="N123" s="12"/>
      <c r="O123" s="12"/>
      <c r="P123" s="12"/>
      <c r="Q123" s="12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</row>
    <row r="124" ht="15.75" customHeight="1">
      <c r="H124" s="16"/>
      <c r="I124" s="16"/>
      <c r="J124" s="12"/>
      <c r="K124" s="12"/>
      <c r="L124" s="12"/>
      <c r="M124" s="12"/>
      <c r="N124" s="12"/>
      <c r="O124" s="12"/>
      <c r="P124" s="12"/>
      <c r="Q124" s="12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</row>
    <row r="125" ht="15.75" customHeight="1">
      <c r="H125" s="16"/>
      <c r="I125" s="16"/>
      <c r="J125" s="12"/>
      <c r="K125" s="12"/>
      <c r="L125" s="12"/>
      <c r="M125" s="12"/>
      <c r="N125" s="12"/>
      <c r="O125" s="12"/>
      <c r="P125" s="12"/>
      <c r="Q125" s="12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</row>
    <row r="126" ht="15.75" customHeight="1">
      <c r="H126" s="16"/>
      <c r="I126" s="16"/>
      <c r="J126" s="12"/>
      <c r="K126" s="12"/>
      <c r="L126" s="12"/>
      <c r="M126" s="12"/>
      <c r="N126" s="12"/>
      <c r="O126" s="12"/>
      <c r="P126" s="12"/>
      <c r="Q126" s="12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</row>
    <row r="127" ht="15.75" customHeight="1">
      <c r="H127" s="16"/>
      <c r="I127" s="16"/>
      <c r="J127" s="12"/>
      <c r="K127" s="12"/>
      <c r="L127" s="12"/>
      <c r="M127" s="12"/>
      <c r="N127" s="12"/>
      <c r="O127" s="12"/>
      <c r="P127" s="12"/>
      <c r="Q127" s="12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</row>
    <row r="128" ht="15.75" customHeight="1">
      <c r="H128" s="16"/>
      <c r="I128" s="16"/>
      <c r="J128" s="12"/>
      <c r="K128" s="12"/>
      <c r="L128" s="12"/>
      <c r="M128" s="12"/>
      <c r="N128" s="12"/>
      <c r="O128" s="12"/>
      <c r="P128" s="12"/>
      <c r="Q128" s="12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</row>
    <row r="129" ht="15.75" customHeight="1">
      <c r="H129" s="16"/>
      <c r="I129" s="16"/>
      <c r="J129" s="12"/>
      <c r="K129" s="12"/>
      <c r="L129" s="12"/>
      <c r="M129" s="12"/>
      <c r="N129" s="12"/>
      <c r="O129" s="12"/>
      <c r="P129" s="12"/>
      <c r="Q129" s="12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</row>
    <row r="130" ht="15.75" customHeight="1">
      <c r="H130" s="16"/>
      <c r="I130" s="16"/>
      <c r="J130" s="12"/>
      <c r="K130" s="12"/>
      <c r="L130" s="12"/>
      <c r="M130" s="12"/>
      <c r="N130" s="12"/>
      <c r="O130" s="12"/>
      <c r="P130" s="12"/>
      <c r="Q130" s="12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</row>
    <row r="131" ht="15.75" customHeight="1">
      <c r="H131" s="16"/>
      <c r="I131" s="16"/>
      <c r="J131" s="12"/>
      <c r="K131" s="12"/>
      <c r="L131" s="12"/>
      <c r="M131" s="12"/>
      <c r="N131" s="12"/>
      <c r="O131" s="12"/>
      <c r="P131" s="12"/>
      <c r="Q131" s="12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</row>
    <row r="132" ht="15.75" customHeight="1">
      <c r="H132" s="16"/>
      <c r="I132" s="16"/>
      <c r="J132" s="12"/>
      <c r="K132" s="12"/>
      <c r="L132" s="12"/>
      <c r="M132" s="12"/>
      <c r="N132" s="12"/>
      <c r="O132" s="12"/>
      <c r="P132" s="12"/>
      <c r="Q132" s="12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</row>
    <row r="133" ht="15.75" customHeight="1">
      <c r="H133" s="16"/>
      <c r="I133" s="16"/>
      <c r="J133" s="12"/>
      <c r="K133" s="12"/>
      <c r="L133" s="12"/>
      <c r="M133" s="12"/>
      <c r="N133" s="12"/>
      <c r="O133" s="12"/>
      <c r="P133" s="12"/>
      <c r="Q133" s="12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</row>
    <row r="134" ht="15.75" customHeight="1">
      <c r="H134" s="16"/>
      <c r="I134" s="16"/>
      <c r="J134" s="12"/>
      <c r="K134" s="12"/>
      <c r="L134" s="12"/>
      <c r="M134" s="12"/>
      <c r="N134" s="12"/>
      <c r="O134" s="12"/>
      <c r="P134" s="12"/>
      <c r="Q134" s="12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</row>
    <row r="135" ht="15.75" customHeight="1">
      <c r="H135" s="16"/>
      <c r="I135" s="16"/>
      <c r="J135" s="12"/>
      <c r="K135" s="12"/>
      <c r="L135" s="12"/>
      <c r="M135" s="12"/>
      <c r="N135" s="12"/>
      <c r="O135" s="12"/>
      <c r="P135" s="12"/>
      <c r="Q135" s="12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 ht="15.75" customHeight="1">
      <c r="H136" s="16"/>
      <c r="I136" s="16"/>
      <c r="J136" s="12"/>
      <c r="K136" s="12"/>
      <c r="L136" s="12"/>
      <c r="M136" s="12"/>
      <c r="N136" s="12"/>
      <c r="O136" s="12"/>
      <c r="P136" s="12"/>
      <c r="Q136" s="12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 ht="15.75" customHeight="1">
      <c r="H137" s="16"/>
      <c r="I137" s="16"/>
      <c r="J137" s="12"/>
      <c r="K137" s="12"/>
      <c r="L137" s="12"/>
      <c r="M137" s="12"/>
      <c r="N137" s="12"/>
      <c r="O137" s="12"/>
      <c r="P137" s="12"/>
      <c r="Q137" s="12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 ht="15.75" customHeight="1">
      <c r="H138" s="16"/>
      <c r="I138" s="16"/>
      <c r="J138" s="12"/>
      <c r="K138" s="12"/>
      <c r="L138" s="12"/>
      <c r="M138" s="12"/>
      <c r="N138" s="12"/>
      <c r="O138" s="12"/>
      <c r="P138" s="12"/>
      <c r="Q138" s="12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</row>
    <row r="139" ht="15.75" customHeight="1">
      <c r="H139" s="16"/>
      <c r="I139" s="16"/>
      <c r="J139" s="12"/>
      <c r="K139" s="12"/>
      <c r="L139" s="12"/>
      <c r="M139" s="12"/>
      <c r="N139" s="12"/>
      <c r="O139" s="12"/>
      <c r="P139" s="12"/>
      <c r="Q139" s="12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 ht="15.75" customHeight="1">
      <c r="H140" s="16"/>
      <c r="I140" s="16"/>
      <c r="J140" s="12"/>
      <c r="K140" s="12"/>
      <c r="L140" s="12"/>
      <c r="M140" s="12"/>
      <c r="N140" s="12"/>
      <c r="O140" s="12"/>
      <c r="P140" s="12"/>
      <c r="Q140" s="12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 ht="15.75" customHeight="1">
      <c r="H141" s="16"/>
      <c r="I141" s="16"/>
      <c r="J141" s="12"/>
      <c r="K141" s="12"/>
      <c r="L141" s="12"/>
      <c r="M141" s="12"/>
      <c r="N141" s="12"/>
      <c r="O141" s="12"/>
      <c r="P141" s="12"/>
      <c r="Q141" s="12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ht="15.75" customHeight="1">
      <c r="H142" s="16"/>
      <c r="I142" s="16"/>
      <c r="J142" s="12"/>
      <c r="K142" s="12"/>
      <c r="L142" s="12"/>
      <c r="M142" s="12"/>
      <c r="N142" s="12"/>
      <c r="O142" s="12"/>
      <c r="P142" s="12"/>
      <c r="Q142" s="12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 ht="15.75" customHeight="1">
      <c r="H143" s="16"/>
      <c r="I143" s="16"/>
      <c r="J143" s="12"/>
      <c r="K143" s="12"/>
      <c r="L143" s="12"/>
      <c r="M143" s="12"/>
      <c r="N143" s="12"/>
      <c r="O143" s="12"/>
      <c r="P143" s="12"/>
      <c r="Q143" s="12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ht="15.75" customHeight="1">
      <c r="H144" s="16"/>
      <c r="I144" s="16"/>
      <c r="J144" s="12"/>
      <c r="K144" s="12"/>
      <c r="L144" s="12"/>
      <c r="M144" s="12"/>
      <c r="N144" s="12"/>
      <c r="O144" s="12"/>
      <c r="P144" s="12"/>
      <c r="Q144" s="12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 ht="15.75" customHeight="1">
      <c r="H145" s="16"/>
      <c r="I145" s="16"/>
      <c r="J145" s="12"/>
      <c r="K145" s="12"/>
      <c r="L145" s="12"/>
      <c r="M145" s="12"/>
      <c r="N145" s="12"/>
      <c r="O145" s="12"/>
      <c r="P145" s="12"/>
      <c r="Q145" s="12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 ht="15.75" customHeight="1">
      <c r="H146" s="16"/>
      <c r="I146" s="16"/>
      <c r="J146" s="12"/>
      <c r="K146" s="12"/>
      <c r="L146" s="12"/>
      <c r="M146" s="12"/>
      <c r="N146" s="12"/>
      <c r="O146" s="12"/>
      <c r="P146" s="12"/>
      <c r="Q146" s="12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</row>
    <row r="147" ht="15.75" customHeight="1">
      <c r="H147" s="16"/>
      <c r="I147" s="16"/>
      <c r="J147" s="12"/>
      <c r="K147" s="12"/>
      <c r="L147" s="12"/>
      <c r="M147" s="12"/>
      <c r="N147" s="12"/>
      <c r="O147" s="12"/>
      <c r="P147" s="12"/>
      <c r="Q147" s="12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</row>
    <row r="148" ht="15.75" customHeight="1">
      <c r="H148" s="16"/>
      <c r="I148" s="16"/>
      <c r="J148" s="12"/>
      <c r="K148" s="12"/>
      <c r="L148" s="12"/>
      <c r="M148" s="12"/>
      <c r="N148" s="12"/>
      <c r="O148" s="12"/>
      <c r="P148" s="12"/>
      <c r="Q148" s="12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</row>
    <row r="149" ht="15.75" customHeight="1">
      <c r="H149" s="16"/>
      <c r="I149" s="16"/>
      <c r="J149" s="12"/>
      <c r="K149" s="12"/>
      <c r="L149" s="12"/>
      <c r="M149" s="12"/>
      <c r="N149" s="12"/>
      <c r="O149" s="12"/>
      <c r="P149" s="12"/>
      <c r="Q149" s="12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</row>
    <row r="150" ht="15.75" customHeight="1">
      <c r="H150" s="16"/>
      <c r="I150" s="16"/>
      <c r="J150" s="12"/>
      <c r="K150" s="12"/>
      <c r="L150" s="12"/>
      <c r="M150" s="12"/>
      <c r="N150" s="12"/>
      <c r="O150" s="12"/>
      <c r="P150" s="12"/>
      <c r="Q150" s="12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</row>
    <row r="151" ht="15.75" customHeight="1">
      <c r="H151" s="16"/>
      <c r="I151" s="16"/>
      <c r="J151" s="12"/>
      <c r="K151" s="12"/>
      <c r="L151" s="12"/>
      <c r="M151" s="12"/>
      <c r="N151" s="12"/>
      <c r="O151" s="12"/>
      <c r="P151" s="12"/>
      <c r="Q151" s="12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</row>
    <row r="152" ht="15.75" customHeight="1">
      <c r="H152" s="16"/>
      <c r="I152" s="16"/>
      <c r="J152" s="12"/>
      <c r="K152" s="12"/>
      <c r="L152" s="12"/>
      <c r="M152" s="12"/>
      <c r="N152" s="12"/>
      <c r="O152" s="12"/>
      <c r="P152" s="12"/>
      <c r="Q152" s="12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</row>
    <row r="153" ht="15.75" customHeight="1">
      <c r="H153" s="16"/>
      <c r="I153" s="16"/>
      <c r="J153" s="12"/>
      <c r="K153" s="12"/>
      <c r="L153" s="12"/>
      <c r="M153" s="12"/>
      <c r="N153" s="12"/>
      <c r="O153" s="12"/>
      <c r="P153" s="12"/>
      <c r="Q153" s="12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</row>
    <row r="154" ht="15.75" customHeight="1">
      <c r="H154" s="16"/>
      <c r="I154" s="16"/>
      <c r="J154" s="12"/>
      <c r="K154" s="12"/>
      <c r="L154" s="12"/>
      <c r="M154" s="12"/>
      <c r="N154" s="12"/>
      <c r="O154" s="12"/>
      <c r="P154" s="12"/>
      <c r="Q154" s="12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</row>
    <row r="155" ht="15.75" customHeight="1">
      <c r="H155" s="16"/>
      <c r="I155" s="16"/>
      <c r="J155" s="12"/>
      <c r="K155" s="12"/>
      <c r="L155" s="12"/>
      <c r="M155" s="12"/>
      <c r="N155" s="12"/>
      <c r="O155" s="12"/>
      <c r="P155" s="12"/>
      <c r="Q155" s="12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</row>
    <row r="156" ht="15.75" customHeight="1">
      <c r="H156" s="16"/>
      <c r="I156" s="16"/>
      <c r="J156" s="12"/>
      <c r="K156" s="12"/>
      <c r="L156" s="12"/>
      <c r="M156" s="12"/>
      <c r="N156" s="12"/>
      <c r="O156" s="12"/>
      <c r="P156" s="12"/>
      <c r="Q156" s="12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</row>
    <row r="157" ht="15.75" customHeight="1">
      <c r="H157" s="16"/>
      <c r="I157" s="16"/>
      <c r="J157" s="12"/>
      <c r="K157" s="12"/>
      <c r="L157" s="12"/>
      <c r="M157" s="12"/>
      <c r="N157" s="12"/>
      <c r="O157" s="12"/>
      <c r="P157" s="12"/>
      <c r="Q157" s="12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</row>
    <row r="158" ht="15.75" customHeight="1">
      <c r="H158" s="16"/>
      <c r="I158" s="16"/>
      <c r="J158" s="12"/>
      <c r="K158" s="12"/>
      <c r="L158" s="12"/>
      <c r="M158" s="12"/>
      <c r="N158" s="12"/>
      <c r="O158" s="12"/>
      <c r="P158" s="12"/>
      <c r="Q158" s="12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</row>
    <row r="159" ht="15.75" customHeight="1">
      <c r="H159" s="16"/>
      <c r="I159" s="16"/>
      <c r="J159" s="12"/>
      <c r="K159" s="12"/>
      <c r="L159" s="12"/>
      <c r="M159" s="12"/>
      <c r="N159" s="12"/>
      <c r="O159" s="12"/>
      <c r="P159" s="12"/>
      <c r="Q159" s="12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</row>
    <row r="160" ht="15.75" customHeight="1">
      <c r="H160" s="16"/>
      <c r="I160" s="16"/>
      <c r="J160" s="12"/>
      <c r="K160" s="12"/>
      <c r="L160" s="12"/>
      <c r="M160" s="12"/>
      <c r="N160" s="12"/>
      <c r="O160" s="12"/>
      <c r="P160" s="12"/>
      <c r="Q160" s="12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</row>
    <row r="161" ht="15.75" customHeight="1">
      <c r="H161" s="16"/>
      <c r="I161" s="16"/>
      <c r="J161" s="12"/>
      <c r="K161" s="12"/>
      <c r="L161" s="12"/>
      <c r="M161" s="12"/>
      <c r="N161" s="12"/>
      <c r="O161" s="12"/>
      <c r="P161" s="12"/>
      <c r="Q161" s="12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</row>
    <row r="162" ht="15.75" customHeight="1">
      <c r="H162" s="16"/>
      <c r="I162" s="16"/>
      <c r="J162" s="12"/>
      <c r="K162" s="12"/>
      <c r="L162" s="12"/>
      <c r="M162" s="12"/>
      <c r="N162" s="12"/>
      <c r="O162" s="12"/>
      <c r="P162" s="12"/>
      <c r="Q162" s="12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</row>
    <row r="163" ht="15.75" customHeight="1">
      <c r="H163" s="16"/>
      <c r="I163" s="16"/>
      <c r="J163" s="12"/>
      <c r="K163" s="12"/>
      <c r="L163" s="12"/>
      <c r="M163" s="12"/>
      <c r="N163" s="12"/>
      <c r="O163" s="12"/>
      <c r="P163" s="12"/>
      <c r="Q163" s="12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</row>
    <row r="164" ht="15.75" customHeight="1">
      <c r="H164" s="16"/>
      <c r="I164" s="16"/>
      <c r="J164" s="12"/>
      <c r="K164" s="12"/>
      <c r="L164" s="12"/>
      <c r="M164" s="12"/>
      <c r="N164" s="12"/>
      <c r="O164" s="12"/>
      <c r="P164" s="12"/>
      <c r="Q164" s="12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</row>
    <row r="165" ht="15.75" customHeight="1">
      <c r="H165" s="16"/>
      <c r="I165" s="16"/>
      <c r="J165" s="12"/>
      <c r="K165" s="12"/>
      <c r="L165" s="12"/>
      <c r="M165" s="12"/>
      <c r="N165" s="12"/>
      <c r="O165" s="12"/>
      <c r="P165" s="12"/>
      <c r="Q165" s="12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</row>
    <row r="166" ht="15.75" customHeight="1">
      <c r="H166" s="16"/>
      <c r="I166" s="16"/>
      <c r="J166" s="12"/>
      <c r="K166" s="12"/>
      <c r="L166" s="12"/>
      <c r="M166" s="12"/>
      <c r="N166" s="12"/>
      <c r="O166" s="12"/>
      <c r="P166" s="12"/>
      <c r="Q166" s="12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</row>
    <row r="167" ht="15.75" customHeight="1">
      <c r="H167" s="16"/>
      <c r="I167" s="16"/>
      <c r="J167" s="12"/>
      <c r="K167" s="12"/>
      <c r="L167" s="12"/>
      <c r="M167" s="12"/>
      <c r="N167" s="12"/>
      <c r="O167" s="12"/>
      <c r="P167" s="12"/>
      <c r="Q167" s="12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</row>
    <row r="168" ht="15.75" customHeight="1">
      <c r="H168" s="16"/>
      <c r="I168" s="16"/>
      <c r="J168" s="12"/>
      <c r="K168" s="12"/>
      <c r="L168" s="12"/>
      <c r="M168" s="12"/>
      <c r="N168" s="12"/>
      <c r="O168" s="12"/>
      <c r="P168" s="12"/>
      <c r="Q168" s="12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</row>
    <row r="169" ht="15.75" customHeight="1">
      <c r="H169" s="16"/>
      <c r="I169" s="16"/>
      <c r="J169" s="12"/>
      <c r="K169" s="12"/>
      <c r="L169" s="12"/>
      <c r="M169" s="12"/>
      <c r="N169" s="12"/>
      <c r="O169" s="12"/>
      <c r="P169" s="12"/>
      <c r="Q169" s="12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</row>
    <row r="170" ht="15.75" customHeight="1">
      <c r="H170" s="16"/>
      <c r="I170" s="16"/>
      <c r="J170" s="12"/>
      <c r="K170" s="12"/>
      <c r="L170" s="12"/>
      <c r="M170" s="12"/>
      <c r="N170" s="12"/>
      <c r="O170" s="12"/>
      <c r="P170" s="12"/>
      <c r="Q170" s="12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</row>
    <row r="171" ht="15.75" customHeight="1">
      <c r="H171" s="16"/>
      <c r="I171" s="16"/>
      <c r="J171" s="12"/>
      <c r="K171" s="12"/>
      <c r="L171" s="12"/>
      <c r="M171" s="12"/>
      <c r="N171" s="12"/>
      <c r="O171" s="12"/>
      <c r="P171" s="12"/>
      <c r="Q171" s="12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</row>
    <row r="172" ht="15.75" customHeight="1">
      <c r="H172" s="16"/>
      <c r="I172" s="16"/>
      <c r="J172" s="12"/>
      <c r="K172" s="12"/>
      <c r="L172" s="12"/>
      <c r="M172" s="12"/>
      <c r="N172" s="12"/>
      <c r="O172" s="12"/>
      <c r="P172" s="12"/>
      <c r="Q172" s="12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</row>
    <row r="173" ht="15.75" customHeight="1">
      <c r="H173" s="16"/>
      <c r="I173" s="16"/>
      <c r="J173" s="12"/>
      <c r="K173" s="12"/>
      <c r="L173" s="12"/>
      <c r="M173" s="12"/>
      <c r="N173" s="12"/>
      <c r="O173" s="12"/>
      <c r="P173" s="12"/>
      <c r="Q173" s="12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</row>
    <row r="174" ht="15.75" customHeight="1">
      <c r="H174" s="16"/>
      <c r="I174" s="16"/>
      <c r="J174" s="12"/>
      <c r="K174" s="12"/>
      <c r="L174" s="12"/>
      <c r="M174" s="12"/>
      <c r="N174" s="12"/>
      <c r="O174" s="12"/>
      <c r="P174" s="12"/>
      <c r="Q174" s="12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</row>
    <row r="175" ht="15.75" customHeight="1">
      <c r="H175" s="16"/>
      <c r="I175" s="16"/>
      <c r="J175" s="12"/>
      <c r="K175" s="12"/>
      <c r="L175" s="12"/>
      <c r="M175" s="12"/>
      <c r="N175" s="12"/>
      <c r="O175" s="12"/>
      <c r="P175" s="12"/>
      <c r="Q175" s="12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</row>
    <row r="176" ht="15.75" customHeight="1">
      <c r="H176" s="16"/>
      <c r="I176" s="16"/>
      <c r="J176" s="12"/>
      <c r="K176" s="12"/>
      <c r="L176" s="12"/>
      <c r="M176" s="12"/>
      <c r="N176" s="12"/>
      <c r="O176" s="12"/>
      <c r="P176" s="12"/>
      <c r="Q176" s="12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</row>
    <row r="177" ht="15.75" customHeight="1">
      <c r="H177" s="16"/>
      <c r="I177" s="16"/>
      <c r="J177" s="12"/>
      <c r="K177" s="12"/>
      <c r="L177" s="12"/>
      <c r="M177" s="12"/>
      <c r="N177" s="12"/>
      <c r="O177" s="12"/>
      <c r="P177" s="12"/>
      <c r="Q177" s="12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</row>
    <row r="178" ht="15.75" customHeight="1">
      <c r="H178" s="16"/>
      <c r="I178" s="16"/>
      <c r="J178" s="12"/>
      <c r="K178" s="12"/>
      <c r="L178" s="12"/>
      <c r="M178" s="12"/>
      <c r="N178" s="12"/>
      <c r="O178" s="12"/>
      <c r="P178" s="12"/>
      <c r="Q178" s="12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</row>
    <row r="179" ht="15.75" customHeight="1">
      <c r="H179" s="16"/>
      <c r="I179" s="16"/>
      <c r="J179" s="12"/>
      <c r="K179" s="12"/>
      <c r="L179" s="12"/>
      <c r="M179" s="12"/>
      <c r="N179" s="12"/>
      <c r="O179" s="12"/>
      <c r="P179" s="12"/>
      <c r="Q179" s="12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</row>
    <row r="180" ht="15.75" customHeight="1">
      <c r="H180" s="16"/>
      <c r="I180" s="16"/>
      <c r="J180" s="12"/>
      <c r="K180" s="12"/>
      <c r="L180" s="12"/>
      <c r="M180" s="12"/>
      <c r="N180" s="12"/>
      <c r="O180" s="12"/>
      <c r="P180" s="12"/>
      <c r="Q180" s="12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</row>
    <row r="181" ht="15.75" customHeight="1">
      <c r="H181" s="16"/>
      <c r="I181" s="16"/>
      <c r="J181" s="12"/>
      <c r="K181" s="12"/>
      <c r="L181" s="12"/>
      <c r="M181" s="12"/>
      <c r="N181" s="12"/>
      <c r="O181" s="12"/>
      <c r="P181" s="12"/>
      <c r="Q181" s="12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</row>
    <row r="182" ht="15.75" customHeight="1">
      <c r="H182" s="16"/>
      <c r="I182" s="16"/>
      <c r="J182" s="12"/>
      <c r="K182" s="12"/>
      <c r="L182" s="12"/>
      <c r="M182" s="12"/>
      <c r="N182" s="12"/>
      <c r="O182" s="12"/>
      <c r="P182" s="12"/>
      <c r="Q182" s="12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13"/>
    <col customWidth="1" min="4" max="4" width="17.75"/>
    <col customWidth="1" min="7" max="7" width="12.25"/>
    <col customWidth="1" min="8" max="8" width="25.75"/>
    <col customWidth="1" min="10" max="10" width="20.0"/>
    <col customWidth="1" min="12" max="12" width="27.0"/>
  </cols>
  <sheetData>
    <row r="1" ht="15.75" customHeight="1">
      <c r="A1" s="17" t="s">
        <v>0</v>
      </c>
      <c r="B1" s="17" t="s">
        <v>1</v>
      </c>
      <c r="C1" s="1" t="s">
        <v>2</v>
      </c>
      <c r="D1" s="17" t="s">
        <v>583</v>
      </c>
      <c r="E1" s="17" t="s">
        <v>584</v>
      </c>
      <c r="F1" s="17" t="s">
        <v>585</v>
      </c>
      <c r="G1" s="1" t="s">
        <v>586</v>
      </c>
      <c r="H1" s="18" t="s">
        <v>587</v>
      </c>
      <c r="I1" s="19" t="s">
        <v>7</v>
      </c>
      <c r="J1" s="18" t="s">
        <v>588</v>
      </c>
      <c r="K1" s="19" t="s">
        <v>7</v>
      </c>
      <c r="L1" s="18" t="s">
        <v>589</v>
      </c>
      <c r="M1" s="19" t="s">
        <v>7</v>
      </c>
    </row>
    <row r="2" ht="15.75" customHeight="1">
      <c r="A2" s="6">
        <v>1919.0</v>
      </c>
      <c r="B2" s="6" t="s">
        <v>35</v>
      </c>
      <c r="C2" s="6" t="str">
        <f t="shared" ref="C2:C40" si="1">CONCATENATE(D2,"_",E2,"_",G2)</f>
        <v>51-PA-CF-001A_BS VI MS_DISPATCH</v>
      </c>
      <c r="D2" s="6" t="s">
        <v>590</v>
      </c>
      <c r="E2" s="6" t="s">
        <v>120</v>
      </c>
      <c r="F2" s="6" t="s">
        <v>591</v>
      </c>
      <c r="G2" s="6" t="s">
        <v>592</v>
      </c>
      <c r="H2" s="9" t="s">
        <v>593</v>
      </c>
      <c r="I2" s="9">
        <v>1.0</v>
      </c>
      <c r="J2" s="9" t="s">
        <v>594</v>
      </c>
      <c r="K2" s="9">
        <v>0.0</v>
      </c>
      <c r="L2" s="9" t="s">
        <v>595</v>
      </c>
      <c r="M2" s="9">
        <v>0.0</v>
      </c>
    </row>
    <row r="3" ht="15.75" customHeight="1">
      <c r="A3" s="6">
        <v>1919.0</v>
      </c>
      <c r="B3" s="6" t="s">
        <v>35</v>
      </c>
      <c r="C3" s="6" t="str">
        <f t="shared" si="1"/>
        <v>51-PA-CF-001B_BS VI MS_DISPATCH</v>
      </c>
      <c r="D3" s="6" t="s">
        <v>596</v>
      </c>
      <c r="E3" s="6" t="s">
        <v>120</v>
      </c>
      <c r="F3" s="6" t="s">
        <v>591</v>
      </c>
      <c r="G3" s="6" t="s">
        <v>592</v>
      </c>
      <c r="H3" s="9" t="s">
        <v>597</v>
      </c>
      <c r="I3" s="9">
        <v>1.0</v>
      </c>
      <c r="J3" s="9" t="s">
        <v>598</v>
      </c>
      <c r="K3" s="9">
        <v>0.0</v>
      </c>
      <c r="L3" s="9" t="s">
        <v>599</v>
      </c>
      <c r="M3" s="9">
        <v>0.0</v>
      </c>
    </row>
    <row r="4" ht="15.75" customHeight="1">
      <c r="A4" s="6">
        <v>1919.0</v>
      </c>
      <c r="B4" s="6" t="s">
        <v>35</v>
      </c>
      <c r="C4" s="6" t="str">
        <f t="shared" si="1"/>
        <v>51-PA-CF-001C_BS VI MS_DISPATCH</v>
      </c>
      <c r="D4" s="6" t="s">
        <v>600</v>
      </c>
      <c r="E4" s="6" t="s">
        <v>120</v>
      </c>
      <c r="F4" s="6" t="s">
        <v>591</v>
      </c>
      <c r="G4" s="6" t="s">
        <v>592</v>
      </c>
      <c r="H4" s="9" t="s">
        <v>601</v>
      </c>
      <c r="I4" s="9">
        <v>1.0</v>
      </c>
      <c r="J4" s="9" t="s">
        <v>602</v>
      </c>
      <c r="K4" s="9">
        <v>0.0</v>
      </c>
      <c r="L4" s="9" t="s">
        <v>603</v>
      </c>
      <c r="M4" s="9">
        <v>0.0</v>
      </c>
    </row>
    <row r="5" ht="15.75" customHeight="1">
      <c r="A5" s="6">
        <v>1919.0</v>
      </c>
      <c r="B5" s="6" t="s">
        <v>35</v>
      </c>
      <c r="C5" s="6" t="str">
        <f t="shared" si="1"/>
        <v>51-PA-CF-001E_ATF_DISPATCH</v>
      </c>
      <c r="D5" s="6" t="s">
        <v>604</v>
      </c>
      <c r="E5" s="6" t="s">
        <v>333</v>
      </c>
      <c r="F5" s="6" t="s">
        <v>591</v>
      </c>
      <c r="G5" s="6" t="s">
        <v>592</v>
      </c>
      <c r="H5" s="9" t="s">
        <v>605</v>
      </c>
      <c r="I5" s="9">
        <v>1.0</v>
      </c>
      <c r="J5" s="9" t="s">
        <v>606</v>
      </c>
      <c r="K5" s="9">
        <v>0.0</v>
      </c>
      <c r="L5" s="9" t="s">
        <v>607</v>
      </c>
      <c r="M5" s="9">
        <v>0.0</v>
      </c>
    </row>
    <row r="6" ht="15.75" customHeight="1">
      <c r="A6" s="6">
        <v>1919.0</v>
      </c>
      <c r="B6" s="6" t="s">
        <v>35</v>
      </c>
      <c r="C6" s="6" t="str">
        <f t="shared" si="1"/>
        <v>51-PA-CF-001F_ATF_DISPATCH</v>
      </c>
      <c r="D6" s="6" t="s">
        <v>608</v>
      </c>
      <c r="E6" s="6" t="s">
        <v>333</v>
      </c>
      <c r="F6" s="6" t="s">
        <v>591</v>
      </c>
      <c r="G6" s="6" t="s">
        <v>592</v>
      </c>
      <c r="H6" s="9" t="s">
        <v>609</v>
      </c>
      <c r="I6" s="9">
        <v>1.0</v>
      </c>
      <c r="J6" s="9" t="s">
        <v>610</v>
      </c>
      <c r="K6" s="9">
        <v>0.0</v>
      </c>
      <c r="L6" s="9" t="s">
        <v>611</v>
      </c>
      <c r="M6" s="9">
        <v>0.0</v>
      </c>
    </row>
    <row r="7" ht="15.75" customHeight="1">
      <c r="A7" s="6">
        <v>1919.0</v>
      </c>
      <c r="B7" s="6" t="s">
        <v>35</v>
      </c>
      <c r="C7" s="6" t="str">
        <f t="shared" si="1"/>
        <v>51-PA-CF-003A_BS VI HSD_DISPATCH</v>
      </c>
      <c r="D7" s="6" t="s">
        <v>612</v>
      </c>
      <c r="E7" s="6" t="s">
        <v>38</v>
      </c>
      <c r="F7" s="6" t="s">
        <v>591</v>
      </c>
      <c r="G7" s="6" t="s">
        <v>592</v>
      </c>
      <c r="H7" s="9" t="s">
        <v>613</v>
      </c>
      <c r="I7" s="9">
        <v>1.0</v>
      </c>
      <c r="J7" s="9" t="s">
        <v>614</v>
      </c>
      <c r="K7" s="9">
        <v>0.0</v>
      </c>
      <c r="L7" s="9" t="s">
        <v>615</v>
      </c>
      <c r="M7" s="9">
        <v>0.0</v>
      </c>
    </row>
    <row r="8" ht="15.75" customHeight="1">
      <c r="A8" s="6">
        <v>1919.0</v>
      </c>
      <c r="B8" s="6" t="s">
        <v>35</v>
      </c>
      <c r="C8" s="6" t="str">
        <f t="shared" si="1"/>
        <v>51-PA-CF-003B_BS VI HSD_DISPATCH</v>
      </c>
      <c r="D8" s="6" t="s">
        <v>616</v>
      </c>
      <c r="E8" s="6" t="s">
        <v>38</v>
      </c>
      <c r="F8" s="6" t="s">
        <v>591</v>
      </c>
      <c r="G8" s="6" t="s">
        <v>592</v>
      </c>
      <c r="H8" s="9" t="s">
        <v>617</v>
      </c>
      <c r="I8" s="9">
        <v>1.0</v>
      </c>
      <c r="J8" s="9" t="s">
        <v>618</v>
      </c>
      <c r="K8" s="9">
        <v>0.0</v>
      </c>
      <c r="L8" s="9" t="s">
        <v>619</v>
      </c>
      <c r="M8" s="9">
        <v>0.0</v>
      </c>
    </row>
    <row r="9" ht="15.75" customHeight="1">
      <c r="A9" s="6">
        <v>1919.0</v>
      </c>
      <c r="B9" s="6" t="s">
        <v>35</v>
      </c>
      <c r="C9" s="6" t="str">
        <f t="shared" si="1"/>
        <v>51-PA-CF-003C_BS VI HSD_DISPATCH</v>
      </c>
      <c r="D9" s="6" t="s">
        <v>620</v>
      </c>
      <c r="E9" s="6" t="s">
        <v>38</v>
      </c>
      <c r="F9" s="6" t="s">
        <v>591</v>
      </c>
      <c r="G9" s="6" t="s">
        <v>592</v>
      </c>
      <c r="H9" s="9" t="s">
        <v>621</v>
      </c>
      <c r="I9" s="9">
        <v>1.0</v>
      </c>
      <c r="J9" s="9" t="s">
        <v>622</v>
      </c>
      <c r="K9" s="9">
        <v>0.0</v>
      </c>
      <c r="L9" s="9" t="s">
        <v>623</v>
      </c>
      <c r="M9" s="9">
        <v>0.0</v>
      </c>
    </row>
    <row r="10" ht="15.75" customHeight="1">
      <c r="A10" s="6">
        <v>1919.0</v>
      </c>
      <c r="B10" s="6" t="s">
        <v>35</v>
      </c>
      <c r="C10" s="6" t="str">
        <f t="shared" si="1"/>
        <v>51-PA-CF-003D_BS VI HSD_DISPATCH</v>
      </c>
      <c r="D10" s="6" t="s">
        <v>624</v>
      </c>
      <c r="E10" s="6" t="s">
        <v>38</v>
      </c>
      <c r="F10" s="6" t="s">
        <v>591</v>
      </c>
      <c r="G10" s="6" t="s">
        <v>592</v>
      </c>
      <c r="H10" s="9" t="s">
        <v>625</v>
      </c>
      <c r="I10" s="9">
        <v>1.0</v>
      </c>
      <c r="J10" s="9" t="s">
        <v>626</v>
      </c>
      <c r="K10" s="9">
        <v>0.0</v>
      </c>
      <c r="L10" s="9" t="s">
        <v>627</v>
      </c>
      <c r="M10" s="9">
        <v>0.0</v>
      </c>
    </row>
    <row r="11" ht="15.75" customHeight="1">
      <c r="A11" s="6">
        <v>1919.0</v>
      </c>
      <c r="B11" s="6" t="s">
        <v>35</v>
      </c>
      <c r="C11" s="6" t="str">
        <f t="shared" si="1"/>
        <v>51-PA-CF-003E_BS VI HSD_DISPATCH</v>
      </c>
      <c r="D11" s="6" t="s">
        <v>628</v>
      </c>
      <c r="E11" s="6" t="s">
        <v>38</v>
      </c>
      <c r="F11" s="6" t="s">
        <v>591</v>
      </c>
      <c r="G11" s="6" t="s">
        <v>592</v>
      </c>
      <c r="H11" s="9" t="s">
        <v>629</v>
      </c>
      <c r="I11" s="9">
        <v>1.0</v>
      </c>
      <c r="J11" s="9" t="s">
        <v>630</v>
      </c>
      <c r="K11" s="9">
        <v>0.0</v>
      </c>
      <c r="L11" s="9" t="s">
        <v>631</v>
      </c>
      <c r="M11" s="9">
        <v>0.0</v>
      </c>
    </row>
    <row r="12" ht="15.75" customHeight="1">
      <c r="A12" s="6">
        <v>1919.0</v>
      </c>
      <c r="B12" s="6" t="s">
        <v>35</v>
      </c>
      <c r="C12" s="6" t="str">
        <f t="shared" si="1"/>
        <v>51-PA-CF-003F_BS VI HSD_DISPATCH</v>
      </c>
      <c r="D12" s="6" t="s">
        <v>632</v>
      </c>
      <c r="E12" s="6" t="s">
        <v>38</v>
      </c>
      <c r="F12" s="6" t="s">
        <v>591</v>
      </c>
      <c r="G12" s="6" t="s">
        <v>592</v>
      </c>
      <c r="H12" s="9" t="s">
        <v>633</v>
      </c>
      <c r="I12" s="9">
        <v>1.0</v>
      </c>
      <c r="J12" s="9" t="s">
        <v>634</v>
      </c>
      <c r="K12" s="9">
        <v>0.0</v>
      </c>
      <c r="L12" s="9" t="s">
        <v>635</v>
      </c>
      <c r="M12" s="9">
        <v>0.0</v>
      </c>
    </row>
    <row r="13" ht="15.75" customHeight="1">
      <c r="A13" s="6">
        <v>1919.0</v>
      </c>
      <c r="B13" s="6" t="s">
        <v>35</v>
      </c>
      <c r="C13" s="6" t="str">
        <f t="shared" si="1"/>
        <v>51-PA-CF-006A_SUMP_DISPATCH</v>
      </c>
      <c r="D13" s="6" t="s">
        <v>636</v>
      </c>
      <c r="E13" s="6" t="s">
        <v>637</v>
      </c>
      <c r="F13" s="6" t="s">
        <v>591</v>
      </c>
      <c r="G13" s="6" t="s">
        <v>592</v>
      </c>
      <c r="H13" s="9" t="s">
        <v>633</v>
      </c>
      <c r="I13" s="9">
        <v>1.0</v>
      </c>
      <c r="J13" s="9" t="s">
        <v>634</v>
      </c>
      <c r="K13" s="9">
        <v>0.0</v>
      </c>
      <c r="L13" s="9" t="s">
        <v>635</v>
      </c>
      <c r="M13" s="9">
        <v>0.0</v>
      </c>
    </row>
    <row r="14" ht="15.75" customHeight="1">
      <c r="A14" s="6">
        <v>1919.0</v>
      </c>
      <c r="B14" s="6" t="s">
        <v>35</v>
      </c>
      <c r="C14" s="6" t="str">
        <f t="shared" si="1"/>
        <v>51-PA-CF-006B_SUMP_DISPATCH</v>
      </c>
      <c r="D14" s="6" t="s">
        <v>638</v>
      </c>
      <c r="E14" s="6" t="s">
        <v>637</v>
      </c>
      <c r="F14" s="6" t="s">
        <v>591</v>
      </c>
      <c r="G14" s="6" t="s">
        <v>592</v>
      </c>
      <c r="H14" s="9" t="s">
        <v>639</v>
      </c>
      <c r="I14" s="9">
        <v>1.0</v>
      </c>
      <c r="J14" s="9" t="s">
        <v>640</v>
      </c>
      <c r="K14" s="9">
        <v>0.0</v>
      </c>
      <c r="L14" s="9" t="s">
        <v>641</v>
      </c>
      <c r="M14" s="9">
        <v>0.0</v>
      </c>
    </row>
    <row r="15" ht="15.75" customHeight="1">
      <c r="A15" s="6">
        <v>1919.0</v>
      </c>
      <c r="B15" s="6" t="s">
        <v>35</v>
      </c>
      <c r="C15" s="6" t="str">
        <f t="shared" si="1"/>
        <v>51-PA-CF-006C_SUMP_DISPATCH</v>
      </c>
      <c r="D15" s="6" t="s">
        <v>642</v>
      </c>
      <c r="E15" s="6" t="s">
        <v>637</v>
      </c>
      <c r="F15" s="6" t="s">
        <v>591</v>
      </c>
      <c r="G15" s="6" t="s">
        <v>592</v>
      </c>
      <c r="H15" s="9" t="s">
        <v>643</v>
      </c>
      <c r="I15" s="9">
        <v>1.0</v>
      </c>
      <c r="J15" s="9" t="s">
        <v>644</v>
      </c>
      <c r="K15" s="9">
        <v>0.0</v>
      </c>
      <c r="L15" s="9" t="s">
        <v>645</v>
      </c>
      <c r="M15" s="9">
        <v>0.0</v>
      </c>
    </row>
    <row r="16" ht="15.75" customHeight="1">
      <c r="A16" s="6">
        <v>1919.0</v>
      </c>
      <c r="B16" s="6" t="s">
        <v>35</v>
      </c>
      <c r="C16" s="6" t="str">
        <f t="shared" si="1"/>
        <v>51-PA-CF-007_SUMP_DISPATCH</v>
      </c>
      <c r="D16" s="6" t="s">
        <v>646</v>
      </c>
      <c r="E16" s="6" t="s">
        <v>637</v>
      </c>
      <c r="F16" s="6" t="s">
        <v>591</v>
      </c>
      <c r="G16" s="6" t="s">
        <v>592</v>
      </c>
      <c r="H16" s="9" t="s">
        <v>647</v>
      </c>
      <c r="I16" s="9">
        <v>1.0</v>
      </c>
      <c r="J16" s="9" t="s">
        <v>648</v>
      </c>
      <c r="K16" s="9">
        <v>0.0</v>
      </c>
      <c r="L16" s="9" t="s">
        <v>649</v>
      </c>
      <c r="M16" s="9">
        <v>0.0</v>
      </c>
    </row>
    <row r="17" ht="15.75" customHeight="1">
      <c r="A17" s="6">
        <v>1919.0</v>
      </c>
      <c r="B17" s="6" t="s">
        <v>35</v>
      </c>
      <c r="C17" s="6" t="str">
        <f t="shared" si="1"/>
        <v>51-PA-HEXANE-13_HEXANE_DISPATCH</v>
      </c>
      <c r="D17" s="6" t="s">
        <v>650</v>
      </c>
      <c r="E17" s="6" t="s">
        <v>651</v>
      </c>
      <c r="F17" s="6" t="s">
        <v>591</v>
      </c>
      <c r="G17" s="6" t="s">
        <v>592</v>
      </c>
      <c r="H17" s="9" t="s">
        <v>652</v>
      </c>
      <c r="I17" s="9">
        <v>1.0</v>
      </c>
      <c r="J17" s="9" t="s">
        <v>653</v>
      </c>
      <c r="K17" s="9">
        <v>0.0</v>
      </c>
      <c r="L17" s="9" t="s">
        <v>654</v>
      </c>
      <c r="M17" s="9">
        <v>0.0</v>
      </c>
    </row>
    <row r="18" ht="15.75" customHeight="1">
      <c r="A18" s="6">
        <v>1919.0</v>
      </c>
      <c r="B18" s="6" t="s">
        <v>35</v>
      </c>
      <c r="C18" s="6" t="str">
        <f t="shared" si="1"/>
        <v>51-PA-HEXANE-14_SUMP_DISPATCH</v>
      </c>
      <c r="D18" s="6" t="s">
        <v>655</v>
      </c>
      <c r="E18" s="6" t="s">
        <v>637</v>
      </c>
      <c r="F18" s="6" t="s">
        <v>591</v>
      </c>
      <c r="G18" s="6" t="s">
        <v>592</v>
      </c>
      <c r="H18" s="9" t="s">
        <v>656</v>
      </c>
      <c r="I18" s="9">
        <v>1.0</v>
      </c>
      <c r="J18" s="9" t="s">
        <v>657</v>
      </c>
      <c r="K18" s="9">
        <v>0.0</v>
      </c>
      <c r="L18" s="9" t="s">
        <v>658</v>
      </c>
      <c r="M18" s="9">
        <v>0.0</v>
      </c>
    </row>
    <row r="19" ht="15.75" customHeight="1">
      <c r="A19" s="6">
        <v>1919.0</v>
      </c>
      <c r="B19" s="6" t="s">
        <v>35</v>
      </c>
      <c r="C19" s="6" t="str">
        <f t="shared" si="1"/>
        <v>51-PA-MTO-15_MTO_DISPATCH</v>
      </c>
      <c r="D19" s="6" t="s">
        <v>659</v>
      </c>
      <c r="E19" s="6" t="s">
        <v>660</v>
      </c>
      <c r="F19" s="6" t="s">
        <v>591</v>
      </c>
      <c r="G19" s="6" t="s">
        <v>592</v>
      </c>
      <c r="H19" s="9" t="s">
        <v>661</v>
      </c>
      <c r="I19" s="9">
        <v>1.0</v>
      </c>
      <c r="J19" s="9" t="s">
        <v>662</v>
      </c>
      <c r="K19" s="9">
        <v>0.0</v>
      </c>
      <c r="L19" s="9" t="s">
        <v>663</v>
      </c>
      <c r="M19" s="9">
        <v>0.0</v>
      </c>
    </row>
    <row r="20" ht="15.75" customHeight="1">
      <c r="A20" s="6">
        <v>1919.0</v>
      </c>
      <c r="B20" s="6" t="s">
        <v>35</v>
      </c>
      <c r="C20" s="6" t="str">
        <f t="shared" si="1"/>
        <v>51-PA-RP-9A_POWER100_DISPATCH</v>
      </c>
      <c r="D20" s="6" t="s">
        <v>664</v>
      </c>
      <c r="E20" s="6" t="s">
        <v>665</v>
      </c>
      <c r="F20" s="6" t="s">
        <v>591</v>
      </c>
      <c r="G20" s="6" t="s">
        <v>592</v>
      </c>
      <c r="H20" s="9" t="s">
        <v>666</v>
      </c>
      <c r="I20" s="9">
        <v>1.0</v>
      </c>
      <c r="J20" s="9" t="s">
        <v>667</v>
      </c>
      <c r="K20" s="9">
        <v>0.0</v>
      </c>
      <c r="L20" s="9" t="s">
        <v>668</v>
      </c>
      <c r="M20" s="9">
        <v>0.0</v>
      </c>
    </row>
    <row r="21" ht="15.75" customHeight="1">
      <c r="A21" s="6">
        <v>1919.0</v>
      </c>
      <c r="B21" s="6" t="s">
        <v>35</v>
      </c>
      <c r="C21" s="6" t="str">
        <f t="shared" si="1"/>
        <v>51-PA-RP-9B_POWER100_DISPATCH</v>
      </c>
      <c r="D21" s="6" t="s">
        <v>669</v>
      </c>
      <c r="E21" s="6" t="s">
        <v>665</v>
      </c>
      <c r="F21" s="6" t="s">
        <v>591</v>
      </c>
      <c r="G21" s="6" t="s">
        <v>592</v>
      </c>
      <c r="H21" s="9" t="s">
        <v>670</v>
      </c>
      <c r="I21" s="9">
        <v>1.0</v>
      </c>
      <c r="J21" s="9" t="s">
        <v>671</v>
      </c>
      <c r="K21" s="9">
        <v>0.0</v>
      </c>
      <c r="L21" s="9" t="s">
        <v>672</v>
      </c>
      <c r="M21" s="9">
        <v>0.0</v>
      </c>
    </row>
    <row r="22" ht="15.75" customHeight="1">
      <c r="A22" s="6">
        <v>1919.0</v>
      </c>
      <c r="B22" s="6" t="s">
        <v>35</v>
      </c>
      <c r="C22" s="6" t="str">
        <f t="shared" si="1"/>
        <v>ADTV PMP-1 POWER_POWER_DISPATCH</v>
      </c>
      <c r="D22" s="6" t="s">
        <v>673</v>
      </c>
      <c r="E22" s="6" t="s">
        <v>674</v>
      </c>
      <c r="F22" s="6" t="s">
        <v>591</v>
      </c>
      <c r="G22" s="6" t="s">
        <v>592</v>
      </c>
      <c r="H22" s="9" t="s">
        <v>675</v>
      </c>
      <c r="I22" s="9">
        <v>1.0</v>
      </c>
      <c r="J22" s="9" t="s">
        <v>676</v>
      </c>
      <c r="K22" s="9">
        <v>0.0</v>
      </c>
      <c r="L22" s="9" t="s">
        <v>677</v>
      </c>
      <c r="M22" s="9">
        <v>0.0</v>
      </c>
    </row>
    <row r="23" ht="15.75" customHeight="1">
      <c r="A23" s="6">
        <v>1919.0</v>
      </c>
      <c r="B23" s="6" t="s">
        <v>35</v>
      </c>
      <c r="C23" s="6" t="str">
        <f t="shared" si="1"/>
        <v>ADTV PMP-1 TURBO_TURBO_DISPATCH</v>
      </c>
      <c r="D23" s="6" t="s">
        <v>678</v>
      </c>
      <c r="E23" s="6" t="s">
        <v>679</v>
      </c>
      <c r="F23" s="6" t="s">
        <v>591</v>
      </c>
      <c r="G23" s="6" t="s">
        <v>592</v>
      </c>
      <c r="H23" s="9" t="s">
        <v>680</v>
      </c>
      <c r="I23" s="9">
        <v>1.0</v>
      </c>
      <c r="J23" s="9" t="s">
        <v>681</v>
      </c>
      <c r="K23" s="9">
        <v>0.0</v>
      </c>
      <c r="L23" s="9" t="s">
        <v>682</v>
      </c>
      <c r="M23" s="9">
        <v>0.0</v>
      </c>
    </row>
    <row r="24" ht="15.75" customHeight="1">
      <c r="A24" s="6">
        <v>1919.0</v>
      </c>
      <c r="B24" s="6" t="s">
        <v>35</v>
      </c>
      <c r="C24" s="6" t="str">
        <f t="shared" si="1"/>
        <v>ADTV PMP-2 POWER_POWER_DISPATCH</v>
      </c>
      <c r="D24" s="6" t="s">
        <v>683</v>
      </c>
      <c r="E24" s="6" t="s">
        <v>674</v>
      </c>
      <c r="F24" s="6" t="s">
        <v>591</v>
      </c>
      <c r="G24" s="6" t="s">
        <v>592</v>
      </c>
      <c r="H24" s="9" t="s">
        <v>684</v>
      </c>
      <c r="I24" s="9">
        <v>1.0</v>
      </c>
      <c r="J24" s="9" t="s">
        <v>685</v>
      </c>
      <c r="K24" s="9">
        <v>0.0</v>
      </c>
      <c r="L24" s="9" t="s">
        <v>686</v>
      </c>
      <c r="M24" s="9">
        <v>0.0</v>
      </c>
    </row>
    <row r="25" ht="15.75" customHeight="1">
      <c r="A25" s="6">
        <v>1919.0</v>
      </c>
      <c r="B25" s="6" t="s">
        <v>35</v>
      </c>
      <c r="C25" s="6" t="str">
        <f t="shared" si="1"/>
        <v>ADTV PMP-2 TURBO_TURBO_DISPATCH</v>
      </c>
      <c r="D25" s="6" t="s">
        <v>687</v>
      </c>
      <c r="E25" s="6" t="s">
        <v>679</v>
      </c>
      <c r="F25" s="6" t="s">
        <v>591</v>
      </c>
      <c r="G25" s="6" t="s">
        <v>592</v>
      </c>
      <c r="H25" s="9" t="s">
        <v>688</v>
      </c>
      <c r="I25" s="9">
        <v>1.0</v>
      </c>
      <c r="J25" s="9" t="s">
        <v>689</v>
      </c>
      <c r="K25" s="9">
        <v>0.0</v>
      </c>
      <c r="L25" s="9" t="s">
        <v>690</v>
      </c>
      <c r="M25" s="9">
        <v>0.0</v>
      </c>
    </row>
    <row r="26" ht="15.75" customHeight="1">
      <c r="A26" s="6">
        <v>1919.0</v>
      </c>
      <c r="B26" s="6" t="s">
        <v>35</v>
      </c>
      <c r="C26" s="6" t="str">
        <f t="shared" si="1"/>
        <v>PMP-01_ETHANOL_DISPATCH</v>
      </c>
      <c r="D26" s="6" t="s">
        <v>691</v>
      </c>
      <c r="E26" s="6" t="s">
        <v>69</v>
      </c>
      <c r="F26" s="6" t="s">
        <v>591</v>
      </c>
      <c r="G26" s="6" t="s">
        <v>592</v>
      </c>
      <c r="H26" s="9" t="s">
        <v>692</v>
      </c>
      <c r="I26" s="9">
        <v>1.0</v>
      </c>
      <c r="J26" s="9" t="s">
        <v>693</v>
      </c>
      <c r="K26" s="9">
        <v>0.0</v>
      </c>
      <c r="L26" s="9" t="s">
        <v>694</v>
      </c>
      <c r="M26" s="9">
        <v>0.0</v>
      </c>
    </row>
    <row r="27" ht="15.75" customHeight="1">
      <c r="A27" s="6">
        <v>1919.0</v>
      </c>
      <c r="B27" s="6" t="s">
        <v>35</v>
      </c>
      <c r="C27" s="6" t="str">
        <f t="shared" si="1"/>
        <v>PMP-02_ETHANOL_DISPATCH</v>
      </c>
      <c r="D27" s="6" t="s">
        <v>695</v>
      </c>
      <c r="E27" s="6" t="s">
        <v>69</v>
      </c>
      <c r="F27" s="6" t="s">
        <v>591</v>
      </c>
      <c r="G27" s="6" t="s">
        <v>592</v>
      </c>
      <c r="H27" s="9" t="s">
        <v>696</v>
      </c>
      <c r="I27" s="9">
        <v>1.0</v>
      </c>
      <c r="J27" s="9" t="s">
        <v>697</v>
      </c>
      <c r="K27" s="9">
        <v>0.0</v>
      </c>
      <c r="L27" s="9" t="s">
        <v>698</v>
      </c>
      <c r="M27" s="9">
        <v>0.0</v>
      </c>
    </row>
    <row r="28" ht="15.75" customHeight="1">
      <c r="A28" s="6">
        <v>1919.0</v>
      </c>
      <c r="B28" s="6" t="s">
        <v>35</v>
      </c>
      <c r="C28" s="6" t="str">
        <f t="shared" si="1"/>
        <v>PMP-03_ETHANOL_DISPATCH</v>
      </c>
      <c r="D28" s="6" t="s">
        <v>699</v>
      </c>
      <c r="E28" s="6" t="s">
        <v>69</v>
      </c>
      <c r="F28" s="6" t="s">
        <v>591</v>
      </c>
      <c r="G28" s="6" t="s">
        <v>592</v>
      </c>
      <c r="H28" s="9" t="s">
        <v>700</v>
      </c>
      <c r="I28" s="9">
        <v>1.0</v>
      </c>
      <c r="J28" s="9" t="s">
        <v>701</v>
      </c>
      <c r="K28" s="9">
        <v>0.0</v>
      </c>
      <c r="L28" s="9" t="s">
        <v>702</v>
      </c>
      <c r="M28" s="9">
        <v>0.0</v>
      </c>
    </row>
    <row r="29" ht="15.75" customHeight="1">
      <c r="A29" s="6">
        <v>1919.0</v>
      </c>
      <c r="B29" s="6" t="s">
        <v>35</v>
      </c>
      <c r="C29" s="6" t="str">
        <f t="shared" si="1"/>
        <v>PMP-05_BIO HSD_DISPATCH</v>
      </c>
      <c r="D29" s="6" t="s">
        <v>703</v>
      </c>
      <c r="E29" s="6" t="s">
        <v>443</v>
      </c>
      <c r="F29" s="6" t="s">
        <v>591</v>
      </c>
      <c r="G29" s="6" t="s">
        <v>592</v>
      </c>
      <c r="H29" s="9" t="s">
        <v>704</v>
      </c>
      <c r="I29" s="9">
        <v>1.0</v>
      </c>
      <c r="J29" s="9" t="s">
        <v>705</v>
      </c>
      <c r="K29" s="9">
        <v>0.0</v>
      </c>
      <c r="L29" s="9" t="s">
        <v>706</v>
      </c>
      <c r="M29" s="9">
        <v>0.0</v>
      </c>
    </row>
    <row r="30" ht="15.75" customHeight="1">
      <c r="A30" s="6">
        <v>1919.0</v>
      </c>
      <c r="B30" s="6" t="s">
        <v>35</v>
      </c>
      <c r="C30" s="6" t="str">
        <f t="shared" si="1"/>
        <v>PMP-06_BIO HSD_DISPATCH</v>
      </c>
      <c r="D30" s="6" t="s">
        <v>707</v>
      </c>
      <c r="E30" s="6" t="s">
        <v>443</v>
      </c>
      <c r="F30" s="6" t="s">
        <v>591</v>
      </c>
      <c r="G30" s="6" t="s">
        <v>592</v>
      </c>
      <c r="H30" s="9" t="s">
        <v>708</v>
      </c>
      <c r="I30" s="9">
        <v>1.0</v>
      </c>
      <c r="J30" s="9" t="s">
        <v>709</v>
      </c>
      <c r="K30" s="9">
        <v>0.0</v>
      </c>
      <c r="L30" s="9" t="s">
        <v>710</v>
      </c>
      <c r="M30" s="9">
        <v>0.0</v>
      </c>
    </row>
    <row r="31" ht="15.75" customHeight="1">
      <c r="A31" s="6">
        <v>1919.0</v>
      </c>
      <c r="B31" s="6" t="s">
        <v>35</v>
      </c>
      <c r="C31" s="6" t="str">
        <f t="shared" si="1"/>
        <v>PMP-07_ETHANOL_RECEIPT</v>
      </c>
      <c r="D31" s="6" t="s">
        <v>711</v>
      </c>
      <c r="E31" s="6" t="s">
        <v>69</v>
      </c>
      <c r="F31" s="6" t="s">
        <v>712</v>
      </c>
      <c r="G31" s="6" t="s">
        <v>713</v>
      </c>
      <c r="H31" s="9" t="s">
        <v>714</v>
      </c>
      <c r="I31" s="9">
        <v>1.0</v>
      </c>
      <c r="J31" s="9" t="s">
        <v>715</v>
      </c>
      <c r="K31" s="9">
        <v>0.0</v>
      </c>
      <c r="L31" s="9" t="s">
        <v>716</v>
      </c>
      <c r="M31" s="9">
        <v>0.0</v>
      </c>
    </row>
    <row r="32" ht="15.75" customHeight="1">
      <c r="A32" s="6">
        <v>1919.0</v>
      </c>
      <c r="B32" s="6" t="s">
        <v>35</v>
      </c>
      <c r="C32" s="6" t="str">
        <f t="shared" si="1"/>
        <v>PMP-08_ETHANOL_RECEIPT</v>
      </c>
      <c r="D32" s="6" t="s">
        <v>717</v>
      </c>
      <c r="E32" s="6" t="s">
        <v>69</v>
      </c>
      <c r="F32" s="6" t="s">
        <v>712</v>
      </c>
      <c r="G32" s="6" t="s">
        <v>713</v>
      </c>
      <c r="H32" s="9" t="s">
        <v>718</v>
      </c>
      <c r="I32" s="9">
        <v>1.0</v>
      </c>
      <c r="J32" s="9" t="s">
        <v>719</v>
      </c>
      <c r="K32" s="9">
        <v>0.0</v>
      </c>
      <c r="L32" s="9" t="s">
        <v>720</v>
      </c>
      <c r="M32" s="9">
        <v>0.0</v>
      </c>
    </row>
    <row r="33" ht="15.75" customHeight="1">
      <c r="A33" s="6">
        <v>1919.0</v>
      </c>
      <c r="B33" s="6" t="s">
        <v>35</v>
      </c>
      <c r="C33" s="6" t="str">
        <f t="shared" si="1"/>
        <v>PMP-09_ETHANOL_RECEIPT</v>
      </c>
      <c r="D33" s="6" t="s">
        <v>721</v>
      </c>
      <c r="E33" s="6" t="s">
        <v>69</v>
      </c>
      <c r="F33" s="6" t="s">
        <v>712</v>
      </c>
      <c r="G33" s="6" t="s">
        <v>713</v>
      </c>
      <c r="H33" s="9" t="s">
        <v>722</v>
      </c>
      <c r="I33" s="9">
        <v>1.0</v>
      </c>
      <c r="J33" s="9" t="s">
        <v>723</v>
      </c>
      <c r="K33" s="9">
        <v>0.0</v>
      </c>
      <c r="L33" s="9" t="s">
        <v>724</v>
      </c>
      <c r="M33" s="9">
        <v>0.0</v>
      </c>
    </row>
    <row r="34" ht="15.75" customHeight="1">
      <c r="A34" s="6">
        <v>1919.0</v>
      </c>
      <c r="B34" s="6" t="s">
        <v>35</v>
      </c>
      <c r="C34" s="6" t="str">
        <f t="shared" si="1"/>
        <v>PMP-10_CI_RECEIPT</v>
      </c>
      <c r="D34" s="6" t="s">
        <v>725</v>
      </c>
      <c r="E34" s="6" t="s">
        <v>726</v>
      </c>
      <c r="F34" s="6" t="s">
        <v>712</v>
      </c>
      <c r="G34" s="6" t="s">
        <v>713</v>
      </c>
      <c r="H34" s="9" t="s">
        <v>727</v>
      </c>
      <c r="I34" s="9">
        <v>1.0</v>
      </c>
      <c r="J34" s="9" t="s">
        <v>728</v>
      </c>
      <c r="K34" s="9">
        <v>0.0</v>
      </c>
      <c r="L34" s="9" t="s">
        <v>729</v>
      </c>
      <c r="M34" s="9">
        <v>0.0</v>
      </c>
    </row>
    <row r="35" ht="15.75" customHeight="1">
      <c r="A35" s="6">
        <v>1919.0</v>
      </c>
      <c r="B35" s="6" t="s">
        <v>35</v>
      </c>
      <c r="C35" s="6" t="str">
        <f t="shared" si="1"/>
        <v>PMP-11_CI_RECEIPT</v>
      </c>
      <c r="D35" s="6" t="s">
        <v>730</v>
      </c>
      <c r="E35" s="6" t="s">
        <v>726</v>
      </c>
      <c r="F35" s="6" t="s">
        <v>712</v>
      </c>
      <c r="G35" s="6" t="s">
        <v>713</v>
      </c>
      <c r="H35" s="9" t="s">
        <v>731</v>
      </c>
      <c r="I35" s="9">
        <v>1.0</v>
      </c>
      <c r="J35" s="9" t="s">
        <v>732</v>
      </c>
      <c r="K35" s="9">
        <v>0.0</v>
      </c>
      <c r="L35" s="9" t="s">
        <v>733</v>
      </c>
      <c r="M35" s="9">
        <v>0.0</v>
      </c>
    </row>
    <row r="36" ht="15.75" customHeight="1">
      <c r="A36" s="6">
        <v>1919.0</v>
      </c>
      <c r="B36" s="6" t="s">
        <v>35</v>
      </c>
      <c r="C36" s="6" t="str">
        <f t="shared" si="1"/>
        <v>PMP-47_SKO_RECEIPT</v>
      </c>
      <c r="D36" s="6" t="s">
        <v>734</v>
      </c>
      <c r="E36" s="6" t="s">
        <v>209</v>
      </c>
      <c r="F36" s="6" t="s">
        <v>712</v>
      </c>
      <c r="G36" s="6" t="s">
        <v>713</v>
      </c>
      <c r="H36" s="9" t="s">
        <v>735</v>
      </c>
      <c r="I36" s="9">
        <v>1.0</v>
      </c>
      <c r="J36" s="9" t="s">
        <v>736</v>
      </c>
      <c r="K36" s="9">
        <v>0.0</v>
      </c>
      <c r="L36" s="9" t="s">
        <v>737</v>
      </c>
      <c r="M36" s="9">
        <v>0.0</v>
      </c>
    </row>
    <row r="37" ht="15.75" customHeight="1">
      <c r="A37" s="6">
        <v>1919.0</v>
      </c>
      <c r="B37" s="6" t="s">
        <v>35</v>
      </c>
      <c r="C37" s="6" t="str">
        <f t="shared" si="1"/>
        <v>PMP-48_SKO_RECEIPT</v>
      </c>
      <c r="D37" s="6" t="s">
        <v>738</v>
      </c>
      <c r="E37" s="6" t="s">
        <v>209</v>
      </c>
      <c r="F37" s="6" t="s">
        <v>712</v>
      </c>
      <c r="G37" s="6" t="s">
        <v>713</v>
      </c>
      <c r="H37" s="9" t="s">
        <v>739</v>
      </c>
      <c r="I37" s="9">
        <v>1.0</v>
      </c>
      <c r="J37" s="9" t="s">
        <v>740</v>
      </c>
      <c r="K37" s="9">
        <v>0.0</v>
      </c>
      <c r="L37" s="9" t="s">
        <v>741</v>
      </c>
      <c r="M37" s="9">
        <v>0.0</v>
      </c>
    </row>
    <row r="38" ht="15.75" customHeight="1">
      <c r="A38" s="6">
        <v>1919.0</v>
      </c>
      <c r="B38" s="6" t="s">
        <v>35</v>
      </c>
      <c r="C38" s="6" t="str">
        <f t="shared" si="1"/>
        <v>PMP-49_POWER99_RECEIPT</v>
      </c>
      <c r="D38" s="6" t="s">
        <v>742</v>
      </c>
      <c r="E38" s="6" t="s">
        <v>743</v>
      </c>
      <c r="F38" s="6" t="s">
        <v>712</v>
      </c>
      <c r="G38" s="6" t="s">
        <v>713</v>
      </c>
      <c r="H38" s="9" t="s">
        <v>744</v>
      </c>
      <c r="I38" s="9">
        <v>1.0</v>
      </c>
      <c r="J38" s="9" t="s">
        <v>745</v>
      </c>
      <c r="K38" s="9">
        <v>0.0</v>
      </c>
      <c r="L38" s="9" t="s">
        <v>746</v>
      </c>
      <c r="M38" s="9">
        <v>0.0</v>
      </c>
    </row>
    <row r="39" ht="15.75" customHeight="1">
      <c r="A39" s="6">
        <v>1919.0</v>
      </c>
      <c r="B39" s="6" t="s">
        <v>35</v>
      </c>
      <c r="C39" s="6" t="str">
        <f t="shared" si="1"/>
        <v>PMP-50_POWER99_RECEIPT</v>
      </c>
      <c r="D39" s="6" t="s">
        <v>747</v>
      </c>
      <c r="E39" s="6" t="s">
        <v>743</v>
      </c>
      <c r="F39" s="6" t="s">
        <v>712</v>
      </c>
      <c r="G39" s="6" t="s">
        <v>713</v>
      </c>
      <c r="H39" s="9" t="s">
        <v>748</v>
      </c>
      <c r="I39" s="9">
        <v>1.0</v>
      </c>
      <c r="J39" s="9" t="s">
        <v>749</v>
      </c>
      <c r="K39" s="9">
        <v>0.0</v>
      </c>
      <c r="L39" s="9" t="s">
        <v>750</v>
      </c>
      <c r="M39" s="9">
        <v>0.0</v>
      </c>
    </row>
    <row r="40" ht="15.75" customHeight="1">
      <c r="A40" s="6">
        <v>1919.0</v>
      </c>
      <c r="B40" s="6" t="s">
        <v>35</v>
      </c>
      <c r="C40" s="6" t="str">
        <f t="shared" si="1"/>
        <v>VRU-PMP-01_BS IV HSD_RECEIPT</v>
      </c>
      <c r="D40" s="6" t="s">
        <v>751</v>
      </c>
      <c r="E40" s="6" t="s">
        <v>752</v>
      </c>
      <c r="F40" s="6" t="s">
        <v>712</v>
      </c>
      <c r="G40" s="6" t="s">
        <v>713</v>
      </c>
      <c r="H40" s="9" t="s">
        <v>753</v>
      </c>
      <c r="I40" s="9">
        <v>1.0</v>
      </c>
      <c r="J40" s="9" t="s">
        <v>754</v>
      </c>
      <c r="K40" s="9">
        <v>0.0</v>
      </c>
      <c r="L40" s="12"/>
      <c r="M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autoFilter ref="$A$1:$AA$4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8.75"/>
    <col customWidth="1" min="4" max="5" width="14.0"/>
    <col customWidth="1" min="6" max="7" width="26.75"/>
    <col customWidth="1" min="8" max="8" width="21.5"/>
    <col customWidth="1" min="10" max="10" width="16.5"/>
    <col customWidth="1" min="11" max="11" width="11.5"/>
    <col customWidth="1" min="12" max="12" width="27.0"/>
    <col customWidth="1" min="13" max="13" width="11.5"/>
    <col customWidth="1" min="14" max="14" width="40.75"/>
    <col customWidth="1" min="16" max="16" width="33.88"/>
    <col customWidth="1" min="17" max="17" width="11.5"/>
    <col customWidth="1" min="18" max="18" width="33.88"/>
    <col customWidth="1" min="20" max="20" width="33.88"/>
    <col customWidth="1" min="21" max="21" width="11.5"/>
    <col customWidth="1" min="22" max="26" width="36.5"/>
    <col customWidth="1" min="27" max="27" width="11.5"/>
    <col customWidth="1" min="28" max="28" width="37.38"/>
    <col customWidth="1" min="29" max="29" width="11.5"/>
    <col customWidth="1" min="30" max="30" width="25.63"/>
    <col customWidth="1" min="32" max="32" width="42.13"/>
    <col customWidth="1" min="33" max="33" width="11.88"/>
    <col customWidth="1" min="34" max="34" width="36.88"/>
  </cols>
  <sheetData>
    <row r="1" ht="15.75" customHeight="1">
      <c r="A1" s="20" t="s">
        <v>0</v>
      </c>
      <c r="B1" s="20" t="s">
        <v>1</v>
      </c>
      <c r="C1" s="1" t="s">
        <v>2</v>
      </c>
      <c r="D1" s="20" t="s">
        <v>583</v>
      </c>
      <c r="E1" s="20" t="s">
        <v>584</v>
      </c>
      <c r="F1" s="20" t="s">
        <v>585</v>
      </c>
      <c r="G1" s="20" t="s">
        <v>586</v>
      </c>
      <c r="H1" s="21" t="s">
        <v>587</v>
      </c>
      <c r="I1" s="21" t="s">
        <v>755</v>
      </c>
      <c r="J1" s="21" t="s">
        <v>588</v>
      </c>
      <c r="K1" s="21" t="s">
        <v>756</v>
      </c>
      <c r="L1" s="21" t="s">
        <v>589</v>
      </c>
      <c r="M1" s="21" t="s">
        <v>757</v>
      </c>
      <c r="N1" s="21" t="s">
        <v>758</v>
      </c>
      <c r="O1" s="21" t="s">
        <v>759</v>
      </c>
      <c r="P1" s="21" t="s">
        <v>760</v>
      </c>
      <c r="Q1" s="21" t="s">
        <v>761</v>
      </c>
      <c r="R1" s="21" t="s">
        <v>762</v>
      </c>
      <c r="S1" s="21" t="s">
        <v>763</v>
      </c>
      <c r="T1" s="21" t="s">
        <v>764</v>
      </c>
      <c r="U1" s="21" t="s">
        <v>765</v>
      </c>
      <c r="V1" s="21" t="s">
        <v>766</v>
      </c>
      <c r="W1" s="21" t="s">
        <v>7</v>
      </c>
      <c r="X1" s="21" t="s">
        <v>767</v>
      </c>
      <c r="Y1" s="21" t="s">
        <v>7</v>
      </c>
      <c r="Z1" s="21" t="s">
        <v>768</v>
      </c>
      <c r="AA1" s="21" t="s">
        <v>7</v>
      </c>
      <c r="AB1" s="21" t="s">
        <v>769</v>
      </c>
      <c r="AC1" s="21" t="s">
        <v>7</v>
      </c>
      <c r="AD1" s="21" t="s">
        <v>770</v>
      </c>
      <c r="AE1" s="21" t="s">
        <v>771</v>
      </c>
      <c r="AF1" s="21" t="s">
        <v>772</v>
      </c>
      <c r="AG1" s="21" t="s">
        <v>773</v>
      </c>
      <c r="AH1" s="21" t="s">
        <v>774</v>
      </c>
      <c r="AI1" s="21" t="s">
        <v>775</v>
      </c>
    </row>
    <row r="2" ht="15.75" customHeight="1">
      <c r="A2" s="6">
        <v>1919.0</v>
      </c>
      <c r="B2" s="6" t="s">
        <v>35</v>
      </c>
      <c r="C2" s="6" t="str">
        <f t="shared" ref="C2:C13" si="1">CONCATENATE(D2,"_",E2,"_",G2)</f>
        <v>FWP-01_WATER_DISPATCH</v>
      </c>
      <c r="D2" s="6" t="s">
        <v>776</v>
      </c>
      <c r="E2" s="6" t="s">
        <v>107</v>
      </c>
      <c r="F2" s="6" t="s">
        <v>777</v>
      </c>
      <c r="G2" s="6" t="s">
        <v>592</v>
      </c>
      <c r="H2" s="6" t="s">
        <v>778</v>
      </c>
      <c r="I2" s="6">
        <v>1.0</v>
      </c>
      <c r="J2" s="6" t="s">
        <v>779</v>
      </c>
      <c r="K2" s="6">
        <v>0.0</v>
      </c>
      <c r="L2" s="6" t="s">
        <v>780</v>
      </c>
      <c r="M2" s="6">
        <v>0.0</v>
      </c>
      <c r="N2" s="6" t="s">
        <v>781</v>
      </c>
      <c r="O2" s="6">
        <v>0.0</v>
      </c>
      <c r="P2" s="6" t="s">
        <v>782</v>
      </c>
      <c r="Q2" s="6">
        <v>0.0</v>
      </c>
      <c r="R2" s="6" t="s">
        <v>783</v>
      </c>
      <c r="S2" s="6">
        <v>0.0</v>
      </c>
      <c r="T2" s="6" t="s">
        <v>784</v>
      </c>
      <c r="U2" s="6">
        <v>0.0</v>
      </c>
      <c r="V2" s="6" t="s">
        <v>785</v>
      </c>
      <c r="W2" s="6">
        <v>0.0</v>
      </c>
      <c r="X2" s="6" t="s">
        <v>786</v>
      </c>
      <c r="Y2" s="6">
        <v>0.0</v>
      </c>
      <c r="Z2" s="6" t="s">
        <v>787</v>
      </c>
      <c r="AA2" s="6">
        <v>0.0</v>
      </c>
      <c r="AB2" s="6" t="s">
        <v>788</v>
      </c>
      <c r="AC2" s="6">
        <v>0.0</v>
      </c>
      <c r="AD2" s="6" t="s">
        <v>789</v>
      </c>
      <c r="AE2" s="6">
        <v>0.0</v>
      </c>
      <c r="AF2" s="6" t="s">
        <v>790</v>
      </c>
      <c r="AG2" s="6">
        <v>0.0</v>
      </c>
      <c r="AH2" s="11"/>
      <c r="AI2" s="11"/>
    </row>
    <row r="3" ht="15.75" customHeight="1">
      <c r="A3" s="6">
        <v>1919.0</v>
      </c>
      <c r="B3" s="6" t="s">
        <v>35</v>
      </c>
      <c r="C3" s="6" t="str">
        <f t="shared" si="1"/>
        <v>FWP-02_WATER_DISPATCH</v>
      </c>
      <c r="D3" s="6" t="s">
        <v>791</v>
      </c>
      <c r="E3" s="6" t="s">
        <v>107</v>
      </c>
      <c r="F3" s="6" t="s">
        <v>777</v>
      </c>
      <c r="G3" s="6" t="s">
        <v>592</v>
      </c>
      <c r="H3" s="6" t="s">
        <v>792</v>
      </c>
      <c r="I3" s="6">
        <v>1.0</v>
      </c>
      <c r="J3" s="6" t="s">
        <v>793</v>
      </c>
      <c r="K3" s="6">
        <v>0.0</v>
      </c>
      <c r="L3" s="6" t="s">
        <v>794</v>
      </c>
      <c r="M3" s="6">
        <v>0.0</v>
      </c>
      <c r="N3" s="6" t="s">
        <v>795</v>
      </c>
      <c r="O3" s="6">
        <v>0.0</v>
      </c>
      <c r="P3" s="6" t="s">
        <v>796</v>
      </c>
      <c r="Q3" s="6">
        <v>0.0</v>
      </c>
      <c r="R3" s="6" t="s">
        <v>797</v>
      </c>
      <c r="S3" s="6">
        <v>0.0</v>
      </c>
      <c r="T3" s="6" t="s">
        <v>798</v>
      </c>
      <c r="U3" s="6">
        <v>0.0</v>
      </c>
      <c r="V3" s="6" t="s">
        <v>799</v>
      </c>
      <c r="W3" s="6">
        <v>0.0</v>
      </c>
      <c r="X3" s="6" t="s">
        <v>800</v>
      </c>
      <c r="Y3" s="6">
        <v>0.0</v>
      </c>
      <c r="Z3" s="6" t="s">
        <v>801</v>
      </c>
      <c r="AA3" s="6">
        <v>0.0</v>
      </c>
      <c r="AB3" s="6" t="s">
        <v>802</v>
      </c>
      <c r="AC3" s="6">
        <v>0.0</v>
      </c>
      <c r="AD3" s="6" t="s">
        <v>803</v>
      </c>
      <c r="AE3" s="6">
        <v>0.0</v>
      </c>
      <c r="AF3" s="6" t="s">
        <v>804</v>
      </c>
      <c r="AG3" s="6">
        <v>0.0</v>
      </c>
      <c r="AH3" s="11"/>
      <c r="AI3" s="11"/>
    </row>
    <row r="4" ht="15.75" customHeight="1">
      <c r="A4" s="6">
        <v>1919.0</v>
      </c>
      <c r="B4" s="6" t="s">
        <v>35</v>
      </c>
      <c r="C4" s="6" t="str">
        <f t="shared" si="1"/>
        <v>FWP-03_WATER_DISPATCH</v>
      </c>
      <c r="D4" s="6" t="s">
        <v>805</v>
      </c>
      <c r="E4" s="6" t="s">
        <v>107</v>
      </c>
      <c r="F4" s="6" t="s">
        <v>777</v>
      </c>
      <c r="G4" s="6" t="s">
        <v>592</v>
      </c>
      <c r="H4" s="6" t="s">
        <v>806</v>
      </c>
      <c r="I4" s="6">
        <v>1.0</v>
      </c>
      <c r="J4" s="6" t="s">
        <v>807</v>
      </c>
      <c r="K4" s="6">
        <v>0.0</v>
      </c>
      <c r="L4" s="6" t="s">
        <v>808</v>
      </c>
      <c r="M4" s="6">
        <v>0.0</v>
      </c>
      <c r="N4" s="6" t="s">
        <v>809</v>
      </c>
      <c r="O4" s="6">
        <v>0.0</v>
      </c>
      <c r="P4" s="6" t="s">
        <v>810</v>
      </c>
      <c r="Q4" s="6">
        <v>0.0</v>
      </c>
      <c r="R4" s="6" t="s">
        <v>811</v>
      </c>
      <c r="S4" s="6">
        <v>0.0</v>
      </c>
      <c r="T4" s="6" t="s">
        <v>812</v>
      </c>
      <c r="U4" s="6">
        <v>0.0</v>
      </c>
      <c r="V4" s="6" t="s">
        <v>813</v>
      </c>
      <c r="W4" s="6">
        <v>0.0</v>
      </c>
      <c r="X4" s="6" t="s">
        <v>814</v>
      </c>
      <c r="Y4" s="6">
        <v>0.0</v>
      </c>
      <c r="Z4" s="6" t="s">
        <v>815</v>
      </c>
      <c r="AA4" s="6">
        <v>0.0</v>
      </c>
      <c r="AB4" s="6" t="s">
        <v>816</v>
      </c>
      <c r="AC4" s="6">
        <v>0.0</v>
      </c>
      <c r="AD4" s="6" t="s">
        <v>817</v>
      </c>
      <c r="AE4" s="6">
        <v>0.0</v>
      </c>
      <c r="AF4" s="6" t="s">
        <v>818</v>
      </c>
      <c r="AG4" s="6">
        <v>0.0</v>
      </c>
      <c r="AH4" s="11"/>
      <c r="AI4" s="11"/>
    </row>
    <row r="5" ht="15.75" customHeight="1">
      <c r="A5" s="6">
        <v>1919.0</v>
      </c>
      <c r="B5" s="6" t="s">
        <v>35</v>
      </c>
      <c r="C5" s="6" t="str">
        <f t="shared" si="1"/>
        <v>FWP-04_WATER_DISPATCH</v>
      </c>
      <c r="D5" s="6" t="s">
        <v>819</v>
      </c>
      <c r="E5" s="6" t="s">
        <v>107</v>
      </c>
      <c r="F5" s="6" t="s">
        <v>777</v>
      </c>
      <c r="G5" s="6" t="s">
        <v>592</v>
      </c>
      <c r="H5" s="6" t="s">
        <v>820</v>
      </c>
      <c r="I5" s="6">
        <v>1.0</v>
      </c>
      <c r="J5" s="6" t="s">
        <v>821</v>
      </c>
      <c r="K5" s="6">
        <v>0.0</v>
      </c>
      <c r="L5" s="6" t="s">
        <v>822</v>
      </c>
      <c r="M5" s="6">
        <v>0.0</v>
      </c>
      <c r="N5" s="6" t="s">
        <v>823</v>
      </c>
      <c r="O5" s="6">
        <v>0.0</v>
      </c>
      <c r="P5" s="6" t="s">
        <v>824</v>
      </c>
      <c r="Q5" s="6">
        <v>0.0</v>
      </c>
      <c r="R5" s="6" t="s">
        <v>825</v>
      </c>
      <c r="S5" s="6">
        <v>0.0</v>
      </c>
      <c r="T5" s="6" t="s">
        <v>826</v>
      </c>
      <c r="U5" s="6">
        <v>0.0</v>
      </c>
      <c r="V5" s="6" t="s">
        <v>827</v>
      </c>
      <c r="W5" s="6">
        <v>0.0</v>
      </c>
      <c r="X5" s="6" t="s">
        <v>828</v>
      </c>
      <c r="Y5" s="6">
        <v>0.0</v>
      </c>
      <c r="Z5" s="6" t="s">
        <v>829</v>
      </c>
      <c r="AA5" s="6">
        <v>0.0</v>
      </c>
      <c r="AB5" s="6" t="s">
        <v>830</v>
      </c>
      <c r="AC5" s="6">
        <v>0.0</v>
      </c>
      <c r="AD5" s="6" t="s">
        <v>831</v>
      </c>
      <c r="AE5" s="6">
        <v>0.0</v>
      </c>
      <c r="AF5" s="6" t="s">
        <v>832</v>
      </c>
      <c r="AG5" s="6">
        <v>0.0</v>
      </c>
      <c r="AH5" s="11"/>
      <c r="AI5" s="11"/>
    </row>
    <row r="6" ht="15.75" customHeight="1">
      <c r="A6" s="6">
        <v>1919.0</v>
      </c>
      <c r="B6" s="6" t="s">
        <v>35</v>
      </c>
      <c r="C6" s="6" t="str">
        <f t="shared" si="1"/>
        <v>FWP-05_WATER_DISPATCH</v>
      </c>
      <c r="D6" s="6" t="s">
        <v>833</v>
      </c>
      <c r="E6" s="6" t="s">
        <v>107</v>
      </c>
      <c r="F6" s="6" t="s">
        <v>777</v>
      </c>
      <c r="G6" s="6" t="s">
        <v>592</v>
      </c>
      <c r="H6" s="6" t="s">
        <v>834</v>
      </c>
      <c r="I6" s="6">
        <v>1.0</v>
      </c>
      <c r="J6" s="6" t="s">
        <v>835</v>
      </c>
      <c r="K6" s="6">
        <v>0.0</v>
      </c>
      <c r="L6" s="6" t="s">
        <v>836</v>
      </c>
      <c r="M6" s="6">
        <v>0.0</v>
      </c>
      <c r="N6" s="6" t="s">
        <v>837</v>
      </c>
      <c r="O6" s="6">
        <v>0.0</v>
      </c>
      <c r="P6" s="6" t="s">
        <v>838</v>
      </c>
      <c r="Q6" s="6">
        <v>0.0</v>
      </c>
      <c r="R6" s="6" t="s">
        <v>839</v>
      </c>
      <c r="S6" s="6">
        <v>0.0</v>
      </c>
      <c r="T6" s="6" t="s">
        <v>840</v>
      </c>
      <c r="U6" s="6">
        <v>0.0</v>
      </c>
      <c r="V6" s="6" t="s">
        <v>841</v>
      </c>
      <c r="W6" s="6">
        <v>0.0</v>
      </c>
      <c r="X6" s="6" t="s">
        <v>842</v>
      </c>
      <c r="Y6" s="6">
        <v>0.0</v>
      </c>
      <c r="Z6" s="6" t="s">
        <v>843</v>
      </c>
      <c r="AA6" s="6">
        <v>0.0</v>
      </c>
      <c r="AB6" s="6" t="s">
        <v>844</v>
      </c>
      <c r="AC6" s="6">
        <v>0.0</v>
      </c>
      <c r="AD6" s="6" t="s">
        <v>845</v>
      </c>
      <c r="AE6" s="6">
        <v>0.0</v>
      </c>
      <c r="AF6" s="6" t="s">
        <v>846</v>
      </c>
      <c r="AG6" s="6">
        <v>0.0</v>
      </c>
      <c r="AH6" s="11"/>
      <c r="AI6" s="11"/>
    </row>
    <row r="7" ht="15.75" customHeight="1">
      <c r="A7" s="6">
        <v>1919.0</v>
      </c>
      <c r="B7" s="6" t="s">
        <v>35</v>
      </c>
      <c r="C7" s="6" t="str">
        <f t="shared" si="1"/>
        <v>FWP-06_WATER_DISPATCH</v>
      </c>
      <c r="D7" s="6" t="s">
        <v>847</v>
      </c>
      <c r="E7" s="6" t="s">
        <v>107</v>
      </c>
      <c r="F7" s="6" t="s">
        <v>777</v>
      </c>
      <c r="G7" s="6" t="s">
        <v>592</v>
      </c>
      <c r="H7" s="6" t="s">
        <v>848</v>
      </c>
      <c r="I7" s="6">
        <v>1.0</v>
      </c>
      <c r="J7" s="6" t="s">
        <v>849</v>
      </c>
      <c r="K7" s="6">
        <v>0.0</v>
      </c>
      <c r="L7" s="6" t="s">
        <v>850</v>
      </c>
      <c r="M7" s="6">
        <v>0.0</v>
      </c>
      <c r="N7" s="6" t="s">
        <v>851</v>
      </c>
      <c r="O7" s="6">
        <v>0.0</v>
      </c>
      <c r="P7" s="6" t="s">
        <v>852</v>
      </c>
      <c r="Q7" s="6">
        <v>0.0</v>
      </c>
      <c r="R7" s="6" t="s">
        <v>853</v>
      </c>
      <c r="S7" s="6">
        <v>0.0</v>
      </c>
      <c r="T7" s="6" t="s">
        <v>854</v>
      </c>
      <c r="U7" s="6">
        <v>0.0</v>
      </c>
      <c r="V7" s="6" t="s">
        <v>855</v>
      </c>
      <c r="W7" s="6">
        <v>0.0</v>
      </c>
      <c r="X7" s="6" t="s">
        <v>856</v>
      </c>
      <c r="Y7" s="6">
        <v>0.0</v>
      </c>
      <c r="Z7" s="6" t="s">
        <v>857</v>
      </c>
      <c r="AA7" s="6">
        <v>0.0</v>
      </c>
      <c r="AB7" s="6" t="s">
        <v>858</v>
      </c>
      <c r="AC7" s="6">
        <v>0.0</v>
      </c>
      <c r="AD7" s="6" t="s">
        <v>859</v>
      </c>
      <c r="AE7" s="6">
        <v>0.0</v>
      </c>
      <c r="AF7" s="6" t="s">
        <v>860</v>
      </c>
      <c r="AG7" s="6">
        <v>0.0</v>
      </c>
      <c r="AH7" s="11"/>
      <c r="AI7" s="11"/>
    </row>
    <row r="8" ht="15.75" customHeight="1">
      <c r="A8" s="6">
        <v>1919.0</v>
      </c>
      <c r="B8" s="6" t="s">
        <v>35</v>
      </c>
      <c r="C8" s="6" t="str">
        <f t="shared" si="1"/>
        <v>FWP-07_WATER_DISPATCH</v>
      </c>
      <c r="D8" s="6" t="s">
        <v>861</v>
      </c>
      <c r="E8" s="6" t="s">
        <v>107</v>
      </c>
      <c r="F8" s="6" t="s">
        <v>777</v>
      </c>
      <c r="G8" s="6" t="s">
        <v>592</v>
      </c>
      <c r="H8" s="6" t="s">
        <v>862</v>
      </c>
      <c r="I8" s="6">
        <v>1.0</v>
      </c>
      <c r="J8" s="6" t="s">
        <v>863</v>
      </c>
      <c r="K8" s="6">
        <v>0.0</v>
      </c>
      <c r="L8" s="6" t="s">
        <v>864</v>
      </c>
      <c r="M8" s="6">
        <v>0.0</v>
      </c>
      <c r="N8" s="6" t="s">
        <v>865</v>
      </c>
      <c r="O8" s="6">
        <v>0.0</v>
      </c>
      <c r="P8" s="6" t="s">
        <v>866</v>
      </c>
      <c r="Q8" s="6">
        <v>0.0</v>
      </c>
      <c r="R8" s="6" t="s">
        <v>867</v>
      </c>
      <c r="S8" s="6">
        <v>0.0</v>
      </c>
      <c r="T8" s="6" t="s">
        <v>868</v>
      </c>
      <c r="U8" s="6">
        <v>0.0</v>
      </c>
      <c r="V8" s="6" t="s">
        <v>869</v>
      </c>
      <c r="W8" s="6">
        <v>0.0</v>
      </c>
      <c r="X8" s="6" t="s">
        <v>870</v>
      </c>
      <c r="Y8" s="6">
        <v>0.0</v>
      </c>
      <c r="Z8" s="6" t="s">
        <v>871</v>
      </c>
      <c r="AA8" s="6">
        <v>0.0</v>
      </c>
      <c r="AB8" s="6" t="s">
        <v>872</v>
      </c>
      <c r="AC8" s="6">
        <v>0.0</v>
      </c>
      <c r="AD8" s="6" t="s">
        <v>873</v>
      </c>
      <c r="AE8" s="6">
        <v>0.0</v>
      </c>
      <c r="AF8" s="6" t="s">
        <v>874</v>
      </c>
      <c r="AG8" s="6">
        <v>0.0</v>
      </c>
      <c r="AH8" s="11"/>
      <c r="AI8" s="11"/>
    </row>
    <row r="9" ht="15.75" customHeight="1">
      <c r="A9" s="6">
        <v>1919.0</v>
      </c>
      <c r="B9" s="6" t="s">
        <v>35</v>
      </c>
      <c r="C9" s="6" t="str">
        <f t="shared" si="1"/>
        <v>FWP-08_WATER_DISPATCH</v>
      </c>
      <c r="D9" s="6" t="s">
        <v>875</v>
      </c>
      <c r="E9" s="6" t="s">
        <v>107</v>
      </c>
      <c r="F9" s="6" t="s">
        <v>777</v>
      </c>
      <c r="G9" s="6" t="s">
        <v>592</v>
      </c>
      <c r="H9" s="6" t="s">
        <v>876</v>
      </c>
      <c r="I9" s="6">
        <v>1.0</v>
      </c>
      <c r="J9" s="6" t="s">
        <v>877</v>
      </c>
      <c r="K9" s="6">
        <v>0.0</v>
      </c>
      <c r="L9" s="6" t="s">
        <v>878</v>
      </c>
      <c r="M9" s="6">
        <v>0.0</v>
      </c>
      <c r="N9" s="6" t="s">
        <v>879</v>
      </c>
      <c r="O9" s="6">
        <v>0.0</v>
      </c>
      <c r="P9" s="6" t="s">
        <v>880</v>
      </c>
      <c r="Q9" s="6">
        <v>0.0</v>
      </c>
      <c r="R9" s="6" t="s">
        <v>881</v>
      </c>
      <c r="S9" s="11"/>
      <c r="T9" s="6" t="s">
        <v>882</v>
      </c>
      <c r="U9" s="11"/>
      <c r="V9" s="6" t="s">
        <v>883</v>
      </c>
      <c r="W9" s="11"/>
      <c r="X9" s="6" t="s">
        <v>884</v>
      </c>
      <c r="Y9" s="11"/>
      <c r="Z9" s="6" t="s">
        <v>885</v>
      </c>
      <c r="AA9" s="6">
        <v>0.0</v>
      </c>
      <c r="AB9" s="6" t="s">
        <v>886</v>
      </c>
      <c r="AC9" s="6">
        <v>0.0</v>
      </c>
      <c r="AD9" s="6" t="s">
        <v>887</v>
      </c>
      <c r="AE9" s="6">
        <v>0.0</v>
      </c>
      <c r="AF9" s="6" t="s">
        <v>888</v>
      </c>
      <c r="AG9" s="6">
        <v>0.0</v>
      </c>
      <c r="AH9" s="11"/>
      <c r="AI9" s="11"/>
    </row>
    <row r="10" ht="15.75" customHeight="1">
      <c r="A10" s="6">
        <v>1919.0</v>
      </c>
      <c r="B10" s="6" t="s">
        <v>35</v>
      </c>
      <c r="C10" s="6" t="str">
        <f t="shared" si="1"/>
        <v>JCY-01_WATER_DISPATCH</v>
      </c>
      <c r="D10" s="6" t="s">
        <v>889</v>
      </c>
      <c r="E10" s="6" t="s">
        <v>107</v>
      </c>
      <c r="F10" s="6" t="s">
        <v>777</v>
      </c>
      <c r="G10" s="6" t="s">
        <v>592</v>
      </c>
      <c r="H10" s="6" t="s">
        <v>890</v>
      </c>
      <c r="I10" s="6">
        <v>1.0</v>
      </c>
      <c r="J10" s="6" t="s">
        <v>891</v>
      </c>
      <c r="K10" s="6">
        <v>0.0</v>
      </c>
      <c r="L10" s="6" t="s">
        <v>892</v>
      </c>
      <c r="M10" s="6">
        <v>0.0</v>
      </c>
      <c r="N10" s="6" t="s">
        <v>893</v>
      </c>
      <c r="O10" s="6">
        <v>0.0</v>
      </c>
      <c r="P10" s="6" t="s">
        <v>894</v>
      </c>
      <c r="Q10" s="11"/>
      <c r="R10" s="11"/>
      <c r="S10" s="11"/>
      <c r="T10" s="11"/>
      <c r="U10" s="11"/>
      <c r="V10" s="11"/>
      <c r="W10" s="11"/>
      <c r="X10" s="11"/>
      <c r="Y10" s="11"/>
      <c r="Z10" s="6" t="s">
        <v>895</v>
      </c>
      <c r="AA10" s="6">
        <v>0.0</v>
      </c>
      <c r="AB10" s="11"/>
      <c r="AC10" s="11"/>
      <c r="AD10" s="6" t="s">
        <v>896</v>
      </c>
      <c r="AE10" s="6">
        <v>0.0</v>
      </c>
      <c r="AF10" s="11"/>
      <c r="AG10" s="11"/>
      <c r="AH10" s="11"/>
      <c r="AI10" s="11"/>
    </row>
    <row r="11" ht="15.75" customHeight="1">
      <c r="A11" s="6">
        <v>1919.0</v>
      </c>
      <c r="B11" s="6" t="s">
        <v>35</v>
      </c>
      <c r="C11" s="6" t="str">
        <f t="shared" si="1"/>
        <v>JCY-02_WATER_DISPATCH</v>
      </c>
      <c r="D11" s="6" t="s">
        <v>897</v>
      </c>
      <c r="E11" s="6" t="s">
        <v>107</v>
      </c>
      <c r="F11" s="6" t="s">
        <v>777</v>
      </c>
      <c r="G11" s="6" t="s">
        <v>592</v>
      </c>
      <c r="H11" s="6" t="s">
        <v>898</v>
      </c>
      <c r="I11" s="6">
        <v>1.0</v>
      </c>
      <c r="J11" s="6" t="s">
        <v>899</v>
      </c>
      <c r="K11" s="6">
        <v>0.0</v>
      </c>
      <c r="L11" s="6" t="s">
        <v>900</v>
      </c>
      <c r="M11" s="6">
        <v>0.0</v>
      </c>
      <c r="N11" s="6" t="s">
        <v>901</v>
      </c>
      <c r="O11" s="6">
        <v>0.0</v>
      </c>
      <c r="P11" s="6" t="s">
        <v>902</v>
      </c>
      <c r="Q11" s="11"/>
      <c r="R11" s="11"/>
      <c r="S11" s="11"/>
      <c r="T11" s="11"/>
      <c r="U11" s="11"/>
      <c r="V11" s="11"/>
      <c r="W11" s="11"/>
      <c r="X11" s="11"/>
      <c r="Y11" s="11"/>
      <c r="Z11" s="6" t="s">
        <v>903</v>
      </c>
      <c r="AA11" s="6">
        <v>0.0</v>
      </c>
      <c r="AB11" s="11"/>
      <c r="AC11" s="11"/>
      <c r="AD11" s="6" t="s">
        <v>904</v>
      </c>
      <c r="AE11" s="6">
        <v>0.0</v>
      </c>
      <c r="AF11" s="11"/>
      <c r="AG11" s="11"/>
      <c r="AH11" s="11"/>
      <c r="AI11" s="11"/>
    </row>
    <row r="12" ht="15.75" customHeight="1">
      <c r="A12" s="6">
        <v>1919.0</v>
      </c>
      <c r="B12" s="6" t="s">
        <v>35</v>
      </c>
      <c r="C12" s="6" t="str">
        <f t="shared" si="1"/>
        <v>Hydrant_PT_Farthest Point</v>
      </c>
      <c r="D12" s="6" t="s">
        <v>905</v>
      </c>
      <c r="E12" s="6" t="s">
        <v>906</v>
      </c>
      <c r="F12" s="6" t="s">
        <v>907</v>
      </c>
      <c r="G12" s="6" t="s">
        <v>907</v>
      </c>
      <c r="H12" s="11"/>
      <c r="I12" s="11"/>
      <c r="J12" s="11"/>
      <c r="K12" s="11"/>
      <c r="L12" s="11"/>
      <c r="M12" s="11"/>
      <c r="N12" s="6" t="s">
        <v>908</v>
      </c>
      <c r="O12" s="6">
        <v>0.0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ht="15.75" customHeight="1">
      <c r="A13" s="11">
        <v>1919.0</v>
      </c>
      <c r="B13" s="6" t="s">
        <v>35</v>
      </c>
      <c r="C13" s="6" t="str">
        <f t="shared" si="1"/>
        <v>Hydrant_PT_Nearest Point</v>
      </c>
      <c r="D13" s="6" t="s">
        <v>905</v>
      </c>
      <c r="E13" s="6" t="s">
        <v>906</v>
      </c>
      <c r="F13" s="6" t="s">
        <v>909</v>
      </c>
      <c r="G13" s="6" t="s">
        <v>909</v>
      </c>
      <c r="H13" s="11"/>
      <c r="I13" s="11"/>
      <c r="J13" s="11"/>
      <c r="K13" s="11"/>
      <c r="L13" s="11"/>
      <c r="M13" s="11"/>
      <c r="N13" s="6" t="s">
        <v>910</v>
      </c>
      <c r="O13" s="6">
        <v>0.0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ht="15.75" customHeight="1">
      <c r="F14" s="9"/>
    </row>
    <row r="15" ht="15.75" customHeight="1">
      <c r="F15" s="9"/>
    </row>
    <row r="16" ht="15.75" customHeight="1">
      <c r="F16" s="9"/>
    </row>
    <row r="17" ht="15.75" customHeight="1">
      <c r="F17" s="9"/>
    </row>
    <row r="18" ht="15.75" customHeight="1">
      <c r="F18" s="9"/>
    </row>
    <row r="19" ht="15.75" customHeight="1">
      <c r="F19" s="9"/>
    </row>
    <row r="20" ht="15.75" customHeight="1">
      <c r="F20" s="9"/>
    </row>
    <row r="21" ht="15.75" customHeight="1">
      <c r="F21" s="9"/>
    </row>
    <row r="22" ht="15.75" customHeight="1">
      <c r="F22" s="9"/>
    </row>
    <row r="23" ht="15.75" customHeight="1">
      <c r="F23" s="9"/>
    </row>
    <row r="24" ht="15.75" customHeight="1">
      <c r="F24" s="9"/>
    </row>
    <row r="25" ht="15.75" customHeight="1">
      <c r="F25" s="9"/>
    </row>
    <row r="26" ht="15.75" customHeight="1">
      <c r="F26" s="9"/>
    </row>
    <row r="27" ht="15.75" customHeight="1">
      <c r="F27" s="9"/>
    </row>
    <row r="28" ht="15.75" customHeight="1">
      <c r="F28" s="9"/>
    </row>
    <row r="29" ht="15.75" customHeight="1">
      <c r="F29" s="9"/>
    </row>
    <row r="30" ht="15.75" customHeight="1">
      <c r="F30" s="9"/>
    </row>
    <row r="31" ht="15.75" customHeight="1">
      <c r="F31" s="9"/>
    </row>
    <row r="32" ht="15.75" customHeight="1">
      <c r="F32" s="9"/>
    </row>
    <row r="33" ht="15.75" customHeight="1">
      <c r="F33" s="9"/>
    </row>
    <row r="34" ht="15.75" customHeight="1">
      <c r="F34" s="9"/>
    </row>
    <row r="35" ht="15.75" customHeight="1">
      <c r="F35" s="9"/>
    </row>
    <row r="36" ht="15.75" customHeight="1">
      <c r="F36" s="9"/>
    </row>
    <row r="37" ht="15.75" customHeight="1">
      <c r="F37" s="9"/>
    </row>
    <row r="38" ht="15.75" customHeight="1">
      <c r="F38" s="9"/>
    </row>
    <row r="39" ht="15.75" customHeight="1">
      <c r="F39" s="9"/>
    </row>
    <row r="40" ht="15.75" customHeight="1">
      <c r="F40" s="9"/>
    </row>
    <row r="41" ht="15.75" customHeight="1">
      <c r="F41" s="9"/>
    </row>
    <row r="42" ht="15.75" customHeight="1">
      <c r="F42" s="9"/>
    </row>
    <row r="43" ht="15.75" customHeight="1">
      <c r="F43" s="9"/>
    </row>
    <row r="44" ht="15.75" customHeight="1">
      <c r="F44" s="9"/>
    </row>
    <row r="45" ht="15.75" customHeight="1">
      <c r="F45" s="9"/>
    </row>
    <row r="46" ht="15.75" customHeight="1">
      <c r="F46" s="9"/>
    </row>
    <row r="47" ht="15.75" customHeight="1">
      <c r="F47" s="9"/>
    </row>
    <row r="48" ht="15.75" customHeight="1">
      <c r="F48" s="9"/>
    </row>
    <row r="49" ht="15.75" customHeight="1">
      <c r="F49" s="9"/>
    </row>
    <row r="50" ht="15.75" customHeight="1">
      <c r="F50" s="9"/>
    </row>
    <row r="51" ht="15.75" customHeight="1">
      <c r="F51" s="9"/>
    </row>
    <row r="52" ht="15.75" customHeight="1">
      <c r="F52" s="9"/>
    </row>
    <row r="53" ht="15.75" customHeight="1">
      <c r="F53" s="9"/>
    </row>
    <row r="54" ht="15.75" customHeight="1">
      <c r="F54" s="9"/>
    </row>
    <row r="55" ht="15.75" customHeight="1">
      <c r="F55" s="9"/>
    </row>
    <row r="56" ht="15.75" customHeight="1">
      <c r="F56" s="9"/>
    </row>
    <row r="57" ht="15.75" customHeight="1">
      <c r="F57" s="9"/>
    </row>
    <row r="58" ht="15.75" customHeight="1">
      <c r="F58" s="9"/>
    </row>
    <row r="59" ht="15.75" customHeight="1">
      <c r="F59" s="9"/>
    </row>
    <row r="60" ht="15.75" customHeight="1">
      <c r="F60" s="9"/>
    </row>
    <row r="61" ht="15.75" customHeight="1">
      <c r="F61" s="9"/>
    </row>
    <row r="62" ht="15.75" customHeight="1">
      <c r="F62" s="9"/>
    </row>
    <row r="63" ht="15.75" customHeight="1">
      <c r="F63" s="9"/>
    </row>
    <row r="64" ht="15.75" customHeight="1">
      <c r="F64" s="9"/>
    </row>
    <row r="65" ht="15.75" customHeight="1">
      <c r="F65" s="9"/>
    </row>
    <row r="66" ht="15.75" customHeight="1">
      <c r="F66" s="9"/>
    </row>
    <row r="67" ht="15.75" customHeight="1">
      <c r="F67" s="9"/>
    </row>
    <row r="68" ht="15.75" customHeight="1">
      <c r="F68" s="9"/>
    </row>
    <row r="69" ht="15.75" customHeight="1">
      <c r="F69" s="9"/>
    </row>
    <row r="70" ht="15.75" customHeight="1">
      <c r="F70" s="9"/>
    </row>
    <row r="71" ht="15.75" customHeight="1">
      <c r="F71" s="9"/>
    </row>
    <row r="72" ht="15.75" customHeight="1">
      <c r="F72" s="9"/>
    </row>
    <row r="73" ht="15.75" customHeight="1">
      <c r="F73" s="9"/>
    </row>
    <row r="74" ht="15.75" customHeight="1">
      <c r="F74" s="9"/>
    </row>
    <row r="75" ht="15.75" customHeight="1">
      <c r="F75" s="9"/>
    </row>
    <row r="76" ht="15.75" customHeight="1">
      <c r="F76" s="9"/>
    </row>
    <row r="77" ht="15.75" customHeight="1">
      <c r="F77" s="9"/>
    </row>
    <row r="78" ht="15.75" customHeight="1">
      <c r="F78" s="9"/>
    </row>
    <row r="79" ht="15.75" customHeight="1">
      <c r="F79" s="9"/>
    </row>
    <row r="80" ht="15.75" customHeight="1">
      <c r="F80" s="9"/>
    </row>
    <row r="81" ht="15.75" customHeight="1">
      <c r="F81" s="9"/>
    </row>
    <row r="82" ht="15.75" customHeight="1">
      <c r="F82" s="9"/>
    </row>
    <row r="83" ht="15.75" customHeight="1">
      <c r="F83" s="9"/>
    </row>
    <row r="84" ht="15.75" customHeight="1">
      <c r="F84" s="9"/>
    </row>
    <row r="85" ht="15.75" customHeight="1">
      <c r="F85" s="9"/>
    </row>
    <row r="86" ht="15.75" customHeight="1">
      <c r="F86" s="9"/>
    </row>
    <row r="87" ht="15.75" customHeight="1">
      <c r="F87" s="9"/>
    </row>
    <row r="88" ht="15.75" customHeight="1">
      <c r="F88" s="9"/>
    </row>
    <row r="89" ht="15.75" customHeight="1">
      <c r="F89" s="9"/>
    </row>
    <row r="90" ht="15.75" customHeight="1">
      <c r="F90" s="9"/>
    </row>
    <row r="91" ht="15.75" customHeight="1">
      <c r="F91" s="9"/>
    </row>
    <row r="92" ht="15.75" customHeight="1">
      <c r="F92" s="9"/>
    </row>
    <row r="93" ht="15.75" customHeight="1">
      <c r="F93" s="9"/>
    </row>
    <row r="94" ht="15.75" customHeight="1">
      <c r="F94" s="9"/>
    </row>
    <row r="95" ht="15.75" customHeight="1">
      <c r="F95" s="9"/>
    </row>
    <row r="96" ht="15.75" customHeight="1">
      <c r="F96" s="9"/>
    </row>
    <row r="97" ht="15.75" customHeight="1">
      <c r="F97" s="9"/>
    </row>
    <row r="98" ht="15.75" customHeight="1">
      <c r="F98" s="9"/>
    </row>
    <row r="99" ht="15.75" customHeight="1">
      <c r="F99" s="9"/>
    </row>
    <row r="100" ht="15.75" customHeight="1">
      <c r="F100" s="9"/>
    </row>
    <row r="101" ht="15.75" customHeight="1">
      <c r="F101" s="9"/>
    </row>
    <row r="102" ht="15.75" customHeight="1">
      <c r="F102" s="9"/>
    </row>
    <row r="103" ht="15.75" customHeight="1">
      <c r="F103" s="9"/>
    </row>
    <row r="104" ht="15.75" customHeight="1">
      <c r="F104" s="9"/>
    </row>
    <row r="105" ht="15.75" customHeight="1">
      <c r="F105" s="9"/>
    </row>
    <row r="106" ht="15.75" customHeight="1">
      <c r="F106" s="9"/>
    </row>
    <row r="107" ht="15.75" customHeight="1">
      <c r="F107" s="9"/>
    </row>
    <row r="108" ht="15.75" customHeight="1">
      <c r="F108" s="9"/>
    </row>
    <row r="109" ht="15.75" customHeight="1">
      <c r="F109" s="9"/>
    </row>
    <row r="110" ht="15.75" customHeight="1">
      <c r="F110" s="9"/>
    </row>
    <row r="111" ht="15.75" customHeight="1">
      <c r="F111" s="9"/>
    </row>
    <row r="112" ht="15.75" customHeight="1">
      <c r="F112" s="9"/>
    </row>
    <row r="113" ht="15.75" customHeight="1">
      <c r="F113" s="9"/>
    </row>
    <row r="114" ht="15.75" customHeight="1">
      <c r="F114" s="9"/>
    </row>
    <row r="115" ht="15.75" customHeight="1">
      <c r="F115" s="9"/>
    </row>
    <row r="116" ht="15.75" customHeight="1">
      <c r="F116" s="9"/>
    </row>
    <row r="117" ht="15.75" customHeight="1">
      <c r="F117" s="9"/>
    </row>
    <row r="118" ht="15.75" customHeight="1">
      <c r="F118" s="9"/>
    </row>
    <row r="119" ht="15.75" customHeight="1">
      <c r="F119" s="9"/>
    </row>
    <row r="120" ht="15.75" customHeight="1">
      <c r="F120" s="9"/>
    </row>
    <row r="121" ht="15.75" customHeight="1">
      <c r="F121" s="9"/>
    </row>
    <row r="122" ht="15.75" customHeight="1">
      <c r="F122" s="9"/>
    </row>
    <row r="123" ht="15.75" customHeight="1">
      <c r="F123" s="9"/>
    </row>
    <row r="124" ht="15.75" customHeight="1">
      <c r="F124" s="9"/>
    </row>
    <row r="125" ht="15.75" customHeight="1">
      <c r="F125" s="9"/>
    </row>
    <row r="126" ht="15.75" customHeight="1">
      <c r="F126" s="9"/>
    </row>
    <row r="127" ht="15.75" customHeight="1">
      <c r="F127" s="9"/>
    </row>
    <row r="128" ht="15.75" customHeight="1">
      <c r="F128" s="9"/>
    </row>
    <row r="129" ht="15.75" customHeight="1">
      <c r="F129" s="9"/>
    </row>
    <row r="130" ht="15.75" customHeight="1">
      <c r="F130" s="9"/>
    </row>
    <row r="131" ht="15.75" customHeight="1">
      <c r="F131" s="9"/>
    </row>
    <row r="132" ht="15.75" customHeight="1">
      <c r="F132" s="9"/>
    </row>
    <row r="133" ht="15.75" customHeight="1">
      <c r="F133" s="9"/>
    </row>
    <row r="134" ht="15.75" customHeight="1">
      <c r="F134" s="9"/>
    </row>
    <row r="135" ht="15.75" customHeight="1">
      <c r="F135" s="9"/>
    </row>
    <row r="136" ht="15.75" customHeight="1">
      <c r="F136" s="9"/>
    </row>
    <row r="137" ht="15.75" customHeight="1">
      <c r="F137" s="9"/>
    </row>
    <row r="138" ht="15.75" customHeight="1">
      <c r="F138" s="9"/>
    </row>
    <row r="139" ht="15.75" customHeight="1">
      <c r="F139" s="9"/>
    </row>
    <row r="140" ht="15.75" customHeight="1">
      <c r="F140" s="9"/>
    </row>
    <row r="141" ht="15.75" customHeight="1">
      <c r="F141" s="9"/>
    </row>
    <row r="142" ht="15.75" customHeight="1">
      <c r="F142" s="9"/>
    </row>
    <row r="143" ht="15.75" customHeight="1">
      <c r="F143" s="9"/>
    </row>
    <row r="144" ht="15.75" customHeight="1">
      <c r="F144" s="9"/>
    </row>
    <row r="145" ht="15.75" customHeight="1">
      <c r="F145" s="9"/>
    </row>
    <row r="146" ht="15.75" customHeight="1">
      <c r="F146" s="9"/>
    </row>
    <row r="147" ht="15.75" customHeight="1">
      <c r="F147" s="9"/>
    </row>
    <row r="148" ht="15.75" customHeight="1">
      <c r="F148" s="9"/>
    </row>
    <row r="149" ht="15.75" customHeight="1">
      <c r="F149" s="9"/>
    </row>
    <row r="150" ht="15.75" customHeight="1">
      <c r="F150" s="9"/>
    </row>
    <row r="151" ht="15.75" customHeight="1">
      <c r="F151" s="9"/>
    </row>
    <row r="152" ht="15.75" customHeight="1">
      <c r="F152" s="9"/>
    </row>
    <row r="153" ht="15.75" customHeight="1">
      <c r="F153" s="9"/>
    </row>
    <row r="154" ht="15.75" customHeight="1">
      <c r="F154" s="9"/>
    </row>
    <row r="155" ht="15.75" customHeight="1">
      <c r="F155" s="9"/>
    </row>
    <row r="156" ht="15.75" customHeight="1">
      <c r="F156" s="9"/>
    </row>
    <row r="157" ht="15.75" customHeight="1">
      <c r="F157" s="9"/>
    </row>
    <row r="158" ht="15.75" customHeight="1">
      <c r="F158" s="9"/>
    </row>
    <row r="159" ht="15.75" customHeight="1">
      <c r="F159" s="9"/>
    </row>
    <row r="160" ht="15.75" customHeight="1">
      <c r="F160" s="9"/>
    </row>
    <row r="161" ht="15.75" customHeight="1">
      <c r="F161" s="9"/>
    </row>
    <row r="162" ht="15.75" customHeight="1">
      <c r="F162" s="9"/>
    </row>
    <row r="163" ht="15.75" customHeight="1">
      <c r="F163" s="9"/>
    </row>
    <row r="164" ht="15.75" customHeight="1">
      <c r="F164" s="9"/>
    </row>
    <row r="165" ht="15.75" customHeight="1">
      <c r="F165" s="9"/>
    </row>
    <row r="166" ht="15.75" customHeight="1">
      <c r="F166" s="9"/>
    </row>
    <row r="167" ht="15.75" customHeight="1">
      <c r="F167" s="9"/>
    </row>
    <row r="168" ht="15.75" customHeight="1">
      <c r="F168" s="9"/>
    </row>
    <row r="169" ht="15.75" customHeight="1">
      <c r="F169" s="9"/>
    </row>
    <row r="170" ht="15.75" customHeight="1">
      <c r="F170" s="9"/>
    </row>
    <row r="171" ht="15.75" customHeight="1">
      <c r="F171" s="9"/>
    </row>
    <row r="172" ht="15.75" customHeight="1">
      <c r="F172" s="9"/>
    </row>
    <row r="173" ht="15.75" customHeight="1">
      <c r="F173" s="9"/>
    </row>
    <row r="174" ht="15.75" customHeight="1">
      <c r="F174" s="9"/>
    </row>
    <row r="175" ht="15.75" customHeight="1">
      <c r="F175" s="9"/>
    </row>
    <row r="176" ht="15.75" customHeight="1">
      <c r="F176" s="9"/>
    </row>
    <row r="177" ht="15.75" customHeight="1">
      <c r="F177" s="9"/>
    </row>
    <row r="178" ht="15.75" customHeight="1">
      <c r="F178" s="9"/>
    </row>
    <row r="179" ht="15.75" customHeight="1">
      <c r="F179" s="9"/>
    </row>
    <row r="180" ht="15.75" customHeight="1">
      <c r="F180" s="9"/>
    </row>
    <row r="181" ht="15.75" customHeight="1">
      <c r="F181" s="9"/>
    </row>
    <row r="182" ht="15.75" customHeight="1">
      <c r="F182" s="9"/>
    </row>
    <row r="183" ht="15.75" customHeight="1">
      <c r="F183" s="9"/>
    </row>
    <row r="184" ht="15.75" customHeight="1">
      <c r="F184" s="9"/>
    </row>
    <row r="185" ht="15.75" customHeight="1">
      <c r="F185" s="9"/>
    </row>
    <row r="186" ht="15.75" customHeight="1">
      <c r="F186" s="9"/>
    </row>
    <row r="187" ht="15.75" customHeight="1">
      <c r="F187" s="9"/>
    </row>
    <row r="188" ht="15.75" customHeight="1">
      <c r="F188" s="9"/>
    </row>
    <row r="189" ht="15.75" customHeight="1">
      <c r="F189" s="9"/>
    </row>
    <row r="190" ht="15.75" customHeight="1">
      <c r="F190" s="9"/>
    </row>
    <row r="191" ht="15.75" customHeight="1">
      <c r="F191" s="9"/>
    </row>
    <row r="192" ht="15.75" customHeight="1">
      <c r="F192" s="9"/>
    </row>
    <row r="193" ht="15.75" customHeight="1">
      <c r="F193" s="9"/>
    </row>
    <row r="194" ht="15.75" customHeight="1">
      <c r="F194" s="9"/>
    </row>
    <row r="195" ht="15.75" customHeight="1">
      <c r="F195" s="9"/>
    </row>
    <row r="196" ht="15.75" customHeight="1">
      <c r="F196" s="9"/>
    </row>
    <row r="197" ht="15.75" customHeight="1">
      <c r="F197" s="9"/>
    </row>
    <row r="198" ht="15.75" customHeight="1">
      <c r="F198" s="9"/>
    </row>
    <row r="199" ht="15.75" customHeight="1">
      <c r="F199" s="9"/>
    </row>
    <row r="200" ht="15.75" customHeight="1">
      <c r="F200" s="9"/>
    </row>
    <row r="201" ht="15.75" customHeight="1">
      <c r="F201" s="9"/>
    </row>
    <row r="202" ht="15.75" customHeight="1">
      <c r="F202" s="9"/>
    </row>
    <row r="203" ht="15.75" customHeight="1">
      <c r="F203" s="9"/>
    </row>
    <row r="204" ht="15.75" customHeight="1">
      <c r="F204" s="9"/>
    </row>
    <row r="205" ht="15.75" customHeight="1">
      <c r="F205" s="9"/>
    </row>
    <row r="206" ht="15.75" customHeight="1">
      <c r="F206" s="9"/>
    </row>
    <row r="207" ht="15.75" customHeight="1">
      <c r="F207" s="9"/>
    </row>
    <row r="208" ht="15.75" customHeight="1">
      <c r="F208" s="9"/>
    </row>
    <row r="209" ht="15.75" customHeight="1">
      <c r="F209" s="9"/>
    </row>
    <row r="210" ht="15.75" customHeight="1">
      <c r="F210" s="9"/>
    </row>
    <row r="211" ht="15.75" customHeight="1">
      <c r="F211" s="9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9.0"/>
    <col customWidth="1" min="6" max="6" width="24.25"/>
    <col customWidth="1" min="8" max="8" width="23.5"/>
    <col customWidth="1" min="10" max="10" width="25.5"/>
    <col customWidth="1" min="11" max="11" width="11.5"/>
    <col customWidth="1" min="12" max="12" width="28.25"/>
  </cols>
  <sheetData>
    <row r="1" ht="15.75" customHeight="1">
      <c r="A1" s="22" t="s">
        <v>0</v>
      </c>
      <c r="B1" s="22" t="s">
        <v>1</v>
      </c>
      <c r="C1" s="1" t="s">
        <v>2</v>
      </c>
      <c r="D1" s="17" t="s">
        <v>911</v>
      </c>
      <c r="E1" s="17" t="s">
        <v>1</v>
      </c>
      <c r="F1" s="18" t="s">
        <v>912</v>
      </c>
      <c r="G1" s="19" t="s">
        <v>913</v>
      </c>
      <c r="H1" s="18" t="s">
        <v>914</v>
      </c>
      <c r="I1" s="19" t="s">
        <v>915</v>
      </c>
      <c r="J1" s="18" t="s">
        <v>916</v>
      </c>
      <c r="K1" s="19" t="s">
        <v>917</v>
      </c>
      <c r="L1" s="18" t="s">
        <v>918</v>
      </c>
      <c r="M1" s="19" t="s">
        <v>919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12">
        <v>1919.0</v>
      </c>
      <c r="B2" s="6" t="s">
        <v>35</v>
      </c>
      <c r="C2" s="6" t="str">
        <f t="shared" ref="C2:C5" si="1">CONCATENATE(D2,"_",E2)</f>
        <v>UPS-01_CR</v>
      </c>
      <c r="D2" s="6" t="s">
        <v>920</v>
      </c>
      <c r="E2" s="23" t="s">
        <v>921</v>
      </c>
      <c r="F2" s="9" t="s">
        <v>922</v>
      </c>
      <c r="G2" s="9">
        <v>0.0</v>
      </c>
      <c r="H2" s="9" t="s">
        <v>923</v>
      </c>
      <c r="I2" s="9">
        <v>0.0</v>
      </c>
      <c r="J2" s="12"/>
      <c r="K2" s="12"/>
      <c r="L2" s="9" t="s">
        <v>924</v>
      </c>
      <c r="M2" s="9">
        <v>0.0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12">
        <v>1919.0</v>
      </c>
      <c r="B3" s="6" t="s">
        <v>35</v>
      </c>
      <c r="C3" s="6" t="str">
        <f t="shared" si="1"/>
        <v>UPS-02_CR</v>
      </c>
      <c r="D3" s="6" t="s">
        <v>925</v>
      </c>
      <c r="E3" s="23" t="s">
        <v>921</v>
      </c>
      <c r="F3" s="9" t="s">
        <v>926</v>
      </c>
      <c r="G3" s="9">
        <v>0.0</v>
      </c>
      <c r="H3" s="9" t="s">
        <v>927</v>
      </c>
      <c r="I3" s="9">
        <v>0.0</v>
      </c>
      <c r="J3" s="12"/>
      <c r="K3" s="12"/>
      <c r="L3" s="9" t="s">
        <v>928</v>
      </c>
      <c r="M3" s="9">
        <v>0.0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12">
        <v>1919.0</v>
      </c>
      <c r="B4" s="6" t="s">
        <v>35</v>
      </c>
      <c r="C4" s="6" t="str">
        <f t="shared" si="1"/>
        <v>UPS-03_CR</v>
      </c>
      <c r="D4" s="6" t="s">
        <v>929</v>
      </c>
      <c r="E4" s="23" t="s">
        <v>921</v>
      </c>
      <c r="F4" s="9" t="s">
        <v>930</v>
      </c>
      <c r="G4" s="9">
        <v>0.0</v>
      </c>
      <c r="H4" s="9" t="s">
        <v>931</v>
      </c>
      <c r="I4" s="9">
        <v>0.0</v>
      </c>
      <c r="J4" s="9" t="s">
        <v>932</v>
      </c>
      <c r="K4" s="9">
        <v>0.0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12">
        <v>1919.0</v>
      </c>
      <c r="B5" s="6" t="s">
        <v>35</v>
      </c>
      <c r="C5" s="6" t="str">
        <f t="shared" si="1"/>
        <v>UPS-04_CR</v>
      </c>
      <c r="D5" s="6" t="s">
        <v>933</v>
      </c>
      <c r="E5" s="23" t="s">
        <v>921</v>
      </c>
      <c r="F5" s="9" t="s">
        <v>934</v>
      </c>
      <c r="G5" s="9">
        <v>0.0</v>
      </c>
      <c r="H5" s="9" t="s">
        <v>935</v>
      </c>
      <c r="I5" s="9">
        <v>0.0</v>
      </c>
      <c r="J5" s="9" t="s">
        <v>936</v>
      </c>
      <c r="K5" s="9">
        <v>0.0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6" max="10" width="26.25"/>
    <col customWidth="1" min="12" max="13" width="26.25"/>
    <col customWidth="1" min="14" max="14" width="33.88"/>
    <col customWidth="1" min="15" max="15" width="14.5"/>
    <col customWidth="1" min="16" max="16" width="9.0"/>
    <col customWidth="1" min="17" max="17" width="11.38"/>
    <col customWidth="1" min="18" max="18" width="32.75"/>
    <col customWidth="1" min="20" max="21" width="32.75"/>
    <col customWidth="1" min="22" max="22" width="27.63"/>
    <col customWidth="1" min="24" max="26" width="27.63"/>
    <col customWidth="1" min="28" max="29" width="27.63"/>
  </cols>
  <sheetData>
    <row r="1" ht="15.75" customHeight="1">
      <c r="A1" s="22" t="s">
        <v>0</v>
      </c>
      <c r="B1" s="22" t="s">
        <v>1</v>
      </c>
      <c r="C1" s="1" t="s">
        <v>2</v>
      </c>
      <c r="D1" s="17" t="s">
        <v>937</v>
      </c>
      <c r="E1" s="17" t="s">
        <v>1</v>
      </c>
      <c r="F1" s="18" t="s">
        <v>938</v>
      </c>
      <c r="G1" s="24" t="s">
        <v>7</v>
      </c>
      <c r="H1" s="18" t="s">
        <v>9</v>
      </c>
      <c r="I1" s="18" t="s">
        <v>10</v>
      </c>
      <c r="J1" s="18" t="s">
        <v>939</v>
      </c>
      <c r="K1" s="19" t="s">
        <v>940</v>
      </c>
      <c r="L1" s="18" t="s">
        <v>9</v>
      </c>
      <c r="M1" s="18" t="s">
        <v>10</v>
      </c>
      <c r="N1" s="18" t="s">
        <v>941</v>
      </c>
      <c r="O1" s="19" t="s">
        <v>942</v>
      </c>
      <c r="P1" s="18" t="s">
        <v>9</v>
      </c>
      <c r="Q1" s="18" t="s">
        <v>10</v>
      </c>
      <c r="R1" s="18" t="s">
        <v>943</v>
      </c>
      <c r="S1" s="19" t="s">
        <v>944</v>
      </c>
      <c r="T1" s="18" t="s">
        <v>9</v>
      </c>
      <c r="U1" s="18" t="s">
        <v>10</v>
      </c>
      <c r="V1" s="18" t="s">
        <v>945</v>
      </c>
      <c r="W1" s="19" t="s">
        <v>946</v>
      </c>
      <c r="X1" s="18" t="s">
        <v>9</v>
      </c>
      <c r="Y1" s="18" t="s">
        <v>10</v>
      </c>
      <c r="Z1" s="18" t="s">
        <v>947</v>
      </c>
      <c r="AA1" s="19" t="s">
        <v>948</v>
      </c>
      <c r="AB1" s="18" t="s">
        <v>9</v>
      </c>
      <c r="AC1" s="18" t="s">
        <v>10</v>
      </c>
    </row>
    <row r="2" ht="15.75" customHeight="1">
      <c r="A2" s="6">
        <v>1919.0</v>
      </c>
      <c r="B2" s="6" t="s">
        <v>35</v>
      </c>
      <c r="C2" s="6" t="str">
        <f t="shared" ref="C2:C3" si="1">CONCATENATE(D2,"_",E2)</f>
        <v>GEPLC_CR</v>
      </c>
      <c r="D2" s="6" t="s">
        <v>949</v>
      </c>
      <c r="E2" s="23" t="s">
        <v>921</v>
      </c>
      <c r="F2" s="25" t="s">
        <v>950</v>
      </c>
      <c r="G2" s="26">
        <v>0.0</v>
      </c>
      <c r="H2" s="25" t="s">
        <v>949</v>
      </c>
      <c r="I2" s="25" t="s">
        <v>951</v>
      </c>
      <c r="J2" s="25" t="s">
        <v>952</v>
      </c>
      <c r="K2" s="9">
        <v>1.0</v>
      </c>
      <c r="L2" s="25" t="s">
        <v>949</v>
      </c>
      <c r="M2" s="25" t="s">
        <v>953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6">
        <v>1919.0</v>
      </c>
      <c r="B3" s="6" t="s">
        <v>35</v>
      </c>
      <c r="C3" s="6" t="str">
        <f t="shared" si="1"/>
        <v>SFT PLC_CR</v>
      </c>
      <c r="D3" s="6" t="s">
        <v>954</v>
      </c>
      <c r="E3" s="23" t="s">
        <v>921</v>
      </c>
      <c r="F3" s="9" t="s">
        <v>955</v>
      </c>
      <c r="G3" s="27">
        <v>0.0</v>
      </c>
      <c r="H3" s="9" t="s">
        <v>956</v>
      </c>
      <c r="I3" s="25" t="s">
        <v>951</v>
      </c>
      <c r="J3" s="9" t="s">
        <v>957</v>
      </c>
      <c r="K3" s="9">
        <v>1.0</v>
      </c>
      <c r="L3" s="9" t="s">
        <v>956</v>
      </c>
      <c r="M3" s="9" t="s">
        <v>953</v>
      </c>
      <c r="N3" s="25" t="s">
        <v>958</v>
      </c>
      <c r="O3" s="28">
        <v>0.0</v>
      </c>
      <c r="P3" s="25" t="s">
        <v>956</v>
      </c>
      <c r="Q3" s="25" t="s">
        <v>951</v>
      </c>
      <c r="R3" s="25" t="s">
        <v>958</v>
      </c>
      <c r="S3" s="9">
        <v>0.0</v>
      </c>
      <c r="T3" s="25" t="s">
        <v>956</v>
      </c>
      <c r="U3" s="25" t="s">
        <v>953</v>
      </c>
      <c r="V3" s="9" t="s">
        <v>959</v>
      </c>
      <c r="W3" s="9">
        <v>0.0</v>
      </c>
      <c r="X3" s="9" t="s">
        <v>956</v>
      </c>
      <c r="Y3" s="9" t="s">
        <v>951</v>
      </c>
      <c r="Z3" s="9" t="s">
        <v>960</v>
      </c>
      <c r="AA3" s="9">
        <v>0.0</v>
      </c>
      <c r="AB3" s="9" t="s">
        <v>956</v>
      </c>
      <c r="AC3" s="9" t="s">
        <v>953</v>
      </c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5.75" customHeight="1">
      <c r="A6" s="12"/>
      <c r="B6" s="12"/>
      <c r="C6" s="12"/>
      <c r="D6" s="12"/>
      <c r="E6" s="12"/>
      <c r="F6" s="29"/>
      <c r="G6" s="29"/>
      <c r="H6" s="29"/>
      <c r="I6" s="29"/>
      <c r="J6" s="29"/>
      <c r="K6" s="12"/>
      <c r="L6" s="29"/>
      <c r="M6" s="29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3.5"/>
    <col customWidth="1" min="5" max="5" width="26.38"/>
    <col customWidth="1" min="6" max="6" width="22.75"/>
    <col customWidth="1" min="7" max="7" width="35.5"/>
    <col customWidth="1" min="9" max="9" width="35.5"/>
    <col customWidth="1" min="10" max="10" width="11.5"/>
    <col customWidth="1" min="11" max="11" width="31.75"/>
    <col customWidth="1" min="13" max="13" width="36.75"/>
    <col customWidth="1" min="15" max="15" width="28.63"/>
    <col customWidth="1" min="17" max="17" width="37.25"/>
  </cols>
  <sheetData>
    <row r="1" ht="15.75" customHeight="1">
      <c r="A1" s="22" t="s">
        <v>0</v>
      </c>
      <c r="B1" s="22" t="s">
        <v>1</v>
      </c>
      <c r="C1" s="1" t="s">
        <v>2</v>
      </c>
      <c r="D1" s="17" t="s">
        <v>961</v>
      </c>
      <c r="E1" s="17" t="s">
        <v>962</v>
      </c>
      <c r="F1" s="17" t="s">
        <v>1</v>
      </c>
      <c r="G1" s="18" t="s">
        <v>963</v>
      </c>
      <c r="H1" s="19" t="s">
        <v>964</v>
      </c>
      <c r="I1" s="18" t="s">
        <v>965</v>
      </c>
      <c r="J1" s="19" t="s">
        <v>966</v>
      </c>
      <c r="K1" s="18" t="s">
        <v>967</v>
      </c>
      <c r="L1" s="19" t="s">
        <v>968</v>
      </c>
      <c r="M1" s="18" t="s">
        <v>969</v>
      </c>
      <c r="N1" s="19" t="s">
        <v>970</v>
      </c>
      <c r="O1" s="18" t="s">
        <v>971</v>
      </c>
      <c r="P1" s="19" t="s">
        <v>972</v>
      </c>
      <c r="Q1" s="30" t="s">
        <v>973</v>
      </c>
      <c r="R1" s="27" t="s">
        <v>7</v>
      </c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6">
        <v>1919.0</v>
      </c>
      <c r="B2" s="6" t="s">
        <v>35</v>
      </c>
      <c r="C2" s="6" t="str">
        <f t="shared" ref="C2:C20" si="1">CONCATENATE(D2,"_",E2,"_",F2)</f>
        <v>HDS-01_OPEN PATH_TANK1A TANK1B</v>
      </c>
      <c r="D2" s="23" t="s">
        <v>974</v>
      </c>
      <c r="E2" s="23" t="s">
        <v>975</v>
      </c>
      <c r="F2" s="23" t="s">
        <v>976</v>
      </c>
      <c r="G2" s="9" t="s">
        <v>977</v>
      </c>
      <c r="H2" s="9">
        <v>0.0</v>
      </c>
      <c r="I2" s="9" t="s">
        <v>978</v>
      </c>
      <c r="J2" s="9">
        <v>0.0</v>
      </c>
      <c r="K2" s="9" t="s">
        <v>979</v>
      </c>
      <c r="L2" s="9">
        <v>0.0</v>
      </c>
      <c r="M2" s="9" t="s">
        <v>980</v>
      </c>
      <c r="N2" s="9">
        <v>0.0</v>
      </c>
      <c r="O2" s="9" t="s">
        <v>981</v>
      </c>
      <c r="P2" s="9">
        <v>0.0</v>
      </c>
      <c r="Q2" s="31" t="s">
        <v>982</v>
      </c>
      <c r="R2" s="27">
        <v>0.0</v>
      </c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6">
        <v>1919.0</v>
      </c>
      <c r="B3" s="6" t="s">
        <v>35</v>
      </c>
      <c r="C3" s="6" t="str">
        <f t="shared" si="1"/>
        <v>HDS-02_OPEN PATH_TANK1C</v>
      </c>
      <c r="D3" s="23" t="s">
        <v>983</v>
      </c>
      <c r="E3" s="23" t="s">
        <v>975</v>
      </c>
      <c r="F3" s="23" t="s">
        <v>984</v>
      </c>
      <c r="G3" s="9" t="s">
        <v>985</v>
      </c>
      <c r="H3" s="9">
        <v>0.0</v>
      </c>
      <c r="I3" s="9" t="s">
        <v>986</v>
      </c>
      <c r="J3" s="9">
        <v>0.0</v>
      </c>
      <c r="K3" s="9" t="s">
        <v>987</v>
      </c>
      <c r="L3" s="9">
        <v>0.0</v>
      </c>
      <c r="M3" s="9" t="s">
        <v>988</v>
      </c>
      <c r="N3" s="9">
        <v>0.0</v>
      </c>
      <c r="O3" s="9" t="s">
        <v>989</v>
      </c>
      <c r="P3" s="9">
        <v>0.0</v>
      </c>
      <c r="Q3" s="31" t="s">
        <v>982</v>
      </c>
      <c r="R3" s="27">
        <v>0.0</v>
      </c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6">
        <v>1919.0</v>
      </c>
      <c r="B4" s="6" t="s">
        <v>35</v>
      </c>
      <c r="C4" s="6" t="str">
        <f t="shared" si="1"/>
        <v>HDS-03_OPEN PATH_PRODUCT PUMP HOUSE</v>
      </c>
      <c r="D4" s="23" t="s">
        <v>990</v>
      </c>
      <c r="E4" s="23" t="s">
        <v>975</v>
      </c>
      <c r="F4" s="23" t="s">
        <v>991</v>
      </c>
      <c r="G4" s="9" t="s">
        <v>992</v>
      </c>
      <c r="H4" s="9">
        <v>0.0</v>
      </c>
      <c r="I4" s="9" t="s">
        <v>993</v>
      </c>
      <c r="J4" s="9">
        <v>0.0</v>
      </c>
      <c r="K4" s="9" t="s">
        <v>994</v>
      </c>
      <c r="L4" s="9">
        <v>0.0</v>
      </c>
      <c r="M4" s="9" t="s">
        <v>995</v>
      </c>
      <c r="N4" s="9">
        <v>0.0</v>
      </c>
      <c r="O4" s="9" t="s">
        <v>996</v>
      </c>
      <c r="P4" s="9">
        <v>0.0</v>
      </c>
      <c r="Q4" s="31" t="s">
        <v>982</v>
      </c>
      <c r="R4" s="27">
        <v>0.0</v>
      </c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6">
        <v>1919.0</v>
      </c>
      <c r="B5" s="6" t="s">
        <v>35</v>
      </c>
      <c r="C5" s="6" t="str">
        <f t="shared" si="1"/>
        <v>HDS-04_OPEN PATH_TANK5C</v>
      </c>
      <c r="D5" s="23" t="s">
        <v>997</v>
      </c>
      <c r="E5" s="23" t="s">
        <v>975</v>
      </c>
      <c r="F5" s="23" t="s">
        <v>998</v>
      </c>
      <c r="G5" s="9" t="s">
        <v>999</v>
      </c>
      <c r="H5" s="9">
        <v>0.0</v>
      </c>
      <c r="I5" s="9" t="s">
        <v>1000</v>
      </c>
      <c r="J5" s="9">
        <v>0.0</v>
      </c>
      <c r="K5" s="9" t="s">
        <v>1001</v>
      </c>
      <c r="L5" s="9">
        <v>0.0</v>
      </c>
      <c r="M5" s="9" t="s">
        <v>1002</v>
      </c>
      <c r="N5" s="9">
        <v>0.0</v>
      </c>
      <c r="O5" s="9" t="s">
        <v>1003</v>
      </c>
      <c r="P5" s="9">
        <v>0.0</v>
      </c>
      <c r="Q5" s="31" t="s">
        <v>982</v>
      </c>
      <c r="R5" s="27">
        <v>0.0</v>
      </c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6">
        <v>1919.0</v>
      </c>
      <c r="B6" s="6" t="s">
        <v>35</v>
      </c>
      <c r="C6" s="6" t="str">
        <f t="shared" si="1"/>
        <v>HDS-05_POINT TYPE_TANK5A</v>
      </c>
      <c r="D6" s="23" t="s">
        <v>1004</v>
      </c>
      <c r="E6" s="23" t="s">
        <v>1005</v>
      </c>
      <c r="F6" s="23" t="s">
        <v>1006</v>
      </c>
      <c r="G6" s="9" t="s">
        <v>1007</v>
      </c>
      <c r="H6" s="9">
        <v>0.0</v>
      </c>
      <c r="I6" s="9" t="s">
        <v>1008</v>
      </c>
      <c r="J6" s="9">
        <v>0.0</v>
      </c>
      <c r="K6" s="9" t="s">
        <v>1009</v>
      </c>
      <c r="L6" s="9">
        <v>0.0</v>
      </c>
      <c r="M6" s="9" t="s">
        <v>1010</v>
      </c>
      <c r="N6" s="9">
        <v>0.0</v>
      </c>
      <c r="O6" s="9" t="s">
        <v>1011</v>
      </c>
      <c r="P6" s="9">
        <v>0.0</v>
      </c>
      <c r="Q6" s="31" t="s">
        <v>982</v>
      </c>
      <c r="R6" s="27">
        <v>0.0</v>
      </c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6">
        <v>1919.0</v>
      </c>
      <c r="B7" s="6" t="s">
        <v>35</v>
      </c>
      <c r="C7" s="6" t="str">
        <f t="shared" si="1"/>
        <v>HDS-06_POINT TYPE_TANK3C</v>
      </c>
      <c r="D7" s="23" t="s">
        <v>1012</v>
      </c>
      <c r="E7" s="23" t="s">
        <v>1005</v>
      </c>
      <c r="F7" s="23" t="s">
        <v>1013</v>
      </c>
      <c r="G7" s="9" t="s">
        <v>1014</v>
      </c>
      <c r="H7" s="9">
        <v>0.0</v>
      </c>
      <c r="I7" s="9" t="s">
        <v>1015</v>
      </c>
      <c r="J7" s="9">
        <v>0.0</v>
      </c>
      <c r="K7" s="9" t="s">
        <v>1016</v>
      </c>
      <c r="L7" s="9">
        <v>0.0</v>
      </c>
      <c r="M7" s="9" t="s">
        <v>1017</v>
      </c>
      <c r="N7" s="9">
        <v>0.0</v>
      </c>
      <c r="O7" s="9" t="s">
        <v>1018</v>
      </c>
      <c r="P7" s="9">
        <v>0.0</v>
      </c>
      <c r="Q7" s="31" t="s">
        <v>982</v>
      </c>
      <c r="R7" s="27">
        <v>0.0</v>
      </c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6">
        <v>1919.0</v>
      </c>
      <c r="B8" s="6" t="s">
        <v>35</v>
      </c>
      <c r="C8" s="6" t="str">
        <f t="shared" si="1"/>
        <v>HDS-07_POINT TYPE_TANK4C</v>
      </c>
      <c r="D8" s="23" t="s">
        <v>1019</v>
      </c>
      <c r="E8" s="23" t="s">
        <v>1005</v>
      </c>
      <c r="F8" s="23" t="s">
        <v>1020</v>
      </c>
      <c r="G8" s="9" t="s">
        <v>1021</v>
      </c>
      <c r="H8" s="9">
        <v>0.0</v>
      </c>
      <c r="I8" s="9" t="s">
        <v>1022</v>
      </c>
      <c r="J8" s="9">
        <v>0.0</v>
      </c>
      <c r="K8" s="9" t="s">
        <v>1023</v>
      </c>
      <c r="L8" s="9">
        <v>0.0</v>
      </c>
      <c r="M8" s="9" t="s">
        <v>1024</v>
      </c>
      <c r="N8" s="9">
        <v>0.0</v>
      </c>
      <c r="O8" s="9" t="s">
        <v>1025</v>
      </c>
      <c r="P8" s="9">
        <v>0.0</v>
      </c>
      <c r="Q8" s="31" t="s">
        <v>982</v>
      </c>
      <c r="R8" s="27">
        <v>0.0</v>
      </c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6">
        <v>1919.0</v>
      </c>
      <c r="B9" s="6" t="s">
        <v>35</v>
      </c>
      <c r="C9" s="6" t="str">
        <f t="shared" si="1"/>
        <v>HDS-08_POINT TYPE_TANK1B</v>
      </c>
      <c r="D9" s="23" t="s">
        <v>1026</v>
      </c>
      <c r="E9" s="23" t="s">
        <v>1005</v>
      </c>
      <c r="F9" s="23" t="s">
        <v>1027</v>
      </c>
      <c r="G9" s="9" t="s">
        <v>1028</v>
      </c>
      <c r="H9" s="9">
        <v>0.0</v>
      </c>
      <c r="I9" s="9" t="s">
        <v>1029</v>
      </c>
      <c r="J9" s="9">
        <v>0.0</v>
      </c>
      <c r="K9" s="9" t="s">
        <v>1030</v>
      </c>
      <c r="L9" s="9">
        <v>0.0</v>
      </c>
      <c r="M9" s="9" t="s">
        <v>1031</v>
      </c>
      <c r="N9" s="9">
        <v>0.0</v>
      </c>
      <c r="O9" s="9" t="s">
        <v>1032</v>
      </c>
      <c r="P9" s="9">
        <v>0.0</v>
      </c>
      <c r="Q9" s="31" t="s">
        <v>982</v>
      </c>
      <c r="R9" s="27">
        <v>0.0</v>
      </c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6">
        <v>1919.0</v>
      </c>
      <c r="B10" s="6" t="s">
        <v>35</v>
      </c>
      <c r="C10" s="6" t="str">
        <f t="shared" si="1"/>
        <v>HDS-09_POINT TYPE_TANK1C</v>
      </c>
      <c r="D10" s="23" t="s">
        <v>1033</v>
      </c>
      <c r="E10" s="23" t="s">
        <v>1005</v>
      </c>
      <c r="F10" s="23" t="s">
        <v>984</v>
      </c>
      <c r="G10" s="9" t="s">
        <v>1034</v>
      </c>
      <c r="H10" s="9">
        <v>0.0</v>
      </c>
      <c r="I10" s="9" t="s">
        <v>1035</v>
      </c>
      <c r="J10" s="9">
        <v>0.0</v>
      </c>
      <c r="K10" s="9" t="s">
        <v>1036</v>
      </c>
      <c r="L10" s="9">
        <v>0.0</v>
      </c>
      <c r="M10" s="9" t="s">
        <v>1037</v>
      </c>
      <c r="N10" s="9">
        <v>0.0</v>
      </c>
      <c r="O10" s="9" t="s">
        <v>1038</v>
      </c>
      <c r="P10" s="9">
        <v>0.0</v>
      </c>
      <c r="Q10" s="31" t="s">
        <v>982</v>
      </c>
      <c r="R10" s="27">
        <v>0.0</v>
      </c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6">
        <v>1919.0</v>
      </c>
      <c r="B11" s="6" t="s">
        <v>35</v>
      </c>
      <c r="C11" s="6" t="str">
        <f t="shared" si="1"/>
        <v>HDS-10_POINT TYPE_TANK 1A</v>
      </c>
      <c r="D11" s="23" t="s">
        <v>1039</v>
      </c>
      <c r="E11" s="23" t="s">
        <v>1005</v>
      </c>
      <c r="F11" s="23" t="s">
        <v>1040</v>
      </c>
      <c r="G11" s="9" t="s">
        <v>1041</v>
      </c>
      <c r="H11" s="9">
        <v>0.0</v>
      </c>
      <c r="I11" s="9" t="s">
        <v>1042</v>
      </c>
      <c r="J11" s="9">
        <v>0.0</v>
      </c>
      <c r="K11" s="9" t="s">
        <v>1043</v>
      </c>
      <c r="L11" s="9">
        <v>0.0</v>
      </c>
      <c r="M11" s="9" t="s">
        <v>1044</v>
      </c>
      <c r="N11" s="9">
        <v>0.0</v>
      </c>
      <c r="O11" s="9" t="s">
        <v>1045</v>
      </c>
      <c r="P11" s="9">
        <v>0.0</v>
      </c>
      <c r="Q11" s="31" t="s">
        <v>982</v>
      </c>
      <c r="R11" s="27">
        <v>0.0</v>
      </c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6">
        <v>1919.0</v>
      </c>
      <c r="B12" s="6" t="s">
        <v>35</v>
      </c>
      <c r="C12" s="6" t="str">
        <f t="shared" si="1"/>
        <v>HDS-11_POINT TYPE_TANK5B</v>
      </c>
      <c r="D12" s="23" t="s">
        <v>1046</v>
      </c>
      <c r="E12" s="23" t="s">
        <v>1005</v>
      </c>
      <c r="F12" s="23" t="s">
        <v>1047</v>
      </c>
      <c r="G12" s="9" t="s">
        <v>1048</v>
      </c>
      <c r="H12" s="9">
        <v>0.0</v>
      </c>
      <c r="I12" s="9" t="s">
        <v>1049</v>
      </c>
      <c r="J12" s="9">
        <v>0.0</v>
      </c>
      <c r="K12" s="9" t="s">
        <v>1050</v>
      </c>
      <c r="L12" s="9">
        <v>0.0</v>
      </c>
      <c r="M12" s="9" t="s">
        <v>1051</v>
      </c>
      <c r="N12" s="9">
        <v>0.0</v>
      </c>
      <c r="O12" s="9" t="s">
        <v>1052</v>
      </c>
      <c r="P12" s="9">
        <v>0.0</v>
      </c>
      <c r="Q12" s="31" t="s">
        <v>982</v>
      </c>
      <c r="R12" s="27">
        <v>0.0</v>
      </c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6">
        <v>1919.0</v>
      </c>
      <c r="B13" s="6" t="s">
        <v>35</v>
      </c>
      <c r="C13" s="6" t="str">
        <f t="shared" si="1"/>
        <v>HDS-12_OPEN PATH_TANK3C</v>
      </c>
      <c r="D13" s="23" t="s">
        <v>1053</v>
      </c>
      <c r="E13" s="23" t="s">
        <v>975</v>
      </c>
      <c r="F13" s="23" t="s">
        <v>1013</v>
      </c>
      <c r="G13" s="9" t="s">
        <v>1054</v>
      </c>
      <c r="H13" s="9">
        <v>0.0</v>
      </c>
      <c r="I13" s="9" t="s">
        <v>1055</v>
      </c>
      <c r="J13" s="9">
        <v>0.0</v>
      </c>
      <c r="K13" s="9" t="s">
        <v>1056</v>
      </c>
      <c r="L13" s="9">
        <v>0.0</v>
      </c>
      <c r="M13" s="9" t="s">
        <v>1057</v>
      </c>
      <c r="N13" s="9">
        <v>0.0</v>
      </c>
      <c r="O13" s="9" t="s">
        <v>1058</v>
      </c>
      <c r="P13" s="9">
        <v>0.0</v>
      </c>
      <c r="Q13" s="31" t="s">
        <v>982</v>
      </c>
      <c r="R13" s="27">
        <v>0.0</v>
      </c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6">
        <v>1919.0</v>
      </c>
      <c r="B14" s="6" t="s">
        <v>35</v>
      </c>
      <c r="C14" s="6" t="str">
        <f t="shared" si="1"/>
        <v>HDS-13_POINT TYPE_TANK4C</v>
      </c>
      <c r="D14" s="23" t="s">
        <v>1059</v>
      </c>
      <c r="E14" s="23" t="s">
        <v>1005</v>
      </c>
      <c r="F14" s="23" t="s">
        <v>1020</v>
      </c>
      <c r="G14" s="9" t="s">
        <v>1060</v>
      </c>
      <c r="H14" s="9">
        <v>0.0</v>
      </c>
      <c r="I14" s="9" t="s">
        <v>1061</v>
      </c>
      <c r="J14" s="9">
        <v>0.0</v>
      </c>
      <c r="K14" s="9" t="s">
        <v>1062</v>
      </c>
      <c r="L14" s="9">
        <v>0.0</v>
      </c>
      <c r="M14" s="9" t="s">
        <v>1063</v>
      </c>
      <c r="N14" s="9">
        <v>0.0</v>
      </c>
      <c r="O14" s="9" t="s">
        <v>1064</v>
      </c>
      <c r="P14" s="9">
        <v>0.0</v>
      </c>
      <c r="Q14" s="31" t="s">
        <v>982</v>
      </c>
      <c r="R14" s="27">
        <v>0.0</v>
      </c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6">
        <v>1919.0</v>
      </c>
      <c r="B15" s="6" t="s">
        <v>35</v>
      </c>
      <c r="C15" s="6" t="str">
        <f t="shared" si="1"/>
        <v>HDS-14_HCD-BPCL PLT MFM AREA_BPCL PLT MFM AREA</v>
      </c>
      <c r="D15" s="23" t="s">
        <v>1065</v>
      </c>
      <c r="E15" s="23" t="s">
        <v>1066</v>
      </c>
      <c r="F15" s="23" t="s">
        <v>1067</v>
      </c>
      <c r="G15" s="9" t="s">
        <v>1068</v>
      </c>
      <c r="H15" s="9">
        <v>0.0</v>
      </c>
      <c r="I15" s="9" t="s">
        <v>1069</v>
      </c>
      <c r="J15" s="9">
        <v>0.0</v>
      </c>
      <c r="K15" s="9" t="s">
        <v>1070</v>
      </c>
      <c r="L15" s="9">
        <v>0.0</v>
      </c>
      <c r="M15" s="9" t="s">
        <v>1071</v>
      </c>
      <c r="N15" s="9">
        <v>0.0</v>
      </c>
      <c r="O15" s="9" t="s">
        <v>1072</v>
      </c>
      <c r="P15" s="9">
        <v>0.0</v>
      </c>
      <c r="Q15" s="31" t="s">
        <v>982</v>
      </c>
      <c r="R15" s="27">
        <v>0.0</v>
      </c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6">
        <v>1919.0</v>
      </c>
      <c r="B16" s="6" t="s">
        <v>35</v>
      </c>
      <c r="C16" s="6" t="str">
        <f t="shared" si="1"/>
        <v>HDS-15_POINT TYPE_HCD-15</v>
      </c>
      <c r="D16" s="23" t="s">
        <v>1073</v>
      </c>
      <c r="E16" s="23" t="s">
        <v>1005</v>
      </c>
      <c r="F16" s="23" t="s">
        <v>1074</v>
      </c>
      <c r="G16" s="9" t="s">
        <v>1075</v>
      </c>
      <c r="H16" s="9">
        <v>0.0</v>
      </c>
      <c r="I16" s="9" t="s">
        <v>1076</v>
      </c>
      <c r="J16" s="9">
        <v>0.0</v>
      </c>
      <c r="K16" s="9" t="s">
        <v>1077</v>
      </c>
      <c r="L16" s="9">
        <v>0.0</v>
      </c>
      <c r="M16" s="9" t="s">
        <v>1078</v>
      </c>
      <c r="N16" s="9">
        <v>0.0</v>
      </c>
      <c r="O16" s="9" t="s">
        <v>1079</v>
      </c>
      <c r="P16" s="9">
        <v>0.0</v>
      </c>
      <c r="Q16" s="31" t="s">
        <v>982</v>
      </c>
      <c r="R16" s="27">
        <v>0.0</v>
      </c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6">
        <v>1919.0</v>
      </c>
      <c r="B17" s="6" t="s">
        <v>35</v>
      </c>
      <c r="C17" s="6" t="str">
        <f t="shared" si="1"/>
        <v>HDS-16_POINT TYPE_HCD-16</v>
      </c>
      <c r="D17" s="23" t="s">
        <v>1080</v>
      </c>
      <c r="E17" s="23" t="s">
        <v>1005</v>
      </c>
      <c r="F17" s="23" t="s">
        <v>1081</v>
      </c>
      <c r="G17" s="9" t="s">
        <v>1082</v>
      </c>
      <c r="H17" s="9">
        <v>0.0</v>
      </c>
      <c r="I17" s="9" t="s">
        <v>1083</v>
      </c>
      <c r="J17" s="9">
        <v>0.0</v>
      </c>
      <c r="K17" s="9" t="s">
        <v>1084</v>
      </c>
      <c r="L17" s="9">
        <v>0.0</v>
      </c>
      <c r="M17" s="9" t="s">
        <v>1085</v>
      </c>
      <c r="N17" s="9">
        <v>0.0</v>
      </c>
      <c r="O17" s="9" t="s">
        <v>1086</v>
      </c>
      <c r="P17" s="9">
        <v>0.0</v>
      </c>
      <c r="Q17" s="31" t="s">
        <v>982</v>
      </c>
      <c r="R17" s="27">
        <v>0.0</v>
      </c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6">
        <v>1919.0</v>
      </c>
      <c r="B18" s="6" t="s">
        <v>35</v>
      </c>
      <c r="C18" s="6" t="str">
        <f t="shared" si="1"/>
        <v>HDS-17_POINT TYPE_HCD-17</v>
      </c>
      <c r="D18" s="23" t="s">
        <v>1087</v>
      </c>
      <c r="E18" s="23" t="s">
        <v>1005</v>
      </c>
      <c r="F18" s="23" t="s">
        <v>1088</v>
      </c>
      <c r="G18" s="9" t="s">
        <v>1089</v>
      </c>
      <c r="H18" s="9">
        <v>0.0</v>
      </c>
      <c r="I18" s="9" t="s">
        <v>1090</v>
      </c>
      <c r="J18" s="9">
        <v>0.0</v>
      </c>
      <c r="K18" s="9" t="s">
        <v>1091</v>
      </c>
      <c r="L18" s="9">
        <v>0.0</v>
      </c>
      <c r="M18" s="9" t="s">
        <v>1092</v>
      </c>
      <c r="N18" s="9">
        <v>0.0</v>
      </c>
      <c r="O18" s="9" t="s">
        <v>1093</v>
      </c>
      <c r="P18" s="9">
        <v>0.0</v>
      </c>
      <c r="Q18" s="31" t="s">
        <v>982</v>
      </c>
      <c r="R18" s="27">
        <v>0.0</v>
      </c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6">
        <v>1919.0</v>
      </c>
      <c r="B19" s="6" t="s">
        <v>35</v>
      </c>
      <c r="C19" s="6" t="str">
        <f t="shared" si="1"/>
        <v>HDS-18_POINT TYPE_HCD-18</v>
      </c>
      <c r="D19" s="23" t="s">
        <v>1094</v>
      </c>
      <c r="E19" s="23" t="s">
        <v>1005</v>
      </c>
      <c r="F19" s="23" t="s">
        <v>1095</v>
      </c>
      <c r="G19" s="9" t="s">
        <v>1096</v>
      </c>
      <c r="H19" s="9">
        <v>0.0</v>
      </c>
      <c r="I19" s="9" t="s">
        <v>1097</v>
      </c>
      <c r="J19" s="9">
        <v>0.0</v>
      </c>
      <c r="K19" s="9" t="s">
        <v>1098</v>
      </c>
      <c r="L19" s="9">
        <v>0.0</v>
      </c>
      <c r="M19" s="9" t="s">
        <v>1099</v>
      </c>
      <c r="N19" s="9">
        <v>0.0</v>
      </c>
      <c r="O19" s="9" t="s">
        <v>1100</v>
      </c>
      <c r="P19" s="9">
        <v>0.0</v>
      </c>
      <c r="Q19" s="31" t="s">
        <v>982</v>
      </c>
      <c r="R19" s="27">
        <v>0.0</v>
      </c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6">
        <v>1919.0</v>
      </c>
      <c r="B20" s="6" t="s">
        <v>35</v>
      </c>
      <c r="C20" s="6" t="str">
        <f t="shared" si="1"/>
        <v>HDS-19_POINT TYPE_HCD-19</v>
      </c>
      <c r="D20" s="23" t="s">
        <v>1101</v>
      </c>
      <c r="E20" s="23" t="s">
        <v>1005</v>
      </c>
      <c r="F20" s="23" t="s">
        <v>1102</v>
      </c>
      <c r="G20" s="9" t="s">
        <v>1103</v>
      </c>
      <c r="H20" s="9">
        <v>0.0</v>
      </c>
      <c r="I20" s="9" t="s">
        <v>1104</v>
      </c>
      <c r="J20" s="9">
        <v>0.0</v>
      </c>
      <c r="K20" s="9" t="s">
        <v>1105</v>
      </c>
      <c r="L20" s="9">
        <v>0.0</v>
      </c>
      <c r="M20" s="9" t="s">
        <v>1106</v>
      </c>
      <c r="N20" s="9">
        <v>0.0</v>
      </c>
      <c r="O20" s="9" t="s">
        <v>1107</v>
      </c>
      <c r="P20" s="9">
        <v>0.0</v>
      </c>
      <c r="Q20" s="31" t="s">
        <v>982</v>
      </c>
      <c r="R20" s="27">
        <v>0.0</v>
      </c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9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9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9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9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9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9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9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9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9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9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9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9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9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9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9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9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9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9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9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9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9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9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9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9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9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9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9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9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9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9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9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9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9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9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9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9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9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9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9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9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9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9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9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9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9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9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9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9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9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9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9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9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9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9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9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9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9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9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9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9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9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9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9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9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9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9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9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9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9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9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9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9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9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9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9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9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9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9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9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9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9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9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9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9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9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9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9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9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9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9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9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9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9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9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9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9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9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9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9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9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9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9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9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9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9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9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9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9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9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9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9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9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9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9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9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9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9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9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9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9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9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9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9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9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9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9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9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9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9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9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9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9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9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9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9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9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9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9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9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9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9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9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9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9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9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9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9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9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9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9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9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9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9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9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9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9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9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9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9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9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9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9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9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9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9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9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9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9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9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9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9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9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9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9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9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9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9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9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9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9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9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9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9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9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9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R206" s="32"/>
    </row>
    <row r="207" ht="15.75" customHeight="1">
      <c r="R207" s="32"/>
    </row>
    <row r="208" ht="15.75" customHeight="1">
      <c r="R208" s="32"/>
    </row>
    <row r="209" ht="15.75" customHeight="1">
      <c r="R209" s="32"/>
    </row>
    <row r="210" ht="15.75" customHeight="1">
      <c r="R210" s="32"/>
    </row>
    <row r="211" ht="15.75" customHeight="1">
      <c r="R211" s="32"/>
    </row>
    <row r="212" ht="15.75" customHeight="1">
      <c r="R212" s="32"/>
    </row>
    <row r="213" ht="15.75" customHeight="1">
      <c r="R213" s="32"/>
    </row>
    <row r="214" ht="15.75" customHeight="1">
      <c r="R214" s="32"/>
    </row>
    <row r="215" ht="15.75" customHeight="1">
      <c r="R215" s="32"/>
    </row>
    <row r="216" ht="15.75" customHeight="1">
      <c r="R216" s="32"/>
    </row>
    <row r="217" ht="15.75" customHeight="1">
      <c r="R217" s="32"/>
    </row>
    <row r="218" ht="15.75" customHeight="1">
      <c r="R218" s="32"/>
    </row>
    <row r="219" ht="15.75" customHeight="1">
      <c r="R219" s="32"/>
    </row>
    <row r="220" ht="15.75" customHeight="1">
      <c r="R220" s="32"/>
    </row>
    <row r="221" ht="15.75" customHeight="1">
      <c r="R221" s="32"/>
    </row>
    <row r="222" ht="15.75" customHeight="1">
      <c r="R222" s="32"/>
    </row>
    <row r="223" ht="15.75" customHeight="1">
      <c r="R223" s="32"/>
    </row>
    <row r="224" ht="15.75" customHeight="1">
      <c r="R224" s="32"/>
    </row>
    <row r="225" ht="15.75" customHeight="1">
      <c r="R225" s="32"/>
    </row>
    <row r="226" ht="15.75" customHeight="1">
      <c r="R226" s="32"/>
    </row>
    <row r="227" ht="15.75" customHeight="1">
      <c r="R227" s="32"/>
    </row>
    <row r="228" ht="15.75" customHeight="1">
      <c r="R228" s="32"/>
    </row>
    <row r="229" ht="15.75" customHeight="1">
      <c r="R229" s="32"/>
    </row>
    <row r="230" ht="15.75" customHeight="1">
      <c r="R230" s="32"/>
    </row>
    <row r="231" ht="15.75" customHeight="1">
      <c r="R231" s="32"/>
    </row>
    <row r="232" ht="15.75" customHeight="1">
      <c r="R232" s="32"/>
    </row>
    <row r="233" ht="15.75" customHeight="1">
      <c r="R233" s="32"/>
    </row>
    <row r="234" ht="15.75" customHeight="1">
      <c r="R234" s="32"/>
    </row>
    <row r="235" ht="15.75" customHeight="1">
      <c r="R235" s="32"/>
    </row>
    <row r="236" ht="15.75" customHeight="1">
      <c r="R236" s="32"/>
    </row>
    <row r="237" ht="15.75" customHeight="1">
      <c r="R237" s="32"/>
    </row>
    <row r="238" ht="15.75" customHeight="1">
      <c r="R238" s="32"/>
    </row>
    <row r="239" ht="15.75" customHeight="1">
      <c r="R239" s="32"/>
    </row>
    <row r="240" ht="15.75" customHeight="1">
      <c r="R240" s="32"/>
    </row>
    <row r="241" ht="15.75" customHeight="1">
      <c r="R241" s="32"/>
    </row>
    <row r="242" ht="15.75" customHeight="1">
      <c r="R242" s="32"/>
    </row>
    <row r="243" ht="15.75" customHeight="1">
      <c r="R243" s="32"/>
    </row>
    <row r="244" ht="15.75" customHeight="1">
      <c r="R244" s="32"/>
    </row>
    <row r="245" ht="15.75" customHeight="1">
      <c r="R245" s="32"/>
    </row>
    <row r="246" ht="15.75" customHeight="1">
      <c r="R246" s="32"/>
    </row>
    <row r="247" ht="15.75" customHeight="1">
      <c r="R247" s="32"/>
    </row>
    <row r="248" ht="15.75" customHeight="1">
      <c r="R248" s="32"/>
    </row>
    <row r="249" ht="15.75" customHeight="1">
      <c r="R249" s="32"/>
    </row>
    <row r="250" ht="15.75" customHeight="1">
      <c r="R250" s="32"/>
    </row>
    <row r="251" ht="15.75" customHeight="1">
      <c r="R251" s="32"/>
    </row>
    <row r="252" ht="15.75" customHeight="1">
      <c r="R252" s="32"/>
    </row>
    <row r="253" ht="15.75" customHeight="1">
      <c r="R253" s="32"/>
    </row>
    <row r="254" ht="15.75" customHeight="1">
      <c r="R254" s="32"/>
    </row>
    <row r="255" ht="15.75" customHeight="1">
      <c r="R255" s="32"/>
    </row>
    <row r="256" ht="15.75" customHeight="1">
      <c r="R256" s="32"/>
    </row>
    <row r="257" ht="15.75" customHeight="1">
      <c r="R257" s="32"/>
    </row>
    <row r="258" ht="15.75" customHeight="1">
      <c r="R258" s="32"/>
    </row>
    <row r="259" ht="15.75" customHeight="1">
      <c r="R259" s="32"/>
    </row>
    <row r="260" ht="15.75" customHeight="1">
      <c r="R260" s="32"/>
    </row>
    <row r="261" ht="15.75" customHeight="1">
      <c r="R261" s="32"/>
    </row>
    <row r="262" ht="15.75" customHeight="1">
      <c r="R262" s="32"/>
    </row>
    <row r="263" ht="15.75" customHeight="1">
      <c r="R263" s="32"/>
    </row>
    <row r="264" ht="15.75" customHeight="1">
      <c r="R264" s="32"/>
    </row>
    <row r="265" ht="15.75" customHeight="1">
      <c r="R265" s="32"/>
    </row>
    <row r="266" ht="15.75" customHeight="1">
      <c r="R266" s="32"/>
    </row>
    <row r="267" ht="15.75" customHeight="1">
      <c r="R267" s="32"/>
    </row>
    <row r="268" ht="15.75" customHeight="1">
      <c r="R268" s="32"/>
    </row>
    <row r="269" ht="15.75" customHeight="1">
      <c r="R269" s="32"/>
    </row>
    <row r="270" ht="15.75" customHeight="1">
      <c r="R270" s="32"/>
    </row>
    <row r="271" ht="15.75" customHeight="1">
      <c r="R271" s="32"/>
    </row>
    <row r="272" ht="15.75" customHeight="1">
      <c r="R272" s="32"/>
    </row>
    <row r="273" ht="15.75" customHeight="1">
      <c r="R273" s="32"/>
    </row>
    <row r="274" ht="15.75" customHeight="1">
      <c r="R274" s="32"/>
    </row>
    <row r="275" ht="15.75" customHeight="1">
      <c r="R275" s="32"/>
    </row>
    <row r="276" ht="15.75" customHeight="1">
      <c r="R276" s="32"/>
    </row>
    <row r="277" ht="15.75" customHeight="1">
      <c r="R277" s="32"/>
    </row>
    <row r="278" ht="15.75" customHeight="1">
      <c r="R278" s="32"/>
    </row>
    <row r="279" ht="15.75" customHeight="1">
      <c r="R279" s="32"/>
    </row>
    <row r="280" ht="15.75" customHeight="1">
      <c r="R280" s="32"/>
    </row>
    <row r="281" ht="15.75" customHeight="1">
      <c r="R281" s="32"/>
    </row>
    <row r="282" ht="15.75" customHeight="1">
      <c r="R282" s="32"/>
    </row>
    <row r="283" ht="15.75" customHeight="1">
      <c r="R283" s="32"/>
    </row>
    <row r="284" ht="15.75" customHeight="1">
      <c r="R284" s="32"/>
    </row>
    <row r="285" ht="15.75" customHeight="1">
      <c r="R285" s="32"/>
    </row>
    <row r="286" ht="15.75" customHeight="1">
      <c r="R286" s="32"/>
    </row>
    <row r="287" ht="15.75" customHeight="1">
      <c r="R287" s="32"/>
    </row>
    <row r="288" ht="15.75" customHeight="1">
      <c r="R288" s="32"/>
    </row>
    <row r="289" ht="15.75" customHeight="1">
      <c r="R289" s="32"/>
    </row>
    <row r="290" ht="15.75" customHeight="1">
      <c r="R290" s="32"/>
    </row>
    <row r="291" ht="15.75" customHeight="1">
      <c r="R291" s="32"/>
    </row>
    <row r="292" ht="15.75" customHeight="1">
      <c r="R292" s="32"/>
    </row>
    <row r="293" ht="15.75" customHeight="1">
      <c r="R293" s="32"/>
    </row>
    <row r="294" ht="15.75" customHeight="1">
      <c r="R294" s="32"/>
    </row>
    <row r="295" ht="15.75" customHeight="1">
      <c r="R295" s="32"/>
    </row>
    <row r="296" ht="15.75" customHeight="1">
      <c r="R296" s="32"/>
    </row>
    <row r="297" ht="15.75" customHeight="1">
      <c r="R297" s="32"/>
    </row>
    <row r="298" ht="15.75" customHeight="1">
      <c r="R298" s="32"/>
    </row>
    <row r="299" ht="15.75" customHeight="1">
      <c r="R299" s="32"/>
    </row>
    <row r="300" ht="15.75" customHeight="1">
      <c r="R300" s="32"/>
    </row>
    <row r="301" ht="15.75" customHeight="1">
      <c r="R301" s="32"/>
    </row>
    <row r="302" ht="15.75" customHeight="1">
      <c r="R302" s="32"/>
    </row>
    <row r="303" ht="15.75" customHeight="1">
      <c r="R303" s="32"/>
    </row>
    <row r="304" ht="15.75" customHeight="1">
      <c r="R304" s="32"/>
    </row>
    <row r="305" ht="15.75" customHeight="1">
      <c r="R305" s="32"/>
    </row>
    <row r="306" ht="15.75" customHeight="1">
      <c r="R306" s="32"/>
    </row>
    <row r="307" ht="15.75" customHeight="1">
      <c r="R307" s="32"/>
    </row>
    <row r="308" ht="15.75" customHeight="1">
      <c r="R308" s="32"/>
    </row>
    <row r="309" ht="15.75" customHeight="1">
      <c r="R309" s="32"/>
    </row>
    <row r="310" ht="15.75" customHeight="1">
      <c r="R310" s="32"/>
    </row>
    <row r="311" ht="15.75" customHeight="1">
      <c r="R311" s="32"/>
    </row>
    <row r="312" ht="15.75" customHeight="1">
      <c r="R312" s="32"/>
    </row>
    <row r="313" ht="15.75" customHeight="1">
      <c r="R313" s="32"/>
    </row>
    <row r="314" ht="15.75" customHeight="1">
      <c r="R314" s="32"/>
    </row>
    <row r="315" ht="15.75" customHeight="1">
      <c r="R315" s="32"/>
    </row>
    <row r="316" ht="15.75" customHeight="1">
      <c r="R316" s="32"/>
    </row>
    <row r="317" ht="15.75" customHeight="1">
      <c r="R317" s="32"/>
    </row>
    <row r="318" ht="15.75" customHeight="1">
      <c r="R318" s="32"/>
    </row>
    <row r="319" ht="15.75" customHeight="1">
      <c r="R319" s="32"/>
    </row>
    <row r="320" ht="15.75" customHeight="1">
      <c r="R320" s="32"/>
    </row>
    <row r="321" ht="15.75" customHeight="1">
      <c r="R321" s="32"/>
    </row>
    <row r="322" ht="15.75" customHeight="1">
      <c r="R322" s="32"/>
    </row>
    <row r="323" ht="15.75" customHeight="1">
      <c r="R323" s="32"/>
    </row>
    <row r="324" ht="15.75" customHeight="1">
      <c r="R324" s="32"/>
    </row>
    <row r="325" ht="15.75" customHeight="1">
      <c r="R325" s="32"/>
    </row>
    <row r="326" ht="15.75" customHeight="1">
      <c r="R326" s="32"/>
    </row>
    <row r="327" ht="15.75" customHeight="1">
      <c r="R327" s="32"/>
    </row>
    <row r="328" ht="15.75" customHeight="1">
      <c r="R328" s="32"/>
    </row>
    <row r="329" ht="15.75" customHeight="1">
      <c r="R329" s="32"/>
    </row>
    <row r="330" ht="15.75" customHeight="1">
      <c r="R330" s="32"/>
    </row>
    <row r="331" ht="15.75" customHeight="1">
      <c r="R331" s="32"/>
    </row>
    <row r="332" ht="15.75" customHeight="1">
      <c r="R332" s="32"/>
    </row>
    <row r="333" ht="15.75" customHeight="1">
      <c r="R333" s="32"/>
    </row>
    <row r="334" ht="15.75" customHeight="1">
      <c r="R334" s="32"/>
    </row>
    <row r="335" ht="15.75" customHeight="1">
      <c r="R335" s="32"/>
    </row>
    <row r="336" ht="15.75" customHeight="1">
      <c r="R336" s="32"/>
    </row>
    <row r="337" ht="15.75" customHeight="1">
      <c r="R337" s="32"/>
    </row>
    <row r="338" ht="15.75" customHeight="1">
      <c r="R338" s="32"/>
    </row>
    <row r="339" ht="15.75" customHeight="1">
      <c r="R339" s="32"/>
    </row>
    <row r="340" ht="15.75" customHeight="1">
      <c r="R340" s="32"/>
    </row>
    <row r="341" ht="15.75" customHeight="1">
      <c r="R341" s="32"/>
    </row>
    <row r="342" ht="15.75" customHeight="1">
      <c r="R342" s="32"/>
    </row>
    <row r="343" ht="15.75" customHeight="1">
      <c r="R343" s="32"/>
    </row>
    <row r="344" ht="15.75" customHeight="1">
      <c r="R344" s="32"/>
    </row>
    <row r="345" ht="15.75" customHeight="1">
      <c r="R345" s="32"/>
    </row>
    <row r="346" ht="15.75" customHeight="1">
      <c r="R346" s="32"/>
    </row>
    <row r="347" ht="15.75" customHeight="1">
      <c r="R347" s="32"/>
    </row>
    <row r="348" ht="15.75" customHeight="1">
      <c r="R348" s="32"/>
    </row>
    <row r="349" ht="15.75" customHeight="1">
      <c r="R349" s="32"/>
    </row>
    <row r="350" ht="15.75" customHeight="1">
      <c r="R350" s="32"/>
    </row>
    <row r="351" ht="15.75" customHeight="1">
      <c r="R351" s="32"/>
    </row>
    <row r="352" ht="15.75" customHeight="1">
      <c r="R352" s="32"/>
    </row>
    <row r="353" ht="15.75" customHeight="1">
      <c r="R353" s="32"/>
    </row>
    <row r="354" ht="15.75" customHeight="1">
      <c r="R354" s="32"/>
    </row>
    <row r="355" ht="15.75" customHeight="1">
      <c r="R355" s="32"/>
    </row>
    <row r="356" ht="15.75" customHeight="1">
      <c r="R356" s="32"/>
    </row>
    <row r="357" ht="15.75" customHeight="1">
      <c r="R357" s="32"/>
    </row>
    <row r="358" ht="15.75" customHeight="1">
      <c r="R358" s="32"/>
    </row>
    <row r="359" ht="15.75" customHeight="1">
      <c r="R359" s="32"/>
    </row>
    <row r="360" ht="15.75" customHeight="1">
      <c r="R360" s="32"/>
    </row>
    <row r="361" ht="15.75" customHeight="1">
      <c r="R361" s="32"/>
    </row>
    <row r="362" ht="15.75" customHeight="1">
      <c r="R362" s="32"/>
    </row>
    <row r="363" ht="15.75" customHeight="1">
      <c r="R363" s="32"/>
    </row>
    <row r="364" ht="15.75" customHeight="1">
      <c r="R364" s="32"/>
    </row>
    <row r="365" ht="15.75" customHeight="1">
      <c r="R365" s="32"/>
    </row>
    <row r="366" ht="15.75" customHeight="1">
      <c r="R366" s="32"/>
    </row>
    <row r="367" ht="15.75" customHeight="1">
      <c r="R367" s="32"/>
    </row>
    <row r="368" ht="15.75" customHeight="1">
      <c r="R368" s="32"/>
    </row>
    <row r="369" ht="15.75" customHeight="1">
      <c r="R369" s="32"/>
    </row>
    <row r="370" ht="15.75" customHeight="1">
      <c r="R370" s="32"/>
    </row>
    <row r="371" ht="15.75" customHeight="1">
      <c r="R371" s="32"/>
    </row>
    <row r="372" ht="15.75" customHeight="1">
      <c r="R372" s="32"/>
    </row>
    <row r="373" ht="15.75" customHeight="1">
      <c r="R373" s="32"/>
    </row>
    <row r="374" ht="15.75" customHeight="1">
      <c r="R374" s="32"/>
    </row>
    <row r="375" ht="15.75" customHeight="1">
      <c r="R375" s="32"/>
    </row>
    <row r="376" ht="15.75" customHeight="1">
      <c r="R376" s="32"/>
    </row>
    <row r="377" ht="15.75" customHeight="1">
      <c r="R377" s="32"/>
    </row>
    <row r="378" ht="15.75" customHeight="1">
      <c r="R378" s="32"/>
    </row>
    <row r="379" ht="15.75" customHeight="1">
      <c r="R379" s="32"/>
    </row>
    <row r="380" ht="15.75" customHeight="1">
      <c r="R380" s="32"/>
    </row>
    <row r="381" ht="15.75" customHeight="1">
      <c r="R381" s="32"/>
    </row>
    <row r="382" ht="15.75" customHeight="1">
      <c r="R382" s="32"/>
    </row>
    <row r="383" ht="15.75" customHeight="1">
      <c r="R383" s="32"/>
    </row>
    <row r="384" ht="15.75" customHeight="1">
      <c r="R384" s="32"/>
    </row>
    <row r="385" ht="15.75" customHeight="1">
      <c r="R385" s="32"/>
    </row>
    <row r="386" ht="15.75" customHeight="1">
      <c r="R386" s="32"/>
    </row>
    <row r="387" ht="15.75" customHeight="1">
      <c r="R387" s="32"/>
    </row>
    <row r="388" ht="15.75" customHeight="1">
      <c r="R388" s="32"/>
    </row>
    <row r="389" ht="15.75" customHeight="1">
      <c r="R389" s="32"/>
    </row>
    <row r="390" ht="15.75" customHeight="1">
      <c r="R390" s="32"/>
    </row>
    <row r="391" ht="15.75" customHeight="1">
      <c r="R391" s="32"/>
    </row>
    <row r="392" ht="15.75" customHeight="1">
      <c r="R392" s="32"/>
    </row>
    <row r="393" ht="15.75" customHeight="1">
      <c r="R393" s="32"/>
    </row>
    <row r="394" ht="15.75" customHeight="1">
      <c r="R394" s="32"/>
    </row>
    <row r="395" ht="15.75" customHeight="1">
      <c r="R395" s="32"/>
    </row>
    <row r="396" ht="15.75" customHeight="1">
      <c r="R396" s="32"/>
    </row>
    <row r="397" ht="15.75" customHeight="1">
      <c r="R397" s="32"/>
    </row>
    <row r="398" ht="15.75" customHeight="1">
      <c r="R398" s="32"/>
    </row>
    <row r="399" ht="15.75" customHeight="1">
      <c r="R399" s="32"/>
    </row>
    <row r="400" ht="15.75" customHeight="1">
      <c r="R400" s="32"/>
    </row>
    <row r="401" ht="15.75" customHeight="1">
      <c r="R401" s="32"/>
    </row>
    <row r="402" ht="15.75" customHeight="1">
      <c r="R402" s="32"/>
    </row>
    <row r="403" ht="15.75" customHeight="1">
      <c r="R403" s="32"/>
    </row>
    <row r="404" ht="15.75" customHeight="1">
      <c r="R404" s="32"/>
    </row>
    <row r="405" ht="15.75" customHeight="1">
      <c r="R405" s="32"/>
    </row>
    <row r="406" ht="15.75" customHeight="1">
      <c r="R406" s="32"/>
    </row>
    <row r="407" ht="15.75" customHeight="1">
      <c r="R407" s="32"/>
    </row>
    <row r="408" ht="15.75" customHeight="1">
      <c r="R408" s="32"/>
    </row>
    <row r="409" ht="15.75" customHeight="1">
      <c r="R409" s="32"/>
    </row>
    <row r="410" ht="15.75" customHeight="1">
      <c r="R410" s="32"/>
    </row>
    <row r="411" ht="15.75" customHeight="1">
      <c r="R411" s="32"/>
    </row>
    <row r="412" ht="15.75" customHeight="1">
      <c r="R412" s="32"/>
    </row>
    <row r="413" ht="15.75" customHeight="1">
      <c r="R413" s="32"/>
    </row>
    <row r="414" ht="15.75" customHeight="1">
      <c r="R414" s="32"/>
    </row>
    <row r="415" ht="15.75" customHeight="1">
      <c r="R415" s="32"/>
    </row>
    <row r="416" ht="15.75" customHeight="1">
      <c r="R416" s="32"/>
    </row>
    <row r="417" ht="15.75" customHeight="1">
      <c r="R417" s="32"/>
    </row>
    <row r="418" ht="15.75" customHeight="1">
      <c r="R418" s="32"/>
    </row>
    <row r="419" ht="15.75" customHeight="1">
      <c r="R419" s="32"/>
    </row>
    <row r="420" ht="15.75" customHeight="1">
      <c r="R420" s="32"/>
    </row>
    <row r="421" ht="15.75" customHeight="1">
      <c r="R421" s="32"/>
    </row>
    <row r="422" ht="15.75" customHeight="1">
      <c r="R422" s="32"/>
    </row>
    <row r="423" ht="15.75" customHeight="1">
      <c r="R423" s="32"/>
    </row>
    <row r="424" ht="15.75" customHeight="1">
      <c r="R424" s="32"/>
    </row>
    <row r="425" ht="15.75" customHeight="1">
      <c r="R425" s="32"/>
    </row>
    <row r="426" ht="15.75" customHeight="1">
      <c r="R426" s="32"/>
    </row>
    <row r="427" ht="15.75" customHeight="1">
      <c r="R427" s="32"/>
    </row>
    <row r="428" ht="15.75" customHeight="1">
      <c r="R428" s="32"/>
    </row>
    <row r="429" ht="15.75" customHeight="1">
      <c r="R429" s="32"/>
    </row>
    <row r="430" ht="15.75" customHeight="1">
      <c r="R430" s="32"/>
    </row>
    <row r="431" ht="15.75" customHeight="1">
      <c r="R431" s="32"/>
    </row>
    <row r="432" ht="15.75" customHeight="1">
      <c r="R432" s="32"/>
    </row>
    <row r="433" ht="15.75" customHeight="1">
      <c r="R433" s="32"/>
    </row>
    <row r="434" ht="15.75" customHeight="1">
      <c r="R434" s="32"/>
    </row>
    <row r="435" ht="15.75" customHeight="1">
      <c r="R435" s="32"/>
    </row>
    <row r="436" ht="15.75" customHeight="1">
      <c r="R436" s="32"/>
    </row>
    <row r="437" ht="15.75" customHeight="1">
      <c r="R437" s="32"/>
    </row>
    <row r="438" ht="15.75" customHeight="1">
      <c r="R438" s="32"/>
    </row>
    <row r="439" ht="15.75" customHeight="1">
      <c r="R439" s="32"/>
    </row>
    <row r="440" ht="15.75" customHeight="1">
      <c r="R440" s="32"/>
    </row>
    <row r="441" ht="15.75" customHeight="1">
      <c r="R441" s="32"/>
    </row>
    <row r="442" ht="15.75" customHeight="1">
      <c r="R442" s="32"/>
    </row>
    <row r="443" ht="15.75" customHeight="1">
      <c r="R443" s="32"/>
    </row>
    <row r="444" ht="15.75" customHeight="1">
      <c r="R444" s="32"/>
    </row>
    <row r="445" ht="15.75" customHeight="1">
      <c r="R445" s="32"/>
    </row>
    <row r="446" ht="15.75" customHeight="1">
      <c r="R446" s="32"/>
    </row>
    <row r="447" ht="15.75" customHeight="1">
      <c r="R447" s="32"/>
    </row>
    <row r="448" ht="15.75" customHeight="1">
      <c r="R448" s="32"/>
    </row>
    <row r="449" ht="15.75" customHeight="1">
      <c r="R449" s="32"/>
    </row>
    <row r="450" ht="15.75" customHeight="1">
      <c r="R450" s="32"/>
    </row>
    <row r="451" ht="15.75" customHeight="1">
      <c r="R451" s="32"/>
    </row>
    <row r="452" ht="15.75" customHeight="1">
      <c r="R452" s="32"/>
    </row>
    <row r="453" ht="15.75" customHeight="1">
      <c r="R453" s="32"/>
    </row>
    <row r="454" ht="15.75" customHeight="1">
      <c r="R454" s="32"/>
    </row>
    <row r="455" ht="15.75" customHeight="1">
      <c r="R455" s="32"/>
    </row>
    <row r="456" ht="15.75" customHeight="1">
      <c r="R456" s="32"/>
    </row>
    <row r="457" ht="15.75" customHeight="1">
      <c r="R457" s="32"/>
    </row>
    <row r="458" ht="15.75" customHeight="1">
      <c r="R458" s="32"/>
    </row>
    <row r="459" ht="15.75" customHeight="1">
      <c r="R459" s="32"/>
    </row>
    <row r="460" ht="15.75" customHeight="1">
      <c r="R460" s="32"/>
    </row>
    <row r="461" ht="15.75" customHeight="1">
      <c r="R461" s="32"/>
    </row>
    <row r="462" ht="15.75" customHeight="1">
      <c r="R462" s="32"/>
    </row>
    <row r="463" ht="15.75" customHeight="1">
      <c r="R463" s="32"/>
    </row>
    <row r="464" ht="15.75" customHeight="1">
      <c r="R464" s="32"/>
    </row>
    <row r="465" ht="15.75" customHeight="1">
      <c r="R465" s="32"/>
    </row>
    <row r="466" ht="15.75" customHeight="1">
      <c r="R466" s="32"/>
    </row>
    <row r="467" ht="15.75" customHeight="1">
      <c r="R467" s="32"/>
    </row>
    <row r="468" ht="15.75" customHeight="1">
      <c r="R468" s="32"/>
    </row>
    <row r="469" ht="15.75" customHeight="1">
      <c r="R469" s="32"/>
    </row>
    <row r="470" ht="15.75" customHeight="1">
      <c r="R470" s="32"/>
    </row>
    <row r="471" ht="15.75" customHeight="1">
      <c r="R471" s="32"/>
    </row>
    <row r="472" ht="15.75" customHeight="1">
      <c r="R472" s="32"/>
    </row>
    <row r="473" ht="15.75" customHeight="1">
      <c r="R473" s="32"/>
    </row>
    <row r="474" ht="15.75" customHeight="1">
      <c r="R474" s="32"/>
    </row>
    <row r="475" ht="15.75" customHeight="1">
      <c r="R475" s="32"/>
    </row>
    <row r="476" ht="15.75" customHeight="1">
      <c r="R476" s="32"/>
    </row>
    <row r="477" ht="15.75" customHeight="1">
      <c r="R477" s="32"/>
    </row>
    <row r="478" ht="15.75" customHeight="1">
      <c r="R478" s="32"/>
    </row>
    <row r="479" ht="15.75" customHeight="1">
      <c r="R479" s="32"/>
    </row>
    <row r="480" ht="15.75" customHeight="1">
      <c r="R480" s="32"/>
    </row>
    <row r="481" ht="15.75" customHeight="1">
      <c r="R481" s="32"/>
    </row>
    <row r="482" ht="15.75" customHeight="1">
      <c r="R482" s="32"/>
    </row>
    <row r="483" ht="15.75" customHeight="1">
      <c r="R483" s="32"/>
    </row>
    <row r="484" ht="15.75" customHeight="1">
      <c r="R484" s="32"/>
    </row>
    <row r="485" ht="15.75" customHeight="1">
      <c r="R485" s="32"/>
    </row>
    <row r="486" ht="15.75" customHeight="1">
      <c r="R486" s="32"/>
    </row>
    <row r="487" ht="15.75" customHeight="1">
      <c r="R487" s="32"/>
    </row>
    <row r="488" ht="15.75" customHeight="1">
      <c r="R488" s="32"/>
    </row>
    <row r="489" ht="15.75" customHeight="1">
      <c r="R489" s="32"/>
    </row>
    <row r="490" ht="15.75" customHeight="1">
      <c r="R490" s="32"/>
    </row>
    <row r="491" ht="15.75" customHeight="1">
      <c r="R491" s="32"/>
    </row>
    <row r="492" ht="15.75" customHeight="1">
      <c r="R492" s="32"/>
    </row>
    <row r="493" ht="15.75" customHeight="1">
      <c r="R493" s="32"/>
    </row>
    <row r="494" ht="15.75" customHeight="1">
      <c r="R494" s="32"/>
    </row>
    <row r="495" ht="15.75" customHeight="1">
      <c r="R495" s="32"/>
    </row>
    <row r="496" ht="15.75" customHeight="1">
      <c r="R496" s="32"/>
    </row>
    <row r="497" ht="15.75" customHeight="1">
      <c r="R497" s="32"/>
    </row>
    <row r="498" ht="15.75" customHeight="1">
      <c r="R498" s="32"/>
    </row>
    <row r="499" ht="15.75" customHeight="1">
      <c r="R499" s="32"/>
    </row>
    <row r="500" ht="15.75" customHeight="1">
      <c r="R500" s="32"/>
    </row>
    <row r="501" ht="15.75" customHeight="1">
      <c r="R501" s="32"/>
    </row>
    <row r="502" ht="15.75" customHeight="1">
      <c r="R502" s="32"/>
    </row>
    <row r="503" ht="15.75" customHeight="1">
      <c r="R503" s="32"/>
    </row>
    <row r="504" ht="15.75" customHeight="1">
      <c r="R504" s="32"/>
    </row>
    <row r="505" ht="15.75" customHeight="1">
      <c r="R505" s="32"/>
    </row>
    <row r="506" ht="15.75" customHeight="1">
      <c r="R506" s="32"/>
    </row>
    <row r="507" ht="15.75" customHeight="1">
      <c r="R507" s="32"/>
    </row>
    <row r="508" ht="15.75" customHeight="1">
      <c r="R508" s="32"/>
    </row>
    <row r="509" ht="15.75" customHeight="1">
      <c r="R509" s="32"/>
    </row>
    <row r="510" ht="15.75" customHeight="1">
      <c r="R510" s="32"/>
    </row>
    <row r="511" ht="15.75" customHeight="1">
      <c r="R511" s="32"/>
    </row>
    <row r="512" ht="15.75" customHeight="1">
      <c r="R512" s="32"/>
    </row>
    <row r="513" ht="15.75" customHeight="1">
      <c r="R513" s="32"/>
    </row>
    <row r="514" ht="15.75" customHeight="1">
      <c r="R514" s="32"/>
    </row>
    <row r="515" ht="15.75" customHeight="1">
      <c r="R515" s="32"/>
    </row>
    <row r="516" ht="15.75" customHeight="1">
      <c r="R516" s="32"/>
    </row>
    <row r="517" ht="15.75" customHeight="1">
      <c r="R517" s="32"/>
    </row>
    <row r="518" ht="15.75" customHeight="1">
      <c r="R518" s="32"/>
    </row>
    <row r="519" ht="15.75" customHeight="1">
      <c r="R519" s="32"/>
    </row>
    <row r="520" ht="15.75" customHeight="1">
      <c r="R520" s="32"/>
    </row>
    <row r="521" ht="15.75" customHeight="1">
      <c r="R521" s="32"/>
    </row>
    <row r="522" ht="15.75" customHeight="1">
      <c r="R522" s="32"/>
    </row>
    <row r="523" ht="15.75" customHeight="1">
      <c r="R523" s="32"/>
    </row>
    <row r="524" ht="15.75" customHeight="1">
      <c r="R524" s="32"/>
    </row>
    <row r="525" ht="15.75" customHeight="1">
      <c r="R525" s="32"/>
    </row>
    <row r="526" ht="15.75" customHeight="1">
      <c r="R526" s="32"/>
    </row>
    <row r="527" ht="15.75" customHeight="1">
      <c r="R527" s="32"/>
    </row>
    <row r="528" ht="15.75" customHeight="1">
      <c r="R528" s="32"/>
    </row>
    <row r="529" ht="15.75" customHeight="1">
      <c r="R529" s="32"/>
    </row>
    <row r="530" ht="15.75" customHeight="1">
      <c r="R530" s="32"/>
    </row>
    <row r="531" ht="15.75" customHeight="1">
      <c r="R531" s="32"/>
    </row>
    <row r="532" ht="15.75" customHeight="1">
      <c r="R532" s="32"/>
    </row>
    <row r="533" ht="15.75" customHeight="1">
      <c r="R533" s="32"/>
    </row>
    <row r="534" ht="15.75" customHeight="1">
      <c r="R534" s="32"/>
    </row>
    <row r="535" ht="15.75" customHeight="1">
      <c r="R535" s="32"/>
    </row>
    <row r="536" ht="15.75" customHeight="1">
      <c r="R536" s="32"/>
    </row>
    <row r="537" ht="15.75" customHeight="1">
      <c r="R537" s="32"/>
    </row>
    <row r="538" ht="15.75" customHeight="1">
      <c r="R538" s="32"/>
    </row>
    <row r="539" ht="15.75" customHeight="1">
      <c r="R539" s="32"/>
    </row>
    <row r="540" ht="15.75" customHeight="1">
      <c r="R540" s="32"/>
    </row>
    <row r="541" ht="15.75" customHeight="1">
      <c r="R541" s="32"/>
    </row>
    <row r="542" ht="15.75" customHeight="1">
      <c r="R542" s="32"/>
    </row>
    <row r="543" ht="15.75" customHeight="1">
      <c r="R543" s="32"/>
    </row>
    <row r="544" ht="15.75" customHeight="1">
      <c r="R544" s="32"/>
    </row>
    <row r="545" ht="15.75" customHeight="1">
      <c r="R545" s="32"/>
    </row>
    <row r="546" ht="15.75" customHeight="1">
      <c r="R546" s="32"/>
    </row>
    <row r="547" ht="15.75" customHeight="1">
      <c r="R547" s="32"/>
    </row>
    <row r="548" ht="15.75" customHeight="1">
      <c r="R548" s="32"/>
    </row>
    <row r="549" ht="15.75" customHeight="1">
      <c r="R549" s="32"/>
    </row>
    <row r="550" ht="15.75" customHeight="1">
      <c r="R550" s="32"/>
    </row>
    <row r="551" ht="15.75" customHeight="1">
      <c r="R551" s="32"/>
    </row>
    <row r="552" ht="15.75" customHeight="1">
      <c r="R552" s="32"/>
    </row>
    <row r="553" ht="15.75" customHeight="1">
      <c r="R553" s="32"/>
    </row>
    <row r="554" ht="15.75" customHeight="1">
      <c r="R554" s="32"/>
    </row>
    <row r="555" ht="15.75" customHeight="1">
      <c r="R555" s="32"/>
    </row>
    <row r="556" ht="15.75" customHeight="1">
      <c r="R556" s="32"/>
    </row>
    <row r="557" ht="15.75" customHeight="1">
      <c r="R557" s="32"/>
    </row>
    <row r="558" ht="15.75" customHeight="1">
      <c r="R558" s="32"/>
    </row>
    <row r="559" ht="15.75" customHeight="1">
      <c r="R559" s="32"/>
    </row>
    <row r="560" ht="15.75" customHeight="1">
      <c r="R560" s="32"/>
    </row>
    <row r="561" ht="15.75" customHeight="1">
      <c r="R561" s="32"/>
    </row>
    <row r="562" ht="15.75" customHeight="1">
      <c r="R562" s="32"/>
    </row>
    <row r="563" ht="15.75" customHeight="1">
      <c r="R563" s="32"/>
    </row>
    <row r="564" ht="15.75" customHeight="1">
      <c r="R564" s="32"/>
    </row>
    <row r="565" ht="15.75" customHeight="1">
      <c r="R565" s="32"/>
    </row>
    <row r="566" ht="15.75" customHeight="1">
      <c r="R566" s="32"/>
    </row>
    <row r="567" ht="15.75" customHeight="1">
      <c r="R567" s="32"/>
    </row>
    <row r="568" ht="15.75" customHeight="1">
      <c r="R568" s="32"/>
    </row>
    <row r="569" ht="15.75" customHeight="1">
      <c r="R569" s="32"/>
    </row>
    <row r="570" ht="15.75" customHeight="1">
      <c r="R570" s="32"/>
    </row>
    <row r="571" ht="15.75" customHeight="1">
      <c r="R571" s="32"/>
    </row>
    <row r="572" ht="15.75" customHeight="1">
      <c r="R572" s="32"/>
    </row>
    <row r="573" ht="15.75" customHeight="1">
      <c r="R573" s="32"/>
    </row>
    <row r="574" ht="15.75" customHeight="1">
      <c r="R574" s="32"/>
    </row>
    <row r="575" ht="15.75" customHeight="1">
      <c r="R575" s="32"/>
    </row>
    <row r="576" ht="15.75" customHeight="1">
      <c r="R576" s="32"/>
    </row>
    <row r="577" ht="15.75" customHeight="1">
      <c r="R577" s="32"/>
    </row>
    <row r="578" ht="15.75" customHeight="1">
      <c r="R578" s="32"/>
    </row>
    <row r="579" ht="15.75" customHeight="1">
      <c r="R579" s="32"/>
    </row>
    <row r="580" ht="15.75" customHeight="1">
      <c r="R580" s="32"/>
    </row>
    <row r="581" ht="15.75" customHeight="1">
      <c r="R581" s="32"/>
    </row>
    <row r="582" ht="15.75" customHeight="1">
      <c r="R582" s="32"/>
    </row>
    <row r="583" ht="15.75" customHeight="1">
      <c r="R583" s="32"/>
    </row>
    <row r="584" ht="15.75" customHeight="1">
      <c r="R584" s="32"/>
    </row>
    <row r="585" ht="15.75" customHeight="1">
      <c r="R585" s="32"/>
    </row>
    <row r="586" ht="15.75" customHeight="1">
      <c r="R586" s="32"/>
    </row>
    <row r="587" ht="15.75" customHeight="1">
      <c r="R587" s="32"/>
    </row>
    <row r="588" ht="15.75" customHeight="1">
      <c r="R588" s="32"/>
    </row>
    <row r="589" ht="15.75" customHeight="1">
      <c r="R589" s="32"/>
    </row>
    <row r="590" ht="15.75" customHeight="1">
      <c r="R590" s="32"/>
    </row>
    <row r="591" ht="15.75" customHeight="1">
      <c r="R591" s="32"/>
    </row>
    <row r="592" ht="15.75" customHeight="1">
      <c r="R592" s="32"/>
    </row>
    <row r="593" ht="15.75" customHeight="1">
      <c r="R593" s="32"/>
    </row>
    <row r="594" ht="15.75" customHeight="1">
      <c r="R594" s="32"/>
    </row>
    <row r="595" ht="15.75" customHeight="1">
      <c r="R595" s="32"/>
    </row>
    <row r="596" ht="15.75" customHeight="1">
      <c r="R596" s="32"/>
    </row>
    <row r="597" ht="15.75" customHeight="1">
      <c r="R597" s="32"/>
    </row>
    <row r="598" ht="15.75" customHeight="1">
      <c r="R598" s="32"/>
    </row>
    <row r="599" ht="15.75" customHeight="1">
      <c r="R599" s="32"/>
    </row>
    <row r="600" ht="15.75" customHeight="1">
      <c r="R600" s="32"/>
    </row>
    <row r="601" ht="15.75" customHeight="1">
      <c r="R601" s="32"/>
    </row>
    <row r="602" ht="15.75" customHeight="1">
      <c r="R602" s="32"/>
    </row>
    <row r="603" ht="15.75" customHeight="1">
      <c r="R603" s="32"/>
    </row>
    <row r="604" ht="15.75" customHeight="1">
      <c r="R604" s="32"/>
    </row>
    <row r="605" ht="15.75" customHeight="1">
      <c r="R605" s="32"/>
    </row>
    <row r="606" ht="15.75" customHeight="1">
      <c r="R606" s="32"/>
    </row>
    <row r="607" ht="15.75" customHeight="1">
      <c r="R607" s="32"/>
    </row>
    <row r="608" ht="15.75" customHeight="1">
      <c r="R608" s="32"/>
    </row>
    <row r="609" ht="15.75" customHeight="1">
      <c r="R609" s="32"/>
    </row>
    <row r="610" ht="15.75" customHeight="1">
      <c r="R610" s="32"/>
    </row>
    <row r="611" ht="15.75" customHeight="1">
      <c r="R611" s="32"/>
    </row>
    <row r="612" ht="15.75" customHeight="1">
      <c r="R612" s="32"/>
    </row>
    <row r="613" ht="15.75" customHeight="1">
      <c r="R613" s="32"/>
    </row>
    <row r="614" ht="15.75" customHeight="1">
      <c r="R614" s="32"/>
    </row>
    <row r="615" ht="15.75" customHeight="1">
      <c r="R615" s="32"/>
    </row>
    <row r="616" ht="15.75" customHeight="1">
      <c r="R616" s="32"/>
    </row>
    <row r="617" ht="15.75" customHeight="1">
      <c r="R617" s="32"/>
    </row>
    <row r="618" ht="15.75" customHeight="1">
      <c r="R618" s="32"/>
    </row>
    <row r="619" ht="15.75" customHeight="1">
      <c r="R619" s="32"/>
    </row>
    <row r="620" ht="15.75" customHeight="1">
      <c r="R620" s="32"/>
    </row>
    <row r="621" ht="15.75" customHeight="1">
      <c r="R621" s="32"/>
    </row>
    <row r="622" ht="15.75" customHeight="1">
      <c r="R622" s="32"/>
    </row>
    <row r="623" ht="15.75" customHeight="1">
      <c r="R623" s="32"/>
    </row>
    <row r="624" ht="15.75" customHeight="1">
      <c r="R624" s="32"/>
    </row>
    <row r="625" ht="15.75" customHeight="1">
      <c r="R625" s="32"/>
    </row>
    <row r="626" ht="15.75" customHeight="1">
      <c r="R626" s="32"/>
    </row>
    <row r="627" ht="15.75" customHeight="1">
      <c r="R627" s="32"/>
    </row>
    <row r="628" ht="15.75" customHeight="1">
      <c r="R628" s="32"/>
    </row>
    <row r="629" ht="15.75" customHeight="1">
      <c r="R629" s="32"/>
    </row>
    <row r="630" ht="15.75" customHeight="1">
      <c r="R630" s="32"/>
    </row>
    <row r="631" ht="15.75" customHeight="1">
      <c r="R631" s="32"/>
    </row>
    <row r="632" ht="15.75" customHeight="1">
      <c r="R632" s="32"/>
    </row>
    <row r="633" ht="15.75" customHeight="1">
      <c r="R633" s="32"/>
    </row>
    <row r="634" ht="15.75" customHeight="1">
      <c r="R634" s="32"/>
    </row>
    <row r="635" ht="15.75" customHeight="1">
      <c r="R635" s="32"/>
    </row>
    <row r="636" ht="15.75" customHeight="1">
      <c r="R636" s="32"/>
    </row>
    <row r="637" ht="15.75" customHeight="1">
      <c r="R637" s="32"/>
    </row>
    <row r="638" ht="15.75" customHeight="1">
      <c r="R638" s="32"/>
    </row>
    <row r="639" ht="15.75" customHeight="1">
      <c r="R639" s="32"/>
    </row>
    <row r="640" ht="15.75" customHeight="1">
      <c r="R640" s="32"/>
    </row>
    <row r="641" ht="15.75" customHeight="1">
      <c r="R641" s="32"/>
    </row>
    <row r="642" ht="15.75" customHeight="1">
      <c r="R642" s="32"/>
    </row>
    <row r="643" ht="15.75" customHeight="1">
      <c r="R643" s="32"/>
    </row>
    <row r="644" ht="15.75" customHeight="1">
      <c r="R644" s="32"/>
    </row>
    <row r="645" ht="15.75" customHeight="1">
      <c r="R645" s="32"/>
    </row>
    <row r="646" ht="15.75" customHeight="1">
      <c r="R646" s="32"/>
    </row>
    <row r="647" ht="15.75" customHeight="1">
      <c r="R647" s="32"/>
    </row>
    <row r="648" ht="15.75" customHeight="1">
      <c r="R648" s="32"/>
    </row>
    <row r="649" ht="15.75" customHeight="1">
      <c r="R649" s="32"/>
    </row>
    <row r="650" ht="15.75" customHeight="1">
      <c r="R650" s="32"/>
    </row>
    <row r="651" ht="15.75" customHeight="1">
      <c r="R651" s="32"/>
    </row>
    <row r="652" ht="15.75" customHeight="1">
      <c r="R652" s="32"/>
    </row>
    <row r="653" ht="15.75" customHeight="1">
      <c r="R653" s="32"/>
    </row>
    <row r="654" ht="15.75" customHeight="1">
      <c r="R654" s="32"/>
    </row>
    <row r="655" ht="15.75" customHeight="1">
      <c r="R655" s="32"/>
    </row>
    <row r="656" ht="15.75" customHeight="1">
      <c r="R656" s="32"/>
    </row>
    <row r="657" ht="15.75" customHeight="1">
      <c r="R657" s="32"/>
    </row>
    <row r="658" ht="15.75" customHeight="1">
      <c r="R658" s="32"/>
    </row>
    <row r="659" ht="15.75" customHeight="1">
      <c r="R659" s="32"/>
    </row>
    <row r="660" ht="15.75" customHeight="1">
      <c r="R660" s="32"/>
    </row>
    <row r="661" ht="15.75" customHeight="1">
      <c r="R661" s="32"/>
    </row>
    <row r="662" ht="15.75" customHeight="1">
      <c r="R662" s="32"/>
    </row>
    <row r="663" ht="15.75" customHeight="1">
      <c r="R663" s="32"/>
    </row>
    <row r="664" ht="15.75" customHeight="1">
      <c r="R664" s="32"/>
    </row>
    <row r="665" ht="15.75" customHeight="1">
      <c r="R665" s="32"/>
    </row>
    <row r="666" ht="15.75" customHeight="1">
      <c r="R666" s="32"/>
    </row>
    <row r="667" ht="15.75" customHeight="1">
      <c r="R667" s="32"/>
    </row>
    <row r="668" ht="15.75" customHeight="1">
      <c r="R668" s="32"/>
    </row>
    <row r="669" ht="15.75" customHeight="1">
      <c r="R669" s="32"/>
    </row>
    <row r="670" ht="15.75" customHeight="1">
      <c r="R670" s="32"/>
    </row>
    <row r="671" ht="15.75" customHeight="1">
      <c r="R671" s="32"/>
    </row>
    <row r="672" ht="15.75" customHeight="1">
      <c r="R672" s="32"/>
    </row>
    <row r="673" ht="15.75" customHeight="1">
      <c r="R673" s="32"/>
    </row>
    <row r="674" ht="15.75" customHeight="1">
      <c r="R674" s="32"/>
    </row>
    <row r="675" ht="15.75" customHeight="1">
      <c r="R675" s="32"/>
    </row>
    <row r="676" ht="15.75" customHeight="1">
      <c r="R676" s="32"/>
    </row>
    <row r="677" ht="15.75" customHeight="1">
      <c r="R677" s="32"/>
    </row>
    <row r="678" ht="15.75" customHeight="1">
      <c r="R678" s="32"/>
    </row>
    <row r="679" ht="15.75" customHeight="1">
      <c r="R679" s="32"/>
    </row>
    <row r="680" ht="15.75" customHeight="1">
      <c r="R680" s="32"/>
    </row>
    <row r="681" ht="15.75" customHeight="1">
      <c r="R681" s="32"/>
    </row>
    <row r="682" ht="15.75" customHeight="1">
      <c r="R682" s="32"/>
    </row>
    <row r="683" ht="15.75" customHeight="1">
      <c r="R683" s="32"/>
    </row>
    <row r="684" ht="15.75" customHeight="1">
      <c r="R684" s="32"/>
    </row>
    <row r="685" ht="15.75" customHeight="1">
      <c r="R685" s="32"/>
    </row>
    <row r="686" ht="15.75" customHeight="1">
      <c r="R686" s="32"/>
    </row>
    <row r="687" ht="15.75" customHeight="1">
      <c r="R687" s="32"/>
    </row>
    <row r="688" ht="15.75" customHeight="1">
      <c r="R688" s="32"/>
    </row>
    <row r="689" ht="15.75" customHeight="1">
      <c r="R689" s="32"/>
    </row>
    <row r="690" ht="15.75" customHeight="1">
      <c r="R690" s="32"/>
    </row>
    <row r="691" ht="15.75" customHeight="1">
      <c r="R691" s="32"/>
    </row>
    <row r="692" ht="15.75" customHeight="1">
      <c r="R692" s="32"/>
    </row>
    <row r="693" ht="15.75" customHeight="1">
      <c r="R693" s="32"/>
    </row>
    <row r="694" ht="15.75" customHeight="1">
      <c r="R694" s="32"/>
    </row>
    <row r="695" ht="15.75" customHeight="1">
      <c r="R695" s="32"/>
    </row>
    <row r="696" ht="15.75" customHeight="1">
      <c r="R696" s="32"/>
    </row>
    <row r="697" ht="15.75" customHeight="1">
      <c r="R697" s="32"/>
    </row>
    <row r="698" ht="15.75" customHeight="1">
      <c r="R698" s="32"/>
    </row>
    <row r="699" ht="15.75" customHeight="1">
      <c r="R699" s="32"/>
    </row>
    <row r="700" ht="15.75" customHeight="1">
      <c r="R700" s="32"/>
    </row>
    <row r="701" ht="15.75" customHeight="1">
      <c r="R701" s="32"/>
    </row>
    <row r="702" ht="15.75" customHeight="1">
      <c r="R702" s="32"/>
    </row>
    <row r="703" ht="15.75" customHeight="1">
      <c r="R703" s="32"/>
    </row>
    <row r="704" ht="15.75" customHeight="1">
      <c r="R704" s="32"/>
    </row>
    <row r="705" ht="15.75" customHeight="1">
      <c r="R705" s="32"/>
    </row>
    <row r="706" ht="15.75" customHeight="1">
      <c r="R706" s="32"/>
    </row>
    <row r="707" ht="15.75" customHeight="1">
      <c r="R707" s="32"/>
    </row>
    <row r="708" ht="15.75" customHeight="1">
      <c r="R708" s="32"/>
    </row>
    <row r="709" ht="15.75" customHeight="1">
      <c r="R709" s="32"/>
    </row>
    <row r="710" ht="15.75" customHeight="1">
      <c r="R710" s="32"/>
    </row>
    <row r="711" ht="15.75" customHeight="1">
      <c r="R711" s="32"/>
    </row>
    <row r="712" ht="15.75" customHeight="1">
      <c r="R712" s="32"/>
    </row>
    <row r="713" ht="15.75" customHeight="1">
      <c r="R713" s="32"/>
    </row>
    <row r="714" ht="15.75" customHeight="1">
      <c r="R714" s="32"/>
    </row>
    <row r="715" ht="15.75" customHeight="1">
      <c r="R715" s="32"/>
    </row>
    <row r="716" ht="15.75" customHeight="1">
      <c r="R716" s="32"/>
    </row>
    <row r="717" ht="15.75" customHeight="1">
      <c r="R717" s="32"/>
    </row>
    <row r="718" ht="15.75" customHeight="1">
      <c r="R718" s="32"/>
    </row>
    <row r="719" ht="15.75" customHeight="1">
      <c r="R719" s="32"/>
    </row>
    <row r="720" ht="15.75" customHeight="1">
      <c r="R720" s="32"/>
    </row>
    <row r="721" ht="15.75" customHeight="1">
      <c r="R721" s="32"/>
    </row>
    <row r="722" ht="15.75" customHeight="1">
      <c r="R722" s="32"/>
    </row>
    <row r="723" ht="15.75" customHeight="1">
      <c r="R723" s="32"/>
    </row>
    <row r="724" ht="15.75" customHeight="1">
      <c r="R724" s="32"/>
    </row>
    <row r="725" ht="15.75" customHeight="1">
      <c r="R725" s="32"/>
    </row>
    <row r="726" ht="15.75" customHeight="1">
      <c r="R726" s="32"/>
    </row>
    <row r="727" ht="15.75" customHeight="1">
      <c r="R727" s="32"/>
    </row>
    <row r="728" ht="15.75" customHeight="1">
      <c r="R728" s="32"/>
    </row>
    <row r="729" ht="15.75" customHeight="1">
      <c r="R729" s="32"/>
    </row>
    <row r="730" ht="15.75" customHeight="1">
      <c r="R730" s="32"/>
    </row>
    <row r="731" ht="15.75" customHeight="1">
      <c r="R731" s="32"/>
    </row>
    <row r="732" ht="15.75" customHeight="1">
      <c r="R732" s="32"/>
    </row>
    <row r="733" ht="15.75" customHeight="1">
      <c r="R733" s="32"/>
    </row>
    <row r="734" ht="15.75" customHeight="1">
      <c r="R734" s="32"/>
    </row>
    <row r="735" ht="15.75" customHeight="1">
      <c r="R735" s="32"/>
    </row>
    <row r="736" ht="15.75" customHeight="1">
      <c r="R736" s="32"/>
    </row>
    <row r="737" ht="15.75" customHeight="1">
      <c r="R737" s="32"/>
    </row>
    <row r="738" ht="15.75" customHeight="1">
      <c r="R738" s="32"/>
    </row>
    <row r="739" ht="15.75" customHeight="1">
      <c r="R739" s="32"/>
    </row>
    <row r="740" ht="15.75" customHeight="1">
      <c r="R740" s="32"/>
    </row>
    <row r="741" ht="15.75" customHeight="1">
      <c r="R741" s="32"/>
    </row>
    <row r="742" ht="15.75" customHeight="1">
      <c r="R742" s="32"/>
    </row>
    <row r="743" ht="15.75" customHeight="1">
      <c r="R743" s="32"/>
    </row>
    <row r="744" ht="15.75" customHeight="1">
      <c r="R744" s="32"/>
    </row>
    <row r="745" ht="15.75" customHeight="1">
      <c r="R745" s="32"/>
    </row>
    <row r="746" ht="15.75" customHeight="1">
      <c r="R746" s="32"/>
    </row>
    <row r="747" ht="15.75" customHeight="1">
      <c r="R747" s="32"/>
    </row>
    <row r="748" ht="15.75" customHeight="1">
      <c r="R748" s="32"/>
    </row>
    <row r="749" ht="15.75" customHeight="1">
      <c r="R749" s="32"/>
    </row>
    <row r="750" ht="15.75" customHeight="1">
      <c r="R750" s="32"/>
    </row>
    <row r="751" ht="15.75" customHeight="1">
      <c r="R751" s="32"/>
    </row>
    <row r="752" ht="15.75" customHeight="1">
      <c r="R752" s="32"/>
    </row>
    <row r="753" ht="15.75" customHeight="1">
      <c r="R753" s="32"/>
    </row>
    <row r="754" ht="15.75" customHeight="1">
      <c r="R754" s="32"/>
    </row>
    <row r="755" ht="15.75" customHeight="1">
      <c r="R755" s="32"/>
    </row>
    <row r="756" ht="15.75" customHeight="1">
      <c r="R756" s="32"/>
    </row>
    <row r="757" ht="15.75" customHeight="1">
      <c r="R757" s="32"/>
    </row>
    <row r="758" ht="15.75" customHeight="1">
      <c r="R758" s="32"/>
    </row>
    <row r="759" ht="15.75" customHeight="1">
      <c r="R759" s="32"/>
    </row>
    <row r="760" ht="15.75" customHeight="1">
      <c r="R760" s="32"/>
    </row>
    <row r="761" ht="15.75" customHeight="1">
      <c r="R761" s="32"/>
    </row>
    <row r="762" ht="15.75" customHeight="1">
      <c r="R762" s="32"/>
    </row>
    <row r="763" ht="15.75" customHeight="1">
      <c r="R763" s="32"/>
    </row>
    <row r="764" ht="15.75" customHeight="1">
      <c r="R764" s="32"/>
    </row>
    <row r="765" ht="15.75" customHeight="1">
      <c r="R765" s="32"/>
    </row>
    <row r="766" ht="15.75" customHeight="1">
      <c r="R766" s="32"/>
    </row>
    <row r="767" ht="15.75" customHeight="1">
      <c r="R767" s="32"/>
    </row>
    <row r="768" ht="15.75" customHeight="1">
      <c r="R768" s="32"/>
    </row>
    <row r="769" ht="15.75" customHeight="1">
      <c r="R769" s="32"/>
    </row>
    <row r="770" ht="15.75" customHeight="1">
      <c r="R770" s="32"/>
    </row>
    <row r="771" ht="15.75" customHeight="1">
      <c r="R771" s="32"/>
    </row>
    <row r="772" ht="15.75" customHeight="1">
      <c r="R772" s="32"/>
    </row>
    <row r="773" ht="15.75" customHeight="1">
      <c r="R773" s="32"/>
    </row>
    <row r="774" ht="15.75" customHeight="1">
      <c r="R774" s="32"/>
    </row>
    <row r="775" ht="15.75" customHeight="1">
      <c r="R775" s="32"/>
    </row>
    <row r="776" ht="15.75" customHeight="1">
      <c r="R776" s="32"/>
    </row>
    <row r="777" ht="15.75" customHeight="1">
      <c r="R777" s="32"/>
    </row>
    <row r="778" ht="15.75" customHeight="1">
      <c r="R778" s="32"/>
    </row>
    <row r="779" ht="15.75" customHeight="1">
      <c r="R779" s="32"/>
    </row>
    <row r="780" ht="15.75" customHeight="1">
      <c r="R780" s="32"/>
    </row>
    <row r="781" ht="15.75" customHeight="1">
      <c r="R781" s="32"/>
    </row>
    <row r="782" ht="15.75" customHeight="1">
      <c r="R782" s="32"/>
    </row>
    <row r="783" ht="15.75" customHeight="1">
      <c r="R783" s="32"/>
    </row>
    <row r="784" ht="15.75" customHeight="1">
      <c r="R784" s="32"/>
    </row>
    <row r="785" ht="15.75" customHeight="1">
      <c r="R785" s="32"/>
    </row>
    <row r="786" ht="15.75" customHeight="1">
      <c r="R786" s="32"/>
    </row>
    <row r="787" ht="15.75" customHeight="1">
      <c r="R787" s="32"/>
    </row>
    <row r="788" ht="15.75" customHeight="1">
      <c r="R788" s="32"/>
    </row>
    <row r="789" ht="15.75" customHeight="1">
      <c r="R789" s="32"/>
    </row>
    <row r="790" ht="15.75" customHeight="1">
      <c r="R790" s="32"/>
    </row>
    <row r="791" ht="15.75" customHeight="1">
      <c r="R791" s="32"/>
    </row>
    <row r="792" ht="15.75" customHeight="1">
      <c r="R792" s="32"/>
    </row>
    <row r="793" ht="15.75" customHeight="1">
      <c r="R793" s="32"/>
    </row>
    <row r="794" ht="15.75" customHeight="1">
      <c r="R794" s="32"/>
    </row>
    <row r="795" ht="15.75" customHeight="1">
      <c r="R795" s="32"/>
    </row>
    <row r="796" ht="15.75" customHeight="1">
      <c r="R796" s="32"/>
    </row>
    <row r="797" ht="15.75" customHeight="1">
      <c r="R797" s="32"/>
    </row>
    <row r="798" ht="15.75" customHeight="1">
      <c r="R798" s="32"/>
    </row>
    <row r="799" ht="15.75" customHeight="1">
      <c r="R799" s="32"/>
    </row>
    <row r="800" ht="15.75" customHeight="1">
      <c r="R800" s="32"/>
    </row>
    <row r="801" ht="15.75" customHeight="1">
      <c r="R801" s="32"/>
    </row>
    <row r="802" ht="15.75" customHeight="1">
      <c r="R802" s="32"/>
    </row>
    <row r="803" ht="15.75" customHeight="1">
      <c r="R803" s="32"/>
    </row>
    <row r="804" ht="15.75" customHeight="1">
      <c r="R804" s="32"/>
    </row>
    <row r="805" ht="15.75" customHeight="1">
      <c r="R805" s="32"/>
    </row>
    <row r="806" ht="15.75" customHeight="1">
      <c r="R806" s="32"/>
    </row>
    <row r="807" ht="15.75" customHeight="1">
      <c r="R807" s="32"/>
    </row>
    <row r="808" ht="15.75" customHeight="1">
      <c r="R808" s="32"/>
    </row>
    <row r="809" ht="15.75" customHeight="1">
      <c r="R809" s="32"/>
    </row>
    <row r="810" ht="15.75" customHeight="1">
      <c r="R810" s="32"/>
    </row>
    <row r="811" ht="15.75" customHeight="1">
      <c r="R811" s="32"/>
    </row>
    <row r="812" ht="15.75" customHeight="1">
      <c r="R812" s="32"/>
    </row>
    <row r="813" ht="15.75" customHeight="1">
      <c r="R813" s="32"/>
    </row>
    <row r="814" ht="15.75" customHeight="1">
      <c r="R814" s="32"/>
    </row>
    <row r="815" ht="15.75" customHeight="1">
      <c r="R815" s="32"/>
    </row>
    <row r="816" ht="15.75" customHeight="1">
      <c r="R816" s="32"/>
    </row>
    <row r="817" ht="15.75" customHeight="1">
      <c r="R817" s="32"/>
    </row>
    <row r="818" ht="15.75" customHeight="1">
      <c r="R818" s="32"/>
    </row>
    <row r="819" ht="15.75" customHeight="1">
      <c r="R819" s="32"/>
    </row>
    <row r="820" ht="15.75" customHeight="1">
      <c r="R820" s="32"/>
    </row>
    <row r="821" ht="15.75" customHeight="1">
      <c r="R821" s="32"/>
    </row>
    <row r="822" ht="15.75" customHeight="1">
      <c r="R822" s="32"/>
    </row>
    <row r="823" ht="15.75" customHeight="1">
      <c r="R823" s="32"/>
    </row>
    <row r="824" ht="15.75" customHeight="1">
      <c r="R824" s="32"/>
    </row>
    <row r="825" ht="15.75" customHeight="1">
      <c r="R825" s="32"/>
    </row>
    <row r="826" ht="15.75" customHeight="1">
      <c r="R826" s="32"/>
    </row>
    <row r="827" ht="15.75" customHeight="1">
      <c r="R827" s="32"/>
    </row>
    <row r="828" ht="15.75" customHeight="1">
      <c r="R828" s="32"/>
    </row>
    <row r="829" ht="15.75" customHeight="1">
      <c r="R829" s="32"/>
    </row>
    <row r="830" ht="15.75" customHeight="1">
      <c r="R830" s="32"/>
    </row>
    <row r="831" ht="15.75" customHeight="1">
      <c r="R831" s="32"/>
    </row>
    <row r="832" ht="15.75" customHeight="1">
      <c r="R832" s="32"/>
    </row>
    <row r="833" ht="15.75" customHeight="1">
      <c r="R833" s="32"/>
    </row>
    <row r="834" ht="15.75" customHeight="1">
      <c r="R834" s="32"/>
    </row>
    <row r="835" ht="15.75" customHeight="1">
      <c r="R835" s="32"/>
    </row>
    <row r="836" ht="15.75" customHeight="1">
      <c r="R836" s="32"/>
    </row>
    <row r="837" ht="15.75" customHeight="1">
      <c r="R837" s="32"/>
    </row>
    <row r="838" ht="15.75" customHeight="1">
      <c r="R838" s="32"/>
    </row>
    <row r="839" ht="15.75" customHeight="1">
      <c r="R839" s="32"/>
    </row>
    <row r="840" ht="15.75" customHeight="1">
      <c r="R840" s="32"/>
    </row>
    <row r="841" ht="15.75" customHeight="1">
      <c r="R841" s="32"/>
    </row>
    <row r="842" ht="15.75" customHeight="1">
      <c r="R842" s="32"/>
    </row>
    <row r="843" ht="15.75" customHeight="1">
      <c r="R843" s="32"/>
    </row>
    <row r="844" ht="15.75" customHeight="1">
      <c r="R844" s="32"/>
    </row>
    <row r="845" ht="15.75" customHeight="1">
      <c r="R845" s="32"/>
    </row>
    <row r="846" ht="15.75" customHeight="1">
      <c r="R846" s="32"/>
    </row>
    <row r="847" ht="15.75" customHeight="1">
      <c r="R847" s="32"/>
    </row>
    <row r="848" ht="15.75" customHeight="1">
      <c r="R848" s="32"/>
    </row>
    <row r="849" ht="15.75" customHeight="1">
      <c r="R849" s="32"/>
    </row>
    <row r="850" ht="15.75" customHeight="1">
      <c r="R850" s="32"/>
    </row>
    <row r="851" ht="15.75" customHeight="1">
      <c r="R851" s="32"/>
    </row>
    <row r="852" ht="15.75" customHeight="1">
      <c r="R852" s="32"/>
    </row>
    <row r="853" ht="15.75" customHeight="1">
      <c r="R853" s="32"/>
    </row>
    <row r="854" ht="15.75" customHeight="1">
      <c r="R854" s="32"/>
    </row>
    <row r="855" ht="15.75" customHeight="1">
      <c r="R855" s="32"/>
    </row>
    <row r="856" ht="15.75" customHeight="1">
      <c r="R856" s="32"/>
    </row>
    <row r="857" ht="15.75" customHeight="1">
      <c r="R857" s="32"/>
    </row>
    <row r="858" ht="15.75" customHeight="1">
      <c r="R858" s="32"/>
    </row>
    <row r="859" ht="15.75" customHeight="1">
      <c r="R859" s="32"/>
    </row>
    <row r="860" ht="15.75" customHeight="1">
      <c r="R860" s="32"/>
    </row>
    <row r="861" ht="15.75" customHeight="1">
      <c r="R861" s="32"/>
    </row>
    <row r="862" ht="15.75" customHeight="1">
      <c r="R862" s="32"/>
    </row>
    <row r="863" ht="15.75" customHeight="1">
      <c r="R863" s="32"/>
    </row>
    <row r="864" ht="15.75" customHeight="1">
      <c r="R864" s="32"/>
    </row>
    <row r="865" ht="15.75" customHeight="1">
      <c r="R865" s="32"/>
    </row>
    <row r="866" ht="15.75" customHeight="1">
      <c r="R866" s="32"/>
    </row>
    <row r="867" ht="15.75" customHeight="1">
      <c r="R867" s="32"/>
    </row>
    <row r="868" ht="15.75" customHeight="1">
      <c r="R868" s="32"/>
    </row>
    <row r="869" ht="15.75" customHeight="1">
      <c r="R869" s="32"/>
    </row>
    <row r="870" ht="15.75" customHeight="1">
      <c r="R870" s="32"/>
    </row>
    <row r="871" ht="15.75" customHeight="1">
      <c r="R871" s="32"/>
    </row>
    <row r="872" ht="15.75" customHeight="1">
      <c r="R872" s="32"/>
    </row>
    <row r="873" ht="15.75" customHeight="1">
      <c r="R873" s="32"/>
    </row>
    <row r="874" ht="15.75" customHeight="1">
      <c r="R874" s="32"/>
    </row>
    <row r="875" ht="15.75" customHeight="1">
      <c r="R875" s="32"/>
    </row>
    <row r="876" ht="15.75" customHeight="1">
      <c r="R876" s="32"/>
    </row>
    <row r="877" ht="15.75" customHeight="1">
      <c r="R877" s="32"/>
    </row>
    <row r="878" ht="15.75" customHeight="1">
      <c r="R878" s="32"/>
    </row>
    <row r="879" ht="15.75" customHeight="1">
      <c r="R879" s="32"/>
    </row>
    <row r="880" ht="15.75" customHeight="1">
      <c r="R880" s="32"/>
    </row>
    <row r="881" ht="15.75" customHeight="1">
      <c r="R881" s="32"/>
    </row>
    <row r="882" ht="15.75" customHeight="1">
      <c r="R882" s="32"/>
    </row>
    <row r="883" ht="15.75" customHeight="1">
      <c r="R883" s="32"/>
    </row>
    <row r="884" ht="15.75" customHeight="1">
      <c r="R884" s="32"/>
    </row>
    <row r="885" ht="15.75" customHeight="1">
      <c r="R885" s="32"/>
    </row>
    <row r="886" ht="15.75" customHeight="1">
      <c r="R886" s="32"/>
    </row>
    <row r="887" ht="15.75" customHeight="1">
      <c r="R887" s="32"/>
    </row>
    <row r="888" ht="15.75" customHeight="1">
      <c r="R888" s="32"/>
    </row>
    <row r="889" ht="15.75" customHeight="1">
      <c r="R889" s="32"/>
    </row>
    <row r="890" ht="15.75" customHeight="1">
      <c r="R890" s="32"/>
    </row>
    <row r="891" ht="15.75" customHeight="1">
      <c r="R891" s="32"/>
    </row>
    <row r="892" ht="15.75" customHeight="1">
      <c r="R892" s="32"/>
    </row>
    <row r="893" ht="15.75" customHeight="1">
      <c r="R893" s="32"/>
    </row>
    <row r="894" ht="15.75" customHeight="1">
      <c r="R894" s="32"/>
    </row>
    <row r="895" ht="15.75" customHeight="1">
      <c r="R895" s="32"/>
    </row>
    <row r="896" ht="15.75" customHeight="1">
      <c r="R896" s="32"/>
    </row>
    <row r="897" ht="15.75" customHeight="1">
      <c r="R897" s="32"/>
    </row>
    <row r="898" ht="15.75" customHeight="1">
      <c r="R898" s="32"/>
    </row>
    <row r="899" ht="15.75" customHeight="1">
      <c r="R899" s="32"/>
    </row>
    <row r="900" ht="15.75" customHeight="1">
      <c r="R900" s="32"/>
    </row>
    <row r="901" ht="15.75" customHeight="1">
      <c r="R901" s="32"/>
    </row>
    <row r="902" ht="15.75" customHeight="1">
      <c r="R902" s="32"/>
    </row>
    <row r="903" ht="15.75" customHeight="1">
      <c r="R903" s="32"/>
    </row>
    <row r="904" ht="15.75" customHeight="1">
      <c r="R904" s="32"/>
    </row>
    <row r="905" ht="15.75" customHeight="1">
      <c r="R905" s="32"/>
    </row>
    <row r="906" ht="15.75" customHeight="1">
      <c r="R906" s="32"/>
    </row>
    <row r="907" ht="15.75" customHeight="1">
      <c r="R907" s="32"/>
    </row>
    <row r="908" ht="15.75" customHeight="1">
      <c r="R908" s="32"/>
    </row>
    <row r="909" ht="15.75" customHeight="1">
      <c r="R909" s="32"/>
    </row>
    <row r="910" ht="15.75" customHeight="1">
      <c r="R910" s="32"/>
    </row>
    <row r="911" ht="15.75" customHeight="1">
      <c r="R911" s="32"/>
    </row>
    <row r="912" ht="15.75" customHeight="1">
      <c r="R912" s="32"/>
    </row>
    <row r="913" ht="15.75" customHeight="1">
      <c r="R913" s="32"/>
    </row>
    <row r="914" ht="15.75" customHeight="1">
      <c r="R914" s="32"/>
    </row>
    <row r="915" ht="15.75" customHeight="1">
      <c r="R915" s="32"/>
    </row>
    <row r="916" ht="15.75" customHeight="1">
      <c r="R916" s="32"/>
    </row>
    <row r="917" ht="15.75" customHeight="1">
      <c r="R917" s="32"/>
    </row>
    <row r="918" ht="15.75" customHeight="1">
      <c r="R918" s="32"/>
    </row>
    <row r="919" ht="15.75" customHeight="1">
      <c r="R919" s="32"/>
    </row>
    <row r="920" ht="15.75" customHeight="1">
      <c r="R920" s="32"/>
    </row>
    <row r="921" ht="15.75" customHeight="1">
      <c r="R921" s="32"/>
    </row>
    <row r="922" ht="15.75" customHeight="1">
      <c r="R922" s="32"/>
    </row>
    <row r="923" ht="15.75" customHeight="1">
      <c r="R923" s="32"/>
    </row>
    <row r="924" ht="15.75" customHeight="1">
      <c r="R924" s="32"/>
    </row>
    <row r="925" ht="15.75" customHeight="1">
      <c r="R925" s="32"/>
    </row>
    <row r="926" ht="15.75" customHeight="1">
      <c r="R926" s="32"/>
    </row>
    <row r="927" ht="15.75" customHeight="1">
      <c r="R927" s="32"/>
    </row>
    <row r="928" ht="15.75" customHeight="1">
      <c r="R928" s="32"/>
    </row>
    <row r="929" ht="15.75" customHeight="1">
      <c r="R929" s="32"/>
    </row>
    <row r="930" ht="15.75" customHeight="1">
      <c r="R930" s="32"/>
    </row>
    <row r="931" ht="15.75" customHeight="1">
      <c r="R931" s="32"/>
    </row>
    <row r="932" ht="15.75" customHeight="1">
      <c r="R932" s="32"/>
    </row>
    <row r="933" ht="15.75" customHeight="1">
      <c r="R933" s="32"/>
    </row>
    <row r="934" ht="15.75" customHeight="1">
      <c r="R934" s="32"/>
    </row>
    <row r="935" ht="15.75" customHeight="1">
      <c r="R935" s="32"/>
    </row>
    <row r="936" ht="15.75" customHeight="1">
      <c r="R936" s="32"/>
    </row>
    <row r="937" ht="15.75" customHeight="1">
      <c r="R937" s="32"/>
    </row>
    <row r="938" ht="15.75" customHeight="1">
      <c r="R938" s="32"/>
    </row>
    <row r="939" ht="15.75" customHeight="1">
      <c r="R939" s="32"/>
    </row>
    <row r="940" ht="15.75" customHeight="1">
      <c r="R940" s="32"/>
    </row>
    <row r="941" ht="15.75" customHeight="1">
      <c r="R941" s="32"/>
    </row>
    <row r="942" ht="15.75" customHeight="1">
      <c r="R942" s="32"/>
    </row>
    <row r="943" ht="15.75" customHeight="1">
      <c r="R943" s="32"/>
    </row>
    <row r="944" ht="15.75" customHeight="1">
      <c r="R944" s="32"/>
    </row>
    <row r="945" ht="15.75" customHeight="1">
      <c r="R945" s="32"/>
    </row>
    <row r="946" ht="15.75" customHeight="1">
      <c r="R946" s="32"/>
    </row>
    <row r="947" ht="15.75" customHeight="1">
      <c r="R947" s="32"/>
    </row>
    <row r="948" ht="15.75" customHeight="1">
      <c r="R948" s="32"/>
    </row>
    <row r="949" ht="15.75" customHeight="1">
      <c r="R949" s="32"/>
    </row>
    <row r="950" ht="15.75" customHeight="1">
      <c r="R950" s="32"/>
    </row>
    <row r="951" ht="15.75" customHeight="1">
      <c r="R951" s="32"/>
    </row>
    <row r="952" ht="15.75" customHeight="1">
      <c r="R952" s="32"/>
    </row>
    <row r="953" ht="15.75" customHeight="1">
      <c r="R953" s="32"/>
    </row>
    <row r="954" ht="15.75" customHeight="1">
      <c r="R954" s="32"/>
    </row>
    <row r="955" ht="15.75" customHeight="1">
      <c r="R955" s="32"/>
    </row>
    <row r="956" ht="15.75" customHeight="1">
      <c r="R956" s="32"/>
    </row>
    <row r="957" ht="15.75" customHeight="1">
      <c r="R957" s="32"/>
    </row>
    <row r="958" ht="15.75" customHeight="1">
      <c r="R958" s="32"/>
    </row>
    <row r="959" ht="15.75" customHeight="1">
      <c r="R959" s="32"/>
    </row>
    <row r="960" ht="15.75" customHeight="1">
      <c r="R960" s="32"/>
    </row>
    <row r="961" ht="15.75" customHeight="1">
      <c r="R961" s="32"/>
    </row>
    <row r="962" ht="15.75" customHeight="1">
      <c r="R962" s="32"/>
    </row>
    <row r="963" ht="15.75" customHeight="1">
      <c r="R963" s="32"/>
    </row>
    <row r="964" ht="15.75" customHeight="1">
      <c r="R964" s="32"/>
    </row>
    <row r="965" ht="15.75" customHeight="1">
      <c r="R965" s="32"/>
    </row>
    <row r="966" ht="15.75" customHeight="1">
      <c r="R966" s="32"/>
    </row>
    <row r="967" ht="15.75" customHeight="1">
      <c r="R967" s="32"/>
    </row>
    <row r="968" ht="15.75" customHeight="1">
      <c r="R968" s="32"/>
    </row>
    <row r="969" ht="15.75" customHeight="1">
      <c r="R969" s="32"/>
    </row>
    <row r="970" ht="15.75" customHeight="1">
      <c r="R970" s="32"/>
    </row>
    <row r="971" ht="15.75" customHeight="1">
      <c r="R971" s="32"/>
    </row>
    <row r="972" ht="15.75" customHeight="1">
      <c r="R972" s="32"/>
    </row>
    <row r="973" ht="15.75" customHeight="1">
      <c r="R973" s="32"/>
    </row>
    <row r="974" ht="15.75" customHeight="1">
      <c r="R974" s="32"/>
    </row>
    <row r="975" ht="15.75" customHeight="1">
      <c r="R975" s="32"/>
    </row>
    <row r="976" ht="15.75" customHeight="1">
      <c r="R976" s="32"/>
    </row>
    <row r="977" ht="15.75" customHeight="1">
      <c r="R977" s="32"/>
    </row>
    <row r="978" ht="15.75" customHeight="1">
      <c r="R978" s="32"/>
    </row>
    <row r="979" ht="15.75" customHeight="1">
      <c r="R979" s="32"/>
    </row>
    <row r="980" ht="15.75" customHeight="1">
      <c r="R980" s="32"/>
    </row>
    <row r="981" ht="15.75" customHeight="1">
      <c r="R981" s="32"/>
    </row>
    <row r="982" ht="15.75" customHeight="1">
      <c r="R982" s="32"/>
    </row>
    <row r="983" ht="15.75" customHeight="1">
      <c r="R983" s="32"/>
    </row>
    <row r="984" ht="15.75" customHeight="1">
      <c r="R984" s="32"/>
    </row>
    <row r="985" ht="15.75" customHeight="1">
      <c r="R985" s="3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6" max="6" width="44.0"/>
    <col customWidth="1" min="7" max="7" width="10.88"/>
  </cols>
  <sheetData>
    <row r="1" ht="15.75" customHeight="1">
      <c r="A1" s="17" t="s">
        <v>0</v>
      </c>
      <c r="B1" s="17" t="s">
        <v>1</v>
      </c>
      <c r="C1" s="17" t="s">
        <v>1108</v>
      </c>
      <c r="D1" s="18" t="s">
        <v>1109</v>
      </c>
      <c r="E1" s="19" t="s">
        <v>1110</v>
      </c>
      <c r="F1" s="33" t="s">
        <v>1111</v>
      </c>
      <c r="G1" s="34" t="s">
        <v>7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6">
        <v>1919.0</v>
      </c>
      <c r="B2" s="6" t="s">
        <v>35</v>
      </c>
      <c r="C2" s="6" t="s">
        <v>1112</v>
      </c>
      <c r="D2" s="9" t="s">
        <v>1113</v>
      </c>
      <c r="E2" s="9">
        <v>0.0</v>
      </c>
      <c r="F2" s="31" t="s">
        <v>1114</v>
      </c>
      <c r="G2" s="34">
        <v>0.0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6">
        <v>1919.0</v>
      </c>
      <c r="B3" s="6" t="s">
        <v>35</v>
      </c>
      <c r="C3" s="6" t="s">
        <v>1115</v>
      </c>
      <c r="D3" s="9" t="s">
        <v>1116</v>
      </c>
      <c r="E3" s="9">
        <v>0.0</v>
      </c>
      <c r="F3" s="31" t="s">
        <v>1114</v>
      </c>
      <c r="G3" s="34">
        <v>0.0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6">
        <v>1919.0</v>
      </c>
      <c r="B4" s="6" t="s">
        <v>35</v>
      </c>
      <c r="C4" s="6" t="s">
        <v>1117</v>
      </c>
      <c r="D4" s="9" t="s">
        <v>1118</v>
      </c>
      <c r="E4" s="9">
        <v>0.0</v>
      </c>
      <c r="F4" s="31" t="s">
        <v>1114</v>
      </c>
      <c r="G4" s="34">
        <v>0.0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6">
        <v>1919.0</v>
      </c>
      <c r="B5" s="6" t="s">
        <v>35</v>
      </c>
      <c r="C5" s="6" t="s">
        <v>1119</v>
      </c>
      <c r="D5" s="9" t="s">
        <v>1120</v>
      </c>
      <c r="E5" s="9">
        <v>0.0</v>
      </c>
      <c r="F5" s="31" t="s">
        <v>1114</v>
      </c>
      <c r="G5" s="34">
        <v>0.0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6">
        <v>1919.0</v>
      </c>
      <c r="B6" s="6" t="s">
        <v>35</v>
      </c>
      <c r="C6" s="6" t="s">
        <v>1121</v>
      </c>
      <c r="D6" s="9" t="s">
        <v>1122</v>
      </c>
      <c r="E6" s="9">
        <v>0.0</v>
      </c>
      <c r="F6" s="31" t="s">
        <v>1114</v>
      </c>
      <c r="G6" s="34">
        <v>0.0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6">
        <v>1919.0</v>
      </c>
      <c r="B7" s="6" t="s">
        <v>35</v>
      </c>
      <c r="C7" s="6" t="s">
        <v>1123</v>
      </c>
      <c r="D7" s="9" t="s">
        <v>1124</v>
      </c>
      <c r="E7" s="9">
        <v>0.0</v>
      </c>
      <c r="F7" s="31" t="s">
        <v>1114</v>
      </c>
      <c r="G7" s="34">
        <v>0.0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>
        <v>1919.0</v>
      </c>
      <c r="B8" s="6" t="s">
        <v>35</v>
      </c>
      <c r="C8" s="6" t="s">
        <v>1125</v>
      </c>
      <c r="D8" s="9" t="s">
        <v>1126</v>
      </c>
      <c r="E8" s="9">
        <v>0.0</v>
      </c>
      <c r="F8" s="31" t="s">
        <v>1114</v>
      </c>
      <c r="G8" s="34">
        <v>0.0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6">
        <v>1919.0</v>
      </c>
      <c r="B9" s="6" t="s">
        <v>35</v>
      </c>
      <c r="C9" s="6" t="s">
        <v>1127</v>
      </c>
      <c r="D9" s="9" t="s">
        <v>1128</v>
      </c>
      <c r="E9" s="9">
        <v>0.0</v>
      </c>
      <c r="F9" s="31" t="s">
        <v>1114</v>
      </c>
      <c r="G9" s="34">
        <v>0.0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6">
        <v>1919.0</v>
      </c>
      <c r="B10" s="6" t="s">
        <v>35</v>
      </c>
      <c r="C10" s="6" t="s">
        <v>1129</v>
      </c>
      <c r="D10" s="9" t="s">
        <v>1130</v>
      </c>
      <c r="E10" s="9">
        <v>0.0</v>
      </c>
      <c r="F10" s="31" t="s">
        <v>1114</v>
      </c>
      <c r="G10" s="34">
        <v>0.0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6">
        <v>1919.0</v>
      </c>
      <c r="B11" s="6" t="s">
        <v>35</v>
      </c>
      <c r="C11" s="6" t="s">
        <v>1131</v>
      </c>
      <c r="D11" s="9" t="s">
        <v>1132</v>
      </c>
      <c r="E11" s="9">
        <v>0.0</v>
      </c>
      <c r="F11" s="31" t="s">
        <v>1114</v>
      </c>
      <c r="G11" s="34">
        <v>0.0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6">
        <v>1919.0</v>
      </c>
      <c r="B12" s="6" t="s">
        <v>35</v>
      </c>
      <c r="C12" s="6" t="s">
        <v>1133</v>
      </c>
      <c r="D12" s="9" t="s">
        <v>1134</v>
      </c>
      <c r="E12" s="9">
        <v>0.0</v>
      </c>
      <c r="F12" s="31" t="s">
        <v>1114</v>
      </c>
      <c r="G12" s="34">
        <v>0.0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6">
        <v>1919.0</v>
      </c>
      <c r="B13" s="6" t="s">
        <v>35</v>
      </c>
      <c r="C13" s="6" t="s">
        <v>1135</v>
      </c>
      <c r="D13" s="9" t="s">
        <v>1136</v>
      </c>
      <c r="E13" s="9">
        <v>0.0</v>
      </c>
      <c r="F13" s="31" t="s">
        <v>1114</v>
      </c>
      <c r="G13" s="34">
        <v>0.0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6">
        <v>1919.0</v>
      </c>
      <c r="B14" s="6" t="s">
        <v>35</v>
      </c>
      <c r="C14" s="6" t="s">
        <v>1137</v>
      </c>
      <c r="D14" s="9" t="s">
        <v>1138</v>
      </c>
      <c r="E14" s="9">
        <v>0.0</v>
      </c>
      <c r="F14" s="31" t="s">
        <v>1114</v>
      </c>
      <c r="G14" s="34">
        <v>0.0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6">
        <v>1919.0</v>
      </c>
      <c r="B15" s="6" t="s">
        <v>35</v>
      </c>
      <c r="C15" s="6" t="s">
        <v>1139</v>
      </c>
      <c r="D15" s="9" t="s">
        <v>1140</v>
      </c>
      <c r="E15" s="9">
        <v>0.0</v>
      </c>
      <c r="F15" s="31" t="s">
        <v>1114</v>
      </c>
      <c r="G15" s="34">
        <v>0.0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6">
        <v>1919.0</v>
      </c>
      <c r="B16" s="6" t="s">
        <v>35</v>
      </c>
      <c r="C16" s="6" t="s">
        <v>1141</v>
      </c>
      <c r="D16" s="9" t="s">
        <v>1142</v>
      </c>
      <c r="E16" s="9">
        <v>0.0</v>
      </c>
      <c r="F16" s="31" t="s">
        <v>1114</v>
      </c>
      <c r="G16" s="34">
        <v>0.0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6">
        <v>1919.0</v>
      </c>
      <c r="B17" s="6" t="s">
        <v>35</v>
      </c>
      <c r="C17" s="6" t="s">
        <v>1143</v>
      </c>
      <c r="D17" s="9" t="s">
        <v>1144</v>
      </c>
      <c r="E17" s="9">
        <v>0.0</v>
      </c>
      <c r="F17" s="31" t="s">
        <v>1114</v>
      </c>
      <c r="G17" s="34">
        <v>0.0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6">
        <v>1919.0</v>
      </c>
      <c r="B18" s="6" t="s">
        <v>35</v>
      </c>
      <c r="C18" s="6" t="s">
        <v>1145</v>
      </c>
      <c r="D18" s="9" t="s">
        <v>1146</v>
      </c>
      <c r="E18" s="9">
        <v>0.0</v>
      </c>
      <c r="F18" s="31" t="s">
        <v>1114</v>
      </c>
      <c r="G18" s="34">
        <v>0.0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6">
        <v>1919.0</v>
      </c>
      <c r="B19" s="6" t="s">
        <v>35</v>
      </c>
      <c r="C19" s="6" t="s">
        <v>1147</v>
      </c>
      <c r="D19" s="9" t="s">
        <v>1148</v>
      </c>
      <c r="E19" s="9">
        <v>0.0</v>
      </c>
      <c r="F19" s="31" t="s">
        <v>1114</v>
      </c>
      <c r="G19" s="34">
        <v>0.0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6">
        <v>1919.0</v>
      </c>
      <c r="B20" s="6" t="s">
        <v>35</v>
      </c>
      <c r="C20" s="6" t="s">
        <v>1149</v>
      </c>
      <c r="D20" s="9" t="s">
        <v>1150</v>
      </c>
      <c r="E20" s="9">
        <v>0.0</v>
      </c>
      <c r="F20" s="31" t="s">
        <v>1114</v>
      </c>
      <c r="G20" s="34">
        <v>0.0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6">
        <v>1919.0</v>
      </c>
      <c r="B21" s="6" t="s">
        <v>35</v>
      </c>
      <c r="C21" s="6" t="s">
        <v>1151</v>
      </c>
      <c r="D21" s="9" t="s">
        <v>1152</v>
      </c>
      <c r="E21" s="9">
        <v>0.0</v>
      </c>
      <c r="F21" s="31" t="s">
        <v>1114</v>
      </c>
      <c r="G21" s="34">
        <v>0.0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6">
        <v>1919.0</v>
      </c>
      <c r="B22" s="6" t="s">
        <v>35</v>
      </c>
      <c r="C22" s="6" t="s">
        <v>1153</v>
      </c>
      <c r="D22" s="9" t="s">
        <v>1154</v>
      </c>
      <c r="E22" s="9">
        <v>0.0</v>
      </c>
      <c r="F22" s="31" t="s">
        <v>1114</v>
      </c>
      <c r="G22" s="34">
        <v>0.0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6">
        <v>1919.0</v>
      </c>
      <c r="B23" s="6" t="s">
        <v>35</v>
      </c>
      <c r="C23" s="6" t="s">
        <v>1155</v>
      </c>
      <c r="D23" s="9" t="s">
        <v>1156</v>
      </c>
      <c r="E23" s="9">
        <v>0.0</v>
      </c>
      <c r="F23" s="31" t="s">
        <v>1114</v>
      </c>
      <c r="G23" s="34">
        <v>0.0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6">
        <v>1919.0</v>
      </c>
      <c r="B24" s="6" t="s">
        <v>35</v>
      </c>
      <c r="C24" s="6" t="s">
        <v>1157</v>
      </c>
      <c r="D24" s="9" t="s">
        <v>1158</v>
      </c>
      <c r="E24" s="9">
        <v>0.0</v>
      </c>
      <c r="F24" s="31" t="s">
        <v>1114</v>
      </c>
      <c r="G24" s="34">
        <v>0.0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6">
        <v>1919.0</v>
      </c>
      <c r="B25" s="6" t="s">
        <v>35</v>
      </c>
      <c r="C25" s="6" t="s">
        <v>1159</v>
      </c>
      <c r="D25" s="9" t="s">
        <v>1160</v>
      </c>
      <c r="E25" s="9">
        <v>0.0</v>
      </c>
      <c r="F25" s="31" t="s">
        <v>1114</v>
      </c>
      <c r="G25" s="34">
        <v>0.0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6">
        <v>1919.0</v>
      </c>
      <c r="B26" s="6" t="s">
        <v>35</v>
      </c>
      <c r="C26" s="6" t="s">
        <v>1161</v>
      </c>
      <c r="D26" s="9" t="s">
        <v>1162</v>
      </c>
      <c r="E26" s="9">
        <v>0.0</v>
      </c>
      <c r="F26" s="31" t="s">
        <v>1114</v>
      </c>
      <c r="G26" s="34">
        <v>0.0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6">
        <v>1919.0</v>
      </c>
      <c r="B27" s="6" t="s">
        <v>35</v>
      </c>
      <c r="C27" s="6" t="s">
        <v>1163</v>
      </c>
      <c r="D27" s="9" t="s">
        <v>1164</v>
      </c>
      <c r="E27" s="9">
        <v>0.0</v>
      </c>
      <c r="F27" s="31" t="s">
        <v>1114</v>
      </c>
      <c r="G27" s="34">
        <v>0.0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6">
        <v>1919.0</v>
      </c>
      <c r="B28" s="6" t="s">
        <v>35</v>
      </c>
      <c r="C28" s="6" t="s">
        <v>1165</v>
      </c>
      <c r="D28" s="9" t="s">
        <v>1166</v>
      </c>
      <c r="E28" s="9">
        <v>0.0</v>
      </c>
      <c r="F28" s="31" t="s">
        <v>1114</v>
      </c>
      <c r="G28" s="34">
        <v>0.0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6">
        <v>1919.0</v>
      </c>
      <c r="B29" s="6" t="s">
        <v>35</v>
      </c>
      <c r="C29" s="6" t="s">
        <v>1167</v>
      </c>
      <c r="D29" s="9" t="s">
        <v>1168</v>
      </c>
      <c r="E29" s="9">
        <v>0.0</v>
      </c>
      <c r="F29" s="31" t="s">
        <v>1114</v>
      </c>
      <c r="G29" s="34">
        <v>0.0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6">
        <v>1919.0</v>
      </c>
      <c r="B30" s="6" t="s">
        <v>35</v>
      </c>
      <c r="C30" s="6" t="s">
        <v>1169</v>
      </c>
      <c r="D30" s="9" t="s">
        <v>1170</v>
      </c>
      <c r="E30" s="9">
        <v>0.0</v>
      </c>
      <c r="F30" s="31" t="s">
        <v>1114</v>
      </c>
      <c r="G30" s="34">
        <v>0.0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6">
        <v>1919.0</v>
      </c>
      <c r="B31" s="6" t="s">
        <v>35</v>
      </c>
      <c r="C31" s="6" t="s">
        <v>1171</v>
      </c>
      <c r="D31" s="9" t="s">
        <v>1172</v>
      </c>
      <c r="E31" s="9">
        <v>0.0</v>
      </c>
      <c r="F31" s="31" t="s">
        <v>1114</v>
      </c>
      <c r="G31" s="34">
        <v>0.0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6">
        <v>1919.0</v>
      </c>
      <c r="B32" s="6" t="s">
        <v>35</v>
      </c>
      <c r="C32" s="6" t="s">
        <v>1173</v>
      </c>
      <c r="D32" s="9" t="s">
        <v>1174</v>
      </c>
      <c r="E32" s="9">
        <v>0.0</v>
      </c>
      <c r="F32" s="31" t="s">
        <v>1114</v>
      </c>
      <c r="G32" s="34">
        <v>0.0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6">
        <v>1919.0</v>
      </c>
      <c r="B33" s="6" t="s">
        <v>35</v>
      </c>
      <c r="C33" s="6" t="s">
        <v>1175</v>
      </c>
      <c r="D33" s="9" t="s">
        <v>1176</v>
      </c>
      <c r="E33" s="9">
        <v>0.0</v>
      </c>
      <c r="F33" s="31" t="s">
        <v>1114</v>
      </c>
      <c r="G33" s="34">
        <v>0.0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6">
        <v>1919.0</v>
      </c>
      <c r="B34" s="6" t="s">
        <v>35</v>
      </c>
      <c r="C34" s="6" t="s">
        <v>1177</v>
      </c>
      <c r="D34" s="9" t="s">
        <v>1178</v>
      </c>
      <c r="E34" s="9">
        <v>0.0</v>
      </c>
      <c r="F34" s="31" t="s">
        <v>1114</v>
      </c>
      <c r="G34" s="34">
        <v>0.0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6">
        <v>1919.0</v>
      </c>
      <c r="B35" s="6" t="s">
        <v>35</v>
      </c>
      <c r="C35" s="6" t="s">
        <v>1179</v>
      </c>
      <c r="D35" s="9" t="s">
        <v>1180</v>
      </c>
      <c r="E35" s="9">
        <v>0.0</v>
      </c>
      <c r="F35" s="31" t="s">
        <v>1114</v>
      </c>
      <c r="G35" s="34">
        <v>0.0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6">
        <v>1919.0</v>
      </c>
      <c r="B36" s="6" t="s">
        <v>35</v>
      </c>
      <c r="C36" s="6" t="s">
        <v>1181</v>
      </c>
      <c r="D36" s="9" t="s">
        <v>1182</v>
      </c>
      <c r="E36" s="9">
        <v>0.0</v>
      </c>
      <c r="F36" s="31" t="s">
        <v>1114</v>
      </c>
      <c r="G36" s="34">
        <v>0.0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6">
        <v>1919.0</v>
      </c>
      <c r="B37" s="6" t="s">
        <v>35</v>
      </c>
      <c r="C37" s="6" t="s">
        <v>1183</v>
      </c>
      <c r="D37" s="9" t="s">
        <v>1184</v>
      </c>
      <c r="E37" s="9">
        <v>0.0</v>
      </c>
      <c r="F37" s="31" t="s">
        <v>1114</v>
      </c>
      <c r="G37" s="34">
        <v>0.0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5.88"/>
    <col customWidth="1" min="6" max="6" width="26.75"/>
    <col customWidth="1" min="8" max="8" width="28.25"/>
  </cols>
  <sheetData>
    <row r="1" ht="15.75" customHeight="1">
      <c r="A1" s="17" t="s">
        <v>0</v>
      </c>
      <c r="B1" s="17" t="s">
        <v>1</v>
      </c>
      <c r="C1" s="17" t="s">
        <v>1185</v>
      </c>
      <c r="D1" s="18" t="s">
        <v>1186</v>
      </c>
      <c r="E1" s="19" t="s">
        <v>1187</v>
      </c>
      <c r="F1" s="18" t="s">
        <v>1188</v>
      </c>
      <c r="G1" s="19" t="s">
        <v>1189</v>
      </c>
      <c r="H1" s="18" t="s">
        <v>1190</v>
      </c>
      <c r="I1" s="19" t="s">
        <v>7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15.75" customHeight="1">
      <c r="A2" s="6">
        <v>1919.0</v>
      </c>
      <c r="B2" s="6" t="s">
        <v>35</v>
      </c>
      <c r="C2" s="6" t="s">
        <v>1191</v>
      </c>
      <c r="D2" s="9" t="s">
        <v>1192</v>
      </c>
      <c r="E2" s="9">
        <v>0.0</v>
      </c>
      <c r="F2" s="9" t="s">
        <v>1193</v>
      </c>
      <c r="G2" s="9">
        <v>0.0</v>
      </c>
      <c r="H2" s="9" t="s">
        <v>1194</v>
      </c>
      <c r="I2" s="9">
        <v>1.0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A3" s="6">
        <v>1919.0</v>
      </c>
      <c r="B3" s="6" t="s">
        <v>35</v>
      </c>
      <c r="C3" s="6" t="s">
        <v>1195</v>
      </c>
      <c r="D3" s="9" t="s">
        <v>1196</v>
      </c>
      <c r="E3" s="9">
        <v>0.0</v>
      </c>
      <c r="F3" s="9" t="s">
        <v>1197</v>
      </c>
      <c r="G3" s="9">
        <v>0.0</v>
      </c>
      <c r="H3" s="9" t="s">
        <v>1198</v>
      </c>
      <c r="I3" s="9">
        <v>1.0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6.0"/>
    <col customWidth="1" min="5" max="5" width="44.0"/>
    <col customWidth="1" min="6" max="6" width="11.5"/>
    <col customWidth="1" min="10" max="10" width="13.88"/>
    <col customWidth="1" min="11" max="11" width="19.0"/>
    <col customWidth="1" min="12" max="12" width="13.25"/>
    <col customWidth="1" min="13" max="13" width="12.0"/>
  </cols>
  <sheetData>
    <row r="1" ht="15.75" customHeight="1">
      <c r="A1" s="17" t="s">
        <v>0</v>
      </c>
      <c r="B1" s="17" t="s">
        <v>1</v>
      </c>
      <c r="C1" s="17" t="s">
        <v>1199</v>
      </c>
      <c r="D1" s="17" t="s">
        <v>1200</v>
      </c>
      <c r="E1" s="18" t="s">
        <v>1201</v>
      </c>
      <c r="F1" s="19" t="s">
        <v>1202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6">
        <v>1919.0</v>
      </c>
      <c r="B2" s="6" t="s">
        <v>35</v>
      </c>
      <c r="C2" s="6" t="s">
        <v>1203</v>
      </c>
      <c r="D2" s="6">
        <v>1.0</v>
      </c>
      <c r="E2" s="31" t="s">
        <v>1114</v>
      </c>
      <c r="F2" s="9">
        <v>0.0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6">
        <v>1919.0</v>
      </c>
      <c r="B3" s="6" t="s">
        <v>35</v>
      </c>
      <c r="C3" s="6" t="s">
        <v>1204</v>
      </c>
      <c r="D3" s="6">
        <v>2.0</v>
      </c>
      <c r="E3" s="31" t="s">
        <v>1205</v>
      </c>
      <c r="F3" s="9">
        <v>0.0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6">
        <v>1919.0</v>
      </c>
      <c r="B4" s="6" t="s">
        <v>35</v>
      </c>
      <c r="C4" s="6" t="s">
        <v>1206</v>
      </c>
      <c r="D4" s="6">
        <v>3.0</v>
      </c>
      <c r="E4" s="31" t="s">
        <v>982</v>
      </c>
      <c r="F4" s="9">
        <v>0.0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6">
        <v>1919.0</v>
      </c>
      <c r="B5" s="6" t="s">
        <v>35</v>
      </c>
      <c r="C5" s="6" t="s">
        <v>1207</v>
      </c>
      <c r="D5" s="6">
        <v>4.0</v>
      </c>
      <c r="E5" s="31" t="s">
        <v>1208</v>
      </c>
      <c r="F5" s="9">
        <v>0.0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6">
        <v>1919.0</v>
      </c>
      <c r="B6" s="6" t="s">
        <v>35</v>
      </c>
      <c r="C6" s="6" t="s">
        <v>1209</v>
      </c>
      <c r="D6" s="6">
        <v>5.0</v>
      </c>
      <c r="E6" s="31" t="s">
        <v>1210</v>
      </c>
      <c r="F6" s="9">
        <v>0.0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6">
        <v>1919.0</v>
      </c>
      <c r="B7" s="6" t="s">
        <v>35</v>
      </c>
      <c r="C7" s="6" t="s">
        <v>1211</v>
      </c>
      <c r="D7" s="6">
        <v>6.0</v>
      </c>
      <c r="E7" s="31" t="s">
        <v>1212</v>
      </c>
      <c r="F7" s="9">
        <v>0.0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6">
        <v>1919.0</v>
      </c>
      <c r="B8" s="6" t="s">
        <v>35</v>
      </c>
      <c r="C8" s="6" t="s">
        <v>1213</v>
      </c>
      <c r="D8" s="6">
        <v>7.0</v>
      </c>
      <c r="E8" s="31" t="s">
        <v>1214</v>
      </c>
      <c r="F8" s="9">
        <v>0.0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6">
        <v>1919.0</v>
      </c>
      <c r="B9" s="6" t="s">
        <v>35</v>
      </c>
      <c r="C9" s="6" t="s">
        <v>1215</v>
      </c>
      <c r="D9" s="6">
        <v>8.0</v>
      </c>
      <c r="E9" s="31" t="s">
        <v>1216</v>
      </c>
      <c r="F9" s="9">
        <v>0.0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6">
        <v>1919.0</v>
      </c>
      <c r="B10" s="6" t="s">
        <v>35</v>
      </c>
      <c r="C10" s="6" t="s">
        <v>1217</v>
      </c>
      <c r="D10" s="6">
        <v>9.0</v>
      </c>
      <c r="E10" s="31" t="s">
        <v>1218</v>
      </c>
      <c r="F10" s="9">
        <v>0.0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6">
        <v>1919.0</v>
      </c>
      <c r="B11" s="6" t="s">
        <v>35</v>
      </c>
      <c r="C11" s="6" t="s">
        <v>1219</v>
      </c>
      <c r="D11" s="6">
        <v>10.0</v>
      </c>
      <c r="E11" s="31" t="s">
        <v>1220</v>
      </c>
      <c r="F11" s="9">
        <v>0.0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2.5"/>
    <col customWidth="1" min="5" max="5" width="15.88"/>
    <col customWidth="1" min="6" max="6" width="34.63"/>
    <col customWidth="1" min="7" max="7" width="24.25"/>
    <col customWidth="1" min="9" max="9" width="30.63"/>
    <col customWidth="1" min="11" max="11" width="36.63"/>
    <col customWidth="1" min="13" max="13" width="39.63"/>
    <col customWidth="1" min="15" max="15" width="45.13"/>
    <col customWidth="1" min="17" max="17" width="40.38"/>
    <col customWidth="1" min="19" max="19" width="53.88"/>
    <col customWidth="1" min="21" max="21" width="34.38"/>
    <col customWidth="1" min="25" max="25" width="34.13"/>
    <col customWidth="1" min="27" max="27" width="38.25"/>
    <col customWidth="1" min="29" max="29" width="34.38"/>
    <col customWidth="1" min="31" max="31" width="49.38"/>
  </cols>
  <sheetData>
    <row r="1" ht="52.5" customHeight="1">
      <c r="A1" s="17" t="s">
        <v>0</v>
      </c>
      <c r="B1" s="17" t="s">
        <v>1</v>
      </c>
      <c r="C1" s="17" t="s">
        <v>2</v>
      </c>
      <c r="D1" s="17" t="s">
        <v>1221</v>
      </c>
      <c r="E1" s="17" t="s">
        <v>1222</v>
      </c>
      <c r="F1" s="17" t="s">
        <v>1</v>
      </c>
      <c r="G1" s="5" t="s">
        <v>1223</v>
      </c>
      <c r="H1" s="35" t="s">
        <v>1224</v>
      </c>
      <c r="I1" s="5" t="s">
        <v>1225</v>
      </c>
      <c r="J1" s="35" t="s">
        <v>1226</v>
      </c>
      <c r="K1" s="36" t="s">
        <v>1227</v>
      </c>
      <c r="L1" s="36" t="s">
        <v>1228</v>
      </c>
      <c r="M1" s="36" t="s">
        <v>1229</v>
      </c>
      <c r="N1" s="36" t="s">
        <v>1230</v>
      </c>
      <c r="O1" s="36" t="s">
        <v>1231</v>
      </c>
      <c r="P1" s="36" t="s">
        <v>1232</v>
      </c>
      <c r="Q1" s="36" t="s">
        <v>1233</v>
      </c>
      <c r="R1" s="36" t="s">
        <v>1234</v>
      </c>
      <c r="S1" s="36" t="s">
        <v>1235</v>
      </c>
      <c r="T1" s="36" t="s">
        <v>1236</v>
      </c>
      <c r="U1" s="36" t="s">
        <v>1237</v>
      </c>
      <c r="V1" s="36" t="s">
        <v>1238</v>
      </c>
      <c r="W1" s="36" t="s">
        <v>1239</v>
      </c>
      <c r="X1" s="36" t="s">
        <v>1240</v>
      </c>
      <c r="Y1" s="36" t="s">
        <v>1241</v>
      </c>
      <c r="Z1" s="36" t="s">
        <v>1242</v>
      </c>
      <c r="AA1" s="36" t="s">
        <v>1243</v>
      </c>
      <c r="AB1" s="36" t="s">
        <v>1244</v>
      </c>
      <c r="AC1" s="36" t="s">
        <v>1245</v>
      </c>
      <c r="AD1" s="36" t="s">
        <v>1246</v>
      </c>
      <c r="AE1" s="36" t="s">
        <v>1247</v>
      </c>
      <c r="AF1" s="36" t="s">
        <v>1248</v>
      </c>
    </row>
    <row r="2" ht="15.75" customHeight="1">
      <c r="A2" s="6">
        <v>1919.0</v>
      </c>
      <c r="B2" s="6" t="s">
        <v>35</v>
      </c>
      <c r="C2" s="6" t="str">
        <f t="shared" ref="C2:C24" si="1">CONCATENATE(E2,"-",F2)</f>
        <v>ESD-PB-01-Control Room</v>
      </c>
      <c r="D2" s="6" t="s">
        <v>1249</v>
      </c>
      <c r="E2" s="6" t="s">
        <v>1250</v>
      </c>
      <c r="F2" s="6" t="s">
        <v>1251</v>
      </c>
      <c r="G2" s="9" t="s">
        <v>1252</v>
      </c>
      <c r="H2" s="9">
        <v>0.0</v>
      </c>
      <c r="I2" s="9" t="s">
        <v>1253</v>
      </c>
      <c r="J2" s="9">
        <v>0.0</v>
      </c>
      <c r="K2" s="7" t="s">
        <v>1254</v>
      </c>
      <c r="L2" s="6">
        <v>0.0</v>
      </c>
      <c r="M2" s="7" t="s">
        <v>1255</v>
      </c>
      <c r="N2" s="6">
        <v>0.0</v>
      </c>
      <c r="O2" s="7" t="s">
        <v>1256</v>
      </c>
      <c r="P2" s="6">
        <v>0.0</v>
      </c>
      <c r="Q2" s="7" t="s">
        <v>1257</v>
      </c>
      <c r="R2" s="6">
        <v>0.0</v>
      </c>
      <c r="S2" s="7" t="s">
        <v>1258</v>
      </c>
      <c r="T2" s="6">
        <v>0.0</v>
      </c>
      <c r="U2" s="7" t="s">
        <v>1259</v>
      </c>
      <c r="V2" s="6">
        <v>0.0</v>
      </c>
      <c r="W2" s="6"/>
      <c r="X2" s="6">
        <v>0.0</v>
      </c>
      <c r="Y2" s="7" t="s">
        <v>1260</v>
      </c>
      <c r="Z2" s="6">
        <v>0.0</v>
      </c>
      <c r="AA2" s="7" t="s">
        <v>1205</v>
      </c>
      <c r="AB2" s="6">
        <v>0.0</v>
      </c>
      <c r="AC2" s="7" t="s">
        <v>1261</v>
      </c>
      <c r="AD2" s="6">
        <v>0.0</v>
      </c>
      <c r="AE2" s="7" t="s">
        <v>1262</v>
      </c>
      <c r="AF2" s="12">
        <v>0.0</v>
      </c>
    </row>
    <row r="3" ht="15.75" customHeight="1">
      <c r="A3" s="6">
        <v>1919.0</v>
      </c>
      <c r="B3" s="6" t="s">
        <v>35</v>
      </c>
      <c r="C3" s="6" t="str">
        <f t="shared" si="1"/>
        <v>ESD-PB-02-Gantry - 01</v>
      </c>
      <c r="D3" s="6" t="s">
        <v>1263</v>
      </c>
      <c r="E3" s="6" t="s">
        <v>1264</v>
      </c>
      <c r="F3" s="6" t="s">
        <v>1265</v>
      </c>
      <c r="G3" s="9" t="s">
        <v>1266</v>
      </c>
      <c r="H3" s="9">
        <v>0.0</v>
      </c>
      <c r="I3" s="9" t="s">
        <v>1267</v>
      </c>
      <c r="J3" s="9">
        <v>0.0</v>
      </c>
      <c r="K3" s="7" t="s">
        <v>1254</v>
      </c>
      <c r="L3" s="6">
        <v>0.0</v>
      </c>
      <c r="M3" s="7" t="s">
        <v>1255</v>
      </c>
      <c r="N3" s="6">
        <v>0.0</v>
      </c>
      <c r="O3" s="7" t="s">
        <v>1256</v>
      </c>
      <c r="P3" s="6">
        <v>0.0</v>
      </c>
      <c r="Q3" s="7" t="s">
        <v>1257</v>
      </c>
      <c r="R3" s="6">
        <v>0.0</v>
      </c>
      <c r="S3" s="7" t="s">
        <v>1258</v>
      </c>
      <c r="T3" s="6">
        <v>0.0</v>
      </c>
      <c r="U3" s="7" t="s">
        <v>1259</v>
      </c>
      <c r="V3" s="6">
        <v>0.0</v>
      </c>
      <c r="W3" s="6"/>
      <c r="X3" s="6">
        <v>0.0</v>
      </c>
      <c r="Y3" s="7" t="s">
        <v>1260</v>
      </c>
      <c r="Z3" s="6">
        <v>0.0</v>
      </c>
      <c r="AA3" s="7" t="s">
        <v>1205</v>
      </c>
      <c r="AB3" s="6">
        <v>0.0</v>
      </c>
      <c r="AC3" s="7" t="s">
        <v>1261</v>
      </c>
      <c r="AD3" s="6">
        <v>0.0</v>
      </c>
      <c r="AE3" s="7" t="s">
        <v>1262</v>
      </c>
      <c r="AF3" s="12">
        <v>0.0</v>
      </c>
    </row>
    <row r="4" ht="15.75" customHeight="1">
      <c r="A4" s="6">
        <v>1919.0</v>
      </c>
      <c r="B4" s="6" t="s">
        <v>35</v>
      </c>
      <c r="C4" s="6" t="str">
        <f t="shared" si="1"/>
        <v>ESD-PB-03-BETWEEN GANTRY 1 AND 2</v>
      </c>
      <c r="D4" s="6" t="s">
        <v>1268</v>
      </c>
      <c r="E4" s="6" t="s">
        <v>1269</v>
      </c>
      <c r="F4" s="6" t="s">
        <v>1270</v>
      </c>
      <c r="G4" s="9" t="s">
        <v>1271</v>
      </c>
      <c r="H4" s="9">
        <v>0.0</v>
      </c>
      <c r="I4" s="9" t="s">
        <v>1272</v>
      </c>
      <c r="J4" s="9">
        <v>0.0</v>
      </c>
      <c r="K4" s="7" t="s">
        <v>1254</v>
      </c>
      <c r="L4" s="6">
        <v>0.0</v>
      </c>
      <c r="M4" s="7" t="s">
        <v>1255</v>
      </c>
      <c r="N4" s="6">
        <v>0.0</v>
      </c>
      <c r="O4" s="7" t="s">
        <v>1256</v>
      </c>
      <c r="P4" s="6">
        <v>0.0</v>
      </c>
      <c r="Q4" s="7" t="s">
        <v>1257</v>
      </c>
      <c r="R4" s="6">
        <v>0.0</v>
      </c>
      <c r="S4" s="7" t="s">
        <v>1258</v>
      </c>
      <c r="T4" s="6">
        <v>0.0</v>
      </c>
      <c r="U4" s="7" t="s">
        <v>1259</v>
      </c>
      <c r="V4" s="6">
        <v>0.0</v>
      </c>
      <c r="W4" s="6"/>
      <c r="X4" s="6">
        <v>0.0</v>
      </c>
      <c r="Y4" s="7" t="s">
        <v>1260</v>
      </c>
      <c r="Z4" s="6">
        <v>0.0</v>
      </c>
      <c r="AA4" s="7" t="s">
        <v>1205</v>
      </c>
      <c r="AB4" s="6">
        <v>0.0</v>
      </c>
      <c r="AC4" s="7" t="s">
        <v>1261</v>
      </c>
      <c r="AD4" s="6">
        <v>0.0</v>
      </c>
      <c r="AE4" s="7" t="s">
        <v>1262</v>
      </c>
      <c r="AF4" s="12">
        <v>0.0</v>
      </c>
    </row>
    <row r="5" ht="15.75" customHeight="1">
      <c r="A5" s="6">
        <v>1919.0</v>
      </c>
      <c r="B5" s="6" t="s">
        <v>35</v>
      </c>
      <c r="C5" s="6" t="str">
        <f t="shared" si="1"/>
        <v>ESD-PB-04-Gantry - 02</v>
      </c>
      <c r="D5" s="6" t="s">
        <v>1273</v>
      </c>
      <c r="E5" s="6" t="s">
        <v>1274</v>
      </c>
      <c r="F5" s="6" t="s">
        <v>1275</v>
      </c>
      <c r="G5" s="9" t="s">
        <v>1276</v>
      </c>
      <c r="H5" s="9">
        <v>0.0</v>
      </c>
      <c r="I5" s="9" t="s">
        <v>1277</v>
      </c>
      <c r="J5" s="9">
        <v>0.0</v>
      </c>
      <c r="K5" s="7" t="s">
        <v>1254</v>
      </c>
      <c r="L5" s="6">
        <v>0.0</v>
      </c>
      <c r="M5" s="7" t="s">
        <v>1255</v>
      </c>
      <c r="N5" s="6">
        <v>0.0</v>
      </c>
      <c r="O5" s="7" t="s">
        <v>1256</v>
      </c>
      <c r="P5" s="6">
        <v>0.0</v>
      </c>
      <c r="Q5" s="7" t="s">
        <v>1257</v>
      </c>
      <c r="R5" s="6">
        <v>0.0</v>
      </c>
      <c r="S5" s="7" t="s">
        <v>1258</v>
      </c>
      <c r="T5" s="6">
        <v>0.0</v>
      </c>
      <c r="U5" s="7" t="s">
        <v>1259</v>
      </c>
      <c r="V5" s="6">
        <v>0.0</v>
      </c>
      <c r="W5" s="6"/>
      <c r="X5" s="6">
        <v>0.0</v>
      </c>
      <c r="Y5" s="7" t="s">
        <v>1260</v>
      </c>
      <c r="Z5" s="6">
        <v>0.0</v>
      </c>
      <c r="AA5" s="7" t="s">
        <v>1205</v>
      </c>
      <c r="AB5" s="6">
        <v>0.0</v>
      </c>
      <c r="AC5" s="7" t="s">
        <v>1261</v>
      </c>
      <c r="AD5" s="6">
        <v>0.0</v>
      </c>
      <c r="AE5" s="7" t="s">
        <v>1262</v>
      </c>
      <c r="AF5" s="12">
        <v>0.0</v>
      </c>
    </row>
    <row r="6" ht="15.75" customHeight="1">
      <c r="A6" s="6">
        <v>1919.0</v>
      </c>
      <c r="B6" s="6" t="s">
        <v>35</v>
      </c>
      <c r="C6" s="6" t="str">
        <f t="shared" si="1"/>
        <v>ESD-PB-05-NEAR TANK-1B</v>
      </c>
      <c r="D6" s="6" t="s">
        <v>1278</v>
      </c>
      <c r="E6" s="6" t="s">
        <v>1279</v>
      </c>
      <c r="F6" s="6" t="s">
        <v>1280</v>
      </c>
      <c r="G6" s="9" t="s">
        <v>1281</v>
      </c>
      <c r="H6" s="9">
        <v>0.0</v>
      </c>
      <c r="I6" s="9" t="s">
        <v>1282</v>
      </c>
      <c r="J6" s="9">
        <v>0.0</v>
      </c>
      <c r="K6" s="7" t="s">
        <v>1254</v>
      </c>
      <c r="L6" s="6">
        <v>0.0</v>
      </c>
      <c r="M6" s="7" t="s">
        <v>1255</v>
      </c>
      <c r="N6" s="6">
        <v>0.0</v>
      </c>
      <c r="O6" s="7" t="s">
        <v>1256</v>
      </c>
      <c r="P6" s="6">
        <v>0.0</v>
      </c>
      <c r="Q6" s="7" t="s">
        <v>1257</v>
      </c>
      <c r="R6" s="6">
        <v>0.0</v>
      </c>
      <c r="S6" s="7" t="s">
        <v>1258</v>
      </c>
      <c r="T6" s="6">
        <v>0.0</v>
      </c>
      <c r="U6" s="7" t="s">
        <v>1259</v>
      </c>
      <c r="V6" s="6">
        <v>0.0</v>
      </c>
      <c r="W6" s="6"/>
      <c r="X6" s="6">
        <v>0.0</v>
      </c>
      <c r="Y6" s="7" t="s">
        <v>1260</v>
      </c>
      <c r="Z6" s="6">
        <v>0.0</v>
      </c>
      <c r="AA6" s="7" t="s">
        <v>1205</v>
      </c>
      <c r="AB6" s="6">
        <v>0.0</v>
      </c>
      <c r="AC6" s="7" t="s">
        <v>1261</v>
      </c>
      <c r="AD6" s="6">
        <v>0.0</v>
      </c>
      <c r="AE6" s="7" t="s">
        <v>1262</v>
      </c>
      <c r="AF6" s="12">
        <v>0.0</v>
      </c>
    </row>
    <row r="7" ht="15.75" customHeight="1">
      <c r="A7" s="6">
        <v>1919.0</v>
      </c>
      <c r="B7" s="6" t="s">
        <v>35</v>
      </c>
      <c r="C7" s="6" t="str">
        <f t="shared" si="1"/>
        <v>ESD-CENTRAL-CENTRAL ESD</v>
      </c>
      <c r="D7" s="6" t="s">
        <v>1283</v>
      </c>
      <c r="E7" s="6" t="s">
        <v>1284</v>
      </c>
      <c r="F7" s="6" t="s">
        <v>1285</v>
      </c>
      <c r="G7" s="9" t="s">
        <v>1286</v>
      </c>
      <c r="H7" s="9">
        <v>0.0</v>
      </c>
      <c r="I7" s="12"/>
      <c r="J7" s="12"/>
      <c r="K7" s="7" t="s">
        <v>1254</v>
      </c>
      <c r="L7" s="6">
        <v>0.0</v>
      </c>
      <c r="M7" s="7" t="s">
        <v>1255</v>
      </c>
      <c r="N7" s="6">
        <v>0.0</v>
      </c>
      <c r="O7" s="7" t="s">
        <v>1256</v>
      </c>
      <c r="P7" s="6">
        <v>0.0</v>
      </c>
      <c r="Q7" s="7" t="s">
        <v>1257</v>
      </c>
      <c r="R7" s="6">
        <v>0.0</v>
      </c>
      <c r="S7" s="7" t="s">
        <v>1258</v>
      </c>
      <c r="T7" s="6">
        <v>0.0</v>
      </c>
      <c r="U7" s="7" t="s">
        <v>1259</v>
      </c>
      <c r="V7" s="6">
        <v>0.0</v>
      </c>
      <c r="W7" s="6"/>
      <c r="X7" s="6">
        <v>0.0</v>
      </c>
      <c r="Y7" s="7" t="s">
        <v>1260</v>
      </c>
      <c r="Z7" s="6">
        <v>0.0</v>
      </c>
      <c r="AA7" s="7" t="s">
        <v>1205</v>
      </c>
      <c r="AB7" s="6">
        <v>0.0</v>
      </c>
      <c r="AC7" s="7" t="s">
        <v>1261</v>
      </c>
      <c r="AD7" s="6">
        <v>0.0</v>
      </c>
      <c r="AE7" s="7" t="s">
        <v>1262</v>
      </c>
      <c r="AF7" s="12">
        <v>0.0</v>
      </c>
    </row>
    <row r="8" ht="15.75" customHeight="1">
      <c r="A8" s="6">
        <v>1919.0</v>
      </c>
      <c r="B8" s="6" t="s">
        <v>35</v>
      </c>
      <c r="C8" s="6" t="str">
        <f t="shared" si="1"/>
        <v>ESD-PB-06-WEST OF TK3C</v>
      </c>
      <c r="D8" s="6" t="s">
        <v>1287</v>
      </c>
      <c r="E8" s="6" t="s">
        <v>1288</v>
      </c>
      <c r="F8" s="6" t="s">
        <v>1289</v>
      </c>
      <c r="G8" s="9" t="s">
        <v>1290</v>
      </c>
      <c r="H8" s="9">
        <v>0.0</v>
      </c>
      <c r="I8" s="9" t="s">
        <v>1291</v>
      </c>
      <c r="J8" s="9">
        <v>0.0</v>
      </c>
      <c r="K8" s="7" t="s">
        <v>1254</v>
      </c>
      <c r="L8" s="6">
        <v>0.0</v>
      </c>
      <c r="M8" s="7" t="s">
        <v>1255</v>
      </c>
      <c r="N8" s="6">
        <v>0.0</v>
      </c>
      <c r="O8" s="7" t="s">
        <v>1256</v>
      </c>
      <c r="P8" s="6">
        <v>0.0</v>
      </c>
      <c r="Q8" s="7" t="s">
        <v>1257</v>
      </c>
      <c r="R8" s="6">
        <v>0.0</v>
      </c>
      <c r="S8" s="7" t="s">
        <v>1258</v>
      </c>
      <c r="T8" s="6">
        <v>0.0</v>
      </c>
      <c r="U8" s="7" t="s">
        <v>1259</v>
      </c>
      <c r="V8" s="6">
        <v>0.0</v>
      </c>
      <c r="W8" s="6"/>
      <c r="X8" s="6">
        <v>0.0</v>
      </c>
      <c r="Y8" s="7" t="s">
        <v>1260</v>
      </c>
      <c r="Z8" s="6">
        <v>0.0</v>
      </c>
      <c r="AA8" s="7" t="s">
        <v>1205</v>
      </c>
      <c r="AB8" s="6">
        <v>0.0</v>
      </c>
      <c r="AC8" s="7" t="s">
        <v>1261</v>
      </c>
      <c r="AD8" s="6">
        <v>0.0</v>
      </c>
      <c r="AE8" s="7" t="s">
        <v>1262</v>
      </c>
      <c r="AF8" s="12">
        <v>0.0</v>
      </c>
    </row>
    <row r="9" ht="15.75" customHeight="1">
      <c r="A9" s="6">
        <v>1919.0</v>
      </c>
      <c r="B9" s="6" t="s">
        <v>35</v>
      </c>
      <c r="C9" s="6" t="str">
        <f t="shared" si="1"/>
        <v>ESD-PB-07-NEAR TANK-4A</v>
      </c>
      <c r="D9" s="6" t="s">
        <v>1292</v>
      </c>
      <c r="E9" s="6" t="s">
        <v>1293</v>
      </c>
      <c r="F9" s="6" t="s">
        <v>1294</v>
      </c>
      <c r="G9" s="9" t="s">
        <v>1295</v>
      </c>
      <c r="H9" s="9">
        <v>0.0</v>
      </c>
      <c r="I9" s="9" t="s">
        <v>1296</v>
      </c>
      <c r="J9" s="9">
        <v>0.0</v>
      </c>
      <c r="K9" s="7" t="s">
        <v>1254</v>
      </c>
      <c r="L9" s="6">
        <v>0.0</v>
      </c>
      <c r="M9" s="7" t="s">
        <v>1255</v>
      </c>
      <c r="N9" s="6">
        <v>0.0</v>
      </c>
      <c r="O9" s="7" t="s">
        <v>1256</v>
      </c>
      <c r="P9" s="6">
        <v>0.0</v>
      </c>
      <c r="Q9" s="7" t="s">
        <v>1257</v>
      </c>
      <c r="R9" s="6">
        <v>0.0</v>
      </c>
      <c r="S9" s="7" t="s">
        <v>1258</v>
      </c>
      <c r="T9" s="6">
        <v>0.0</v>
      </c>
      <c r="U9" s="7" t="s">
        <v>1259</v>
      </c>
      <c r="V9" s="6">
        <v>0.0</v>
      </c>
      <c r="W9" s="6"/>
      <c r="X9" s="6">
        <v>0.0</v>
      </c>
      <c r="Y9" s="7" t="s">
        <v>1260</v>
      </c>
      <c r="Z9" s="6">
        <v>0.0</v>
      </c>
      <c r="AA9" s="7" t="s">
        <v>1205</v>
      </c>
      <c r="AB9" s="6">
        <v>0.0</v>
      </c>
      <c r="AC9" s="7" t="s">
        <v>1261</v>
      </c>
      <c r="AD9" s="6">
        <v>0.0</v>
      </c>
      <c r="AE9" s="7" t="s">
        <v>1262</v>
      </c>
      <c r="AF9" s="12">
        <v>0.0</v>
      </c>
    </row>
    <row r="10" ht="15.75" customHeight="1">
      <c r="A10" s="6">
        <v>1919.0</v>
      </c>
      <c r="B10" s="6" t="s">
        <v>35</v>
      </c>
      <c r="C10" s="6" t="str">
        <f t="shared" si="1"/>
        <v>ESD-PB-08-NEAR TANK 5B</v>
      </c>
      <c r="D10" s="6" t="s">
        <v>1297</v>
      </c>
      <c r="E10" s="6" t="s">
        <v>1298</v>
      </c>
      <c r="F10" s="6" t="s">
        <v>1299</v>
      </c>
      <c r="G10" s="9" t="s">
        <v>1300</v>
      </c>
      <c r="H10" s="9">
        <v>0.0</v>
      </c>
      <c r="I10" s="9" t="s">
        <v>1301</v>
      </c>
      <c r="J10" s="9">
        <v>0.0</v>
      </c>
      <c r="K10" s="7" t="s">
        <v>1254</v>
      </c>
      <c r="L10" s="6">
        <v>0.0</v>
      </c>
      <c r="M10" s="7" t="s">
        <v>1255</v>
      </c>
      <c r="N10" s="6">
        <v>0.0</v>
      </c>
      <c r="O10" s="7" t="s">
        <v>1256</v>
      </c>
      <c r="P10" s="6">
        <v>0.0</v>
      </c>
      <c r="Q10" s="7" t="s">
        <v>1257</v>
      </c>
      <c r="R10" s="6">
        <v>0.0</v>
      </c>
      <c r="S10" s="7" t="s">
        <v>1258</v>
      </c>
      <c r="T10" s="6">
        <v>0.0</v>
      </c>
      <c r="U10" s="7" t="s">
        <v>1259</v>
      </c>
      <c r="V10" s="6">
        <v>0.0</v>
      </c>
      <c r="W10" s="6"/>
      <c r="X10" s="6">
        <v>0.0</v>
      </c>
      <c r="Y10" s="7" t="s">
        <v>1260</v>
      </c>
      <c r="Z10" s="6">
        <v>0.0</v>
      </c>
      <c r="AA10" s="7" t="s">
        <v>1205</v>
      </c>
      <c r="AB10" s="6">
        <v>0.0</v>
      </c>
      <c r="AC10" s="7" t="s">
        <v>1261</v>
      </c>
      <c r="AD10" s="6">
        <v>0.0</v>
      </c>
      <c r="AE10" s="7" t="s">
        <v>1262</v>
      </c>
      <c r="AF10" s="12">
        <v>0.0</v>
      </c>
    </row>
    <row r="11" ht="15.75" customHeight="1">
      <c r="A11" s="6">
        <v>1919.0</v>
      </c>
      <c r="B11" s="6" t="s">
        <v>35</v>
      </c>
      <c r="C11" s="6" t="str">
        <f t="shared" si="1"/>
        <v>ESD-PB-09-NEAR TANK-1C</v>
      </c>
      <c r="D11" s="6" t="s">
        <v>1302</v>
      </c>
      <c r="E11" s="6" t="s">
        <v>1303</v>
      </c>
      <c r="F11" s="6" t="s">
        <v>1304</v>
      </c>
      <c r="G11" s="9" t="s">
        <v>1305</v>
      </c>
      <c r="H11" s="9">
        <v>0.0</v>
      </c>
      <c r="I11" s="9" t="s">
        <v>1306</v>
      </c>
      <c r="J11" s="9">
        <v>0.0</v>
      </c>
      <c r="K11" s="7" t="s">
        <v>1254</v>
      </c>
      <c r="L11" s="6">
        <v>0.0</v>
      </c>
      <c r="M11" s="7" t="s">
        <v>1255</v>
      </c>
      <c r="N11" s="6">
        <v>0.0</v>
      </c>
      <c r="O11" s="7" t="s">
        <v>1256</v>
      </c>
      <c r="P11" s="6">
        <v>0.0</v>
      </c>
      <c r="Q11" s="7" t="s">
        <v>1257</v>
      </c>
      <c r="R11" s="6">
        <v>0.0</v>
      </c>
      <c r="S11" s="7" t="s">
        <v>1258</v>
      </c>
      <c r="T11" s="6">
        <v>0.0</v>
      </c>
      <c r="U11" s="7" t="s">
        <v>1259</v>
      </c>
      <c r="V11" s="6">
        <v>0.0</v>
      </c>
      <c r="W11" s="6"/>
      <c r="X11" s="6">
        <v>0.0</v>
      </c>
      <c r="Y11" s="7" t="s">
        <v>1260</v>
      </c>
      <c r="Z11" s="6">
        <v>0.0</v>
      </c>
      <c r="AA11" s="7" t="s">
        <v>1205</v>
      </c>
      <c r="AB11" s="6">
        <v>0.0</v>
      </c>
      <c r="AC11" s="7" t="s">
        <v>1261</v>
      </c>
      <c r="AD11" s="6">
        <v>0.0</v>
      </c>
      <c r="AE11" s="7" t="s">
        <v>1262</v>
      </c>
      <c r="AF11" s="12">
        <v>0.0</v>
      </c>
    </row>
    <row r="12" ht="15.75" customHeight="1">
      <c r="A12" s="6">
        <v>1919.0</v>
      </c>
      <c r="B12" s="6" t="s">
        <v>35</v>
      </c>
      <c r="C12" s="6" t="str">
        <f t="shared" si="1"/>
        <v>ESD-13-PIPELINE PLC</v>
      </c>
      <c r="D12" s="6" t="s">
        <v>1307</v>
      </c>
      <c r="E12" s="6" t="s">
        <v>1307</v>
      </c>
      <c r="F12" s="6" t="s">
        <v>1308</v>
      </c>
      <c r="G12" s="9" t="s">
        <v>1309</v>
      </c>
      <c r="H12" s="9">
        <v>0.0</v>
      </c>
      <c r="I12" s="12"/>
      <c r="J12" s="9">
        <v>0.0</v>
      </c>
      <c r="K12" s="7" t="s">
        <v>1254</v>
      </c>
      <c r="L12" s="6">
        <v>0.0</v>
      </c>
      <c r="M12" s="7" t="s">
        <v>1255</v>
      </c>
      <c r="N12" s="6">
        <v>0.0</v>
      </c>
      <c r="O12" s="7" t="s">
        <v>1256</v>
      </c>
      <c r="P12" s="6">
        <v>0.0</v>
      </c>
      <c r="Q12" s="7" t="s">
        <v>1257</v>
      </c>
      <c r="R12" s="6">
        <v>0.0</v>
      </c>
      <c r="S12" s="7" t="s">
        <v>1258</v>
      </c>
      <c r="T12" s="6">
        <v>0.0</v>
      </c>
      <c r="U12" s="7" t="s">
        <v>1259</v>
      </c>
      <c r="V12" s="6">
        <v>0.0</v>
      </c>
      <c r="W12" s="6"/>
      <c r="X12" s="6">
        <v>0.0</v>
      </c>
      <c r="Y12" s="7" t="s">
        <v>1260</v>
      </c>
      <c r="Z12" s="6">
        <v>0.0</v>
      </c>
      <c r="AA12" s="7" t="s">
        <v>1205</v>
      </c>
      <c r="AB12" s="6">
        <v>0.0</v>
      </c>
      <c r="AC12" s="7" t="s">
        <v>1261</v>
      </c>
      <c r="AD12" s="6">
        <v>0.0</v>
      </c>
      <c r="AE12" s="7" t="s">
        <v>1262</v>
      </c>
      <c r="AF12" s="12">
        <v>0.0</v>
      </c>
    </row>
    <row r="13" ht="15.75" customHeight="1">
      <c r="A13" s="6">
        <v>1919.0</v>
      </c>
      <c r="B13" s="6" t="s">
        <v>35</v>
      </c>
      <c r="C13" s="6" t="str">
        <f t="shared" si="1"/>
        <v>ESD-PB-10-TLF PPH</v>
      </c>
      <c r="D13" s="6" t="s">
        <v>1310</v>
      </c>
      <c r="E13" s="6" t="s">
        <v>1311</v>
      </c>
      <c r="F13" s="6" t="s">
        <v>1312</v>
      </c>
      <c r="G13" s="9" t="s">
        <v>1313</v>
      </c>
      <c r="H13" s="9">
        <v>0.0</v>
      </c>
      <c r="I13" s="9" t="s">
        <v>1314</v>
      </c>
      <c r="J13" s="9">
        <v>0.0</v>
      </c>
      <c r="K13" s="7" t="s">
        <v>1254</v>
      </c>
      <c r="L13" s="6">
        <v>0.0</v>
      </c>
      <c r="M13" s="7" t="s">
        <v>1255</v>
      </c>
      <c r="N13" s="6">
        <v>0.0</v>
      </c>
      <c r="O13" s="7" t="s">
        <v>1256</v>
      </c>
      <c r="P13" s="6">
        <v>0.0</v>
      </c>
      <c r="Q13" s="7" t="s">
        <v>1257</v>
      </c>
      <c r="R13" s="6">
        <v>0.0</v>
      </c>
      <c r="S13" s="7" t="s">
        <v>1258</v>
      </c>
      <c r="T13" s="6">
        <v>0.0</v>
      </c>
      <c r="U13" s="7" t="s">
        <v>1259</v>
      </c>
      <c r="V13" s="6">
        <v>0.0</v>
      </c>
      <c r="W13" s="6"/>
      <c r="X13" s="6">
        <v>0.0</v>
      </c>
      <c r="Y13" s="7" t="s">
        <v>1260</v>
      </c>
      <c r="Z13" s="6">
        <v>0.0</v>
      </c>
      <c r="AA13" s="7" t="s">
        <v>1205</v>
      </c>
      <c r="AB13" s="6">
        <v>0.0</v>
      </c>
      <c r="AC13" s="7" t="s">
        <v>1261</v>
      </c>
      <c r="AD13" s="6">
        <v>0.0</v>
      </c>
      <c r="AE13" s="7" t="s">
        <v>1262</v>
      </c>
      <c r="AF13" s="12">
        <v>0.0</v>
      </c>
    </row>
    <row r="14" ht="15.75" customHeight="1">
      <c r="A14" s="6">
        <v>1919.0</v>
      </c>
      <c r="B14" s="6" t="s">
        <v>35</v>
      </c>
      <c r="C14" s="6" t="str">
        <f t="shared" si="1"/>
        <v>ESD-PB-16-NEAR TANK-3B</v>
      </c>
      <c r="D14" s="6" t="s">
        <v>1315</v>
      </c>
      <c r="E14" s="6" t="s">
        <v>1316</v>
      </c>
      <c r="F14" s="6" t="s">
        <v>1317</v>
      </c>
      <c r="G14" s="9" t="s">
        <v>1318</v>
      </c>
      <c r="H14" s="9">
        <v>0.0</v>
      </c>
      <c r="I14" s="9" t="s">
        <v>1319</v>
      </c>
      <c r="J14" s="12"/>
      <c r="K14" s="7" t="s">
        <v>1254</v>
      </c>
      <c r="L14" s="6">
        <v>0.0</v>
      </c>
      <c r="M14" s="7" t="s">
        <v>1255</v>
      </c>
      <c r="N14" s="6">
        <v>0.0</v>
      </c>
      <c r="O14" s="7" t="s">
        <v>1256</v>
      </c>
      <c r="P14" s="6">
        <v>0.0</v>
      </c>
      <c r="Q14" s="7" t="s">
        <v>1257</v>
      </c>
      <c r="R14" s="6">
        <v>0.0</v>
      </c>
      <c r="S14" s="7" t="s">
        <v>1258</v>
      </c>
      <c r="T14" s="6">
        <v>0.0</v>
      </c>
      <c r="U14" s="7" t="s">
        <v>1259</v>
      </c>
      <c r="V14" s="6">
        <v>0.0</v>
      </c>
      <c r="W14" s="6"/>
      <c r="X14" s="6">
        <v>0.0</v>
      </c>
      <c r="Y14" s="7" t="s">
        <v>1260</v>
      </c>
      <c r="Z14" s="6">
        <v>0.0</v>
      </c>
      <c r="AA14" s="7" t="s">
        <v>1205</v>
      </c>
      <c r="AB14" s="6">
        <v>0.0</v>
      </c>
      <c r="AC14" s="7" t="s">
        <v>1261</v>
      </c>
      <c r="AD14" s="6">
        <v>0.0</v>
      </c>
      <c r="AE14" s="7" t="s">
        <v>1262</v>
      </c>
      <c r="AF14" s="12">
        <v>0.0</v>
      </c>
    </row>
    <row r="15" ht="15.75" customHeight="1">
      <c r="A15" s="6">
        <v>1919.0</v>
      </c>
      <c r="B15" s="6" t="s">
        <v>35</v>
      </c>
      <c r="C15" s="6" t="str">
        <f t="shared" si="1"/>
        <v>ESD-PB-17-NEAR TANK-5C</v>
      </c>
      <c r="D15" s="6" t="s">
        <v>1320</v>
      </c>
      <c r="E15" s="6" t="s">
        <v>1321</v>
      </c>
      <c r="F15" s="6" t="s">
        <v>1322</v>
      </c>
      <c r="G15" s="9" t="s">
        <v>1323</v>
      </c>
      <c r="H15" s="9">
        <v>0.0</v>
      </c>
      <c r="I15" s="9" t="s">
        <v>1324</v>
      </c>
      <c r="J15" s="9">
        <v>0.0</v>
      </c>
      <c r="K15" s="7" t="s">
        <v>1254</v>
      </c>
      <c r="L15" s="6">
        <v>0.0</v>
      </c>
      <c r="M15" s="7" t="s">
        <v>1255</v>
      </c>
      <c r="N15" s="6">
        <v>0.0</v>
      </c>
      <c r="O15" s="7" t="s">
        <v>1256</v>
      </c>
      <c r="P15" s="6">
        <v>0.0</v>
      </c>
      <c r="Q15" s="7" t="s">
        <v>1257</v>
      </c>
      <c r="R15" s="6">
        <v>0.0</v>
      </c>
      <c r="S15" s="7" t="s">
        <v>1258</v>
      </c>
      <c r="T15" s="6">
        <v>0.0</v>
      </c>
      <c r="U15" s="7" t="s">
        <v>1259</v>
      </c>
      <c r="V15" s="6">
        <v>0.0</v>
      </c>
      <c r="W15" s="6"/>
      <c r="X15" s="6">
        <v>0.0</v>
      </c>
      <c r="Y15" s="7" t="s">
        <v>1260</v>
      </c>
      <c r="Z15" s="6">
        <v>0.0</v>
      </c>
      <c r="AA15" s="7" t="s">
        <v>1205</v>
      </c>
      <c r="AB15" s="6">
        <v>0.0</v>
      </c>
      <c r="AC15" s="7" t="s">
        <v>1261</v>
      </c>
      <c r="AD15" s="6">
        <v>0.0</v>
      </c>
      <c r="AE15" s="7" t="s">
        <v>1262</v>
      </c>
      <c r="AF15" s="12">
        <v>0.0</v>
      </c>
    </row>
    <row r="16" ht="15.75" customHeight="1">
      <c r="A16" s="6">
        <v>1919.0</v>
      </c>
      <c r="B16" s="6" t="s">
        <v>35</v>
      </c>
      <c r="C16" s="6" t="str">
        <f t="shared" si="1"/>
        <v>ESD-PB-18-TLF GANTRY BAY 0</v>
      </c>
      <c r="D16" s="6" t="s">
        <v>1325</v>
      </c>
      <c r="E16" s="6" t="s">
        <v>1326</v>
      </c>
      <c r="F16" s="6" t="s">
        <v>1327</v>
      </c>
      <c r="G16" s="9" t="s">
        <v>1328</v>
      </c>
      <c r="H16" s="9">
        <v>0.0</v>
      </c>
      <c r="I16" s="9" t="s">
        <v>1329</v>
      </c>
      <c r="J16" s="9">
        <v>0.0</v>
      </c>
      <c r="K16" s="7" t="s">
        <v>1254</v>
      </c>
      <c r="L16" s="6">
        <v>0.0</v>
      </c>
      <c r="M16" s="7" t="s">
        <v>1255</v>
      </c>
      <c r="N16" s="6">
        <v>0.0</v>
      </c>
      <c r="O16" s="7" t="s">
        <v>1256</v>
      </c>
      <c r="P16" s="6">
        <v>0.0</v>
      </c>
      <c r="Q16" s="7" t="s">
        <v>1257</v>
      </c>
      <c r="R16" s="6">
        <v>0.0</v>
      </c>
      <c r="S16" s="7" t="s">
        <v>1258</v>
      </c>
      <c r="T16" s="6">
        <v>0.0</v>
      </c>
      <c r="U16" s="7" t="s">
        <v>1259</v>
      </c>
      <c r="V16" s="6">
        <v>0.0</v>
      </c>
      <c r="W16" s="6"/>
      <c r="X16" s="6">
        <v>0.0</v>
      </c>
      <c r="Y16" s="7" t="s">
        <v>1260</v>
      </c>
      <c r="Z16" s="6">
        <v>0.0</v>
      </c>
      <c r="AA16" s="7" t="s">
        <v>1205</v>
      </c>
      <c r="AB16" s="6">
        <v>0.0</v>
      </c>
      <c r="AC16" s="7" t="s">
        <v>1261</v>
      </c>
      <c r="AD16" s="6">
        <v>0.0</v>
      </c>
      <c r="AE16" s="7" t="s">
        <v>1262</v>
      </c>
      <c r="AF16" s="12">
        <v>0.0</v>
      </c>
    </row>
    <row r="17" ht="15.75" customHeight="1">
      <c r="A17" s="6">
        <v>1919.0</v>
      </c>
      <c r="B17" s="6" t="s">
        <v>35</v>
      </c>
      <c r="C17" s="6" t="str">
        <f t="shared" si="1"/>
        <v>ESD-PB-19-LIC ROOM</v>
      </c>
      <c r="D17" s="6" t="s">
        <v>1330</v>
      </c>
      <c r="E17" s="6" t="s">
        <v>1331</v>
      </c>
      <c r="F17" s="6" t="s">
        <v>1332</v>
      </c>
      <c r="G17" s="9" t="s">
        <v>1333</v>
      </c>
      <c r="H17" s="9">
        <v>0.0</v>
      </c>
      <c r="I17" s="9" t="s">
        <v>1334</v>
      </c>
      <c r="J17" s="9">
        <v>0.0</v>
      </c>
      <c r="K17" s="7" t="s">
        <v>1254</v>
      </c>
      <c r="L17" s="6">
        <v>0.0</v>
      </c>
      <c r="M17" s="7" t="s">
        <v>1255</v>
      </c>
      <c r="N17" s="6">
        <v>0.0</v>
      </c>
      <c r="O17" s="7" t="s">
        <v>1256</v>
      </c>
      <c r="P17" s="6">
        <v>0.0</v>
      </c>
      <c r="Q17" s="7" t="s">
        <v>1257</v>
      </c>
      <c r="R17" s="6">
        <v>0.0</v>
      </c>
      <c r="S17" s="7" t="s">
        <v>1258</v>
      </c>
      <c r="T17" s="6">
        <v>0.0</v>
      </c>
      <c r="U17" s="7" t="s">
        <v>1259</v>
      </c>
      <c r="V17" s="6">
        <v>0.0</v>
      </c>
      <c r="W17" s="6"/>
      <c r="X17" s="6">
        <v>0.0</v>
      </c>
      <c r="Y17" s="7" t="s">
        <v>1260</v>
      </c>
      <c r="Z17" s="6">
        <v>0.0</v>
      </c>
      <c r="AA17" s="7" t="s">
        <v>1205</v>
      </c>
      <c r="AB17" s="6">
        <v>0.0</v>
      </c>
      <c r="AC17" s="7" t="s">
        <v>1261</v>
      </c>
      <c r="AD17" s="6">
        <v>0.0</v>
      </c>
      <c r="AE17" s="7" t="s">
        <v>1262</v>
      </c>
      <c r="AF17" s="12">
        <v>0.0</v>
      </c>
    </row>
    <row r="18" ht="15.75" customHeight="1">
      <c r="A18" s="6">
        <v>1919.0</v>
      </c>
      <c r="B18" s="6" t="s">
        <v>35</v>
      </c>
      <c r="C18" s="6" t="str">
        <f t="shared" si="1"/>
        <v>ESD-PB-20-SECURITY MAIN GATE</v>
      </c>
      <c r="D18" s="6" t="s">
        <v>1335</v>
      </c>
      <c r="E18" s="6" t="s">
        <v>1336</v>
      </c>
      <c r="F18" s="6" t="s">
        <v>1337</v>
      </c>
      <c r="G18" s="9" t="s">
        <v>1338</v>
      </c>
      <c r="H18" s="9">
        <v>0.0</v>
      </c>
      <c r="I18" s="9" t="s">
        <v>1339</v>
      </c>
      <c r="J18" s="9">
        <v>0.0</v>
      </c>
      <c r="K18" s="7" t="s">
        <v>1254</v>
      </c>
      <c r="L18" s="6">
        <v>0.0</v>
      </c>
      <c r="M18" s="7" t="s">
        <v>1255</v>
      </c>
      <c r="N18" s="6">
        <v>0.0</v>
      </c>
      <c r="O18" s="7" t="s">
        <v>1256</v>
      </c>
      <c r="P18" s="6">
        <v>0.0</v>
      </c>
      <c r="Q18" s="7" t="s">
        <v>1257</v>
      </c>
      <c r="R18" s="6">
        <v>0.0</v>
      </c>
      <c r="S18" s="7" t="s">
        <v>1258</v>
      </c>
      <c r="T18" s="6">
        <v>0.0</v>
      </c>
      <c r="U18" s="7" t="s">
        <v>1259</v>
      </c>
      <c r="V18" s="6">
        <v>0.0</v>
      </c>
      <c r="W18" s="6"/>
      <c r="X18" s="6">
        <v>0.0</v>
      </c>
      <c r="Y18" s="7" t="s">
        <v>1260</v>
      </c>
      <c r="Z18" s="6">
        <v>0.0</v>
      </c>
      <c r="AA18" s="7" t="s">
        <v>1205</v>
      </c>
      <c r="AB18" s="6">
        <v>0.0</v>
      </c>
      <c r="AC18" s="7" t="s">
        <v>1261</v>
      </c>
      <c r="AD18" s="6">
        <v>0.0</v>
      </c>
      <c r="AE18" s="7" t="s">
        <v>1262</v>
      </c>
      <c r="AF18" s="12">
        <v>0.0</v>
      </c>
    </row>
    <row r="19" ht="15.75" customHeight="1">
      <c r="A19" s="6">
        <v>1919.0</v>
      </c>
      <c r="B19" s="6" t="s">
        <v>35</v>
      </c>
      <c r="C19" s="6" t="str">
        <f t="shared" si="1"/>
        <v>ESD-PB-21-UNLOADING GANTRY</v>
      </c>
      <c r="D19" s="6" t="s">
        <v>1340</v>
      </c>
      <c r="E19" s="6" t="s">
        <v>1341</v>
      </c>
      <c r="F19" s="6" t="s">
        <v>1342</v>
      </c>
      <c r="G19" s="9" t="s">
        <v>1343</v>
      </c>
      <c r="H19" s="9">
        <v>0.0</v>
      </c>
      <c r="I19" s="9" t="s">
        <v>1344</v>
      </c>
      <c r="J19" s="9">
        <v>0.0</v>
      </c>
      <c r="K19" s="7" t="s">
        <v>1254</v>
      </c>
      <c r="L19" s="6">
        <v>0.0</v>
      </c>
      <c r="M19" s="7" t="s">
        <v>1255</v>
      </c>
      <c r="N19" s="6">
        <v>0.0</v>
      </c>
      <c r="O19" s="7" t="s">
        <v>1256</v>
      </c>
      <c r="P19" s="6">
        <v>0.0</v>
      </c>
      <c r="Q19" s="7" t="s">
        <v>1257</v>
      </c>
      <c r="R19" s="6">
        <v>0.0</v>
      </c>
      <c r="S19" s="7" t="s">
        <v>1258</v>
      </c>
      <c r="T19" s="6">
        <v>0.0</v>
      </c>
      <c r="U19" s="7" t="s">
        <v>1259</v>
      </c>
      <c r="V19" s="6">
        <v>0.0</v>
      </c>
      <c r="W19" s="6"/>
      <c r="X19" s="6">
        <v>0.0</v>
      </c>
      <c r="Y19" s="7" t="s">
        <v>1260</v>
      </c>
      <c r="Z19" s="6">
        <v>0.0</v>
      </c>
      <c r="AA19" s="7" t="s">
        <v>1205</v>
      </c>
      <c r="AB19" s="6">
        <v>0.0</v>
      </c>
      <c r="AC19" s="7" t="s">
        <v>1261</v>
      </c>
      <c r="AD19" s="6">
        <v>0.0</v>
      </c>
      <c r="AE19" s="7" t="s">
        <v>1262</v>
      </c>
      <c r="AF19" s="12">
        <v>0.0</v>
      </c>
    </row>
    <row r="20" ht="15.75" customHeight="1">
      <c r="A20" s="6">
        <v>1919.0</v>
      </c>
      <c r="B20" s="6" t="s">
        <v>35</v>
      </c>
      <c r="C20" s="6" t="str">
        <f t="shared" si="1"/>
        <v>ESD-PB-22-TLF GANTRY BAY 15</v>
      </c>
      <c r="D20" s="6" t="s">
        <v>1345</v>
      </c>
      <c r="E20" s="6" t="s">
        <v>1346</v>
      </c>
      <c r="F20" s="6" t="s">
        <v>1347</v>
      </c>
      <c r="G20" s="9" t="s">
        <v>1348</v>
      </c>
      <c r="H20" s="9">
        <v>0.0</v>
      </c>
      <c r="I20" s="9" t="s">
        <v>1349</v>
      </c>
      <c r="J20" s="9">
        <v>0.0</v>
      </c>
      <c r="K20" s="7" t="s">
        <v>1254</v>
      </c>
      <c r="L20" s="6">
        <v>0.0</v>
      </c>
      <c r="M20" s="7" t="s">
        <v>1255</v>
      </c>
      <c r="N20" s="6">
        <v>0.0</v>
      </c>
      <c r="O20" s="7" t="s">
        <v>1256</v>
      </c>
      <c r="P20" s="6">
        <v>0.0</v>
      </c>
      <c r="Q20" s="7" t="s">
        <v>1257</v>
      </c>
      <c r="R20" s="6">
        <v>0.0</v>
      </c>
      <c r="S20" s="7" t="s">
        <v>1258</v>
      </c>
      <c r="T20" s="6">
        <v>0.0</v>
      </c>
      <c r="U20" s="7" t="s">
        <v>1259</v>
      </c>
      <c r="V20" s="6">
        <v>0.0</v>
      </c>
      <c r="W20" s="6"/>
      <c r="X20" s="6">
        <v>0.0</v>
      </c>
      <c r="Y20" s="7" t="s">
        <v>1260</v>
      </c>
      <c r="Z20" s="6">
        <v>0.0</v>
      </c>
      <c r="AA20" s="7" t="s">
        <v>1205</v>
      </c>
      <c r="AB20" s="6">
        <v>0.0</v>
      </c>
      <c r="AC20" s="7" t="s">
        <v>1261</v>
      </c>
      <c r="AD20" s="6">
        <v>0.0</v>
      </c>
      <c r="AE20" s="7" t="s">
        <v>1262</v>
      </c>
      <c r="AF20" s="12">
        <v>0.0</v>
      </c>
    </row>
    <row r="21" ht="15.75" customHeight="1">
      <c r="A21" s="6">
        <v>1919.0</v>
      </c>
      <c r="B21" s="6" t="s">
        <v>35</v>
      </c>
      <c r="C21" s="6" t="str">
        <f t="shared" si="1"/>
        <v>ESD-PB-24-ESD TO BPCL PH ACB</v>
      </c>
      <c r="D21" s="6" t="s">
        <v>1350</v>
      </c>
      <c r="E21" s="6" t="s">
        <v>1351</v>
      </c>
      <c r="F21" s="6" t="s">
        <v>1352</v>
      </c>
      <c r="G21" s="9" t="s">
        <v>1353</v>
      </c>
      <c r="H21" s="9">
        <v>0.0</v>
      </c>
      <c r="I21" s="9" t="s">
        <v>1354</v>
      </c>
      <c r="J21" s="9">
        <v>0.0</v>
      </c>
      <c r="K21" s="7" t="s">
        <v>1254</v>
      </c>
      <c r="L21" s="6">
        <v>0.0</v>
      </c>
      <c r="M21" s="7" t="s">
        <v>1255</v>
      </c>
      <c r="N21" s="6">
        <v>0.0</v>
      </c>
      <c r="O21" s="7" t="s">
        <v>1256</v>
      </c>
      <c r="P21" s="6">
        <v>0.0</v>
      </c>
      <c r="Q21" s="7" t="s">
        <v>1257</v>
      </c>
      <c r="R21" s="6">
        <v>0.0</v>
      </c>
      <c r="S21" s="7" t="s">
        <v>1258</v>
      </c>
      <c r="T21" s="6">
        <v>0.0</v>
      </c>
      <c r="U21" s="7" t="s">
        <v>1259</v>
      </c>
      <c r="V21" s="6">
        <v>0.0</v>
      </c>
      <c r="W21" s="6"/>
      <c r="X21" s="6">
        <v>0.0</v>
      </c>
      <c r="Y21" s="7" t="s">
        <v>1260</v>
      </c>
      <c r="Z21" s="6">
        <v>0.0</v>
      </c>
      <c r="AA21" s="7" t="s">
        <v>1205</v>
      </c>
      <c r="AB21" s="6">
        <v>0.0</v>
      </c>
      <c r="AC21" s="7" t="s">
        <v>1261</v>
      </c>
      <c r="AD21" s="6">
        <v>0.0</v>
      </c>
      <c r="AE21" s="7" t="s">
        <v>1262</v>
      </c>
      <c r="AF21" s="12">
        <v>0.0</v>
      </c>
    </row>
    <row r="22" ht="15.75" customHeight="1">
      <c r="A22" s="6">
        <v>1919.0</v>
      </c>
      <c r="B22" s="6" t="s">
        <v>35</v>
      </c>
      <c r="C22" s="6" t="str">
        <f t="shared" si="1"/>
        <v>ESD-BPCL-Common ESD BPCL</v>
      </c>
      <c r="D22" s="6" t="s">
        <v>1355</v>
      </c>
      <c r="E22" s="6" t="s">
        <v>1355</v>
      </c>
      <c r="F22" s="6" t="s">
        <v>1356</v>
      </c>
      <c r="G22" s="9" t="s">
        <v>1357</v>
      </c>
      <c r="H22" s="9">
        <v>0.0</v>
      </c>
      <c r="I22" s="12"/>
      <c r="J22" s="12"/>
      <c r="K22" s="7" t="s">
        <v>1254</v>
      </c>
      <c r="L22" s="6">
        <v>0.0</v>
      </c>
      <c r="M22" s="7" t="s">
        <v>1255</v>
      </c>
      <c r="N22" s="6">
        <v>0.0</v>
      </c>
      <c r="O22" s="7" t="s">
        <v>1256</v>
      </c>
      <c r="P22" s="6">
        <v>0.0</v>
      </c>
      <c r="Q22" s="7" t="s">
        <v>1257</v>
      </c>
      <c r="R22" s="6">
        <v>0.0</v>
      </c>
      <c r="S22" s="7" t="s">
        <v>1258</v>
      </c>
      <c r="T22" s="6">
        <v>0.0</v>
      </c>
      <c r="U22" s="7" t="s">
        <v>1259</v>
      </c>
      <c r="V22" s="6">
        <v>0.0</v>
      </c>
      <c r="W22" s="6"/>
      <c r="X22" s="6">
        <v>0.0</v>
      </c>
      <c r="Y22" s="7" t="s">
        <v>1260</v>
      </c>
      <c r="Z22" s="6">
        <v>0.0</v>
      </c>
      <c r="AA22" s="7" t="s">
        <v>1205</v>
      </c>
      <c r="AB22" s="6">
        <v>0.0</v>
      </c>
      <c r="AC22" s="7" t="s">
        <v>1261</v>
      </c>
      <c r="AD22" s="6">
        <v>0.0</v>
      </c>
      <c r="AE22" s="7" t="s">
        <v>1262</v>
      </c>
      <c r="AF22" s="12">
        <v>0.0</v>
      </c>
    </row>
    <row r="23" ht="15.75" customHeight="1">
      <c r="A23" s="6">
        <v>1919.0</v>
      </c>
      <c r="B23" s="6" t="s">
        <v>35</v>
      </c>
      <c r="C23" s="6" t="str">
        <f t="shared" si="1"/>
        <v>ESD-IOCL-Common ESD IOCL</v>
      </c>
      <c r="D23" s="6" t="s">
        <v>1358</v>
      </c>
      <c r="E23" s="6" t="s">
        <v>1358</v>
      </c>
      <c r="F23" s="6" t="s">
        <v>1359</v>
      </c>
      <c r="G23" s="9" t="s">
        <v>1360</v>
      </c>
      <c r="H23" s="9">
        <v>0.0</v>
      </c>
      <c r="I23" s="12"/>
      <c r="J23" s="12"/>
      <c r="K23" s="7" t="s">
        <v>1254</v>
      </c>
      <c r="L23" s="6">
        <v>0.0</v>
      </c>
      <c r="M23" s="7" t="s">
        <v>1255</v>
      </c>
      <c r="N23" s="6">
        <v>0.0</v>
      </c>
      <c r="O23" s="7" t="s">
        <v>1256</v>
      </c>
      <c r="P23" s="6">
        <v>0.0</v>
      </c>
      <c r="Q23" s="7" t="s">
        <v>1257</v>
      </c>
      <c r="R23" s="6">
        <v>0.0</v>
      </c>
      <c r="S23" s="7" t="s">
        <v>1258</v>
      </c>
      <c r="T23" s="6">
        <v>0.0</v>
      </c>
      <c r="U23" s="7" t="s">
        <v>1259</v>
      </c>
      <c r="V23" s="6">
        <v>0.0</v>
      </c>
      <c r="W23" s="6"/>
      <c r="X23" s="6">
        <v>0.0</v>
      </c>
      <c r="Y23" s="7" t="s">
        <v>1260</v>
      </c>
      <c r="Z23" s="6">
        <v>0.0</v>
      </c>
      <c r="AA23" s="7" t="s">
        <v>1205</v>
      </c>
      <c r="AB23" s="6">
        <v>0.0</v>
      </c>
      <c r="AC23" s="7" t="s">
        <v>1261</v>
      </c>
      <c r="AD23" s="6">
        <v>0.0</v>
      </c>
      <c r="AE23" s="7" t="s">
        <v>1262</v>
      </c>
      <c r="AF23" s="12">
        <v>0.0</v>
      </c>
    </row>
    <row r="24" ht="15.75" customHeight="1">
      <c r="A24" s="6">
        <v>1919.0</v>
      </c>
      <c r="B24" s="6" t="s">
        <v>35</v>
      </c>
      <c r="C24" s="6" t="str">
        <f t="shared" si="1"/>
        <v>ESD-SOFT-SOFT FROM OIC</v>
      </c>
      <c r="D24" s="6" t="s">
        <v>1361</v>
      </c>
      <c r="E24" s="6" t="s">
        <v>1361</v>
      </c>
      <c r="F24" s="6" t="s">
        <v>1362</v>
      </c>
      <c r="G24" s="9" t="s">
        <v>1363</v>
      </c>
      <c r="H24" s="9">
        <v>0.0</v>
      </c>
      <c r="I24" s="12"/>
      <c r="J24" s="12"/>
      <c r="K24" s="7" t="s">
        <v>1254</v>
      </c>
      <c r="L24" s="6">
        <v>0.0</v>
      </c>
      <c r="M24" s="7" t="s">
        <v>1255</v>
      </c>
      <c r="N24" s="6">
        <v>0.0</v>
      </c>
      <c r="O24" s="7" t="s">
        <v>1256</v>
      </c>
      <c r="P24" s="6">
        <v>0.0</v>
      </c>
      <c r="Q24" s="7" t="s">
        <v>1257</v>
      </c>
      <c r="R24" s="6">
        <v>0.0</v>
      </c>
      <c r="S24" s="7" t="s">
        <v>1258</v>
      </c>
      <c r="T24" s="6">
        <v>0.0</v>
      </c>
      <c r="U24" s="7" t="s">
        <v>1259</v>
      </c>
      <c r="V24" s="6">
        <v>0.0</v>
      </c>
      <c r="W24" s="6"/>
      <c r="X24" s="6">
        <v>0.0</v>
      </c>
      <c r="Y24" s="7" t="s">
        <v>1260</v>
      </c>
      <c r="Z24" s="6">
        <v>0.0</v>
      </c>
      <c r="AA24" s="7" t="s">
        <v>1205</v>
      </c>
      <c r="AB24" s="6">
        <v>0.0</v>
      </c>
      <c r="AC24" s="7" t="s">
        <v>1261</v>
      </c>
      <c r="AD24" s="6">
        <v>0.0</v>
      </c>
      <c r="AE24" s="7" t="s">
        <v>1262</v>
      </c>
      <c r="AF24" s="12">
        <v>0.0</v>
      </c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4.75"/>
    <col customWidth="1" min="5" max="5" width="13.75"/>
    <col customWidth="1" min="7" max="7" width="9.25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8.88"/>
    <col customWidth="1" min="13" max="13" width="11.5"/>
    <col customWidth="1" min="14" max="14" width="46.25"/>
    <col customWidth="1" min="15" max="15" width="11.5"/>
    <col customWidth="1" min="16" max="16" width="50.13"/>
    <col customWidth="1" min="17" max="17" width="11.5"/>
    <col customWidth="1" min="18" max="18" width="48.75"/>
    <col customWidth="1" min="19" max="19" width="11.5"/>
    <col customWidth="1" min="20" max="20" width="50.5"/>
    <col customWidth="1" min="21" max="21" width="11.5"/>
    <col customWidth="1" min="22" max="22" width="58.38"/>
    <col customWidth="1" min="23" max="23" width="11.5"/>
    <col customWidth="1" min="24" max="24" width="58.38"/>
    <col customWidth="1" min="25" max="25" width="11.5"/>
    <col customWidth="1" min="26" max="26" width="49.13"/>
    <col customWidth="1" min="27" max="27" width="11.5"/>
    <col customWidth="1" min="28" max="28" width="55.63"/>
    <col customWidth="1" min="29" max="29" width="11.5"/>
    <col customWidth="1" min="30" max="30" width="54.5"/>
    <col customWidth="1" min="31" max="31" width="11.5"/>
    <col customWidth="1" min="32" max="32" width="57.0"/>
    <col customWidth="1" min="33" max="33" width="11.5"/>
    <col customWidth="1" min="34" max="34" width="55.75"/>
    <col customWidth="1" min="35" max="35" width="11.5"/>
    <col customWidth="1" min="36" max="36" width="54.25"/>
    <col customWidth="1" min="37" max="37" width="11.5"/>
    <col customWidth="1" min="38" max="38" width="51.88"/>
    <col customWidth="1" min="39" max="39" width="11.5"/>
    <col customWidth="1" min="40" max="40" width="53.13"/>
    <col customWidth="1" min="41" max="41" width="11.5"/>
    <col customWidth="1" min="42" max="42" width="54.0"/>
    <col customWidth="1" min="43" max="45" width="40.13"/>
    <col customWidth="1" min="46" max="46" width="55.25"/>
    <col customWidth="1" min="47" max="47" width="11.5"/>
    <col customWidth="1" min="48" max="48" width="61.38"/>
    <col customWidth="1" min="49" max="49" width="11.5"/>
  </cols>
  <sheetData>
    <row r="1" ht="15.75" customHeight="1">
      <c r="A1" s="1" t="s">
        <v>0</v>
      </c>
      <c r="B1" s="1" t="s">
        <v>1</v>
      </c>
      <c r="C1" s="17" t="s">
        <v>2</v>
      </c>
      <c r="D1" s="1" t="s">
        <v>1364</v>
      </c>
      <c r="E1" s="1" t="s">
        <v>1365</v>
      </c>
      <c r="F1" s="1" t="s">
        <v>1366</v>
      </c>
      <c r="G1" s="1" t="s">
        <v>5</v>
      </c>
      <c r="H1" s="5" t="s">
        <v>1367</v>
      </c>
      <c r="I1" s="5" t="s">
        <v>7</v>
      </c>
      <c r="J1" s="5" t="s">
        <v>1368</v>
      </c>
      <c r="K1" s="5" t="s">
        <v>7</v>
      </c>
      <c r="L1" s="37" t="s">
        <v>1369</v>
      </c>
      <c r="M1" s="37" t="s">
        <v>7</v>
      </c>
      <c r="N1" s="5" t="s">
        <v>1370</v>
      </c>
      <c r="O1" s="5" t="s">
        <v>7</v>
      </c>
      <c r="P1" s="37" t="s">
        <v>1371</v>
      </c>
      <c r="Q1" s="37" t="s">
        <v>7</v>
      </c>
      <c r="R1" s="5" t="s">
        <v>1372</v>
      </c>
      <c r="S1" s="5" t="s">
        <v>7</v>
      </c>
      <c r="T1" s="37" t="s">
        <v>1373</v>
      </c>
      <c r="U1" s="37" t="s">
        <v>7</v>
      </c>
      <c r="V1" s="5" t="s">
        <v>1374</v>
      </c>
      <c r="W1" s="5" t="s">
        <v>7</v>
      </c>
      <c r="X1" s="38" t="s">
        <v>1375</v>
      </c>
      <c r="Y1" s="5" t="s">
        <v>7</v>
      </c>
      <c r="Z1" s="5" t="s">
        <v>1376</v>
      </c>
      <c r="AA1" s="5" t="s">
        <v>7</v>
      </c>
      <c r="AB1" s="38" t="s">
        <v>1377</v>
      </c>
      <c r="AC1" s="5" t="s">
        <v>7</v>
      </c>
      <c r="AD1" s="5" t="s">
        <v>1378</v>
      </c>
      <c r="AE1" s="5" t="s">
        <v>7</v>
      </c>
      <c r="AF1" s="5" t="s">
        <v>1379</v>
      </c>
      <c r="AG1" s="5" t="s">
        <v>7</v>
      </c>
      <c r="AH1" s="5" t="s">
        <v>1380</v>
      </c>
      <c r="AI1" s="5" t="s">
        <v>7</v>
      </c>
      <c r="AJ1" s="5" t="s">
        <v>1381</v>
      </c>
      <c r="AK1" s="5" t="s">
        <v>7</v>
      </c>
      <c r="AL1" s="5" t="s">
        <v>1382</v>
      </c>
      <c r="AM1" s="5" t="s">
        <v>7</v>
      </c>
      <c r="AN1" s="5" t="s">
        <v>1383</v>
      </c>
      <c r="AO1" s="5" t="s">
        <v>1384</v>
      </c>
      <c r="AP1" s="5" t="s">
        <v>1385</v>
      </c>
      <c r="AQ1" s="5" t="s">
        <v>1386</v>
      </c>
      <c r="AR1" s="37" t="s">
        <v>1387</v>
      </c>
      <c r="AS1" s="37" t="s">
        <v>7</v>
      </c>
      <c r="AT1" s="35" t="s">
        <v>1388</v>
      </c>
      <c r="AU1" s="35" t="s">
        <v>7</v>
      </c>
      <c r="AV1" s="39" t="s">
        <v>1389</v>
      </c>
      <c r="AW1" s="39" t="s">
        <v>7</v>
      </c>
    </row>
    <row r="2" ht="15.75" customHeight="1">
      <c r="A2" s="6">
        <v>1919.0</v>
      </c>
      <c r="B2" s="6" t="s">
        <v>35</v>
      </c>
      <c r="C2" s="6" t="str">
        <f t="shared" ref="C2:C38" si="1">CONCATENATE(D2,"_",F2,"_",G2)</f>
        <v>LP 01_BC-01A_BS VI MS</v>
      </c>
      <c r="D2" s="6" t="s">
        <v>1390</v>
      </c>
      <c r="E2" s="6" t="s">
        <v>591</v>
      </c>
      <c r="F2" s="6" t="s">
        <v>1391</v>
      </c>
      <c r="G2" s="6" t="s">
        <v>120</v>
      </c>
      <c r="H2" s="12" t="s">
        <v>1392</v>
      </c>
      <c r="I2" s="9">
        <v>0.0</v>
      </c>
      <c r="J2" s="12" t="s">
        <v>1393</v>
      </c>
      <c r="K2" s="9">
        <v>0.0</v>
      </c>
      <c r="L2" s="40"/>
      <c r="M2" s="40"/>
      <c r="N2" s="12" t="s">
        <v>1394</v>
      </c>
      <c r="O2" s="9">
        <v>0.0</v>
      </c>
      <c r="P2" s="40"/>
      <c r="Q2" s="40"/>
      <c r="R2" s="12" t="s">
        <v>1395</v>
      </c>
      <c r="S2" s="9">
        <v>0.0</v>
      </c>
      <c r="T2" s="40"/>
      <c r="U2" s="40"/>
      <c r="V2" s="12" t="s">
        <v>1396</v>
      </c>
      <c r="W2" s="9">
        <v>0.0</v>
      </c>
      <c r="X2" s="40"/>
      <c r="Y2" s="40"/>
      <c r="Z2" s="12" t="s">
        <v>1397</v>
      </c>
      <c r="AA2" s="9">
        <v>0.0</v>
      </c>
      <c r="AB2" s="40"/>
      <c r="AC2" s="40"/>
      <c r="AD2" s="12" t="s">
        <v>1398</v>
      </c>
      <c r="AE2" s="27">
        <v>0.0</v>
      </c>
      <c r="AF2" s="12" t="s">
        <v>1399</v>
      </c>
      <c r="AG2" s="27">
        <v>0.0</v>
      </c>
      <c r="AH2" s="12" t="s">
        <v>1399</v>
      </c>
      <c r="AI2" s="9">
        <v>0.0</v>
      </c>
      <c r="AJ2" s="12" t="s">
        <v>1400</v>
      </c>
      <c r="AK2" s="9">
        <v>0.0</v>
      </c>
      <c r="AL2" s="12" t="s">
        <v>1401</v>
      </c>
      <c r="AM2" s="9">
        <v>0.0</v>
      </c>
      <c r="AN2" s="12" t="s">
        <v>1402</v>
      </c>
      <c r="AO2" s="9">
        <v>0.0</v>
      </c>
      <c r="AP2" s="12" t="s">
        <v>1403</v>
      </c>
      <c r="AQ2" s="9">
        <v>0.0</v>
      </c>
      <c r="AR2" s="40"/>
      <c r="AS2" s="40"/>
      <c r="AT2" s="12" t="s">
        <v>1404</v>
      </c>
      <c r="AU2" s="9">
        <v>0.0</v>
      </c>
      <c r="AV2" s="40"/>
      <c r="AW2" s="40"/>
    </row>
    <row r="3" ht="15.75" customHeight="1">
      <c r="A3" s="6">
        <v>1919.0</v>
      </c>
      <c r="B3" s="6" t="s">
        <v>35</v>
      </c>
      <c r="C3" s="6" t="str">
        <f t="shared" si="1"/>
        <v>LP 02_BC-01B_BS VI HSD</v>
      </c>
      <c r="D3" s="6" t="s">
        <v>1405</v>
      </c>
      <c r="E3" s="6" t="s">
        <v>591</v>
      </c>
      <c r="F3" s="6" t="s">
        <v>1406</v>
      </c>
      <c r="G3" s="6" t="s">
        <v>38</v>
      </c>
      <c r="H3" s="12" t="s">
        <v>1407</v>
      </c>
      <c r="I3" s="9">
        <v>0.0</v>
      </c>
      <c r="J3" s="12" t="s">
        <v>1408</v>
      </c>
      <c r="K3" s="9">
        <v>0.0</v>
      </c>
      <c r="L3" s="40"/>
      <c r="M3" s="40"/>
      <c r="N3" s="12" t="s">
        <v>1409</v>
      </c>
      <c r="O3" s="9">
        <v>0.0</v>
      </c>
      <c r="P3" s="40"/>
      <c r="Q3" s="40"/>
      <c r="R3" s="12" t="s">
        <v>1410</v>
      </c>
      <c r="S3" s="9">
        <v>0.0</v>
      </c>
      <c r="T3" s="40"/>
      <c r="U3" s="40"/>
      <c r="V3" s="12" t="s">
        <v>1411</v>
      </c>
      <c r="W3" s="9">
        <v>0.0</v>
      </c>
      <c r="X3" s="40"/>
      <c r="Y3" s="40"/>
      <c r="Z3" s="12" t="s">
        <v>1412</v>
      </c>
      <c r="AA3" s="9">
        <v>0.0</v>
      </c>
      <c r="AB3" s="40"/>
      <c r="AC3" s="40"/>
      <c r="AD3" s="12" t="s">
        <v>1413</v>
      </c>
      <c r="AE3" s="27">
        <v>0.0</v>
      </c>
      <c r="AF3" s="12" t="s">
        <v>1414</v>
      </c>
      <c r="AG3" s="27">
        <v>0.0</v>
      </c>
      <c r="AH3" s="12" t="s">
        <v>1414</v>
      </c>
      <c r="AI3" s="9">
        <v>0.0</v>
      </c>
      <c r="AJ3" s="12" t="s">
        <v>1415</v>
      </c>
      <c r="AK3" s="9">
        <v>0.0</v>
      </c>
      <c r="AL3" s="12" t="s">
        <v>1416</v>
      </c>
      <c r="AM3" s="9">
        <v>0.0</v>
      </c>
      <c r="AN3" s="12" t="s">
        <v>1417</v>
      </c>
      <c r="AO3" s="9">
        <v>0.0</v>
      </c>
      <c r="AP3" s="12" t="s">
        <v>1418</v>
      </c>
      <c r="AQ3" s="9">
        <v>0.0</v>
      </c>
      <c r="AR3" s="40"/>
      <c r="AS3" s="40"/>
      <c r="AT3" s="12" t="s">
        <v>1419</v>
      </c>
      <c r="AU3" s="9">
        <v>0.0</v>
      </c>
      <c r="AV3" s="40"/>
      <c r="AW3" s="40"/>
    </row>
    <row r="4" ht="15.75" customHeight="1">
      <c r="A4" s="6">
        <v>1919.0</v>
      </c>
      <c r="B4" s="6" t="s">
        <v>35</v>
      </c>
      <c r="C4" s="6" t="str">
        <f t="shared" si="1"/>
        <v>LP 03_BC-02A_BS VI MS</v>
      </c>
      <c r="D4" s="6" t="s">
        <v>1420</v>
      </c>
      <c r="E4" s="6" t="s">
        <v>591</v>
      </c>
      <c r="F4" s="6" t="s">
        <v>1421</v>
      </c>
      <c r="G4" s="6" t="s">
        <v>120</v>
      </c>
      <c r="H4" s="12" t="s">
        <v>1422</v>
      </c>
      <c r="I4" s="9">
        <v>0.0</v>
      </c>
      <c r="J4" s="12" t="s">
        <v>1423</v>
      </c>
      <c r="K4" s="9">
        <v>0.0</v>
      </c>
      <c r="L4" s="40" t="s">
        <v>1424</v>
      </c>
      <c r="M4" s="41">
        <v>0.0</v>
      </c>
      <c r="N4" s="12" t="s">
        <v>1425</v>
      </c>
      <c r="O4" s="9">
        <v>0.0</v>
      </c>
      <c r="P4" s="40" t="s">
        <v>1426</v>
      </c>
      <c r="Q4" s="41">
        <v>0.0</v>
      </c>
      <c r="R4" s="12" t="s">
        <v>1427</v>
      </c>
      <c r="S4" s="9">
        <v>0.0</v>
      </c>
      <c r="T4" s="40" t="s">
        <v>1428</v>
      </c>
      <c r="U4" s="41">
        <v>0.0</v>
      </c>
      <c r="V4" s="12" t="s">
        <v>1429</v>
      </c>
      <c r="W4" s="9">
        <v>0.0</v>
      </c>
      <c r="X4" s="40" t="s">
        <v>1430</v>
      </c>
      <c r="Y4" s="41">
        <v>0.0</v>
      </c>
      <c r="Z4" s="12" t="s">
        <v>1431</v>
      </c>
      <c r="AA4" s="9">
        <v>0.0</v>
      </c>
      <c r="AB4" s="40" t="s">
        <v>1432</v>
      </c>
      <c r="AC4" s="41">
        <v>0.0</v>
      </c>
      <c r="AD4" s="12" t="s">
        <v>1433</v>
      </c>
      <c r="AE4" s="27">
        <v>0.0</v>
      </c>
      <c r="AF4" s="12" t="s">
        <v>1434</v>
      </c>
      <c r="AG4" s="27">
        <v>0.0</v>
      </c>
      <c r="AH4" s="12" t="s">
        <v>1434</v>
      </c>
      <c r="AI4" s="9">
        <v>0.0</v>
      </c>
      <c r="AJ4" s="12" t="s">
        <v>1435</v>
      </c>
      <c r="AK4" s="9">
        <v>0.0</v>
      </c>
      <c r="AL4" s="12" t="s">
        <v>1436</v>
      </c>
      <c r="AM4" s="9">
        <v>0.0</v>
      </c>
      <c r="AN4" s="12" t="s">
        <v>1437</v>
      </c>
      <c r="AO4" s="9">
        <v>0.0</v>
      </c>
      <c r="AP4" s="12" t="s">
        <v>1438</v>
      </c>
      <c r="AQ4" s="9">
        <v>0.0</v>
      </c>
      <c r="AR4" s="40" t="s">
        <v>1439</v>
      </c>
      <c r="AS4" s="41">
        <v>0.0</v>
      </c>
      <c r="AT4" s="12" t="s">
        <v>1440</v>
      </c>
      <c r="AU4" s="9">
        <v>0.0</v>
      </c>
      <c r="AV4" s="40" t="s">
        <v>1441</v>
      </c>
      <c r="AW4" s="41">
        <v>0.0</v>
      </c>
    </row>
    <row r="5" ht="15.75" customHeight="1">
      <c r="A5" s="6">
        <v>1919.0</v>
      </c>
      <c r="B5" s="6" t="s">
        <v>35</v>
      </c>
      <c r="C5" s="6" t="str">
        <f t="shared" si="1"/>
        <v>LP 04_BC-02B_BS VI HSD</v>
      </c>
      <c r="D5" s="6" t="s">
        <v>1442</v>
      </c>
      <c r="E5" s="6" t="s">
        <v>591</v>
      </c>
      <c r="F5" s="6" t="s">
        <v>1443</v>
      </c>
      <c r="G5" s="6" t="s">
        <v>38</v>
      </c>
      <c r="H5" s="12" t="s">
        <v>1444</v>
      </c>
      <c r="I5" s="9">
        <v>0.0</v>
      </c>
      <c r="J5" s="12" t="s">
        <v>1445</v>
      </c>
      <c r="K5" s="9">
        <v>0.0</v>
      </c>
      <c r="L5" s="40" t="s">
        <v>1446</v>
      </c>
      <c r="M5" s="41">
        <v>0.0</v>
      </c>
      <c r="N5" s="12" t="s">
        <v>1447</v>
      </c>
      <c r="O5" s="9">
        <v>0.0</v>
      </c>
      <c r="P5" s="40" t="s">
        <v>1448</v>
      </c>
      <c r="Q5" s="41">
        <v>0.0</v>
      </c>
      <c r="R5" s="12" t="s">
        <v>1449</v>
      </c>
      <c r="S5" s="9">
        <v>0.0</v>
      </c>
      <c r="T5" s="40" t="s">
        <v>1450</v>
      </c>
      <c r="U5" s="41">
        <v>0.0</v>
      </c>
      <c r="V5" s="12" t="s">
        <v>1451</v>
      </c>
      <c r="W5" s="9">
        <v>0.0</v>
      </c>
      <c r="X5" s="40" t="s">
        <v>1452</v>
      </c>
      <c r="Y5" s="41">
        <v>0.0</v>
      </c>
      <c r="Z5" s="12" t="s">
        <v>1453</v>
      </c>
      <c r="AA5" s="9">
        <v>0.0</v>
      </c>
      <c r="AB5" s="40" t="s">
        <v>1454</v>
      </c>
      <c r="AC5" s="41">
        <v>0.0</v>
      </c>
      <c r="AD5" s="12" t="s">
        <v>1455</v>
      </c>
      <c r="AE5" s="27">
        <v>0.0</v>
      </c>
      <c r="AF5" s="12" t="s">
        <v>1456</v>
      </c>
      <c r="AG5" s="27">
        <v>0.0</v>
      </c>
      <c r="AH5" s="12" t="s">
        <v>1456</v>
      </c>
      <c r="AI5" s="9">
        <v>0.0</v>
      </c>
      <c r="AJ5" s="12" t="s">
        <v>1457</v>
      </c>
      <c r="AK5" s="9">
        <v>0.0</v>
      </c>
      <c r="AL5" s="12" t="s">
        <v>1458</v>
      </c>
      <c r="AM5" s="9">
        <v>0.0</v>
      </c>
      <c r="AN5" s="12" t="s">
        <v>1459</v>
      </c>
      <c r="AO5" s="9">
        <v>0.0</v>
      </c>
      <c r="AP5" s="12" t="s">
        <v>1460</v>
      </c>
      <c r="AQ5" s="9">
        <v>0.0</v>
      </c>
      <c r="AR5" s="40" t="s">
        <v>1461</v>
      </c>
      <c r="AS5" s="41">
        <v>0.0</v>
      </c>
      <c r="AT5" s="12" t="s">
        <v>1462</v>
      </c>
      <c r="AU5" s="9">
        <v>0.0</v>
      </c>
      <c r="AV5" s="40" t="s">
        <v>1463</v>
      </c>
      <c r="AW5" s="41">
        <v>0.0</v>
      </c>
    </row>
    <row r="6" ht="15.75" customHeight="1">
      <c r="A6" s="6">
        <v>1919.0</v>
      </c>
      <c r="B6" s="6" t="s">
        <v>35</v>
      </c>
      <c r="C6" s="6" t="str">
        <f t="shared" si="1"/>
        <v>LP 05_BC-03A_BS VI MS</v>
      </c>
      <c r="D6" s="6" t="s">
        <v>1464</v>
      </c>
      <c r="E6" s="6" t="s">
        <v>591</v>
      </c>
      <c r="F6" s="6" t="s">
        <v>1465</v>
      </c>
      <c r="G6" s="6" t="s">
        <v>120</v>
      </c>
      <c r="H6" s="12" t="s">
        <v>1466</v>
      </c>
      <c r="I6" s="9">
        <v>0.0</v>
      </c>
      <c r="J6" s="12" t="s">
        <v>1467</v>
      </c>
      <c r="K6" s="9">
        <v>0.0</v>
      </c>
      <c r="L6" s="40" t="s">
        <v>1468</v>
      </c>
      <c r="M6" s="41">
        <v>0.0</v>
      </c>
      <c r="N6" s="12" t="s">
        <v>1469</v>
      </c>
      <c r="O6" s="9">
        <v>0.0</v>
      </c>
      <c r="P6" s="40" t="s">
        <v>1470</v>
      </c>
      <c r="Q6" s="41">
        <v>0.0</v>
      </c>
      <c r="R6" s="12" t="s">
        <v>1471</v>
      </c>
      <c r="S6" s="9">
        <v>0.0</v>
      </c>
      <c r="T6" s="40" t="s">
        <v>1472</v>
      </c>
      <c r="U6" s="41">
        <v>0.0</v>
      </c>
      <c r="V6" s="12" t="s">
        <v>1473</v>
      </c>
      <c r="W6" s="9">
        <v>0.0</v>
      </c>
      <c r="X6" s="40" t="s">
        <v>1474</v>
      </c>
      <c r="Y6" s="41">
        <v>0.0</v>
      </c>
      <c r="Z6" s="12" t="s">
        <v>1475</v>
      </c>
      <c r="AA6" s="9">
        <v>0.0</v>
      </c>
      <c r="AB6" s="40" t="s">
        <v>1476</v>
      </c>
      <c r="AC6" s="41">
        <v>0.0</v>
      </c>
      <c r="AD6" s="12" t="s">
        <v>1477</v>
      </c>
      <c r="AE6" s="27">
        <v>0.0</v>
      </c>
      <c r="AF6" s="12" t="s">
        <v>1478</v>
      </c>
      <c r="AG6" s="27">
        <v>0.0</v>
      </c>
      <c r="AH6" s="12" t="s">
        <v>1478</v>
      </c>
      <c r="AI6" s="9">
        <v>0.0</v>
      </c>
      <c r="AJ6" s="12" t="s">
        <v>1479</v>
      </c>
      <c r="AK6" s="9">
        <v>0.0</v>
      </c>
      <c r="AL6" s="12" t="s">
        <v>1480</v>
      </c>
      <c r="AM6" s="9">
        <v>0.0</v>
      </c>
      <c r="AN6" s="12" t="s">
        <v>1481</v>
      </c>
      <c r="AO6" s="9">
        <v>0.0</v>
      </c>
      <c r="AP6" s="12" t="s">
        <v>1482</v>
      </c>
      <c r="AQ6" s="9">
        <v>0.0</v>
      </c>
      <c r="AR6" s="40" t="s">
        <v>1483</v>
      </c>
      <c r="AS6" s="41">
        <v>0.0</v>
      </c>
      <c r="AT6" s="12" t="s">
        <v>1484</v>
      </c>
      <c r="AU6" s="9">
        <v>0.0</v>
      </c>
      <c r="AV6" s="40" t="s">
        <v>1485</v>
      </c>
      <c r="AW6" s="41">
        <v>0.0</v>
      </c>
    </row>
    <row r="7" ht="15.75" customHeight="1">
      <c r="A7" s="6">
        <v>1919.0</v>
      </c>
      <c r="B7" s="6" t="s">
        <v>35</v>
      </c>
      <c r="C7" s="6" t="str">
        <f t="shared" si="1"/>
        <v>LP 06_BC-03B_BS VI HSD</v>
      </c>
      <c r="D7" s="6" t="s">
        <v>1486</v>
      </c>
      <c r="E7" s="6" t="s">
        <v>591</v>
      </c>
      <c r="F7" s="6" t="s">
        <v>1487</v>
      </c>
      <c r="G7" s="6" t="s">
        <v>38</v>
      </c>
      <c r="H7" s="12" t="s">
        <v>1488</v>
      </c>
      <c r="I7" s="9">
        <v>0.0</v>
      </c>
      <c r="J7" s="12" t="s">
        <v>1489</v>
      </c>
      <c r="K7" s="9">
        <v>0.0</v>
      </c>
      <c r="L7" s="40" t="s">
        <v>1490</v>
      </c>
      <c r="M7" s="41">
        <v>0.0</v>
      </c>
      <c r="N7" s="12" t="s">
        <v>1491</v>
      </c>
      <c r="O7" s="9">
        <v>0.0</v>
      </c>
      <c r="P7" s="40" t="s">
        <v>1492</v>
      </c>
      <c r="Q7" s="41">
        <v>0.0</v>
      </c>
      <c r="R7" s="12" t="s">
        <v>1493</v>
      </c>
      <c r="S7" s="9">
        <v>0.0</v>
      </c>
      <c r="T7" s="40" t="s">
        <v>1494</v>
      </c>
      <c r="U7" s="41">
        <v>0.0</v>
      </c>
      <c r="V7" s="12" t="s">
        <v>1495</v>
      </c>
      <c r="W7" s="9">
        <v>0.0</v>
      </c>
      <c r="X7" s="40" t="s">
        <v>1496</v>
      </c>
      <c r="Y7" s="41">
        <v>0.0</v>
      </c>
      <c r="Z7" s="12" t="s">
        <v>1497</v>
      </c>
      <c r="AA7" s="9">
        <v>0.0</v>
      </c>
      <c r="AB7" s="40" t="s">
        <v>1498</v>
      </c>
      <c r="AC7" s="41">
        <v>0.0</v>
      </c>
      <c r="AD7" s="12" t="s">
        <v>1499</v>
      </c>
      <c r="AE7" s="27">
        <v>0.0</v>
      </c>
      <c r="AF7" s="12" t="s">
        <v>1500</v>
      </c>
      <c r="AG7" s="27">
        <v>0.0</v>
      </c>
      <c r="AH7" s="12" t="s">
        <v>1500</v>
      </c>
      <c r="AI7" s="9">
        <v>0.0</v>
      </c>
      <c r="AJ7" s="12" t="s">
        <v>1501</v>
      </c>
      <c r="AK7" s="9">
        <v>0.0</v>
      </c>
      <c r="AL7" s="12" t="s">
        <v>1502</v>
      </c>
      <c r="AM7" s="9">
        <v>0.0</v>
      </c>
      <c r="AN7" s="12" t="s">
        <v>1503</v>
      </c>
      <c r="AO7" s="9">
        <v>0.0</v>
      </c>
      <c r="AP7" s="12" t="s">
        <v>1504</v>
      </c>
      <c r="AQ7" s="9">
        <v>0.0</v>
      </c>
      <c r="AR7" s="40" t="s">
        <v>1505</v>
      </c>
      <c r="AS7" s="41">
        <v>0.0</v>
      </c>
      <c r="AT7" s="12" t="s">
        <v>1506</v>
      </c>
      <c r="AU7" s="9">
        <v>0.0</v>
      </c>
      <c r="AV7" s="40" t="s">
        <v>1507</v>
      </c>
      <c r="AW7" s="41">
        <v>0.0</v>
      </c>
    </row>
    <row r="8" ht="15.75" customHeight="1">
      <c r="A8" s="6">
        <v>1919.0</v>
      </c>
      <c r="B8" s="6" t="s">
        <v>35</v>
      </c>
      <c r="C8" s="6" t="str">
        <f t="shared" si="1"/>
        <v>LP 07_BC-04A_BS VI MS</v>
      </c>
      <c r="D8" s="6" t="s">
        <v>1508</v>
      </c>
      <c r="E8" s="6" t="s">
        <v>591</v>
      </c>
      <c r="F8" s="6" t="s">
        <v>1509</v>
      </c>
      <c r="G8" s="6" t="s">
        <v>120</v>
      </c>
      <c r="H8" s="12" t="s">
        <v>1510</v>
      </c>
      <c r="I8" s="9">
        <v>0.0</v>
      </c>
      <c r="J8" s="12" t="s">
        <v>1511</v>
      </c>
      <c r="K8" s="9">
        <v>0.0</v>
      </c>
      <c r="L8" s="40" t="s">
        <v>1512</v>
      </c>
      <c r="M8" s="41">
        <v>0.0</v>
      </c>
      <c r="N8" s="12" t="s">
        <v>1513</v>
      </c>
      <c r="O8" s="9">
        <v>0.0</v>
      </c>
      <c r="P8" s="40" t="s">
        <v>1514</v>
      </c>
      <c r="Q8" s="41">
        <v>0.0</v>
      </c>
      <c r="R8" s="12" t="s">
        <v>1515</v>
      </c>
      <c r="S8" s="9">
        <v>0.0</v>
      </c>
      <c r="T8" s="40" t="s">
        <v>1516</v>
      </c>
      <c r="U8" s="41">
        <v>0.0</v>
      </c>
      <c r="V8" s="12" t="s">
        <v>1517</v>
      </c>
      <c r="W8" s="9">
        <v>0.0</v>
      </c>
      <c r="X8" s="40" t="s">
        <v>1518</v>
      </c>
      <c r="Y8" s="41">
        <v>0.0</v>
      </c>
      <c r="Z8" s="12" t="s">
        <v>1519</v>
      </c>
      <c r="AA8" s="9">
        <v>0.0</v>
      </c>
      <c r="AB8" s="40" t="s">
        <v>1520</v>
      </c>
      <c r="AC8" s="41">
        <v>0.0</v>
      </c>
      <c r="AD8" s="12" t="s">
        <v>1521</v>
      </c>
      <c r="AE8" s="27">
        <v>0.0</v>
      </c>
      <c r="AF8" s="12" t="s">
        <v>1522</v>
      </c>
      <c r="AG8" s="27">
        <v>0.0</v>
      </c>
      <c r="AH8" s="12" t="s">
        <v>1522</v>
      </c>
      <c r="AI8" s="9">
        <v>0.0</v>
      </c>
      <c r="AJ8" s="12" t="s">
        <v>1523</v>
      </c>
      <c r="AK8" s="9">
        <v>0.0</v>
      </c>
      <c r="AL8" s="12" t="s">
        <v>1524</v>
      </c>
      <c r="AM8" s="9">
        <v>0.0</v>
      </c>
      <c r="AN8" s="12" t="s">
        <v>1525</v>
      </c>
      <c r="AO8" s="9">
        <v>0.0</v>
      </c>
      <c r="AP8" s="12" t="s">
        <v>1526</v>
      </c>
      <c r="AQ8" s="9">
        <v>0.0</v>
      </c>
      <c r="AR8" s="40" t="s">
        <v>1527</v>
      </c>
      <c r="AS8" s="41">
        <v>0.0</v>
      </c>
      <c r="AT8" s="12" t="s">
        <v>1528</v>
      </c>
      <c r="AU8" s="9">
        <v>0.0</v>
      </c>
      <c r="AV8" s="40" t="s">
        <v>1529</v>
      </c>
      <c r="AW8" s="41">
        <v>0.0</v>
      </c>
    </row>
    <row r="9" ht="15.75" customHeight="1">
      <c r="A9" s="6">
        <v>1919.0</v>
      </c>
      <c r="B9" s="6" t="s">
        <v>35</v>
      </c>
      <c r="C9" s="6" t="str">
        <f t="shared" si="1"/>
        <v>LP 08_BC-04B_BS VI HSD</v>
      </c>
      <c r="D9" s="6" t="s">
        <v>1530</v>
      </c>
      <c r="E9" s="6" t="s">
        <v>591</v>
      </c>
      <c r="F9" s="6" t="s">
        <v>1531</v>
      </c>
      <c r="G9" s="6" t="s">
        <v>38</v>
      </c>
      <c r="H9" s="12" t="s">
        <v>1532</v>
      </c>
      <c r="I9" s="9">
        <v>0.0</v>
      </c>
      <c r="J9" s="12" t="s">
        <v>1533</v>
      </c>
      <c r="K9" s="9">
        <v>0.0</v>
      </c>
      <c r="L9" s="40" t="s">
        <v>1534</v>
      </c>
      <c r="M9" s="41">
        <v>0.0</v>
      </c>
      <c r="N9" s="12" t="s">
        <v>1535</v>
      </c>
      <c r="O9" s="9">
        <v>0.0</v>
      </c>
      <c r="P9" s="40" t="s">
        <v>1536</v>
      </c>
      <c r="Q9" s="41">
        <v>0.0</v>
      </c>
      <c r="R9" s="12" t="s">
        <v>1537</v>
      </c>
      <c r="S9" s="9">
        <v>0.0</v>
      </c>
      <c r="T9" s="40" t="s">
        <v>1538</v>
      </c>
      <c r="U9" s="41">
        <v>0.0</v>
      </c>
      <c r="V9" s="12" t="s">
        <v>1539</v>
      </c>
      <c r="W9" s="9">
        <v>0.0</v>
      </c>
      <c r="X9" s="40" t="s">
        <v>1540</v>
      </c>
      <c r="Y9" s="41">
        <v>0.0</v>
      </c>
      <c r="Z9" s="12" t="s">
        <v>1541</v>
      </c>
      <c r="AA9" s="9">
        <v>0.0</v>
      </c>
      <c r="AB9" s="40" t="s">
        <v>1542</v>
      </c>
      <c r="AC9" s="41">
        <v>0.0</v>
      </c>
      <c r="AD9" s="12" t="s">
        <v>1543</v>
      </c>
      <c r="AE9" s="27">
        <v>0.0</v>
      </c>
      <c r="AF9" s="12" t="s">
        <v>1544</v>
      </c>
      <c r="AG9" s="27">
        <v>0.0</v>
      </c>
      <c r="AH9" s="12" t="s">
        <v>1544</v>
      </c>
      <c r="AI9" s="9">
        <v>0.0</v>
      </c>
      <c r="AJ9" s="12" t="s">
        <v>1545</v>
      </c>
      <c r="AK9" s="9">
        <v>0.0</v>
      </c>
      <c r="AL9" s="12" t="s">
        <v>1546</v>
      </c>
      <c r="AM9" s="9">
        <v>0.0</v>
      </c>
      <c r="AN9" s="12" t="s">
        <v>1547</v>
      </c>
      <c r="AO9" s="9">
        <v>0.0</v>
      </c>
      <c r="AP9" s="12" t="s">
        <v>1548</v>
      </c>
      <c r="AQ9" s="9">
        <v>0.0</v>
      </c>
      <c r="AR9" s="40" t="s">
        <v>1549</v>
      </c>
      <c r="AS9" s="41">
        <v>0.0</v>
      </c>
      <c r="AT9" s="12" t="s">
        <v>1550</v>
      </c>
      <c r="AU9" s="9">
        <v>0.0</v>
      </c>
      <c r="AV9" s="40" t="s">
        <v>1551</v>
      </c>
      <c r="AW9" s="41">
        <v>0.0</v>
      </c>
    </row>
    <row r="10" ht="15.75" customHeight="1">
      <c r="A10" s="6">
        <v>1919.0</v>
      </c>
      <c r="B10" s="6" t="s">
        <v>35</v>
      </c>
      <c r="C10" s="6" t="str">
        <f t="shared" si="1"/>
        <v>LP 09_BC-05A_BS VI MS</v>
      </c>
      <c r="D10" s="6" t="s">
        <v>1552</v>
      </c>
      <c r="E10" s="6" t="s">
        <v>591</v>
      </c>
      <c r="F10" s="6" t="s">
        <v>1553</v>
      </c>
      <c r="G10" s="6" t="s">
        <v>120</v>
      </c>
      <c r="H10" s="12" t="s">
        <v>1554</v>
      </c>
      <c r="I10" s="9">
        <v>0.0</v>
      </c>
      <c r="J10" s="12" t="s">
        <v>1555</v>
      </c>
      <c r="K10" s="9">
        <v>0.0</v>
      </c>
      <c r="L10" s="40" t="s">
        <v>1556</v>
      </c>
      <c r="M10" s="41">
        <v>0.0</v>
      </c>
      <c r="N10" s="12" t="s">
        <v>1557</v>
      </c>
      <c r="O10" s="9">
        <v>0.0</v>
      </c>
      <c r="P10" s="40" t="s">
        <v>1558</v>
      </c>
      <c r="Q10" s="41">
        <v>0.0</v>
      </c>
      <c r="R10" s="12" t="s">
        <v>1559</v>
      </c>
      <c r="S10" s="9">
        <v>0.0</v>
      </c>
      <c r="T10" s="40" t="s">
        <v>1560</v>
      </c>
      <c r="U10" s="41">
        <v>0.0</v>
      </c>
      <c r="V10" s="12" t="s">
        <v>1561</v>
      </c>
      <c r="W10" s="9">
        <v>0.0</v>
      </c>
      <c r="X10" s="40" t="s">
        <v>1562</v>
      </c>
      <c r="Y10" s="41">
        <v>0.0</v>
      </c>
      <c r="Z10" s="12" t="s">
        <v>1563</v>
      </c>
      <c r="AA10" s="9">
        <v>0.0</v>
      </c>
      <c r="AB10" s="40" t="s">
        <v>1564</v>
      </c>
      <c r="AC10" s="41">
        <v>0.0</v>
      </c>
      <c r="AD10" s="12" t="s">
        <v>1565</v>
      </c>
      <c r="AE10" s="27">
        <v>0.0</v>
      </c>
      <c r="AF10" s="12" t="s">
        <v>1566</v>
      </c>
      <c r="AG10" s="27">
        <v>0.0</v>
      </c>
      <c r="AH10" s="12" t="s">
        <v>1566</v>
      </c>
      <c r="AI10" s="9">
        <v>0.0</v>
      </c>
      <c r="AJ10" s="12" t="s">
        <v>1567</v>
      </c>
      <c r="AK10" s="9">
        <v>0.0</v>
      </c>
      <c r="AL10" s="12" t="s">
        <v>1568</v>
      </c>
      <c r="AM10" s="9">
        <v>0.0</v>
      </c>
      <c r="AN10" s="12" t="s">
        <v>1569</v>
      </c>
      <c r="AO10" s="9">
        <v>0.0</v>
      </c>
      <c r="AP10" s="12" t="s">
        <v>1570</v>
      </c>
      <c r="AQ10" s="9">
        <v>0.0</v>
      </c>
      <c r="AR10" s="40" t="s">
        <v>1571</v>
      </c>
      <c r="AS10" s="41">
        <v>0.0</v>
      </c>
      <c r="AT10" s="12" t="s">
        <v>1572</v>
      </c>
      <c r="AU10" s="9">
        <v>0.0</v>
      </c>
      <c r="AV10" s="40" t="s">
        <v>1573</v>
      </c>
      <c r="AW10" s="41">
        <v>0.0</v>
      </c>
    </row>
    <row r="11" ht="15.75" customHeight="1">
      <c r="A11" s="6">
        <v>1919.0</v>
      </c>
      <c r="B11" s="6" t="s">
        <v>35</v>
      </c>
      <c r="C11" s="6" t="str">
        <f t="shared" si="1"/>
        <v>LP 10_BC-05B_BS VI HSD</v>
      </c>
      <c r="D11" s="6" t="s">
        <v>1574</v>
      </c>
      <c r="E11" s="6" t="s">
        <v>591</v>
      </c>
      <c r="F11" s="6" t="s">
        <v>1575</v>
      </c>
      <c r="G11" s="6" t="s">
        <v>38</v>
      </c>
      <c r="H11" s="12" t="s">
        <v>1576</v>
      </c>
      <c r="I11" s="9">
        <v>0.0</v>
      </c>
      <c r="J11" s="12" t="s">
        <v>1577</v>
      </c>
      <c r="K11" s="9">
        <v>0.0</v>
      </c>
      <c r="L11" s="40" t="s">
        <v>1578</v>
      </c>
      <c r="M11" s="41">
        <v>0.0</v>
      </c>
      <c r="N11" s="12" t="s">
        <v>1579</v>
      </c>
      <c r="O11" s="9">
        <v>0.0</v>
      </c>
      <c r="P11" s="40" t="s">
        <v>1580</v>
      </c>
      <c r="Q11" s="41">
        <v>0.0</v>
      </c>
      <c r="R11" s="12" t="s">
        <v>1581</v>
      </c>
      <c r="S11" s="9">
        <v>0.0</v>
      </c>
      <c r="T11" s="40" t="s">
        <v>1582</v>
      </c>
      <c r="U11" s="41">
        <v>0.0</v>
      </c>
      <c r="V11" s="12" t="s">
        <v>1583</v>
      </c>
      <c r="W11" s="9">
        <v>0.0</v>
      </c>
      <c r="X11" s="40" t="s">
        <v>1584</v>
      </c>
      <c r="Y11" s="41">
        <v>0.0</v>
      </c>
      <c r="Z11" s="12" t="s">
        <v>1585</v>
      </c>
      <c r="AA11" s="9">
        <v>0.0</v>
      </c>
      <c r="AB11" s="40" t="s">
        <v>1586</v>
      </c>
      <c r="AC11" s="41">
        <v>0.0</v>
      </c>
      <c r="AD11" s="12" t="s">
        <v>1587</v>
      </c>
      <c r="AE11" s="27">
        <v>0.0</v>
      </c>
      <c r="AF11" s="12" t="s">
        <v>1588</v>
      </c>
      <c r="AG11" s="27">
        <v>0.0</v>
      </c>
      <c r="AH11" s="12" t="s">
        <v>1588</v>
      </c>
      <c r="AI11" s="9">
        <v>0.0</v>
      </c>
      <c r="AJ11" s="12" t="s">
        <v>1589</v>
      </c>
      <c r="AK11" s="9">
        <v>0.0</v>
      </c>
      <c r="AL11" s="12" t="s">
        <v>1590</v>
      </c>
      <c r="AM11" s="9">
        <v>0.0</v>
      </c>
      <c r="AN11" s="12" t="s">
        <v>1591</v>
      </c>
      <c r="AO11" s="9">
        <v>0.0</v>
      </c>
      <c r="AP11" s="12" t="s">
        <v>1592</v>
      </c>
      <c r="AQ11" s="9">
        <v>0.0</v>
      </c>
      <c r="AR11" s="40" t="s">
        <v>1593</v>
      </c>
      <c r="AS11" s="41">
        <v>0.0</v>
      </c>
      <c r="AT11" s="12" t="s">
        <v>1594</v>
      </c>
      <c r="AU11" s="9">
        <v>0.0</v>
      </c>
      <c r="AV11" s="40" t="s">
        <v>1595</v>
      </c>
      <c r="AW11" s="41">
        <v>0.0</v>
      </c>
    </row>
    <row r="12" ht="15.75" customHeight="1">
      <c r="A12" s="6">
        <v>1919.0</v>
      </c>
      <c r="B12" s="6" t="s">
        <v>35</v>
      </c>
      <c r="C12" s="6" t="str">
        <f t="shared" si="1"/>
        <v>LP 11_BC-06A_BS VI MS</v>
      </c>
      <c r="D12" s="6" t="s">
        <v>1596</v>
      </c>
      <c r="E12" s="6" t="s">
        <v>591</v>
      </c>
      <c r="F12" s="6" t="s">
        <v>1597</v>
      </c>
      <c r="G12" s="6" t="s">
        <v>120</v>
      </c>
      <c r="H12" s="12" t="s">
        <v>1598</v>
      </c>
      <c r="I12" s="9">
        <v>0.0</v>
      </c>
      <c r="J12" s="12" t="s">
        <v>1599</v>
      </c>
      <c r="K12" s="9">
        <v>0.0</v>
      </c>
      <c r="L12" s="40" t="s">
        <v>1600</v>
      </c>
      <c r="M12" s="41">
        <v>0.0</v>
      </c>
      <c r="N12" s="12" t="s">
        <v>1601</v>
      </c>
      <c r="O12" s="9">
        <v>0.0</v>
      </c>
      <c r="P12" s="40" t="s">
        <v>1602</v>
      </c>
      <c r="Q12" s="41">
        <v>0.0</v>
      </c>
      <c r="R12" s="12" t="s">
        <v>1603</v>
      </c>
      <c r="S12" s="9">
        <v>0.0</v>
      </c>
      <c r="T12" s="40" t="s">
        <v>1604</v>
      </c>
      <c r="U12" s="41">
        <v>0.0</v>
      </c>
      <c r="V12" s="12" t="s">
        <v>1605</v>
      </c>
      <c r="W12" s="9">
        <v>0.0</v>
      </c>
      <c r="X12" s="40" t="s">
        <v>1606</v>
      </c>
      <c r="Y12" s="41">
        <v>0.0</v>
      </c>
      <c r="Z12" s="12" t="s">
        <v>1607</v>
      </c>
      <c r="AA12" s="9">
        <v>0.0</v>
      </c>
      <c r="AB12" s="40" t="s">
        <v>1608</v>
      </c>
      <c r="AC12" s="41">
        <v>0.0</v>
      </c>
      <c r="AD12" s="12" t="s">
        <v>1609</v>
      </c>
      <c r="AE12" s="27">
        <v>0.0</v>
      </c>
      <c r="AF12" s="12" t="s">
        <v>1610</v>
      </c>
      <c r="AG12" s="27">
        <v>0.0</v>
      </c>
      <c r="AH12" s="12" t="s">
        <v>1610</v>
      </c>
      <c r="AI12" s="9">
        <v>0.0</v>
      </c>
      <c r="AJ12" s="12" t="s">
        <v>1611</v>
      </c>
      <c r="AK12" s="9">
        <v>0.0</v>
      </c>
      <c r="AL12" s="12" t="s">
        <v>1612</v>
      </c>
      <c r="AM12" s="9">
        <v>0.0</v>
      </c>
      <c r="AN12" s="12" t="s">
        <v>1613</v>
      </c>
      <c r="AO12" s="9">
        <v>0.0</v>
      </c>
      <c r="AP12" s="12" t="s">
        <v>1614</v>
      </c>
      <c r="AQ12" s="9">
        <v>0.0</v>
      </c>
      <c r="AR12" s="40" t="s">
        <v>1615</v>
      </c>
      <c r="AS12" s="41">
        <v>0.0</v>
      </c>
      <c r="AT12" s="12" t="s">
        <v>1616</v>
      </c>
      <c r="AU12" s="9">
        <v>0.0</v>
      </c>
      <c r="AV12" s="40" t="s">
        <v>1617</v>
      </c>
      <c r="AW12" s="41">
        <v>0.0</v>
      </c>
    </row>
    <row r="13" ht="15.75" customHeight="1">
      <c r="A13" s="6">
        <v>1919.0</v>
      </c>
      <c r="B13" s="6" t="s">
        <v>35</v>
      </c>
      <c r="C13" s="6" t="str">
        <f t="shared" si="1"/>
        <v>LP 12_BC-06B_BS VI HSD</v>
      </c>
      <c r="D13" s="6" t="s">
        <v>1618</v>
      </c>
      <c r="E13" s="6" t="s">
        <v>591</v>
      </c>
      <c r="F13" s="6" t="s">
        <v>1619</v>
      </c>
      <c r="G13" s="6" t="s">
        <v>38</v>
      </c>
      <c r="H13" s="12" t="s">
        <v>1620</v>
      </c>
      <c r="I13" s="9">
        <v>0.0</v>
      </c>
      <c r="J13" s="12" t="s">
        <v>1621</v>
      </c>
      <c r="K13" s="9">
        <v>0.0</v>
      </c>
      <c r="L13" s="40" t="s">
        <v>1622</v>
      </c>
      <c r="M13" s="41">
        <v>0.0</v>
      </c>
      <c r="N13" s="12" t="s">
        <v>1623</v>
      </c>
      <c r="O13" s="9">
        <v>0.0</v>
      </c>
      <c r="P13" s="40" t="s">
        <v>1624</v>
      </c>
      <c r="Q13" s="41">
        <v>0.0</v>
      </c>
      <c r="R13" s="12" t="s">
        <v>1625</v>
      </c>
      <c r="S13" s="9">
        <v>0.0</v>
      </c>
      <c r="T13" s="40" t="s">
        <v>1626</v>
      </c>
      <c r="U13" s="41">
        <v>0.0</v>
      </c>
      <c r="V13" s="12" t="s">
        <v>1627</v>
      </c>
      <c r="W13" s="9">
        <v>0.0</v>
      </c>
      <c r="X13" s="40" t="s">
        <v>1628</v>
      </c>
      <c r="Y13" s="41">
        <v>0.0</v>
      </c>
      <c r="Z13" s="12" t="s">
        <v>1629</v>
      </c>
      <c r="AA13" s="9">
        <v>0.0</v>
      </c>
      <c r="AB13" s="40" t="s">
        <v>1630</v>
      </c>
      <c r="AC13" s="41">
        <v>0.0</v>
      </c>
      <c r="AD13" s="12" t="s">
        <v>1631</v>
      </c>
      <c r="AE13" s="27">
        <v>0.0</v>
      </c>
      <c r="AF13" s="12" t="s">
        <v>1632</v>
      </c>
      <c r="AG13" s="27">
        <v>0.0</v>
      </c>
      <c r="AH13" s="12" t="s">
        <v>1632</v>
      </c>
      <c r="AI13" s="9">
        <v>0.0</v>
      </c>
      <c r="AJ13" s="12" t="s">
        <v>1633</v>
      </c>
      <c r="AK13" s="9">
        <v>0.0</v>
      </c>
      <c r="AL13" s="12" t="s">
        <v>1634</v>
      </c>
      <c r="AM13" s="9">
        <v>0.0</v>
      </c>
      <c r="AN13" s="12" t="s">
        <v>1635</v>
      </c>
      <c r="AO13" s="9">
        <v>0.0</v>
      </c>
      <c r="AP13" s="12" t="s">
        <v>1636</v>
      </c>
      <c r="AQ13" s="9">
        <v>0.0</v>
      </c>
      <c r="AR13" s="40" t="s">
        <v>1637</v>
      </c>
      <c r="AS13" s="41">
        <v>0.0</v>
      </c>
      <c r="AT13" s="12" t="s">
        <v>1638</v>
      </c>
      <c r="AU13" s="9">
        <v>0.0</v>
      </c>
      <c r="AV13" s="40" t="s">
        <v>1639</v>
      </c>
      <c r="AW13" s="41">
        <v>0.0</v>
      </c>
    </row>
    <row r="14" ht="15.75" customHeight="1">
      <c r="A14" s="6">
        <v>1919.0</v>
      </c>
      <c r="B14" s="6" t="s">
        <v>35</v>
      </c>
      <c r="C14" s="6" t="str">
        <f t="shared" si="1"/>
        <v>LP 13_BC-07A_BS VI MS</v>
      </c>
      <c r="D14" s="6" t="s">
        <v>1640</v>
      </c>
      <c r="E14" s="6" t="s">
        <v>591</v>
      </c>
      <c r="F14" s="6" t="s">
        <v>1641</v>
      </c>
      <c r="G14" s="6" t="s">
        <v>120</v>
      </c>
      <c r="H14" s="12" t="s">
        <v>1642</v>
      </c>
      <c r="I14" s="9">
        <v>0.0</v>
      </c>
      <c r="J14" s="12" t="s">
        <v>1643</v>
      </c>
      <c r="K14" s="9">
        <v>0.0</v>
      </c>
      <c r="L14" s="40" t="s">
        <v>1644</v>
      </c>
      <c r="M14" s="41">
        <v>0.0</v>
      </c>
      <c r="N14" s="12" t="s">
        <v>1645</v>
      </c>
      <c r="O14" s="9">
        <v>0.0</v>
      </c>
      <c r="P14" s="40" t="s">
        <v>1646</v>
      </c>
      <c r="Q14" s="41">
        <v>0.0</v>
      </c>
      <c r="R14" s="12" t="s">
        <v>1647</v>
      </c>
      <c r="S14" s="9">
        <v>0.0</v>
      </c>
      <c r="T14" s="40" t="s">
        <v>1648</v>
      </c>
      <c r="U14" s="41">
        <v>0.0</v>
      </c>
      <c r="V14" s="12" t="s">
        <v>1649</v>
      </c>
      <c r="W14" s="9">
        <v>0.0</v>
      </c>
      <c r="X14" s="40" t="s">
        <v>1650</v>
      </c>
      <c r="Y14" s="41">
        <v>0.0</v>
      </c>
      <c r="Z14" s="12" t="s">
        <v>1651</v>
      </c>
      <c r="AA14" s="9">
        <v>0.0</v>
      </c>
      <c r="AB14" s="40" t="s">
        <v>1652</v>
      </c>
      <c r="AC14" s="41">
        <v>0.0</v>
      </c>
      <c r="AD14" s="12" t="s">
        <v>1653</v>
      </c>
      <c r="AE14" s="27">
        <v>0.0</v>
      </c>
      <c r="AF14" s="12" t="s">
        <v>1654</v>
      </c>
      <c r="AG14" s="27">
        <v>0.0</v>
      </c>
      <c r="AH14" s="12" t="s">
        <v>1654</v>
      </c>
      <c r="AI14" s="9">
        <v>0.0</v>
      </c>
      <c r="AJ14" s="12" t="s">
        <v>1655</v>
      </c>
      <c r="AK14" s="9">
        <v>0.0</v>
      </c>
      <c r="AL14" s="12" t="s">
        <v>1656</v>
      </c>
      <c r="AM14" s="9">
        <v>0.0</v>
      </c>
      <c r="AN14" s="12" t="s">
        <v>1657</v>
      </c>
      <c r="AO14" s="9">
        <v>0.0</v>
      </c>
      <c r="AP14" s="12" t="s">
        <v>1658</v>
      </c>
      <c r="AQ14" s="9">
        <v>0.0</v>
      </c>
      <c r="AR14" s="40" t="s">
        <v>1659</v>
      </c>
      <c r="AS14" s="41">
        <v>0.0</v>
      </c>
      <c r="AT14" s="12" t="s">
        <v>1660</v>
      </c>
      <c r="AU14" s="9">
        <v>0.0</v>
      </c>
      <c r="AV14" s="40" t="s">
        <v>1661</v>
      </c>
      <c r="AW14" s="41">
        <v>0.0</v>
      </c>
    </row>
    <row r="15" ht="15.75" customHeight="1">
      <c r="A15" s="6">
        <v>1919.0</v>
      </c>
      <c r="B15" s="6" t="s">
        <v>35</v>
      </c>
      <c r="C15" s="6" t="str">
        <f t="shared" si="1"/>
        <v>LP 14_BC-07B_BS VI HSD</v>
      </c>
      <c r="D15" s="6" t="s">
        <v>1662</v>
      </c>
      <c r="E15" s="6" t="s">
        <v>591</v>
      </c>
      <c r="F15" s="6" t="s">
        <v>1663</v>
      </c>
      <c r="G15" s="6" t="s">
        <v>38</v>
      </c>
      <c r="H15" s="12" t="s">
        <v>1664</v>
      </c>
      <c r="I15" s="9">
        <v>0.0</v>
      </c>
      <c r="J15" s="12" t="s">
        <v>1665</v>
      </c>
      <c r="K15" s="9">
        <v>0.0</v>
      </c>
      <c r="L15" s="40" t="s">
        <v>1666</v>
      </c>
      <c r="M15" s="41">
        <v>0.0</v>
      </c>
      <c r="N15" s="12" t="s">
        <v>1667</v>
      </c>
      <c r="O15" s="9">
        <v>0.0</v>
      </c>
      <c r="P15" s="40" t="s">
        <v>1668</v>
      </c>
      <c r="Q15" s="41">
        <v>0.0</v>
      </c>
      <c r="R15" s="12" t="s">
        <v>1669</v>
      </c>
      <c r="S15" s="9">
        <v>0.0</v>
      </c>
      <c r="T15" s="40" t="s">
        <v>1670</v>
      </c>
      <c r="U15" s="41">
        <v>0.0</v>
      </c>
      <c r="V15" s="12" t="s">
        <v>1671</v>
      </c>
      <c r="W15" s="9">
        <v>0.0</v>
      </c>
      <c r="X15" s="40" t="s">
        <v>1672</v>
      </c>
      <c r="Y15" s="41">
        <v>0.0</v>
      </c>
      <c r="Z15" s="12" t="s">
        <v>1673</v>
      </c>
      <c r="AA15" s="9">
        <v>0.0</v>
      </c>
      <c r="AB15" s="40" t="s">
        <v>1674</v>
      </c>
      <c r="AC15" s="41">
        <v>0.0</v>
      </c>
      <c r="AD15" s="12" t="s">
        <v>1675</v>
      </c>
      <c r="AE15" s="27">
        <v>0.0</v>
      </c>
      <c r="AF15" s="12" t="s">
        <v>1676</v>
      </c>
      <c r="AG15" s="27">
        <v>0.0</v>
      </c>
      <c r="AH15" s="12" t="s">
        <v>1676</v>
      </c>
      <c r="AI15" s="9">
        <v>0.0</v>
      </c>
      <c r="AJ15" s="12" t="s">
        <v>1677</v>
      </c>
      <c r="AK15" s="9">
        <v>0.0</v>
      </c>
      <c r="AL15" s="12" t="s">
        <v>1678</v>
      </c>
      <c r="AM15" s="9">
        <v>0.0</v>
      </c>
      <c r="AN15" s="12" t="s">
        <v>1679</v>
      </c>
      <c r="AO15" s="9">
        <v>0.0</v>
      </c>
      <c r="AP15" s="12" t="s">
        <v>1680</v>
      </c>
      <c r="AQ15" s="9">
        <v>0.0</v>
      </c>
      <c r="AR15" s="40" t="s">
        <v>1681</v>
      </c>
      <c r="AS15" s="41">
        <v>0.0</v>
      </c>
      <c r="AT15" s="12" t="s">
        <v>1682</v>
      </c>
      <c r="AU15" s="9">
        <v>0.0</v>
      </c>
      <c r="AV15" s="40" t="s">
        <v>1683</v>
      </c>
      <c r="AW15" s="41">
        <v>0.0</v>
      </c>
    </row>
    <row r="16" ht="15.75" customHeight="1">
      <c r="A16" s="6">
        <v>1919.0</v>
      </c>
      <c r="B16" s="6" t="s">
        <v>35</v>
      </c>
      <c r="C16" s="6" t="str">
        <f t="shared" si="1"/>
        <v>LP 15_BC-09A-LP1_BS VI MS</v>
      </c>
      <c r="D16" s="6" t="s">
        <v>1684</v>
      </c>
      <c r="E16" s="6" t="s">
        <v>591</v>
      </c>
      <c r="F16" s="6" t="s">
        <v>1685</v>
      </c>
      <c r="G16" s="6" t="s">
        <v>120</v>
      </c>
      <c r="H16" s="12" t="s">
        <v>1686</v>
      </c>
      <c r="I16" s="9">
        <v>0.0</v>
      </c>
      <c r="J16" s="12" t="s">
        <v>1687</v>
      </c>
      <c r="K16" s="9">
        <v>0.0</v>
      </c>
      <c r="L16" s="40" t="s">
        <v>1688</v>
      </c>
      <c r="M16" s="41">
        <v>0.0</v>
      </c>
      <c r="N16" s="12" t="s">
        <v>1689</v>
      </c>
      <c r="O16" s="9">
        <v>0.0</v>
      </c>
      <c r="P16" s="40" t="s">
        <v>1690</v>
      </c>
      <c r="Q16" s="41">
        <v>0.0</v>
      </c>
      <c r="R16" s="12" t="s">
        <v>1691</v>
      </c>
      <c r="S16" s="9">
        <v>0.0</v>
      </c>
      <c r="T16" s="40" t="s">
        <v>1692</v>
      </c>
      <c r="U16" s="41">
        <v>0.0</v>
      </c>
      <c r="V16" s="12" t="s">
        <v>1693</v>
      </c>
      <c r="W16" s="9">
        <v>0.0</v>
      </c>
      <c r="X16" s="40" t="s">
        <v>1694</v>
      </c>
      <c r="Y16" s="41">
        <v>0.0</v>
      </c>
      <c r="Z16" s="12" t="s">
        <v>1695</v>
      </c>
      <c r="AA16" s="9">
        <v>0.0</v>
      </c>
      <c r="AB16" s="40" t="s">
        <v>1696</v>
      </c>
      <c r="AC16" s="41">
        <v>0.0</v>
      </c>
      <c r="AD16" s="12" t="s">
        <v>1697</v>
      </c>
      <c r="AE16" s="27">
        <v>0.0</v>
      </c>
      <c r="AF16" s="12" t="s">
        <v>1698</v>
      </c>
      <c r="AG16" s="27">
        <v>0.0</v>
      </c>
      <c r="AH16" s="12" t="s">
        <v>1698</v>
      </c>
      <c r="AI16" s="9">
        <v>0.0</v>
      </c>
      <c r="AJ16" s="12" t="s">
        <v>1699</v>
      </c>
      <c r="AK16" s="9">
        <v>0.0</v>
      </c>
      <c r="AL16" s="12" t="s">
        <v>1700</v>
      </c>
      <c r="AM16" s="9">
        <v>0.0</v>
      </c>
      <c r="AN16" s="12" t="s">
        <v>1701</v>
      </c>
      <c r="AO16" s="9">
        <v>0.0</v>
      </c>
      <c r="AP16" s="12" t="s">
        <v>1702</v>
      </c>
      <c r="AQ16" s="9">
        <v>0.0</v>
      </c>
      <c r="AR16" s="40" t="s">
        <v>1703</v>
      </c>
      <c r="AS16" s="41">
        <v>0.0</v>
      </c>
      <c r="AT16" s="12" t="s">
        <v>1704</v>
      </c>
      <c r="AU16" s="9">
        <v>0.0</v>
      </c>
      <c r="AV16" s="40" t="s">
        <v>1705</v>
      </c>
      <c r="AW16" s="41">
        <v>0.0</v>
      </c>
    </row>
    <row r="17" ht="15.75" customHeight="1">
      <c r="A17" s="6">
        <v>1919.0</v>
      </c>
      <c r="B17" s="6" t="s">
        <v>35</v>
      </c>
      <c r="C17" s="6" t="str">
        <f t="shared" si="1"/>
        <v>LP 16_BC-09A-LP2_BS VI HSD</v>
      </c>
      <c r="D17" s="6" t="s">
        <v>1706</v>
      </c>
      <c r="E17" s="6" t="s">
        <v>591</v>
      </c>
      <c r="F17" s="6" t="s">
        <v>1707</v>
      </c>
      <c r="G17" s="6" t="s">
        <v>38</v>
      </c>
      <c r="H17" s="12" t="s">
        <v>1708</v>
      </c>
      <c r="I17" s="9">
        <v>0.0</v>
      </c>
      <c r="J17" s="12" t="s">
        <v>1709</v>
      </c>
      <c r="K17" s="9">
        <v>0.0</v>
      </c>
      <c r="L17" s="40" t="s">
        <v>1710</v>
      </c>
      <c r="M17" s="41">
        <v>0.0</v>
      </c>
      <c r="N17" s="12" t="s">
        <v>1711</v>
      </c>
      <c r="O17" s="9">
        <v>0.0</v>
      </c>
      <c r="P17" s="40" t="s">
        <v>1712</v>
      </c>
      <c r="Q17" s="41">
        <v>0.0</v>
      </c>
      <c r="R17" s="12" t="s">
        <v>1713</v>
      </c>
      <c r="S17" s="9">
        <v>0.0</v>
      </c>
      <c r="T17" s="40" t="s">
        <v>1714</v>
      </c>
      <c r="U17" s="41">
        <v>0.0</v>
      </c>
      <c r="V17" s="12" t="s">
        <v>1715</v>
      </c>
      <c r="W17" s="9">
        <v>0.0</v>
      </c>
      <c r="X17" s="40" t="s">
        <v>1716</v>
      </c>
      <c r="Y17" s="41">
        <v>0.0</v>
      </c>
      <c r="Z17" s="12" t="s">
        <v>1717</v>
      </c>
      <c r="AA17" s="9">
        <v>0.0</v>
      </c>
      <c r="AB17" s="40" t="s">
        <v>1718</v>
      </c>
      <c r="AC17" s="41">
        <v>0.0</v>
      </c>
      <c r="AD17" s="12" t="s">
        <v>1719</v>
      </c>
      <c r="AE17" s="27">
        <v>0.0</v>
      </c>
      <c r="AF17" s="12" t="s">
        <v>1720</v>
      </c>
      <c r="AG17" s="27">
        <v>0.0</v>
      </c>
      <c r="AH17" s="12" t="s">
        <v>1720</v>
      </c>
      <c r="AI17" s="9">
        <v>0.0</v>
      </c>
      <c r="AJ17" s="12" t="s">
        <v>1721</v>
      </c>
      <c r="AK17" s="9">
        <v>0.0</v>
      </c>
      <c r="AL17" s="12" t="s">
        <v>1722</v>
      </c>
      <c r="AM17" s="9">
        <v>0.0</v>
      </c>
      <c r="AN17" s="12" t="s">
        <v>1723</v>
      </c>
      <c r="AO17" s="9">
        <v>0.0</v>
      </c>
      <c r="AP17" s="12" t="s">
        <v>1724</v>
      </c>
      <c r="AQ17" s="9">
        <v>0.0</v>
      </c>
      <c r="AR17" s="40" t="s">
        <v>1725</v>
      </c>
      <c r="AS17" s="41">
        <v>0.0</v>
      </c>
      <c r="AT17" s="12" t="s">
        <v>1726</v>
      </c>
      <c r="AU17" s="9">
        <v>0.0</v>
      </c>
      <c r="AV17" s="40" t="s">
        <v>1727</v>
      </c>
      <c r="AW17" s="41">
        <v>0.0</v>
      </c>
    </row>
    <row r="18" ht="15.75" customHeight="1">
      <c r="A18" s="6">
        <v>1919.0</v>
      </c>
      <c r="B18" s="6" t="s">
        <v>35</v>
      </c>
      <c r="C18" s="6" t="str">
        <f t="shared" si="1"/>
        <v>LP 17_BC-09B-LP2_SKO</v>
      </c>
      <c r="D18" s="6" t="s">
        <v>1728</v>
      </c>
      <c r="E18" s="6" t="s">
        <v>591</v>
      </c>
      <c r="F18" s="6" t="s">
        <v>1729</v>
      </c>
      <c r="G18" s="6" t="s">
        <v>209</v>
      </c>
      <c r="H18" s="12" t="s">
        <v>1730</v>
      </c>
      <c r="I18" s="9">
        <v>0.0</v>
      </c>
      <c r="J18" s="12" t="s">
        <v>1731</v>
      </c>
      <c r="K18" s="9">
        <v>0.0</v>
      </c>
      <c r="L18" s="40"/>
      <c r="M18" s="40"/>
      <c r="N18" s="12" t="s">
        <v>1732</v>
      </c>
      <c r="O18" s="9">
        <v>0.0</v>
      </c>
      <c r="P18" s="40"/>
      <c r="Q18" s="40"/>
      <c r="R18" s="12" t="s">
        <v>1733</v>
      </c>
      <c r="S18" s="9">
        <v>0.0</v>
      </c>
      <c r="T18" s="40"/>
      <c r="U18" s="40"/>
      <c r="V18" s="12" t="s">
        <v>1734</v>
      </c>
      <c r="W18" s="9">
        <v>0.0</v>
      </c>
      <c r="X18" s="40"/>
      <c r="Y18" s="40"/>
      <c r="Z18" s="12" t="s">
        <v>1735</v>
      </c>
      <c r="AA18" s="9">
        <v>0.0</v>
      </c>
      <c r="AB18" s="40"/>
      <c r="AC18" s="40"/>
      <c r="AD18" s="12" t="s">
        <v>1736</v>
      </c>
      <c r="AE18" s="27">
        <v>0.0</v>
      </c>
      <c r="AF18" s="12" t="s">
        <v>1737</v>
      </c>
      <c r="AG18" s="27">
        <v>0.0</v>
      </c>
      <c r="AH18" s="12" t="s">
        <v>1737</v>
      </c>
      <c r="AI18" s="9">
        <v>0.0</v>
      </c>
      <c r="AJ18" s="12" t="s">
        <v>1738</v>
      </c>
      <c r="AK18" s="9">
        <v>0.0</v>
      </c>
      <c r="AL18" s="12" t="s">
        <v>1739</v>
      </c>
      <c r="AM18" s="9">
        <v>0.0</v>
      </c>
      <c r="AN18" s="12" t="s">
        <v>1740</v>
      </c>
      <c r="AO18" s="9">
        <v>0.0</v>
      </c>
      <c r="AP18" s="12" t="s">
        <v>1741</v>
      </c>
      <c r="AQ18" s="9">
        <v>0.0</v>
      </c>
      <c r="AR18" s="40"/>
      <c r="AS18" s="40"/>
      <c r="AT18" s="12" t="s">
        <v>1742</v>
      </c>
      <c r="AU18" s="9">
        <v>0.0</v>
      </c>
      <c r="AV18" s="40"/>
      <c r="AW18" s="40"/>
    </row>
    <row r="19" ht="15.75" customHeight="1">
      <c r="A19" s="6">
        <v>1919.0</v>
      </c>
      <c r="B19" s="6" t="s">
        <v>35</v>
      </c>
      <c r="C19" s="6" t="str">
        <f t="shared" si="1"/>
        <v>LP 18_BC-0A-LP1_BS VI HSD</v>
      </c>
      <c r="D19" s="6" t="s">
        <v>1743</v>
      </c>
      <c r="E19" s="6" t="s">
        <v>591</v>
      </c>
      <c r="F19" s="6" t="s">
        <v>1744</v>
      </c>
      <c r="G19" s="6" t="s">
        <v>38</v>
      </c>
      <c r="H19" s="12" t="s">
        <v>1745</v>
      </c>
      <c r="I19" s="9">
        <v>0.0</v>
      </c>
      <c r="J19" s="12" t="s">
        <v>1746</v>
      </c>
      <c r="K19" s="9">
        <v>0.0</v>
      </c>
      <c r="L19" s="40" t="s">
        <v>1747</v>
      </c>
      <c r="M19" s="41">
        <v>0.0</v>
      </c>
      <c r="N19" s="12" t="s">
        <v>1748</v>
      </c>
      <c r="O19" s="9">
        <v>0.0</v>
      </c>
      <c r="P19" s="40" t="s">
        <v>1749</v>
      </c>
      <c r="Q19" s="41">
        <v>0.0</v>
      </c>
      <c r="R19" s="12" t="s">
        <v>1750</v>
      </c>
      <c r="S19" s="9">
        <v>0.0</v>
      </c>
      <c r="T19" s="40" t="s">
        <v>1751</v>
      </c>
      <c r="U19" s="41">
        <v>0.0</v>
      </c>
      <c r="V19" s="12" t="s">
        <v>1752</v>
      </c>
      <c r="W19" s="9">
        <v>0.0</v>
      </c>
      <c r="X19" s="40" t="s">
        <v>1753</v>
      </c>
      <c r="Y19" s="41">
        <v>0.0</v>
      </c>
      <c r="Z19" s="12" t="s">
        <v>1754</v>
      </c>
      <c r="AA19" s="9">
        <v>0.0</v>
      </c>
      <c r="AB19" s="40" t="s">
        <v>1755</v>
      </c>
      <c r="AC19" s="41">
        <v>0.0</v>
      </c>
      <c r="AD19" s="12" t="s">
        <v>1756</v>
      </c>
      <c r="AE19" s="27">
        <v>0.0</v>
      </c>
      <c r="AF19" s="12" t="s">
        <v>1757</v>
      </c>
      <c r="AG19" s="27">
        <v>0.0</v>
      </c>
      <c r="AH19" s="12" t="s">
        <v>1757</v>
      </c>
      <c r="AI19" s="9">
        <v>0.0</v>
      </c>
      <c r="AJ19" s="12" t="s">
        <v>1758</v>
      </c>
      <c r="AK19" s="9">
        <v>0.0</v>
      </c>
      <c r="AL19" s="12" t="s">
        <v>1759</v>
      </c>
      <c r="AM19" s="9">
        <v>0.0</v>
      </c>
      <c r="AN19" s="12" t="s">
        <v>1760</v>
      </c>
      <c r="AO19" s="9">
        <v>0.0</v>
      </c>
      <c r="AP19" s="12" t="s">
        <v>1761</v>
      </c>
      <c r="AQ19" s="9">
        <v>0.0</v>
      </c>
      <c r="AR19" s="40" t="s">
        <v>1762</v>
      </c>
      <c r="AS19" s="41">
        <v>0.0</v>
      </c>
      <c r="AT19" s="12" t="s">
        <v>1763</v>
      </c>
      <c r="AU19" s="9">
        <v>0.0</v>
      </c>
      <c r="AV19" s="40" t="s">
        <v>1764</v>
      </c>
      <c r="AW19" s="41">
        <v>0.0</v>
      </c>
    </row>
    <row r="20" ht="15.75" customHeight="1">
      <c r="A20" s="6">
        <v>1919.0</v>
      </c>
      <c r="B20" s="6" t="s">
        <v>35</v>
      </c>
      <c r="C20" s="6" t="str">
        <f t="shared" si="1"/>
        <v>LP 19_BC-0A-LP2_BS VI HSD</v>
      </c>
      <c r="D20" s="6" t="s">
        <v>1765</v>
      </c>
      <c r="E20" s="6" t="s">
        <v>591</v>
      </c>
      <c r="F20" s="6" t="s">
        <v>1766</v>
      </c>
      <c r="G20" s="6" t="s">
        <v>38</v>
      </c>
      <c r="H20" s="12" t="s">
        <v>1767</v>
      </c>
      <c r="I20" s="9">
        <v>0.0</v>
      </c>
      <c r="J20" s="12" t="s">
        <v>1768</v>
      </c>
      <c r="K20" s="9">
        <v>0.0</v>
      </c>
      <c r="L20" s="40" t="s">
        <v>1769</v>
      </c>
      <c r="M20" s="41">
        <v>0.0</v>
      </c>
      <c r="N20" s="12" t="s">
        <v>1770</v>
      </c>
      <c r="O20" s="9">
        <v>0.0</v>
      </c>
      <c r="P20" s="40" t="s">
        <v>1771</v>
      </c>
      <c r="Q20" s="41">
        <v>0.0</v>
      </c>
      <c r="R20" s="12" t="s">
        <v>1772</v>
      </c>
      <c r="S20" s="9">
        <v>0.0</v>
      </c>
      <c r="T20" s="40" t="s">
        <v>1773</v>
      </c>
      <c r="U20" s="41">
        <v>0.0</v>
      </c>
      <c r="V20" s="12" t="s">
        <v>1774</v>
      </c>
      <c r="W20" s="9">
        <v>0.0</v>
      </c>
      <c r="X20" s="40" t="s">
        <v>1775</v>
      </c>
      <c r="Y20" s="41">
        <v>0.0</v>
      </c>
      <c r="Z20" s="12" t="s">
        <v>1776</v>
      </c>
      <c r="AA20" s="9">
        <v>0.0</v>
      </c>
      <c r="AB20" s="40" t="s">
        <v>1777</v>
      </c>
      <c r="AC20" s="41">
        <v>0.0</v>
      </c>
      <c r="AD20" s="12" t="s">
        <v>1778</v>
      </c>
      <c r="AE20" s="27">
        <v>0.0</v>
      </c>
      <c r="AF20" s="12" t="s">
        <v>1779</v>
      </c>
      <c r="AG20" s="27">
        <v>0.0</v>
      </c>
      <c r="AH20" s="12" t="s">
        <v>1779</v>
      </c>
      <c r="AI20" s="9">
        <v>0.0</v>
      </c>
      <c r="AJ20" s="12" t="s">
        <v>1780</v>
      </c>
      <c r="AK20" s="9">
        <v>0.0</v>
      </c>
      <c r="AL20" s="12" t="s">
        <v>1781</v>
      </c>
      <c r="AM20" s="9">
        <v>0.0</v>
      </c>
      <c r="AN20" s="12" t="s">
        <v>1782</v>
      </c>
      <c r="AO20" s="9">
        <v>0.0</v>
      </c>
      <c r="AP20" s="12" t="s">
        <v>1783</v>
      </c>
      <c r="AQ20" s="9">
        <v>0.0</v>
      </c>
      <c r="AR20" s="40" t="s">
        <v>1784</v>
      </c>
      <c r="AS20" s="41">
        <v>0.0</v>
      </c>
      <c r="AT20" s="12" t="s">
        <v>1785</v>
      </c>
      <c r="AU20" s="9">
        <v>0.0</v>
      </c>
      <c r="AV20" s="40" t="s">
        <v>1786</v>
      </c>
      <c r="AW20" s="41">
        <v>0.0</v>
      </c>
    </row>
    <row r="21" ht="15.75" customHeight="1">
      <c r="A21" s="6">
        <v>1919.0</v>
      </c>
      <c r="B21" s="6" t="s">
        <v>35</v>
      </c>
      <c r="C21" s="6" t="str">
        <f t="shared" si="1"/>
        <v>LP 20_BC-0B-LP1_HEXANE</v>
      </c>
      <c r="D21" s="6" t="s">
        <v>1787</v>
      </c>
      <c r="E21" s="6" t="s">
        <v>591</v>
      </c>
      <c r="F21" s="6" t="s">
        <v>1788</v>
      </c>
      <c r="G21" s="6" t="s">
        <v>651</v>
      </c>
      <c r="H21" s="12" t="s">
        <v>1789</v>
      </c>
      <c r="I21" s="9">
        <v>0.0</v>
      </c>
      <c r="J21" s="12" t="s">
        <v>1790</v>
      </c>
      <c r="K21" s="9">
        <v>0.0</v>
      </c>
      <c r="L21" s="40"/>
      <c r="M21" s="40"/>
      <c r="N21" s="12" t="s">
        <v>1791</v>
      </c>
      <c r="O21" s="9">
        <v>0.0</v>
      </c>
      <c r="P21" s="40"/>
      <c r="Q21" s="40"/>
      <c r="R21" s="12" t="s">
        <v>1792</v>
      </c>
      <c r="S21" s="9">
        <v>0.0</v>
      </c>
      <c r="T21" s="40"/>
      <c r="U21" s="40"/>
      <c r="V21" s="12" t="s">
        <v>1793</v>
      </c>
      <c r="W21" s="9">
        <v>0.0</v>
      </c>
      <c r="X21" s="40"/>
      <c r="Y21" s="40"/>
      <c r="Z21" s="12" t="s">
        <v>1794</v>
      </c>
      <c r="AA21" s="9">
        <v>0.0</v>
      </c>
      <c r="AB21" s="40"/>
      <c r="AC21" s="40"/>
      <c r="AD21" s="12" t="s">
        <v>1795</v>
      </c>
      <c r="AE21" s="27">
        <v>0.0</v>
      </c>
      <c r="AF21" s="12" t="s">
        <v>1796</v>
      </c>
      <c r="AG21" s="27">
        <v>0.0</v>
      </c>
      <c r="AH21" s="12" t="s">
        <v>1796</v>
      </c>
      <c r="AI21" s="9">
        <v>0.0</v>
      </c>
      <c r="AJ21" s="12" t="s">
        <v>1797</v>
      </c>
      <c r="AK21" s="9">
        <v>0.0</v>
      </c>
      <c r="AL21" s="12" t="s">
        <v>1798</v>
      </c>
      <c r="AM21" s="9">
        <v>0.0</v>
      </c>
      <c r="AN21" s="12" t="s">
        <v>1799</v>
      </c>
      <c r="AO21" s="9">
        <v>0.0</v>
      </c>
      <c r="AP21" s="12" t="s">
        <v>1800</v>
      </c>
      <c r="AQ21" s="9">
        <v>0.0</v>
      </c>
      <c r="AR21" s="40"/>
      <c r="AS21" s="40"/>
      <c r="AT21" s="12" t="s">
        <v>1801</v>
      </c>
      <c r="AU21" s="9">
        <v>0.0</v>
      </c>
      <c r="AV21" s="40"/>
      <c r="AW21" s="40"/>
    </row>
    <row r="22" ht="15.75" customHeight="1">
      <c r="A22" s="6">
        <v>1919.0</v>
      </c>
      <c r="B22" s="6" t="s">
        <v>35</v>
      </c>
      <c r="C22" s="6" t="str">
        <f t="shared" si="1"/>
        <v>LP 21_BC-0B-LP2_MTO</v>
      </c>
      <c r="D22" s="6" t="s">
        <v>1802</v>
      </c>
      <c r="E22" s="6" t="s">
        <v>591</v>
      </c>
      <c r="F22" s="6" t="s">
        <v>1803</v>
      </c>
      <c r="G22" s="6" t="s">
        <v>660</v>
      </c>
      <c r="H22" s="12" t="s">
        <v>1804</v>
      </c>
      <c r="I22" s="9">
        <v>0.0</v>
      </c>
      <c r="J22" s="12" t="s">
        <v>1805</v>
      </c>
      <c r="K22" s="9">
        <v>0.0</v>
      </c>
      <c r="L22" s="40"/>
      <c r="M22" s="40"/>
      <c r="N22" s="12" t="s">
        <v>1806</v>
      </c>
      <c r="O22" s="9">
        <v>0.0</v>
      </c>
      <c r="P22" s="40"/>
      <c r="Q22" s="40"/>
      <c r="R22" s="12" t="s">
        <v>1807</v>
      </c>
      <c r="S22" s="9">
        <v>0.0</v>
      </c>
      <c r="T22" s="40"/>
      <c r="U22" s="40"/>
      <c r="V22" s="12" t="s">
        <v>1808</v>
      </c>
      <c r="W22" s="9">
        <v>0.0</v>
      </c>
      <c r="X22" s="40"/>
      <c r="Y22" s="40"/>
      <c r="Z22" s="12" t="s">
        <v>1809</v>
      </c>
      <c r="AA22" s="9">
        <v>0.0</v>
      </c>
      <c r="AB22" s="40"/>
      <c r="AC22" s="40"/>
      <c r="AD22" s="12" t="s">
        <v>1810</v>
      </c>
      <c r="AE22" s="27">
        <v>0.0</v>
      </c>
      <c r="AF22" s="12" t="s">
        <v>1811</v>
      </c>
      <c r="AG22" s="27">
        <v>0.0</v>
      </c>
      <c r="AH22" s="12" t="s">
        <v>1811</v>
      </c>
      <c r="AI22" s="9">
        <v>0.0</v>
      </c>
      <c r="AJ22" s="12" t="s">
        <v>1812</v>
      </c>
      <c r="AK22" s="9">
        <v>0.0</v>
      </c>
      <c r="AL22" s="12" t="s">
        <v>1813</v>
      </c>
      <c r="AM22" s="9">
        <v>0.0</v>
      </c>
      <c r="AN22" s="12" t="s">
        <v>1814</v>
      </c>
      <c r="AO22" s="9">
        <v>0.0</v>
      </c>
      <c r="AP22" s="12" t="s">
        <v>1815</v>
      </c>
      <c r="AQ22" s="9">
        <v>0.0</v>
      </c>
      <c r="AR22" s="40"/>
      <c r="AS22" s="40"/>
      <c r="AT22" s="12" t="s">
        <v>1816</v>
      </c>
      <c r="AU22" s="9">
        <v>0.0</v>
      </c>
      <c r="AV22" s="40"/>
      <c r="AW22" s="40"/>
    </row>
    <row r="23" ht="15.75" customHeight="1">
      <c r="A23" s="6">
        <v>1919.0</v>
      </c>
      <c r="B23" s="6" t="s">
        <v>35</v>
      </c>
      <c r="C23" s="6" t="str">
        <f t="shared" si="1"/>
        <v>LP 22_BC-10A_BS VI MS</v>
      </c>
      <c r="D23" s="6" t="s">
        <v>1817</v>
      </c>
      <c r="E23" s="6" t="s">
        <v>591</v>
      </c>
      <c r="F23" s="6" t="s">
        <v>1818</v>
      </c>
      <c r="G23" s="6" t="s">
        <v>120</v>
      </c>
      <c r="H23" s="12" t="s">
        <v>1819</v>
      </c>
      <c r="I23" s="9">
        <v>0.0</v>
      </c>
      <c r="J23" s="12" t="s">
        <v>1820</v>
      </c>
      <c r="K23" s="9">
        <v>0.0</v>
      </c>
      <c r="L23" s="40" t="s">
        <v>1821</v>
      </c>
      <c r="M23" s="41">
        <v>0.0</v>
      </c>
      <c r="N23" s="12" t="s">
        <v>1822</v>
      </c>
      <c r="O23" s="9">
        <v>0.0</v>
      </c>
      <c r="P23" s="40" t="s">
        <v>1823</v>
      </c>
      <c r="Q23" s="41">
        <v>0.0</v>
      </c>
      <c r="R23" s="12" t="s">
        <v>1824</v>
      </c>
      <c r="S23" s="9">
        <v>0.0</v>
      </c>
      <c r="T23" s="40" t="s">
        <v>1825</v>
      </c>
      <c r="U23" s="41">
        <v>0.0</v>
      </c>
      <c r="V23" s="12" t="s">
        <v>1826</v>
      </c>
      <c r="W23" s="9">
        <v>0.0</v>
      </c>
      <c r="X23" s="40" t="s">
        <v>1827</v>
      </c>
      <c r="Y23" s="41">
        <v>0.0</v>
      </c>
      <c r="Z23" s="12" t="s">
        <v>1828</v>
      </c>
      <c r="AA23" s="9">
        <v>0.0</v>
      </c>
      <c r="AB23" s="40" t="s">
        <v>1829</v>
      </c>
      <c r="AC23" s="41">
        <v>0.0</v>
      </c>
      <c r="AD23" s="12" t="s">
        <v>1830</v>
      </c>
      <c r="AE23" s="27">
        <v>0.0</v>
      </c>
      <c r="AF23" s="12" t="s">
        <v>1831</v>
      </c>
      <c r="AG23" s="27">
        <v>0.0</v>
      </c>
      <c r="AH23" s="12" t="s">
        <v>1831</v>
      </c>
      <c r="AI23" s="9">
        <v>0.0</v>
      </c>
      <c r="AJ23" s="12" t="s">
        <v>1832</v>
      </c>
      <c r="AK23" s="9">
        <v>0.0</v>
      </c>
      <c r="AL23" s="12" t="s">
        <v>1833</v>
      </c>
      <c r="AM23" s="9">
        <v>0.0</v>
      </c>
      <c r="AN23" s="12" t="s">
        <v>1834</v>
      </c>
      <c r="AO23" s="9">
        <v>0.0</v>
      </c>
      <c r="AP23" s="12" t="s">
        <v>1835</v>
      </c>
      <c r="AQ23" s="9">
        <v>0.0</v>
      </c>
      <c r="AR23" s="40" t="s">
        <v>1836</v>
      </c>
      <c r="AS23" s="41">
        <v>0.0</v>
      </c>
      <c r="AT23" s="12" t="s">
        <v>1837</v>
      </c>
      <c r="AU23" s="9">
        <v>0.0</v>
      </c>
      <c r="AV23" s="40" t="s">
        <v>1838</v>
      </c>
      <c r="AW23" s="41">
        <v>0.0</v>
      </c>
    </row>
    <row r="24" ht="15.75" customHeight="1">
      <c r="A24" s="6">
        <v>1919.0</v>
      </c>
      <c r="B24" s="6" t="s">
        <v>35</v>
      </c>
      <c r="C24" s="6" t="str">
        <f t="shared" si="1"/>
        <v>LP 23_BC-10B_BS VI HSD</v>
      </c>
      <c r="D24" s="6" t="s">
        <v>1839</v>
      </c>
      <c r="E24" s="6" t="s">
        <v>591</v>
      </c>
      <c r="F24" s="6" t="s">
        <v>1840</v>
      </c>
      <c r="G24" s="6" t="s">
        <v>38</v>
      </c>
      <c r="H24" s="12" t="s">
        <v>1841</v>
      </c>
      <c r="I24" s="9">
        <v>0.0</v>
      </c>
      <c r="J24" s="12" t="s">
        <v>1842</v>
      </c>
      <c r="K24" s="9">
        <v>0.0</v>
      </c>
      <c r="L24" s="40" t="s">
        <v>1843</v>
      </c>
      <c r="M24" s="41">
        <v>0.0</v>
      </c>
      <c r="N24" s="12" t="s">
        <v>1844</v>
      </c>
      <c r="O24" s="9">
        <v>0.0</v>
      </c>
      <c r="P24" s="40" t="s">
        <v>1845</v>
      </c>
      <c r="Q24" s="41">
        <v>0.0</v>
      </c>
      <c r="R24" s="12" t="s">
        <v>1846</v>
      </c>
      <c r="S24" s="9">
        <v>0.0</v>
      </c>
      <c r="T24" s="40" t="s">
        <v>1847</v>
      </c>
      <c r="U24" s="41">
        <v>0.0</v>
      </c>
      <c r="V24" s="12" t="s">
        <v>1848</v>
      </c>
      <c r="W24" s="9">
        <v>0.0</v>
      </c>
      <c r="X24" s="40" t="s">
        <v>1849</v>
      </c>
      <c r="Y24" s="41">
        <v>0.0</v>
      </c>
      <c r="Z24" s="12" t="s">
        <v>1850</v>
      </c>
      <c r="AA24" s="9">
        <v>0.0</v>
      </c>
      <c r="AB24" s="40" t="s">
        <v>1851</v>
      </c>
      <c r="AC24" s="41">
        <v>0.0</v>
      </c>
      <c r="AD24" s="12" t="s">
        <v>1852</v>
      </c>
      <c r="AE24" s="27">
        <v>0.0</v>
      </c>
      <c r="AF24" s="12" t="s">
        <v>1853</v>
      </c>
      <c r="AG24" s="27">
        <v>0.0</v>
      </c>
      <c r="AH24" s="12" t="s">
        <v>1853</v>
      </c>
      <c r="AI24" s="9">
        <v>0.0</v>
      </c>
      <c r="AJ24" s="12" t="s">
        <v>1854</v>
      </c>
      <c r="AK24" s="9">
        <v>0.0</v>
      </c>
      <c r="AL24" s="12" t="s">
        <v>1855</v>
      </c>
      <c r="AM24" s="9">
        <v>0.0</v>
      </c>
      <c r="AN24" s="12" t="s">
        <v>1856</v>
      </c>
      <c r="AO24" s="9">
        <v>0.0</v>
      </c>
      <c r="AP24" s="12" t="s">
        <v>1857</v>
      </c>
      <c r="AQ24" s="9">
        <v>0.0</v>
      </c>
      <c r="AR24" s="40" t="s">
        <v>1858</v>
      </c>
      <c r="AS24" s="41">
        <v>0.0</v>
      </c>
      <c r="AT24" s="12" t="s">
        <v>1859</v>
      </c>
      <c r="AU24" s="9">
        <v>0.0</v>
      </c>
      <c r="AV24" s="40" t="s">
        <v>1860</v>
      </c>
      <c r="AW24" s="41">
        <v>0.0</v>
      </c>
    </row>
    <row r="25" ht="15.75" customHeight="1">
      <c r="A25" s="6">
        <v>1919.0</v>
      </c>
      <c r="B25" s="6" t="s">
        <v>35</v>
      </c>
      <c r="C25" s="6" t="str">
        <f t="shared" si="1"/>
        <v>LP 24_BC-11A_ATF</v>
      </c>
      <c r="D25" s="6" t="s">
        <v>1861</v>
      </c>
      <c r="E25" s="6" t="s">
        <v>591</v>
      </c>
      <c r="F25" s="6" t="s">
        <v>1862</v>
      </c>
      <c r="G25" s="6" t="s">
        <v>333</v>
      </c>
      <c r="H25" s="12" t="s">
        <v>1863</v>
      </c>
      <c r="I25" s="9">
        <v>0.0</v>
      </c>
      <c r="J25" s="12" t="s">
        <v>1864</v>
      </c>
      <c r="K25" s="9">
        <v>0.0</v>
      </c>
      <c r="L25" s="40"/>
      <c r="M25" s="40"/>
      <c r="N25" s="12" t="s">
        <v>1865</v>
      </c>
      <c r="O25" s="9">
        <v>0.0</v>
      </c>
      <c r="P25" s="40"/>
      <c r="Q25" s="40"/>
      <c r="R25" s="12" t="s">
        <v>1866</v>
      </c>
      <c r="S25" s="9">
        <v>0.0</v>
      </c>
      <c r="T25" s="40"/>
      <c r="U25" s="40"/>
      <c r="V25" s="12" t="s">
        <v>1867</v>
      </c>
      <c r="W25" s="9">
        <v>0.0</v>
      </c>
      <c r="X25" s="40"/>
      <c r="Y25" s="40"/>
      <c r="Z25" s="12" t="s">
        <v>1868</v>
      </c>
      <c r="AA25" s="9">
        <v>0.0</v>
      </c>
      <c r="AB25" s="40"/>
      <c r="AC25" s="40"/>
      <c r="AD25" s="12" t="s">
        <v>1869</v>
      </c>
      <c r="AE25" s="27">
        <v>0.0</v>
      </c>
      <c r="AF25" s="12" t="s">
        <v>1870</v>
      </c>
      <c r="AG25" s="27">
        <v>0.0</v>
      </c>
      <c r="AH25" s="12" t="s">
        <v>1870</v>
      </c>
      <c r="AI25" s="9">
        <v>0.0</v>
      </c>
      <c r="AJ25" s="12" t="s">
        <v>1871</v>
      </c>
      <c r="AK25" s="9">
        <v>0.0</v>
      </c>
      <c r="AL25" s="12" t="s">
        <v>1872</v>
      </c>
      <c r="AM25" s="9">
        <v>0.0</v>
      </c>
      <c r="AN25" s="12" t="s">
        <v>1873</v>
      </c>
      <c r="AO25" s="9">
        <v>0.0</v>
      </c>
      <c r="AP25" s="12" t="s">
        <v>1874</v>
      </c>
      <c r="AQ25" s="9">
        <v>0.0</v>
      </c>
      <c r="AR25" s="40"/>
      <c r="AS25" s="40"/>
      <c r="AT25" s="12" t="s">
        <v>1875</v>
      </c>
      <c r="AU25" s="9">
        <v>0.0</v>
      </c>
      <c r="AV25" s="40"/>
      <c r="AW25" s="40"/>
    </row>
    <row r="26" ht="15.75" customHeight="1">
      <c r="A26" s="6">
        <v>1919.0</v>
      </c>
      <c r="B26" s="6" t="s">
        <v>35</v>
      </c>
      <c r="C26" s="6" t="str">
        <f t="shared" si="1"/>
        <v>LP 25_BC-11B_ATF</v>
      </c>
      <c r="D26" s="6" t="s">
        <v>1876</v>
      </c>
      <c r="E26" s="6" t="s">
        <v>591</v>
      </c>
      <c r="F26" s="6" t="s">
        <v>1877</v>
      </c>
      <c r="G26" s="6" t="s">
        <v>333</v>
      </c>
      <c r="H26" s="12" t="s">
        <v>1878</v>
      </c>
      <c r="I26" s="9">
        <v>0.0</v>
      </c>
      <c r="J26" s="12" t="s">
        <v>1879</v>
      </c>
      <c r="K26" s="9">
        <v>0.0</v>
      </c>
      <c r="L26" s="40"/>
      <c r="M26" s="40"/>
      <c r="N26" s="12" t="s">
        <v>1880</v>
      </c>
      <c r="O26" s="9">
        <v>0.0</v>
      </c>
      <c r="P26" s="40"/>
      <c r="Q26" s="40"/>
      <c r="R26" s="12" t="s">
        <v>1881</v>
      </c>
      <c r="S26" s="9">
        <v>0.0</v>
      </c>
      <c r="T26" s="40"/>
      <c r="U26" s="40"/>
      <c r="V26" s="12" t="s">
        <v>1882</v>
      </c>
      <c r="W26" s="9">
        <v>0.0</v>
      </c>
      <c r="X26" s="40"/>
      <c r="Y26" s="40"/>
      <c r="Z26" s="12" t="s">
        <v>1883</v>
      </c>
      <c r="AA26" s="9">
        <v>0.0</v>
      </c>
      <c r="AB26" s="40"/>
      <c r="AC26" s="40"/>
      <c r="AD26" s="12" t="s">
        <v>1884</v>
      </c>
      <c r="AE26" s="27">
        <v>0.0</v>
      </c>
      <c r="AF26" s="12" t="s">
        <v>1885</v>
      </c>
      <c r="AG26" s="27">
        <v>0.0</v>
      </c>
      <c r="AH26" s="12" t="s">
        <v>1885</v>
      </c>
      <c r="AI26" s="9">
        <v>0.0</v>
      </c>
      <c r="AJ26" s="12" t="s">
        <v>1886</v>
      </c>
      <c r="AK26" s="9">
        <v>0.0</v>
      </c>
      <c r="AL26" s="12" t="s">
        <v>1887</v>
      </c>
      <c r="AM26" s="9">
        <v>0.0</v>
      </c>
      <c r="AN26" s="12" t="s">
        <v>1888</v>
      </c>
      <c r="AO26" s="9">
        <v>0.0</v>
      </c>
      <c r="AP26" s="12" t="s">
        <v>1889</v>
      </c>
      <c r="AQ26" s="9">
        <v>0.0</v>
      </c>
      <c r="AR26" s="40"/>
      <c r="AS26" s="40"/>
      <c r="AT26" s="12" t="s">
        <v>1890</v>
      </c>
      <c r="AU26" s="9">
        <v>0.0</v>
      </c>
      <c r="AV26" s="40"/>
      <c r="AW26" s="40"/>
    </row>
    <row r="27" ht="15.75" customHeight="1">
      <c r="A27" s="6">
        <v>1919.0</v>
      </c>
      <c r="B27" s="6" t="s">
        <v>35</v>
      </c>
      <c r="C27" s="6" t="str">
        <f t="shared" si="1"/>
        <v>LP 26_BC-12A_ATF</v>
      </c>
      <c r="D27" s="6" t="s">
        <v>1891</v>
      </c>
      <c r="E27" s="6" t="s">
        <v>591</v>
      </c>
      <c r="F27" s="6" t="s">
        <v>1892</v>
      </c>
      <c r="G27" s="6" t="s">
        <v>333</v>
      </c>
      <c r="H27" s="12" t="s">
        <v>1893</v>
      </c>
      <c r="I27" s="9">
        <v>0.0</v>
      </c>
      <c r="J27" s="12" t="s">
        <v>1894</v>
      </c>
      <c r="K27" s="9">
        <v>0.0</v>
      </c>
      <c r="L27" s="40"/>
      <c r="M27" s="40"/>
      <c r="N27" s="12" t="s">
        <v>1895</v>
      </c>
      <c r="O27" s="9">
        <v>0.0</v>
      </c>
      <c r="P27" s="40"/>
      <c r="Q27" s="40"/>
      <c r="R27" s="12" t="s">
        <v>1896</v>
      </c>
      <c r="S27" s="9">
        <v>0.0</v>
      </c>
      <c r="T27" s="40"/>
      <c r="U27" s="40"/>
      <c r="V27" s="12" t="s">
        <v>1897</v>
      </c>
      <c r="W27" s="9">
        <v>0.0</v>
      </c>
      <c r="X27" s="40"/>
      <c r="Y27" s="40"/>
      <c r="Z27" s="12" t="s">
        <v>1898</v>
      </c>
      <c r="AA27" s="9">
        <v>0.0</v>
      </c>
      <c r="AB27" s="40"/>
      <c r="AC27" s="40"/>
      <c r="AD27" s="12" t="s">
        <v>1899</v>
      </c>
      <c r="AE27" s="27">
        <v>0.0</v>
      </c>
      <c r="AF27" s="12" t="s">
        <v>1900</v>
      </c>
      <c r="AG27" s="27">
        <v>0.0</v>
      </c>
      <c r="AH27" s="12" t="s">
        <v>1900</v>
      </c>
      <c r="AI27" s="9">
        <v>0.0</v>
      </c>
      <c r="AJ27" s="12" t="s">
        <v>1901</v>
      </c>
      <c r="AK27" s="9">
        <v>0.0</v>
      </c>
      <c r="AL27" s="12" t="s">
        <v>1902</v>
      </c>
      <c r="AM27" s="9">
        <v>0.0</v>
      </c>
      <c r="AN27" s="12" t="s">
        <v>1903</v>
      </c>
      <c r="AO27" s="9">
        <v>0.0</v>
      </c>
      <c r="AP27" s="12" t="s">
        <v>1904</v>
      </c>
      <c r="AQ27" s="9">
        <v>0.0</v>
      </c>
      <c r="AR27" s="40"/>
      <c r="AS27" s="40"/>
      <c r="AT27" s="12" t="s">
        <v>1905</v>
      </c>
      <c r="AU27" s="9">
        <v>0.0</v>
      </c>
      <c r="AV27" s="40"/>
      <c r="AW27" s="40"/>
    </row>
    <row r="28" ht="15.75" customHeight="1">
      <c r="A28" s="6">
        <v>1919.0</v>
      </c>
      <c r="B28" s="6" t="s">
        <v>35</v>
      </c>
      <c r="C28" s="6" t="str">
        <f t="shared" si="1"/>
        <v>LP 27_BC-12B_ATF</v>
      </c>
      <c r="D28" s="6" t="s">
        <v>1906</v>
      </c>
      <c r="E28" s="6" t="s">
        <v>591</v>
      </c>
      <c r="F28" s="6" t="s">
        <v>1907</v>
      </c>
      <c r="G28" s="6" t="s">
        <v>333</v>
      </c>
      <c r="H28" s="12" t="s">
        <v>1908</v>
      </c>
      <c r="I28" s="9">
        <v>0.0</v>
      </c>
      <c r="J28" s="12" t="s">
        <v>1909</v>
      </c>
      <c r="K28" s="9">
        <v>0.0</v>
      </c>
      <c r="L28" s="40"/>
      <c r="M28" s="40"/>
      <c r="N28" s="12" t="s">
        <v>1910</v>
      </c>
      <c r="O28" s="9">
        <v>0.0</v>
      </c>
      <c r="P28" s="40"/>
      <c r="Q28" s="40"/>
      <c r="R28" s="12" t="s">
        <v>1911</v>
      </c>
      <c r="S28" s="9">
        <v>0.0</v>
      </c>
      <c r="T28" s="40"/>
      <c r="U28" s="40"/>
      <c r="V28" s="12" t="s">
        <v>1912</v>
      </c>
      <c r="W28" s="9">
        <v>0.0</v>
      </c>
      <c r="X28" s="40"/>
      <c r="Y28" s="40"/>
      <c r="Z28" s="12" t="s">
        <v>1913</v>
      </c>
      <c r="AA28" s="9">
        <v>0.0</v>
      </c>
      <c r="AB28" s="40"/>
      <c r="AC28" s="40"/>
      <c r="AD28" s="12" t="s">
        <v>1914</v>
      </c>
      <c r="AE28" s="27">
        <v>0.0</v>
      </c>
      <c r="AF28" s="12" t="s">
        <v>1915</v>
      </c>
      <c r="AG28" s="27">
        <v>0.0</v>
      </c>
      <c r="AH28" s="12" t="s">
        <v>1915</v>
      </c>
      <c r="AI28" s="9">
        <v>0.0</v>
      </c>
      <c r="AJ28" s="12" t="s">
        <v>1916</v>
      </c>
      <c r="AK28" s="9">
        <v>0.0</v>
      </c>
      <c r="AL28" s="12" t="s">
        <v>1917</v>
      </c>
      <c r="AM28" s="9">
        <v>0.0</v>
      </c>
      <c r="AN28" s="12" t="s">
        <v>1918</v>
      </c>
      <c r="AO28" s="9">
        <v>0.0</v>
      </c>
      <c r="AP28" s="12" t="s">
        <v>1919</v>
      </c>
      <c r="AQ28" s="9">
        <v>0.0</v>
      </c>
      <c r="AR28" s="40"/>
      <c r="AS28" s="40"/>
      <c r="AT28" s="12" t="s">
        <v>1920</v>
      </c>
      <c r="AU28" s="9">
        <v>0.0</v>
      </c>
      <c r="AV28" s="40"/>
      <c r="AW28" s="40"/>
    </row>
    <row r="29" ht="15.75" customHeight="1">
      <c r="A29" s="6">
        <v>1919.0</v>
      </c>
      <c r="B29" s="6" t="s">
        <v>35</v>
      </c>
      <c r="C29" s="6" t="str">
        <f t="shared" si="1"/>
        <v>LP 28_BC-13A_BS VI MS</v>
      </c>
      <c r="D29" s="6" t="s">
        <v>1921</v>
      </c>
      <c r="E29" s="6" t="s">
        <v>591</v>
      </c>
      <c r="F29" s="6" t="s">
        <v>1922</v>
      </c>
      <c r="G29" s="6" t="s">
        <v>120</v>
      </c>
      <c r="H29" s="12" t="s">
        <v>1923</v>
      </c>
      <c r="I29" s="9">
        <v>0.0</v>
      </c>
      <c r="J29" s="12" t="s">
        <v>1924</v>
      </c>
      <c r="K29" s="9">
        <v>0.0</v>
      </c>
      <c r="L29" s="40" t="s">
        <v>1925</v>
      </c>
      <c r="M29" s="41">
        <v>0.0</v>
      </c>
      <c r="N29" s="12" t="s">
        <v>1926</v>
      </c>
      <c r="O29" s="9">
        <v>0.0</v>
      </c>
      <c r="P29" s="40" t="s">
        <v>1927</v>
      </c>
      <c r="Q29" s="41">
        <v>0.0</v>
      </c>
      <c r="R29" s="12" t="s">
        <v>1928</v>
      </c>
      <c r="S29" s="9">
        <v>0.0</v>
      </c>
      <c r="T29" s="40" t="s">
        <v>1929</v>
      </c>
      <c r="U29" s="41">
        <v>0.0</v>
      </c>
      <c r="V29" s="12" t="s">
        <v>1930</v>
      </c>
      <c r="W29" s="9">
        <v>0.0</v>
      </c>
      <c r="X29" s="40" t="s">
        <v>1931</v>
      </c>
      <c r="Y29" s="41">
        <v>0.0</v>
      </c>
      <c r="Z29" s="12" t="s">
        <v>1932</v>
      </c>
      <c r="AA29" s="9">
        <v>0.0</v>
      </c>
      <c r="AB29" s="40" t="s">
        <v>1933</v>
      </c>
      <c r="AC29" s="41">
        <v>0.0</v>
      </c>
      <c r="AD29" s="12" t="s">
        <v>1934</v>
      </c>
      <c r="AE29" s="27">
        <v>0.0</v>
      </c>
      <c r="AF29" s="12" t="s">
        <v>1935</v>
      </c>
      <c r="AG29" s="27">
        <v>0.0</v>
      </c>
      <c r="AH29" s="12" t="s">
        <v>1935</v>
      </c>
      <c r="AI29" s="9">
        <v>0.0</v>
      </c>
      <c r="AJ29" s="12" t="s">
        <v>1936</v>
      </c>
      <c r="AK29" s="9">
        <v>0.0</v>
      </c>
      <c r="AL29" s="12" t="s">
        <v>1937</v>
      </c>
      <c r="AM29" s="9">
        <v>0.0</v>
      </c>
      <c r="AN29" s="12" t="s">
        <v>1938</v>
      </c>
      <c r="AO29" s="9">
        <v>0.0</v>
      </c>
      <c r="AP29" s="12" t="s">
        <v>1939</v>
      </c>
      <c r="AQ29" s="9">
        <v>0.0</v>
      </c>
      <c r="AR29" s="40" t="s">
        <v>1940</v>
      </c>
      <c r="AS29" s="41">
        <v>0.0</v>
      </c>
      <c r="AT29" s="12" t="s">
        <v>1941</v>
      </c>
      <c r="AU29" s="9">
        <v>0.0</v>
      </c>
      <c r="AV29" s="40" t="s">
        <v>1942</v>
      </c>
      <c r="AW29" s="41">
        <v>0.0</v>
      </c>
    </row>
    <row r="30" ht="15.75" customHeight="1">
      <c r="A30" s="6">
        <v>1919.0</v>
      </c>
      <c r="B30" s="6" t="s">
        <v>35</v>
      </c>
      <c r="C30" s="6" t="str">
        <f t="shared" si="1"/>
        <v>LP 29_BC-13B_BS VI HSD</v>
      </c>
      <c r="D30" s="6" t="s">
        <v>1943</v>
      </c>
      <c r="E30" s="6" t="s">
        <v>591</v>
      </c>
      <c r="F30" s="6" t="s">
        <v>1944</v>
      </c>
      <c r="G30" s="6" t="s">
        <v>38</v>
      </c>
      <c r="H30" s="12" t="s">
        <v>1945</v>
      </c>
      <c r="I30" s="9">
        <v>0.0</v>
      </c>
      <c r="J30" s="12" t="s">
        <v>1946</v>
      </c>
      <c r="K30" s="9">
        <v>0.0</v>
      </c>
      <c r="L30" s="40" t="s">
        <v>1947</v>
      </c>
      <c r="M30" s="41">
        <v>0.0</v>
      </c>
      <c r="N30" s="12" t="s">
        <v>1948</v>
      </c>
      <c r="O30" s="9">
        <v>0.0</v>
      </c>
      <c r="P30" s="40" t="s">
        <v>1949</v>
      </c>
      <c r="Q30" s="41">
        <v>0.0</v>
      </c>
      <c r="R30" s="12" t="s">
        <v>1950</v>
      </c>
      <c r="S30" s="9">
        <v>0.0</v>
      </c>
      <c r="T30" s="40" t="s">
        <v>1951</v>
      </c>
      <c r="U30" s="41">
        <v>0.0</v>
      </c>
      <c r="V30" s="12" t="s">
        <v>1952</v>
      </c>
      <c r="W30" s="9">
        <v>0.0</v>
      </c>
      <c r="X30" s="40" t="s">
        <v>1953</v>
      </c>
      <c r="Y30" s="41">
        <v>0.0</v>
      </c>
      <c r="Z30" s="12" t="s">
        <v>1954</v>
      </c>
      <c r="AA30" s="9">
        <v>0.0</v>
      </c>
      <c r="AB30" s="40" t="s">
        <v>1955</v>
      </c>
      <c r="AC30" s="41">
        <v>0.0</v>
      </c>
      <c r="AD30" s="12" t="s">
        <v>1956</v>
      </c>
      <c r="AE30" s="27">
        <v>0.0</v>
      </c>
      <c r="AF30" s="12" t="s">
        <v>1957</v>
      </c>
      <c r="AG30" s="27">
        <v>0.0</v>
      </c>
      <c r="AH30" s="12" t="s">
        <v>1957</v>
      </c>
      <c r="AI30" s="9">
        <v>0.0</v>
      </c>
      <c r="AJ30" s="12" t="s">
        <v>1958</v>
      </c>
      <c r="AK30" s="9">
        <v>0.0</v>
      </c>
      <c r="AL30" s="12" t="s">
        <v>1959</v>
      </c>
      <c r="AM30" s="9">
        <v>0.0</v>
      </c>
      <c r="AN30" s="12" t="s">
        <v>1960</v>
      </c>
      <c r="AO30" s="9">
        <v>0.0</v>
      </c>
      <c r="AP30" s="12" t="s">
        <v>1961</v>
      </c>
      <c r="AQ30" s="9">
        <v>0.0</v>
      </c>
      <c r="AR30" s="40" t="s">
        <v>1962</v>
      </c>
      <c r="AS30" s="41">
        <v>0.0</v>
      </c>
      <c r="AT30" s="12" t="s">
        <v>1963</v>
      </c>
      <c r="AU30" s="9">
        <v>0.0</v>
      </c>
      <c r="AV30" s="40" t="s">
        <v>1964</v>
      </c>
      <c r="AW30" s="41">
        <v>0.0</v>
      </c>
    </row>
    <row r="31" ht="15.75" customHeight="1">
      <c r="A31" s="6">
        <v>1919.0</v>
      </c>
      <c r="B31" s="6" t="s">
        <v>35</v>
      </c>
      <c r="C31" s="6" t="str">
        <f t="shared" si="1"/>
        <v>LP 30_BC-14A_BS VI MS</v>
      </c>
      <c r="D31" s="6" t="s">
        <v>1965</v>
      </c>
      <c r="E31" s="6" t="s">
        <v>591</v>
      </c>
      <c r="F31" s="6" t="s">
        <v>1966</v>
      </c>
      <c r="G31" s="6" t="s">
        <v>120</v>
      </c>
      <c r="H31" s="12" t="s">
        <v>1967</v>
      </c>
      <c r="I31" s="9">
        <v>0.0</v>
      </c>
      <c r="J31" s="12" t="s">
        <v>1968</v>
      </c>
      <c r="K31" s="9">
        <v>0.0</v>
      </c>
      <c r="L31" s="40" t="s">
        <v>1969</v>
      </c>
      <c r="M31" s="41">
        <v>0.0</v>
      </c>
      <c r="N31" s="12" t="s">
        <v>1970</v>
      </c>
      <c r="O31" s="9">
        <v>0.0</v>
      </c>
      <c r="P31" s="40" t="s">
        <v>1971</v>
      </c>
      <c r="Q31" s="41">
        <v>0.0</v>
      </c>
      <c r="R31" s="12" t="s">
        <v>1972</v>
      </c>
      <c r="S31" s="9">
        <v>0.0</v>
      </c>
      <c r="T31" s="40" t="s">
        <v>1973</v>
      </c>
      <c r="U31" s="41">
        <v>0.0</v>
      </c>
      <c r="V31" s="12" t="s">
        <v>1974</v>
      </c>
      <c r="W31" s="9">
        <v>0.0</v>
      </c>
      <c r="X31" s="40" t="s">
        <v>1975</v>
      </c>
      <c r="Y31" s="41">
        <v>0.0</v>
      </c>
      <c r="Z31" s="12" t="s">
        <v>1976</v>
      </c>
      <c r="AA31" s="9">
        <v>0.0</v>
      </c>
      <c r="AB31" s="40" t="s">
        <v>1977</v>
      </c>
      <c r="AC31" s="41">
        <v>0.0</v>
      </c>
      <c r="AD31" s="12" t="s">
        <v>1978</v>
      </c>
      <c r="AE31" s="27">
        <v>0.0</v>
      </c>
      <c r="AF31" s="12" t="s">
        <v>1979</v>
      </c>
      <c r="AG31" s="27">
        <v>0.0</v>
      </c>
      <c r="AH31" s="12" t="s">
        <v>1979</v>
      </c>
      <c r="AI31" s="9">
        <v>0.0</v>
      </c>
      <c r="AJ31" s="12" t="s">
        <v>1980</v>
      </c>
      <c r="AK31" s="9">
        <v>0.0</v>
      </c>
      <c r="AL31" s="12" t="s">
        <v>1981</v>
      </c>
      <c r="AM31" s="9">
        <v>0.0</v>
      </c>
      <c r="AN31" s="12" t="s">
        <v>1982</v>
      </c>
      <c r="AO31" s="9">
        <v>0.0</v>
      </c>
      <c r="AP31" s="12" t="s">
        <v>1983</v>
      </c>
      <c r="AQ31" s="9">
        <v>0.0</v>
      </c>
      <c r="AR31" s="40" t="s">
        <v>1984</v>
      </c>
      <c r="AS31" s="41">
        <v>0.0</v>
      </c>
      <c r="AT31" s="12" t="s">
        <v>1985</v>
      </c>
      <c r="AU31" s="9">
        <v>0.0</v>
      </c>
      <c r="AV31" s="40" t="s">
        <v>1986</v>
      </c>
      <c r="AW31" s="41">
        <v>0.0</v>
      </c>
    </row>
    <row r="32" ht="15.75" customHeight="1">
      <c r="A32" s="6">
        <v>1919.0</v>
      </c>
      <c r="B32" s="6" t="s">
        <v>35</v>
      </c>
      <c r="C32" s="6" t="str">
        <f t="shared" si="1"/>
        <v>LP 31_BC-14B_BS VI HSD</v>
      </c>
      <c r="D32" s="6" t="s">
        <v>1987</v>
      </c>
      <c r="E32" s="6" t="s">
        <v>591</v>
      </c>
      <c r="F32" s="6" t="s">
        <v>1988</v>
      </c>
      <c r="G32" s="6" t="s">
        <v>38</v>
      </c>
      <c r="H32" s="12" t="s">
        <v>1989</v>
      </c>
      <c r="I32" s="9">
        <v>0.0</v>
      </c>
      <c r="J32" s="12" t="s">
        <v>1990</v>
      </c>
      <c r="K32" s="9">
        <v>0.0</v>
      </c>
      <c r="L32" s="40" t="s">
        <v>1991</v>
      </c>
      <c r="M32" s="41">
        <v>0.0</v>
      </c>
      <c r="N32" s="12" t="s">
        <v>1992</v>
      </c>
      <c r="O32" s="9">
        <v>0.0</v>
      </c>
      <c r="P32" s="40" t="s">
        <v>1993</v>
      </c>
      <c r="Q32" s="41">
        <v>0.0</v>
      </c>
      <c r="R32" s="12" t="s">
        <v>1994</v>
      </c>
      <c r="S32" s="9">
        <v>0.0</v>
      </c>
      <c r="T32" s="40" t="s">
        <v>1995</v>
      </c>
      <c r="U32" s="41">
        <v>0.0</v>
      </c>
      <c r="V32" s="12" t="s">
        <v>1996</v>
      </c>
      <c r="W32" s="9">
        <v>0.0</v>
      </c>
      <c r="X32" s="40" t="s">
        <v>1997</v>
      </c>
      <c r="Y32" s="41">
        <v>0.0</v>
      </c>
      <c r="Z32" s="12" t="s">
        <v>1998</v>
      </c>
      <c r="AA32" s="9">
        <v>0.0</v>
      </c>
      <c r="AB32" s="40" t="s">
        <v>1999</v>
      </c>
      <c r="AC32" s="41">
        <v>0.0</v>
      </c>
      <c r="AD32" s="12" t="s">
        <v>2000</v>
      </c>
      <c r="AE32" s="27">
        <v>0.0</v>
      </c>
      <c r="AF32" s="12" t="s">
        <v>2001</v>
      </c>
      <c r="AG32" s="27">
        <v>0.0</v>
      </c>
      <c r="AH32" s="12" t="s">
        <v>2001</v>
      </c>
      <c r="AI32" s="9">
        <v>0.0</v>
      </c>
      <c r="AJ32" s="12" t="s">
        <v>2002</v>
      </c>
      <c r="AK32" s="9">
        <v>0.0</v>
      </c>
      <c r="AL32" s="12" t="s">
        <v>2003</v>
      </c>
      <c r="AM32" s="9">
        <v>0.0</v>
      </c>
      <c r="AN32" s="12" t="s">
        <v>2004</v>
      </c>
      <c r="AO32" s="9">
        <v>0.0</v>
      </c>
      <c r="AP32" s="12" t="s">
        <v>2005</v>
      </c>
      <c r="AQ32" s="9">
        <v>0.0</v>
      </c>
      <c r="AR32" s="40" t="s">
        <v>2006</v>
      </c>
      <c r="AS32" s="41">
        <v>0.0</v>
      </c>
      <c r="AT32" s="12" t="s">
        <v>2007</v>
      </c>
      <c r="AU32" s="9">
        <v>0.0</v>
      </c>
      <c r="AV32" s="40" t="s">
        <v>2008</v>
      </c>
      <c r="AW32" s="41">
        <v>0.0</v>
      </c>
    </row>
    <row r="33" ht="15.75" customHeight="1">
      <c r="A33" s="6">
        <v>1919.0</v>
      </c>
      <c r="B33" s="6" t="s">
        <v>35</v>
      </c>
      <c r="C33" s="6" t="str">
        <f t="shared" si="1"/>
        <v>LP 32_BC-15A_BS VI MS</v>
      </c>
      <c r="D33" s="6" t="s">
        <v>2009</v>
      </c>
      <c r="E33" s="6" t="s">
        <v>591</v>
      </c>
      <c r="F33" s="6" t="s">
        <v>2010</v>
      </c>
      <c r="G33" s="6" t="s">
        <v>120</v>
      </c>
      <c r="H33" s="12" t="s">
        <v>2011</v>
      </c>
      <c r="I33" s="9">
        <v>0.0</v>
      </c>
      <c r="J33" s="12" t="s">
        <v>2012</v>
      </c>
      <c r="K33" s="9">
        <v>0.0</v>
      </c>
      <c r="L33" s="40" t="s">
        <v>2013</v>
      </c>
      <c r="M33" s="41">
        <v>0.0</v>
      </c>
      <c r="N33" s="12" t="s">
        <v>2014</v>
      </c>
      <c r="O33" s="9">
        <v>0.0</v>
      </c>
      <c r="P33" s="40" t="s">
        <v>2015</v>
      </c>
      <c r="Q33" s="41">
        <v>0.0</v>
      </c>
      <c r="R33" s="12" t="s">
        <v>2016</v>
      </c>
      <c r="S33" s="9">
        <v>0.0</v>
      </c>
      <c r="T33" s="40" t="s">
        <v>2017</v>
      </c>
      <c r="U33" s="41">
        <v>0.0</v>
      </c>
      <c r="V33" s="12" t="s">
        <v>2018</v>
      </c>
      <c r="W33" s="9">
        <v>0.0</v>
      </c>
      <c r="X33" s="40" t="s">
        <v>2019</v>
      </c>
      <c r="Y33" s="41">
        <v>0.0</v>
      </c>
      <c r="Z33" s="12" t="s">
        <v>2020</v>
      </c>
      <c r="AA33" s="9">
        <v>0.0</v>
      </c>
      <c r="AB33" s="40" t="s">
        <v>2021</v>
      </c>
      <c r="AC33" s="41">
        <v>0.0</v>
      </c>
      <c r="AD33" s="12" t="s">
        <v>2022</v>
      </c>
      <c r="AE33" s="27">
        <v>0.0</v>
      </c>
      <c r="AF33" s="12" t="s">
        <v>2023</v>
      </c>
      <c r="AG33" s="27">
        <v>0.0</v>
      </c>
      <c r="AH33" s="12" t="s">
        <v>2023</v>
      </c>
      <c r="AI33" s="9">
        <v>0.0</v>
      </c>
      <c r="AJ33" s="12" t="s">
        <v>2024</v>
      </c>
      <c r="AK33" s="9">
        <v>0.0</v>
      </c>
      <c r="AL33" s="12" t="s">
        <v>2025</v>
      </c>
      <c r="AM33" s="9">
        <v>0.0</v>
      </c>
      <c r="AN33" s="12" t="s">
        <v>2026</v>
      </c>
      <c r="AO33" s="9">
        <v>0.0</v>
      </c>
      <c r="AP33" s="12" t="s">
        <v>2027</v>
      </c>
      <c r="AQ33" s="9">
        <v>0.0</v>
      </c>
      <c r="AR33" s="40" t="s">
        <v>2028</v>
      </c>
      <c r="AS33" s="41">
        <v>0.0</v>
      </c>
      <c r="AT33" s="12" t="s">
        <v>2029</v>
      </c>
      <c r="AU33" s="9">
        <v>0.0</v>
      </c>
      <c r="AV33" s="40" t="s">
        <v>2030</v>
      </c>
      <c r="AW33" s="41">
        <v>0.0</v>
      </c>
    </row>
    <row r="34" ht="15.75" customHeight="1">
      <c r="A34" s="6">
        <v>1919.0</v>
      </c>
      <c r="B34" s="6" t="s">
        <v>35</v>
      </c>
      <c r="C34" s="6" t="str">
        <f t="shared" si="1"/>
        <v>LP 33_BC-15B_BS VI HSD</v>
      </c>
      <c r="D34" s="6" t="s">
        <v>2031</v>
      </c>
      <c r="E34" s="6" t="s">
        <v>591</v>
      </c>
      <c r="F34" s="6" t="s">
        <v>2032</v>
      </c>
      <c r="G34" s="6" t="s">
        <v>38</v>
      </c>
      <c r="H34" s="12" t="s">
        <v>2033</v>
      </c>
      <c r="I34" s="9">
        <v>0.0</v>
      </c>
      <c r="J34" s="12" t="s">
        <v>2034</v>
      </c>
      <c r="K34" s="9">
        <v>0.0</v>
      </c>
      <c r="L34" s="40" t="s">
        <v>2035</v>
      </c>
      <c r="M34" s="41">
        <v>0.0</v>
      </c>
      <c r="N34" s="12" t="s">
        <v>2036</v>
      </c>
      <c r="O34" s="9">
        <v>0.0</v>
      </c>
      <c r="P34" s="40" t="s">
        <v>2037</v>
      </c>
      <c r="Q34" s="41">
        <v>0.0</v>
      </c>
      <c r="R34" s="12" t="s">
        <v>2038</v>
      </c>
      <c r="S34" s="9">
        <v>0.0</v>
      </c>
      <c r="T34" s="40" t="s">
        <v>2039</v>
      </c>
      <c r="U34" s="41">
        <v>0.0</v>
      </c>
      <c r="V34" s="12" t="s">
        <v>2040</v>
      </c>
      <c r="W34" s="9">
        <v>0.0</v>
      </c>
      <c r="X34" s="40" t="s">
        <v>2041</v>
      </c>
      <c r="Y34" s="41">
        <v>0.0</v>
      </c>
      <c r="Z34" s="12" t="s">
        <v>2042</v>
      </c>
      <c r="AA34" s="9">
        <v>0.0</v>
      </c>
      <c r="AB34" s="40" t="s">
        <v>2043</v>
      </c>
      <c r="AC34" s="41">
        <v>0.0</v>
      </c>
      <c r="AD34" s="12" t="s">
        <v>2044</v>
      </c>
      <c r="AE34" s="27">
        <v>0.0</v>
      </c>
      <c r="AF34" s="12" t="s">
        <v>2045</v>
      </c>
      <c r="AG34" s="27">
        <v>0.0</v>
      </c>
      <c r="AH34" s="12" t="s">
        <v>2045</v>
      </c>
      <c r="AI34" s="9">
        <v>0.0</v>
      </c>
      <c r="AJ34" s="12" t="s">
        <v>2046</v>
      </c>
      <c r="AK34" s="9">
        <v>0.0</v>
      </c>
      <c r="AL34" s="12" t="s">
        <v>2047</v>
      </c>
      <c r="AM34" s="9">
        <v>0.0</v>
      </c>
      <c r="AN34" s="12" t="s">
        <v>2048</v>
      </c>
      <c r="AO34" s="9">
        <v>0.0</v>
      </c>
      <c r="AP34" s="12" t="s">
        <v>2049</v>
      </c>
      <c r="AQ34" s="9">
        <v>0.0</v>
      </c>
      <c r="AR34" s="40" t="s">
        <v>2050</v>
      </c>
      <c r="AS34" s="41">
        <v>0.0</v>
      </c>
      <c r="AT34" s="12" t="s">
        <v>2051</v>
      </c>
      <c r="AU34" s="9">
        <v>0.0</v>
      </c>
      <c r="AV34" s="40" t="s">
        <v>2052</v>
      </c>
      <c r="AW34" s="41">
        <v>0.0</v>
      </c>
    </row>
    <row r="35" ht="15.75" customHeight="1">
      <c r="A35" s="6">
        <v>1919.0</v>
      </c>
      <c r="B35" s="6" t="s">
        <v>35</v>
      </c>
      <c r="C35" s="6" t="str">
        <f t="shared" si="1"/>
        <v>LP 34_BC-8A-LP1_BS VI HSD</v>
      </c>
      <c r="D35" s="6" t="s">
        <v>2053</v>
      </c>
      <c r="E35" s="6" t="s">
        <v>591</v>
      </c>
      <c r="F35" s="6" t="s">
        <v>2054</v>
      </c>
      <c r="G35" s="6" t="s">
        <v>38</v>
      </c>
      <c r="H35" s="12" t="s">
        <v>2055</v>
      </c>
      <c r="I35" s="9">
        <v>0.0</v>
      </c>
      <c r="J35" s="12" t="s">
        <v>2056</v>
      </c>
      <c r="K35" s="9">
        <v>0.0</v>
      </c>
      <c r="L35" s="40" t="s">
        <v>2057</v>
      </c>
      <c r="M35" s="41">
        <v>0.0</v>
      </c>
      <c r="N35" s="12" t="s">
        <v>2058</v>
      </c>
      <c r="O35" s="9">
        <v>0.0</v>
      </c>
      <c r="P35" s="40" t="s">
        <v>2059</v>
      </c>
      <c r="Q35" s="41">
        <v>0.0</v>
      </c>
      <c r="R35" s="12" t="s">
        <v>2060</v>
      </c>
      <c r="S35" s="9">
        <v>0.0</v>
      </c>
      <c r="T35" s="40" t="s">
        <v>2061</v>
      </c>
      <c r="U35" s="41">
        <v>0.0</v>
      </c>
      <c r="V35" s="12" t="s">
        <v>2062</v>
      </c>
      <c r="W35" s="9">
        <v>0.0</v>
      </c>
      <c r="X35" s="40" t="s">
        <v>2063</v>
      </c>
      <c r="Y35" s="41">
        <v>0.0</v>
      </c>
      <c r="Z35" s="12" t="s">
        <v>2064</v>
      </c>
      <c r="AA35" s="9">
        <v>0.0</v>
      </c>
      <c r="AB35" s="40" t="s">
        <v>2065</v>
      </c>
      <c r="AC35" s="41">
        <v>0.0</v>
      </c>
      <c r="AD35" s="12" t="s">
        <v>2066</v>
      </c>
      <c r="AE35" s="27">
        <v>0.0</v>
      </c>
      <c r="AF35" s="12" t="s">
        <v>2067</v>
      </c>
      <c r="AG35" s="27">
        <v>0.0</v>
      </c>
      <c r="AH35" s="12" t="s">
        <v>2067</v>
      </c>
      <c r="AI35" s="9">
        <v>0.0</v>
      </c>
      <c r="AJ35" s="12" t="s">
        <v>2068</v>
      </c>
      <c r="AK35" s="9">
        <v>0.0</v>
      </c>
      <c r="AL35" s="12" t="s">
        <v>2069</v>
      </c>
      <c r="AM35" s="9">
        <v>0.0</v>
      </c>
      <c r="AN35" s="12" t="s">
        <v>2070</v>
      </c>
      <c r="AO35" s="9">
        <v>0.0</v>
      </c>
      <c r="AP35" s="12" t="s">
        <v>2071</v>
      </c>
      <c r="AQ35" s="9">
        <v>0.0</v>
      </c>
      <c r="AR35" s="40" t="s">
        <v>2072</v>
      </c>
      <c r="AS35" s="41">
        <v>0.0</v>
      </c>
      <c r="AT35" s="12" t="s">
        <v>2073</v>
      </c>
      <c r="AU35" s="9">
        <v>0.0</v>
      </c>
      <c r="AV35" s="40" t="s">
        <v>2074</v>
      </c>
      <c r="AW35" s="41">
        <v>0.0</v>
      </c>
    </row>
    <row r="36" ht="15.75" customHeight="1">
      <c r="A36" s="6">
        <v>1919.0</v>
      </c>
      <c r="B36" s="6" t="s">
        <v>35</v>
      </c>
      <c r="C36" s="6" t="str">
        <f t="shared" si="1"/>
        <v>LP 35_BC-8A-LP2_BS VI HSD</v>
      </c>
      <c r="D36" s="6" t="s">
        <v>2075</v>
      </c>
      <c r="E36" s="6" t="s">
        <v>591</v>
      </c>
      <c r="F36" s="6" t="s">
        <v>2076</v>
      </c>
      <c r="G36" s="6" t="s">
        <v>38</v>
      </c>
      <c r="H36" s="12" t="s">
        <v>2077</v>
      </c>
      <c r="I36" s="9">
        <v>0.0</v>
      </c>
      <c r="J36" s="12" t="s">
        <v>2078</v>
      </c>
      <c r="K36" s="9">
        <v>0.0</v>
      </c>
      <c r="L36" s="40" t="s">
        <v>2079</v>
      </c>
      <c r="M36" s="41">
        <v>0.0</v>
      </c>
      <c r="N36" s="12" t="s">
        <v>2080</v>
      </c>
      <c r="O36" s="9">
        <v>0.0</v>
      </c>
      <c r="P36" s="40" t="s">
        <v>2081</v>
      </c>
      <c r="Q36" s="41">
        <v>0.0</v>
      </c>
      <c r="R36" s="12" t="s">
        <v>2082</v>
      </c>
      <c r="S36" s="9">
        <v>0.0</v>
      </c>
      <c r="T36" s="40" t="s">
        <v>2083</v>
      </c>
      <c r="U36" s="41">
        <v>0.0</v>
      </c>
      <c r="V36" s="12" t="s">
        <v>2084</v>
      </c>
      <c r="W36" s="9">
        <v>0.0</v>
      </c>
      <c r="X36" s="40" t="s">
        <v>2085</v>
      </c>
      <c r="Y36" s="41">
        <v>0.0</v>
      </c>
      <c r="Z36" s="12" t="s">
        <v>2086</v>
      </c>
      <c r="AA36" s="9">
        <v>0.0</v>
      </c>
      <c r="AB36" s="40" t="s">
        <v>2087</v>
      </c>
      <c r="AC36" s="41">
        <v>0.0</v>
      </c>
      <c r="AD36" s="12" t="s">
        <v>2088</v>
      </c>
      <c r="AE36" s="27">
        <v>0.0</v>
      </c>
      <c r="AF36" s="12" t="s">
        <v>2089</v>
      </c>
      <c r="AG36" s="27">
        <v>0.0</v>
      </c>
      <c r="AH36" s="12" t="s">
        <v>2089</v>
      </c>
      <c r="AI36" s="9">
        <v>0.0</v>
      </c>
      <c r="AJ36" s="12" t="s">
        <v>2090</v>
      </c>
      <c r="AK36" s="9">
        <v>0.0</v>
      </c>
      <c r="AL36" s="12" t="s">
        <v>2091</v>
      </c>
      <c r="AM36" s="9">
        <v>0.0</v>
      </c>
      <c r="AN36" s="12" t="s">
        <v>2092</v>
      </c>
      <c r="AO36" s="9">
        <v>0.0</v>
      </c>
      <c r="AP36" s="12" t="s">
        <v>2093</v>
      </c>
      <c r="AQ36" s="9">
        <v>0.0</v>
      </c>
      <c r="AR36" s="40" t="s">
        <v>2094</v>
      </c>
      <c r="AS36" s="41">
        <v>0.0</v>
      </c>
      <c r="AT36" s="12" t="s">
        <v>2095</v>
      </c>
      <c r="AU36" s="9">
        <v>0.0</v>
      </c>
      <c r="AV36" s="40" t="s">
        <v>2096</v>
      </c>
      <c r="AW36" s="41">
        <v>0.0</v>
      </c>
    </row>
    <row r="37" ht="15.75" customHeight="1">
      <c r="A37" s="6">
        <v>1919.0</v>
      </c>
      <c r="B37" s="6" t="s">
        <v>35</v>
      </c>
      <c r="C37" s="6" t="str">
        <f t="shared" si="1"/>
        <v>LP 36_BC-8B-LP1_SKO</v>
      </c>
      <c r="D37" s="6" t="s">
        <v>2097</v>
      </c>
      <c r="E37" s="6" t="s">
        <v>591</v>
      </c>
      <c r="F37" s="6" t="s">
        <v>2098</v>
      </c>
      <c r="G37" s="6" t="s">
        <v>209</v>
      </c>
      <c r="H37" s="12" t="s">
        <v>2099</v>
      </c>
      <c r="I37" s="9">
        <v>0.0</v>
      </c>
      <c r="J37" s="12" t="s">
        <v>2100</v>
      </c>
      <c r="K37" s="9">
        <v>0.0</v>
      </c>
      <c r="L37" s="40"/>
      <c r="M37" s="40"/>
      <c r="N37" s="12" t="s">
        <v>2101</v>
      </c>
      <c r="O37" s="9">
        <v>0.0</v>
      </c>
      <c r="P37" s="40"/>
      <c r="Q37" s="40"/>
      <c r="R37" s="12" t="s">
        <v>2102</v>
      </c>
      <c r="S37" s="9">
        <v>0.0</v>
      </c>
      <c r="T37" s="40"/>
      <c r="U37" s="40"/>
      <c r="V37" s="12" t="s">
        <v>2103</v>
      </c>
      <c r="W37" s="9">
        <v>0.0</v>
      </c>
      <c r="X37" s="40"/>
      <c r="Y37" s="40"/>
      <c r="Z37" s="12" t="s">
        <v>2104</v>
      </c>
      <c r="AA37" s="9">
        <v>0.0</v>
      </c>
      <c r="AB37" s="40"/>
      <c r="AC37" s="40"/>
      <c r="AD37" s="12" t="s">
        <v>2105</v>
      </c>
      <c r="AE37" s="27">
        <v>0.0</v>
      </c>
      <c r="AF37" s="12" t="s">
        <v>2106</v>
      </c>
      <c r="AG37" s="27">
        <v>0.0</v>
      </c>
      <c r="AH37" s="12" t="s">
        <v>2106</v>
      </c>
      <c r="AI37" s="9">
        <v>0.0</v>
      </c>
      <c r="AJ37" s="12" t="s">
        <v>2107</v>
      </c>
      <c r="AK37" s="9">
        <v>0.0</v>
      </c>
      <c r="AL37" s="12" t="s">
        <v>2108</v>
      </c>
      <c r="AM37" s="9">
        <v>0.0</v>
      </c>
      <c r="AN37" s="12" t="s">
        <v>2109</v>
      </c>
      <c r="AO37" s="9">
        <v>0.0</v>
      </c>
      <c r="AP37" s="12" t="s">
        <v>2110</v>
      </c>
      <c r="AQ37" s="9">
        <v>0.0</v>
      </c>
      <c r="AR37" s="40"/>
      <c r="AS37" s="40"/>
      <c r="AT37" s="12" t="s">
        <v>2111</v>
      </c>
      <c r="AU37" s="9">
        <v>0.0</v>
      </c>
      <c r="AV37" s="40"/>
      <c r="AW37" s="40"/>
    </row>
    <row r="38" ht="15.75" customHeight="1">
      <c r="A38" s="6">
        <v>1919.0</v>
      </c>
      <c r="B38" s="6" t="s">
        <v>35</v>
      </c>
      <c r="C38" s="6" t="str">
        <f t="shared" si="1"/>
        <v>LP 37_BC-8B-LP2_SKO</v>
      </c>
      <c r="D38" s="6" t="s">
        <v>2112</v>
      </c>
      <c r="E38" s="6" t="s">
        <v>591</v>
      </c>
      <c r="F38" s="6" t="s">
        <v>2113</v>
      </c>
      <c r="G38" s="6" t="s">
        <v>209</v>
      </c>
      <c r="H38" s="12" t="s">
        <v>2114</v>
      </c>
      <c r="I38" s="9">
        <v>0.0</v>
      </c>
      <c r="J38" s="12" t="s">
        <v>2115</v>
      </c>
      <c r="K38" s="9">
        <v>0.0</v>
      </c>
      <c r="L38" s="40"/>
      <c r="M38" s="40"/>
      <c r="N38" s="12" t="s">
        <v>2116</v>
      </c>
      <c r="O38" s="9">
        <v>0.0</v>
      </c>
      <c r="P38" s="40"/>
      <c r="Q38" s="40"/>
      <c r="R38" s="12" t="s">
        <v>2117</v>
      </c>
      <c r="S38" s="9">
        <v>0.0</v>
      </c>
      <c r="T38" s="40"/>
      <c r="U38" s="40"/>
      <c r="V38" s="12" t="s">
        <v>2118</v>
      </c>
      <c r="W38" s="9">
        <v>0.0</v>
      </c>
      <c r="X38" s="40"/>
      <c r="Y38" s="40"/>
      <c r="Z38" s="12" t="s">
        <v>2119</v>
      </c>
      <c r="AA38" s="9">
        <v>0.0</v>
      </c>
      <c r="AB38" s="40"/>
      <c r="AC38" s="40"/>
      <c r="AD38" s="12" t="s">
        <v>2120</v>
      </c>
      <c r="AE38" s="27">
        <v>0.0</v>
      </c>
      <c r="AF38" s="12" t="s">
        <v>2121</v>
      </c>
      <c r="AG38" s="27">
        <v>0.0</v>
      </c>
      <c r="AH38" s="12" t="s">
        <v>2121</v>
      </c>
      <c r="AI38" s="9">
        <v>0.0</v>
      </c>
      <c r="AJ38" s="12" t="s">
        <v>2122</v>
      </c>
      <c r="AK38" s="9">
        <v>0.0</v>
      </c>
      <c r="AL38" s="12" t="s">
        <v>2123</v>
      </c>
      <c r="AM38" s="9">
        <v>0.0</v>
      </c>
      <c r="AN38" s="12" t="s">
        <v>2124</v>
      </c>
      <c r="AO38" s="9">
        <v>0.0</v>
      </c>
      <c r="AP38" s="12" t="s">
        <v>2125</v>
      </c>
      <c r="AQ38" s="9">
        <v>0.0</v>
      </c>
      <c r="AR38" s="40"/>
      <c r="AS38" s="40"/>
      <c r="AT38" s="12" t="s">
        <v>2126</v>
      </c>
      <c r="AU38" s="9">
        <v>0.0</v>
      </c>
      <c r="AV38" s="40"/>
      <c r="AW38" s="40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0.38"/>
    <col customWidth="1" min="3" max="3" width="13.5"/>
    <col customWidth="1" min="4" max="4" width="27.0"/>
    <col customWidth="1" min="6" max="19" width="27.0"/>
    <col customWidth="1" min="20" max="23" width="15.5"/>
    <col customWidth="1" min="24" max="27" width="30.5"/>
    <col customWidth="1" min="28" max="28" width="25.5"/>
  </cols>
  <sheetData>
    <row r="1">
      <c r="A1" s="1" t="s">
        <v>0</v>
      </c>
      <c r="B1" s="1" t="s">
        <v>1</v>
      </c>
      <c r="C1" s="12" t="s">
        <v>2127</v>
      </c>
      <c r="D1" s="12" t="s">
        <v>2128</v>
      </c>
      <c r="E1" s="12" t="s">
        <v>20</v>
      </c>
      <c r="F1" s="12" t="s">
        <v>2129</v>
      </c>
      <c r="G1" s="12" t="s">
        <v>20</v>
      </c>
      <c r="H1" s="12" t="s">
        <v>2130</v>
      </c>
      <c r="I1" s="12" t="s">
        <v>20</v>
      </c>
      <c r="J1" s="12" t="s">
        <v>2131</v>
      </c>
      <c r="K1" s="12" t="s">
        <v>20</v>
      </c>
      <c r="L1" s="12" t="s">
        <v>2132</v>
      </c>
      <c r="M1" s="12" t="s">
        <v>20</v>
      </c>
      <c r="N1" s="12" t="s">
        <v>2133</v>
      </c>
      <c r="O1" s="12" t="s">
        <v>20</v>
      </c>
      <c r="P1" s="12" t="s">
        <v>2134</v>
      </c>
      <c r="Q1" s="12" t="s">
        <v>20</v>
      </c>
      <c r="R1" s="12" t="s">
        <v>2135</v>
      </c>
      <c r="S1" s="12" t="s">
        <v>20</v>
      </c>
      <c r="T1" s="12" t="s">
        <v>2136</v>
      </c>
      <c r="U1" s="12" t="s">
        <v>20</v>
      </c>
      <c r="V1" s="12" t="s">
        <v>2137</v>
      </c>
      <c r="W1" s="12" t="s">
        <v>20</v>
      </c>
      <c r="X1" s="42" t="s">
        <v>2138</v>
      </c>
      <c r="Y1" s="42" t="s">
        <v>7</v>
      </c>
      <c r="Z1" s="42" t="s">
        <v>2139</v>
      </c>
      <c r="AA1" s="42" t="s">
        <v>7</v>
      </c>
      <c r="AB1" s="12" t="s">
        <v>2140</v>
      </c>
      <c r="AC1" s="42" t="s">
        <v>7</v>
      </c>
    </row>
    <row r="2">
      <c r="A2" s="6">
        <v>1919.0</v>
      </c>
      <c r="B2" s="6" t="s">
        <v>35</v>
      </c>
      <c r="C2" s="12" t="s">
        <v>2141</v>
      </c>
      <c r="D2" s="9" t="s">
        <v>780</v>
      </c>
      <c r="E2" s="9">
        <v>0.0</v>
      </c>
      <c r="F2" s="9" t="s">
        <v>794</v>
      </c>
      <c r="G2" s="9">
        <v>0.0</v>
      </c>
      <c r="H2" s="9" t="s">
        <v>808</v>
      </c>
      <c r="I2" s="9">
        <v>0.0</v>
      </c>
      <c r="J2" s="9" t="s">
        <v>822</v>
      </c>
      <c r="K2" s="9">
        <v>0.0</v>
      </c>
      <c r="L2" s="9" t="s">
        <v>836</v>
      </c>
      <c r="M2" s="9">
        <v>0.0</v>
      </c>
      <c r="N2" s="9" t="s">
        <v>850</v>
      </c>
      <c r="O2" s="9">
        <v>0.0</v>
      </c>
      <c r="P2" s="9" t="s">
        <v>864</v>
      </c>
      <c r="Q2" s="9">
        <v>0.0</v>
      </c>
      <c r="R2" s="9" t="s">
        <v>878</v>
      </c>
      <c r="S2" s="9">
        <v>0.0</v>
      </c>
      <c r="T2" s="9" t="s">
        <v>890</v>
      </c>
      <c r="U2" s="9">
        <v>1.0</v>
      </c>
      <c r="V2" s="9" t="s">
        <v>898</v>
      </c>
      <c r="W2" s="9">
        <v>1.0</v>
      </c>
      <c r="X2" s="29" t="s">
        <v>2142</v>
      </c>
      <c r="Y2" s="29"/>
      <c r="Z2" s="29" t="s">
        <v>2143</v>
      </c>
      <c r="AA2" s="29"/>
      <c r="AB2" s="29" t="s">
        <v>2144</v>
      </c>
    </row>
    <row r="7">
      <c r="V7" s="9"/>
      <c r="W7" s="9"/>
    </row>
    <row r="8">
      <c r="V8" s="9"/>
      <c r="W8" s="9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75"/>
    <col customWidth="1" min="3" max="3" width="34.13"/>
    <col customWidth="1" min="4" max="4" width="48.88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2145</v>
      </c>
      <c r="E1" s="1" t="s">
        <v>2146</v>
      </c>
    </row>
    <row r="2" ht="15.75" customHeight="1">
      <c r="A2" s="6">
        <v>1919.0</v>
      </c>
      <c r="B2" s="6" t="s">
        <v>35</v>
      </c>
      <c r="C2" s="6" t="s">
        <v>2147</v>
      </c>
      <c r="D2" s="9" t="s">
        <v>2148</v>
      </c>
      <c r="E2" s="9">
        <v>0.0</v>
      </c>
    </row>
    <row r="3" ht="15.75" customHeight="1">
      <c r="A3" s="6">
        <v>1919.0</v>
      </c>
      <c r="B3" s="6" t="s">
        <v>35</v>
      </c>
      <c r="C3" s="43" t="s">
        <v>2149</v>
      </c>
      <c r="D3" s="44" t="s">
        <v>2150</v>
      </c>
      <c r="E3" s="9">
        <v>0.0</v>
      </c>
    </row>
    <row r="4" ht="15.75" customHeight="1">
      <c r="A4" s="6">
        <v>1919.0</v>
      </c>
      <c r="B4" s="6" t="s">
        <v>35</v>
      </c>
      <c r="C4" s="43" t="s">
        <v>2151</v>
      </c>
      <c r="D4" s="45" t="s">
        <v>2152</v>
      </c>
      <c r="E4" s="9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9.38"/>
    <col customWidth="1" min="4" max="4" width="49.88"/>
    <col customWidth="1" min="5" max="5" width="16.13"/>
    <col customWidth="1" min="6" max="6" width="47.63"/>
    <col customWidth="1" min="7" max="7" width="36.38"/>
    <col customWidth="1" min="8" max="8" width="33.0"/>
    <col customWidth="1" min="9" max="9" width="35.25"/>
    <col customWidth="1" min="10" max="10" width="42.25"/>
    <col customWidth="1" min="11" max="11" width="32.75"/>
  </cols>
  <sheetData>
    <row r="1" ht="15.75" customHeight="1">
      <c r="A1" s="1" t="s">
        <v>0</v>
      </c>
      <c r="B1" s="1" t="s">
        <v>1</v>
      </c>
      <c r="C1" s="36" t="s">
        <v>2153</v>
      </c>
      <c r="D1" s="36" t="s">
        <v>2154</v>
      </c>
      <c r="E1" s="36" t="s">
        <v>2155</v>
      </c>
      <c r="F1" s="36" t="s">
        <v>1231</v>
      </c>
      <c r="G1" s="36" t="s">
        <v>1232</v>
      </c>
      <c r="H1" s="36" t="s">
        <v>1233</v>
      </c>
      <c r="I1" s="36" t="s">
        <v>1234</v>
      </c>
      <c r="J1" s="11" t="s">
        <v>2156</v>
      </c>
      <c r="K1" s="46" t="s">
        <v>7</v>
      </c>
    </row>
    <row r="2" ht="15.75" customHeight="1">
      <c r="A2" s="6">
        <v>1919.0</v>
      </c>
      <c r="B2" s="6" t="s">
        <v>35</v>
      </c>
      <c r="C2" s="47" t="s">
        <v>2157</v>
      </c>
      <c r="D2" s="48" t="s">
        <v>2158</v>
      </c>
      <c r="E2" s="42">
        <v>0.0</v>
      </c>
      <c r="F2" s="48" t="s">
        <v>1256</v>
      </c>
      <c r="G2" s="6">
        <v>0.0</v>
      </c>
      <c r="H2" s="48" t="s">
        <v>1257</v>
      </c>
      <c r="I2" s="6">
        <v>0.0</v>
      </c>
      <c r="J2" s="48" t="s">
        <v>2159</v>
      </c>
      <c r="K2" s="49">
        <v>0.0</v>
      </c>
    </row>
    <row r="3" ht="15.75" customHeight="1">
      <c r="A3" s="6">
        <v>1919.0</v>
      </c>
      <c r="B3" s="6" t="s">
        <v>35</v>
      </c>
      <c r="C3" s="50" t="s">
        <v>2160</v>
      </c>
      <c r="D3" s="48" t="s">
        <v>2161</v>
      </c>
      <c r="E3" s="42">
        <v>0.0</v>
      </c>
      <c r="F3" s="48" t="s">
        <v>1256</v>
      </c>
      <c r="G3" s="6">
        <v>0.0</v>
      </c>
      <c r="H3" s="48" t="s">
        <v>1257</v>
      </c>
      <c r="I3" s="6">
        <v>0.0</v>
      </c>
      <c r="J3" s="48" t="s">
        <v>2159</v>
      </c>
      <c r="K3" s="49">
        <v>0.0</v>
      </c>
    </row>
    <row r="4" ht="15.75" customHeight="1">
      <c r="A4" s="6">
        <v>1919.0</v>
      </c>
      <c r="B4" s="6" t="s">
        <v>35</v>
      </c>
      <c r="C4" s="50" t="s">
        <v>2162</v>
      </c>
      <c r="D4" s="48" t="s">
        <v>2163</v>
      </c>
      <c r="E4" s="42">
        <v>0.0</v>
      </c>
      <c r="F4" s="48" t="s">
        <v>1256</v>
      </c>
      <c r="G4" s="6">
        <v>0.0</v>
      </c>
      <c r="H4" s="48" t="s">
        <v>1257</v>
      </c>
      <c r="I4" s="6">
        <v>0.0</v>
      </c>
      <c r="J4" s="48" t="s">
        <v>2159</v>
      </c>
      <c r="K4" s="49">
        <v>0.0</v>
      </c>
    </row>
    <row r="5" ht="15.75" customHeight="1">
      <c r="A5" s="6">
        <v>1919.0</v>
      </c>
      <c r="B5" s="6" t="s">
        <v>35</v>
      </c>
      <c r="C5" s="49" t="s">
        <v>2164</v>
      </c>
      <c r="D5" s="51"/>
      <c r="E5" s="51"/>
      <c r="F5" s="48" t="s">
        <v>1256</v>
      </c>
      <c r="G5" s="6">
        <v>0.0</v>
      </c>
      <c r="H5" s="48" t="s">
        <v>1257</v>
      </c>
      <c r="I5" s="6">
        <v>0.0</v>
      </c>
      <c r="J5" s="51"/>
      <c r="K5" s="5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1" t="s">
        <v>0</v>
      </c>
      <c r="B1" s="1" t="s">
        <v>1</v>
      </c>
      <c r="C1" s="1" t="s">
        <v>2165</v>
      </c>
      <c r="D1" s="52" t="s">
        <v>2166</v>
      </c>
      <c r="E1" s="52" t="s">
        <v>2167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2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2168</v>
      </c>
      <c r="D1" s="12" t="s">
        <v>2169</v>
      </c>
      <c r="E1" s="12" t="s">
        <v>7</v>
      </c>
    </row>
    <row r="2" ht="15.75" customHeight="1">
      <c r="A2" s="6">
        <v>1919.0</v>
      </c>
      <c r="B2" s="6" t="s">
        <v>35</v>
      </c>
      <c r="C2" s="23" t="s">
        <v>2170</v>
      </c>
      <c r="D2" s="9" t="s">
        <v>2171</v>
      </c>
      <c r="E2" s="9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2025-03-12T14:29:53Z</dcterms:created>
  <dc:creator>Vallepu Jaya prakash</dc:creator>
</cp:coreProperties>
</file>