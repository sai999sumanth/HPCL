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5"/>
    <sheet state="visible" name="HDR Line MOV" sheetId="2" r:id="rId6"/>
    <sheet state="visible" name="Tank Maintenance" sheetId="3" r:id="rId7"/>
    <sheet state="visible" name="Pump Master" sheetId="4" r:id="rId8"/>
    <sheet state="visible" name="Fire Pump Master" sheetId="5" r:id="rId9"/>
    <sheet state="visible" name="UPS Master" sheetId="6" r:id="rId10"/>
    <sheet state="visible" name="PLC Master" sheetId="7" r:id="rId11"/>
    <sheet state="visible" name="HCD Master" sheetId="8" r:id="rId12"/>
    <sheet state="visible" name="Dyke Master" sheetId="9" r:id="rId13"/>
    <sheet state="visible" name="Barrier Gate" sheetId="10" r:id="rId14"/>
    <sheet state="visible" name="Hooter Master" sheetId="11" r:id="rId15"/>
    <sheet state="visible" name="ESD Master" sheetId="12" r:id="rId16"/>
    <sheet state="visible" name="Loading Point Master" sheetId="13" r:id="rId17"/>
    <sheet state="visible" name="Gantry override" sheetId="14" r:id="rId18"/>
    <sheet state="visible" name="Fire Effect" sheetId="15" r:id="rId19"/>
    <sheet state="visible" name="Air Compressor" sheetId="16" r:id="rId20"/>
    <sheet state="visible" name="LRC Switchover" sheetId="17" r:id="rId21"/>
    <sheet state="visible" name="OI" sheetId="18" r:id="rId22"/>
  </sheets>
  <definedNames/>
  <calcPr/>
</workbook>
</file>

<file path=xl/sharedStrings.xml><?xml version="1.0" encoding="utf-8"?>
<sst xmlns="http://schemas.openxmlformats.org/spreadsheetml/2006/main" count="3051" uniqueCount="1477">
  <si>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</si>
  <si>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</si>
  <si>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</si>
  <si>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</si>
  <si>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</si>
  <si>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</si>
  <si>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</si>
  <si>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</si>
  <si>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Sensor_Id</t>
  </si>
  <si>
    <t>Sensor_Type</t>
  </si>
  <si>
    <t>Tank Receipt Mode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</si>
  <si>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</si>
  <si>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</si>
  <si>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</si>
  <si>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</si>
  <si>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</si>
  <si>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</si>
  <si>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</si>
  <si>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</si>
  <si>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</si>
  <si>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</si>
  <si>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</si>
  <si>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</si>
  <si>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</si>
  <si>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</si>
  <si>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</si>
  <si>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</si>
  <si>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</si>
  <si>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</si>
  <si>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</si>
  <si>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</si>
  <si>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</si>
  <si>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</si>
  <si>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</si>
  <si>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</si>
  <si>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</si>
  <si>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</si>
  <si>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</si>
  <si>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</si>
  <si>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</si>
  <si>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</si>
  <si>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</si>
  <si>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REMOTE STATUS IL1</t>
  </si>
  <si>
    <t>MOV STATUS IL2</t>
  </si>
  <si>
    <t>MOV STATUS OL</t>
  </si>
  <si>
    <t>MOV CLOSE STATUS OL</t>
  </si>
  <si>
    <t>MOV STATUS RCL</t>
  </si>
  <si>
    <t>MOV REMOTE STATUS RCL</t>
  </si>
  <si>
    <t>RIMSEAL FIRE ALARM</t>
  </si>
  <si>
    <t>RIMSEAL FAULT ALARM</t>
  </si>
  <si>
    <t>Rewari</t>
  </si>
  <si>
    <t>TK-01</t>
  </si>
  <si>
    <t>BS VI MS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</si>
  <si>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</si>
  <si>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</si>
  <si>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</si>
  <si>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</si>
  <si>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</si>
  <si>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</si>
  <si>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</si>
  <si>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</si>
  <si>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</si>
  <si>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</si>
  <si>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</si>
  <si>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</si>
  <si>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</si>
  <si>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</si>
  <si>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</si>
  <si>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</si>
  <si>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</si>
  <si>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ROSOV-01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</si>
  <si>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</si>
  <si>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</si>
  <si>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</si>
  <si>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</si>
  <si>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</si>
  <si>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</si>
  <si>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</si>
  <si>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</si>
  <si>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MOV.MOV-001.OPEN_STATUS</t>
  </si>
  <si>
    <t>MOV-001</t>
  </si>
  <si>
    <t>MOV IL1</t>
  </si>
  <si>
    <t>MOV.MOV-001.REMOTE_STATUS</t>
  </si>
  <si>
    <t>MOV.MOV-002.OPEN_STATUS</t>
  </si>
  <si>
    <t>MOV OL</t>
  </si>
  <si>
    <t>MOV.MOV-002.CLOSE_STATUS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</si>
  <si>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</si>
  <si>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</si>
  <si>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</si>
  <si>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</si>
  <si>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</si>
  <si>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</si>
  <si>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</si>
  <si>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</si>
  <si>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</si>
  <si>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</si>
  <si>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</si>
  <si>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</si>
  <si>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</si>
  <si>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MOV.ROSOV-03.OPEN_STATUS</t>
  </si>
  <si>
    <t>ROSOV-03</t>
  </si>
  <si>
    <t>MOV.ROSOV-03.FAILED_TO_CLOSE</t>
  </si>
  <si>
    <t>MOV.ROSOV-04.OPEN_STATUS</t>
  </si>
  <si>
    <t>ROSOV-04</t>
  </si>
  <si>
    <t>MOV.ROSOV-04.FAILED_TO_CLOSE</t>
  </si>
  <si>
    <t>MOV.MOV-004.OPEN_STATUS</t>
  </si>
  <si>
    <t>MOV-004</t>
  </si>
  <si>
    <t>MOV.MOV-004.REMOTE_STATUS</t>
  </si>
  <si>
    <t>MOV.MOV-005.OPEN_STATUS</t>
  </si>
  <si>
    <t>MOV.MOV-005.CLOSE_STATUS</t>
  </si>
  <si>
    <t>TK-03</t>
  </si>
  <si>
    <t>ETHANOL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</si>
  <si>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</si>
  <si>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</si>
  <si>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</si>
  <si>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</si>
  <si>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</si>
  <si>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</si>
  <si>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</si>
  <si>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</si>
  <si>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</si>
  <si>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</si>
  <si>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</si>
  <si>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</si>
  <si>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</si>
  <si>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</si>
  <si>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</si>
  <si>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</si>
  <si>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</si>
  <si>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</si>
  <si>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MOV.MOV-007.OPEN_STATUS</t>
  </si>
  <si>
    <t>MOV-007</t>
  </si>
  <si>
    <t>MOV.MOV-007.REMOTE_STATUS</t>
  </si>
  <si>
    <t>MOV.MOV-008.OPEN_STATUS</t>
  </si>
  <si>
    <t>MOV.MOV-008.CLOSE_STATUS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</si>
  <si>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</si>
  <si>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</si>
  <si>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</si>
  <si>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</si>
  <si>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</si>
  <si>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</si>
  <si>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</si>
  <si>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</si>
  <si>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</si>
  <si>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</si>
  <si>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</si>
  <si>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</si>
  <si>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</si>
  <si>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MOV.ROSOV-07.OPEN_STATUS</t>
  </si>
  <si>
    <t>ROSOV-07</t>
  </si>
  <si>
    <t>MOV.ROSOV-07.FAILED_TO_CLOSE</t>
  </si>
  <si>
    <t>MOV.ROSOV-08.OPEN_STATUS</t>
  </si>
  <si>
    <t>ROSOV-08</t>
  </si>
  <si>
    <t>MOV.ROSOV-08.FAILED_TO_CLOSE</t>
  </si>
  <si>
    <t>MOV.MOV-010.OPEN_STATUS</t>
  </si>
  <si>
    <t>MOV-010</t>
  </si>
  <si>
    <t>MOV.MOV-010.REMOTE_STATUS</t>
  </si>
  <si>
    <t>MOV.MOV-011.OPEN_STATUS</t>
  </si>
  <si>
    <t>MOV.MOV-011.CLOSE_STATUS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</si>
  <si>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</si>
  <si>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</si>
  <si>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</si>
  <si>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</si>
  <si>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</si>
  <si>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</si>
  <si>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</si>
  <si>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</si>
  <si>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</si>
  <si>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</si>
  <si>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</si>
  <si>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</si>
  <si>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</si>
  <si>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MOV.ROSOV-09.OPEN_STATUS</t>
  </si>
  <si>
    <t>ROSOV-09</t>
  </si>
  <si>
    <t>MOV.ROSOV-09.FAILED_TO_CLOSE</t>
  </si>
  <si>
    <t>MOV.ROSOV-10.OPEN_STATUS</t>
  </si>
  <si>
    <t>ROSOV-10</t>
  </si>
  <si>
    <t>MOV.ROSOV-10.FAILED_TO_CLOSE</t>
  </si>
  <si>
    <t>MOV.MOV-013.OPEN_STATUS</t>
  </si>
  <si>
    <t>MOV-013</t>
  </si>
  <si>
    <t>MOV.MOV-013.REMOTE_STATUS</t>
  </si>
  <si>
    <t>MOV.MOV-014.OPEN_STATUS</t>
  </si>
  <si>
    <t>MOV.MOV-014.CLOSE_STATUS</t>
  </si>
  <si>
    <t>TK-06</t>
  </si>
  <si>
    <t>BS VI HSD</t>
  </si>
  <si>
    <t>TANK.TK-06.LEVEL</t>
  </si>
  <si>
    <t>TANK.TK-06.HIGH_LEVEL</t>
  </si>
  <si>
    <t>TANK.TK-06.TANK_ALERT_ALARM</t>
  </si>
  <si>
    <t>TANK.TK-06.HIGH_HIGH_LEVEL</t>
  </si>
  <si>
    <t>TK-07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</si>
  <si>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</si>
  <si>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</si>
  <si>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</si>
  <si>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</si>
  <si>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</si>
  <si>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</si>
  <si>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</si>
  <si>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</si>
  <si>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</si>
  <si>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TK-09</t>
  </si>
  <si>
    <t>WATER</t>
  </si>
  <si>
    <t>TANK.TK-09.LEVEL</t>
  </si>
  <si>
    <t>TANK.TK-09.TANK_ALERT_ALARM</t>
  </si>
  <si>
    <t>TK-10</t>
  </si>
  <si>
    <t>TANK.TK-10.LEVEL</t>
  </si>
  <si>
    <t>TANK.TK-10.TANK_ALERT_ALARM</t>
  </si>
  <si>
    <t>TK-11</t>
  </si>
  <si>
    <t>TANK.TK-11.LEVEL</t>
  </si>
  <si>
    <t>TANK.TK-11.HIGH_LEVEL</t>
  </si>
  <si>
    <t>TANK.TK-11.TANK_ALERT_ALARM</t>
  </si>
  <si>
    <t>TANK.TK-11.HIGH_HIGH_LEVEL</t>
  </si>
  <si>
    <t>LEVELSWITCH.LSW-06.SWITCH_STATUS</t>
  </si>
  <si>
    <t xml:space="preserve"> LSW-06</t>
  </si>
  <si>
    <t>LEVELSWITCH.LSW-06.PROOF_TEST_OK</t>
  </si>
  <si>
    <t>LSW-06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</si>
  <si>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</si>
  <si>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</si>
  <si>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</si>
  <si>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</si>
  <si>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</si>
  <si>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</si>
  <si>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</si>
  <si>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</si>
  <si>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</si>
  <si>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</si>
  <si>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</si>
  <si>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MOV.MOV-016.OPEN_STATUS</t>
  </si>
  <si>
    <t>MOV-016</t>
  </si>
  <si>
    <t>MOV.MOV-016.REMOTE_STATUS</t>
  </si>
  <si>
    <t>MOV.MOV-017.OPEN_STATUS</t>
  </si>
  <si>
    <t>MOV.MOV-017.CLOSE_STATUS</t>
  </si>
  <si>
    <t>TK-12</t>
  </si>
  <si>
    <t>TANK.TK-12.LEVEL</t>
  </si>
  <si>
    <t>TANK.TK-12.HIGH_LEVEL</t>
  </si>
  <si>
    <t>TANK.TK-12.TANK_ALERT_ALARM</t>
  </si>
  <si>
    <t>TANK.TK-12.HIGH_HIGH_LEVEL</t>
  </si>
  <si>
    <t>LEVELSWITCH.LSW-07.SWITCH_STATUS</t>
  </si>
  <si>
    <t xml:space="preserve"> LSW-07</t>
  </si>
  <si>
    <t>LEVELSWITCH.LSW-07.PROOF_TEST_OK</t>
  </si>
  <si>
    <t>LSW-07</t>
  </si>
  <si>
    <t>LEVELSWITCH.LSW-07.PROOF_TEST_FAILED</t>
  </si>
  <si>
    <t>LEVELSWITCH.RDR-07.SWITCH_STATUS</t>
  </si>
  <si>
    <t>RDR-07</t>
  </si>
  <si>
    <t>LEVELSWITCH.RDR-07.PROOF_TEST_OK</t>
  </si>
  <si>
    <t>LEVELSWITCH.RDR-07.PROOF_TEST_FAILED</t>
  </si>
  <si>
    <t>MOV.ROSOV-13.OPEN_STATUS</t>
  </si>
  <si>
    <t>ROSOV-13</t>
  </si>
  <si>
    <t>MOV.ROSOV-13.FAILED_TO_CLOSE</t>
  </si>
  <si>
    <t>MOV.ROSOV-14.OPEN_STATUS</t>
  </si>
  <si>
    <t>ROSOV-14</t>
  </si>
  <si>
    <t>MOV.ROSOV-14.FAILED_TO_CLOSE</t>
  </si>
  <si>
    <t>MOV.MOV-019.OPEN_STATUS</t>
  </si>
  <si>
    <t>MOV-019</t>
  </si>
  <si>
    <t>MOV.MOV-019.REMOTE_STATUS</t>
  </si>
  <si>
    <t>MOV.MOV-020.OPEN_STATUS</t>
  </si>
  <si>
    <t>MOV.MOV-020.CLOSE_STATUS</t>
  </si>
  <si>
    <t>TK-13</t>
  </si>
  <si>
    <t>TANK.TK-13.LEVEL</t>
  </si>
  <si>
    <t>TANK.TK-13.HIGH_LEVEL</t>
  </si>
  <si>
    <t>TANK.TK-13.TANK_ALERT_ALARM</t>
  </si>
  <si>
    <t>TANK.TK-13.HIGH_HIGH_LEVEL</t>
  </si>
  <si>
    <t>LEVELSWITCH.LSW-08.SWITCH_STATUS</t>
  </si>
  <si>
    <t xml:space="preserve"> LSW-08</t>
  </si>
  <si>
    <t>LEVELSWITCH.LSW-08.PROOF_TEST_OK</t>
  </si>
  <si>
    <t>LSW-08</t>
  </si>
  <si>
    <t>LEVELSWITCH.LSW-08.PROOF_TEST_FAILED</t>
  </si>
  <si>
    <t>LEVELSWITCH.RDR-08.SWITCH_STATUS</t>
  </si>
  <si>
    <t>RDR-08</t>
  </si>
  <si>
    <t>LEVELSWITCH.RDR-08.PROOF_TEST_OK</t>
  </si>
  <si>
    <t>LEVELSWITCH.RDR-08.PROOF_TEST_FAILED</t>
  </si>
  <si>
    <t>MOV.ROSOV-15.OPEN_STATUS</t>
  </si>
  <si>
    <t>ROSOV-15</t>
  </si>
  <si>
    <t>MOV.ROSOV-15.FAILED_TO_CLOSE</t>
  </si>
  <si>
    <t>MOV.ROSOV-16.OPEN_STATUS</t>
  </si>
  <si>
    <t>ROSOV-16</t>
  </si>
  <si>
    <t>MOV.ROSOV-16.FAILED_TO_CLOSE</t>
  </si>
  <si>
    <t>MOV.MOV-022.OPEN_STATUS</t>
  </si>
  <si>
    <t>MOV-022</t>
  </si>
  <si>
    <t>MOV.MOV-022.REMOTE_STATUS</t>
  </si>
  <si>
    <t>MOV.MOV-023.OPEN_STATUS</t>
  </si>
  <si>
    <t>MOV.MOV-023.CLOSE_STATUS</t>
  </si>
  <si>
    <t>TK-14</t>
  </si>
  <si>
    <t>TANK.TK-14.LEVEL</t>
  </si>
  <si>
    <t>TANK.TK-14.HIGH_LEVEL</t>
  </si>
  <si>
    <t>TANK.TK-14.TANK_ALERT_ALARM</t>
  </si>
  <si>
    <t>TANK.TK-14.HIGH_HIGH_LEVEL</t>
  </si>
  <si>
    <t>LEVELSWITCH.LSW-09.SWITCH_STATUS</t>
  </si>
  <si>
    <t xml:space="preserve"> LSW-09</t>
  </si>
  <si>
    <t>LEVELSWITCH.LSW-09.PROOF_TEST_OK</t>
  </si>
  <si>
    <t>LSW-09</t>
  </si>
  <si>
    <t>LEVELSWITCH.LSW-09.PROOF_TEST_FAILED</t>
  </si>
  <si>
    <t>LEVELSWITCH.RDR-09.SWITCH_STATUS</t>
  </si>
  <si>
    <t>RDR-09</t>
  </si>
  <si>
    <t>LEVELSWITCH.RDR-09.PROOF_TEST_OK</t>
  </si>
  <si>
    <t>LEVELSWITCH.RDR-09.PROOF_TEST_FAILED</t>
  </si>
  <si>
    <t>MOV.ROSOV-17.OPEN_STATUS</t>
  </si>
  <si>
    <t>ROSOV-17</t>
  </si>
  <si>
    <t>MOV.ROSOV-17.FAILED_TO_CLOSE</t>
  </si>
  <si>
    <t>MOV.ROSOV-18.OPEN_STATUS</t>
  </si>
  <si>
    <t>ROSOV-18</t>
  </si>
  <si>
    <t>MOV.ROSOV-18.FAILED_TO_CLOSE</t>
  </si>
  <si>
    <t>MOV.MOV-025.OPEN_STATUS</t>
  </si>
  <si>
    <t>MOV-025</t>
  </si>
  <si>
    <t>MOV.MOV-025.REMOTE_STATUS</t>
  </si>
  <si>
    <t>MOV.MOV-026.OPEN_STATUS</t>
  </si>
  <si>
    <t>MOV.MOV-026.CLOSE_STATUS</t>
  </si>
  <si>
    <t>TK-15</t>
  </si>
  <si>
    <t>TANK.TK-15.LEVEL</t>
  </si>
  <si>
    <t>TANK.TK-15.HIGH_LEVEL</t>
  </si>
  <si>
    <t>TANK.TK-15.TANK_ALERT_ALARM</t>
  </si>
  <si>
    <t>TANK.TK-15.HIGH_HIGH_LEVEL</t>
  </si>
  <si>
    <t>LEVELSWITCH.LSW-10.SWITCH_STATUS</t>
  </si>
  <si>
    <t xml:space="preserve"> LSW-10</t>
  </si>
  <si>
    <t>LEVELSWITCH.LSW-10.PROOF_TEST_OK</t>
  </si>
  <si>
    <t>LSW-10</t>
  </si>
  <si>
    <t>LEVELSWITCH.LSW-10.PROOF_TEST_FAILED</t>
  </si>
  <si>
    <t>LEVELSWITCH.RDR-10.SWITCH_STATUS</t>
  </si>
  <si>
    <t>RDR-10</t>
  </si>
  <si>
    <t>LEVELSWITCH.RDR-10.PROOF_TEST_OK</t>
  </si>
  <si>
    <t>LEVELSWITCH.RDR-10.PROOF_TEST_FAILED</t>
  </si>
  <si>
    <t>MOV.ROSOV-19.OPEN_STATUS</t>
  </si>
  <si>
    <t>ROSOV-19</t>
  </si>
  <si>
    <t>MOV.ROSOV-19.FAILED_TO_CLOSE</t>
  </si>
  <si>
    <t>MOV.ROSOV-20.OPEN_STATUS</t>
  </si>
  <si>
    <t>ROSOV-20</t>
  </si>
  <si>
    <t>MOV.ROSOV-20.FAILED_TO_CLOSE</t>
  </si>
  <si>
    <t>MOV.MOV-028.OPEN_STATUS</t>
  </si>
  <si>
    <t>MOV-028</t>
  </si>
  <si>
    <t>MOV.MOV-028.REMOTE_STATUS</t>
  </si>
  <si>
    <t>MOV.MOV-029.OPEN_STATUS</t>
  </si>
  <si>
    <t>MOV.MOV-029.CLOSE_STATUS</t>
  </si>
  <si>
    <t>TK-16</t>
  </si>
  <si>
    <t>SLOP</t>
  </si>
  <si>
    <t>TANK.TK-16.LEVEL</t>
  </si>
  <si>
    <t>TANK.TK-16.TANK_ALERT_ALARM</t>
  </si>
  <si>
    <t>LEVELSWITCH.LSW-11.SWITCH_STATUS</t>
  </si>
  <si>
    <t xml:space="preserve"> LSW-11</t>
  </si>
  <si>
    <t>LEVELSWITCH.LSW-11.PROOF_TEST_OK</t>
  </si>
  <si>
    <t>LSW-11</t>
  </si>
  <si>
    <t>LEVELSWITCH.LSW-11.PROOF_TEST_FAILED</t>
  </si>
  <si>
    <t>LEVELSWITCH.RDR-11.SWITCH_STATUS</t>
  </si>
  <si>
    <t>RDR-11</t>
  </si>
  <si>
    <t>LEVELSWITCH.RDR-11.PROOF_TEST_OK</t>
  </si>
  <si>
    <t>LEVELSWITCH.RDR-11.PROOF_TEST_FAILED</t>
  </si>
  <si>
    <t>MOV.ROSOV-21.OPEN_STATUS</t>
  </si>
  <si>
    <t>ROSOV-21</t>
  </si>
  <si>
    <t>MOV.ROSOV-21.FAILED_TO_CLOSE</t>
  </si>
  <si>
    <t>MOV.ROSOV-22.OPEN_STATUS</t>
  </si>
  <si>
    <t>ROSOV-22</t>
  </si>
  <si>
    <t>MOV.ROSOV-22.FAILED_TO_CLOSE</t>
  </si>
  <si>
    <t>MOV.MOV-031.OPEN_STATUS</t>
  </si>
  <si>
    <t>MOV-031</t>
  </si>
  <si>
    <t>MOV.MOV-031.REMOTE_STATUS</t>
  </si>
  <si>
    <t>MOV.MOV-032.OPEN_STATUS</t>
  </si>
  <si>
    <t>MOV.MOV-032.CLOSE_STATUS</t>
  </si>
  <si>
    <t>MOV.MOV-033.OPEN_STATUS</t>
  </si>
  <si>
    <t>MOV-033</t>
  </si>
  <si>
    <t>MOV RCL</t>
  </si>
  <si>
    <t>MOV.MOV-033.REMOTE_STATUS</t>
  </si>
  <si>
    <t>TK-17</t>
  </si>
  <si>
    <t>TANK.TK-17.LEVEL</t>
  </si>
  <si>
    <t>TANK.TK-17.TANK_ALERT_ALARM</t>
  </si>
  <si>
    <t>LEVELSWITCH.LSW-12.SWITCH_STATUS</t>
  </si>
  <si>
    <t xml:space="preserve"> LSW-12</t>
  </si>
  <si>
    <t>LEVELSWITCH.LSW-12.PROOF_TEST_OK</t>
  </si>
  <si>
    <t>LSW-12</t>
  </si>
  <si>
    <t>LEVELSWITCH.LSW-12.PROOF_TEST_FAILED</t>
  </si>
  <si>
    <t>LEVELSWITCH.RDR-12.SWITCH_STATUS</t>
  </si>
  <si>
    <t>RDR-12</t>
  </si>
  <si>
    <t>LEVELSWITCH.RDR-12.PROOF_TEST_OK</t>
  </si>
  <si>
    <t>LEVELSWITCH.RDR-12.PROOF_TEST_FAILED</t>
  </si>
  <si>
    <t>MOV.ROSOV-23.OPEN_STATUS</t>
  </si>
  <si>
    <t>ROSOV-23</t>
  </si>
  <si>
    <t>MOV.ROSOV-23.FAILED_TO_CLOSE</t>
  </si>
  <si>
    <t>MOV.ROSOV-24.OPEN_STATUS</t>
  </si>
  <si>
    <t>ROSOV-24</t>
  </si>
  <si>
    <t>MOV.ROSOV-24.FAILED_TO_CLOSE</t>
  </si>
  <si>
    <t>MOV.MOV-034.OPEN_STATUS</t>
  </si>
  <si>
    <t>MOV-034</t>
  </si>
  <si>
    <t>MOV.MOV-034.REMOTE_STATUS</t>
  </si>
  <si>
    <t>MOV.MOV-035.OPEN_STATUS</t>
  </si>
  <si>
    <t>MOV.MOV-035.CLOSE_STATUS</t>
  </si>
  <si>
    <t>TK-18</t>
  </si>
  <si>
    <t>TANK.TK-18.LEVEL</t>
  </si>
  <si>
    <t>TANK.TK-18.HIGH_LEVEL</t>
  </si>
  <si>
    <t>TANK.TK-18.TANK_ALERT_ALARM</t>
  </si>
  <si>
    <t>TANK.TK-18.HIGH_HIGH_LEVEL</t>
  </si>
  <si>
    <t>TK-19</t>
  </si>
  <si>
    <t>TANK.TK-19.LEVEL</t>
  </si>
  <si>
    <t>TANK.TK-19.HIGH_LEVEL</t>
  </si>
  <si>
    <t>TANK.TK-19.TANK_ALERT_ALARM</t>
  </si>
  <si>
    <t>TANK.TK-19.HIGH_HIGH_LEVEL</t>
  </si>
  <si>
    <t>TK-20</t>
  </si>
  <si>
    <t>TANK.TK-20.LEVEL</t>
  </si>
  <si>
    <t>TANK.TK-20.HIGH_LEVEL</t>
  </si>
  <si>
    <t>TANK.TK-20.TANK_ALERT_ALARM</t>
  </si>
  <si>
    <t>TANK.TK-20.HIGH_HIGH_LEVEL</t>
  </si>
  <si>
    <t>TK-21</t>
  </si>
  <si>
    <t>TANK.TK-21.LEVEL</t>
  </si>
  <si>
    <t>TANK.TK-21.HIGH_LEVEL</t>
  </si>
  <si>
    <t>TANK.TK-21.TANK_ALERT_ALARM</t>
  </si>
  <si>
    <t>TANK.TK-21.HIGH_HIGH_LEVEL</t>
  </si>
  <si>
    <t>TK-26</t>
  </si>
  <si>
    <t>TANK.TK-26.LEVEL</t>
  </si>
  <si>
    <t>TANK.TK-26.HIGH_LEVEL</t>
  </si>
  <si>
    <t>TANK.TK-26.TANK_ALERT_ALARM</t>
  </si>
  <si>
    <t>TANK.TK-26.HIGH_HIGH_LEVEL</t>
  </si>
  <si>
    <t>LEVELSWITCH.LSW-13.SWITCH_STATUS</t>
  </si>
  <si>
    <t>LSW-13</t>
  </si>
  <si>
    <t>LEVELSWITCH.LSW-13.PROOF_TEST_OK</t>
  </si>
  <si>
    <t>LEVELSWITCH.LSW-13.PROOF_TEST_FAILED</t>
  </si>
  <si>
    <t>LEVELSWITCH.RDR-13.SWITCH_STATUS</t>
  </si>
  <si>
    <t>RDR-13</t>
  </si>
  <si>
    <t>LEVELSWITCH.RDR-13.PROOF_TEST_OK</t>
  </si>
  <si>
    <t>LEVELSWITCH.RDR-13.PROOF_TEST_FAILED</t>
  </si>
  <si>
    <t>MOV.ROSOV-25.OPEN_STATUS</t>
  </si>
  <si>
    <t>ROSOV-25</t>
  </si>
  <si>
    <t>MOV.ROSOV-25.FAILED_TO_CLOSE</t>
  </si>
  <si>
    <t>MOV.ROSOV-26.OPEN_STATUS</t>
  </si>
  <si>
    <t>ROSOV-26</t>
  </si>
  <si>
    <t>MOV.ROSOV-26.FAILED_TO_CLOSE</t>
  </si>
  <si>
    <t>MOV.MOV-037.OPEN_STATUS</t>
  </si>
  <si>
    <t>MOV-037</t>
  </si>
  <si>
    <t>MOV.MOV-037.REMOTE_STATUS</t>
  </si>
  <si>
    <t>MOV.MOV-038.OPEN_STATUS</t>
  </si>
  <si>
    <t>MOV.MOV-038.CLOSE_STATUS</t>
  </si>
  <si>
    <t>TK-27</t>
  </si>
  <si>
    <t>TANK.TK-27.LEVEL</t>
  </si>
  <si>
    <t>TANK.TK-27.HIGH_LEVEL</t>
  </si>
  <si>
    <t>TANK.TK-27.TANK_ALERT_ALARM</t>
  </si>
  <si>
    <t>TANK.TK-27.HIGH_HIGH_LEVEL</t>
  </si>
  <si>
    <t>LEVELSWITCH.LSW-14.SWITCH_STATUS</t>
  </si>
  <si>
    <t>LSW-14</t>
  </si>
  <si>
    <t>LEVELSWITCH.LSW-14.PROOF_TEST_OK</t>
  </si>
  <si>
    <t>LEVELSWITCH.LSW-14.PROOF_TEST_FAILED</t>
  </si>
  <si>
    <t>LEVELSWITCH.RDR-14.SWITCH_STATUS</t>
  </si>
  <si>
    <t>RDR-14</t>
  </si>
  <si>
    <t>LEVELSWITCH.RDR-14.PROOF_TEST_OK</t>
  </si>
  <si>
    <t>LEVELSWITCH.RDR-14.PROOF_TEST_FAILED</t>
  </si>
  <si>
    <t>MOV.ROSOV-27.OPEN_STATUS</t>
  </si>
  <si>
    <t>ROSOV-27</t>
  </si>
  <si>
    <t>MOV.ROSOV-27.FAILED_TO_CLOSE</t>
  </si>
  <si>
    <t>MOV.ROSOV-28.OPEN_STATUS</t>
  </si>
  <si>
    <t>ROSOV-28</t>
  </si>
  <si>
    <t>MOV.ROSOV-28.FAILED_TO_CLOSE</t>
  </si>
  <si>
    <t>MOV.MOV-040.OPEN_STATUS</t>
  </si>
  <si>
    <t>MOV-040</t>
  </si>
  <si>
    <t>MOV.MOV-040.REMOTE_STATUS</t>
  </si>
  <si>
    <t>MOV.MOV-041.OPEN_STATUS</t>
  </si>
  <si>
    <t>MOV.MOV-041.CLOSE_STATUS</t>
  </si>
  <si>
    <t>TK-28</t>
  </si>
  <si>
    <t>TANK.TK-28.LEVEL</t>
  </si>
  <si>
    <t>TANK.TK-28.HIGH_LEVEL</t>
  </si>
  <si>
    <t>TANK.TK-28.TANK_ALERT_ALARM</t>
  </si>
  <si>
    <t>TANK.TK-28.HIGH_HIGH_LEVEL</t>
  </si>
  <si>
    <t>LEVELSWITCH.LSW-15.SWITCH_STATUS</t>
  </si>
  <si>
    <t>LSW-15</t>
  </si>
  <si>
    <t>LEVELSWITCH.LSW-15.PROOF_TEST_OK</t>
  </si>
  <si>
    <t>LEVELSWITCH.LSW-15.PROOF_TEST_FAILED</t>
  </si>
  <si>
    <t>LEVELSWITCH.RDR-15.SWITCH_STATUS</t>
  </si>
  <si>
    <t>RDR-15</t>
  </si>
  <si>
    <t>LEVELSWITCH.RDR-15.PROOF_TEST_OK</t>
  </si>
  <si>
    <t>LEVELSWITCH.RDR-15.PROOF_TEST_FAILED</t>
  </si>
  <si>
    <t>MOV.ROSOV-29.OPEN_STATUS</t>
  </si>
  <si>
    <t>ROSOV-29</t>
  </si>
  <si>
    <t>MOV.ROSOV-29.FAILED_TO_CLOSE</t>
  </si>
  <si>
    <t>MOV.ROSOV-30.OPEN_STATUS</t>
  </si>
  <si>
    <t>ROSOV-30</t>
  </si>
  <si>
    <t>MOV.ROSOV-30.FAILED_TO_CLOSE</t>
  </si>
  <si>
    <t>MOV.MOV-043.OPEN_STATUS</t>
  </si>
  <si>
    <t>MOV-043</t>
  </si>
  <si>
    <t>MOV.MOV-043.REMOTE_STATUS</t>
  </si>
  <si>
    <t>MOV.MOV-044.OPEN_STATUS</t>
  </si>
  <si>
    <t>MOV.MOV-044.CLOSE_STATUS</t>
  </si>
  <si>
    <t>TK-29</t>
  </si>
  <si>
    <t>TANK.TK-29.LEVEL</t>
  </si>
  <si>
    <t>TANK.TK-29.TANK_ALERT_ALARM</t>
  </si>
  <si>
    <t>TK-30</t>
  </si>
  <si>
    <t>TANK.TK-30.LEVEL</t>
  </si>
  <si>
    <t>TANK.TK-30.TANK_ALERT_ALARM</t>
  </si>
  <si>
    <t>TK-32</t>
  </si>
  <si>
    <t>TANK.TK-32.LEVEL</t>
  </si>
  <si>
    <t>TANK.TK-32.HIGH_LEVEL</t>
  </si>
  <si>
    <t>TANK.TK-32.TANK_ALERT_ALARM</t>
  </si>
  <si>
    <t>TANK.TK-32.HIGH_HIGH_LEVEL</t>
  </si>
  <si>
    <t>MOV ID</t>
  </si>
  <si>
    <t>HDR MOV STATUS</t>
  </si>
  <si>
    <t>HDR MOV REMOTE STATUS</t>
  </si>
  <si>
    <t>HDR MOV MAINTENANCE STATUS</t>
  </si>
  <si>
    <t>MOV-PPL-HSD1_HSD1</t>
  </si>
  <si>
    <t>HSD1</t>
  </si>
  <si>
    <t>MOV-PPL-HSD1</t>
  </si>
  <si>
    <t>MOV.MOV-PPL-HSD1.OPEN_STATUS</t>
  </si>
  <si>
    <t>MOV-PPL-HSD2_HSD2</t>
  </si>
  <si>
    <t>HSD2</t>
  </si>
  <si>
    <t>MOV-PPL-HSD2</t>
  </si>
  <si>
    <t>MOV.MOV-PPL-HSD2.OPEN_STATUS</t>
  </si>
  <si>
    <t>MOV-PPL-MS1_MS1</t>
  </si>
  <si>
    <t>MS1</t>
  </si>
  <si>
    <t>MOV-PPL-MS1</t>
  </si>
  <si>
    <t>MOV.MOV-PPL-MS1.OPEN_STATUS</t>
  </si>
  <si>
    <t>MOV-PPL-MS2_MS2</t>
  </si>
  <si>
    <t>MS2</t>
  </si>
  <si>
    <t>MOV-PPL-MS2</t>
  </si>
  <si>
    <t>MOV.MOV-PPL-MS2.OPEN_STATUS</t>
  </si>
  <si>
    <t>MOV-PPL-SLOP_SLOP</t>
  </si>
  <si>
    <t>MOV-PPL-SLOP</t>
  </si>
  <si>
    <t>MOV.MOV-PPL-SLOP.OPEN_STATUS</t>
  </si>
  <si>
    <t xml:space="preserve">TOBV-003_BS VI MS </t>
  </si>
  <si>
    <t xml:space="preserve">BS VI MS </t>
  </si>
  <si>
    <t>TOBV-003</t>
  </si>
  <si>
    <t>MOV.TOBV-003.OPEN_STATUS</t>
  </si>
  <si>
    <t>MOV.TOBV-003.REMOTE_STATUS</t>
  </si>
  <si>
    <t>MOV.TOBV-003.MAINTENANCE_STATUS</t>
  </si>
  <si>
    <t xml:space="preserve">TOBV-004_BS VI HSD </t>
  </si>
  <si>
    <t xml:space="preserve">BS VI HSD </t>
  </si>
  <si>
    <t>TOBV-004</t>
  </si>
  <si>
    <t>MOV.TOBV-004.OPEN_STATUS</t>
  </si>
  <si>
    <t>MOV.TOBV-004.REMOTE_STATUS</t>
  </si>
  <si>
    <t>MOV.TOBV-004.MAINTENANCE_STATUS</t>
  </si>
  <si>
    <t>TOBV-001_ETHANOL</t>
  </si>
  <si>
    <t>TOBV-001</t>
  </si>
  <si>
    <t>MOV.TOBV-001.OPEN_STATUS</t>
  </si>
  <si>
    <t>MOV.TOBV-001.REMOTE_STATUS</t>
  </si>
  <si>
    <t>MOV.TOBV-001.MAINTENANCE_STATUS</t>
  </si>
  <si>
    <t>TOBV-002_BIOHSD</t>
  </si>
  <si>
    <t>BIOHSD</t>
  </si>
  <si>
    <t>TOBV-002</t>
  </si>
  <si>
    <t>MOV.TOBV-002.OPEN_STATUS</t>
  </si>
  <si>
    <t>MOV.TOBV-002.REMOTE_STATUS</t>
  </si>
  <si>
    <t>MOV.TOBV-002.MAINTENANCE_STATUS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</si>
  <si>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</si>
  <si>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</si>
  <si>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</si>
  <si>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</si>
  <si>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</si>
  <si>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</si>
  <si>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</si>
  <si>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</si>
  <si>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</si>
  <si>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</si>
  <si>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</si>
  <si>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</si>
  <si>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</si>
  <si>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</si>
  <si>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Rewari_M</t>
  </si>
  <si>
    <t>TANK.TK-01.MAINTENANCE_STATUS</t>
  </si>
  <si>
    <t>LEVELSWITCH.LSW-01.MAINTENANCE_STATUS</t>
  </si>
  <si>
    <t>LEVELSWITCH.RDR-01.MAINTENANCE_STATUS</t>
  </si>
  <si>
    <t>MOV.MOV-001.MAINTENANCE_STATUS</t>
  </si>
  <si>
    <t>TANK.TK-02.MAINTENANCE_STATUS</t>
  </si>
  <si>
    <t>LEVELSWITCH.LSW-02.MAINTENANCE_STATUS</t>
  </si>
  <si>
    <t>LEVELSWITCH.RDR-02.MAINTENANCE_STATUS</t>
  </si>
  <si>
    <t>MOV.MOV-004.MAINTENANCE_STATUS</t>
  </si>
  <si>
    <t>TANK.TK-03.MAINTENANCE_STATUS</t>
  </si>
  <si>
    <t>LEVELSWITCH.LSW-03.MAINTENANCE_STATUS</t>
  </si>
  <si>
    <t>LEVELSWITCH.RDR-03.MAINTENANCE_STATUS</t>
  </si>
  <si>
    <t>MOV.MOV-007.MAINTENANCE_STATUS</t>
  </si>
  <si>
    <t>TANK.TK-04.MAINTENANCE_STATUS</t>
  </si>
  <si>
    <t>LEVELSWITCH.LSW-04.MAINTENANCE_STATUS</t>
  </si>
  <si>
    <t>LEVELSWITCH.RDR-04.MAINTENANCE_STATUS</t>
  </si>
  <si>
    <t>MOV.MOV-010.MAINTENANCE_STATUS</t>
  </si>
  <si>
    <t>TANK.TK-05.MAINTENANCE_STATUS</t>
  </si>
  <si>
    <t>LEVELSWITCH.LSW-05.MAINTENANCE_STATUS</t>
  </si>
  <si>
    <t>LEVELSWITCH.RDR-05.MAINTENANCE_STATUS</t>
  </si>
  <si>
    <t>MOV.MOV-013.MAINTENANCE_STATUS</t>
  </si>
  <si>
    <t>TANK.TK-06.MAINTENANCE_STATUS</t>
  </si>
  <si>
    <t>TANK.TK-07.MAINTENANCE_STATUS</t>
  </si>
  <si>
    <t>TANK.TK-08.MAINTENANCE_STATUS</t>
  </si>
  <si>
    <t>TANK.TK-11.MAINTENANCE_STATUS</t>
  </si>
  <si>
    <t>LEVELSWITCH.LSW-06.MAINTENANCE_STATUS</t>
  </si>
  <si>
    <t>LEVELSWITCH.RDR-06.MAINTENANCE_STATUS</t>
  </si>
  <si>
    <t>MOV.MOV-016.MAINTENANCE_STATUS</t>
  </si>
  <si>
    <t>TANK.TK-12.MAINTENANCE_STATUS</t>
  </si>
  <si>
    <t>LEVELSWITCH.LSW-07.MAINTENANCE_STATUS</t>
  </si>
  <si>
    <t>LEVELSWITCH.RDR-07.MAINTENANCE_STATUS</t>
  </si>
  <si>
    <t>MOV.MOV-019.MAINTENANCE_STATUS</t>
  </si>
  <si>
    <t>TANK.TK-13.MAINTENANCE_STATUS</t>
  </si>
  <si>
    <t>LEVELSWITCH.LSW-08.MAINTENANCE_STATUS</t>
  </si>
  <si>
    <t>LEVELSWITCH.RDR-08.MAINTENANCE_STATUS</t>
  </si>
  <si>
    <t>MOV.MOV-022.MAINTENANCE_STATUS</t>
  </si>
  <si>
    <t>TANK.TK-14.MAINTENANCE_STATUS</t>
  </si>
  <si>
    <t>LEVELSWITCH.LSW-09.MAINTENANCE_STATUS</t>
  </si>
  <si>
    <t>LEVELSWITCH.RDR-09.MAINTENANCE_STATUS</t>
  </si>
  <si>
    <t>MOV.MOV-025.MAINTENANCE_STATUS</t>
  </si>
  <si>
    <t>TANK.TK-15.MAINTENANCE_STATUS</t>
  </si>
  <si>
    <t>LEVELSWITCH.LSW-10.MAINTENANCE_STATUS</t>
  </si>
  <si>
    <t>LEVELSWITCH.RDR-10.MAINTENANCE_STATUS</t>
  </si>
  <si>
    <t>MOV.MOV-028.MAINTENANCE_STATUS</t>
  </si>
  <si>
    <t>LEVELSWITCH.LSW-11.MAINTENANCE_STATUS</t>
  </si>
  <si>
    <t>LEVELSWITCH.RDR-11.MAINTENANCE_STATUS</t>
  </si>
  <si>
    <t>MOV.MOV-031.MAINTENANCE_STATUS</t>
  </si>
  <si>
    <t>MOV.MOV-033.MAINTENANCE_STATUS</t>
  </si>
  <si>
    <t>LEVELSWITCH.LSW-12.MAINTENANCE_STATUS</t>
  </si>
  <si>
    <t>LEVELSWITCH.RDR-12.MAINTENANCE_STATUS</t>
  </si>
  <si>
    <t>MOV.MOV-034.MAINTENANCE_STATUS</t>
  </si>
  <si>
    <t>TANK.TK-18.MAINTENANCE_STATUS</t>
  </si>
  <si>
    <t>TANK.TK-19.MAINTENANCE_STATUS</t>
  </si>
  <si>
    <t>TANK.TK-20.MAINTENANCE_STATUS</t>
  </si>
  <si>
    <t>TANK.TK-21.MAINTENANCE_STATUS</t>
  </si>
  <si>
    <t>TANK.TK-26.MAINTENANCE_STATUS</t>
  </si>
  <si>
    <t>LEVELSWITCH.LSW-13.MAINTENANCE_STATUS</t>
  </si>
  <si>
    <t>LEVELSWITCH.RDR-13.MAINTENANCE_STATUS</t>
  </si>
  <si>
    <t>MOV.MOV-037.MAINTENANCE_STATUS</t>
  </si>
  <si>
    <t>TANK.TK-27.MAINTENANCE_STATUS</t>
  </si>
  <si>
    <t>LEVELSWITCH.LSW-14.MAINTENANCE_STATUS</t>
  </si>
  <si>
    <t>LEVELSWITCH.RDR-14.MAINTENANCE_STATUS</t>
  </si>
  <si>
    <t>MOV.MOV-040.MAINTENANCE_STATUS</t>
  </si>
  <si>
    <t>TANK.TK-28.MAINTENANCE_STATUS</t>
  </si>
  <si>
    <t>LEVELSWITCH.LSW-15.MAINTENANCE_STATUS</t>
  </si>
  <si>
    <t>LEVELSWITCH.RDR-15.MAINTENANCE_STATUS</t>
  </si>
  <si>
    <t>MOV.MOV-043.MAINTENANCE_STATUS</t>
  </si>
  <si>
    <t>TANK.TK-32.MAINTENANCE_STATUS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</si>
  <si>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</si>
  <si>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</si>
  <si>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</si>
  <si>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</si>
  <si>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</si>
  <si>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</si>
  <si>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</si>
  <si>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</si>
  <si>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</si>
  <si>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</si>
  <si>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</si>
  <si>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</si>
  <si>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</si>
  <si>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</si>
  <si>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PUMP.ADTV-PMP-01.ON</t>
  </si>
  <si>
    <t>PUMP.ADTV-PMP-01.OFF</t>
  </si>
  <si>
    <t>PUMP.ADTV-PMP-01.LOCAL_STATUS</t>
  </si>
  <si>
    <t>PUMP.ADTV-PMP-01.MAINTENANCE_STATUS</t>
  </si>
  <si>
    <t>ADTV-PMP-02</t>
  </si>
  <si>
    <t>PUMP.ADTV-PMP-02.ON</t>
  </si>
  <si>
    <t>PUMP.ADTV-PMP-02.OFF</t>
  </si>
  <si>
    <t>PUMP.ADTV-PMP-02.LOCAL_STATUS</t>
  </si>
  <si>
    <t>PUMP.ADTV-PMP-02.MAINTENANCE_STATUS</t>
  </si>
  <si>
    <t>ADTV-PMP-03</t>
  </si>
  <si>
    <t>TURBOHSD</t>
  </si>
  <si>
    <t>PUMP.ADTV-PMP-03.ON</t>
  </si>
  <si>
    <t>PUMP.ADTV-PMP-03.OFF</t>
  </si>
  <si>
    <t>PUMP.ADTV-PMP-03.LOCAL_STATUS</t>
  </si>
  <si>
    <t>PUMP.ADTV-PMP-03.MAINTENANCE_STATUS</t>
  </si>
  <si>
    <t>ADTV-PMP-04</t>
  </si>
  <si>
    <t>PUMP.ADTV-PMP-04.ON</t>
  </si>
  <si>
    <t>PUMP.ADTV-PMP-04.OFF</t>
  </si>
  <si>
    <t>PUMP.ADTV-PMP-04.LOCAL_STATUS</t>
  </si>
  <si>
    <t>PUMP.ADTV-PMP-04.MAINTENANCE_STATUS</t>
  </si>
  <si>
    <t>PMP-01</t>
  </si>
  <si>
    <t>PUMP.PMP-01.ON</t>
  </si>
  <si>
    <t>PUMP.PMP-01.OFF</t>
  </si>
  <si>
    <t>PUMP.PMP-01.LOCAL_STATUS</t>
  </si>
  <si>
    <t>PUMP.PMP-01.MAINTENANCE_STATUS</t>
  </si>
  <si>
    <t>PMP-02</t>
  </si>
  <si>
    <t>PUMP.PMP-02.ON</t>
  </si>
  <si>
    <t>PUMP.PMP-02.OFF</t>
  </si>
  <si>
    <t>PUMP.PMP-02.LOCAL_STATUS</t>
  </si>
  <si>
    <t>PUMP.PMP-02.MAINTENANCE_STATUS</t>
  </si>
  <si>
    <t>PMP-03</t>
  </si>
  <si>
    <t>PUMP.PMP-03.ON</t>
  </si>
  <si>
    <t>PUMP.PMP-03.OFF</t>
  </si>
  <si>
    <t>PUMP.PMP-03.LOCAL_STATUS</t>
  </si>
  <si>
    <t>PUMP.PMP-03.MAINTENANCE_STATUS</t>
  </si>
  <si>
    <t>PMP-04</t>
  </si>
  <si>
    <t>PUMP.PMP-04.ON</t>
  </si>
  <si>
    <t>PUMP.PMP-04.OFF</t>
  </si>
  <si>
    <t>PUMP.PMP-04.LOCAL_STATUS</t>
  </si>
  <si>
    <t>PUMP.PMP-04.MAINTENANCE_STATUS</t>
  </si>
  <si>
    <t>PMP-05</t>
  </si>
  <si>
    <t>PUMP.PMP-05.ON</t>
  </si>
  <si>
    <t>PUMP.PMP-05.OFF</t>
  </si>
  <si>
    <t>PUMP.PMP-05.LOCAL_STATUS</t>
  </si>
  <si>
    <t>PUMP.PMP-05.MAINTENANCE_STATUS</t>
  </si>
  <si>
    <t>PMP-06</t>
  </si>
  <si>
    <t>PUMP.PMP-06.ON</t>
  </si>
  <si>
    <t>PUMP.PMP-06.OFF</t>
  </si>
  <si>
    <t>PUMP.PMP-06.LOCAL_STATUS</t>
  </si>
  <si>
    <t>PUMP.PMP-06.MAINTENANCE_STATUS</t>
  </si>
  <si>
    <t>PMP-07</t>
  </si>
  <si>
    <t>PUMP.PMP-07.ON</t>
  </si>
  <si>
    <t>PUMP.PMP-07.OFF</t>
  </si>
  <si>
    <t>PUMP.PMP-07.LOCAL_STATUS</t>
  </si>
  <si>
    <t>PUMP.PMP-07.MAINTENANCE_STATUS</t>
  </si>
  <si>
    <t>PMP-08</t>
  </si>
  <si>
    <t>PUMP.PMP-08.ON</t>
  </si>
  <si>
    <t>PUMP.PMP-08.OFF</t>
  </si>
  <si>
    <t>PUMP.PMP-08.LOCAL_STATUS</t>
  </si>
  <si>
    <t>PUMP.PMP-08.MAINTENANCE_STATUS</t>
  </si>
  <si>
    <t>PMP-09</t>
  </si>
  <si>
    <t>PUMP.PMP-09.ON</t>
  </si>
  <si>
    <t>PUMP.PMP-09.OFF</t>
  </si>
  <si>
    <t>PUMP.PMP-09.LOCAL_STATUS</t>
  </si>
  <si>
    <t>PUMP.PMP-09.MAINTENANCE_STATUS</t>
  </si>
  <si>
    <t>PMP-10</t>
  </si>
  <si>
    <t>PUMP.PMP-10.ON</t>
  </si>
  <si>
    <t>PUMP.PMP-10.OFF</t>
  </si>
  <si>
    <t>PUMP.PMP-10.LOCAL_STATUS</t>
  </si>
  <si>
    <t>PUMP.PMP-10.MAINTENANCE_STATUS</t>
  </si>
  <si>
    <t>PMP-11</t>
  </si>
  <si>
    <t>PUMP.PMP-11.ON</t>
  </si>
  <si>
    <t>PUMP.PMP-11.OFF</t>
  </si>
  <si>
    <t>PUMP.PMP-11.LOCAL_STATUS</t>
  </si>
  <si>
    <t>PUMP.PMP-11.MAINTENANCE_STATUS</t>
  </si>
  <si>
    <t>PMP-12</t>
  </si>
  <si>
    <t>PUMP.PMP-12.ON</t>
  </si>
  <si>
    <t>PUMP.PMP-12.OFF</t>
  </si>
  <si>
    <t>PUMP.PMP-12.LOCAL_STATUS</t>
  </si>
  <si>
    <t>PUMP.PMP-12.MAINTENANCE_STATUS</t>
  </si>
  <si>
    <t>PMP-13</t>
  </si>
  <si>
    <t>PUMP.PMP-13.ON</t>
  </si>
  <si>
    <t>PUMP.PMP-13.OFF</t>
  </si>
  <si>
    <t>PUMP.PMP-13.LOCAL_STATUS</t>
  </si>
  <si>
    <t>PUMP.PMP-13.MAINTENANCE_STATUS</t>
  </si>
  <si>
    <t>PMP-18</t>
  </si>
  <si>
    <t>PUMP.PMP-18.ON</t>
  </si>
  <si>
    <t>PUMP.PMP-18.OFF</t>
  </si>
  <si>
    <t>PUMP.PMP-18.LOCAL_STATUS</t>
  </si>
  <si>
    <t>PUMP.PMP-18.MAINTENANCE_STATUS</t>
  </si>
  <si>
    <t>PMP-19</t>
  </si>
  <si>
    <t>PUMP.PMP-19.ON</t>
  </si>
  <si>
    <t>PUMP.PMP-19.OFF</t>
  </si>
  <si>
    <t>PUMP.PMP-19.LOCAL_STATUS</t>
  </si>
  <si>
    <t>PUMP.PMP-19.MAINTENANCE_STATUS</t>
  </si>
  <si>
    <t>PMP-20</t>
  </si>
  <si>
    <t>PUMP.PMP-20.ON</t>
  </si>
  <si>
    <t>PUMP.PMP-20.OFF</t>
  </si>
  <si>
    <t>PUMP.PMP-20.LOCAL_STATUS</t>
  </si>
  <si>
    <t>PUMP.PMP-20.MAINTENANCE_STATUS</t>
  </si>
  <si>
    <t>PMP-21</t>
  </si>
  <si>
    <t>PUMP.PMP-21.ON</t>
  </si>
  <si>
    <t>PUMP.PMP-21.OFF</t>
  </si>
  <si>
    <t>PUMP.PMP-21.LOCAL_STATUS</t>
  </si>
  <si>
    <t>PUMP.PMP-21.MAINTENANCE_STATUS</t>
  </si>
  <si>
    <t>PMP-22</t>
  </si>
  <si>
    <t>PUMP.PMP-22.ON</t>
  </si>
  <si>
    <t>PUMP.PMP-22.OFF</t>
  </si>
  <si>
    <t>PUMP.PMP-22.LOCAL_STATUS</t>
  </si>
  <si>
    <t>PUMP.PMP-22.MAINTENANCE_STATUS</t>
  </si>
  <si>
    <t>PMP-IOCL-01</t>
  </si>
  <si>
    <t>Wagon Loading</t>
  </si>
  <si>
    <t>PUMP.PMP-IOCL-01.ON</t>
  </si>
  <si>
    <t>PUMP.PMP-IOCL-01.OFF</t>
  </si>
  <si>
    <t>PMP-IOCL-02</t>
  </si>
  <si>
    <t>PUMP.PMP-IOCL-02.ON</t>
  </si>
  <si>
    <t>PUMP.PMP-IOCL-02.OFF</t>
  </si>
  <si>
    <t>PMP-IOCL-03</t>
  </si>
  <si>
    <t>PUMP.PMP-IOCL-03.ON</t>
  </si>
  <si>
    <t>PUMP.PMP-IOCL-03.OFF</t>
  </si>
  <si>
    <t>PMP-IOCL-04</t>
  </si>
  <si>
    <t>PUMP.PMP-IOCL-04.ON</t>
  </si>
  <si>
    <t>PUMP.PMP-IOCL-04.OFF</t>
  </si>
  <si>
    <t>PMP-IOCL-05</t>
  </si>
  <si>
    <t>PUMP.PMP-IOCL-05.ON</t>
  </si>
  <si>
    <t>PUMP.PMP-IOCL-05.OFF</t>
  </si>
  <si>
    <t>PMP-IOCL-06</t>
  </si>
  <si>
    <t>PUMP.PMP-IOCL-06.ON</t>
  </si>
  <si>
    <t>PUMP.PMP-IOCL-06.OFF</t>
  </si>
  <si>
    <t>PMP-IOCL-07</t>
  </si>
  <si>
    <t>PUMP.PMP-IOCL-07.ON</t>
  </si>
  <si>
    <t>PUMP.PMP-IOCL-07.OFF</t>
  </si>
  <si>
    <t>VRU-PMP-01</t>
  </si>
  <si>
    <t>BS IV HSD</t>
  </si>
  <si>
    <t>Both</t>
  </si>
  <si>
    <t>PUMP.VRU-PMP-01.ON</t>
  </si>
  <si>
    <t>PUMP.VRU-PMP-01.OFF</t>
  </si>
  <si>
    <t>PUMP.VRU-PMP-01.MAINTENANCE_STATUS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</si>
  <si>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</si>
  <si>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</si>
  <si>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</si>
  <si>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</si>
  <si>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</si>
  <si>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</si>
  <si>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</si>
  <si>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</si>
  <si>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</si>
  <si>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</si>
  <si>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</si>
  <si>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</si>
  <si>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</si>
  <si>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</si>
  <si>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</si>
  <si>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</si>
  <si>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</si>
  <si>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</si>
  <si>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</si>
  <si>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DISPATCH</t>
  </si>
  <si>
    <t>PUMP.FWP-01.ON</t>
  </si>
  <si>
    <t>PUMP.FWP-01.OFF</t>
  </si>
  <si>
    <t>PUMP.FWP-01.LOCAL_STATUS</t>
  </si>
  <si>
    <t>PUMP.FWP-01.LOW_LUBE_OIL_PRESSURE_ALARM</t>
  </si>
  <si>
    <t>PUMP.FWP-01.HIGH_TEMPERATURE_ALARM</t>
  </si>
  <si>
    <t>FWP-02</t>
  </si>
  <si>
    <t>PUMP.FWP-02.ON</t>
  </si>
  <si>
    <t>PUMP.FWP-02.OFF</t>
  </si>
  <si>
    <t>PUMP.FWP-02.LOCAL_STATUS</t>
  </si>
  <si>
    <t>PUMP.FWP-02.LOW_LUBE_OIL_PRESSURE_ALARM</t>
  </si>
  <si>
    <t>PUMP.FWP-02.HIGH_TEMPERATURE_ALARM</t>
  </si>
  <si>
    <t>FWP-03</t>
  </si>
  <si>
    <t>PUMP.FWP-03.ON</t>
  </si>
  <si>
    <t>PUMP.FWP-03.OFF</t>
  </si>
  <si>
    <t>PUMP.FWP-03.LOCAL_STATUS</t>
  </si>
  <si>
    <t>PUMP.FWP-03.LOW_LUBE_OIL_PRESSURE_ALARM</t>
  </si>
  <si>
    <t>PUMP.FWP-03.HIGH_TEMPERATURE_ALARM</t>
  </si>
  <si>
    <t>JCY-01</t>
  </si>
  <si>
    <t>Jockey</t>
  </si>
  <si>
    <t>PUMP.JCY-01.ON</t>
  </si>
  <si>
    <t>PUMP.JCY-01.OFF</t>
  </si>
  <si>
    <t>PUMP.JCY-01.LOCAL_STATUS</t>
  </si>
  <si>
    <t>PUMP.JCY-01.PUMP_TRIPPED</t>
  </si>
  <si>
    <t>JCY-02</t>
  </si>
  <si>
    <t>PUMP.JCY-02.ON</t>
  </si>
  <si>
    <t>PUMP.JCY-02.OFF</t>
  </si>
  <si>
    <t>PUMP.JCY-02.LOCAL_STATUS</t>
  </si>
  <si>
    <t>PUMP.JCY-02.PUMP_TRIPPED</t>
  </si>
  <si>
    <t>FARTHEST</t>
  </si>
  <si>
    <t>POINT</t>
  </si>
  <si>
    <t>PT</t>
  </si>
  <si>
    <t>PressureTransmitter.PT-02.MAINTENANCE_STATUS</t>
  </si>
  <si>
    <t>NEAREST</t>
  </si>
  <si>
    <t>PressureTransmitter.PT-03.MAINTENANCE_STATUS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</si>
  <si>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</si>
  <si>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</si>
  <si>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</si>
  <si>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</si>
  <si>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</si>
  <si>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</si>
  <si>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</si>
  <si>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</si>
  <si>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</si>
  <si>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</si>
  <si>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</si>
  <si>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UPS.UPS-01.MAIN_AC_FAIL</t>
  </si>
  <si>
    <t>UPS.UPS-01.LOW_BATTERY</t>
  </si>
  <si>
    <t>UPS.UPS-01.LOAD_ON_UPS</t>
  </si>
  <si>
    <t>UPS-02</t>
  </si>
  <si>
    <t>UPS.UPS-02.MAIN_AC_FAIL</t>
  </si>
  <si>
    <t>UPS.UPS-02.LOW_BATTERY</t>
  </si>
  <si>
    <t>UPS.UPS-02.LOAD_ON_UPS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</si>
  <si>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</si>
  <si>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</si>
  <si>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</si>
  <si>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</si>
  <si>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</si>
  <si>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</si>
  <si>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</si>
  <si>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</si>
  <si>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</si>
  <si>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</si>
  <si>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</si>
  <si>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</si>
  <si>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</si>
  <si>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</si>
  <si>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</si>
  <si>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</si>
  <si>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</si>
  <si>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</si>
  <si>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</si>
  <si>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</si>
  <si>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</si>
  <si>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</si>
  <si>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</si>
  <si>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</si>
  <si>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</si>
  <si>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</si>
  <si>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</si>
  <si>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</si>
  <si>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</si>
  <si>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</si>
  <si>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</si>
  <si>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</si>
  <si>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</si>
  <si>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</si>
  <si>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</si>
  <si>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</si>
  <si>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</si>
  <si>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OP-HCD-AT-PUMPHOUSE</t>
  </si>
  <si>
    <t>OPEN TYPE AT PUMP HOUSE 1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</si>
  <si>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</si>
  <si>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</si>
  <si>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</si>
  <si>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</si>
  <si>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</si>
  <si>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</si>
  <si>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</si>
  <si>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OP-HCD-NEAR-TK1-2</t>
  </si>
  <si>
    <t>OPEN TYPE AT MS DYKE1 NEAR TK1-2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</si>
  <si>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</si>
  <si>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</si>
  <si>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</si>
  <si>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</si>
  <si>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</si>
  <si>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</si>
  <si>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OP-HCD-NEAR-TK16-17</t>
  </si>
  <si>
    <t>OPEN TYPE AT MS DYKE1 NEAR TK16-17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</si>
  <si>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</si>
  <si>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</si>
  <si>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</si>
  <si>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</si>
  <si>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</si>
  <si>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</si>
  <si>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OP-HCD-NEAR-TK15</t>
  </si>
  <si>
    <t>OPEN TYPE AT MS DYKE 2 NEAR TK15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</si>
  <si>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</si>
  <si>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</si>
  <si>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</si>
  <si>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</si>
  <si>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</si>
  <si>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</si>
  <si>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P-HCD-NEAR-TK17</t>
  </si>
  <si>
    <t>FIXED HCD AT MS DYKE4 NEAR TK17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</si>
  <si>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</si>
  <si>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</si>
  <si>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</si>
  <si>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</si>
  <si>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</si>
  <si>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</si>
  <si>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OP-HCD-NEAR-TK12-26</t>
  </si>
  <si>
    <t>OPEN TYPE NEAR AT MS DYKE1 NEAR TK12-26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</si>
  <si>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</si>
  <si>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</si>
  <si>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</si>
  <si>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</si>
  <si>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</si>
  <si>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</si>
  <si>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P-HCD-NEAR-TK26</t>
  </si>
  <si>
    <t>FIXED TYPE MS DYKE1 NEAR TK26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</si>
  <si>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</si>
  <si>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</si>
  <si>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</si>
  <si>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</si>
  <si>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</si>
  <si>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</si>
  <si>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P-HDS-AT-PH-DRAIN</t>
  </si>
  <si>
    <t>FIXED TYPE AT PUMP HOUSE DRAIN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</si>
  <si>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</si>
  <si>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</si>
  <si>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</si>
  <si>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</si>
  <si>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</si>
  <si>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</si>
  <si>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NEAR_TK-04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</si>
  <si>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</si>
  <si>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</si>
  <si>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</si>
  <si>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</si>
  <si>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</si>
  <si>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</si>
  <si>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</si>
  <si>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</si>
  <si>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</si>
  <si>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</si>
  <si>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</si>
  <si>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</si>
  <si>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</si>
  <si>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</si>
  <si>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</si>
  <si>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</si>
  <si>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</si>
  <si>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</si>
  <si>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</si>
  <si>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</si>
  <si>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</si>
  <si>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</si>
  <si>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</si>
  <si>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</si>
  <si>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</si>
  <si>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</si>
  <si>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</si>
  <si>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</si>
  <si>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</si>
  <si>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</si>
  <si>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</si>
  <si>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</si>
  <si>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</si>
  <si>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</si>
  <si>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</si>
  <si>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</si>
  <si>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</si>
  <si>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</si>
  <si>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</si>
  <si>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</si>
  <si>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</si>
  <si>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</si>
  <si>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</si>
  <si>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</si>
  <si>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HOOTER_FIELD_1</t>
  </si>
  <si>
    <t>Dedicated Hooter cum strobe for TLF P/H Activated in Field</t>
  </si>
  <si>
    <t>PLC.SFTPLC.HOOTER_FIELD_1</t>
  </si>
  <si>
    <t>HOOTER_FIELD_2</t>
  </si>
  <si>
    <t>Dedicated Hooter cum strobe for Near TK-01 Activated in Field</t>
  </si>
  <si>
    <t>PLC.SFTPLC.HOOTER_FIELD_2</t>
  </si>
  <si>
    <t>HOOTER_FIELD_3</t>
  </si>
  <si>
    <t>Dedicated Hooter cum strobe for Near TK-12 Activated in Field</t>
  </si>
  <si>
    <t>PLC.SFTPLC.HOOTER_FIELD_3</t>
  </si>
  <si>
    <t>HOOTER_FIELD_4</t>
  </si>
  <si>
    <t>Dedicated Hooter cum strobe for Near TK-15 Activated in Field</t>
  </si>
  <si>
    <t>PLC.SFTPLC.HOOTER_FIELD_4</t>
  </si>
  <si>
    <t>HOOTER_FIELD_5</t>
  </si>
  <si>
    <t>Dedicated Hooter cum strobe for Near TK-16 Activated in Field</t>
  </si>
  <si>
    <t>PLC.SFTPLC.HOOTER_FIELD_5</t>
  </si>
  <si>
    <t>HOOTER_FOR_ESD_CR</t>
  </si>
  <si>
    <t>Dedicated Hooter cum strobe for ESD activated in control room</t>
  </si>
  <si>
    <t>PLC.SFTPLC.HOOTER_FOR_ESD_CR</t>
  </si>
  <si>
    <t>HOOTER_FOR_HC_CR</t>
  </si>
  <si>
    <t>Dedicated Hooter cum strobe for HC detector activated in control room</t>
  </si>
  <si>
    <t>HOOTER_FOR_RIMSEAL_CR</t>
  </si>
  <si>
    <t>Dedicated Hooter cum strobe for FAP/Dyke activated in control room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</si>
  <si>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</si>
  <si>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</si>
  <si>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</si>
  <si>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</si>
  <si>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</si>
  <si>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</si>
  <si>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</si>
  <si>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</si>
  <si>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</si>
  <si>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</si>
  <si>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</si>
  <si>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</si>
  <si>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</si>
  <si>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</si>
  <si>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</si>
  <si>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</si>
  <si>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</si>
  <si>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</si>
  <si>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ESD AT GANTRY SUPERVISOR CABIN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</si>
  <si>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</si>
  <si>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</si>
  <si>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</si>
  <si>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</si>
  <si>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</si>
  <si>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PLC.TASPLC.ALL_TLF_PUMP_STOPPED</t>
  </si>
  <si>
    <t>PLC.TASPLC.ALL_TANKS_IN_DORMANT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</si>
  <si>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</si>
  <si>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</si>
  <si>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</si>
  <si>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</si>
  <si>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PLC.TASPLC.ALL_DISPATCH_TANKS_IN_DORMANT</t>
  </si>
  <si>
    <t>ESD-02</t>
  </si>
  <si>
    <t>ESD AT CONTROL ROOM</t>
  </si>
  <si>
    <t>ESD.ESD-02.ESD_STATUS</t>
  </si>
  <si>
    <t>ESD.ESD-02.MAINTENANCE_STATUS</t>
  </si>
  <si>
    <t>ESD-03</t>
  </si>
  <si>
    <t>ESD AT INSIDE PRODUCT PUMP HOUSE</t>
  </si>
  <si>
    <t>ESD.ESD-03.ESD_STATUS</t>
  </si>
  <si>
    <t>ESD.ESD-03.MAINTENANCE_STATUS</t>
  </si>
  <si>
    <t>ESD-04</t>
  </si>
  <si>
    <t>ESD AT SECURITY MAIN GATE</t>
  </si>
  <si>
    <t>ESD.ESD-04.ESD_STATUS</t>
  </si>
  <si>
    <t>ESD.ESD-04.MAINTENANCE_STATUS</t>
  </si>
  <si>
    <t>ESD-05</t>
  </si>
  <si>
    <t>ESD AT BEHIND BAY-08</t>
  </si>
  <si>
    <t>ESD.ESD-05.ESD_STATUS</t>
  </si>
  <si>
    <t>ESD.ESD-05.MAINTENANCE_STATUS</t>
  </si>
  <si>
    <t>ESD-06</t>
  </si>
  <si>
    <t>ESD AT IN FRONT OF PUMP HOUSE</t>
  </si>
  <si>
    <t>ESD.ESD-06.ESD_STATUS</t>
  </si>
  <si>
    <t>ESD.ESD-06.MAINTENANCE_STATUS</t>
  </si>
  <si>
    <t>ESD-07</t>
  </si>
  <si>
    <t>ESD AT NEAR TANK 04</t>
  </si>
  <si>
    <t>ESD.ESD-07.ESD_STATUS</t>
  </si>
  <si>
    <t>ESD.ESD-07.MAINTENANCE_STATUS</t>
  </si>
  <si>
    <t>ESD-08</t>
  </si>
  <si>
    <t>ESD AT NEAR TANK 28</t>
  </si>
  <si>
    <t>ESD.ESD-08.ESD_STATUS</t>
  </si>
  <si>
    <t>ESD.ESD-08.MAINTENANCE_STATUS</t>
  </si>
  <si>
    <t>ESD-09</t>
  </si>
  <si>
    <t>ESD AT NEAR TANK 17</t>
  </si>
  <si>
    <t>ESD.ESD-09.ESD_STATUS</t>
  </si>
  <si>
    <t>ESD.ESD-09.MAINTENANCE_STATUS</t>
  </si>
  <si>
    <t>ESD-10</t>
  </si>
  <si>
    <t>ESD AT MCC ROOM</t>
  </si>
  <si>
    <t>ESD.ESD-10.ESD_STATUS</t>
  </si>
  <si>
    <t>ESD.ESD-10.MAINTENANCE_STATUS</t>
  </si>
  <si>
    <t>ESD-11</t>
  </si>
  <si>
    <t>ESD AT ADMIN BULDING</t>
  </si>
  <si>
    <t>ESD.ESD-11.ESD_STATUS</t>
  </si>
  <si>
    <t>ESD.ESD-11.MAINTENANCE_STATUS</t>
  </si>
  <si>
    <t>ESD-12</t>
  </si>
  <si>
    <t>ESD AT NEAR ERV SHED</t>
  </si>
  <si>
    <t>ESD.ESD-12.ESD_STATUS</t>
  </si>
  <si>
    <t>ESD.ESD-12.MAINTENANCE_STATUS</t>
  </si>
  <si>
    <t>ESD-13</t>
  </si>
  <si>
    <t>PIPELINE ESD</t>
  </si>
  <si>
    <t>ESD FROM PIPE LINE PLC</t>
  </si>
  <si>
    <t>ESD.ESD-13.ESD_STATUS</t>
  </si>
  <si>
    <t>ESD.ESD-13.MAINTENANCE_STATUS</t>
  </si>
  <si>
    <t>ESD-14</t>
  </si>
  <si>
    <t>ESD-SYSTEM</t>
  </si>
  <si>
    <t>CENTRAL ESD</t>
  </si>
  <si>
    <t>ESD.ESD-14.ESD_STATUS</t>
  </si>
  <si>
    <t>ESD-17</t>
  </si>
  <si>
    <t>ESD-RIMSEAL</t>
  </si>
  <si>
    <t>ESD DUE TO RIM SEAL</t>
  </si>
  <si>
    <t>ESD.ESD-17.ESD_STATUS</t>
  </si>
  <si>
    <t>ESD-18</t>
  </si>
  <si>
    <t>ESD AT NEAR TK 15</t>
  </si>
  <si>
    <t>ESD.ESD-18.ESD_STATUS</t>
  </si>
  <si>
    <t>ESD.ESD-18.MAINTENANCE_STATUS</t>
  </si>
  <si>
    <t>ESD-19</t>
  </si>
  <si>
    <t>ESD AT NEAR TK 01</t>
  </si>
  <si>
    <t>ESD.ESD-19.ESD_STATUS</t>
  </si>
  <si>
    <t>ESD.ESD-19.MAINTENANCE_STATUS</t>
  </si>
  <si>
    <t>ESD-BPCL</t>
  </si>
  <si>
    <t>ESD.ESD-BPCL.ESD_STATUS</t>
  </si>
  <si>
    <t>ESD-IOCL</t>
  </si>
  <si>
    <t>ESD.ESD-IOCL.ESD_STATUS</t>
  </si>
  <si>
    <t>ESD-SOFT</t>
  </si>
  <si>
    <t>SOFT FROM OIC</t>
  </si>
  <si>
    <t>ESD.ESD-SOFT.ESD_STATUS</t>
  </si>
  <si>
    <t>ESD-VRU</t>
  </si>
  <si>
    <t>VRU SKID</t>
  </si>
  <si>
    <t>ESD.ESD-VRU.ESD_STATUS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</si>
  <si>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</si>
  <si>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</si>
  <si>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</si>
  <si>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</si>
  <si>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</si>
  <si>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</si>
  <si>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</si>
  <si>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</si>
  <si>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</si>
  <si>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</si>
  <si>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</si>
  <si>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</si>
  <si>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</si>
  <si>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</si>
  <si>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</si>
  <si>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</si>
  <si>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</si>
  <si>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</si>
  <si>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</si>
  <si>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</si>
  <si>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</si>
  <si>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</si>
  <si>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LP-1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</si>
  <si>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</si>
  <si>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</si>
  <si>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</si>
  <si>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</si>
  <si>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</si>
  <si>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</si>
  <si>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</si>
  <si>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</si>
  <si>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</si>
  <si>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</si>
  <si>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</si>
  <si>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</si>
  <si>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</si>
  <si>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</si>
  <si>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</si>
  <si>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</si>
  <si>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</si>
  <si>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</si>
  <si>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</si>
  <si>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</si>
  <si>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</si>
  <si>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LP-2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</si>
  <si>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</si>
  <si>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</si>
  <si>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</si>
  <si>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</si>
  <si>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</si>
  <si>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</si>
  <si>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</si>
  <si>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</si>
  <si>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</si>
  <si>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</si>
  <si>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</si>
  <si>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</si>
  <si>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</si>
  <si>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</si>
  <si>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</si>
  <si>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LP-3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</si>
  <si>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</si>
  <si>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</si>
  <si>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</si>
  <si>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</si>
  <si>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</si>
  <si>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</si>
  <si>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</si>
  <si>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</si>
  <si>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</si>
  <si>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</si>
  <si>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</si>
  <si>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</si>
  <si>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</si>
  <si>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</si>
  <si>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</si>
  <si>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</si>
  <si>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</si>
  <si>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</si>
  <si>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</si>
  <si>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</si>
  <si>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LP-4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</si>
  <si>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</si>
  <si>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</si>
  <si>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</si>
  <si>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</si>
  <si>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</si>
  <si>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</si>
  <si>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</si>
  <si>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</si>
  <si>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</si>
  <si>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</si>
  <si>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</si>
  <si>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</si>
  <si>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</si>
  <si>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</si>
  <si>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</si>
  <si>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LP-5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</si>
  <si>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</si>
  <si>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</si>
  <si>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</si>
  <si>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</si>
  <si>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</si>
  <si>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</si>
  <si>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</si>
  <si>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</si>
  <si>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</si>
  <si>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</si>
  <si>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</si>
  <si>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</si>
  <si>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</si>
  <si>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</si>
  <si>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</si>
  <si>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</si>
  <si>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</si>
  <si>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</si>
  <si>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</si>
  <si>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</si>
  <si>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LP-6</t>
  </si>
  <si>
    <t>BC-503B</t>
  </si>
  <si>
    <t>SmartLoad-Dual.BC-503B.EARTH_ALARM_STATUS</t>
  </si>
  <si>
    <t>SmartLoad-Dual.BC-503B.NO_FLOW_ALARM_STATUS_M3</t>
  </si>
  <si>
    <t>SmartLoad-Dual.BC-503B.NO_FLOW_ALARM_STATUS_M4</t>
  </si>
  <si>
    <t>SmartLoad-Dual.BC-503B.LOW_FLOW_ALARM_STATUS_M3</t>
  </si>
  <si>
    <t>SmartLoad-Dual.BC-503B.LOW_FLOW_ALARM_STATUS_M4</t>
  </si>
  <si>
    <t>SmartLoad-Dual.BC-503B.HIGH_FLOW_ALARM_STATUS_M3</t>
  </si>
  <si>
    <t>SmartLoad-Dual.BC-503B.HIGH_FLOW_ALARM_STATUS_M4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</si>
  <si>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</si>
  <si>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</si>
  <si>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</si>
  <si>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</si>
  <si>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</si>
  <si>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</si>
  <si>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</si>
  <si>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</si>
  <si>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SmartLoad-Dual.BC-503B.NOMINAL_ARM2_COMP2_KFACTOR_CHANGED</t>
  </si>
  <si>
    <t>SmartLoad-Dual.BC-503B.MFM_BCU_QTY_BEYOND_TOLERANCE_LIMIT_STATUS</t>
  </si>
  <si>
    <t>SmartLoad-Dual.BC-503B.BCU_C3_TOTALIZER_MISMATCH_ALARM</t>
  </si>
  <si>
    <t>SmartLoad-Dual.BC-503B.BCU_C4_TOTALIZER_MISMATCH_ALARM</t>
  </si>
  <si>
    <t>LP-7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</si>
  <si>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</si>
  <si>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</si>
  <si>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</si>
  <si>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</si>
  <si>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</si>
  <si>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</si>
  <si>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</si>
  <si>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</si>
  <si>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</si>
  <si>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</si>
  <si>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</si>
  <si>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</si>
  <si>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</si>
  <si>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</si>
  <si>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</si>
  <si>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</si>
  <si>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</si>
  <si>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</si>
  <si>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</si>
  <si>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</si>
  <si>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LP-8</t>
  </si>
  <si>
    <t>BC-504B</t>
  </si>
  <si>
    <t>SmartLoad-Dual.BC-504B.EARTH_ALARM_STATUS</t>
  </si>
  <si>
    <t>SmartLoad-Dual.BC-504B.NO_FLOW_ALARM_STATUS_M3</t>
  </si>
  <si>
    <t>SmartLoad-Dual.BC-504B.NO_FLOW_ALARM_STATUS_M4</t>
  </si>
  <si>
    <t>SmartLoad-Dual.BC-504B.LOW_FLOW_ALARM_STATUS_M3</t>
  </si>
  <si>
    <t>SmartLoad-Dual.BC-504B.LOW_FLOW_ALARM_STATUS_M4</t>
  </si>
  <si>
    <t>SmartLoad-Dual.BC-504B.HIGH_FLOW_ALARM_STATUS_M3</t>
  </si>
  <si>
    <t>SmartLoad-Dual.BC-504B.HIGH_FLOW_ALARM_STATUS_M4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</si>
  <si>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</si>
  <si>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</si>
  <si>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</si>
  <si>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</si>
  <si>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</si>
  <si>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</si>
  <si>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</si>
  <si>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</si>
  <si>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SmartLoad-Dual.BC-504B.NOMINAL_ARM2_COMP2_KFACTOR_CHANGED</t>
  </si>
  <si>
    <t>SmartLoad-Dual.BC-504B.MFM_BCU_QTY_BEYOND_TOLERANCE_LIMIT_STATUS</t>
  </si>
  <si>
    <t>SmartLoad-Dual.BC-504B.BCU_C3_TOTALIZER_MISMATCH_ALARM</t>
  </si>
  <si>
    <t>SmartLoad-Dual.BC-504B.BCU_C4_TOTALIZER_MISMATCH_ALARM</t>
  </si>
  <si>
    <t>LP-9</t>
  </si>
  <si>
    <t>BC-505A</t>
  </si>
  <si>
    <t>SmartLoad-Dual.BC-505A.EARTH_ALARM_STATUS</t>
  </si>
  <si>
    <t>SmartLoad-Dual.BC-505A.NO_FLOW_ALARM_STATUS_M1</t>
  </si>
  <si>
    <t>SmartLoad-Dual.BC-505A.LOW_FLOW_ALARM_STATUS_M1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</si>
  <si>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</si>
  <si>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</si>
  <si>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</si>
  <si>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</si>
  <si>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</si>
  <si>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</si>
  <si>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</si>
  <si>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</si>
  <si>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</si>
  <si>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SmartLoad-Dual.BC-505A.MFM_BCU_QTY_BEYOND_TOLERANCE_LIMIT_STATUS</t>
  </si>
  <si>
    <t>SmartLoad-Dual.BC-505A.BCU_C1_TOTALIZER_MISMATCH_ALARM</t>
  </si>
  <si>
    <t>LP-10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</si>
  <si>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</si>
  <si>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</si>
  <si>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</si>
  <si>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</si>
  <si>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</si>
  <si>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</si>
  <si>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</si>
  <si>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</si>
  <si>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</si>
  <si>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</si>
  <si>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</si>
  <si>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</si>
  <si>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</si>
  <si>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</si>
  <si>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</si>
  <si>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LP-11</t>
  </si>
  <si>
    <t>BC-506A</t>
  </si>
  <si>
    <t>SmartLoad-Dual.BC-506A.EARTH_ALARM_STATUS</t>
  </si>
  <si>
    <t>SmartLoad-Dual.BC-506A.NO_FLOW_ALARM_STATUS_M1</t>
  </si>
  <si>
    <t>SmartLoad-Dual.BC-506A.LOW_FLOW_ALARM_STATUS_M1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</si>
  <si>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</si>
  <si>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</si>
  <si>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</si>
  <si>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</si>
  <si>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</si>
  <si>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</si>
  <si>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</si>
  <si>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</si>
  <si>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</si>
  <si>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SmartLoad-Dual.BC-506A.MFM_BCU_QTY_BEYOND_TOLERANCE_LIMIT_STATUS</t>
  </si>
  <si>
    <t>SmartLoad-Dual.BC-506A.BCU_C1_TOTALIZER_MISMATCH_ALARM</t>
  </si>
  <si>
    <t>LP-12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</si>
  <si>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</si>
  <si>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</si>
  <si>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</si>
  <si>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</si>
  <si>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</si>
  <si>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</si>
  <si>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</si>
  <si>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</si>
  <si>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</si>
  <si>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</si>
  <si>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</si>
  <si>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</si>
  <si>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</si>
  <si>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SmartLoad-Dual.BC-506B.MFM_BCU_QTY_BEYOND_TOLERANCE_LIMIT_STATUS</t>
  </si>
  <si>
    <t>SmartLoad-Dual.BC-506B.BCU_C3_TOTALIZER_MISMATCH_ALARM</t>
  </si>
  <si>
    <t>LP-13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</si>
  <si>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</si>
  <si>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</si>
  <si>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</si>
  <si>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</si>
  <si>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</si>
  <si>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</si>
  <si>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</si>
  <si>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SmartLoad-Dual.BC-507A.HIGH_FLOW_ALARM_STATUS_M2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</si>
  <si>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</si>
  <si>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</si>
  <si>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</si>
  <si>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</si>
  <si>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</si>
  <si>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</si>
  <si>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</si>
  <si>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</si>
  <si>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</si>
  <si>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</si>
  <si>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</si>
  <si>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</si>
  <si>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LP-14</t>
  </si>
  <si>
    <t>BC-507B</t>
  </si>
  <si>
    <t>SmartLoad-Dual.BC-507B.EARTH_ALARM_STATUS</t>
  </si>
  <si>
    <t>SmartLoad-Dual.BC-507B.NO_FLOW_ALARM_STATUS_M3</t>
  </si>
  <si>
    <t>SmartLoad-Dual.BC-507B.NO_FLOW_ALARM_STATUS_M4</t>
  </si>
  <si>
    <t>SmartLoad-Dual.BC-507B.LOW_FLOW_ALARM_STATUS_M3</t>
  </si>
  <si>
    <t>SmartLoad-Dual.BC-507B.LOW_FLOW_ALARM_STATUS_M4</t>
  </si>
  <si>
    <t>SmartLoad-Dual.BC-507B.HIGH_FLOW_ALARM_STATUS_M3</t>
  </si>
  <si>
    <t>SmartLoad-Dual.BC-507B.HIGH_FLOW_ALARM_STATUS_M4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</si>
  <si>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</si>
  <si>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</si>
  <si>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</si>
  <si>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</si>
  <si>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</si>
  <si>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</si>
  <si>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</si>
  <si>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</si>
  <si>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SmartLoad-Dual.BC-507B.NOMINAL_ARM2_COMP2_KFACTOR_CHANGED</t>
  </si>
  <si>
    <t>SmartLoad-Dual.BC-507B.MFM_BCU_QTY_BEYOND_TOLERANCE_LIMIT_STATUS</t>
  </si>
  <si>
    <t>SmartLoad-Dual.BC-507B.BCU_C3_TOTALIZER_MISMATCH_ALARM</t>
  </si>
  <si>
    <t>SmartLoad-Dual.BC-507B.BCU_C4_TOTALIZER_MISMATCH_ALARM</t>
  </si>
  <si>
    <t>LP-15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</si>
  <si>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</si>
  <si>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</si>
  <si>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</si>
  <si>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</si>
  <si>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</si>
  <si>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</si>
  <si>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</si>
  <si>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</si>
  <si>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</si>
  <si>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</si>
  <si>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</si>
  <si>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</si>
  <si>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</si>
  <si>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SmartLoad-Dual.BC-508A.MFM_BCU_QTY_BEYOND_TOLERANCE_LIMIT_STATUS</t>
  </si>
  <si>
    <t>SmartLoad-Dual.BC-508A.BCU_C1_TOTALIZER_MISMATCH_ALARM</t>
  </si>
  <si>
    <t>LP-16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</si>
  <si>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</si>
  <si>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</si>
  <si>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</si>
  <si>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</si>
  <si>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</si>
  <si>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</si>
  <si>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</si>
  <si>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</si>
  <si>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</si>
  <si>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</si>
  <si>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</si>
  <si>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</si>
  <si>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</si>
  <si>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</si>
  <si>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</si>
  <si>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 xml:space="preserve"> Permissive override ID</t>
  </si>
  <si>
    <t xml:space="preserve">OVERRIDE STATUS </t>
  </si>
  <si>
    <t>TLF Product Pumps Stopped</t>
  </si>
  <si>
    <t>Gantry Permissive override</t>
  </si>
  <si>
    <t>SmartLoad-Dual.BC-01A.PERMISSIVE_FROM_DNC_STATUS</t>
  </si>
  <si>
    <t>Cause ID</t>
  </si>
  <si>
    <t>Cause</t>
  </si>
  <si>
    <t>Cause Normal value</t>
  </si>
  <si>
    <t>TLF Gantry Permissive Power Off Normal value</t>
  </si>
  <si>
    <t>All TLF Product Pumps Stopped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</si>
  <si>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</si>
  <si>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</si>
  <si>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</si>
  <si>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</si>
  <si>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</si>
  <si>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</si>
  <si>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</si>
  <si>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</si>
  <si>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</si>
  <si>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</si>
  <si>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</si>
  <si>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</si>
  <si>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</si>
  <si>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</si>
  <si>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</si>
  <si>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</si>
  <si>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</si>
  <si>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</si>
  <si>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</si>
  <si>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</si>
  <si>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</si>
  <si>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</si>
  <si>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</si>
  <si>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</si>
  <si>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</si>
  <si>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</si>
  <si>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</si>
  <si>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</si>
  <si>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PUMP.FWP-01.REMOTE_STATUS</t>
  </si>
  <si>
    <t>PUMP.FWP-02.REMOTE_STATUS</t>
  </si>
  <si>
    <t>PUMP.FWP-03.REMOTE_STATUS</t>
  </si>
  <si>
    <t>PressureTransmitter.PT-01.PRESSURE</t>
  </si>
  <si>
    <t>PressureTransmitter.PT-03.PRESSURE</t>
  </si>
  <si>
    <t>PLC.TASPLC.TOV_ON_SCREEN</t>
  </si>
  <si>
    <t>PUMP.JCY-01.REMOTE_STATUS</t>
  </si>
  <si>
    <t>PUMP.JCY-02.REMOTE_STATUS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</si>
</sst>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vertical="top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right" vertical="top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top"/>
    </xf>
    <xf borderId="1" fillId="4" fontId="2" numFmtId="0" xfId="0" applyAlignment="1" applyBorder="1" applyFont="1">
      <alignment shrinkToFit="0" vertical="bottom" wrapText="1"/>
    </xf>
    <xf borderId="2" fillId="4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Font="1"/>
    <xf borderId="2" fillId="2" fontId="1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1" fillId="0" fontId="1" numFmtId="0" xfId="0" applyAlignment="1" applyBorder="1" applyFont="1">
      <alignment shrinkToFit="0" vertical="bottom" wrapText="1"/>
    </xf>
    <xf borderId="6" fillId="3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4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" fillId="5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/>
    </xf>
    <xf borderId="1" fillId="5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0" fillId="6" fontId="4" numFmtId="0" xfId="0" applyAlignment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top"/>
    </xf>
    <xf borderId="6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vertical="top"/>
    </xf>
    <xf borderId="3" fillId="0" fontId="2" numFmtId="0" xfId="0" applyBorder="1" applyFont="1"/>
    <xf borderId="1" fillId="0" fontId="2" numFmtId="0" xfId="0" applyAlignment="1" applyBorder="1" applyFont="1">
      <alignment horizontal="right" vertical="bottom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8.0"/>
    <col customWidth="1" min="3" max="3" width="14.75"/>
    <col customWidth="1" min="4" max="4" width="6.88"/>
    <col customWidth="1" min="5" max="5" width="9.0"/>
    <col customWidth="1" min="6" max="6" width="9.25"/>
    <col customWidth="1" min="7" max="7" width="27.25"/>
    <col customWidth="1" min="8" max="8" width="11.5"/>
    <col customWidth="1" min="9" max="9" width="9.0"/>
    <col customWidth="1" min="10" max="10" width="11.38"/>
    <col customWidth="1" min="11" max="11" width="11.25"/>
    <col customWidth="1" min="12" max="12" width="11.5"/>
    <col customWidth="1" min="13" max="13" width="9.0"/>
    <col customWidth="1" min="14" max="14" width="11.38"/>
    <col customWidth="1" min="15" max="15" width="16.0"/>
    <col customWidth="1" min="16" max="16" width="11.5"/>
    <col customWidth="1" min="17" max="17" width="9.0"/>
    <col customWidth="1" min="18" max="18" width="11.75"/>
    <col customWidth="1" min="19" max="19" width="21.13"/>
    <col customWidth="1" min="20" max="20" width="11.5"/>
    <col customWidth="1" min="21" max="21" width="9.0"/>
    <col customWidth="1" min="22" max="22" width="11.75"/>
    <col customWidth="1" min="23" max="23" width="28.0"/>
    <col customWidth="1" min="24" max="24" width="31.88"/>
    <col customWidth="1" min="25" max="25" width="9.0"/>
    <col customWidth="1" min="26" max="26" width="11.75"/>
    <col customWidth="1" min="27" max="27" width="26.13"/>
    <col customWidth="1" min="28" max="28" width="11.38"/>
    <col customWidth="1" min="29" max="29" width="9.0"/>
    <col customWidth="1" min="30" max="30" width="11.75"/>
    <col customWidth="1" min="31" max="31" width="33.5"/>
    <col customWidth="1" min="32" max="32" width="11.5"/>
    <col customWidth="1" min="33" max="33" width="9.0"/>
    <col customWidth="1" min="34" max="34" width="11.38"/>
    <col customWidth="1" min="35" max="35" width="34.13"/>
    <col customWidth="1" min="36" max="36" width="11.5"/>
    <col customWidth="1" min="37" max="37" width="9.0"/>
    <col customWidth="1" min="38" max="38" width="11.38"/>
    <col customWidth="1" min="39" max="39" width="37.5"/>
    <col customWidth="1" min="40" max="40" width="11.5"/>
    <col customWidth="1" min="41" max="41" width="9.0"/>
    <col customWidth="1" min="42" max="42" width="11.38"/>
    <col customWidth="1" min="43" max="43" width="33.5"/>
    <col customWidth="1" min="44" max="44" width="11.5"/>
    <col customWidth="1" min="45" max="45" width="9.0"/>
    <col customWidth="1" min="46" max="46" width="11.38"/>
    <col customWidth="1" min="47" max="47" width="34.13"/>
    <col customWidth="1" min="48" max="48" width="11.5"/>
    <col customWidth="1" min="49" max="49" width="9.0"/>
    <col customWidth="1" min="50" max="50" width="11.38"/>
    <col customWidth="1" min="51" max="51" width="37.5"/>
    <col customWidth="1" min="52" max="52" width="11.5"/>
    <col customWidth="1" min="53" max="53" width="9.0"/>
    <col customWidth="1" min="54" max="54" width="11.38"/>
    <col customWidth="1" min="55" max="55" width="25.88"/>
    <col customWidth="1" min="56" max="56" width="11.5"/>
    <col customWidth="1" min="57" max="57" width="9.38"/>
    <col customWidth="1" min="58" max="58" width="11.38"/>
    <col customWidth="1" min="59" max="59" width="29.38"/>
    <col customWidth="1" min="60" max="60" width="11.5"/>
    <col customWidth="1" min="61" max="61" width="9.38"/>
    <col customWidth="1" min="62" max="62" width="16.0"/>
    <col customWidth="1" min="63" max="63" width="12.25"/>
    <col customWidth="1" min="64" max="64" width="11.5"/>
    <col customWidth="1" min="65" max="65" width="9.0"/>
    <col customWidth="1" min="66" max="66" width="11.38"/>
    <col customWidth="1" min="67" max="67" width="11.13"/>
    <col customWidth="1" min="68" max="68" width="11.5"/>
    <col customWidth="1" min="69" max="69" width="9.0"/>
    <col customWidth="1" min="70" max="70" width="11.38"/>
    <col customWidth="1" min="71" max="71" width="25.88"/>
    <col customWidth="1" min="72" max="72" width="12.25"/>
    <col customWidth="1" min="73" max="73" width="9.38"/>
    <col customWidth="1" min="74" max="74" width="11.38"/>
    <col customWidth="1" min="75" max="75" width="29.38"/>
    <col customWidth="1" min="76" max="76" width="11.5"/>
    <col customWidth="1" min="77" max="77" width="9.38"/>
    <col customWidth="1" min="78" max="78" width="15.88"/>
    <col customWidth="1" min="79" max="79" width="12.25"/>
    <col customWidth="1" min="80" max="80" width="11.5"/>
    <col customWidth="1" min="81" max="81" width="9.0"/>
    <col customWidth="1" min="82" max="82" width="11.38"/>
    <col customWidth="1" min="83" max="83" width="11.25"/>
    <col customWidth="1" min="84" max="84" width="11.5"/>
    <col customWidth="1" min="85" max="85" width="9.0"/>
    <col customWidth="1" min="86" max="86" width="11.38"/>
    <col customWidth="1" min="87" max="87" width="24.63"/>
    <col customWidth="1" min="88" max="88" width="11.5"/>
    <col customWidth="1" min="89" max="89" width="9.0"/>
    <col customWidth="1" min="90" max="90" width="11.38"/>
    <col customWidth="1" min="93" max="93" width="9.0"/>
    <col customWidth="1" min="94" max="94" width="11.38"/>
    <col customWidth="1" min="95" max="95" width="11.63"/>
    <col customWidth="1" min="96" max="96" width="11.5"/>
    <col customWidth="1" min="97" max="97" width="9.0"/>
    <col customWidth="1" min="98" max="98" width="11.38"/>
    <col customWidth="1" min="99" max="99" width="24.63"/>
    <col customWidth="1" min="100" max="100" width="11.5"/>
    <col customWidth="1" min="101" max="101" width="9.0"/>
    <col customWidth="1" min="102" max="102" width="11.38"/>
    <col customWidth="1" min="103" max="103" width="25.5"/>
    <col customWidth="1" min="104" max="104" width="11.38"/>
    <col customWidth="1" min="105" max="105" width="9.0"/>
    <col customWidth="1" min="106" max="106" width="11.38"/>
    <col customWidth="1" min="107" max="107" width="12.63"/>
    <col customWidth="1" min="108" max="108" width="11.5"/>
    <col customWidth="1" min="109" max="109" width="9.0"/>
    <col customWidth="1" min="110" max="111" width="11.38"/>
    <col customWidth="1" min="112" max="112" width="11.5"/>
    <col customWidth="1" min="113" max="113" width="9.0"/>
    <col customWidth="1" min="114" max="114" width="11.38"/>
    <col customWidth="1" min="115" max="115" width="11.25"/>
    <col customWidth="1" min="116" max="116" width="11.5"/>
    <col customWidth="1" min="117" max="117" width="9.0"/>
    <col customWidth="1" min="118" max="118" width="11.38"/>
    <col customWidth="1" min="119" max="119" width="12.75"/>
    <col customWidth="1" min="120" max="120" width="11.5"/>
    <col customWidth="1" min="121" max="121" width="9.0"/>
    <col customWidth="1" min="122" max="122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8</v>
      </c>
      <c r="N1" s="2" t="s">
        <v>9</v>
      </c>
      <c r="O1" s="2" t="s">
        <v>11</v>
      </c>
      <c r="P1" s="2" t="s">
        <v>7</v>
      </c>
      <c r="Q1" s="2" t="s">
        <v>8</v>
      </c>
      <c r="R1" s="2" t="s">
        <v>9</v>
      </c>
      <c r="S1" s="2" t="s">
        <v>12</v>
      </c>
      <c r="T1" s="2" t="s">
        <v>13</v>
      </c>
      <c r="U1" s="2" t="s">
        <v>8</v>
      </c>
      <c r="V1" s="2" t="s">
        <v>9</v>
      </c>
      <c r="W1" s="3" t="s">
        <v>14</v>
      </c>
      <c r="X1" s="4" t="s">
        <v>15</v>
      </c>
      <c r="Y1" s="2" t="s">
        <v>8</v>
      </c>
      <c r="Z1" s="2" t="s">
        <v>9</v>
      </c>
      <c r="AA1" s="2" t="s">
        <v>16</v>
      </c>
      <c r="AB1" s="2" t="s">
        <v>17</v>
      </c>
      <c r="AC1" s="2" t="s">
        <v>8</v>
      </c>
      <c r="AD1" s="2" t="s">
        <v>9</v>
      </c>
      <c r="AE1" s="2" t="s">
        <v>18</v>
      </c>
      <c r="AF1" s="2" t="s">
        <v>19</v>
      </c>
      <c r="AG1" s="2" t="s">
        <v>8</v>
      </c>
      <c r="AH1" s="2" t="s">
        <v>9</v>
      </c>
      <c r="AI1" s="2" t="s">
        <v>20</v>
      </c>
      <c r="AJ1" s="2" t="s">
        <v>21</v>
      </c>
      <c r="AK1" s="2" t="s">
        <v>8</v>
      </c>
      <c r="AL1" s="2" t="s">
        <v>9</v>
      </c>
      <c r="AM1" s="2" t="s">
        <v>22</v>
      </c>
      <c r="AN1" s="2" t="s">
        <v>23</v>
      </c>
      <c r="AO1" s="2" t="s">
        <v>8</v>
      </c>
      <c r="AP1" s="2" t="s">
        <v>9</v>
      </c>
      <c r="AQ1" s="2" t="s">
        <v>24</v>
      </c>
      <c r="AR1" s="2" t="s">
        <v>25</v>
      </c>
      <c r="AS1" s="2" t="s">
        <v>8</v>
      </c>
      <c r="AT1" s="2" t="s">
        <v>9</v>
      </c>
      <c r="AU1" s="2" t="s">
        <v>26</v>
      </c>
      <c r="AV1" s="2" t="s">
        <v>27</v>
      </c>
      <c r="AW1" s="2" t="s">
        <v>8</v>
      </c>
      <c r="AX1" s="2" t="s">
        <v>9</v>
      </c>
      <c r="AY1" s="2" t="s">
        <v>28</v>
      </c>
      <c r="AZ1" s="2" t="s">
        <v>29</v>
      </c>
      <c r="BA1" s="2" t="s">
        <v>8</v>
      </c>
      <c r="BB1" s="2" t="s">
        <v>9</v>
      </c>
      <c r="BC1" s="2" t="s">
        <v>30</v>
      </c>
      <c r="BD1" s="2" t="s">
        <v>7</v>
      </c>
      <c r="BE1" s="2" t="s">
        <v>8</v>
      </c>
      <c r="BF1" s="2" t="s">
        <v>9</v>
      </c>
      <c r="BG1" s="2" t="s">
        <v>31</v>
      </c>
      <c r="BH1" s="2" t="s">
        <v>13</v>
      </c>
      <c r="BI1" s="2" t="s">
        <v>8</v>
      </c>
      <c r="BJ1" s="2" t="s">
        <v>9</v>
      </c>
      <c r="BK1" s="2" t="s">
        <v>32</v>
      </c>
      <c r="BL1" s="2" t="s">
        <v>7</v>
      </c>
      <c r="BM1" s="2" t="s">
        <v>8</v>
      </c>
      <c r="BN1" s="2" t="s">
        <v>9</v>
      </c>
      <c r="BO1" s="2" t="s">
        <v>33</v>
      </c>
      <c r="BP1" s="2" t="s">
        <v>34</v>
      </c>
      <c r="BQ1" s="2" t="s">
        <v>8</v>
      </c>
      <c r="BR1" s="2" t="s">
        <v>9</v>
      </c>
      <c r="BS1" s="2" t="s">
        <v>35</v>
      </c>
      <c r="BT1" s="2" t="s">
        <v>36</v>
      </c>
      <c r="BU1" s="2" t="s">
        <v>8</v>
      </c>
      <c r="BV1" s="2" t="s">
        <v>9</v>
      </c>
      <c r="BW1" s="2" t="s">
        <v>37</v>
      </c>
      <c r="BX1" s="2" t="s">
        <v>38</v>
      </c>
      <c r="BY1" s="2" t="s">
        <v>8</v>
      </c>
      <c r="BZ1" s="2" t="s">
        <v>9</v>
      </c>
      <c r="CA1" s="2" t="s">
        <v>39</v>
      </c>
      <c r="CB1" s="2" t="s">
        <v>7</v>
      </c>
      <c r="CC1" s="2" t="s">
        <v>8</v>
      </c>
      <c r="CD1" s="2" t="s">
        <v>9</v>
      </c>
      <c r="CE1" s="2" t="s">
        <v>40</v>
      </c>
      <c r="CF1" s="2" t="s">
        <v>7</v>
      </c>
      <c r="CG1" s="2" t="s">
        <v>8</v>
      </c>
      <c r="CH1" s="2" t="s">
        <v>9</v>
      </c>
      <c r="CI1" s="2" t="s">
        <v>41</v>
      </c>
      <c r="CJ1" s="2" t="s">
        <v>13</v>
      </c>
      <c r="CK1" s="2" t="s">
        <v>8</v>
      </c>
      <c r="CL1" s="2" t="s">
        <v>9</v>
      </c>
      <c r="CM1" s="5" t="s">
        <v>42</v>
      </c>
      <c r="CN1" s="6" t="s">
        <v>13</v>
      </c>
      <c r="CO1" s="2" t="s">
        <v>8</v>
      </c>
      <c r="CP1" s="2" t="s">
        <v>9</v>
      </c>
      <c r="CQ1" s="2" t="s">
        <v>43</v>
      </c>
      <c r="CR1" s="2" t="s">
        <v>13</v>
      </c>
      <c r="CS1" s="2" t="s">
        <v>8</v>
      </c>
      <c r="CT1" s="2" t="s">
        <v>9</v>
      </c>
      <c r="CU1" s="2" t="s">
        <v>44</v>
      </c>
      <c r="CV1" s="2" t="s">
        <v>13</v>
      </c>
      <c r="CW1" s="2" t="s">
        <v>8</v>
      </c>
      <c r="CX1" s="2" t="s">
        <v>9</v>
      </c>
      <c r="CY1" s="6" t="s">
        <v>45</v>
      </c>
      <c r="CZ1" s="6" t="s">
        <v>13</v>
      </c>
      <c r="DA1" s="2" t="s">
        <v>8</v>
      </c>
      <c r="DB1" s="2" t="s">
        <v>9</v>
      </c>
      <c r="DC1" s="2" t="s">
        <v>46</v>
      </c>
      <c r="DD1" s="2" t="s">
        <v>13</v>
      </c>
      <c r="DE1" s="2" t="s">
        <v>8</v>
      </c>
      <c r="DF1" s="2" t="s">
        <v>9</v>
      </c>
      <c r="DG1" s="5" t="s">
        <v>47</v>
      </c>
      <c r="DH1" s="2" t="s">
        <v>13</v>
      </c>
      <c r="DI1" s="2" t="s">
        <v>8</v>
      </c>
      <c r="DJ1" s="2" t="s">
        <v>9</v>
      </c>
      <c r="DK1" s="2" t="s">
        <v>48</v>
      </c>
      <c r="DL1" s="2" t="s">
        <v>13</v>
      </c>
      <c r="DM1" s="2" t="s">
        <v>8</v>
      </c>
      <c r="DN1" s="2" t="s">
        <v>9</v>
      </c>
      <c r="DO1" s="2" t="s">
        <v>49</v>
      </c>
      <c r="DP1" s="2" t="s">
        <v>13</v>
      </c>
      <c r="DQ1" s="2" t="s">
        <v>8</v>
      </c>
      <c r="DR1" s="2" t="s">
        <v>9</v>
      </c>
    </row>
    <row r="2">
      <c r="A2" s="7">
        <v>1334.0</v>
      </c>
      <c r="B2" s="8" t="s">
        <v>50</v>
      </c>
      <c r="C2" s="9" t="str">
        <f t="shared" ref="C2:C28" si="1">CONCATENATE(D2,"_",F2)</f>
        <v>TK-01_BS VI MS</v>
      </c>
      <c r="D2" s="10" t="s">
        <v>51</v>
      </c>
      <c r="E2" s="9"/>
      <c r="F2" s="11" t="s">
        <v>52</v>
      </c>
      <c r="G2" s="12" t="s">
        <v>53</v>
      </c>
      <c r="H2" s="7">
        <v>0.0</v>
      </c>
      <c r="I2" s="9"/>
      <c r="J2" s="9"/>
      <c r="K2" s="9"/>
      <c r="L2" s="9"/>
      <c r="M2" s="9"/>
      <c r="N2" s="9"/>
      <c r="O2" s="13" t="s">
        <v>54</v>
      </c>
      <c r="P2" s="9"/>
      <c r="Q2" s="9" t="s">
        <v>51</v>
      </c>
      <c r="R2" s="14" t="s">
        <v>55</v>
      </c>
      <c r="S2" s="13" t="s">
        <v>56</v>
      </c>
      <c r="T2" s="15">
        <v>0.0</v>
      </c>
      <c r="U2" s="9" t="s">
        <v>51</v>
      </c>
      <c r="V2" s="14" t="s">
        <v>55</v>
      </c>
      <c r="W2" s="13" t="s">
        <v>57</v>
      </c>
      <c r="X2" s="14">
        <v>0.0</v>
      </c>
      <c r="Y2" s="14" t="s">
        <v>51</v>
      </c>
      <c r="Z2" s="14" t="s">
        <v>55</v>
      </c>
      <c r="AA2" s="13" t="s">
        <v>58</v>
      </c>
      <c r="AB2" s="15">
        <v>0.0</v>
      </c>
      <c r="AC2" s="9" t="s">
        <v>51</v>
      </c>
      <c r="AD2" s="14" t="s">
        <v>55</v>
      </c>
      <c r="AE2" s="13" t="s">
        <v>59</v>
      </c>
      <c r="AF2" s="15">
        <v>0.0</v>
      </c>
      <c r="AG2" s="9" t="s">
        <v>60</v>
      </c>
      <c r="AH2" s="9" t="s">
        <v>61</v>
      </c>
      <c r="AI2" s="13" t="s">
        <v>62</v>
      </c>
      <c r="AJ2" s="15">
        <v>0.0</v>
      </c>
      <c r="AK2" s="9" t="s">
        <v>60</v>
      </c>
      <c r="AL2" s="9" t="s">
        <v>61</v>
      </c>
      <c r="AM2" s="13" t="s">
        <v>63</v>
      </c>
      <c r="AN2" s="15">
        <v>0.0</v>
      </c>
      <c r="AO2" s="9" t="s">
        <v>60</v>
      </c>
      <c r="AP2" s="9" t="s">
        <v>61</v>
      </c>
      <c r="AQ2" s="13" t="s">
        <v>64</v>
      </c>
      <c r="AR2" s="15">
        <v>0.0</v>
      </c>
      <c r="AS2" s="9" t="s">
        <v>65</v>
      </c>
      <c r="AT2" s="9" t="s">
        <v>66</v>
      </c>
      <c r="AU2" s="13" t="s">
        <v>67</v>
      </c>
      <c r="AV2" s="15">
        <v>0.0</v>
      </c>
      <c r="AW2" s="9" t="s">
        <v>65</v>
      </c>
      <c r="AX2" s="9" t="s">
        <v>66</v>
      </c>
      <c r="AY2" s="13" t="s">
        <v>68</v>
      </c>
      <c r="AZ2" s="15">
        <v>0.0</v>
      </c>
      <c r="BA2" s="9" t="s">
        <v>65</v>
      </c>
      <c r="BB2" s="9" t="s">
        <v>66</v>
      </c>
      <c r="BC2" s="13" t="s">
        <v>69</v>
      </c>
      <c r="BD2" s="15">
        <v>0.0</v>
      </c>
      <c r="BE2" s="9" t="s">
        <v>70</v>
      </c>
      <c r="BF2" s="16" t="s">
        <v>71</v>
      </c>
      <c r="BG2" s="13" t="s">
        <v>72</v>
      </c>
      <c r="BH2" s="15">
        <v>0.0</v>
      </c>
      <c r="BI2" s="9" t="s">
        <v>70</v>
      </c>
      <c r="BJ2" s="16" t="s">
        <v>73</v>
      </c>
      <c r="BK2" s="9"/>
      <c r="BL2" s="9"/>
      <c r="BM2" s="9"/>
      <c r="BN2" s="9"/>
      <c r="BO2" s="9"/>
      <c r="BP2" s="9"/>
      <c r="BQ2" s="9"/>
      <c r="BR2" s="9"/>
      <c r="BS2" s="17" t="s">
        <v>74</v>
      </c>
      <c r="BT2" s="15">
        <v>0.0</v>
      </c>
      <c r="BU2" s="9" t="s">
        <v>75</v>
      </c>
      <c r="BV2" s="16" t="s">
        <v>76</v>
      </c>
      <c r="BW2" s="13" t="s">
        <v>77</v>
      </c>
      <c r="BX2" s="15">
        <v>0.0</v>
      </c>
      <c r="BY2" s="9" t="s">
        <v>75</v>
      </c>
      <c r="BZ2" s="16" t="s">
        <v>78</v>
      </c>
      <c r="CA2" s="9"/>
      <c r="CB2" s="9"/>
      <c r="CC2" s="9"/>
      <c r="CD2" s="9"/>
      <c r="CE2" s="9"/>
      <c r="CF2" s="9"/>
      <c r="CG2" s="9"/>
      <c r="CH2" s="9"/>
      <c r="CI2" s="18" t="s">
        <v>79</v>
      </c>
      <c r="CJ2" s="15">
        <v>1.0</v>
      </c>
      <c r="CK2" s="9" t="s">
        <v>80</v>
      </c>
      <c r="CL2" s="9" t="s">
        <v>81</v>
      </c>
      <c r="CM2" s="18" t="s">
        <v>82</v>
      </c>
      <c r="CN2" s="19">
        <v>0.0</v>
      </c>
      <c r="CO2" s="9" t="s">
        <v>80</v>
      </c>
      <c r="CP2" s="9" t="s">
        <v>81</v>
      </c>
      <c r="CQ2" s="9"/>
      <c r="CR2" s="9"/>
      <c r="CS2" s="9"/>
      <c r="CT2" s="9"/>
      <c r="CU2" s="18" t="s">
        <v>83</v>
      </c>
      <c r="CV2" s="15">
        <v>1.0</v>
      </c>
      <c r="CW2" s="9" t="str">
        <f t="shared" ref="CW2:CW28" si="2">MID(CU2,5,7)</f>
        <v>MOV-002</v>
      </c>
      <c r="CX2" s="9" t="s">
        <v>84</v>
      </c>
      <c r="CY2" s="18" t="s">
        <v>85</v>
      </c>
      <c r="CZ2" s="19">
        <v>0.0</v>
      </c>
      <c r="DA2" s="9" t="str">
        <f t="shared" ref="DA2:DA28" si="3">MID(CY2,5,7)</f>
        <v>MOV-002</v>
      </c>
      <c r="DB2" s="9" t="s">
        <v>84</v>
      </c>
      <c r="DC2" s="18"/>
      <c r="DD2" s="9"/>
      <c r="DE2" s="9"/>
      <c r="DF2" s="9"/>
      <c r="DG2" s="18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</row>
    <row r="3">
      <c r="A3" s="7">
        <v>1334.0</v>
      </c>
      <c r="B3" s="8" t="s">
        <v>50</v>
      </c>
      <c r="C3" s="9" t="str">
        <f t="shared" si="1"/>
        <v>TK-02_BS VI MS</v>
      </c>
      <c r="D3" s="20" t="s">
        <v>86</v>
      </c>
      <c r="E3" s="9"/>
      <c r="F3" s="21" t="s">
        <v>52</v>
      </c>
      <c r="G3" s="12" t="s">
        <v>53</v>
      </c>
      <c r="H3" s="7">
        <v>0.0</v>
      </c>
      <c r="I3" s="9"/>
      <c r="J3" s="9"/>
      <c r="K3" s="9"/>
      <c r="L3" s="9"/>
      <c r="M3" s="9"/>
      <c r="N3" s="9"/>
      <c r="O3" s="13" t="s">
        <v>87</v>
      </c>
      <c r="P3" s="9"/>
      <c r="Q3" s="9" t="s">
        <v>86</v>
      </c>
      <c r="R3" s="14" t="s">
        <v>55</v>
      </c>
      <c r="S3" s="13" t="s">
        <v>88</v>
      </c>
      <c r="T3" s="15">
        <v>0.0</v>
      </c>
      <c r="U3" s="9" t="s">
        <v>86</v>
      </c>
      <c r="V3" s="14" t="s">
        <v>55</v>
      </c>
      <c r="W3" s="13" t="s">
        <v>89</v>
      </c>
      <c r="X3" s="14">
        <v>0.0</v>
      </c>
      <c r="Y3" s="14" t="s">
        <v>86</v>
      </c>
      <c r="Z3" s="14" t="s">
        <v>55</v>
      </c>
      <c r="AA3" s="13" t="s">
        <v>90</v>
      </c>
      <c r="AB3" s="15">
        <v>0.0</v>
      </c>
      <c r="AC3" s="9" t="s">
        <v>86</v>
      </c>
      <c r="AD3" s="14" t="s">
        <v>55</v>
      </c>
      <c r="AE3" s="13" t="s">
        <v>91</v>
      </c>
      <c r="AF3" s="15">
        <v>0.0</v>
      </c>
      <c r="AG3" s="9" t="s">
        <v>92</v>
      </c>
      <c r="AH3" s="9" t="s">
        <v>61</v>
      </c>
      <c r="AI3" s="13" t="s">
        <v>93</v>
      </c>
      <c r="AJ3" s="15">
        <v>0.0</v>
      </c>
      <c r="AK3" s="9" t="s">
        <v>92</v>
      </c>
      <c r="AL3" s="9" t="s">
        <v>61</v>
      </c>
      <c r="AM3" s="13" t="s">
        <v>94</v>
      </c>
      <c r="AN3" s="15">
        <v>0.0</v>
      </c>
      <c r="AO3" s="9" t="s">
        <v>92</v>
      </c>
      <c r="AP3" s="9" t="s">
        <v>61</v>
      </c>
      <c r="AQ3" s="13" t="s">
        <v>95</v>
      </c>
      <c r="AR3" s="15">
        <v>0.0</v>
      </c>
      <c r="AS3" s="9" t="s">
        <v>96</v>
      </c>
      <c r="AT3" s="9" t="s">
        <v>66</v>
      </c>
      <c r="AU3" s="13" t="s">
        <v>97</v>
      </c>
      <c r="AV3" s="15">
        <v>0.0</v>
      </c>
      <c r="AW3" s="9" t="s">
        <v>96</v>
      </c>
      <c r="AX3" s="9" t="s">
        <v>66</v>
      </c>
      <c r="AY3" s="13" t="s">
        <v>98</v>
      </c>
      <c r="AZ3" s="15">
        <v>0.0</v>
      </c>
      <c r="BA3" s="9" t="s">
        <v>96</v>
      </c>
      <c r="BB3" s="9" t="s">
        <v>66</v>
      </c>
      <c r="BC3" s="13" t="s">
        <v>99</v>
      </c>
      <c r="BD3" s="15">
        <v>0.0</v>
      </c>
      <c r="BE3" s="9" t="s">
        <v>100</v>
      </c>
      <c r="BF3" s="16" t="s">
        <v>71</v>
      </c>
      <c r="BG3" s="13" t="s">
        <v>101</v>
      </c>
      <c r="BH3" s="15">
        <v>0.0</v>
      </c>
      <c r="BI3" s="9" t="s">
        <v>100</v>
      </c>
      <c r="BJ3" s="16" t="s">
        <v>73</v>
      </c>
      <c r="BK3" s="9"/>
      <c r="BL3" s="9"/>
      <c r="BM3" s="9"/>
      <c r="BN3" s="9"/>
      <c r="BO3" s="9"/>
      <c r="BP3" s="9"/>
      <c r="BQ3" s="9"/>
      <c r="BR3" s="9"/>
      <c r="BS3" s="13" t="s">
        <v>102</v>
      </c>
      <c r="BT3" s="15">
        <v>0.0</v>
      </c>
      <c r="BU3" s="9" t="s">
        <v>103</v>
      </c>
      <c r="BV3" s="16" t="s">
        <v>76</v>
      </c>
      <c r="BW3" s="13" t="s">
        <v>104</v>
      </c>
      <c r="BX3" s="15">
        <v>0.0</v>
      </c>
      <c r="BY3" s="9" t="s">
        <v>103</v>
      </c>
      <c r="BZ3" s="16" t="s">
        <v>78</v>
      </c>
      <c r="CA3" s="9"/>
      <c r="CB3" s="9"/>
      <c r="CC3" s="9"/>
      <c r="CD3" s="9"/>
      <c r="CE3" s="9"/>
      <c r="CF3" s="9"/>
      <c r="CG3" s="9"/>
      <c r="CH3" s="9"/>
      <c r="CI3" s="22" t="s">
        <v>105</v>
      </c>
      <c r="CJ3" s="15">
        <v>1.0</v>
      </c>
      <c r="CK3" s="9" t="s">
        <v>106</v>
      </c>
      <c r="CL3" s="9" t="s">
        <v>81</v>
      </c>
      <c r="CM3" s="22" t="s">
        <v>107</v>
      </c>
      <c r="CN3" s="19">
        <v>0.0</v>
      </c>
      <c r="CO3" s="9" t="s">
        <v>106</v>
      </c>
      <c r="CP3" s="9" t="s">
        <v>81</v>
      </c>
      <c r="CQ3" s="9"/>
      <c r="CR3" s="9"/>
      <c r="CS3" s="9"/>
      <c r="CT3" s="9"/>
      <c r="CU3" s="22" t="s">
        <v>108</v>
      </c>
      <c r="CV3" s="15">
        <v>1.0</v>
      </c>
      <c r="CW3" s="9" t="str">
        <f t="shared" si="2"/>
        <v>MOV-005</v>
      </c>
      <c r="CX3" s="9" t="s">
        <v>84</v>
      </c>
      <c r="CY3" s="22" t="s">
        <v>109</v>
      </c>
      <c r="CZ3" s="19">
        <v>0.0</v>
      </c>
      <c r="DA3" s="9" t="str">
        <f t="shared" si="3"/>
        <v>MOV-005</v>
      </c>
      <c r="DB3" s="9" t="s">
        <v>84</v>
      </c>
      <c r="DC3" s="18"/>
      <c r="DD3" s="9"/>
      <c r="DE3" s="9"/>
      <c r="DF3" s="9"/>
      <c r="DG3" s="18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</row>
    <row r="4">
      <c r="A4" s="7">
        <v>1334.0</v>
      </c>
      <c r="B4" s="8" t="s">
        <v>50</v>
      </c>
      <c r="C4" s="9" t="str">
        <f t="shared" si="1"/>
        <v>TK-03_ETHANOL</v>
      </c>
      <c r="D4" s="20" t="s">
        <v>110</v>
      </c>
      <c r="E4" s="9"/>
      <c r="F4" s="21" t="s">
        <v>111</v>
      </c>
      <c r="G4" s="12" t="s">
        <v>53</v>
      </c>
      <c r="H4" s="7">
        <v>0.0</v>
      </c>
      <c r="I4" s="9"/>
      <c r="J4" s="9"/>
      <c r="K4" s="9"/>
      <c r="L4" s="9"/>
      <c r="M4" s="9"/>
      <c r="N4" s="9"/>
      <c r="O4" s="13" t="s">
        <v>112</v>
      </c>
      <c r="P4" s="9"/>
      <c r="Q4" s="9" t="s">
        <v>110</v>
      </c>
      <c r="R4" s="14" t="s">
        <v>55</v>
      </c>
      <c r="S4" s="13" t="s">
        <v>113</v>
      </c>
      <c r="T4" s="15">
        <v>0.0</v>
      </c>
      <c r="U4" s="9" t="s">
        <v>110</v>
      </c>
      <c r="V4" s="14" t="s">
        <v>55</v>
      </c>
      <c r="W4" s="13" t="s">
        <v>114</v>
      </c>
      <c r="X4" s="14">
        <v>0.0</v>
      </c>
      <c r="Y4" s="14" t="s">
        <v>110</v>
      </c>
      <c r="Z4" s="14" t="s">
        <v>55</v>
      </c>
      <c r="AA4" s="13" t="s">
        <v>115</v>
      </c>
      <c r="AB4" s="15">
        <v>0.0</v>
      </c>
      <c r="AC4" s="9" t="s">
        <v>110</v>
      </c>
      <c r="AD4" s="14" t="s">
        <v>55</v>
      </c>
      <c r="AE4" s="13" t="s">
        <v>116</v>
      </c>
      <c r="AF4" s="15">
        <v>0.0</v>
      </c>
      <c r="AG4" s="9" t="s">
        <v>117</v>
      </c>
      <c r="AH4" s="9" t="s">
        <v>61</v>
      </c>
      <c r="AI4" s="13" t="s">
        <v>118</v>
      </c>
      <c r="AJ4" s="15">
        <v>0.0</v>
      </c>
      <c r="AK4" s="9" t="s">
        <v>117</v>
      </c>
      <c r="AL4" s="9" t="s">
        <v>61</v>
      </c>
      <c r="AM4" s="13" t="s">
        <v>119</v>
      </c>
      <c r="AN4" s="15">
        <v>0.0</v>
      </c>
      <c r="AO4" s="9" t="s">
        <v>117</v>
      </c>
      <c r="AP4" s="9" t="s">
        <v>61</v>
      </c>
      <c r="AQ4" s="13" t="s">
        <v>120</v>
      </c>
      <c r="AR4" s="15">
        <v>0.0</v>
      </c>
      <c r="AS4" s="9" t="s">
        <v>121</v>
      </c>
      <c r="AT4" s="9" t="s">
        <v>66</v>
      </c>
      <c r="AU4" s="13" t="s">
        <v>122</v>
      </c>
      <c r="AV4" s="15">
        <v>0.0</v>
      </c>
      <c r="AW4" s="9" t="s">
        <v>121</v>
      </c>
      <c r="AX4" s="9" t="s">
        <v>66</v>
      </c>
      <c r="AY4" s="13" t="s">
        <v>123</v>
      </c>
      <c r="AZ4" s="15">
        <v>0.0</v>
      </c>
      <c r="BA4" s="9" t="s">
        <v>121</v>
      </c>
      <c r="BB4" s="9" t="s">
        <v>66</v>
      </c>
      <c r="BC4" s="13" t="s">
        <v>124</v>
      </c>
      <c r="BD4" s="15">
        <v>0.0</v>
      </c>
      <c r="BE4" s="9" t="s">
        <v>125</v>
      </c>
      <c r="BF4" s="16" t="s">
        <v>71</v>
      </c>
      <c r="BG4" s="13" t="s">
        <v>126</v>
      </c>
      <c r="BH4" s="15">
        <v>0.0</v>
      </c>
      <c r="BI4" s="9" t="s">
        <v>125</v>
      </c>
      <c r="BJ4" s="16" t="s">
        <v>73</v>
      </c>
      <c r="BK4" s="9"/>
      <c r="BL4" s="9"/>
      <c r="BM4" s="9"/>
      <c r="BN4" s="9"/>
      <c r="BO4" s="9"/>
      <c r="BP4" s="9"/>
      <c r="BQ4" s="9"/>
      <c r="BR4" s="9"/>
      <c r="BS4" s="13" t="s">
        <v>127</v>
      </c>
      <c r="BT4" s="15">
        <v>0.0</v>
      </c>
      <c r="BU4" s="9" t="s">
        <v>128</v>
      </c>
      <c r="BV4" s="16" t="s">
        <v>76</v>
      </c>
      <c r="BW4" s="13" t="s">
        <v>129</v>
      </c>
      <c r="BX4" s="15">
        <v>0.0</v>
      </c>
      <c r="BY4" s="9" t="s">
        <v>128</v>
      </c>
      <c r="BZ4" s="16" t="s">
        <v>78</v>
      </c>
      <c r="CA4" s="9"/>
      <c r="CB4" s="9"/>
      <c r="CC4" s="9"/>
      <c r="CD4" s="9"/>
      <c r="CE4" s="9"/>
      <c r="CF4" s="9"/>
      <c r="CG4" s="9"/>
      <c r="CH4" s="9"/>
      <c r="CI4" s="22" t="s">
        <v>130</v>
      </c>
      <c r="CJ4" s="15">
        <v>1.0</v>
      </c>
      <c r="CK4" s="9" t="s">
        <v>131</v>
      </c>
      <c r="CL4" s="9" t="s">
        <v>81</v>
      </c>
      <c r="CM4" s="22" t="s">
        <v>132</v>
      </c>
      <c r="CN4" s="19">
        <v>0.0</v>
      </c>
      <c r="CO4" s="9" t="s">
        <v>131</v>
      </c>
      <c r="CP4" s="9" t="s">
        <v>81</v>
      </c>
      <c r="CQ4" s="9"/>
      <c r="CR4" s="9"/>
      <c r="CS4" s="9"/>
      <c r="CT4" s="9"/>
      <c r="CU4" s="22" t="s">
        <v>133</v>
      </c>
      <c r="CV4" s="15">
        <v>1.0</v>
      </c>
      <c r="CW4" s="9" t="str">
        <f t="shared" si="2"/>
        <v>MOV-008</v>
      </c>
      <c r="CX4" s="9" t="s">
        <v>84</v>
      </c>
      <c r="CY4" s="22" t="s">
        <v>134</v>
      </c>
      <c r="CZ4" s="19">
        <v>0.0</v>
      </c>
      <c r="DA4" s="9" t="str">
        <f t="shared" si="3"/>
        <v>MOV-008</v>
      </c>
      <c r="DB4" s="9" t="s">
        <v>84</v>
      </c>
      <c r="DC4" s="18"/>
      <c r="DD4" s="9"/>
      <c r="DE4" s="9"/>
      <c r="DF4" s="9"/>
      <c r="DG4" s="18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</row>
    <row r="5">
      <c r="A5" s="7">
        <v>1334.0</v>
      </c>
      <c r="B5" s="8" t="s">
        <v>50</v>
      </c>
      <c r="C5" s="9" t="str">
        <f t="shared" si="1"/>
        <v>TK-04_ETHANOL</v>
      </c>
      <c r="D5" s="20" t="s">
        <v>135</v>
      </c>
      <c r="E5" s="9"/>
      <c r="F5" s="21" t="s">
        <v>111</v>
      </c>
      <c r="G5" s="12" t="s">
        <v>53</v>
      </c>
      <c r="H5" s="7">
        <v>0.0</v>
      </c>
      <c r="I5" s="9"/>
      <c r="J5" s="9"/>
      <c r="K5" s="9"/>
      <c r="L5" s="9"/>
      <c r="M5" s="9"/>
      <c r="N5" s="9"/>
      <c r="O5" s="13" t="s">
        <v>136</v>
      </c>
      <c r="P5" s="9"/>
      <c r="Q5" s="9" t="s">
        <v>135</v>
      </c>
      <c r="R5" s="14" t="s">
        <v>55</v>
      </c>
      <c r="S5" s="13" t="s">
        <v>137</v>
      </c>
      <c r="T5" s="15">
        <v>0.0</v>
      </c>
      <c r="U5" s="9" t="s">
        <v>135</v>
      </c>
      <c r="V5" s="14" t="s">
        <v>55</v>
      </c>
      <c r="W5" s="13" t="s">
        <v>138</v>
      </c>
      <c r="X5" s="14">
        <v>0.0</v>
      </c>
      <c r="Y5" s="14" t="s">
        <v>135</v>
      </c>
      <c r="Z5" s="14" t="s">
        <v>55</v>
      </c>
      <c r="AA5" s="13" t="s">
        <v>139</v>
      </c>
      <c r="AB5" s="15">
        <v>0.0</v>
      </c>
      <c r="AC5" s="9" t="s">
        <v>135</v>
      </c>
      <c r="AD5" s="14" t="s">
        <v>55</v>
      </c>
      <c r="AE5" s="13" t="s">
        <v>140</v>
      </c>
      <c r="AF5" s="15">
        <v>0.0</v>
      </c>
      <c r="AG5" s="9" t="s">
        <v>141</v>
      </c>
      <c r="AH5" s="9" t="s">
        <v>61</v>
      </c>
      <c r="AI5" s="13" t="s">
        <v>142</v>
      </c>
      <c r="AJ5" s="15">
        <v>0.0</v>
      </c>
      <c r="AK5" s="9" t="s">
        <v>141</v>
      </c>
      <c r="AL5" s="9" t="s">
        <v>61</v>
      </c>
      <c r="AM5" s="13" t="s">
        <v>143</v>
      </c>
      <c r="AN5" s="15">
        <v>0.0</v>
      </c>
      <c r="AO5" s="9" t="s">
        <v>141</v>
      </c>
      <c r="AP5" s="9" t="s">
        <v>61</v>
      </c>
      <c r="AQ5" s="13" t="s">
        <v>144</v>
      </c>
      <c r="AR5" s="15">
        <v>0.0</v>
      </c>
      <c r="AS5" s="9" t="s">
        <v>145</v>
      </c>
      <c r="AT5" s="9" t="s">
        <v>66</v>
      </c>
      <c r="AU5" s="13" t="s">
        <v>146</v>
      </c>
      <c r="AV5" s="15">
        <v>0.0</v>
      </c>
      <c r="AW5" s="9" t="s">
        <v>145</v>
      </c>
      <c r="AX5" s="9" t="s">
        <v>66</v>
      </c>
      <c r="AY5" s="13" t="s">
        <v>147</v>
      </c>
      <c r="AZ5" s="15">
        <v>0.0</v>
      </c>
      <c r="BA5" s="9" t="s">
        <v>145</v>
      </c>
      <c r="BB5" s="9" t="s">
        <v>66</v>
      </c>
      <c r="BC5" s="13" t="s">
        <v>148</v>
      </c>
      <c r="BD5" s="15">
        <v>0.0</v>
      </c>
      <c r="BE5" s="9" t="s">
        <v>149</v>
      </c>
      <c r="BF5" s="16" t="s">
        <v>71</v>
      </c>
      <c r="BG5" s="13" t="s">
        <v>150</v>
      </c>
      <c r="BH5" s="15">
        <v>0.0</v>
      </c>
      <c r="BI5" s="9" t="s">
        <v>149</v>
      </c>
      <c r="BJ5" s="16" t="s">
        <v>73</v>
      </c>
      <c r="BK5" s="9"/>
      <c r="BL5" s="9"/>
      <c r="BM5" s="9"/>
      <c r="BN5" s="9"/>
      <c r="BO5" s="9"/>
      <c r="BP5" s="9"/>
      <c r="BQ5" s="9"/>
      <c r="BR5" s="9"/>
      <c r="BS5" s="13" t="s">
        <v>151</v>
      </c>
      <c r="BT5" s="15">
        <v>0.0</v>
      </c>
      <c r="BU5" s="9" t="s">
        <v>152</v>
      </c>
      <c r="BV5" s="16" t="s">
        <v>76</v>
      </c>
      <c r="BW5" s="13" t="s">
        <v>153</v>
      </c>
      <c r="BX5" s="15">
        <v>0.0</v>
      </c>
      <c r="BY5" s="9" t="s">
        <v>152</v>
      </c>
      <c r="BZ5" s="16" t="s">
        <v>78</v>
      </c>
      <c r="CA5" s="9"/>
      <c r="CB5" s="9"/>
      <c r="CC5" s="9"/>
      <c r="CD5" s="9"/>
      <c r="CE5" s="9"/>
      <c r="CF5" s="9"/>
      <c r="CG5" s="9"/>
      <c r="CH5" s="9"/>
      <c r="CI5" s="22" t="s">
        <v>154</v>
      </c>
      <c r="CJ5" s="15">
        <v>1.0</v>
      </c>
      <c r="CK5" s="9" t="s">
        <v>155</v>
      </c>
      <c r="CL5" s="9" t="s">
        <v>81</v>
      </c>
      <c r="CM5" s="22" t="s">
        <v>156</v>
      </c>
      <c r="CN5" s="19">
        <v>0.0</v>
      </c>
      <c r="CO5" s="9" t="s">
        <v>155</v>
      </c>
      <c r="CP5" s="9" t="s">
        <v>81</v>
      </c>
      <c r="CQ5" s="9"/>
      <c r="CR5" s="9"/>
      <c r="CS5" s="9"/>
      <c r="CT5" s="9"/>
      <c r="CU5" s="22" t="s">
        <v>157</v>
      </c>
      <c r="CV5" s="15">
        <v>1.0</v>
      </c>
      <c r="CW5" s="9" t="str">
        <f t="shared" si="2"/>
        <v>MOV-011</v>
      </c>
      <c r="CX5" s="9" t="s">
        <v>84</v>
      </c>
      <c r="CY5" s="22" t="s">
        <v>158</v>
      </c>
      <c r="CZ5" s="19">
        <v>0.0</v>
      </c>
      <c r="DA5" s="9" t="str">
        <f t="shared" si="3"/>
        <v>MOV-011</v>
      </c>
      <c r="DB5" s="9" t="s">
        <v>84</v>
      </c>
      <c r="DC5" s="18"/>
      <c r="DD5" s="9"/>
      <c r="DE5" s="9"/>
      <c r="DF5" s="9"/>
      <c r="DG5" s="18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</row>
    <row r="6">
      <c r="A6" s="7">
        <v>1334.0</v>
      </c>
      <c r="B6" s="8" t="s">
        <v>50</v>
      </c>
      <c r="C6" s="9" t="str">
        <f t="shared" si="1"/>
        <v>TK-05_ETHANOL</v>
      </c>
      <c r="D6" s="20" t="s">
        <v>159</v>
      </c>
      <c r="E6" s="9"/>
      <c r="F6" s="21" t="s">
        <v>111</v>
      </c>
      <c r="G6" s="12" t="s">
        <v>53</v>
      </c>
      <c r="H6" s="7">
        <v>0.0</v>
      </c>
      <c r="I6" s="9"/>
      <c r="J6" s="9"/>
      <c r="K6" s="9"/>
      <c r="L6" s="9"/>
      <c r="M6" s="9"/>
      <c r="N6" s="9"/>
      <c r="O6" s="13" t="s">
        <v>160</v>
      </c>
      <c r="P6" s="9"/>
      <c r="Q6" s="9" t="s">
        <v>159</v>
      </c>
      <c r="R6" s="14" t="s">
        <v>55</v>
      </c>
      <c r="S6" s="13" t="s">
        <v>161</v>
      </c>
      <c r="T6" s="15">
        <v>0.0</v>
      </c>
      <c r="U6" s="9" t="s">
        <v>159</v>
      </c>
      <c r="V6" s="14" t="s">
        <v>55</v>
      </c>
      <c r="W6" s="13" t="s">
        <v>162</v>
      </c>
      <c r="X6" s="14">
        <v>0.0</v>
      </c>
      <c r="Y6" s="14" t="s">
        <v>159</v>
      </c>
      <c r="Z6" s="14" t="s">
        <v>55</v>
      </c>
      <c r="AA6" s="13" t="s">
        <v>163</v>
      </c>
      <c r="AB6" s="15">
        <v>0.0</v>
      </c>
      <c r="AC6" s="9" t="s">
        <v>159</v>
      </c>
      <c r="AD6" s="14" t="s">
        <v>55</v>
      </c>
      <c r="AE6" s="13" t="s">
        <v>164</v>
      </c>
      <c r="AF6" s="15">
        <v>0.0</v>
      </c>
      <c r="AG6" s="9" t="s">
        <v>165</v>
      </c>
      <c r="AH6" s="9" t="s">
        <v>61</v>
      </c>
      <c r="AI6" s="13" t="s">
        <v>166</v>
      </c>
      <c r="AJ6" s="15">
        <v>0.0</v>
      </c>
      <c r="AK6" s="9" t="s">
        <v>165</v>
      </c>
      <c r="AL6" s="9" t="s">
        <v>61</v>
      </c>
      <c r="AM6" s="13" t="s">
        <v>167</v>
      </c>
      <c r="AN6" s="15">
        <v>0.0</v>
      </c>
      <c r="AO6" s="9" t="s">
        <v>165</v>
      </c>
      <c r="AP6" s="9" t="s">
        <v>61</v>
      </c>
      <c r="AQ6" s="13" t="s">
        <v>168</v>
      </c>
      <c r="AR6" s="15">
        <v>0.0</v>
      </c>
      <c r="AS6" s="9" t="s">
        <v>169</v>
      </c>
      <c r="AT6" s="9" t="s">
        <v>66</v>
      </c>
      <c r="AU6" s="13" t="s">
        <v>170</v>
      </c>
      <c r="AV6" s="15">
        <v>0.0</v>
      </c>
      <c r="AW6" s="9" t="s">
        <v>169</v>
      </c>
      <c r="AX6" s="9" t="s">
        <v>66</v>
      </c>
      <c r="AY6" s="13" t="s">
        <v>171</v>
      </c>
      <c r="AZ6" s="15">
        <v>0.0</v>
      </c>
      <c r="BA6" s="9" t="s">
        <v>169</v>
      </c>
      <c r="BB6" s="9" t="s">
        <v>66</v>
      </c>
      <c r="BC6" s="13" t="s">
        <v>172</v>
      </c>
      <c r="BD6" s="15">
        <v>0.0</v>
      </c>
      <c r="BE6" s="9" t="s">
        <v>173</v>
      </c>
      <c r="BF6" s="16" t="s">
        <v>71</v>
      </c>
      <c r="BG6" s="13" t="s">
        <v>174</v>
      </c>
      <c r="BH6" s="15">
        <v>0.0</v>
      </c>
      <c r="BI6" s="9" t="s">
        <v>173</v>
      </c>
      <c r="BJ6" s="16" t="s">
        <v>73</v>
      </c>
      <c r="BK6" s="9"/>
      <c r="BL6" s="9"/>
      <c r="BM6" s="9"/>
      <c r="BN6" s="9"/>
      <c r="BO6" s="9"/>
      <c r="BP6" s="9"/>
      <c r="BQ6" s="9"/>
      <c r="BR6" s="9"/>
      <c r="BS6" s="13" t="s">
        <v>175</v>
      </c>
      <c r="BT6" s="15">
        <v>0.0</v>
      </c>
      <c r="BU6" s="9" t="s">
        <v>176</v>
      </c>
      <c r="BV6" s="16" t="s">
        <v>76</v>
      </c>
      <c r="BW6" s="13" t="s">
        <v>177</v>
      </c>
      <c r="BX6" s="15">
        <v>0.0</v>
      </c>
      <c r="BY6" s="9" t="s">
        <v>176</v>
      </c>
      <c r="BZ6" s="16" t="s">
        <v>78</v>
      </c>
      <c r="CA6" s="9"/>
      <c r="CB6" s="9"/>
      <c r="CC6" s="9"/>
      <c r="CD6" s="9"/>
      <c r="CE6" s="9"/>
      <c r="CF6" s="9"/>
      <c r="CG6" s="9"/>
      <c r="CH6" s="9"/>
      <c r="CI6" s="22" t="s">
        <v>178</v>
      </c>
      <c r="CJ6" s="15">
        <v>1.0</v>
      </c>
      <c r="CK6" s="9" t="s">
        <v>179</v>
      </c>
      <c r="CL6" s="9" t="s">
        <v>81</v>
      </c>
      <c r="CM6" s="22" t="s">
        <v>180</v>
      </c>
      <c r="CN6" s="19">
        <v>0.0</v>
      </c>
      <c r="CO6" s="9" t="s">
        <v>179</v>
      </c>
      <c r="CP6" s="9" t="s">
        <v>81</v>
      </c>
      <c r="CQ6" s="9"/>
      <c r="CR6" s="9"/>
      <c r="CS6" s="9"/>
      <c r="CT6" s="9"/>
      <c r="CU6" s="22" t="s">
        <v>181</v>
      </c>
      <c r="CV6" s="15">
        <v>1.0</v>
      </c>
      <c r="CW6" s="9" t="str">
        <f t="shared" si="2"/>
        <v>MOV-014</v>
      </c>
      <c r="CX6" s="9" t="s">
        <v>84</v>
      </c>
      <c r="CY6" s="22" t="s">
        <v>182</v>
      </c>
      <c r="CZ6" s="19">
        <v>0.0</v>
      </c>
      <c r="DA6" s="9" t="str">
        <f t="shared" si="3"/>
        <v>MOV-014</v>
      </c>
      <c r="DB6" s="9" t="s">
        <v>84</v>
      </c>
      <c r="DC6" s="18"/>
      <c r="DD6" s="9"/>
      <c r="DE6" s="9"/>
      <c r="DF6" s="9"/>
      <c r="DG6" s="18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</row>
    <row r="7">
      <c r="A7" s="7">
        <v>1334.0</v>
      </c>
      <c r="B7" s="8" t="s">
        <v>50</v>
      </c>
      <c r="C7" s="9" t="str">
        <f t="shared" si="1"/>
        <v>TK-06_BS VI HSD</v>
      </c>
      <c r="D7" s="20" t="s">
        <v>183</v>
      </c>
      <c r="E7" s="9"/>
      <c r="F7" s="21" t="s">
        <v>184</v>
      </c>
      <c r="G7" s="12" t="s">
        <v>53</v>
      </c>
      <c r="H7" s="7">
        <v>0.0</v>
      </c>
      <c r="I7" s="9"/>
      <c r="J7" s="9"/>
      <c r="K7" s="9"/>
      <c r="L7" s="9"/>
      <c r="M7" s="9"/>
      <c r="N7" s="9"/>
      <c r="O7" s="13" t="s">
        <v>185</v>
      </c>
      <c r="P7" s="9"/>
      <c r="Q7" s="9" t="s">
        <v>183</v>
      </c>
      <c r="R7" s="14" t="s">
        <v>55</v>
      </c>
      <c r="S7" s="13" t="s">
        <v>186</v>
      </c>
      <c r="T7" s="15">
        <v>0.0</v>
      </c>
      <c r="U7" s="9" t="s">
        <v>183</v>
      </c>
      <c r="V7" s="14" t="s">
        <v>55</v>
      </c>
      <c r="W7" s="13" t="s">
        <v>187</v>
      </c>
      <c r="X7" s="14">
        <v>0.0</v>
      </c>
      <c r="Y7" s="14" t="s">
        <v>183</v>
      </c>
      <c r="Z7" s="14" t="s">
        <v>55</v>
      </c>
      <c r="AA7" s="13" t="s">
        <v>188</v>
      </c>
      <c r="AB7" s="15">
        <v>0.0</v>
      </c>
      <c r="AC7" s="9" t="s">
        <v>183</v>
      </c>
      <c r="AD7" s="14" t="s">
        <v>55</v>
      </c>
      <c r="AE7" s="18"/>
      <c r="AF7" s="13"/>
      <c r="AG7" s="9"/>
      <c r="AH7" s="9"/>
      <c r="AI7" s="18"/>
      <c r="AJ7" s="13"/>
      <c r="AK7" s="9"/>
      <c r="AL7" s="9"/>
      <c r="AM7" s="18"/>
      <c r="AN7" s="13"/>
      <c r="AO7" s="9"/>
      <c r="AP7" s="9"/>
      <c r="AQ7" s="18"/>
      <c r="AR7" s="13"/>
      <c r="AS7" s="9"/>
      <c r="AT7" s="9"/>
      <c r="AU7" s="18"/>
      <c r="AV7" s="13"/>
      <c r="AW7" s="9"/>
      <c r="AX7" s="9"/>
      <c r="AY7" s="18"/>
      <c r="AZ7" s="13"/>
      <c r="BA7" s="9"/>
      <c r="BB7" s="9"/>
      <c r="BC7" s="13"/>
      <c r="BD7" s="13"/>
      <c r="BE7" s="9"/>
      <c r="BF7" s="23"/>
      <c r="BG7" s="13"/>
      <c r="BH7" s="13"/>
      <c r="BI7" s="9"/>
      <c r="BJ7" s="23"/>
      <c r="BK7" s="9"/>
      <c r="BL7" s="9"/>
      <c r="BM7" s="9"/>
      <c r="BN7" s="9"/>
      <c r="BO7" s="9"/>
      <c r="BP7" s="9"/>
      <c r="BQ7" s="9"/>
      <c r="BR7" s="9"/>
      <c r="BS7" s="13"/>
      <c r="BT7" s="13"/>
      <c r="BU7" s="9"/>
      <c r="BV7" s="9"/>
      <c r="BW7" s="13"/>
      <c r="BX7" s="13"/>
      <c r="BY7" s="9"/>
      <c r="BZ7" s="9"/>
      <c r="CA7" s="9"/>
      <c r="CB7" s="9"/>
      <c r="CC7" s="9"/>
      <c r="CD7" s="9"/>
      <c r="CE7" s="9"/>
      <c r="CF7" s="9"/>
      <c r="CG7" s="9"/>
      <c r="CH7" s="9"/>
      <c r="CI7" s="18"/>
      <c r="CJ7" s="13"/>
      <c r="CK7" s="9"/>
      <c r="CL7" s="9"/>
      <c r="CM7" s="18"/>
      <c r="CN7" s="13"/>
      <c r="CO7" s="9"/>
      <c r="CP7" s="9"/>
      <c r="CQ7" s="9"/>
      <c r="CR7" s="9"/>
      <c r="CS7" s="9"/>
      <c r="CT7" s="9"/>
      <c r="CU7" s="18"/>
      <c r="CV7" s="13"/>
      <c r="CW7" s="9" t="str">
        <f t="shared" si="2"/>
        <v/>
      </c>
      <c r="CX7" s="9"/>
      <c r="CY7" s="18"/>
      <c r="CZ7" s="13"/>
      <c r="DA7" s="9" t="str">
        <f t="shared" si="3"/>
        <v/>
      </c>
      <c r="DB7" s="9"/>
      <c r="DC7" s="18"/>
      <c r="DD7" s="9"/>
      <c r="DE7" s="9"/>
      <c r="DF7" s="9"/>
      <c r="DG7" s="18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</row>
    <row r="8">
      <c r="A8" s="7">
        <v>1334.0</v>
      </c>
      <c r="B8" s="8" t="s">
        <v>50</v>
      </c>
      <c r="C8" s="9" t="str">
        <f t="shared" si="1"/>
        <v>TK-07_BS VI MS</v>
      </c>
      <c r="D8" s="20" t="s">
        <v>189</v>
      </c>
      <c r="E8" s="9"/>
      <c r="F8" s="21" t="s">
        <v>52</v>
      </c>
      <c r="G8" s="12" t="s">
        <v>53</v>
      </c>
      <c r="H8" s="7">
        <v>0.0</v>
      </c>
      <c r="I8" s="9"/>
      <c r="J8" s="9"/>
      <c r="K8" s="9"/>
      <c r="L8" s="9"/>
      <c r="M8" s="9"/>
      <c r="N8" s="9"/>
      <c r="O8" s="13" t="s">
        <v>190</v>
      </c>
      <c r="P8" s="9"/>
      <c r="Q8" s="9" t="s">
        <v>189</v>
      </c>
      <c r="R8" s="14" t="s">
        <v>55</v>
      </c>
      <c r="S8" s="13" t="s">
        <v>191</v>
      </c>
      <c r="T8" s="15">
        <v>0.0</v>
      </c>
      <c r="U8" s="9" t="s">
        <v>189</v>
      </c>
      <c r="V8" s="14" t="s">
        <v>55</v>
      </c>
      <c r="W8" s="13" t="s">
        <v>192</v>
      </c>
      <c r="X8" s="14">
        <v>0.0</v>
      </c>
      <c r="Y8" s="14" t="s">
        <v>189</v>
      </c>
      <c r="Z8" s="14" t="s">
        <v>55</v>
      </c>
      <c r="AA8" s="13" t="s">
        <v>193</v>
      </c>
      <c r="AB8" s="15">
        <v>0.0</v>
      </c>
      <c r="AC8" s="9" t="s">
        <v>189</v>
      </c>
      <c r="AD8" s="14" t="s">
        <v>55</v>
      </c>
      <c r="AE8" s="18"/>
      <c r="AF8" s="13"/>
      <c r="AG8" s="9"/>
      <c r="AH8" s="9"/>
      <c r="AI8" s="18"/>
      <c r="AJ8" s="13"/>
      <c r="AK8" s="9"/>
      <c r="AL8" s="9"/>
      <c r="AM8" s="18"/>
      <c r="AN8" s="13"/>
      <c r="AO8" s="9"/>
      <c r="AP8" s="9"/>
      <c r="AQ8" s="18"/>
      <c r="AR8" s="13"/>
      <c r="AS8" s="9"/>
      <c r="AT8" s="9"/>
      <c r="AU8" s="18"/>
      <c r="AV8" s="13"/>
      <c r="AW8" s="9"/>
      <c r="AX8" s="9"/>
      <c r="AY8" s="18"/>
      <c r="AZ8" s="13"/>
      <c r="BA8" s="9"/>
      <c r="BB8" s="9"/>
      <c r="BC8" s="13"/>
      <c r="BD8" s="13"/>
      <c r="BE8" s="9"/>
      <c r="BF8" s="23"/>
      <c r="BG8" s="13"/>
      <c r="BH8" s="13"/>
      <c r="BI8" s="9"/>
      <c r="BJ8" s="23"/>
      <c r="BK8" s="9"/>
      <c r="BL8" s="9"/>
      <c r="BM8" s="9"/>
      <c r="BN8" s="9"/>
      <c r="BO8" s="9"/>
      <c r="BP8" s="9"/>
      <c r="BQ8" s="9"/>
      <c r="BR8" s="9"/>
      <c r="BS8" s="13"/>
      <c r="BT8" s="13"/>
      <c r="BU8" s="9"/>
      <c r="BV8" s="9"/>
      <c r="BW8" s="13"/>
      <c r="BX8" s="13"/>
      <c r="BY8" s="9"/>
      <c r="BZ8" s="9"/>
      <c r="CA8" s="9"/>
      <c r="CB8" s="9"/>
      <c r="CC8" s="9"/>
      <c r="CD8" s="9"/>
      <c r="CE8" s="9"/>
      <c r="CF8" s="9"/>
      <c r="CG8" s="9"/>
      <c r="CH8" s="9"/>
      <c r="CI8" s="18"/>
      <c r="CJ8" s="13"/>
      <c r="CK8" s="9"/>
      <c r="CL8" s="9"/>
      <c r="CM8" s="18"/>
      <c r="CN8" s="13"/>
      <c r="CO8" s="9"/>
      <c r="CP8" s="9"/>
      <c r="CQ8" s="9"/>
      <c r="CR8" s="9"/>
      <c r="CS8" s="9"/>
      <c r="CT8" s="9"/>
      <c r="CU8" s="18"/>
      <c r="CV8" s="13"/>
      <c r="CW8" s="9" t="str">
        <f t="shared" si="2"/>
        <v/>
      </c>
      <c r="CX8" s="9"/>
      <c r="CY8" s="18"/>
      <c r="CZ8" s="13"/>
      <c r="DA8" s="9" t="str">
        <f t="shared" si="3"/>
        <v/>
      </c>
      <c r="DB8" s="9"/>
      <c r="DC8" s="18"/>
      <c r="DD8" s="9"/>
      <c r="DE8" s="9"/>
      <c r="DF8" s="9"/>
      <c r="DG8" s="18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</row>
    <row r="9">
      <c r="A9" s="7">
        <v>1334.0</v>
      </c>
      <c r="B9" s="8" t="s">
        <v>50</v>
      </c>
      <c r="C9" s="9" t="str">
        <f t="shared" si="1"/>
        <v>TK-08_BS VI HSD</v>
      </c>
      <c r="D9" s="20" t="s">
        <v>194</v>
      </c>
      <c r="E9" s="9"/>
      <c r="F9" s="21" t="s">
        <v>184</v>
      </c>
      <c r="G9" s="12" t="s">
        <v>53</v>
      </c>
      <c r="H9" s="7">
        <v>0.0</v>
      </c>
      <c r="I9" s="9"/>
      <c r="J9" s="9"/>
      <c r="K9" s="9"/>
      <c r="L9" s="9"/>
      <c r="M9" s="9"/>
      <c r="N9" s="9"/>
      <c r="O9" s="13" t="s">
        <v>195</v>
      </c>
      <c r="P9" s="9"/>
      <c r="Q9" s="9" t="s">
        <v>194</v>
      </c>
      <c r="R9" s="14" t="s">
        <v>55</v>
      </c>
      <c r="S9" s="13" t="s">
        <v>196</v>
      </c>
      <c r="T9" s="15">
        <v>0.0</v>
      </c>
      <c r="U9" s="9" t="s">
        <v>194</v>
      </c>
      <c r="V9" s="14" t="s">
        <v>55</v>
      </c>
      <c r="W9" s="13" t="s">
        <v>197</v>
      </c>
      <c r="X9" s="14">
        <v>0.0</v>
      </c>
      <c r="Y9" s="14" t="s">
        <v>194</v>
      </c>
      <c r="Z9" s="14" t="s">
        <v>55</v>
      </c>
      <c r="AA9" s="13" t="s">
        <v>198</v>
      </c>
      <c r="AB9" s="15">
        <v>0.0</v>
      </c>
      <c r="AC9" s="9" t="s">
        <v>194</v>
      </c>
      <c r="AD9" s="14" t="s">
        <v>55</v>
      </c>
      <c r="AE9" s="18"/>
      <c r="AF9" s="13"/>
      <c r="AG9" s="9"/>
      <c r="AH9" s="9"/>
      <c r="AI9" s="18"/>
      <c r="AJ9" s="13"/>
      <c r="AK9" s="9"/>
      <c r="AL9" s="9"/>
      <c r="AM9" s="18"/>
      <c r="AN9" s="13"/>
      <c r="AO9" s="9"/>
      <c r="AP9" s="9"/>
      <c r="AQ9" s="18"/>
      <c r="AR9" s="13"/>
      <c r="AS9" s="9"/>
      <c r="AT9" s="9"/>
      <c r="AU9" s="18"/>
      <c r="AV9" s="13"/>
      <c r="AW9" s="9"/>
      <c r="AX9" s="9"/>
      <c r="AY9" s="18"/>
      <c r="AZ9" s="13"/>
      <c r="BA9" s="9"/>
      <c r="BB9" s="9"/>
      <c r="BC9" s="13"/>
      <c r="BD9" s="13"/>
      <c r="BE9" s="9"/>
      <c r="BF9" s="9"/>
      <c r="BG9" s="13"/>
      <c r="BH9" s="13"/>
      <c r="BI9" s="9"/>
      <c r="BJ9" s="9"/>
      <c r="BK9" s="9"/>
      <c r="BL9" s="9"/>
      <c r="BM9" s="9"/>
      <c r="BN9" s="9"/>
      <c r="BO9" s="9"/>
      <c r="BP9" s="9"/>
      <c r="BQ9" s="9"/>
      <c r="BR9" s="9"/>
      <c r="BS9" s="13"/>
      <c r="BT9" s="13"/>
      <c r="BU9" s="9"/>
      <c r="BV9" s="9"/>
      <c r="BW9" s="13"/>
      <c r="BX9" s="13"/>
      <c r="BY9" s="9"/>
      <c r="BZ9" s="9"/>
      <c r="CA9" s="9"/>
      <c r="CB9" s="9"/>
      <c r="CC9" s="9"/>
      <c r="CD9" s="9"/>
      <c r="CE9" s="9"/>
      <c r="CF9" s="9"/>
      <c r="CG9" s="9"/>
      <c r="CH9" s="9"/>
      <c r="CI9" s="18"/>
      <c r="CJ9" s="13"/>
      <c r="CK9" s="9"/>
      <c r="CL9" s="9"/>
      <c r="CM9" s="18"/>
      <c r="CN9" s="13"/>
      <c r="CO9" s="9"/>
      <c r="CP9" s="9"/>
      <c r="CQ9" s="9"/>
      <c r="CR9" s="9"/>
      <c r="CS9" s="9"/>
      <c r="CT9" s="9"/>
      <c r="CU9" s="18"/>
      <c r="CV9" s="13"/>
      <c r="CW9" s="9" t="str">
        <f t="shared" si="2"/>
        <v/>
      </c>
      <c r="CX9" s="9"/>
      <c r="CY9" s="18"/>
      <c r="CZ9" s="13"/>
      <c r="DA9" s="9" t="str">
        <f t="shared" si="3"/>
        <v/>
      </c>
      <c r="DB9" s="9"/>
      <c r="DC9" s="18"/>
      <c r="DD9" s="9"/>
      <c r="DE9" s="9"/>
      <c r="DF9" s="9"/>
      <c r="DG9" s="18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</row>
    <row r="10">
      <c r="A10" s="7">
        <v>1334.0</v>
      </c>
      <c r="B10" s="8" t="s">
        <v>50</v>
      </c>
      <c r="C10" s="9" t="str">
        <f t="shared" si="1"/>
        <v>TK-09_WATER</v>
      </c>
      <c r="D10" s="20" t="s">
        <v>199</v>
      </c>
      <c r="E10" s="9"/>
      <c r="F10" s="21" t="s">
        <v>200</v>
      </c>
      <c r="G10" s="12" t="s">
        <v>53</v>
      </c>
      <c r="H10" s="7">
        <v>0.0</v>
      </c>
      <c r="I10" s="9"/>
      <c r="J10" s="9"/>
      <c r="K10" s="9"/>
      <c r="L10" s="9"/>
      <c r="M10" s="9"/>
      <c r="N10" s="9"/>
      <c r="O10" s="13" t="s">
        <v>201</v>
      </c>
      <c r="P10" s="9"/>
      <c r="Q10" s="9" t="s">
        <v>199</v>
      </c>
      <c r="R10" s="14" t="s">
        <v>55</v>
      </c>
      <c r="S10" s="13"/>
      <c r="T10" s="13"/>
      <c r="U10" s="9"/>
      <c r="V10" s="9"/>
      <c r="W10" s="13" t="s">
        <v>202</v>
      </c>
      <c r="X10" s="14">
        <v>0.0</v>
      </c>
      <c r="Y10" s="14" t="s">
        <v>199</v>
      </c>
      <c r="Z10" s="14" t="s">
        <v>55</v>
      </c>
      <c r="AA10" s="13"/>
      <c r="AB10" s="13"/>
      <c r="AC10" s="9"/>
      <c r="AD10" s="9"/>
      <c r="AE10" s="18"/>
      <c r="AF10" s="13"/>
      <c r="AG10" s="9"/>
      <c r="AH10" s="9"/>
      <c r="AI10" s="18"/>
      <c r="AJ10" s="13"/>
      <c r="AK10" s="9"/>
      <c r="AL10" s="9"/>
      <c r="AM10" s="18"/>
      <c r="AN10" s="13"/>
      <c r="AO10" s="9"/>
      <c r="AP10" s="9"/>
      <c r="AQ10" s="18"/>
      <c r="AR10" s="13"/>
      <c r="AS10" s="9"/>
      <c r="AT10" s="9"/>
      <c r="AU10" s="18"/>
      <c r="AV10" s="13"/>
      <c r="AW10" s="9"/>
      <c r="AX10" s="9"/>
      <c r="AY10" s="18"/>
      <c r="AZ10" s="13"/>
      <c r="BA10" s="9"/>
      <c r="BB10" s="9"/>
      <c r="BC10" s="13"/>
      <c r="BD10" s="13"/>
      <c r="BE10" s="9"/>
      <c r="BF10" s="9"/>
      <c r="BG10" s="13"/>
      <c r="BH10" s="13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13"/>
      <c r="BT10" s="13"/>
      <c r="BU10" s="9"/>
      <c r="BV10" s="9"/>
      <c r="BW10" s="13"/>
      <c r="BX10" s="13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18"/>
      <c r="CJ10" s="13"/>
      <c r="CK10" s="9"/>
      <c r="CL10" s="9"/>
      <c r="CM10" s="18"/>
      <c r="CN10" s="13"/>
      <c r="CO10" s="9"/>
      <c r="CP10" s="9"/>
      <c r="CQ10" s="9"/>
      <c r="CR10" s="9"/>
      <c r="CS10" s="9"/>
      <c r="CT10" s="9"/>
      <c r="CU10" s="18"/>
      <c r="CV10" s="13"/>
      <c r="CW10" s="9" t="str">
        <f t="shared" si="2"/>
        <v/>
      </c>
      <c r="CX10" s="9"/>
      <c r="CY10" s="18"/>
      <c r="CZ10" s="13"/>
      <c r="DA10" s="9" t="str">
        <f t="shared" si="3"/>
        <v/>
      </c>
      <c r="DB10" s="9"/>
      <c r="DC10" s="18"/>
      <c r="DD10" s="9"/>
      <c r="DE10" s="9"/>
      <c r="DF10" s="9"/>
      <c r="DG10" s="18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</row>
    <row r="11">
      <c r="A11" s="7">
        <v>1334.0</v>
      </c>
      <c r="B11" s="8" t="s">
        <v>50</v>
      </c>
      <c r="C11" s="9" t="str">
        <f t="shared" si="1"/>
        <v>TK-10_WATER</v>
      </c>
      <c r="D11" s="20" t="s">
        <v>203</v>
      </c>
      <c r="E11" s="9"/>
      <c r="F11" s="21" t="s">
        <v>200</v>
      </c>
      <c r="G11" s="12" t="s">
        <v>53</v>
      </c>
      <c r="H11" s="7">
        <v>0.0</v>
      </c>
      <c r="I11" s="9"/>
      <c r="J11" s="9"/>
      <c r="K11" s="9"/>
      <c r="L11" s="9"/>
      <c r="M11" s="9"/>
      <c r="N11" s="9"/>
      <c r="O11" s="13" t="s">
        <v>204</v>
      </c>
      <c r="P11" s="9"/>
      <c r="Q11" s="9" t="s">
        <v>203</v>
      </c>
      <c r="R11" s="14" t="s">
        <v>55</v>
      </c>
      <c r="S11" s="13"/>
      <c r="T11" s="13"/>
      <c r="U11" s="9"/>
      <c r="V11" s="9"/>
      <c r="W11" s="13" t="s">
        <v>205</v>
      </c>
      <c r="X11" s="14">
        <v>0.0</v>
      </c>
      <c r="Y11" s="14" t="s">
        <v>203</v>
      </c>
      <c r="Z11" s="14" t="s">
        <v>55</v>
      </c>
      <c r="AA11" s="13"/>
      <c r="AB11" s="13"/>
      <c r="AC11" s="9"/>
      <c r="AD11" s="9"/>
      <c r="AE11" s="18"/>
      <c r="AF11" s="13"/>
      <c r="AG11" s="9"/>
      <c r="AH11" s="9"/>
      <c r="AI11" s="18"/>
      <c r="AJ11" s="13"/>
      <c r="AK11" s="9"/>
      <c r="AL11" s="9"/>
      <c r="AM11" s="18"/>
      <c r="AN11" s="13"/>
      <c r="AO11" s="9"/>
      <c r="AP11" s="9"/>
      <c r="AQ11" s="18"/>
      <c r="AR11" s="13"/>
      <c r="AS11" s="9"/>
      <c r="AT11" s="9"/>
      <c r="AU11" s="18"/>
      <c r="AV11" s="13"/>
      <c r="AW11" s="9"/>
      <c r="AX11" s="9"/>
      <c r="AY11" s="18"/>
      <c r="AZ11" s="13"/>
      <c r="BA11" s="9"/>
      <c r="BB11" s="9"/>
      <c r="BC11" s="13"/>
      <c r="BD11" s="13"/>
      <c r="BE11" s="9"/>
      <c r="BF11" s="9"/>
      <c r="BG11" s="13"/>
      <c r="BH11" s="13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13"/>
      <c r="BT11" s="13"/>
      <c r="BU11" s="9"/>
      <c r="BV11" s="9"/>
      <c r="BW11" s="13"/>
      <c r="BX11" s="13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18"/>
      <c r="CJ11" s="13"/>
      <c r="CK11" s="9"/>
      <c r="CL11" s="9"/>
      <c r="CM11" s="18"/>
      <c r="CN11" s="13"/>
      <c r="CO11" s="9"/>
      <c r="CP11" s="9"/>
      <c r="CQ11" s="9"/>
      <c r="CR11" s="9"/>
      <c r="CS11" s="9"/>
      <c r="CT11" s="9"/>
      <c r="CU11" s="18"/>
      <c r="CV11" s="13"/>
      <c r="CW11" s="9" t="str">
        <f t="shared" si="2"/>
        <v/>
      </c>
      <c r="CX11" s="9"/>
      <c r="CY11" s="18"/>
      <c r="CZ11" s="13"/>
      <c r="DA11" s="9" t="str">
        <f t="shared" si="3"/>
        <v/>
      </c>
      <c r="DB11" s="9"/>
      <c r="DC11" s="18"/>
      <c r="DD11" s="9"/>
      <c r="DE11" s="9"/>
      <c r="DF11" s="9"/>
      <c r="DG11" s="18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</row>
    <row r="12">
      <c r="A12" s="7">
        <v>1334.0</v>
      </c>
      <c r="B12" s="8" t="s">
        <v>50</v>
      </c>
      <c r="C12" s="9" t="str">
        <f t="shared" si="1"/>
        <v>TK-11_BS VI HSD</v>
      </c>
      <c r="D12" s="20" t="s">
        <v>206</v>
      </c>
      <c r="E12" s="9"/>
      <c r="F12" s="21" t="s">
        <v>184</v>
      </c>
      <c r="G12" s="12" t="s">
        <v>53</v>
      </c>
      <c r="H12" s="7">
        <v>0.0</v>
      </c>
      <c r="I12" s="9"/>
      <c r="J12" s="9"/>
      <c r="K12" s="9"/>
      <c r="L12" s="9"/>
      <c r="M12" s="9"/>
      <c r="N12" s="9"/>
      <c r="O12" s="13" t="s">
        <v>207</v>
      </c>
      <c r="P12" s="9"/>
      <c r="Q12" s="9" t="s">
        <v>206</v>
      </c>
      <c r="R12" s="14" t="s">
        <v>55</v>
      </c>
      <c r="S12" s="13" t="s">
        <v>208</v>
      </c>
      <c r="T12" s="15">
        <v>0.0</v>
      </c>
      <c r="U12" s="9" t="s">
        <v>206</v>
      </c>
      <c r="V12" s="14" t="s">
        <v>55</v>
      </c>
      <c r="W12" s="13" t="s">
        <v>209</v>
      </c>
      <c r="X12" s="14">
        <v>0.0</v>
      </c>
      <c r="Y12" s="14" t="s">
        <v>206</v>
      </c>
      <c r="Z12" s="14" t="s">
        <v>55</v>
      </c>
      <c r="AA12" s="13" t="s">
        <v>210</v>
      </c>
      <c r="AB12" s="15">
        <v>0.0</v>
      </c>
      <c r="AC12" s="9" t="s">
        <v>206</v>
      </c>
      <c r="AD12" s="14" t="s">
        <v>55</v>
      </c>
      <c r="AE12" s="13" t="s">
        <v>211</v>
      </c>
      <c r="AF12" s="15">
        <v>0.0</v>
      </c>
      <c r="AG12" s="9" t="s">
        <v>212</v>
      </c>
      <c r="AH12" s="9" t="s">
        <v>61</v>
      </c>
      <c r="AI12" s="13" t="s">
        <v>213</v>
      </c>
      <c r="AJ12" s="15">
        <v>0.0</v>
      </c>
      <c r="AK12" s="9" t="s">
        <v>214</v>
      </c>
      <c r="AL12" s="9" t="s">
        <v>61</v>
      </c>
      <c r="AM12" s="13" t="s">
        <v>215</v>
      </c>
      <c r="AN12" s="15">
        <v>0.0</v>
      </c>
      <c r="AO12" s="9" t="s">
        <v>214</v>
      </c>
      <c r="AP12" s="9" t="s">
        <v>61</v>
      </c>
      <c r="AQ12" s="13" t="s">
        <v>216</v>
      </c>
      <c r="AR12" s="15">
        <v>0.0</v>
      </c>
      <c r="AS12" s="9" t="s">
        <v>217</v>
      </c>
      <c r="AT12" s="9" t="s">
        <v>66</v>
      </c>
      <c r="AU12" s="13" t="s">
        <v>218</v>
      </c>
      <c r="AV12" s="15">
        <v>0.0</v>
      </c>
      <c r="AW12" s="9" t="s">
        <v>217</v>
      </c>
      <c r="AX12" s="9" t="s">
        <v>66</v>
      </c>
      <c r="AY12" s="13" t="s">
        <v>219</v>
      </c>
      <c r="AZ12" s="15">
        <v>0.0</v>
      </c>
      <c r="BA12" s="9" t="s">
        <v>217</v>
      </c>
      <c r="BB12" s="9" t="s">
        <v>66</v>
      </c>
      <c r="BC12" s="13" t="s">
        <v>220</v>
      </c>
      <c r="BD12" s="15">
        <v>0.0</v>
      </c>
      <c r="BE12" s="9" t="s">
        <v>221</v>
      </c>
      <c r="BF12" s="16" t="s">
        <v>71</v>
      </c>
      <c r="BG12" s="13" t="s">
        <v>222</v>
      </c>
      <c r="BH12" s="15">
        <v>0.0</v>
      </c>
      <c r="BI12" s="9" t="s">
        <v>221</v>
      </c>
      <c r="BJ12" s="16" t="s">
        <v>73</v>
      </c>
      <c r="BK12" s="9"/>
      <c r="BL12" s="9"/>
      <c r="BM12" s="9"/>
      <c r="BN12" s="9"/>
      <c r="BO12" s="9"/>
      <c r="BP12" s="9"/>
      <c r="BQ12" s="9"/>
      <c r="BR12" s="9"/>
      <c r="BS12" s="13" t="s">
        <v>223</v>
      </c>
      <c r="BT12" s="15">
        <v>0.0</v>
      </c>
      <c r="BU12" s="9" t="s">
        <v>224</v>
      </c>
      <c r="BV12" s="16" t="s">
        <v>76</v>
      </c>
      <c r="BW12" s="13" t="s">
        <v>225</v>
      </c>
      <c r="BX12" s="15">
        <v>0.0</v>
      </c>
      <c r="BY12" s="9" t="s">
        <v>224</v>
      </c>
      <c r="BZ12" s="16" t="s">
        <v>78</v>
      </c>
      <c r="CA12" s="9"/>
      <c r="CB12" s="9"/>
      <c r="CC12" s="9"/>
      <c r="CD12" s="9"/>
      <c r="CE12" s="9"/>
      <c r="CF12" s="9"/>
      <c r="CG12" s="9"/>
      <c r="CH12" s="9"/>
      <c r="CI12" s="22" t="s">
        <v>226</v>
      </c>
      <c r="CJ12" s="15">
        <v>1.0</v>
      </c>
      <c r="CK12" s="9" t="s">
        <v>227</v>
      </c>
      <c r="CL12" s="9" t="s">
        <v>81</v>
      </c>
      <c r="CM12" s="22" t="s">
        <v>228</v>
      </c>
      <c r="CN12" s="19">
        <v>0.0</v>
      </c>
      <c r="CO12" s="9" t="s">
        <v>227</v>
      </c>
      <c r="CP12" s="9" t="s">
        <v>81</v>
      </c>
      <c r="CQ12" s="9"/>
      <c r="CR12" s="9"/>
      <c r="CS12" s="9"/>
      <c r="CT12" s="9"/>
      <c r="CU12" s="22" t="s">
        <v>229</v>
      </c>
      <c r="CV12" s="15">
        <v>1.0</v>
      </c>
      <c r="CW12" s="9" t="str">
        <f t="shared" si="2"/>
        <v>MOV-017</v>
      </c>
      <c r="CX12" s="9" t="s">
        <v>84</v>
      </c>
      <c r="CY12" s="22" t="s">
        <v>230</v>
      </c>
      <c r="CZ12" s="19">
        <v>0.0</v>
      </c>
      <c r="DA12" s="9" t="str">
        <f t="shared" si="3"/>
        <v>MOV-017</v>
      </c>
      <c r="DB12" s="9" t="s">
        <v>84</v>
      </c>
      <c r="DC12" s="18"/>
      <c r="DD12" s="9"/>
      <c r="DE12" s="9"/>
      <c r="DF12" s="9"/>
      <c r="DG12" s="18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</row>
    <row r="13">
      <c r="A13" s="7">
        <v>1334.0</v>
      </c>
      <c r="B13" s="8" t="s">
        <v>50</v>
      </c>
      <c r="C13" s="9" t="str">
        <f t="shared" si="1"/>
        <v>TK-12_BS VI MS</v>
      </c>
      <c r="D13" s="20" t="s">
        <v>231</v>
      </c>
      <c r="E13" s="9"/>
      <c r="F13" s="21" t="s">
        <v>52</v>
      </c>
      <c r="G13" s="12" t="s">
        <v>53</v>
      </c>
      <c r="H13" s="7">
        <v>0.0</v>
      </c>
      <c r="I13" s="9"/>
      <c r="J13" s="9"/>
      <c r="K13" s="9"/>
      <c r="L13" s="9"/>
      <c r="M13" s="9"/>
      <c r="N13" s="9"/>
      <c r="O13" s="13" t="s">
        <v>232</v>
      </c>
      <c r="P13" s="9"/>
      <c r="Q13" s="9" t="s">
        <v>231</v>
      </c>
      <c r="R13" s="14" t="s">
        <v>55</v>
      </c>
      <c r="S13" s="13" t="s">
        <v>233</v>
      </c>
      <c r="T13" s="15">
        <v>0.0</v>
      </c>
      <c r="U13" s="9" t="s">
        <v>231</v>
      </c>
      <c r="V13" s="14" t="s">
        <v>55</v>
      </c>
      <c r="W13" s="13" t="s">
        <v>234</v>
      </c>
      <c r="X13" s="14">
        <v>0.0</v>
      </c>
      <c r="Y13" s="14" t="s">
        <v>231</v>
      </c>
      <c r="Z13" s="14" t="s">
        <v>55</v>
      </c>
      <c r="AA13" s="13" t="s">
        <v>235</v>
      </c>
      <c r="AB13" s="15">
        <v>0.0</v>
      </c>
      <c r="AC13" s="9" t="s">
        <v>231</v>
      </c>
      <c r="AD13" s="14" t="s">
        <v>55</v>
      </c>
      <c r="AE13" s="13" t="s">
        <v>236</v>
      </c>
      <c r="AF13" s="15">
        <v>0.0</v>
      </c>
      <c r="AG13" s="9" t="s">
        <v>237</v>
      </c>
      <c r="AH13" s="9" t="s">
        <v>61</v>
      </c>
      <c r="AI13" s="13" t="s">
        <v>238</v>
      </c>
      <c r="AJ13" s="15">
        <v>0.0</v>
      </c>
      <c r="AK13" s="9" t="s">
        <v>239</v>
      </c>
      <c r="AL13" s="9" t="s">
        <v>61</v>
      </c>
      <c r="AM13" s="13" t="s">
        <v>240</v>
      </c>
      <c r="AN13" s="15">
        <v>0.0</v>
      </c>
      <c r="AO13" s="9" t="s">
        <v>239</v>
      </c>
      <c r="AP13" s="9" t="s">
        <v>61</v>
      </c>
      <c r="AQ13" s="13" t="s">
        <v>241</v>
      </c>
      <c r="AR13" s="15">
        <v>0.0</v>
      </c>
      <c r="AS13" s="9" t="s">
        <v>242</v>
      </c>
      <c r="AT13" s="9" t="s">
        <v>66</v>
      </c>
      <c r="AU13" s="13" t="s">
        <v>243</v>
      </c>
      <c r="AV13" s="15">
        <v>0.0</v>
      </c>
      <c r="AW13" s="9" t="s">
        <v>242</v>
      </c>
      <c r="AX13" s="9" t="s">
        <v>66</v>
      </c>
      <c r="AY13" s="13" t="s">
        <v>244</v>
      </c>
      <c r="AZ13" s="15">
        <v>0.0</v>
      </c>
      <c r="BA13" s="9" t="s">
        <v>242</v>
      </c>
      <c r="BB13" s="9" t="s">
        <v>66</v>
      </c>
      <c r="BC13" s="13" t="s">
        <v>245</v>
      </c>
      <c r="BD13" s="15">
        <v>0.0</v>
      </c>
      <c r="BE13" s="9" t="s">
        <v>246</v>
      </c>
      <c r="BF13" s="16" t="s">
        <v>71</v>
      </c>
      <c r="BG13" s="13" t="s">
        <v>247</v>
      </c>
      <c r="BH13" s="15">
        <v>0.0</v>
      </c>
      <c r="BI13" s="9" t="s">
        <v>246</v>
      </c>
      <c r="BJ13" s="16" t="s">
        <v>73</v>
      </c>
      <c r="BK13" s="9"/>
      <c r="BL13" s="9"/>
      <c r="BM13" s="9"/>
      <c r="BN13" s="9"/>
      <c r="BO13" s="9"/>
      <c r="BP13" s="9"/>
      <c r="BQ13" s="9"/>
      <c r="BR13" s="9"/>
      <c r="BS13" s="13" t="s">
        <v>248</v>
      </c>
      <c r="BT13" s="15">
        <v>0.0</v>
      </c>
      <c r="BU13" s="9" t="s">
        <v>249</v>
      </c>
      <c r="BV13" s="16" t="s">
        <v>76</v>
      </c>
      <c r="BW13" s="13" t="s">
        <v>250</v>
      </c>
      <c r="BX13" s="15">
        <v>0.0</v>
      </c>
      <c r="BY13" s="9" t="s">
        <v>249</v>
      </c>
      <c r="BZ13" s="16" t="s">
        <v>78</v>
      </c>
      <c r="CA13" s="9"/>
      <c r="CB13" s="9"/>
      <c r="CC13" s="9"/>
      <c r="CD13" s="9"/>
      <c r="CE13" s="9"/>
      <c r="CF13" s="9"/>
      <c r="CG13" s="9"/>
      <c r="CH13" s="9"/>
      <c r="CI13" s="22" t="s">
        <v>251</v>
      </c>
      <c r="CJ13" s="15">
        <v>1.0</v>
      </c>
      <c r="CK13" s="9" t="s">
        <v>252</v>
      </c>
      <c r="CL13" s="9" t="s">
        <v>81</v>
      </c>
      <c r="CM13" s="22" t="s">
        <v>253</v>
      </c>
      <c r="CN13" s="19">
        <v>0.0</v>
      </c>
      <c r="CO13" s="9" t="s">
        <v>252</v>
      </c>
      <c r="CP13" s="9" t="s">
        <v>81</v>
      </c>
      <c r="CQ13" s="9"/>
      <c r="CR13" s="9"/>
      <c r="CS13" s="9"/>
      <c r="CT13" s="9"/>
      <c r="CU13" s="22" t="s">
        <v>254</v>
      </c>
      <c r="CV13" s="15">
        <v>1.0</v>
      </c>
      <c r="CW13" s="9" t="str">
        <f t="shared" si="2"/>
        <v>MOV-020</v>
      </c>
      <c r="CX13" s="9" t="s">
        <v>84</v>
      </c>
      <c r="CY13" s="22" t="s">
        <v>255</v>
      </c>
      <c r="CZ13" s="19">
        <v>0.0</v>
      </c>
      <c r="DA13" s="9" t="str">
        <f t="shared" si="3"/>
        <v>MOV-020</v>
      </c>
      <c r="DB13" s="9" t="s">
        <v>84</v>
      </c>
      <c r="DC13" s="18"/>
      <c r="DD13" s="9"/>
      <c r="DE13" s="9"/>
      <c r="DF13" s="9"/>
      <c r="DG13" s="18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</row>
    <row r="14">
      <c r="A14" s="7">
        <v>1334.0</v>
      </c>
      <c r="B14" s="8" t="s">
        <v>50</v>
      </c>
      <c r="C14" s="9" t="str">
        <f t="shared" si="1"/>
        <v>TK-13_BS VI HSD</v>
      </c>
      <c r="D14" s="20" t="s">
        <v>256</v>
      </c>
      <c r="E14" s="9"/>
      <c r="F14" s="21" t="s">
        <v>184</v>
      </c>
      <c r="G14" s="12" t="s">
        <v>53</v>
      </c>
      <c r="H14" s="7">
        <v>0.0</v>
      </c>
      <c r="I14" s="9"/>
      <c r="J14" s="9"/>
      <c r="K14" s="9"/>
      <c r="L14" s="9"/>
      <c r="M14" s="9"/>
      <c r="N14" s="9"/>
      <c r="O14" s="13" t="s">
        <v>257</v>
      </c>
      <c r="P14" s="9"/>
      <c r="Q14" s="9" t="s">
        <v>256</v>
      </c>
      <c r="R14" s="14" t="s">
        <v>55</v>
      </c>
      <c r="S14" s="13" t="s">
        <v>258</v>
      </c>
      <c r="T14" s="15">
        <v>0.0</v>
      </c>
      <c r="U14" s="9" t="s">
        <v>256</v>
      </c>
      <c r="V14" s="14" t="s">
        <v>55</v>
      </c>
      <c r="W14" s="13" t="s">
        <v>259</v>
      </c>
      <c r="X14" s="14">
        <v>0.0</v>
      </c>
      <c r="Y14" s="14" t="s">
        <v>256</v>
      </c>
      <c r="Z14" s="14" t="s">
        <v>55</v>
      </c>
      <c r="AA14" s="13" t="s">
        <v>260</v>
      </c>
      <c r="AB14" s="15">
        <v>0.0</v>
      </c>
      <c r="AC14" s="9" t="s">
        <v>256</v>
      </c>
      <c r="AD14" s="14" t="s">
        <v>55</v>
      </c>
      <c r="AE14" s="13" t="s">
        <v>261</v>
      </c>
      <c r="AF14" s="15">
        <v>0.0</v>
      </c>
      <c r="AG14" s="9" t="s">
        <v>262</v>
      </c>
      <c r="AH14" s="9" t="s">
        <v>61</v>
      </c>
      <c r="AI14" s="13" t="s">
        <v>263</v>
      </c>
      <c r="AJ14" s="15">
        <v>0.0</v>
      </c>
      <c r="AK14" s="9" t="s">
        <v>264</v>
      </c>
      <c r="AL14" s="9" t="s">
        <v>61</v>
      </c>
      <c r="AM14" s="13" t="s">
        <v>265</v>
      </c>
      <c r="AN14" s="15">
        <v>0.0</v>
      </c>
      <c r="AO14" s="9" t="s">
        <v>264</v>
      </c>
      <c r="AP14" s="9" t="s">
        <v>61</v>
      </c>
      <c r="AQ14" s="13" t="s">
        <v>266</v>
      </c>
      <c r="AR14" s="15">
        <v>0.0</v>
      </c>
      <c r="AS14" s="9" t="s">
        <v>267</v>
      </c>
      <c r="AT14" s="9" t="s">
        <v>66</v>
      </c>
      <c r="AU14" s="13" t="s">
        <v>268</v>
      </c>
      <c r="AV14" s="15">
        <v>0.0</v>
      </c>
      <c r="AW14" s="9" t="s">
        <v>267</v>
      </c>
      <c r="AX14" s="9" t="s">
        <v>66</v>
      </c>
      <c r="AY14" s="13" t="s">
        <v>269</v>
      </c>
      <c r="AZ14" s="15">
        <v>0.0</v>
      </c>
      <c r="BA14" s="9" t="s">
        <v>267</v>
      </c>
      <c r="BB14" s="9" t="s">
        <v>66</v>
      </c>
      <c r="BC14" s="13" t="s">
        <v>270</v>
      </c>
      <c r="BD14" s="15">
        <v>0.0</v>
      </c>
      <c r="BE14" s="9" t="s">
        <v>271</v>
      </c>
      <c r="BF14" s="16" t="s">
        <v>71</v>
      </c>
      <c r="BG14" s="13" t="s">
        <v>272</v>
      </c>
      <c r="BH14" s="15">
        <v>0.0</v>
      </c>
      <c r="BI14" s="9" t="s">
        <v>271</v>
      </c>
      <c r="BJ14" s="16" t="s">
        <v>73</v>
      </c>
      <c r="BK14" s="9"/>
      <c r="BL14" s="9"/>
      <c r="BM14" s="9"/>
      <c r="BN14" s="9"/>
      <c r="BO14" s="9"/>
      <c r="BP14" s="9"/>
      <c r="BQ14" s="9"/>
      <c r="BR14" s="9"/>
      <c r="BS14" s="13" t="s">
        <v>273</v>
      </c>
      <c r="BT14" s="15">
        <v>0.0</v>
      </c>
      <c r="BU14" s="9" t="s">
        <v>274</v>
      </c>
      <c r="BV14" s="16" t="s">
        <v>76</v>
      </c>
      <c r="BW14" s="13" t="s">
        <v>275</v>
      </c>
      <c r="BX14" s="15">
        <v>0.0</v>
      </c>
      <c r="BY14" s="9" t="s">
        <v>274</v>
      </c>
      <c r="BZ14" s="16" t="s">
        <v>78</v>
      </c>
      <c r="CA14" s="9"/>
      <c r="CB14" s="9"/>
      <c r="CC14" s="9"/>
      <c r="CD14" s="9"/>
      <c r="CE14" s="9"/>
      <c r="CF14" s="9"/>
      <c r="CG14" s="9"/>
      <c r="CH14" s="9"/>
      <c r="CI14" s="22" t="s">
        <v>276</v>
      </c>
      <c r="CJ14" s="15">
        <v>1.0</v>
      </c>
      <c r="CK14" s="9" t="s">
        <v>277</v>
      </c>
      <c r="CL14" s="9" t="s">
        <v>81</v>
      </c>
      <c r="CM14" s="22" t="s">
        <v>278</v>
      </c>
      <c r="CN14" s="19">
        <v>0.0</v>
      </c>
      <c r="CO14" s="9" t="s">
        <v>277</v>
      </c>
      <c r="CP14" s="9" t="s">
        <v>81</v>
      </c>
      <c r="CQ14" s="9"/>
      <c r="CR14" s="9"/>
      <c r="CS14" s="9"/>
      <c r="CT14" s="9"/>
      <c r="CU14" s="22" t="s">
        <v>279</v>
      </c>
      <c r="CV14" s="15">
        <v>1.0</v>
      </c>
      <c r="CW14" s="9" t="str">
        <f t="shared" si="2"/>
        <v>MOV-023</v>
      </c>
      <c r="CX14" s="9" t="s">
        <v>84</v>
      </c>
      <c r="CY14" s="22" t="s">
        <v>280</v>
      </c>
      <c r="CZ14" s="19">
        <v>0.0</v>
      </c>
      <c r="DA14" s="9" t="str">
        <f t="shared" si="3"/>
        <v>MOV-023</v>
      </c>
      <c r="DB14" s="9" t="s">
        <v>84</v>
      </c>
      <c r="DC14" s="18"/>
      <c r="DD14" s="9"/>
      <c r="DE14" s="9"/>
      <c r="DF14" s="9"/>
      <c r="DG14" s="18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</row>
    <row r="15">
      <c r="A15" s="7">
        <v>1334.0</v>
      </c>
      <c r="B15" s="8" t="s">
        <v>50</v>
      </c>
      <c r="C15" s="9" t="str">
        <f t="shared" si="1"/>
        <v>TK-14_BS VI HSD</v>
      </c>
      <c r="D15" s="20" t="s">
        <v>281</v>
      </c>
      <c r="E15" s="9"/>
      <c r="F15" s="21" t="s">
        <v>184</v>
      </c>
      <c r="G15" s="12" t="s">
        <v>53</v>
      </c>
      <c r="H15" s="7">
        <v>0.0</v>
      </c>
      <c r="I15" s="9"/>
      <c r="J15" s="9"/>
      <c r="K15" s="9"/>
      <c r="L15" s="9"/>
      <c r="M15" s="9"/>
      <c r="N15" s="9"/>
      <c r="O15" s="13" t="s">
        <v>282</v>
      </c>
      <c r="P15" s="9"/>
      <c r="Q15" s="9" t="s">
        <v>281</v>
      </c>
      <c r="R15" s="14" t="s">
        <v>55</v>
      </c>
      <c r="S15" s="13" t="s">
        <v>283</v>
      </c>
      <c r="T15" s="15">
        <v>0.0</v>
      </c>
      <c r="U15" s="9" t="s">
        <v>281</v>
      </c>
      <c r="V15" s="14" t="s">
        <v>55</v>
      </c>
      <c r="W15" s="13" t="s">
        <v>284</v>
      </c>
      <c r="X15" s="14">
        <v>0.0</v>
      </c>
      <c r="Y15" s="14" t="s">
        <v>281</v>
      </c>
      <c r="Z15" s="14" t="s">
        <v>55</v>
      </c>
      <c r="AA15" s="13" t="s">
        <v>285</v>
      </c>
      <c r="AB15" s="15">
        <v>0.0</v>
      </c>
      <c r="AC15" s="9" t="s">
        <v>281</v>
      </c>
      <c r="AD15" s="14" t="s">
        <v>55</v>
      </c>
      <c r="AE15" s="13" t="s">
        <v>286</v>
      </c>
      <c r="AF15" s="15">
        <v>0.0</v>
      </c>
      <c r="AG15" s="9" t="s">
        <v>287</v>
      </c>
      <c r="AH15" s="9" t="s">
        <v>61</v>
      </c>
      <c r="AI15" s="13" t="s">
        <v>288</v>
      </c>
      <c r="AJ15" s="15">
        <v>0.0</v>
      </c>
      <c r="AK15" s="9" t="s">
        <v>289</v>
      </c>
      <c r="AL15" s="9" t="s">
        <v>61</v>
      </c>
      <c r="AM15" s="13" t="s">
        <v>290</v>
      </c>
      <c r="AN15" s="15">
        <v>0.0</v>
      </c>
      <c r="AO15" s="9" t="s">
        <v>289</v>
      </c>
      <c r="AP15" s="9" t="s">
        <v>61</v>
      </c>
      <c r="AQ15" s="13" t="s">
        <v>291</v>
      </c>
      <c r="AR15" s="15">
        <v>0.0</v>
      </c>
      <c r="AS15" s="9" t="s">
        <v>292</v>
      </c>
      <c r="AT15" s="9" t="s">
        <v>66</v>
      </c>
      <c r="AU15" s="13" t="s">
        <v>293</v>
      </c>
      <c r="AV15" s="15">
        <v>0.0</v>
      </c>
      <c r="AW15" s="9" t="s">
        <v>292</v>
      </c>
      <c r="AX15" s="9" t="s">
        <v>66</v>
      </c>
      <c r="AY15" s="13" t="s">
        <v>294</v>
      </c>
      <c r="AZ15" s="15">
        <v>0.0</v>
      </c>
      <c r="BA15" s="9" t="s">
        <v>292</v>
      </c>
      <c r="BB15" s="9" t="s">
        <v>66</v>
      </c>
      <c r="BC15" s="13" t="s">
        <v>295</v>
      </c>
      <c r="BD15" s="15">
        <v>0.0</v>
      </c>
      <c r="BE15" s="9" t="s">
        <v>296</v>
      </c>
      <c r="BF15" s="16" t="s">
        <v>71</v>
      </c>
      <c r="BG15" s="13" t="s">
        <v>297</v>
      </c>
      <c r="BH15" s="15">
        <v>0.0</v>
      </c>
      <c r="BI15" s="9" t="s">
        <v>296</v>
      </c>
      <c r="BJ15" s="16" t="s">
        <v>73</v>
      </c>
      <c r="BK15" s="9"/>
      <c r="BL15" s="9"/>
      <c r="BM15" s="9"/>
      <c r="BN15" s="9"/>
      <c r="BO15" s="9"/>
      <c r="BP15" s="9"/>
      <c r="BQ15" s="9"/>
      <c r="BR15" s="9"/>
      <c r="BS15" s="13" t="s">
        <v>298</v>
      </c>
      <c r="BT15" s="15">
        <v>0.0</v>
      </c>
      <c r="BU15" s="9" t="s">
        <v>299</v>
      </c>
      <c r="BV15" s="16" t="s">
        <v>76</v>
      </c>
      <c r="BW15" s="13" t="s">
        <v>300</v>
      </c>
      <c r="BX15" s="15">
        <v>0.0</v>
      </c>
      <c r="BY15" s="9" t="s">
        <v>299</v>
      </c>
      <c r="BZ15" s="16" t="s">
        <v>78</v>
      </c>
      <c r="CA15" s="9"/>
      <c r="CB15" s="9"/>
      <c r="CC15" s="9"/>
      <c r="CD15" s="9"/>
      <c r="CE15" s="9"/>
      <c r="CF15" s="9"/>
      <c r="CG15" s="9"/>
      <c r="CH15" s="9"/>
      <c r="CI15" s="22" t="s">
        <v>301</v>
      </c>
      <c r="CJ15" s="15">
        <v>1.0</v>
      </c>
      <c r="CK15" s="9" t="s">
        <v>302</v>
      </c>
      <c r="CL15" s="9" t="s">
        <v>81</v>
      </c>
      <c r="CM15" s="22" t="s">
        <v>303</v>
      </c>
      <c r="CN15" s="19">
        <v>0.0</v>
      </c>
      <c r="CO15" s="9" t="s">
        <v>302</v>
      </c>
      <c r="CP15" s="9" t="s">
        <v>81</v>
      </c>
      <c r="CQ15" s="9"/>
      <c r="CR15" s="9"/>
      <c r="CS15" s="9"/>
      <c r="CT15" s="9"/>
      <c r="CU15" s="22" t="s">
        <v>304</v>
      </c>
      <c r="CV15" s="15">
        <v>1.0</v>
      </c>
      <c r="CW15" s="9" t="str">
        <f t="shared" si="2"/>
        <v>MOV-026</v>
      </c>
      <c r="CX15" s="9" t="s">
        <v>84</v>
      </c>
      <c r="CY15" s="22" t="s">
        <v>305</v>
      </c>
      <c r="CZ15" s="19">
        <v>0.0</v>
      </c>
      <c r="DA15" s="9" t="str">
        <f t="shared" si="3"/>
        <v>MOV-026</v>
      </c>
      <c r="DB15" s="9" t="s">
        <v>84</v>
      </c>
      <c r="DC15" s="18"/>
      <c r="DD15" s="9"/>
      <c r="DE15" s="9"/>
      <c r="DF15" s="9"/>
      <c r="DG15" s="18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</row>
    <row r="16">
      <c r="A16" s="7">
        <v>1334.0</v>
      </c>
      <c r="B16" s="8" t="s">
        <v>50</v>
      </c>
      <c r="C16" s="9" t="str">
        <f t="shared" si="1"/>
        <v>TK-15_BS VI MS</v>
      </c>
      <c r="D16" s="20" t="s">
        <v>306</v>
      </c>
      <c r="E16" s="9"/>
      <c r="F16" s="21" t="s">
        <v>52</v>
      </c>
      <c r="G16" s="12" t="s">
        <v>53</v>
      </c>
      <c r="H16" s="7">
        <v>0.0</v>
      </c>
      <c r="I16" s="9"/>
      <c r="J16" s="9"/>
      <c r="K16" s="9"/>
      <c r="L16" s="9"/>
      <c r="M16" s="9"/>
      <c r="N16" s="9"/>
      <c r="O16" s="13" t="s">
        <v>307</v>
      </c>
      <c r="P16" s="9"/>
      <c r="Q16" s="9" t="s">
        <v>306</v>
      </c>
      <c r="R16" s="14" t="s">
        <v>55</v>
      </c>
      <c r="S16" s="13" t="s">
        <v>308</v>
      </c>
      <c r="T16" s="15">
        <v>0.0</v>
      </c>
      <c r="U16" s="9" t="s">
        <v>306</v>
      </c>
      <c r="V16" s="14" t="s">
        <v>55</v>
      </c>
      <c r="W16" s="13" t="s">
        <v>309</v>
      </c>
      <c r="X16" s="14">
        <v>0.0</v>
      </c>
      <c r="Y16" s="14" t="s">
        <v>306</v>
      </c>
      <c r="Z16" s="14" t="s">
        <v>55</v>
      </c>
      <c r="AA16" s="13" t="s">
        <v>310</v>
      </c>
      <c r="AB16" s="15">
        <v>0.0</v>
      </c>
      <c r="AC16" s="9" t="s">
        <v>306</v>
      </c>
      <c r="AD16" s="14" t="s">
        <v>55</v>
      </c>
      <c r="AE16" s="13" t="s">
        <v>311</v>
      </c>
      <c r="AF16" s="15">
        <v>0.0</v>
      </c>
      <c r="AG16" s="9" t="s">
        <v>312</v>
      </c>
      <c r="AH16" s="9" t="s">
        <v>61</v>
      </c>
      <c r="AI16" s="13" t="s">
        <v>313</v>
      </c>
      <c r="AJ16" s="15">
        <v>0.0</v>
      </c>
      <c r="AK16" s="9" t="s">
        <v>314</v>
      </c>
      <c r="AL16" s="9" t="s">
        <v>61</v>
      </c>
      <c r="AM16" s="13" t="s">
        <v>315</v>
      </c>
      <c r="AN16" s="15">
        <v>0.0</v>
      </c>
      <c r="AO16" s="9" t="s">
        <v>314</v>
      </c>
      <c r="AP16" s="9" t="s">
        <v>61</v>
      </c>
      <c r="AQ16" s="13" t="s">
        <v>316</v>
      </c>
      <c r="AR16" s="15">
        <v>0.0</v>
      </c>
      <c r="AS16" s="9" t="s">
        <v>317</v>
      </c>
      <c r="AT16" s="9" t="s">
        <v>66</v>
      </c>
      <c r="AU16" s="13" t="s">
        <v>318</v>
      </c>
      <c r="AV16" s="15">
        <v>0.0</v>
      </c>
      <c r="AW16" s="9" t="s">
        <v>317</v>
      </c>
      <c r="AX16" s="9" t="s">
        <v>66</v>
      </c>
      <c r="AY16" s="13" t="s">
        <v>319</v>
      </c>
      <c r="AZ16" s="15">
        <v>0.0</v>
      </c>
      <c r="BA16" s="9" t="s">
        <v>317</v>
      </c>
      <c r="BB16" s="9" t="s">
        <v>66</v>
      </c>
      <c r="BC16" s="13" t="s">
        <v>320</v>
      </c>
      <c r="BD16" s="15">
        <v>0.0</v>
      </c>
      <c r="BE16" s="9" t="s">
        <v>321</v>
      </c>
      <c r="BF16" s="16" t="s">
        <v>71</v>
      </c>
      <c r="BG16" s="13" t="s">
        <v>322</v>
      </c>
      <c r="BH16" s="15">
        <v>0.0</v>
      </c>
      <c r="BI16" s="9" t="s">
        <v>321</v>
      </c>
      <c r="BJ16" s="16" t="s">
        <v>73</v>
      </c>
      <c r="BK16" s="9"/>
      <c r="BL16" s="9"/>
      <c r="BM16" s="9"/>
      <c r="BN16" s="9"/>
      <c r="BO16" s="9"/>
      <c r="BP16" s="9"/>
      <c r="BQ16" s="9"/>
      <c r="BR16" s="9"/>
      <c r="BS16" s="13" t="s">
        <v>323</v>
      </c>
      <c r="BT16" s="15">
        <v>0.0</v>
      </c>
      <c r="BU16" s="9" t="s">
        <v>324</v>
      </c>
      <c r="BV16" s="16" t="s">
        <v>76</v>
      </c>
      <c r="BW16" s="13" t="s">
        <v>325</v>
      </c>
      <c r="BX16" s="15">
        <v>0.0</v>
      </c>
      <c r="BY16" s="9" t="s">
        <v>324</v>
      </c>
      <c r="BZ16" s="16" t="s">
        <v>78</v>
      </c>
      <c r="CA16" s="9"/>
      <c r="CB16" s="9"/>
      <c r="CC16" s="9"/>
      <c r="CD16" s="9"/>
      <c r="CE16" s="9"/>
      <c r="CF16" s="9"/>
      <c r="CG16" s="9"/>
      <c r="CH16" s="9"/>
      <c r="CI16" s="22" t="s">
        <v>326</v>
      </c>
      <c r="CJ16" s="15">
        <v>1.0</v>
      </c>
      <c r="CK16" s="9" t="s">
        <v>327</v>
      </c>
      <c r="CL16" s="9" t="s">
        <v>81</v>
      </c>
      <c r="CM16" s="22" t="s">
        <v>328</v>
      </c>
      <c r="CN16" s="19">
        <v>0.0</v>
      </c>
      <c r="CO16" s="9" t="s">
        <v>327</v>
      </c>
      <c r="CP16" s="9" t="s">
        <v>81</v>
      </c>
      <c r="CQ16" s="9"/>
      <c r="CR16" s="9"/>
      <c r="CS16" s="9"/>
      <c r="CT16" s="9"/>
      <c r="CU16" s="22" t="s">
        <v>329</v>
      </c>
      <c r="CV16" s="15">
        <v>1.0</v>
      </c>
      <c r="CW16" s="9" t="str">
        <f t="shared" si="2"/>
        <v>MOV-029</v>
      </c>
      <c r="CX16" s="9" t="s">
        <v>84</v>
      </c>
      <c r="CY16" s="22" t="s">
        <v>330</v>
      </c>
      <c r="CZ16" s="19">
        <v>0.0</v>
      </c>
      <c r="DA16" s="9" t="str">
        <f t="shared" si="3"/>
        <v>MOV-029</v>
      </c>
      <c r="DB16" s="9" t="s">
        <v>84</v>
      </c>
      <c r="DC16" s="18"/>
      <c r="DD16" s="9"/>
      <c r="DE16" s="9"/>
      <c r="DF16" s="9"/>
      <c r="DG16" s="18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</row>
    <row r="17">
      <c r="A17" s="7">
        <v>1334.0</v>
      </c>
      <c r="B17" s="8" t="s">
        <v>50</v>
      </c>
      <c r="C17" s="9" t="str">
        <f t="shared" si="1"/>
        <v>TK-16_SLOP</v>
      </c>
      <c r="D17" s="20" t="s">
        <v>331</v>
      </c>
      <c r="E17" s="9"/>
      <c r="F17" s="21" t="s">
        <v>332</v>
      </c>
      <c r="G17" s="12" t="s">
        <v>53</v>
      </c>
      <c r="H17" s="7">
        <v>0.0</v>
      </c>
      <c r="I17" s="9"/>
      <c r="J17" s="9"/>
      <c r="K17" s="9"/>
      <c r="L17" s="9"/>
      <c r="M17" s="9"/>
      <c r="N17" s="9"/>
      <c r="O17" s="13" t="s">
        <v>333</v>
      </c>
      <c r="P17" s="9"/>
      <c r="Q17" s="9" t="s">
        <v>331</v>
      </c>
      <c r="R17" s="14" t="s">
        <v>55</v>
      </c>
      <c r="S17" s="13"/>
      <c r="T17" s="13"/>
      <c r="U17" s="9"/>
      <c r="V17" s="9"/>
      <c r="W17" s="13" t="s">
        <v>334</v>
      </c>
      <c r="X17" s="14">
        <v>0.0</v>
      </c>
      <c r="Y17" s="14" t="s">
        <v>331</v>
      </c>
      <c r="Z17" s="14" t="s">
        <v>55</v>
      </c>
      <c r="AA17" s="13"/>
      <c r="AB17" s="13"/>
      <c r="AC17" s="9"/>
      <c r="AD17" s="9"/>
      <c r="AE17" s="13" t="s">
        <v>335</v>
      </c>
      <c r="AF17" s="15">
        <v>0.0</v>
      </c>
      <c r="AG17" s="9" t="s">
        <v>336</v>
      </c>
      <c r="AH17" s="9" t="s">
        <v>61</v>
      </c>
      <c r="AI17" s="13" t="s">
        <v>337</v>
      </c>
      <c r="AJ17" s="15">
        <v>0.0</v>
      </c>
      <c r="AK17" s="9" t="s">
        <v>338</v>
      </c>
      <c r="AL17" s="9" t="s">
        <v>61</v>
      </c>
      <c r="AM17" s="13" t="s">
        <v>339</v>
      </c>
      <c r="AN17" s="15">
        <v>0.0</v>
      </c>
      <c r="AO17" s="9" t="s">
        <v>338</v>
      </c>
      <c r="AP17" s="9" t="s">
        <v>61</v>
      </c>
      <c r="AQ17" s="13" t="s">
        <v>340</v>
      </c>
      <c r="AR17" s="15">
        <v>0.0</v>
      </c>
      <c r="AS17" s="9" t="s">
        <v>341</v>
      </c>
      <c r="AT17" s="9" t="s">
        <v>66</v>
      </c>
      <c r="AU17" s="13" t="s">
        <v>342</v>
      </c>
      <c r="AV17" s="15">
        <v>0.0</v>
      </c>
      <c r="AW17" s="9" t="s">
        <v>341</v>
      </c>
      <c r="AX17" s="9" t="s">
        <v>66</v>
      </c>
      <c r="AY17" s="13" t="s">
        <v>343</v>
      </c>
      <c r="AZ17" s="15">
        <v>0.0</v>
      </c>
      <c r="BA17" s="9" t="s">
        <v>341</v>
      </c>
      <c r="BB17" s="9" t="s">
        <v>66</v>
      </c>
      <c r="BC17" s="13" t="s">
        <v>344</v>
      </c>
      <c r="BD17" s="15">
        <v>0.0</v>
      </c>
      <c r="BE17" s="9" t="s">
        <v>345</v>
      </c>
      <c r="BF17" s="16" t="s">
        <v>71</v>
      </c>
      <c r="BG17" s="13" t="s">
        <v>346</v>
      </c>
      <c r="BH17" s="15">
        <v>0.0</v>
      </c>
      <c r="BI17" s="9" t="s">
        <v>345</v>
      </c>
      <c r="BJ17" s="16" t="s">
        <v>73</v>
      </c>
      <c r="BK17" s="9"/>
      <c r="BL17" s="9"/>
      <c r="BM17" s="9"/>
      <c r="BN17" s="9"/>
      <c r="BO17" s="9"/>
      <c r="BP17" s="9"/>
      <c r="BQ17" s="9"/>
      <c r="BR17" s="9"/>
      <c r="BS17" s="13" t="s">
        <v>347</v>
      </c>
      <c r="BT17" s="15">
        <v>0.0</v>
      </c>
      <c r="BU17" s="9" t="s">
        <v>348</v>
      </c>
      <c r="BV17" s="16" t="s">
        <v>76</v>
      </c>
      <c r="BW17" s="13" t="s">
        <v>349</v>
      </c>
      <c r="BX17" s="15">
        <v>0.0</v>
      </c>
      <c r="BY17" s="9" t="s">
        <v>348</v>
      </c>
      <c r="BZ17" s="16" t="s">
        <v>78</v>
      </c>
      <c r="CA17" s="9"/>
      <c r="CB17" s="9"/>
      <c r="CC17" s="9"/>
      <c r="CD17" s="9"/>
      <c r="CE17" s="9"/>
      <c r="CF17" s="9"/>
      <c r="CG17" s="9"/>
      <c r="CH17" s="9"/>
      <c r="CI17" s="22" t="s">
        <v>350</v>
      </c>
      <c r="CJ17" s="15">
        <v>1.0</v>
      </c>
      <c r="CK17" s="9" t="s">
        <v>351</v>
      </c>
      <c r="CL17" s="9" t="s">
        <v>81</v>
      </c>
      <c r="CM17" s="22" t="s">
        <v>352</v>
      </c>
      <c r="CN17" s="19">
        <v>0.0</v>
      </c>
      <c r="CO17" s="9" t="s">
        <v>351</v>
      </c>
      <c r="CP17" s="9" t="s">
        <v>81</v>
      </c>
      <c r="CQ17" s="9"/>
      <c r="CR17" s="9"/>
      <c r="CS17" s="9"/>
      <c r="CT17" s="9"/>
      <c r="CU17" s="22" t="s">
        <v>353</v>
      </c>
      <c r="CV17" s="15">
        <v>1.0</v>
      </c>
      <c r="CW17" s="9" t="str">
        <f t="shared" si="2"/>
        <v>MOV-032</v>
      </c>
      <c r="CX17" s="9" t="s">
        <v>84</v>
      </c>
      <c r="CY17" s="22" t="s">
        <v>354</v>
      </c>
      <c r="CZ17" s="19">
        <v>0.0</v>
      </c>
      <c r="DA17" s="9" t="str">
        <f t="shared" si="3"/>
        <v>MOV-032</v>
      </c>
      <c r="DB17" s="9" t="s">
        <v>84</v>
      </c>
      <c r="DC17" s="22" t="s">
        <v>355</v>
      </c>
      <c r="DD17" s="9"/>
      <c r="DE17" s="9" t="s">
        <v>356</v>
      </c>
      <c r="DF17" s="9" t="s">
        <v>357</v>
      </c>
      <c r="DG17" s="22" t="s">
        <v>358</v>
      </c>
      <c r="DH17" s="24">
        <v>0.0</v>
      </c>
      <c r="DI17" s="9" t="s">
        <v>356</v>
      </c>
      <c r="DJ17" s="9" t="s">
        <v>357</v>
      </c>
      <c r="DK17" s="9"/>
      <c r="DL17" s="9"/>
      <c r="DM17" s="9"/>
      <c r="DN17" s="9"/>
      <c r="DO17" s="9"/>
      <c r="DP17" s="9"/>
      <c r="DQ17" s="9"/>
      <c r="DR17" s="9"/>
    </row>
    <row r="18">
      <c r="A18" s="7">
        <v>1334.0</v>
      </c>
      <c r="B18" s="8" t="s">
        <v>50</v>
      </c>
      <c r="C18" s="9" t="str">
        <f t="shared" si="1"/>
        <v>TK-17_SLOP</v>
      </c>
      <c r="D18" s="20" t="s">
        <v>359</v>
      </c>
      <c r="E18" s="9"/>
      <c r="F18" s="21" t="s">
        <v>332</v>
      </c>
      <c r="G18" s="12" t="s">
        <v>53</v>
      </c>
      <c r="H18" s="7">
        <v>0.0</v>
      </c>
      <c r="I18" s="9"/>
      <c r="J18" s="9"/>
      <c r="K18" s="9"/>
      <c r="L18" s="9"/>
      <c r="M18" s="9"/>
      <c r="N18" s="9"/>
      <c r="O18" s="13" t="s">
        <v>360</v>
      </c>
      <c r="P18" s="9"/>
      <c r="Q18" s="9" t="s">
        <v>359</v>
      </c>
      <c r="R18" s="14" t="s">
        <v>55</v>
      </c>
      <c r="S18" s="13"/>
      <c r="T18" s="13"/>
      <c r="U18" s="9"/>
      <c r="V18" s="9"/>
      <c r="W18" s="13" t="s">
        <v>361</v>
      </c>
      <c r="X18" s="14">
        <v>0.0</v>
      </c>
      <c r="Y18" s="14" t="s">
        <v>359</v>
      </c>
      <c r="Z18" s="14" t="s">
        <v>55</v>
      </c>
      <c r="AA18" s="13"/>
      <c r="AB18" s="13"/>
      <c r="AC18" s="9"/>
      <c r="AD18" s="9"/>
      <c r="AE18" s="13" t="s">
        <v>362</v>
      </c>
      <c r="AF18" s="15">
        <v>0.0</v>
      </c>
      <c r="AG18" s="9" t="s">
        <v>363</v>
      </c>
      <c r="AH18" s="9" t="s">
        <v>61</v>
      </c>
      <c r="AI18" s="13" t="s">
        <v>364</v>
      </c>
      <c r="AJ18" s="15">
        <v>0.0</v>
      </c>
      <c r="AK18" s="9" t="s">
        <v>365</v>
      </c>
      <c r="AL18" s="9" t="s">
        <v>61</v>
      </c>
      <c r="AM18" s="13" t="s">
        <v>366</v>
      </c>
      <c r="AN18" s="15">
        <v>0.0</v>
      </c>
      <c r="AO18" s="9" t="s">
        <v>365</v>
      </c>
      <c r="AP18" s="9" t="s">
        <v>61</v>
      </c>
      <c r="AQ18" s="13" t="s">
        <v>367</v>
      </c>
      <c r="AR18" s="15">
        <v>0.0</v>
      </c>
      <c r="AS18" s="9" t="s">
        <v>368</v>
      </c>
      <c r="AT18" s="9" t="s">
        <v>66</v>
      </c>
      <c r="AU18" s="13" t="s">
        <v>369</v>
      </c>
      <c r="AV18" s="15">
        <v>0.0</v>
      </c>
      <c r="AW18" s="9" t="s">
        <v>368</v>
      </c>
      <c r="AX18" s="9" t="s">
        <v>66</v>
      </c>
      <c r="AY18" s="13" t="s">
        <v>370</v>
      </c>
      <c r="AZ18" s="15">
        <v>0.0</v>
      </c>
      <c r="BA18" s="9" t="s">
        <v>368</v>
      </c>
      <c r="BB18" s="9" t="s">
        <v>66</v>
      </c>
      <c r="BC18" s="13" t="s">
        <v>371</v>
      </c>
      <c r="BD18" s="15">
        <v>0.0</v>
      </c>
      <c r="BE18" s="9" t="s">
        <v>372</v>
      </c>
      <c r="BF18" s="16" t="s">
        <v>71</v>
      </c>
      <c r="BG18" s="13" t="s">
        <v>373</v>
      </c>
      <c r="BH18" s="15">
        <v>0.0</v>
      </c>
      <c r="BI18" s="9" t="s">
        <v>372</v>
      </c>
      <c r="BJ18" s="16" t="s">
        <v>73</v>
      </c>
      <c r="BK18" s="9"/>
      <c r="BL18" s="9"/>
      <c r="BM18" s="9"/>
      <c r="BN18" s="9"/>
      <c r="BO18" s="9"/>
      <c r="BP18" s="9"/>
      <c r="BQ18" s="9"/>
      <c r="BR18" s="9"/>
      <c r="BS18" s="13" t="s">
        <v>374</v>
      </c>
      <c r="BT18" s="15">
        <v>0.0</v>
      </c>
      <c r="BU18" s="9" t="s">
        <v>375</v>
      </c>
      <c r="BV18" s="16" t="s">
        <v>76</v>
      </c>
      <c r="BW18" s="13" t="s">
        <v>376</v>
      </c>
      <c r="BX18" s="15">
        <v>0.0</v>
      </c>
      <c r="BY18" s="9" t="s">
        <v>375</v>
      </c>
      <c r="BZ18" s="16" t="s">
        <v>78</v>
      </c>
      <c r="CA18" s="9"/>
      <c r="CB18" s="9"/>
      <c r="CC18" s="9"/>
      <c r="CD18" s="9"/>
      <c r="CE18" s="9"/>
      <c r="CF18" s="9"/>
      <c r="CG18" s="9"/>
      <c r="CH18" s="9"/>
      <c r="CI18" s="22" t="s">
        <v>377</v>
      </c>
      <c r="CJ18" s="15">
        <v>1.0</v>
      </c>
      <c r="CK18" s="9" t="s">
        <v>378</v>
      </c>
      <c r="CL18" s="9" t="s">
        <v>81</v>
      </c>
      <c r="CM18" s="22" t="s">
        <v>379</v>
      </c>
      <c r="CN18" s="19">
        <v>0.0</v>
      </c>
      <c r="CO18" s="9" t="s">
        <v>378</v>
      </c>
      <c r="CP18" s="9" t="s">
        <v>81</v>
      </c>
      <c r="CQ18" s="9"/>
      <c r="CR18" s="9"/>
      <c r="CS18" s="9"/>
      <c r="CT18" s="9"/>
      <c r="CU18" s="22" t="s">
        <v>380</v>
      </c>
      <c r="CV18" s="15">
        <v>1.0</v>
      </c>
      <c r="CW18" s="9" t="str">
        <f t="shared" si="2"/>
        <v>MOV-035</v>
      </c>
      <c r="CX18" s="9" t="s">
        <v>84</v>
      </c>
      <c r="CY18" s="22" t="s">
        <v>381</v>
      </c>
      <c r="CZ18" s="19">
        <v>0.0</v>
      </c>
      <c r="DA18" s="9" t="str">
        <f t="shared" si="3"/>
        <v>MOV-035</v>
      </c>
      <c r="DB18" s="9" t="s">
        <v>84</v>
      </c>
      <c r="DC18" s="13"/>
      <c r="DD18" s="9"/>
      <c r="DE18" s="9"/>
      <c r="DF18" s="9"/>
      <c r="DG18" s="13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</row>
    <row r="19">
      <c r="A19" s="7">
        <v>1334.0</v>
      </c>
      <c r="B19" s="8" t="s">
        <v>50</v>
      </c>
      <c r="C19" s="9" t="str">
        <f t="shared" si="1"/>
        <v>TK-18_ETHANOL</v>
      </c>
      <c r="D19" s="20" t="s">
        <v>382</v>
      </c>
      <c r="E19" s="9"/>
      <c r="F19" s="21" t="s">
        <v>111</v>
      </c>
      <c r="G19" s="12" t="s">
        <v>53</v>
      </c>
      <c r="H19" s="7">
        <v>0.0</v>
      </c>
      <c r="I19" s="9"/>
      <c r="J19" s="9"/>
      <c r="K19" s="9"/>
      <c r="L19" s="9"/>
      <c r="M19" s="9"/>
      <c r="N19" s="9"/>
      <c r="O19" s="13" t="s">
        <v>383</v>
      </c>
      <c r="P19" s="9"/>
      <c r="Q19" s="9" t="s">
        <v>382</v>
      </c>
      <c r="R19" s="14" t="s">
        <v>55</v>
      </c>
      <c r="S19" s="13" t="s">
        <v>384</v>
      </c>
      <c r="T19" s="15">
        <v>0.0</v>
      </c>
      <c r="U19" s="9" t="s">
        <v>382</v>
      </c>
      <c r="V19" s="14" t="s">
        <v>55</v>
      </c>
      <c r="W19" s="13" t="s">
        <v>385</v>
      </c>
      <c r="X19" s="14">
        <v>0.0</v>
      </c>
      <c r="Y19" s="14" t="s">
        <v>382</v>
      </c>
      <c r="Z19" s="14" t="s">
        <v>55</v>
      </c>
      <c r="AA19" s="13" t="s">
        <v>386</v>
      </c>
      <c r="AB19" s="15">
        <v>0.0</v>
      </c>
      <c r="AC19" s="9" t="s">
        <v>382</v>
      </c>
      <c r="AD19" s="14" t="s">
        <v>55</v>
      </c>
      <c r="AE19" s="18"/>
      <c r="AF19" s="13"/>
      <c r="AG19" s="9"/>
      <c r="AH19" s="9"/>
      <c r="AI19" s="18"/>
      <c r="AJ19" s="13"/>
      <c r="AK19" s="9"/>
      <c r="AL19" s="9"/>
      <c r="AM19" s="18"/>
      <c r="AN19" s="13"/>
      <c r="AO19" s="9"/>
      <c r="AP19" s="9"/>
      <c r="AQ19" s="18"/>
      <c r="AR19" s="13"/>
      <c r="AS19" s="9"/>
      <c r="AT19" s="9"/>
      <c r="AU19" s="18"/>
      <c r="AV19" s="13"/>
      <c r="AW19" s="9"/>
      <c r="AX19" s="9"/>
      <c r="AY19" s="18"/>
      <c r="AZ19" s="13"/>
      <c r="BA19" s="9"/>
      <c r="BB19" s="9"/>
      <c r="BC19" s="13"/>
      <c r="BD19" s="13"/>
      <c r="BE19" s="9"/>
      <c r="BF19" s="9"/>
      <c r="BG19" s="13"/>
      <c r="BH19" s="13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13"/>
      <c r="BT19" s="13"/>
      <c r="BU19" s="9"/>
      <c r="BV19" s="9"/>
      <c r="BW19" s="13"/>
      <c r="BX19" s="13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18"/>
      <c r="CJ19" s="13"/>
      <c r="CK19" s="9"/>
      <c r="CL19" s="9"/>
      <c r="CM19" s="18"/>
      <c r="CN19" s="13"/>
      <c r="CO19" s="9"/>
      <c r="CP19" s="9"/>
      <c r="CQ19" s="9"/>
      <c r="CR19" s="9"/>
      <c r="CS19" s="9"/>
      <c r="CT19" s="9"/>
      <c r="CU19" s="18"/>
      <c r="CV19" s="13"/>
      <c r="CW19" s="9" t="str">
        <f t="shared" si="2"/>
        <v/>
      </c>
      <c r="CX19" s="9"/>
      <c r="CY19" s="18"/>
      <c r="CZ19" s="13"/>
      <c r="DA19" s="9" t="str">
        <f t="shared" si="3"/>
        <v/>
      </c>
      <c r="DB19" s="9"/>
      <c r="DC19" s="13"/>
      <c r="DD19" s="9"/>
      <c r="DE19" s="9"/>
      <c r="DF19" s="9"/>
      <c r="DG19" s="13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</row>
    <row r="20">
      <c r="A20" s="7">
        <v>1334.0</v>
      </c>
      <c r="B20" s="8" t="s">
        <v>50</v>
      </c>
      <c r="C20" s="9" t="str">
        <f t="shared" si="1"/>
        <v>TK-19_ETHANOL</v>
      </c>
      <c r="D20" s="20" t="s">
        <v>387</v>
      </c>
      <c r="E20" s="9"/>
      <c r="F20" s="21" t="s">
        <v>111</v>
      </c>
      <c r="G20" s="12" t="s">
        <v>53</v>
      </c>
      <c r="H20" s="7">
        <v>0.0</v>
      </c>
      <c r="I20" s="9"/>
      <c r="J20" s="9"/>
      <c r="K20" s="9"/>
      <c r="L20" s="9"/>
      <c r="M20" s="9"/>
      <c r="N20" s="9"/>
      <c r="O20" s="13" t="s">
        <v>388</v>
      </c>
      <c r="P20" s="9"/>
      <c r="Q20" s="9" t="s">
        <v>387</v>
      </c>
      <c r="R20" s="14" t="s">
        <v>55</v>
      </c>
      <c r="S20" s="13" t="s">
        <v>389</v>
      </c>
      <c r="T20" s="15">
        <v>0.0</v>
      </c>
      <c r="U20" s="9" t="s">
        <v>387</v>
      </c>
      <c r="V20" s="14" t="s">
        <v>55</v>
      </c>
      <c r="W20" s="13" t="s">
        <v>390</v>
      </c>
      <c r="X20" s="14">
        <v>0.0</v>
      </c>
      <c r="Y20" s="14" t="s">
        <v>387</v>
      </c>
      <c r="Z20" s="14" t="s">
        <v>55</v>
      </c>
      <c r="AA20" s="13" t="s">
        <v>391</v>
      </c>
      <c r="AB20" s="15">
        <v>0.0</v>
      </c>
      <c r="AC20" s="9" t="s">
        <v>387</v>
      </c>
      <c r="AD20" s="14" t="s">
        <v>55</v>
      </c>
      <c r="AE20" s="18"/>
      <c r="AF20" s="13"/>
      <c r="AG20" s="9"/>
      <c r="AH20" s="9"/>
      <c r="AI20" s="18"/>
      <c r="AJ20" s="13"/>
      <c r="AK20" s="9"/>
      <c r="AL20" s="9"/>
      <c r="AM20" s="18"/>
      <c r="AN20" s="13"/>
      <c r="AO20" s="9"/>
      <c r="AP20" s="9"/>
      <c r="AQ20" s="18"/>
      <c r="AR20" s="13"/>
      <c r="AS20" s="9"/>
      <c r="AT20" s="9"/>
      <c r="AU20" s="18"/>
      <c r="AV20" s="13"/>
      <c r="AW20" s="9"/>
      <c r="AX20" s="9"/>
      <c r="AY20" s="18"/>
      <c r="AZ20" s="13"/>
      <c r="BA20" s="9"/>
      <c r="BB20" s="9"/>
      <c r="BC20" s="13"/>
      <c r="BD20" s="13"/>
      <c r="BE20" s="9"/>
      <c r="BF20" s="9"/>
      <c r="BG20" s="13"/>
      <c r="BH20" s="13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13"/>
      <c r="BT20" s="13"/>
      <c r="BU20" s="9"/>
      <c r="BV20" s="9"/>
      <c r="BW20" s="13"/>
      <c r="BX20" s="13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18"/>
      <c r="CJ20" s="13"/>
      <c r="CK20" s="9"/>
      <c r="CL20" s="9"/>
      <c r="CM20" s="18"/>
      <c r="CN20" s="13"/>
      <c r="CO20" s="9"/>
      <c r="CP20" s="9"/>
      <c r="CQ20" s="9"/>
      <c r="CR20" s="9"/>
      <c r="CS20" s="9"/>
      <c r="CT20" s="9"/>
      <c r="CU20" s="18"/>
      <c r="CV20" s="13"/>
      <c r="CW20" s="9" t="str">
        <f t="shared" si="2"/>
        <v/>
      </c>
      <c r="CX20" s="9"/>
      <c r="CY20" s="18"/>
      <c r="CZ20" s="13"/>
      <c r="DA20" s="9" t="str">
        <f t="shared" si="3"/>
        <v/>
      </c>
      <c r="DB20" s="9"/>
      <c r="DC20" s="13"/>
      <c r="DD20" s="9"/>
      <c r="DE20" s="9"/>
      <c r="DF20" s="9"/>
      <c r="DG20" s="13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</row>
    <row r="21">
      <c r="A21" s="7">
        <v>1334.0</v>
      </c>
      <c r="B21" s="8" t="s">
        <v>50</v>
      </c>
      <c r="C21" s="9" t="str">
        <f t="shared" si="1"/>
        <v>TK-20_ETHANOL</v>
      </c>
      <c r="D21" s="20" t="s">
        <v>392</v>
      </c>
      <c r="E21" s="9"/>
      <c r="F21" s="21" t="s">
        <v>111</v>
      </c>
      <c r="G21" s="12" t="s">
        <v>53</v>
      </c>
      <c r="H21" s="7">
        <v>0.0</v>
      </c>
      <c r="I21" s="9"/>
      <c r="J21" s="9"/>
      <c r="K21" s="9"/>
      <c r="L21" s="9"/>
      <c r="M21" s="9"/>
      <c r="N21" s="9"/>
      <c r="O21" s="13" t="s">
        <v>393</v>
      </c>
      <c r="P21" s="9"/>
      <c r="Q21" s="9" t="s">
        <v>392</v>
      </c>
      <c r="R21" s="14" t="s">
        <v>55</v>
      </c>
      <c r="S21" s="13" t="s">
        <v>394</v>
      </c>
      <c r="T21" s="15">
        <v>0.0</v>
      </c>
      <c r="U21" s="9" t="s">
        <v>392</v>
      </c>
      <c r="V21" s="14" t="s">
        <v>55</v>
      </c>
      <c r="W21" s="13" t="s">
        <v>395</v>
      </c>
      <c r="X21" s="14">
        <v>0.0</v>
      </c>
      <c r="Y21" s="14" t="s">
        <v>392</v>
      </c>
      <c r="Z21" s="14" t="s">
        <v>55</v>
      </c>
      <c r="AA21" s="13" t="s">
        <v>396</v>
      </c>
      <c r="AB21" s="15">
        <v>0.0</v>
      </c>
      <c r="AC21" s="9" t="s">
        <v>392</v>
      </c>
      <c r="AD21" s="14" t="s">
        <v>55</v>
      </c>
      <c r="AE21" s="18"/>
      <c r="AF21" s="13"/>
      <c r="AG21" s="9"/>
      <c r="AH21" s="9"/>
      <c r="AI21" s="18"/>
      <c r="AJ21" s="13"/>
      <c r="AK21" s="9"/>
      <c r="AL21" s="9"/>
      <c r="AM21" s="18"/>
      <c r="AN21" s="13"/>
      <c r="AO21" s="9"/>
      <c r="AP21" s="9"/>
      <c r="AQ21" s="18"/>
      <c r="AR21" s="13"/>
      <c r="AS21" s="9"/>
      <c r="AT21" s="9"/>
      <c r="AU21" s="18"/>
      <c r="AV21" s="13"/>
      <c r="AW21" s="9"/>
      <c r="AX21" s="9"/>
      <c r="AY21" s="18"/>
      <c r="AZ21" s="13"/>
      <c r="BA21" s="9"/>
      <c r="BB21" s="9"/>
      <c r="BC21" s="13"/>
      <c r="BD21" s="13"/>
      <c r="BE21" s="9"/>
      <c r="BF21" s="9"/>
      <c r="BG21" s="13"/>
      <c r="BH21" s="13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13"/>
      <c r="BT21" s="13"/>
      <c r="BU21" s="9"/>
      <c r="BV21" s="9"/>
      <c r="BW21" s="13"/>
      <c r="BX21" s="13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13"/>
      <c r="CJ21" s="13"/>
      <c r="CK21" s="9"/>
      <c r="CL21" s="9"/>
      <c r="CM21" s="13"/>
      <c r="CN21" s="13"/>
      <c r="CO21" s="9"/>
      <c r="CP21" s="9"/>
      <c r="CQ21" s="9"/>
      <c r="CR21" s="9"/>
      <c r="CS21" s="9"/>
      <c r="CT21" s="9"/>
      <c r="CU21" s="18"/>
      <c r="CV21" s="13"/>
      <c r="CW21" s="9" t="str">
        <f t="shared" si="2"/>
        <v/>
      </c>
      <c r="CX21" s="9"/>
      <c r="CY21" s="18"/>
      <c r="CZ21" s="13"/>
      <c r="DA21" s="9" t="str">
        <f t="shared" si="3"/>
        <v/>
      </c>
      <c r="DB21" s="9"/>
      <c r="DC21" s="13"/>
      <c r="DD21" s="9"/>
      <c r="DE21" s="9"/>
      <c r="DF21" s="9"/>
      <c r="DG21" s="13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</row>
    <row r="22">
      <c r="A22" s="7">
        <v>1334.0</v>
      </c>
      <c r="B22" s="8" t="s">
        <v>50</v>
      </c>
      <c r="C22" s="9" t="str">
        <f t="shared" si="1"/>
        <v>TK-21_ETHANOL</v>
      </c>
      <c r="D22" s="20" t="s">
        <v>397</v>
      </c>
      <c r="E22" s="9"/>
      <c r="F22" s="21" t="s">
        <v>111</v>
      </c>
      <c r="G22" s="12" t="s">
        <v>53</v>
      </c>
      <c r="H22" s="7">
        <v>0.0</v>
      </c>
      <c r="I22" s="9"/>
      <c r="J22" s="9"/>
      <c r="K22" s="9"/>
      <c r="L22" s="9"/>
      <c r="M22" s="9"/>
      <c r="N22" s="9"/>
      <c r="O22" s="13" t="s">
        <v>398</v>
      </c>
      <c r="P22" s="9"/>
      <c r="Q22" s="9" t="s">
        <v>397</v>
      </c>
      <c r="R22" s="14" t="s">
        <v>55</v>
      </c>
      <c r="S22" s="13" t="s">
        <v>399</v>
      </c>
      <c r="T22" s="15">
        <v>0.0</v>
      </c>
      <c r="U22" s="9" t="s">
        <v>397</v>
      </c>
      <c r="V22" s="14" t="s">
        <v>55</v>
      </c>
      <c r="W22" s="13" t="s">
        <v>400</v>
      </c>
      <c r="X22" s="14">
        <v>0.0</v>
      </c>
      <c r="Y22" s="14" t="s">
        <v>397</v>
      </c>
      <c r="Z22" s="14" t="s">
        <v>55</v>
      </c>
      <c r="AA22" s="13" t="s">
        <v>401</v>
      </c>
      <c r="AB22" s="15">
        <v>0.0</v>
      </c>
      <c r="AC22" s="9" t="s">
        <v>397</v>
      </c>
      <c r="AD22" s="14" t="s">
        <v>55</v>
      </c>
      <c r="AE22" s="18"/>
      <c r="AF22" s="13"/>
      <c r="AG22" s="9"/>
      <c r="AH22" s="9"/>
      <c r="AI22" s="18"/>
      <c r="AJ22" s="13"/>
      <c r="AK22" s="9"/>
      <c r="AL22" s="9"/>
      <c r="AM22" s="18"/>
      <c r="AN22" s="13"/>
      <c r="AO22" s="9"/>
      <c r="AP22" s="9"/>
      <c r="AQ22" s="18"/>
      <c r="AR22" s="13"/>
      <c r="AS22" s="9"/>
      <c r="AT22" s="9"/>
      <c r="AU22" s="18"/>
      <c r="AV22" s="13"/>
      <c r="AW22" s="9"/>
      <c r="AX22" s="9"/>
      <c r="AY22" s="18"/>
      <c r="AZ22" s="13"/>
      <c r="BA22" s="9"/>
      <c r="BB22" s="9"/>
      <c r="BC22" s="13"/>
      <c r="BD22" s="13"/>
      <c r="BE22" s="9"/>
      <c r="BF22" s="9"/>
      <c r="BG22" s="13"/>
      <c r="BH22" s="13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13"/>
      <c r="BT22" s="13"/>
      <c r="BU22" s="9"/>
      <c r="BV22" s="9"/>
      <c r="BW22" s="13"/>
      <c r="BX22" s="13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13"/>
      <c r="CJ22" s="13"/>
      <c r="CK22" s="9"/>
      <c r="CL22" s="9"/>
      <c r="CM22" s="13"/>
      <c r="CN22" s="13"/>
      <c r="CO22" s="9"/>
      <c r="CP22" s="9"/>
      <c r="CQ22" s="9"/>
      <c r="CR22" s="9"/>
      <c r="CS22" s="9"/>
      <c r="CT22" s="9"/>
      <c r="CU22" s="18"/>
      <c r="CV22" s="13"/>
      <c r="CW22" s="9" t="str">
        <f t="shared" si="2"/>
        <v/>
      </c>
      <c r="CX22" s="9"/>
      <c r="CY22" s="18"/>
      <c r="CZ22" s="13"/>
      <c r="DA22" s="9" t="str">
        <f t="shared" si="3"/>
        <v/>
      </c>
      <c r="DB22" s="9"/>
      <c r="DC22" s="13"/>
      <c r="DD22" s="9"/>
      <c r="DE22" s="9"/>
      <c r="DF22" s="9"/>
      <c r="DG22" s="13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</row>
    <row r="23">
      <c r="A23" s="7">
        <v>1334.0</v>
      </c>
      <c r="B23" s="8" t="s">
        <v>50</v>
      </c>
      <c r="C23" s="9" t="str">
        <f t="shared" si="1"/>
        <v>TK-26_BS VI MS</v>
      </c>
      <c r="D23" s="20" t="s">
        <v>402</v>
      </c>
      <c r="E23" s="9"/>
      <c r="F23" s="21" t="s">
        <v>52</v>
      </c>
      <c r="G23" s="12" t="s">
        <v>53</v>
      </c>
      <c r="H23" s="7">
        <v>0.0</v>
      </c>
      <c r="I23" s="9"/>
      <c r="J23" s="9"/>
      <c r="K23" s="9"/>
      <c r="L23" s="9"/>
      <c r="M23" s="9"/>
      <c r="N23" s="9"/>
      <c r="O23" s="13" t="s">
        <v>403</v>
      </c>
      <c r="P23" s="9"/>
      <c r="Q23" s="9" t="s">
        <v>402</v>
      </c>
      <c r="R23" s="14" t="s">
        <v>55</v>
      </c>
      <c r="S23" s="13" t="s">
        <v>404</v>
      </c>
      <c r="T23" s="15">
        <v>0.0</v>
      </c>
      <c r="U23" s="9" t="s">
        <v>402</v>
      </c>
      <c r="V23" s="14" t="s">
        <v>55</v>
      </c>
      <c r="W23" s="13" t="s">
        <v>405</v>
      </c>
      <c r="X23" s="14">
        <v>0.0</v>
      </c>
      <c r="Y23" s="14" t="s">
        <v>402</v>
      </c>
      <c r="Z23" s="14" t="s">
        <v>55</v>
      </c>
      <c r="AA23" s="13" t="s">
        <v>406</v>
      </c>
      <c r="AB23" s="15">
        <v>0.0</v>
      </c>
      <c r="AC23" s="9" t="s">
        <v>402</v>
      </c>
      <c r="AD23" s="14" t="s">
        <v>55</v>
      </c>
      <c r="AE23" s="13" t="s">
        <v>407</v>
      </c>
      <c r="AF23" s="15">
        <v>0.0</v>
      </c>
      <c r="AG23" s="9" t="s">
        <v>408</v>
      </c>
      <c r="AH23" s="9" t="s">
        <v>61</v>
      </c>
      <c r="AI23" s="13" t="s">
        <v>409</v>
      </c>
      <c r="AJ23" s="15">
        <v>0.0</v>
      </c>
      <c r="AK23" s="9" t="s">
        <v>408</v>
      </c>
      <c r="AL23" s="9" t="s">
        <v>61</v>
      </c>
      <c r="AM23" s="13" t="s">
        <v>410</v>
      </c>
      <c r="AN23" s="15">
        <v>0.0</v>
      </c>
      <c r="AO23" s="9" t="s">
        <v>408</v>
      </c>
      <c r="AP23" s="9" t="s">
        <v>61</v>
      </c>
      <c r="AQ23" s="13" t="s">
        <v>411</v>
      </c>
      <c r="AR23" s="15">
        <v>0.0</v>
      </c>
      <c r="AS23" s="9" t="s">
        <v>412</v>
      </c>
      <c r="AT23" s="9" t="s">
        <v>66</v>
      </c>
      <c r="AU23" s="13" t="s">
        <v>413</v>
      </c>
      <c r="AV23" s="15">
        <v>0.0</v>
      </c>
      <c r="AW23" s="9" t="s">
        <v>412</v>
      </c>
      <c r="AX23" s="9" t="s">
        <v>66</v>
      </c>
      <c r="AY23" s="13" t="s">
        <v>414</v>
      </c>
      <c r="AZ23" s="15">
        <v>0.0</v>
      </c>
      <c r="BA23" s="9" t="s">
        <v>412</v>
      </c>
      <c r="BB23" s="9" t="s">
        <v>66</v>
      </c>
      <c r="BC23" s="13" t="s">
        <v>415</v>
      </c>
      <c r="BD23" s="15">
        <v>0.0</v>
      </c>
      <c r="BE23" s="9" t="s">
        <v>416</v>
      </c>
      <c r="BF23" s="16" t="s">
        <v>71</v>
      </c>
      <c r="BG23" s="13" t="s">
        <v>417</v>
      </c>
      <c r="BH23" s="15">
        <v>0.0</v>
      </c>
      <c r="BI23" s="9" t="s">
        <v>416</v>
      </c>
      <c r="BJ23" s="16" t="s">
        <v>73</v>
      </c>
      <c r="BK23" s="9"/>
      <c r="BL23" s="9"/>
      <c r="BM23" s="9"/>
      <c r="BN23" s="9"/>
      <c r="BO23" s="9"/>
      <c r="BP23" s="9"/>
      <c r="BQ23" s="9"/>
      <c r="BR23" s="9"/>
      <c r="BS23" s="13" t="s">
        <v>418</v>
      </c>
      <c r="BT23" s="15">
        <v>0.0</v>
      </c>
      <c r="BU23" s="9" t="s">
        <v>419</v>
      </c>
      <c r="BV23" s="16" t="s">
        <v>76</v>
      </c>
      <c r="BW23" s="13" t="s">
        <v>420</v>
      </c>
      <c r="BX23" s="15">
        <v>0.0</v>
      </c>
      <c r="BY23" s="9" t="s">
        <v>419</v>
      </c>
      <c r="BZ23" s="16" t="s">
        <v>78</v>
      </c>
      <c r="CA23" s="9"/>
      <c r="CB23" s="9"/>
      <c r="CC23" s="9"/>
      <c r="CD23" s="9"/>
      <c r="CE23" s="9"/>
      <c r="CF23" s="9"/>
      <c r="CG23" s="9"/>
      <c r="CH23" s="9"/>
      <c r="CI23" s="22" t="s">
        <v>421</v>
      </c>
      <c r="CJ23" s="15">
        <v>1.0</v>
      </c>
      <c r="CK23" s="9" t="s">
        <v>422</v>
      </c>
      <c r="CL23" s="9" t="s">
        <v>81</v>
      </c>
      <c r="CM23" s="22" t="s">
        <v>423</v>
      </c>
      <c r="CN23" s="19">
        <v>0.0</v>
      </c>
      <c r="CO23" s="9" t="s">
        <v>422</v>
      </c>
      <c r="CP23" s="9" t="s">
        <v>81</v>
      </c>
      <c r="CQ23" s="9"/>
      <c r="CR23" s="9"/>
      <c r="CS23" s="9"/>
      <c r="CT23" s="9"/>
      <c r="CU23" s="22" t="s">
        <v>424</v>
      </c>
      <c r="CV23" s="15">
        <v>1.0</v>
      </c>
      <c r="CW23" s="9" t="str">
        <f t="shared" si="2"/>
        <v>MOV-038</v>
      </c>
      <c r="CX23" s="9" t="s">
        <v>84</v>
      </c>
      <c r="CY23" s="22" t="s">
        <v>425</v>
      </c>
      <c r="CZ23" s="19">
        <v>0.0</v>
      </c>
      <c r="DA23" s="9" t="str">
        <f t="shared" si="3"/>
        <v>MOV-038</v>
      </c>
      <c r="DB23" s="9" t="s">
        <v>84</v>
      </c>
      <c r="DC23" s="18"/>
      <c r="DD23" s="9"/>
      <c r="DE23" s="9"/>
      <c r="DF23" s="9"/>
      <c r="DG23" s="18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</row>
    <row r="24">
      <c r="A24" s="7">
        <v>1334.0</v>
      </c>
      <c r="B24" s="8" t="s">
        <v>50</v>
      </c>
      <c r="C24" s="9" t="str">
        <f t="shared" si="1"/>
        <v>TK-27_BS VI HSD</v>
      </c>
      <c r="D24" s="20" t="s">
        <v>426</v>
      </c>
      <c r="E24" s="9"/>
      <c r="F24" s="21" t="s">
        <v>184</v>
      </c>
      <c r="G24" s="12" t="s">
        <v>53</v>
      </c>
      <c r="H24" s="7">
        <v>0.0</v>
      </c>
      <c r="I24" s="9"/>
      <c r="J24" s="9"/>
      <c r="K24" s="9"/>
      <c r="L24" s="9"/>
      <c r="M24" s="9"/>
      <c r="N24" s="9"/>
      <c r="O24" s="13" t="s">
        <v>427</v>
      </c>
      <c r="P24" s="9"/>
      <c r="Q24" s="9" t="s">
        <v>426</v>
      </c>
      <c r="R24" s="14" t="s">
        <v>55</v>
      </c>
      <c r="S24" s="13" t="s">
        <v>428</v>
      </c>
      <c r="T24" s="15">
        <v>0.0</v>
      </c>
      <c r="U24" s="9" t="s">
        <v>426</v>
      </c>
      <c r="V24" s="14" t="s">
        <v>55</v>
      </c>
      <c r="W24" s="13" t="s">
        <v>429</v>
      </c>
      <c r="X24" s="14">
        <v>0.0</v>
      </c>
      <c r="Y24" s="14" t="s">
        <v>426</v>
      </c>
      <c r="Z24" s="14" t="s">
        <v>55</v>
      </c>
      <c r="AA24" s="13" t="s">
        <v>430</v>
      </c>
      <c r="AB24" s="15">
        <v>0.0</v>
      </c>
      <c r="AC24" s="9" t="s">
        <v>426</v>
      </c>
      <c r="AD24" s="14" t="s">
        <v>55</v>
      </c>
      <c r="AE24" s="13" t="s">
        <v>431</v>
      </c>
      <c r="AF24" s="15">
        <v>0.0</v>
      </c>
      <c r="AG24" s="9" t="s">
        <v>432</v>
      </c>
      <c r="AH24" s="9" t="s">
        <v>61</v>
      </c>
      <c r="AI24" s="13" t="s">
        <v>433</v>
      </c>
      <c r="AJ24" s="15">
        <v>0.0</v>
      </c>
      <c r="AK24" s="9" t="s">
        <v>432</v>
      </c>
      <c r="AL24" s="9" t="s">
        <v>61</v>
      </c>
      <c r="AM24" s="13" t="s">
        <v>434</v>
      </c>
      <c r="AN24" s="15">
        <v>0.0</v>
      </c>
      <c r="AO24" s="9" t="s">
        <v>432</v>
      </c>
      <c r="AP24" s="9" t="s">
        <v>61</v>
      </c>
      <c r="AQ24" s="13" t="s">
        <v>435</v>
      </c>
      <c r="AR24" s="15">
        <v>0.0</v>
      </c>
      <c r="AS24" s="9" t="s">
        <v>436</v>
      </c>
      <c r="AT24" s="9" t="s">
        <v>66</v>
      </c>
      <c r="AU24" s="13" t="s">
        <v>437</v>
      </c>
      <c r="AV24" s="15">
        <v>0.0</v>
      </c>
      <c r="AW24" s="9" t="s">
        <v>436</v>
      </c>
      <c r="AX24" s="9" t="s">
        <v>66</v>
      </c>
      <c r="AY24" s="13" t="s">
        <v>438</v>
      </c>
      <c r="AZ24" s="15">
        <v>0.0</v>
      </c>
      <c r="BA24" s="9" t="s">
        <v>436</v>
      </c>
      <c r="BB24" s="9" t="s">
        <v>66</v>
      </c>
      <c r="BC24" s="13" t="s">
        <v>439</v>
      </c>
      <c r="BD24" s="15">
        <v>0.0</v>
      </c>
      <c r="BE24" s="9" t="s">
        <v>440</v>
      </c>
      <c r="BF24" s="16" t="s">
        <v>71</v>
      </c>
      <c r="BG24" s="13" t="s">
        <v>441</v>
      </c>
      <c r="BH24" s="15">
        <v>0.0</v>
      </c>
      <c r="BI24" s="9" t="s">
        <v>440</v>
      </c>
      <c r="BJ24" s="16" t="s">
        <v>73</v>
      </c>
      <c r="BK24" s="9"/>
      <c r="BL24" s="9"/>
      <c r="BM24" s="9"/>
      <c r="BN24" s="9"/>
      <c r="BO24" s="9"/>
      <c r="BP24" s="9"/>
      <c r="BQ24" s="9"/>
      <c r="BR24" s="9"/>
      <c r="BS24" s="13" t="s">
        <v>442</v>
      </c>
      <c r="BT24" s="15">
        <v>0.0</v>
      </c>
      <c r="BU24" s="9" t="s">
        <v>443</v>
      </c>
      <c r="BV24" s="16" t="s">
        <v>76</v>
      </c>
      <c r="BW24" s="13" t="s">
        <v>444</v>
      </c>
      <c r="BX24" s="15">
        <v>0.0</v>
      </c>
      <c r="BY24" s="9" t="s">
        <v>443</v>
      </c>
      <c r="BZ24" s="16" t="s">
        <v>78</v>
      </c>
      <c r="CA24" s="9"/>
      <c r="CB24" s="9"/>
      <c r="CC24" s="9"/>
      <c r="CD24" s="9"/>
      <c r="CE24" s="9"/>
      <c r="CF24" s="9"/>
      <c r="CG24" s="9"/>
      <c r="CH24" s="9"/>
      <c r="CI24" s="22" t="s">
        <v>445</v>
      </c>
      <c r="CJ24" s="15">
        <v>1.0</v>
      </c>
      <c r="CK24" s="9" t="s">
        <v>446</v>
      </c>
      <c r="CL24" s="9" t="s">
        <v>81</v>
      </c>
      <c r="CM24" s="22" t="s">
        <v>447</v>
      </c>
      <c r="CN24" s="19">
        <v>0.0</v>
      </c>
      <c r="CO24" s="9" t="s">
        <v>446</v>
      </c>
      <c r="CP24" s="9" t="s">
        <v>81</v>
      </c>
      <c r="CQ24" s="9"/>
      <c r="CR24" s="9"/>
      <c r="CS24" s="9"/>
      <c r="CT24" s="9"/>
      <c r="CU24" s="22" t="s">
        <v>448</v>
      </c>
      <c r="CV24" s="15">
        <v>1.0</v>
      </c>
      <c r="CW24" s="9" t="str">
        <f t="shared" si="2"/>
        <v>MOV-041</v>
      </c>
      <c r="CX24" s="9" t="s">
        <v>84</v>
      </c>
      <c r="CY24" s="22" t="s">
        <v>449</v>
      </c>
      <c r="CZ24" s="19">
        <v>0.0</v>
      </c>
      <c r="DA24" s="9" t="str">
        <f t="shared" si="3"/>
        <v>MOV-041</v>
      </c>
      <c r="DB24" s="9" t="s">
        <v>84</v>
      </c>
      <c r="DC24" s="18"/>
      <c r="DD24" s="9"/>
      <c r="DE24" s="9"/>
      <c r="DF24" s="9"/>
      <c r="DG24" s="18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</row>
    <row r="25">
      <c r="A25" s="7">
        <v>1334.0</v>
      </c>
      <c r="B25" s="8" t="s">
        <v>50</v>
      </c>
      <c r="C25" s="9" t="str">
        <f t="shared" si="1"/>
        <v>TK-28_BS VI HSD</v>
      </c>
      <c r="D25" s="20" t="s">
        <v>450</v>
      </c>
      <c r="E25" s="9"/>
      <c r="F25" s="21" t="s">
        <v>184</v>
      </c>
      <c r="G25" s="12" t="s">
        <v>53</v>
      </c>
      <c r="H25" s="7">
        <v>0.0</v>
      </c>
      <c r="I25" s="9"/>
      <c r="J25" s="9"/>
      <c r="K25" s="9"/>
      <c r="L25" s="9"/>
      <c r="M25" s="9"/>
      <c r="N25" s="9"/>
      <c r="O25" s="13" t="s">
        <v>451</v>
      </c>
      <c r="P25" s="9"/>
      <c r="Q25" s="9" t="s">
        <v>450</v>
      </c>
      <c r="R25" s="14" t="s">
        <v>55</v>
      </c>
      <c r="S25" s="13" t="s">
        <v>452</v>
      </c>
      <c r="T25" s="15">
        <v>0.0</v>
      </c>
      <c r="U25" s="9" t="s">
        <v>450</v>
      </c>
      <c r="V25" s="14" t="s">
        <v>55</v>
      </c>
      <c r="W25" s="13" t="s">
        <v>453</v>
      </c>
      <c r="X25" s="14">
        <v>0.0</v>
      </c>
      <c r="Y25" s="14" t="s">
        <v>450</v>
      </c>
      <c r="Z25" s="14" t="s">
        <v>55</v>
      </c>
      <c r="AA25" s="13" t="s">
        <v>454</v>
      </c>
      <c r="AB25" s="15">
        <v>0.0</v>
      </c>
      <c r="AC25" s="9" t="s">
        <v>450</v>
      </c>
      <c r="AD25" s="14" t="s">
        <v>55</v>
      </c>
      <c r="AE25" s="13" t="s">
        <v>455</v>
      </c>
      <c r="AF25" s="15">
        <v>0.0</v>
      </c>
      <c r="AG25" s="9" t="s">
        <v>456</v>
      </c>
      <c r="AH25" s="9" t="s">
        <v>61</v>
      </c>
      <c r="AI25" s="13" t="s">
        <v>457</v>
      </c>
      <c r="AJ25" s="15">
        <v>0.0</v>
      </c>
      <c r="AK25" s="9" t="s">
        <v>456</v>
      </c>
      <c r="AL25" s="9" t="s">
        <v>61</v>
      </c>
      <c r="AM25" s="13" t="s">
        <v>458</v>
      </c>
      <c r="AN25" s="15">
        <v>0.0</v>
      </c>
      <c r="AO25" s="9" t="s">
        <v>456</v>
      </c>
      <c r="AP25" s="9" t="s">
        <v>61</v>
      </c>
      <c r="AQ25" s="13" t="s">
        <v>459</v>
      </c>
      <c r="AR25" s="15">
        <v>0.0</v>
      </c>
      <c r="AS25" s="9" t="s">
        <v>460</v>
      </c>
      <c r="AT25" s="9" t="s">
        <v>66</v>
      </c>
      <c r="AU25" s="13" t="s">
        <v>461</v>
      </c>
      <c r="AV25" s="15">
        <v>0.0</v>
      </c>
      <c r="AW25" s="9" t="s">
        <v>460</v>
      </c>
      <c r="AX25" s="9" t="s">
        <v>66</v>
      </c>
      <c r="AY25" s="13" t="s">
        <v>462</v>
      </c>
      <c r="AZ25" s="15">
        <v>0.0</v>
      </c>
      <c r="BA25" s="9" t="s">
        <v>460</v>
      </c>
      <c r="BB25" s="9" t="s">
        <v>66</v>
      </c>
      <c r="BC25" s="13" t="s">
        <v>463</v>
      </c>
      <c r="BD25" s="15">
        <v>0.0</v>
      </c>
      <c r="BE25" s="9" t="s">
        <v>464</v>
      </c>
      <c r="BF25" s="16" t="s">
        <v>71</v>
      </c>
      <c r="BG25" s="13" t="s">
        <v>465</v>
      </c>
      <c r="BH25" s="15">
        <v>0.0</v>
      </c>
      <c r="BI25" s="9" t="s">
        <v>464</v>
      </c>
      <c r="BJ25" s="16" t="s">
        <v>73</v>
      </c>
      <c r="BK25" s="9"/>
      <c r="BL25" s="9"/>
      <c r="BM25" s="9"/>
      <c r="BN25" s="9"/>
      <c r="BO25" s="9"/>
      <c r="BP25" s="9"/>
      <c r="BQ25" s="9"/>
      <c r="BR25" s="9"/>
      <c r="BS25" s="13" t="s">
        <v>466</v>
      </c>
      <c r="BT25" s="15">
        <v>0.0</v>
      </c>
      <c r="BU25" s="9" t="s">
        <v>467</v>
      </c>
      <c r="BV25" s="16" t="s">
        <v>76</v>
      </c>
      <c r="BW25" s="13" t="s">
        <v>468</v>
      </c>
      <c r="BX25" s="15">
        <v>0.0</v>
      </c>
      <c r="BY25" s="9" t="s">
        <v>467</v>
      </c>
      <c r="BZ25" s="16" t="s">
        <v>78</v>
      </c>
      <c r="CA25" s="9"/>
      <c r="CB25" s="9"/>
      <c r="CC25" s="9"/>
      <c r="CD25" s="9"/>
      <c r="CE25" s="9"/>
      <c r="CF25" s="9"/>
      <c r="CG25" s="9"/>
      <c r="CH25" s="9"/>
      <c r="CI25" s="22" t="s">
        <v>469</v>
      </c>
      <c r="CJ25" s="15">
        <v>1.0</v>
      </c>
      <c r="CK25" s="9" t="s">
        <v>470</v>
      </c>
      <c r="CL25" s="9" t="s">
        <v>81</v>
      </c>
      <c r="CM25" s="22" t="s">
        <v>471</v>
      </c>
      <c r="CN25" s="19">
        <v>0.0</v>
      </c>
      <c r="CO25" s="9" t="s">
        <v>470</v>
      </c>
      <c r="CP25" s="9" t="s">
        <v>81</v>
      </c>
      <c r="CQ25" s="9"/>
      <c r="CR25" s="9"/>
      <c r="CS25" s="9"/>
      <c r="CT25" s="9"/>
      <c r="CU25" s="22" t="s">
        <v>472</v>
      </c>
      <c r="CV25" s="15">
        <v>1.0</v>
      </c>
      <c r="CW25" s="9" t="str">
        <f t="shared" si="2"/>
        <v>MOV-044</v>
      </c>
      <c r="CX25" s="9" t="s">
        <v>84</v>
      </c>
      <c r="CY25" s="22" t="s">
        <v>473</v>
      </c>
      <c r="CZ25" s="19">
        <v>0.0</v>
      </c>
      <c r="DA25" s="9" t="str">
        <f t="shared" si="3"/>
        <v>MOV-044</v>
      </c>
      <c r="DB25" s="9" t="s">
        <v>84</v>
      </c>
      <c r="DC25" s="18"/>
      <c r="DD25" s="9"/>
      <c r="DE25" s="9"/>
      <c r="DF25" s="9"/>
      <c r="DG25" s="18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</row>
    <row r="26">
      <c r="A26" s="7">
        <v>1334.0</v>
      </c>
      <c r="B26" s="8" t="s">
        <v>50</v>
      </c>
      <c r="C26" s="9" t="str">
        <f t="shared" si="1"/>
        <v>TK-29_WATER</v>
      </c>
      <c r="D26" s="20" t="s">
        <v>474</v>
      </c>
      <c r="E26" s="9"/>
      <c r="F26" s="21" t="s">
        <v>200</v>
      </c>
      <c r="G26" s="12" t="s">
        <v>53</v>
      </c>
      <c r="H26" s="7">
        <v>0.0</v>
      </c>
      <c r="I26" s="9"/>
      <c r="J26" s="9"/>
      <c r="K26" s="9"/>
      <c r="L26" s="9"/>
      <c r="M26" s="9"/>
      <c r="N26" s="9"/>
      <c r="O26" s="13" t="s">
        <v>475</v>
      </c>
      <c r="P26" s="9"/>
      <c r="Q26" s="9" t="s">
        <v>474</v>
      </c>
      <c r="R26" s="14" t="s">
        <v>55</v>
      </c>
      <c r="S26" s="13"/>
      <c r="T26" s="13"/>
      <c r="U26" s="9"/>
      <c r="V26" s="9"/>
      <c r="W26" s="13" t="s">
        <v>476</v>
      </c>
      <c r="X26" s="14">
        <v>0.0</v>
      </c>
      <c r="Y26" s="14" t="s">
        <v>474</v>
      </c>
      <c r="Z26" s="14" t="s">
        <v>55</v>
      </c>
      <c r="AA26" s="13"/>
      <c r="AB26" s="13"/>
      <c r="AC26" s="9"/>
      <c r="AD26" s="9"/>
      <c r="AE26" s="18"/>
      <c r="AF26" s="13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18"/>
      <c r="CN26" s="13"/>
      <c r="CO26" s="9"/>
      <c r="CP26" s="9"/>
      <c r="CQ26" s="9"/>
      <c r="CR26" s="9"/>
      <c r="CS26" s="9"/>
      <c r="CT26" s="9"/>
      <c r="CU26" s="9"/>
      <c r="CV26" s="9"/>
      <c r="CW26" s="9" t="str">
        <f t="shared" si="2"/>
        <v/>
      </c>
      <c r="CX26" s="9"/>
      <c r="CY26" s="18"/>
      <c r="CZ26" s="13"/>
      <c r="DA26" s="9" t="str">
        <f t="shared" si="3"/>
        <v/>
      </c>
      <c r="DB26" s="9"/>
      <c r="DC26" s="18"/>
      <c r="DD26" s="9"/>
      <c r="DE26" s="9"/>
      <c r="DF26" s="9"/>
      <c r="DG26" s="18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</row>
    <row r="27">
      <c r="A27" s="7">
        <v>1334.0</v>
      </c>
      <c r="B27" s="8" t="s">
        <v>50</v>
      </c>
      <c r="C27" s="9" t="str">
        <f t="shared" si="1"/>
        <v>TK-30_WATER</v>
      </c>
      <c r="D27" s="20" t="s">
        <v>477</v>
      </c>
      <c r="E27" s="9"/>
      <c r="F27" s="21" t="s">
        <v>200</v>
      </c>
      <c r="G27" s="12" t="s">
        <v>53</v>
      </c>
      <c r="H27" s="7">
        <v>0.0</v>
      </c>
      <c r="I27" s="9"/>
      <c r="J27" s="9"/>
      <c r="K27" s="9"/>
      <c r="L27" s="9"/>
      <c r="M27" s="9"/>
      <c r="N27" s="9"/>
      <c r="O27" s="13" t="s">
        <v>478</v>
      </c>
      <c r="P27" s="9"/>
      <c r="Q27" s="9" t="s">
        <v>477</v>
      </c>
      <c r="R27" s="14" t="s">
        <v>55</v>
      </c>
      <c r="S27" s="13"/>
      <c r="T27" s="13"/>
      <c r="U27" s="9"/>
      <c r="V27" s="9"/>
      <c r="W27" s="13" t="s">
        <v>479</v>
      </c>
      <c r="X27" s="14">
        <v>0.0</v>
      </c>
      <c r="Y27" s="14" t="s">
        <v>477</v>
      </c>
      <c r="Z27" s="14" t="s">
        <v>55</v>
      </c>
      <c r="AA27" s="13"/>
      <c r="AB27" s="13"/>
      <c r="AC27" s="9"/>
      <c r="AD27" s="9"/>
      <c r="AE27" s="18"/>
      <c r="AF27" s="13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13"/>
      <c r="CN27" s="13"/>
      <c r="CO27" s="9"/>
      <c r="CP27" s="9"/>
      <c r="CQ27" s="9"/>
      <c r="CR27" s="9"/>
      <c r="CS27" s="9"/>
      <c r="CT27" s="9"/>
      <c r="CU27" s="9"/>
      <c r="CV27" s="9"/>
      <c r="CW27" s="9" t="str">
        <f t="shared" si="2"/>
        <v/>
      </c>
      <c r="CX27" s="9"/>
      <c r="CY27" s="18"/>
      <c r="CZ27" s="13"/>
      <c r="DA27" s="9" t="str">
        <f t="shared" si="3"/>
        <v/>
      </c>
      <c r="DB27" s="9"/>
      <c r="DC27" s="18"/>
      <c r="DD27" s="9"/>
      <c r="DE27" s="9"/>
      <c r="DF27" s="9"/>
      <c r="DG27" s="18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</row>
    <row r="28">
      <c r="A28" s="7">
        <v>1334.0</v>
      </c>
      <c r="B28" s="8" t="s">
        <v>50</v>
      </c>
      <c r="C28" s="9" t="str">
        <f t="shared" si="1"/>
        <v>TK-32_ETHANOL</v>
      </c>
      <c r="D28" s="20" t="s">
        <v>480</v>
      </c>
      <c r="E28" s="9"/>
      <c r="F28" s="21" t="s">
        <v>111</v>
      </c>
      <c r="G28" s="12" t="s">
        <v>53</v>
      </c>
      <c r="H28" s="7">
        <v>0.0</v>
      </c>
      <c r="I28" s="9"/>
      <c r="J28" s="9"/>
      <c r="K28" s="9"/>
      <c r="L28" s="9"/>
      <c r="M28" s="9"/>
      <c r="N28" s="9"/>
      <c r="O28" s="13" t="s">
        <v>481</v>
      </c>
      <c r="P28" s="9"/>
      <c r="Q28" s="9" t="s">
        <v>480</v>
      </c>
      <c r="R28" s="14" t="s">
        <v>55</v>
      </c>
      <c r="S28" s="13" t="s">
        <v>482</v>
      </c>
      <c r="T28" s="15">
        <v>0.0</v>
      </c>
      <c r="U28" s="9" t="s">
        <v>480</v>
      </c>
      <c r="V28" s="14" t="s">
        <v>55</v>
      </c>
      <c r="W28" s="13" t="s">
        <v>483</v>
      </c>
      <c r="X28" s="14">
        <v>0.0</v>
      </c>
      <c r="Y28" s="14" t="s">
        <v>480</v>
      </c>
      <c r="Z28" s="14" t="s">
        <v>55</v>
      </c>
      <c r="AA28" s="13" t="s">
        <v>484</v>
      </c>
      <c r="AB28" s="15">
        <v>0.0</v>
      </c>
      <c r="AC28" s="9" t="s">
        <v>480</v>
      </c>
      <c r="AD28" s="14" t="s">
        <v>55</v>
      </c>
      <c r="AE28" s="18"/>
      <c r="AF28" s="13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13"/>
      <c r="CN28" s="13"/>
      <c r="CO28" s="9"/>
      <c r="CP28" s="9"/>
      <c r="CQ28" s="9"/>
      <c r="CR28" s="9"/>
      <c r="CS28" s="9"/>
      <c r="CT28" s="9"/>
      <c r="CU28" s="9"/>
      <c r="CV28" s="9"/>
      <c r="CW28" s="9" t="str">
        <f t="shared" si="2"/>
        <v/>
      </c>
      <c r="CX28" s="9"/>
      <c r="CY28" s="18"/>
      <c r="CZ28" s="13"/>
      <c r="DA28" s="9" t="str">
        <f t="shared" si="3"/>
        <v/>
      </c>
      <c r="DB28" s="9"/>
      <c r="DC28" s="18"/>
      <c r="DD28" s="9"/>
      <c r="DE28" s="9"/>
      <c r="DF28" s="9"/>
      <c r="DG28" s="18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</row>
    <row r="29">
      <c r="CM29" s="25"/>
      <c r="CN29" s="25"/>
      <c r="CY29" s="25"/>
      <c r="CZ29" s="25"/>
      <c r="DG29" s="25"/>
    </row>
    <row r="30">
      <c r="CM30" s="25"/>
      <c r="CN30" s="25"/>
      <c r="CY30" s="25"/>
      <c r="CZ30" s="25"/>
      <c r="DG30" s="25"/>
    </row>
    <row r="31">
      <c r="CM31" s="25"/>
      <c r="CN31" s="25"/>
      <c r="CY31" s="25"/>
      <c r="CZ31" s="25"/>
      <c r="DG31" s="25"/>
    </row>
    <row r="32">
      <c r="CM32" s="25"/>
      <c r="CN32" s="25"/>
      <c r="CY32" s="25"/>
      <c r="CZ32" s="25"/>
      <c r="DG32" s="25"/>
    </row>
    <row r="33">
      <c r="CM33" s="25"/>
      <c r="CN33" s="25"/>
      <c r="CY33" s="25"/>
      <c r="CZ33" s="25"/>
      <c r="DG33" s="25"/>
    </row>
    <row r="34">
      <c r="CM34" s="25"/>
      <c r="CN34" s="25"/>
      <c r="CY34" s="25"/>
      <c r="CZ34" s="25"/>
      <c r="DG34" s="25"/>
    </row>
    <row r="35">
      <c r="CM35" s="25"/>
      <c r="CN35" s="25"/>
      <c r="CY35" s="25"/>
      <c r="CZ35" s="25"/>
      <c r="DG35" s="25"/>
    </row>
    <row r="36">
      <c r="CM36" s="25"/>
      <c r="CN36" s="25"/>
      <c r="CY36" s="25"/>
      <c r="CZ36" s="25"/>
      <c r="DG36" s="25"/>
    </row>
    <row r="37">
      <c r="CM37" s="25"/>
      <c r="CN37" s="25"/>
      <c r="CY37" s="25"/>
      <c r="CZ37" s="25"/>
      <c r="DG37" s="25"/>
    </row>
    <row r="38">
      <c r="CM38" s="25"/>
      <c r="CN38" s="25"/>
      <c r="CY38" s="25"/>
      <c r="CZ38" s="25"/>
      <c r="DG38" s="25"/>
    </row>
    <row r="39">
      <c r="CM39" s="25"/>
      <c r="CN39" s="25"/>
      <c r="CY39" s="25"/>
      <c r="CZ39" s="25"/>
      <c r="DG39" s="25"/>
    </row>
    <row r="40">
      <c r="CM40" s="25"/>
      <c r="CN40" s="25"/>
      <c r="CY40" s="25"/>
      <c r="CZ40" s="25"/>
      <c r="DG40" s="25"/>
    </row>
    <row r="41">
      <c r="CM41" s="25"/>
      <c r="CN41" s="25"/>
      <c r="CY41" s="25"/>
      <c r="CZ41" s="25"/>
      <c r="DG41" s="25"/>
    </row>
    <row r="42">
      <c r="CM42" s="25"/>
      <c r="CN42" s="25"/>
      <c r="CY42" s="25"/>
      <c r="CZ42" s="25"/>
      <c r="DG42" s="25"/>
    </row>
    <row r="43">
      <c r="CM43" s="25"/>
      <c r="CN43" s="25"/>
      <c r="CY43" s="25"/>
      <c r="CZ43" s="25"/>
      <c r="DG43" s="25"/>
    </row>
    <row r="44">
      <c r="CM44" s="25"/>
      <c r="CN44" s="25"/>
      <c r="CY44" s="25"/>
      <c r="CZ44" s="25"/>
      <c r="DG44" s="25"/>
    </row>
    <row r="45">
      <c r="CM45" s="25"/>
      <c r="CN45" s="25"/>
      <c r="CY45" s="25"/>
      <c r="CZ45" s="25"/>
      <c r="DG45" s="25"/>
    </row>
    <row r="46">
      <c r="CM46" s="25"/>
      <c r="CN46" s="25"/>
      <c r="CY46" s="25"/>
      <c r="CZ46" s="25"/>
      <c r="DG46" s="25"/>
    </row>
    <row r="47">
      <c r="CM47" s="25"/>
      <c r="CN47" s="25"/>
      <c r="CY47" s="25"/>
      <c r="CZ47" s="25"/>
      <c r="DG47" s="25"/>
    </row>
    <row r="48">
      <c r="CM48" s="25"/>
      <c r="CN48" s="25"/>
      <c r="CY48" s="25"/>
      <c r="CZ48" s="25"/>
      <c r="DG48" s="25"/>
    </row>
    <row r="49">
      <c r="CM49" s="25"/>
      <c r="CN49" s="25"/>
      <c r="CY49" s="25"/>
      <c r="CZ49" s="25"/>
      <c r="DG49" s="25"/>
    </row>
    <row r="50">
      <c r="CM50" s="25"/>
      <c r="CN50" s="25"/>
      <c r="CY50" s="25"/>
      <c r="CZ50" s="25"/>
      <c r="DG50" s="25"/>
    </row>
    <row r="51">
      <c r="CM51" s="25"/>
      <c r="CN51" s="25"/>
      <c r="CY51" s="25"/>
      <c r="CZ51" s="25"/>
      <c r="DG51" s="25"/>
    </row>
    <row r="52">
      <c r="CM52" s="25"/>
      <c r="CN52" s="25"/>
      <c r="CY52" s="25"/>
      <c r="CZ52" s="25"/>
      <c r="DG52" s="25"/>
    </row>
    <row r="53">
      <c r="CM53" s="25"/>
      <c r="CN53" s="25"/>
      <c r="CY53" s="25"/>
      <c r="CZ53" s="25"/>
      <c r="DG53" s="25"/>
    </row>
    <row r="54">
      <c r="CM54" s="25"/>
      <c r="CN54" s="25"/>
      <c r="CY54" s="25"/>
      <c r="CZ54" s="25"/>
      <c r="DG54" s="25"/>
    </row>
    <row r="55">
      <c r="CM55" s="25"/>
      <c r="CN55" s="25"/>
      <c r="CY55" s="25"/>
      <c r="CZ55" s="25"/>
      <c r="DG55" s="25"/>
    </row>
    <row r="56">
      <c r="CM56" s="25"/>
      <c r="CN56" s="25"/>
      <c r="CY56" s="25"/>
      <c r="CZ56" s="25"/>
      <c r="DG56" s="25"/>
    </row>
    <row r="57">
      <c r="CM57" s="25"/>
      <c r="CN57" s="25"/>
      <c r="CY57" s="25"/>
      <c r="CZ57" s="25"/>
      <c r="DG57" s="25"/>
    </row>
    <row r="58">
      <c r="CM58" s="25"/>
      <c r="CN58" s="25"/>
      <c r="CY58" s="25"/>
      <c r="CZ58" s="25"/>
      <c r="DG58" s="25"/>
    </row>
    <row r="59">
      <c r="CM59" s="25"/>
      <c r="CN59" s="25"/>
      <c r="CY59" s="25"/>
      <c r="CZ59" s="25"/>
      <c r="DG59" s="25"/>
    </row>
    <row r="60">
      <c r="CM60" s="25"/>
      <c r="CN60" s="25"/>
      <c r="CY60" s="25"/>
      <c r="CZ60" s="25"/>
      <c r="DG60" s="25"/>
    </row>
    <row r="61">
      <c r="CM61" s="25"/>
      <c r="CN61" s="25"/>
      <c r="CY61" s="25"/>
      <c r="CZ61" s="25"/>
      <c r="DG61" s="25"/>
    </row>
    <row r="62">
      <c r="CM62" s="25"/>
      <c r="CN62" s="25"/>
      <c r="CY62" s="25"/>
      <c r="CZ62" s="25"/>
      <c r="DG62" s="25"/>
    </row>
    <row r="63">
      <c r="CM63" s="25"/>
      <c r="CN63" s="25"/>
      <c r="CY63" s="25"/>
      <c r="CZ63" s="25"/>
      <c r="DG63" s="25"/>
    </row>
    <row r="64">
      <c r="CM64" s="25"/>
      <c r="CN64" s="25"/>
      <c r="CY64" s="25"/>
      <c r="CZ64" s="25"/>
      <c r="DG64" s="25"/>
    </row>
    <row r="65">
      <c r="CM65" s="25"/>
      <c r="CN65" s="25"/>
      <c r="CY65" s="25"/>
      <c r="CZ65" s="25"/>
      <c r="DG65" s="25"/>
    </row>
    <row r="66">
      <c r="CM66" s="25"/>
      <c r="CN66" s="25"/>
      <c r="CY66" s="25"/>
      <c r="CZ66" s="25"/>
      <c r="DG66" s="25"/>
    </row>
    <row r="67">
      <c r="CM67" s="25"/>
      <c r="CN67" s="25"/>
      <c r="CY67" s="25"/>
      <c r="CZ67" s="25"/>
      <c r="DG67" s="25"/>
    </row>
    <row r="68">
      <c r="CM68" s="25"/>
      <c r="CN68" s="25"/>
      <c r="CY68" s="25"/>
      <c r="CZ68" s="25"/>
      <c r="DG68" s="25"/>
    </row>
    <row r="69">
      <c r="CM69" s="25"/>
      <c r="CN69" s="25"/>
      <c r="CY69" s="25"/>
      <c r="CZ69" s="25"/>
      <c r="DG69" s="25"/>
    </row>
    <row r="70">
      <c r="CM70" s="25"/>
      <c r="CN70" s="25"/>
      <c r="CY70" s="25"/>
      <c r="CZ70" s="25"/>
      <c r="DG70" s="25"/>
    </row>
    <row r="71">
      <c r="CM71" s="25"/>
      <c r="CN71" s="25"/>
      <c r="CY71" s="25"/>
      <c r="CZ71" s="25"/>
      <c r="DG71" s="25"/>
    </row>
    <row r="72">
      <c r="CM72" s="25"/>
      <c r="CN72" s="25"/>
      <c r="CY72" s="25"/>
      <c r="CZ72" s="25"/>
      <c r="DG72" s="25"/>
    </row>
    <row r="73">
      <c r="CM73" s="25"/>
      <c r="CN73" s="25"/>
      <c r="CY73" s="25"/>
      <c r="CZ73" s="25"/>
      <c r="DG73" s="25"/>
    </row>
    <row r="74">
      <c r="CM74" s="25"/>
      <c r="CN74" s="25"/>
      <c r="CY74" s="25"/>
      <c r="CZ74" s="25"/>
      <c r="DG74" s="25"/>
    </row>
    <row r="75">
      <c r="CM75" s="25"/>
      <c r="CN75" s="25"/>
      <c r="CY75" s="25"/>
      <c r="CZ75" s="25"/>
      <c r="DG75" s="25"/>
    </row>
    <row r="76">
      <c r="CM76" s="25"/>
      <c r="CN76" s="25"/>
      <c r="CY76" s="25"/>
      <c r="CZ76" s="25"/>
      <c r="DG76" s="25"/>
    </row>
    <row r="77">
      <c r="CM77" s="25"/>
      <c r="CN77" s="25"/>
      <c r="CY77" s="25"/>
      <c r="CZ77" s="25"/>
      <c r="DG77" s="25"/>
    </row>
    <row r="78">
      <c r="CM78" s="25"/>
      <c r="CN78" s="25"/>
      <c r="CY78" s="25"/>
      <c r="CZ78" s="25"/>
      <c r="DG78" s="25"/>
    </row>
    <row r="79">
      <c r="CM79" s="25"/>
      <c r="CN79" s="25"/>
      <c r="CY79" s="25"/>
      <c r="CZ79" s="25"/>
      <c r="DG79" s="25"/>
    </row>
    <row r="80">
      <c r="CM80" s="25"/>
      <c r="CN80" s="25"/>
      <c r="CY80" s="25"/>
      <c r="CZ80" s="25"/>
      <c r="DG80" s="25"/>
    </row>
    <row r="81">
      <c r="CM81" s="25"/>
      <c r="CN81" s="25"/>
      <c r="CY81" s="25"/>
      <c r="CZ81" s="25"/>
      <c r="DG81" s="25"/>
    </row>
    <row r="82">
      <c r="CM82" s="25"/>
      <c r="CN82" s="25"/>
      <c r="CY82" s="25"/>
      <c r="CZ82" s="25"/>
      <c r="DG82" s="25"/>
    </row>
    <row r="83">
      <c r="CM83" s="25"/>
      <c r="CN83" s="25"/>
      <c r="CY83" s="25"/>
      <c r="CZ83" s="25"/>
      <c r="DG83" s="25"/>
    </row>
    <row r="84">
      <c r="CM84" s="25"/>
      <c r="CN84" s="25"/>
      <c r="CY84" s="25"/>
      <c r="CZ84" s="25"/>
      <c r="DG84" s="25"/>
    </row>
    <row r="85">
      <c r="CM85" s="25"/>
      <c r="CN85" s="25"/>
      <c r="CY85" s="25"/>
      <c r="CZ85" s="25"/>
      <c r="DG85" s="25"/>
    </row>
    <row r="86">
      <c r="CM86" s="25"/>
      <c r="CN86" s="25"/>
      <c r="CY86" s="25"/>
      <c r="CZ86" s="25"/>
      <c r="DG86" s="25"/>
    </row>
    <row r="87">
      <c r="CM87" s="25"/>
      <c r="CN87" s="25"/>
      <c r="CY87" s="25"/>
      <c r="CZ87" s="25"/>
      <c r="DG87" s="25"/>
    </row>
    <row r="88">
      <c r="CM88" s="25"/>
      <c r="CN88" s="25"/>
      <c r="CY88" s="25"/>
      <c r="CZ88" s="25"/>
      <c r="DG88" s="25"/>
    </row>
    <row r="89">
      <c r="CM89" s="25"/>
      <c r="CN89" s="25"/>
      <c r="CY89" s="25"/>
      <c r="CZ89" s="25"/>
      <c r="DG89" s="25"/>
    </row>
    <row r="90">
      <c r="CM90" s="25"/>
      <c r="CN90" s="25"/>
      <c r="CY90" s="25"/>
      <c r="CZ90" s="25"/>
      <c r="DG90" s="25"/>
    </row>
    <row r="91">
      <c r="CM91" s="25"/>
      <c r="CN91" s="25"/>
      <c r="CY91" s="25"/>
      <c r="CZ91" s="25"/>
      <c r="DG91" s="25"/>
    </row>
    <row r="92">
      <c r="CM92" s="25"/>
      <c r="CN92" s="25"/>
      <c r="CY92" s="25"/>
      <c r="CZ92" s="25"/>
      <c r="DG92" s="25"/>
    </row>
    <row r="93">
      <c r="CM93" s="25"/>
      <c r="CN93" s="25"/>
      <c r="CY93" s="25"/>
      <c r="CZ93" s="25"/>
      <c r="DG93" s="25"/>
    </row>
    <row r="94">
      <c r="CM94" s="25"/>
      <c r="CN94" s="25"/>
      <c r="CY94" s="25"/>
      <c r="CZ94" s="25"/>
      <c r="DG94" s="25"/>
    </row>
    <row r="95">
      <c r="CM95" s="25"/>
      <c r="CN95" s="25"/>
      <c r="CY95" s="25"/>
      <c r="CZ95" s="25"/>
      <c r="DG95" s="25"/>
    </row>
    <row r="96">
      <c r="CM96" s="25"/>
      <c r="CN96" s="25"/>
      <c r="CY96" s="25"/>
      <c r="CZ96" s="25"/>
      <c r="DG96" s="25"/>
    </row>
    <row r="97">
      <c r="CM97" s="25"/>
      <c r="CN97" s="25"/>
      <c r="CY97" s="25"/>
      <c r="CZ97" s="25"/>
      <c r="DG97" s="25"/>
    </row>
    <row r="98">
      <c r="CM98" s="25"/>
      <c r="CN98" s="25"/>
      <c r="CY98" s="25"/>
      <c r="CZ98" s="25"/>
      <c r="DG98" s="25"/>
    </row>
    <row r="99">
      <c r="CM99" s="25"/>
      <c r="CN99" s="25"/>
      <c r="CY99" s="25"/>
      <c r="CZ99" s="25"/>
      <c r="DG99" s="25"/>
    </row>
    <row r="100">
      <c r="CM100" s="25"/>
      <c r="CN100" s="25"/>
      <c r="CY100" s="25"/>
      <c r="CZ100" s="25"/>
      <c r="DG100" s="25"/>
    </row>
    <row r="101">
      <c r="CM101" s="25"/>
      <c r="CN101" s="25"/>
      <c r="CY101" s="25"/>
      <c r="CZ101" s="25"/>
      <c r="DG101" s="25"/>
    </row>
    <row r="102">
      <c r="CM102" s="25"/>
      <c r="CN102" s="25"/>
      <c r="CY102" s="25"/>
      <c r="CZ102" s="25"/>
      <c r="DG102" s="25"/>
    </row>
    <row r="103">
      <c r="CM103" s="25"/>
      <c r="CN103" s="25"/>
      <c r="CY103" s="25"/>
      <c r="CZ103" s="25"/>
      <c r="DG103" s="25"/>
    </row>
    <row r="104">
      <c r="CM104" s="25"/>
      <c r="CN104" s="25"/>
      <c r="CY104" s="25"/>
      <c r="CZ104" s="25"/>
      <c r="DG104" s="25"/>
    </row>
    <row r="105">
      <c r="CM105" s="25"/>
      <c r="CN105" s="25"/>
      <c r="CY105" s="25"/>
      <c r="CZ105" s="25"/>
      <c r="DG105" s="25"/>
    </row>
    <row r="106">
      <c r="CM106" s="25"/>
      <c r="CN106" s="25"/>
      <c r="CY106" s="25"/>
      <c r="CZ106" s="25"/>
      <c r="DG106" s="25"/>
    </row>
    <row r="107">
      <c r="CM107" s="25"/>
      <c r="CN107" s="25"/>
      <c r="CY107" s="25"/>
      <c r="CZ107" s="25"/>
      <c r="DG107" s="25"/>
    </row>
    <row r="108">
      <c r="CM108" s="25"/>
      <c r="CN108" s="25"/>
      <c r="CY108" s="25"/>
      <c r="CZ108" s="25"/>
      <c r="DG108" s="25"/>
    </row>
    <row r="109">
      <c r="CM109" s="25"/>
      <c r="CN109" s="25"/>
      <c r="CY109" s="25"/>
      <c r="CZ109" s="25"/>
      <c r="DG109" s="25"/>
    </row>
    <row r="110">
      <c r="CM110" s="25"/>
      <c r="CN110" s="25"/>
      <c r="CY110" s="25"/>
      <c r="CZ110" s="25"/>
      <c r="DG110" s="25"/>
    </row>
    <row r="111">
      <c r="CM111" s="25"/>
      <c r="CN111" s="25"/>
      <c r="CY111" s="25"/>
      <c r="CZ111" s="25"/>
      <c r="DG111" s="25"/>
    </row>
    <row r="112">
      <c r="CM112" s="25"/>
      <c r="CN112" s="25"/>
      <c r="CY112" s="25"/>
      <c r="CZ112" s="25"/>
      <c r="DG112" s="25"/>
    </row>
    <row r="113">
      <c r="CM113" s="25"/>
      <c r="CN113" s="25"/>
      <c r="CY113" s="25"/>
      <c r="CZ113" s="25"/>
      <c r="DG113" s="25"/>
    </row>
    <row r="114">
      <c r="CM114" s="25"/>
      <c r="CN114" s="25"/>
      <c r="CY114" s="25"/>
      <c r="CZ114" s="25"/>
      <c r="DG114" s="25"/>
    </row>
    <row r="115">
      <c r="CM115" s="25"/>
      <c r="CN115" s="25"/>
      <c r="CY115" s="25"/>
      <c r="CZ115" s="25"/>
      <c r="DG115" s="25"/>
    </row>
    <row r="116">
      <c r="CM116" s="25"/>
      <c r="CN116" s="25"/>
      <c r="CY116" s="25"/>
      <c r="CZ116" s="25"/>
      <c r="DG116" s="25"/>
    </row>
    <row r="117">
      <c r="CM117" s="25"/>
      <c r="CN117" s="25"/>
      <c r="CY117" s="25"/>
      <c r="CZ117" s="25"/>
      <c r="DG117" s="25"/>
    </row>
    <row r="118">
      <c r="CM118" s="25"/>
      <c r="CN118" s="25"/>
      <c r="CY118" s="25"/>
      <c r="CZ118" s="25"/>
      <c r="DG118" s="25"/>
    </row>
    <row r="119">
      <c r="CM119" s="25"/>
      <c r="CN119" s="25"/>
      <c r="CY119" s="25"/>
      <c r="CZ119" s="25"/>
      <c r="DG119" s="25"/>
    </row>
    <row r="120">
      <c r="CM120" s="25"/>
      <c r="CN120" s="25"/>
      <c r="CY120" s="25"/>
      <c r="CZ120" s="25"/>
      <c r="DG120" s="25"/>
    </row>
    <row r="121">
      <c r="CM121" s="25"/>
      <c r="CN121" s="25"/>
      <c r="CY121" s="25"/>
      <c r="CZ121" s="25"/>
      <c r="DG121" s="25"/>
    </row>
    <row r="122">
      <c r="CM122" s="25"/>
      <c r="CN122" s="25"/>
      <c r="CY122" s="25"/>
      <c r="CZ122" s="25"/>
      <c r="DG122" s="25"/>
    </row>
    <row r="123">
      <c r="CM123" s="25"/>
      <c r="CN123" s="25"/>
      <c r="CY123" s="25"/>
      <c r="CZ123" s="25"/>
      <c r="DG123" s="25"/>
    </row>
    <row r="124">
      <c r="CM124" s="25"/>
      <c r="CN124" s="25"/>
      <c r="CY124" s="25"/>
      <c r="CZ124" s="25"/>
      <c r="DG124" s="25"/>
    </row>
    <row r="125">
      <c r="CM125" s="25"/>
      <c r="CN125" s="25"/>
      <c r="CY125" s="25"/>
      <c r="CZ125" s="25"/>
      <c r="DG125" s="25"/>
    </row>
    <row r="126">
      <c r="CM126" s="25"/>
      <c r="CN126" s="25"/>
      <c r="CY126" s="25"/>
      <c r="CZ126" s="25"/>
      <c r="DG126" s="25"/>
    </row>
    <row r="127">
      <c r="CM127" s="25"/>
      <c r="CN127" s="25"/>
      <c r="CY127" s="25"/>
      <c r="CZ127" s="25"/>
      <c r="DG127" s="25"/>
    </row>
    <row r="128">
      <c r="CM128" s="25"/>
      <c r="CN128" s="25"/>
      <c r="CY128" s="25"/>
      <c r="CZ128" s="25"/>
      <c r="DG128" s="25"/>
    </row>
    <row r="129">
      <c r="CM129" s="25"/>
      <c r="CN129" s="25"/>
      <c r="CY129" s="25"/>
      <c r="CZ129" s="25"/>
      <c r="DG129" s="25"/>
    </row>
    <row r="130">
      <c r="CM130" s="25"/>
      <c r="CN130" s="25"/>
      <c r="CY130" s="25"/>
      <c r="CZ130" s="25"/>
      <c r="DG130" s="25"/>
    </row>
    <row r="131">
      <c r="CM131" s="25"/>
      <c r="CN131" s="25"/>
      <c r="CY131" s="25"/>
      <c r="CZ131" s="25"/>
      <c r="DG131" s="25"/>
    </row>
    <row r="132">
      <c r="CM132" s="25"/>
      <c r="CN132" s="25"/>
      <c r="CY132" s="25"/>
      <c r="CZ132" s="25"/>
      <c r="DG132" s="25"/>
    </row>
    <row r="133">
      <c r="CM133" s="25"/>
      <c r="CN133" s="25"/>
      <c r="CY133" s="25"/>
      <c r="CZ133" s="25"/>
      <c r="DG133" s="25"/>
    </row>
    <row r="134">
      <c r="CM134" s="25"/>
      <c r="CN134" s="25"/>
      <c r="CY134" s="25"/>
      <c r="CZ134" s="25"/>
      <c r="DG134" s="25"/>
    </row>
    <row r="135">
      <c r="CM135" s="25"/>
      <c r="CN135" s="25"/>
      <c r="CY135" s="25"/>
      <c r="CZ135" s="25"/>
      <c r="DG135" s="25"/>
    </row>
    <row r="136">
      <c r="CM136" s="25"/>
      <c r="CN136" s="25"/>
      <c r="CY136" s="25"/>
      <c r="CZ136" s="25"/>
      <c r="DG136" s="25"/>
    </row>
    <row r="137">
      <c r="CM137" s="25"/>
      <c r="CN137" s="25"/>
      <c r="CY137" s="25"/>
      <c r="CZ137" s="25"/>
      <c r="DG137" s="25"/>
    </row>
    <row r="138">
      <c r="CM138" s="25"/>
      <c r="CN138" s="25"/>
      <c r="CY138" s="25"/>
      <c r="CZ138" s="25"/>
      <c r="DG138" s="25"/>
    </row>
    <row r="139">
      <c r="CM139" s="25"/>
      <c r="CN139" s="25"/>
      <c r="CY139" s="25"/>
      <c r="CZ139" s="25"/>
      <c r="DG139" s="25"/>
    </row>
    <row r="140">
      <c r="CM140" s="25"/>
      <c r="CN140" s="25"/>
      <c r="CY140" s="25"/>
      <c r="CZ140" s="25"/>
      <c r="DG140" s="25"/>
    </row>
    <row r="141">
      <c r="CM141" s="25"/>
      <c r="CN141" s="25"/>
      <c r="CY141" s="25"/>
      <c r="CZ141" s="25"/>
      <c r="DG141" s="25"/>
    </row>
    <row r="142">
      <c r="CM142" s="25"/>
      <c r="CN142" s="25"/>
      <c r="CY142" s="25"/>
      <c r="CZ142" s="25"/>
      <c r="DG142" s="25"/>
    </row>
    <row r="143">
      <c r="CM143" s="25"/>
      <c r="CN143" s="25"/>
      <c r="CY143" s="25"/>
      <c r="CZ143" s="25"/>
      <c r="DG143" s="25"/>
    </row>
    <row r="144">
      <c r="CM144" s="25"/>
      <c r="CN144" s="25"/>
      <c r="CY144" s="25"/>
      <c r="CZ144" s="25"/>
      <c r="DG144" s="25"/>
    </row>
    <row r="145">
      <c r="CM145" s="25"/>
      <c r="CN145" s="25"/>
      <c r="CY145" s="25"/>
      <c r="CZ145" s="25"/>
      <c r="DG145" s="25"/>
    </row>
    <row r="146">
      <c r="CM146" s="25"/>
      <c r="CN146" s="25"/>
      <c r="CY146" s="25"/>
      <c r="CZ146" s="25"/>
      <c r="DG146" s="25"/>
    </row>
    <row r="147">
      <c r="CM147" s="25"/>
      <c r="CN147" s="25"/>
      <c r="CY147" s="25"/>
      <c r="CZ147" s="25"/>
      <c r="DG147" s="25"/>
    </row>
    <row r="148">
      <c r="CM148" s="25"/>
      <c r="CN148" s="25"/>
      <c r="CY148" s="25"/>
      <c r="CZ148" s="25"/>
      <c r="DG148" s="25"/>
    </row>
    <row r="149">
      <c r="CM149" s="25"/>
      <c r="CN149" s="25"/>
      <c r="CY149" s="25"/>
      <c r="CZ149" s="25"/>
      <c r="DG149" s="25"/>
    </row>
    <row r="150">
      <c r="CM150" s="25"/>
      <c r="CN150" s="25"/>
      <c r="CY150" s="25"/>
      <c r="CZ150" s="25"/>
      <c r="DG150" s="25"/>
    </row>
    <row r="151">
      <c r="CM151" s="25"/>
      <c r="CN151" s="25"/>
      <c r="CY151" s="25"/>
      <c r="CZ151" s="25"/>
      <c r="DG151" s="25"/>
    </row>
    <row r="152">
      <c r="CM152" s="25"/>
      <c r="CN152" s="25"/>
      <c r="CY152" s="25"/>
      <c r="CZ152" s="25"/>
      <c r="DG152" s="25"/>
    </row>
    <row r="153">
      <c r="CM153" s="25"/>
      <c r="CN153" s="25"/>
      <c r="CY153" s="25"/>
      <c r="CZ153" s="25"/>
      <c r="DG153" s="25"/>
    </row>
    <row r="154">
      <c r="CM154" s="25"/>
      <c r="CN154" s="25"/>
      <c r="CY154" s="25"/>
      <c r="CZ154" s="25"/>
      <c r="DG154" s="25"/>
    </row>
    <row r="155">
      <c r="CM155" s="25"/>
      <c r="CN155" s="25"/>
      <c r="CY155" s="25"/>
      <c r="CZ155" s="25"/>
      <c r="DG155" s="25"/>
    </row>
    <row r="156">
      <c r="CM156" s="25"/>
      <c r="CN156" s="25"/>
      <c r="CY156" s="25"/>
      <c r="CZ156" s="25"/>
      <c r="DG156" s="25"/>
    </row>
    <row r="157">
      <c r="CM157" s="25"/>
      <c r="CN157" s="25"/>
      <c r="CY157" s="25"/>
      <c r="CZ157" s="25"/>
      <c r="DG157" s="25"/>
    </row>
    <row r="158">
      <c r="CM158" s="25"/>
      <c r="CN158" s="25"/>
      <c r="CY158" s="25"/>
      <c r="CZ158" s="25"/>
      <c r="DG158" s="25"/>
    </row>
    <row r="159">
      <c r="CM159" s="25"/>
      <c r="CN159" s="25"/>
      <c r="CY159" s="25"/>
      <c r="CZ159" s="25"/>
      <c r="DG159" s="25"/>
    </row>
    <row r="160">
      <c r="CM160" s="25"/>
      <c r="CN160" s="25"/>
      <c r="CY160" s="25"/>
      <c r="CZ160" s="25"/>
      <c r="DG160" s="25"/>
    </row>
    <row r="161">
      <c r="CM161" s="25"/>
      <c r="CN161" s="25"/>
      <c r="CY161" s="25"/>
      <c r="CZ161" s="25"/>
      <c r="DG161" s="25"/>
    </row>
    <row r="162">
      <c r="CM162" s="25"/>
      <c r="CN162" s="25"/>
      <c r="CY162" s="25"/>
      <c r="CZ162" s="25"/>
      <c r="DG162" s="25"/>
    </row>
    <row r="163">
      <c r="CM163" s="25"/>
      <c r="CN163" s="25"/>
      <c r="CY163" s="25"/>
      <c r="CZ163" s="25"/>
      <c r="DG163" s="25"/>
    </row>
    <row r="164">
      <c r="CM164" s="25"/>
      <c r="CN164" s="25"/>
      <c r="CY164" s="25"/>
      <c r="CZ164" s="25"/>
      <c r="DG164" s="25"/>
    </row>
    <row r="165">
      <c r="CM165" s="25"/>
      <c r="CN165" s="25"/>
      <c r="CY165" s="25"/>
      <c r="CZ165" s="25"/>
      <c r="DG165" s="25"/>
    </row>
    <row r="166">
      <c r="CM166" s="25"/>
      <c r="CN166" s="25"/>
      <c r="CY166" s="25"/>
      <c r="CZ166" s="25"/>
      <c r="DG166" s="25"/>
    </row>
    <row r="167">
      <c r="CM167" s="25"/>
      <c r="CN167" s="25"/>
      <c r="CY167" s="25"/>
      <c r="CZ167" s="25"/>
      <c r="DG167" s="25"/>
    </row>
    <row r="168">
      <c r="CM168" s="25"/>
      <c r="CN168" s="25"/>
      <c r="CY168" s="25"/>
      <c r="CZ168" s="25"/>
      <c r="DG168" s="25"/>
    </row>
    <row r="169">
      <c r="CM169" s="25"/>
      <c r="CN169" s="25"/>
      <c r="CY169" s="25"/>
      <c r="CZ169" s="25"/>
      <c r="DG169" s="25"/>
    </row>
    <row r="170">
      <c r="CM170" s="25"/>
      <c r="CN170" s="25"/>
      <c r="CY170" s="25"/>
      <c r="CZ170" s="25"/>
      <c r="DG170" s="25"/>
    </row>
    <row r="171">
      <c r="CM171" s="25"/>
      <c r="CN171" s="25"/>
      <c r="CY171" s="25"/>
      <c r="CZ171" s="25"/>
      <c r="DG171" s="25"/>
    </row>
    <row r="172">
      <c r="CM172" s="25"/>
      <c r="CN172" s="25"/>
      <c r="CY172" s="25"/>
      <c r="CZ172" s="25"/>
      <c r="DG172" s="25"/>
    </row>
    <row r="173">
      <c r="CM173" s="25"/>
      <c r="CN173" s="25"/>
      <c r="CY173" s="25"/>
      <c r="CZ173" s="25"/>
      <c r="DG173" s="25"/>
    </row>
    <row r="174">
      <c r="CM174" s="25"/>
      <c r="CN174" s="25"/>
      <c r="CY174" s="25"/>
      <c r="CZ174" s="25"/>
      <c r="DG174" s="25"/>
    </row>
    <row r="175">
      <c r="CM175" s="25"/>
      <c r="CN175" s="25"/>
      <c r="CY175" s="25"/>
      <c r="CZ175" s="25"/>
      <c r="DG175" s="25"/>
    </row>
    <row r="176">
      <c r="CM176" s="25"/>
      <c r="CN176" s="25"/>
      <c r="CY176" s="25"/>
      <c r="CZ176" s="25"/>
      <c r="DG176" s="25"/>
    </row>
    <row r="177">
      <c r="CM177" s="25"/>
      <c r="CN177" s="25"/>
      <c r="CY177" s="25"/>
      <c r="CZ177" s="25"/>
      <c r="DG177" s="25"/>
    </row>
    <row r="178">
      <c r="CM178" s="25"/>
      <c r="CN178" s="25"/>
      <c r="CY178" s="25"/>
      <c r="CZ178" s="25"/>
      <c r="DG178" s="25"/>
    </row>
    <row r="179">
      <c r="CM179" s="25"/>
      <c r="CN179" s="25"/>
      <c r="CY179" s="25"/>
      <c r="CZ179" s="25"/>
      <c r="DG179" s="25"/>
    </row>
    <row r="180">
      <c r="CM180" s="25"/>
      <c r="CN180" s="25"/>
      <c r="CY180" s="25"/>
      <c r="CZ180" s="25"/>
      <c r="DG180" s="25"/>
    </row>
    <row r="181">
      <c r="CM181" s="25"/>
      <c r="CN181" s="25"/>
      <c r="CY181" s="25"/>
      <c r="CZ181" s="25"/>
      <c r="DG181" s="25"/>
    </row>
    <row r="182">
      <c r="CM182" s="25"/>
      <c r="CN182" s="25"/>
      <c r="CY182" s="25"/>
      <c r="CZ182" s="25"/>
      <c r="DG182" s="25"/>
    </row>
    <row r="183">
      <c r="CM183" s="25"/>
      <c r="CN183" s="25"/>
      <c r="CY183" s="25"/>
      <c r="CZ183" s="25"/>
      <c r="DG183" s="25"/>
    </row>
    <row r="184">
      <c r="CM184" s="25"/>
      <c r="CN184" s="25"/>
      <c r="CY184" s="25"/>
      <c r="CZ184" s="25"/>
      <c r="DG184" s="25"/>
    </row>
    <row r="185">
      <c r="CM185" s="25"/>
      <c r="CN185" s="25"/>
      <c r="CY185" s="25"/>
      <c r="CZ185" s="25"/>
      <c r="DG185" s="25"/>
    </row>
    <row r="186">
      <c r="CM186" s="25"/>
      <c r="CN186" s="25"/>
      <c r="CY186" s="25"/>
      <c r="CZ186" s="25"/>
      <c r="DG186" s="25"/>
    </row>
    <row r="187">
      <c r="CM187" s="25"/>
      <c r="CN187" s="25"/>
      <c r="CY187" s="25"/>
      <c r="CZ187" s="25"/>
      <c r="DG187" s="25"/>
    </row>
    <row r="188">
      <c r="CM188" s="25"/>
      <c r="CN188" s="25"/>
      <c r="CY188" s="25"/>
      <c r="CZ188" s="25"/>
      <c r="DG188" s="25"/>
    </row>
    <row r="189">
      <c r="CM189" s="25"/>
      <c r="CN189" s="25"/>
      <c r="CY189" s="25"/>
      <c r="CZ189" s="25"/>
      <c r="DG189" s="25"/>
    </row>
    <row r="190">
      <c r="CM190" s="25"/>
      <c r="CN190" s="25"/>
      <c r="CY190" s="25"/>
      <c r="CZ190" s="25"/>
      <c r="DG190" s="25"/>
    </row>
    <row r="191">
      <c r="CM191" s="25"/>
      <c r="CN191" s="25"/>
      <c r="CY191" s="25"/>
      <c r="CZ191" s="25"/>
      <c r="DG191" s="25"/>
    </row>
    <row r="192">
      <c r="CM192" s="25"/>
      <c r="CN192" s="25"/>
      <c r="CY192" s="25"/>
      <c r="CZ192" s="25"/>
      <c r="DG192" s="25"/>
    </row>
    <row r="193">
      <c r="CM193" s="25"/>
      <c r="CN193" s="25"/>
      <c r="CY193" s="25"/>
      <c r="CZ193" s="25"/>
      <c r="DG193" s="25"/>
    </row>
    <row r="194">
      <c r="CM194" s="25"/>
      <c r="CN194" s="25"/>
      <c r="CY194" s="25"/>
      <c r="CZ194" s="25"/>
      <c r="DG194" s="25"/>
    </row>
    <row r="195">
      <c r="CM195" s="25"/>
      <c r="CN195" s="25"/>
      <c r="CY195" s="25"/>
      <c r="CZ195" s="25"/>
      <c r="DG195" s="25"/>
    </row>
    <row r="196">
      <c r="CM196" s="25"/>
      <c r="CN196" s="25"/>
      <c r="CY196" s="25"/>
      <c r="CZ196" s="25"/>
      <c r="DG196" s="25"/>
    </row>
    <row r="197">
      <c r="CM197" s="25"/>
      <c r="CN197" s="25"/>
      <c r="CY197" s="25"/>
      <c r="CZ197" s="25"/>
      <c r="DG197" s="25"/>
    </row>
    <row r="198">
      <c r="CM198" s="25"/>
      <c r="CN198" s="25"/>
      <c r="CY198" s="25"/>
      <c r="CZ198" s="25"/>
      <c r="DG198" s="25"/>
    </row>
    <row r="199">
      <c r="CM199" s="25"/>
      <c r="CN199" s="25"/>
      <c r="CY199" s="25"/>
      <c r="CZ199" s="25"/>
      <c r="DG199" s="25"/>
    </row>
    <row r="200">
      <c r="CM200" s="25"/>
      <c r="CN200" s="25"/>
      <c r="CY200" s="25"/>
      <c r="CZ200" s="25"/>
      <c r="DG200" s="25"/>
    </row>
    <row r="201">
      <c r="CM201" s="25"/>
      <c r="CN201" s="25"/>
      <c r="CY201" s="25"/>
      <c r="CZ201" s="25"/>
      <c r="DG201" s="25"/>
    </row>
    <row r="202">
      <c r="CM202" s="25"/>
      <c r="CN202" s="25"/>
      <c r="CY202" s="25"/>
      <c r="CZ202" s="25"/>
      <c r="DG202" s="25"/>
    </row>
    <row r="203">
      <c r="CM203" s="25"/>
      <c r="CN203" s="25"/>
      <c r="CY203" s="25"/>
      <c r="CZ203" s="25"/>
      <c r="DG203" s="25"/>
    </row>
    <row r="204">
      <c r="CM204" s="25"/>
      <c r="CN204" s="25"/>
      <c r="CY204" s="25"/>
      <c r="CZ204" s="25"/>
      <c r="DG204" s="25"/>
    </row>
    <row r="205">
      <c r="CM205" s="25"/>
      <c r="CN205" s="25"/>
      <c r="CY205" s="25"/>
      <c r="CZ205" s="25"/>
      <c r="DG205" s="25"/>
    </row>
    <row r="206">
      <c r="CM206" s="25"/>
      <c r="CN206" s="25"/>
      <c r="CY206" s="25"/>
      <c r="CZ206" s="25"/>
      <c r="DG206" s="25"/>
    </row>
    <row r="207">
      <c r="CM207" s="25"/>
      <c r="CN207" s="25"/>
      <c r="CY207" s="25"/>
      <c r="CZ207" s="25"/>
      <c r="DG207" s="25"/>
    </row>
    <row r="208">
      <c r="CM208" s="25"/>
      <c r="CN208" s="25"/>
      <c r="CY208" s="25"/>
      <c r="CZ208" s="25"/>
      <c r="DG208" s="25"/>
    </row>
    <row r="209">
      <c r="CM209" s="25"/>
      <c r="CN209" s="25"/>
      <c r="CY209" s="25"/>
      <c r="CZ209" s="25"/>
      <c r="DG209" s="25"/>
    </row>
    <row r="210">
      <c r="CM210" s="25"/>
      <c r="CN210" s="25"/>
      <c r="CY210" s="25"/>
      <c r="CZ210" s="25"/>
      <c r="DG210" s="25"/>
    </row>
    <row r="211">
      <c r="CM211" s="25"/>
      <c r="CN211" s="25"/>
      <c r="CY211" s="25"/>
      <c r="CZ211" s="25"/>
      <c r="DG211" s="25"/>
    </row>
    <row r="212">
      <c r="CM212" s="25"/>
      <c r="CN212" s="25"/>
      <c r="CY212" s="25"/>
      <c r="CZ212" s="25"/>
      <c r="DG212" s="25"/>
    </row>
    <row r="213">
      <c r="CM213" s="25"/>
      <c r="CN213" s="25"/>
      <c r="CY213" s="25"/>
      <c r="CZ213" s="25"/>
      <c r="DG213" s="25"/>
    </row>
    <row r="214">
      <c r="CM214" s="25"/>
      <c r="CN214" s="25"/>
      <c r="CY214" s="25"/>
      <c r="CZ214" s="25"/>
      <c r="DG214" s="25"/>
    </row>
    <row r="215">
      <c r="CM215" s="25"/>
      <c r="CN215" s="25"/>
      <c r="CY215" s="25"/>
      <c r="CZ215" s="25"/>
      <c r="DG215" s="25"/>
    </row>
    <row r="216">
      <c r="CM216" s="25"/>
      <c r="CN216" s="25"/>
      <c r="CY216" s="25"/>
      <c r="CZ216" s="25"/>
      <c r="DG216" s="25"/>
    </row>
    <row r="217">
      <c r="CM217" s="25"/>
      <c r="CN217" s="25"/>
      <c r="CY217" s="25"/>
      <c r="CZ217" s="25"/>
      <c r="DG217" s="25"/>
    </row>
    <row r="218">
      <c r="CM218" s="25"/>
      <c r="CN218" s="25"/>
      <c r="CY218" s="25"/>
      <c r="CZ218" s="25"/>
      <c r="DG218" s="25"/>
    </row>
    <row r="219">
      <c r="CM219" s="25"/>
      <c r="CN219" s="25"/>
      <c r="CY219" s="25"/>
      <c r="CZ219" s="25"/>
      <c r="DG219" s="25"/>
    </row>
    <row r="220">
      <c r="CM220" s="25"/>
      <c r="CN220" s="25"/>
      <c r="CY220" s="25"/>
      <c r="CZ220" s="25"/>
      <c r="DG220" s="25"/>
    </row>
    <row r="221">
      <c r="CM221" s="25"/>
      <c r="CN221" s="25"/>
      <c r="CY221" s="25"/>
      <c r="CZ221" s="25"/>
      <c r="DG221" s="25"/>
    </row>
    <row r="222">
      <c r="CM222" s="25"/>
      <c r="CN222" s="25"/>
      <c r="CY222" s="25"/>
      <c r="CZ222" s="25"/>
      <c r="DG222" s="25"/>
    </row>
    <row r="223">
      <c r="CM223" s="25"/>
      <c r="CN223" s="25"/>
      <c r="CY223" s="25"/>
      <c r="CZ223" s="25"/>
      <c r="DG223" s="25"/>
    </row>
    <row r="224">
      <c r="CM224" s="25"/>
      <c r="CN224" s="25"/>
      <c r="CY224" s="25"/>
      <c r="CZ224" s="25"/>
      <c r="DG224" s="25"/>
    </row>
    <row r="225">
      <c r="CM225" s="25"/>
      <c r="CN225" s="25"/>
      <c r="CY225" s="25"/>
      <c r="CZ225" s="25"/>
      <c r="DG225" s="25"/>
    </row>
    <row r="226">
      <c r="CM226" s="25"/>
      <c r="CN226" s="25"/>
      <c r="CY226" s="25"/>
      <c r="CZ226" s="25"/>
      <c r="DG226" s="25"/>
    </row>
    <row r="227">
      <c r="CM227" s="25"/>
      <c r="CN227" s="25"/>
      <c r="CY227" s="25"/>
      <c r="CZ227" s="25"/>
      <c r="DG227" s="25"/>
    </row>
    <row r="228">
      <c r="CM228" s="25"/>
      <c r="CN228" s="25"/>
      <c r="CY228" s="25"/>
      <c r="CZ228" s="25"/>
      <c r="DG228" s="25"/>
    </row>
    <row r="229">
      <c r="CM229" s="25"/>
      <c r="CN229" s="25"/>
      <c r="CY229" s="25"/>
      <c r="CZ229" s="25"/>
      <c r="DG229" s="25"/>
    </row>
    <row r="230">
      <c r="CM230" s="25"/>
      <c r="CN230" s="25"/>
      <c r="CY230" s="25"/>
      <c r="CZ230" s="25"/>
      <c r="DG230" s="25"/>
    </row>
    <row r="231">
      <c r="CM231" s="25"/>
      <c r="CN231" s="25"/>
      <c r="CY231" s="25"/>
      <c r="CZ231" s="25"/>
      <c r="DG231" s="25"/>
    </row>
    <row r="232">
      <c r="CM232" s="25"/>
      <c r="CN232" s="25"/>
      <c r="CY232" s="25"/>
      <c r="CZ232" s="25"/>
      <c r="DG232" s="25"/>
    </row>
    <row r="233">
      <c r="CM233" s="25"/>
      <c r="CN233" s="25"/>
      <c r="CY233" s="25"/>
      <c r="CZ233" s="25"/>
      <c r="DG233" s="25"/>
    </row>
    <row r="234">
      <c r="CM234" s="25"/>
      <c r="CN234" s="25"/>
      <c r="CY234" s="25"/>
      <c r="CZ234" s="25"/>
      <c r="DG234" s="25"/>
    </row>
    <row r="235">
      <c r="CM235" s="25"/>
      <c r="CN235" s="25"/>
      <c r="CY235" s="25"/>
      <c r="CZ235" s="25"/>
      <c r="DG235" s="25"/>
    </row>
    <row r="236">
      <c r="CM236" s="25"/>
      <c r="CN236" s="25"/>
      <c r="CY236" s="25"/>
      <c r="CZ236" s="25"/>
      <c r="DG236" s="25"/>
    </row>
    <row r="237">
      <c r="CM237" s="25"/>
      <c r="CN237" s="25"/>
      <c r="CY237" s="25"/>
      <c r="CZ237" s="25"/>
      <c r="DG237" s="25"/>
    </row>
    <row r="238">
      <c r="CM238" s="25"/>
      <c r="CN238" s="25"/>
      <c r="CY238" s="25"/>
      <c r="CZ238" s="25"/>
      <c r="DG238" s="25"/>
    </row>
    <row r="239">
      <c r="CM239" s="25"/>
      <c r="CN239" s="25"/>
      <c r="CY239" s="25"/>
      <c r="CZ239" s="25"/>
      <c r="DG239" s="25"/>
    </row>
    <row r="240">
      <c r="CM240" s="25"/>
      <c r="CN240" s="25"/>
      <c r="CY240" s="25"/>
      <c r="CZ240" s="25"/>
      <c r="DG240" s="25"/>
    </row>
    <row r="241">
      <c r="CM241" s="25"/>
      <c r="CN241" s="25"/>
      <c r="CY241" s="25"/>
      <c r="CZ241" s="25"/>
      <c r="DG241" s="25"/>
    </row>
    <row r="242">
      <c r="CM242" s="25"/>
      <c r="CN242" s="25"/>
      <c r="CY242" s="25"/>
      <c r="CZ242" s="25"/>
      <c r="DG242" s="25"/>
    </row>
    <row r="243">
      <c r="CM243" s="25"/>
      <c r="CN243" s="25"/>
      <c r="CY243" s="25"/>
      <c r="CZ243" s="25"/>
      <c r="DG243" s="25"/>
    </row>
    <row r="244">
      <c r="CM244" s="25"/>
      <c r="CN244" s="25"/>
      <c r="CY244" s="25"/>
      <c r="CZ244" s="25"/>
      <c r="DG244" s="25"/>
    </row>
    <row r="245">
      <c r="CM245" s="25"/>
      <c r="CN245" s="25"/>
      <c r="CY245" s="25"/>
      <c r="CZ245" s="25"/>
      <c r="DG245" s="25"/>
    </row>
    <row r="246">
      <c r="CM246" s="25"/>
      <c r="CN246" s="25"/>
      <c r="CY246" s="25"/>
      <c r="CZ246" s="25"/>
      <c r="DG246" s="25"/>
    </row>
    <row r="247">
      <c r="CM247" s="25"/>
      <c r="CN247" s="25"/>
      <c r="CY247" s="25"/>
      <c r="CZ247" s="25"/>
      <c r="DG247" s="25"/>
    </row>
    <row r="248">
      <c r="CM248" s="25"/>
      <c r="CN248" s="25"/>
      <c r="CY248" s="25"/>
      <c r="CZ248" s="25"/>
      <c r="DG248" s="25"/>
    </row>
    <row r="249">
      <c r="CM249" s="25"/>
      <c r="CN249" s="25"/>
      <c r="CY249" s="25"/>
      <c r="CZ249" s="25"/>
      <c r="DG249" s="25"/>
    </row>
    <row r="250">
      <c r="CM250" s="25"/>
      <c r="CN250" s="25"/>
      <c r="CY250" s="25"/>
      <c r="CZ250" s="25"/>
      <c r="DG250" s="25"/>
    </row>
    <row r="251">
      <c r="CM251" s="25"/>
      <c r="CN251" s="25"/>
      <c r="CY251" s="25"/>
      <c r="CZ251" s="25"/>
      <c r="DG251" s="25"/>
    </row>
    <row r="252">
      <c r="CM252" s="25"/>
      <c r="CN252" s="25"/>
      <c r="CY252" s="25"/>
      <c r="CZ252" s="25"/>
      <c r="DG252" s="25"/>
    </row>
    <row r="253">
      <c r="CM253" s="25"/>
      <c r="CN253" s="25"/>
      <c r="CY253" s="25"/>
      <c r="CZ253" s="25"/>
      <c r="DG253" s="25"/>
    </row>
    <row r="254">
      <c r="CM254" s="25"/>
      <c r="CN254" s="25"/>
      <c r="CY254" s="25"/>
      <c r="CZ254" s="25"/>
      <c r="DG254" s="25"/>
    </row>
    <row r="255">
      <c r="CM255" s="25"/>
      <c r="CN255" s="25"/>
      <c r="CY255" s="25"/>
      <c r="CZ255" s="25"/>
      <c r="DG255" s="25"/>
    </row>
    <row r="256">
      <c r="CM256" s="25"/>
      <c r="CN256" s="25"/>
      <c r="CY256" s="25"/>
      <c r="CZ256" s="25"/>
      <c r="DG256" s="25"/>
    </row>
    <row r="257">
      <c r="CM257" s="25"/>
      <c r="CN257" s="25"/>
      <c r="CY257" s="25"/>
      <c r="CZ257" s="25"/>
      <c r="DG257" s="25"/>
    </row>
    <row r="258">
      <c r="CM258" s="25"/>
      <c r="CN258" s="25"/>
      <c r="CY258" s="25"/>
      <c r="CZ258" s="25"/>
      <c r="DG258" s="25"/>
    </row>
    <row r="259">
      <c r="CM259" s="25"/>
      <c r="CN259" s="25"/>
      <c r="CY259" s="25"/>
      <c r="CZ259" s="25"/>
      <c r="DG259" s="25"/>
    </row>
    <row r="260">
      <c r="CM260" s="25"/>
      <c r="CN260" s="25"/>
      <c r="CY260" s="25"/>
      <c r="CZ260" s="25"/>
      <c r="DG260" s="25"/>
    </row>
    <row r="261">
      <c r="CM261" s="25"/>
      <c r="CN261" s="25"/>
      <c r="CY261" s="25"/>
      <c r="CZ261" s="25"/>
      <c r="DG261" s="25"/>
    </row>
    <row r="262">
      <c r="CM262" s="25"/>
      <c r="CN262" s="25"/>
      <c r="CY262" s="25"/>
      <c r="CZ262" s="25"/>
      <c r="DG262" s="25"/>
    </row>
    <row r="263">
      <c r="CM263" s="25"/>
      <c r="CN263" s="25"/>
      <c r="CY263" s="25"/>
      <c r="CZ263" s="25"/>
      <c r="DG263" s="25"/>
    </row>
    <row r="264">
      <c r="CM264" s="25"/>
      <c r="CN264" s="25"/>
      <c r="CY264" s="25"/>
      <c r="CZ264" s="25"/>
      <c r="DG264" s="25"/>
    </row>
    <row r="265">
      <c r="CM265" s="25"/>
      <c r="CN265" s="25"/>
      <c r="CY265" s="25"/>
      <c r="CZ265" s="25"/>
      <c r="DG265" s="25"/>
    </row>
    <row r="266">
      <c r="CM266" s="25"/>
      <c r="CN266" s="25"/>
      <c r="CY266" s="25"/>
      <c r="CZ266" s="25"/>
      <c r="DG266" s="25"/>
    </row>
    <row r="267">
      <c r="CM267" s="25"/>
      <c r="CN267" s="25"/>
      <c r="CY267" s="25"/>
      <c r="CZ267" s="25"/>
      <c r="DG267" s="25"/>
    </row>
    <row r="268">
      <c r="CM268" s="25"/>
      <c r="CN268" s="25"/>
      <c r="CY268" s="25"/>
      <c r="CZ268" s="25"/>
      <c r="DG268" s="25"/>
    </row>
    <row r="269">
      <c r="CM269" s="25"/>
      <c r="CN269" s="25"/>
      <c r="CY269" s="25"/>
      <c r="CZ269" s="25"/>
      <c r="DG269" s="25"/>
    </row>
    <row r="270">
      <c r="CM270" s="25"/>
      <c r="CN270" s="25"/>
      <c r="CY270" s="25"/>
      <c r="CZ270" s="25"/>
      <c r="DG270" s="25"/>
    </row>
    <row r="271">
      <c r="CM271" s="25"/>
      <c r="CN271" s="25"/>
      <c r="CY271" s="25"/>
      <c r="CZ271" s="25"/>
      <c r="DG271" s="25"/>
    </row>
    <row r="272">
      <c r="CM272" s="25"/>
      <c r="CN272" s="25"/>
      <c r="CY272" s="25"/>
      <c r="CZ272" s="25"/>
      <c r="DG272" s="25"/>
    </row>
    <row r="273">
      <c r="CM273" s="25"/>
      <c r="CN273" s="25"/>
      <c r="CY273" s="25"/>
      <c r="CZ273" s="25"/>
      <c r="DG273" s="25"/>
    </row>
    <row r="274">
      <c r="CM274" s="25"/>
      <c r="CN274" s="25"/>
      <c r="CY274" s="25"/>
      <c r="CZ274" s="25"/>
      <c r="DG274" s="25"/>
    </row>
    <row r="275">
      <c r="CM275" s="25"/>
      <c r="CN275" s="25"/>
      <c r="CY275" s="25"/>
      <c r="CZ275" s="25"/>
      <c r="DG275" s="25"/>
    </row>
    <row r="276">
      <c r="CM276" s="25"/>
      <c r="CN276" s="25"/>
      <c r="CY276" s="25"/>
      <c r="CZ276" s="25"/>
      <c r="DG276" s="25"/>
    </row>
    <row r="277">
      <c r="CM277" s="25"/>
      <c r="CN277" s="25"/>
      <c r="CY277" s="25"/>
      <c r="CZ277" s="25"/>
      <c r="DG277" s="25"/>
    </row>
    <row r="278">
      <c r="CM278" s="25"/>
      <c r="CN278" s="25"/>
      <c r="CY278" s="25"/>
      <c r="CZ278" s="25"/>
      <c r="DG278" s="25"/>
    </row>
    <row r="279">
      <c r="CM279" s="25"/>
      <c r="CN279" s="25"/>
      <c r="CY279" s="25"/>
      <c r="CZ279" s="25"/>
      <c r="DG279" s="25"/>
    </row>
    <row r="280">
      <c r="CM280" s="25"/>
      <c r="CN280" s="25"/>
      <c r="CY280" s="25"/>
      <c r="CZ280" s="25"/>
      <c r="DG280" s="25"/>
    </row>
    <row r="281">
      <c r="CM281" s="25"/>
      <c r="CN281" s="25"/>
      <c r="CY281" s="25"/>
      <c r="CZ281" s="25"/>
      <c r="DG281" s="25"/>
    </row>
    <row r="282">
      <c r="CM282" s="25"/>
      <c r="CN282" s="25"/>
      <c r="CY282" s="25"/>
      <c r="CZ282" s="25"/>
      <c r="DG282" s="25"/>
    </row>
    <row r="283">
      <c r="CM283" s="25"/>
      <c r="CN283" s="25"/>
      <c r="CY283" s="25"/>
      <c r="CZ283" s="25"/>
      <c r="DG283" s="25"/>
    </row>
    <row r="284">
      <c r="CM284" s="25"/>
      <c r="CN284" s="25"/>
      <c r="CY284" s="25"/>
      <c r="CZ284" s="25"/>
      <c r="DG284" s="25"/>
    </row>
    <row r="285">
      <c r="CM285" s="25"/>
      <c r="CN285" s="25"/>
      <c r="CY285" s="25"/>
      <c r="CZ285" s="25"/>
      <c r="DG285" s="25"/>
    </row>
    <row r="286">
      <c r="CM286" s="25"/>
      <c r="CN286" s="25"/>
      <c r="CY286" s="25"/>
      <c r="CZ286" s="25"/>
      <c r="DG286" s="25"/>
    </row>
    <row r="287">
      <c r="CM287" s="25"/>
      <c r="CN287" s="25"/>
      <c r="CY287" s="25"/>
      <c r="CZ287" s="25"/>
      <c r="DG287" s="25"/>
    </row>
    <row r="288">
      <c r="CM288" s="25"/>
      <c r="CN288" s="25"/>
      <c r="CY288" s="25"/>
      <c r="CZ288" s="25"/>
      <c r="DG288" s="25"/>
    </row>
    <row r="289">
      <c r="CM289" s="25"/>
      <c r="CN289" s="25"/>
      <c r="CY289" s="25"/>
      <c r="CZ289" s="25"/>
      <c r="DG289" s="25"/>
    </row>
    <row r="290">
      <c r="CM290" s="25"/>
      <c r="CN290" s="25"/>
      <c r="CY290" s="25"/>
      <c r="CZ290" s="25"/>
      <c r="DG290" s="25"/>
    </row>
    <row r="291">
      <c r="CM291" s="25"/>
      <c r="CN291" s="25"/>
      <c r="CY291" s="25"/>
      <c r="CZ291" s="25"/>
      <c r="DG291" s="25"/>
    </row>
    <row r="292">
      <c r="CM292" s="25"/>
      <c r="CN292" s="25"/>
      <c r="CY292" s="25"/>
      <c r="CZ292" s="25"/>
      <c r="DG292" s="25"/>
    </row>
    <row r="293">
      <c r="CM293" s="25"/>
      <c r="CN293" s="25"/>
      <c r="CY293" s="25"/>
      <c r="CZ293" s="25"/>
      <c r="DG293" s="25"/>
    </row>
    <row r="294">
      <c r="CM294" s="25"/>
      <c r="CN294" s="25"/>
      <c r="CY294" s="25"/>
      <c r="CZ294" s="25"/>
      <c r="DG294" s="25"/>
    </row>
    <row r="295">
      <c r="CM295" s="25"/>
      <c r="CN295" s="25"/>
      <c r="CY295" s="25"/>
      <c r="CZ295" s="25"/>
      <c r="DG295" s="25"/>
    </row>
    <row r="296">
      <c r="CM296" s="25"/>
      <c r="CN296" s="25"/>
      <c r="CY296" s="25"/>
      <c r="CZ296" s="25"/>
      <c r="DG296" s="25"/>
    </row>
    <row r="297">
      <c r="CM297" s="25"/>
      <c r="CN297" s="25"/>
      <c r="CY297" s="25"/>
      <c r="CZ297" s="25"/>
      <c r="DG297" s="25"/>
    </row>
    <row r="298">
      <c r="CM298" s="25"/>
      <c r="CN298" s="25"/>
      <c r="CY298" s="25"/>
      <c r="CZ298" s="25"/>
      <c r="DG298" s="25"/>
    </row>
    <row r="299">
      <c r="CM299" s="25"/>
      <c r="CN299" s="25"/>
      <c r="CY299" s="25"/>
      <c r="CZ299" s="25"/>
      <c r="DG299" s="25"/>
    </row>
    <row r="300">
      <c r="CM300" s="25"/>
      <c r="CN300" s="25"/>
      <c r="CY300" s="25"/>
      <c r="CZ300" s="25"/>
      <c r="DG300" s="25"/>
    </row>
    <row r="301">
      <c r="CM301" s="25"/>
      <c r="CN301" s="25"/>
      <c r="CY301" s="25"/>
      <c r="CZ301" s="25"/>
      <c r="DG301" s="25"/>
    </row>
    <row r="302">
      <c r="CM302" s="25"/>
      <c r="CN302" s="25"/>
      <c r="CY302" s="25"/>
      <c r="CZ302" s="25"/>
      <c r="DG302" s="25"/>
    </row>
    <row r="303">
      <c r="CM303" s="25"/>
      <c r="CN303" s="25"/>
      <c r="CY303" s="25"/>
      <c r="CZ303" s="25"/>
      <c r="DG303" s="25"/>
    </row>
    <row r="304">
      <c r="CM304" s="25"/>
      <c r="CN304" s="25"/>
      <c r="CY304" s="25"/>
      <c r="CZ304" s="25"/>
      <c r="DG304" s="25"/>
    </row>
    <row r="305">
      <c r="CM305" s="25"/>
      <c r="CN305" s="25"/>
      <c r="CY305" s="25"/>
      <c r="CZ305" s="25"/>
      <c r="DG305" s="25"/>
    </row>
    <row r="306">
      <c r="CM306" s="25"/>
      <c r="CN306" s="25"/>
      <c r="CY306" s="25"/>
      <c r="CZ306" s="25"/>
      <c r="DG306" s="25"/>
    </row>
    <row r="307">
      <c r="CM307" s="25"/>
      <c r="CN307" s="25"/>
      <c r="CY307" s="25"/>
      <c r="CZ307" s="25"/>
      <c r="DG307" s="25"/>
    </row>
    <row r="308">
      <c r="CM308" s="25"/>
      <c r="CN308" s="25"/>
      <c r="CY308" s="25"/>
      <c r="CZ308" s="25"/>
      <c r="DG308" s="25"/>
    </row>
    <row r="309">
      <c r="CM309" s="25"/>
      <c r="CN309" s="25"/>
      <c r="CY309" s="25"/>
      <c r="CZ309" s="25"/>
      <c r="DG309" s="25"/>
    </row>
    <row r="310">
      <c r="CM310" s="25"/>
      <c r="CN310" s="25"/>
      <c r="CY310" s="25"/>
      <c r="CZ310" s="25"/>
      <c r="DG310" s="25"/>
    </row>
    <row r="311">
      <c r="CM311" s="25"/>
      <c r="CN311" s="25"/>
      <c r="CY311" s="25"/>
      <c r="CZ311" s="25"/>
      <c r="DG311" s="25"/>
    </row>
    <row r="312">
      <c r="CM312" s="25"/>
      <c r="CN312" s="25"/>
      <c r="CY312" s="25"/>
      <c r="CZ312" s="25"/>
      <c r="DG312" s="25"/>
    </row>
    <row r="313">
      <c r="CM313" s="25"/>
      <c r="CN313" s="25"/>
      <c r="CY313" s="25"/>
      <c r="CZ313" s="25"/>
      <c r="DG313" s="25"/>
    </row>
    <row r="314">
      <c r="CM314" s="25"/>
      <c r="CN314" s="25"/>
      <c r="CY314" s="25"/>
      <c r="CZ314" s="25"/>
      <c r="DG314" s="25"/>
    </row>
    <row r="315">
      <c r="CM315" s="25"/>
      <c r="CN315" s="25"/>
      <c r="CY315" s="25"/>
      <c r="CZ315" s="25"/>
      <c r="DG315" s="25"/>
    </row>
    <row r="316">
      <c r="CM316" s="25"/>
      <c r="CN316" s="25"/>
      <c r="CY316" s="25"/>
      <c r="CZ316" s="25"/>
      <c r="DG316" s="25"/>
    </row>
    <row r="317">
      <c r="CM317" s="25"/>
      <c r="CN317" s="25"/>
      <c r="CY317" s="25"/>
      <c r="CZ317" s="25"/>
      <c r="DG317" s="25"/>
    </row>
    <row r="318">
      <c r="CM318" s="25"/>
      <c r="CN318" s="25"/>
      <c r="CY318" s="25"/>
      <c r="CZ318" s="25"/>
      <c r="DG318" s="25"/>
    </row>
    <row r="319">
      <c r="CM319" s="25"/>
      <c r="CN319" s="25"/>
      <c r="CY319" s="25"/>
      <c r="CZ319" s="25"/>
      <c r="DG319" s="25"/>
    </row>
    <row r="320">
      <c r="CM320" s="25"/>
      <c r="CN320" s="25"/>
      <c r="CY320" s="25"/>
      <c r="CZ320" s="25"/>
      <c r="DG320" s="25"/>
    </row>
    <row r="321">
      <c r="CM321" s="25"/>
      <c r="CN321" s="25"/>
      <c r="CY321" s="25"/>
      <c r="CZ321" s="25"/>
      <c r="DG321" s="25"/>
    </row>
    <row r="322">
      <c r="CM322" s="25"/>
      <c r="CN322" s="25"/>
      <c r="CY322" s="25"/>
      <c r="CZ322" s="25"/>
      <c r="DG322" s="25"/>
    </row>
    <row r="323">
      <c r="CM323" s="25"/>
      <c r="CN323" s="25"/>
      <c r="CY323" s="25"/>
      <c r="CZ323" s="25"/>
      <c r="DG323" s="25"/>
    </row>
    <row r="324">
      <c r="CM324" s="25"/>
      <c r="CN324" s="25"/>
      <c r="CY324" s="25"/>
      <c r="CZ324" s="25"/>
      <c r="DG324" s="25"/>
    </row>
    <row r="325">
      <c r="CM325" s="25"/>
      <c r="CN325" s="25"/>
      <c r="CY325" s="25"/>
      <c r="CZ325" s="25"/>
      <c r="DG325" s="25"/>
    </row>
    <row r="326">
      <c r="CM326" s="25"/>
      <c r="CN326" s="25"/>
      <c r="CY326" s="25"/>
      <c r="CZ326" s="25"/>
      <c r="DG326" s="25"/>
    </row>
    <row r="327">
      <c r="CM327" s="25"/>
      <c r="CN327" s="25"/>
      <c r="CY327" s="25"/>
      <c r="CZ327" s="25"/>
      <c r="DG327" s="25"/>
    </row>
    <row r="328">
      <c r="CM328" s="25"/>
      <c r="CN328" s="25"/>
      <c r="CY328" s="25"/>
      <c r="CZ328" s="25"/>
      <c r="DG328" s="25"/>
    </row>
    <row r="329">
      <c r="CM329" s="25"/>
      <c r="CN329" s="25"/>
      <c r="CY329" s="25"/>
      <c r="CZ329" s="25"/>
      <c r="DG329" s="25"/>
    </row>
    <row r="330">
      <c r="CM330" s="25"/>
      <c r="CN330" s="25"/>
      <c r="CY330" s="25"/>
      <c r="CZ330" s="25"/>
      <c r="DG330" s="25"/>
    </row>
    <row r="331">
      <c r="CM331" s="25"/>
      <c r="CN331" s="25"/>
      <c r="CY331" s="25"/>
      <c r="CZ331" s="25"/>
      <c r="DG331" s="25"/>
    </row>
    <row r="332">
      <c r="CM332" s="25"/>
      <c r="CN332" s="25"/>
      <c r="CY332" s="25"/>
      <c r="CZ332" s="25"/>
      <c r="DG332" s="25"/>
    </row>
    <row r="333">
      <c r="CM333" s="25"/>
      <c r="CN333" s="25"/>
      <c r="CY333" s="25"/>
      <c r="CZ333" s="25"/>
      <c r="DG333" s="25"/>
    </row>
    <row r="334">
      <c r="CM334" s="25"/>
      <c r="CN334" s="25"/>
      <c r="CY334" s="25"/>
      <c r="CZ334" s="25"/>
      <c r="DG334" s="25"/>
    </row>
    <row r="335">
      <c r="CM335" s="25"/>
      <c r="CN335" s="25"/>
      <c r="CY335" s="25"/>
      <c r="CZ335" s="25"/>
      <c r="DG335" s="25"/>
    </row>
    <row r="336">
      <c r="CM336" s="25"/>
      <c r="CN336" s="25"/>
      <c r="CY336" s="25"/>
      <c r="CZ336" s="25"/>
      <c r="DG336" s="25"/>
    </row>
    <row r="337">
      <c r="CM337" s="25"/>
      <c r="CN337" s="25"/>
      <c r="CY337" s="25"/>
      <c r="CZ337" s="25"/>
      <c r="DG337" s="25"/>
    </row>
    <row r="338">
      <c r="CM338" s="25"/>
      <c r="CN338" s="25"/>
      <c r="CY338" s="25"/>
      <c r="CZ338" s="25"/>
      <c r="DG338" s="25"/>
    </row>
    <row r="339">
      <c r="CM339" s="25"/>
      <c r="CN339" s="25"/>
      <c r="CY339" s="25"/>
      <c r="CZ339" s="25"/>
      <c r="DG339" s="25"/>
    </row>
    <row r="340">
      <c r="CM340" s="25"/>
      <c r="CN340" s="25"/>
      <c r="CY340" s="25"/>
      <c r="CZ340" s="25"/>
      <c r="DG340" s="25"/>
    </row>
    <row r="341">
      <c r="CM341" s="25"/>
      <c r="CN341" s="25"/>
      <c r="CY341" s="25"/>
      <c r="CZ341" s="25"/>
      <c r="DG341" s="25"/>
    </row>
    <row r="342">
      <c r="CM342" s="25"/>
      <c r="CN342" s="25"/>
      <c r="CY342" s="25"/>
      <c r="CZ342" s="25"/>
      <c r="DG342" s="25"/>
    </row>
    <row r="343">
      <c r="CM343" s="25"/>
      <c r="CN343" s="25"/>
      <c r="CY343" s="25"/>
      <c r="CZ343" s="25"/>
      <c r="DG343" s="25"/>
    </row>
    <row r="344">
      <c r="CM344" s="25"/>
      <c r="CN344" s="25"/>
      <c r="CY344" s="25"/>
      <c r="CZ344" s="25"/>
      <c r="DG344" s="25"/>
    </row>
    <row r="345">
      <c r="CM345" s="25"/>
      <c r="CN345" s="25"/>
      <c r="CY345" s="25"/>
      <c r="CZ345" s="25"/>
      <c r="DG345" s="25"/>
    </row>
    <row r="346">
      <c r="CM346" s="25"/>
      <c r="CN346" s="25"/>
      <c r="CY346" s="25"/>
      <c r="CZ346" s="25"/>
      <c r="DG346" s="25"/>
    </row>
    <row r="347">
      <c r="CM347" s="25"/>
      <c r="CN347" s="25"/>
      <c r="CY347" s="25"/>
      <c r="CZ347" s="25"/>
      <c r="DG347" s="25"/>
    </row>
    <row r="348">
      <c r="CM348" s="25"/>
      <c r="CN348" s="25"/>
      <c r="CY348" s="25"/>
      <c r="CZ348" s="25"/>
      <c r="DG348" s="25"/>
    </row>
    <row r="349">
      <c r="CM349" s="25"/>
      <c r="CN349" s="25"/>
      <c r="CY349" s="25"/>
      <c r="CZ349" s="25"/>
      <c r="DG349" s="25"/>
    </row>
    <row r="350">
      <c r="CM350" s="25"/>
      <c r="CN350" s="25"/>
      <c r="CY350" s="25"/>
      <c r="CZ350" s="25"/>
      <c r="DG350" s="25"/>
    </row>
    <row r="351">
      <c r="CM351" s="25"/>
      <c r="CN351" s="25"/>
      <c r="CY351" s="25"/>
      <c r="CZ351" s="25"/>
      <c r="DG351" s="25"/>
    </row>
    <row r="352">
      <c r="CM352" s="25"/>
      <c r="CN352" s="25"/>
      <c r="CY352" s="25"/>
      <c r="CZ352" s="25"/>
      <c r="DG352" s="25"/>
    </row>
    <row r="353">
      <c r="CM353" s="25"/>
      <c r="CN353" s="25"/>
      <c r="CY353" s="25"/>
      <c r="CZ353" s="25"/>
      <c r="DG353" s="25"/>
    </row>
    <row r="354">
      <c r="CM354" s="25"/>
      <c r="CN354" s="25"/>
      <c r="CY354" s="25"/>
      <c r="CZ354" s="25"/>
      <c r="DG354" s="25"/>
    </row>
    <row r="355">
      <c r="CM355" s="25"/>
      <c r="CN355" s="25"/>
      <c r="CY355" s="25"/>
      <c r="CZ355" s="25"/>
      <c r="DG355" s="25"/>
    </row>
    <row r="356">
      <c r="CM356" s="25"/>
      <c r="CN356" s="25"/>
      <c r="CY356" s="25"/>
      <c r="CZ356" s="25"/>
      <c r="DG356" s="25"/>
    </row>
    <row r="357">
      <c r="CM357" s="25"/>
      <c r="CN357" s="25"/>
      <c r="CY357" s="25"/>
      <c r="CZ357" s="25"/>
      <c r="DG357" s="25"/>
    </row>
    <row r="358">
      <c r="CM358" s="25"/>
      <c r="CN358" s="25"/>
      <c r="CY358" s="25"/>
      <c r="CZ358" s="25"/>
      <c r="DG358" s="25"/>
    </row>
    <row r="359">
      <c r="CM359" s="25"/>
      <c r="CN359" s="25"/>
      <c r="CY359" s="25"/>
      <c r="CZ359" s="25"/>
      <c r="DG359" s="25"/>
    </row>
    <row r="360">
      <c r="CM360" s="25"/>
      <c r="CN360" s="25"/>
      <c r="CY360" s="25"/>
      <c r="CZ360" s="25"/>
      <c r="DG360" s="25"/>
    </row>
    <row r="361">
      <c r="CM361" s="25"/>
      <c r="CN361" s="25"/>
      <c r="CY361" s="25"/>
      <c r="CZ361" s="25"/>
      <c r="DG361" s="25"/>
    </row>
    <row r="362">
      <c r="CM362" s="25"/>
      <c r="CN362" s="25"/>
      <c r="CY362" s="25"/>
      <c r="CZ362" s="25"/>
      <c r="DG362" s="25"/>
    </row>
    <row r="363">
      <c r="CM363" s="25"/>
      <c r="CN363" s="25"/>
      <c r="CY363" s="25"/>
      <c r="CZ363" s="25"/>
      <c r="DG363" s="25"/>
    </row>
    <row r="364">
      <c r="CM364" s="25"/>
      <c r="CN364" s="25"/>
      <c r="CY364" s="25"/>
      <c r="CZ364" s="25"/>
      <c r="DG364" s="25"/>
    </row>
    <row r="365">
      <c r="CM365" s="25"/>
      <c r="CN365" s="25"/>
      <c r="CY365" s="25"/>
      <c r="CZ365" s="25"/>
      <c r="DG365" s="25"/>
    </row>
    <row r="366">
      <c r="CM366" s="25"/>
      <c r="CN366" s="25"/>
      <c r="CY366" s="25"/>
      <c r="CZ366" s="25"/>
      <c r="DG366" s="25"/>
    </row>
    <row r="367">
      <c r="CM367" s="25"/>
      <c r="CN367" s="25"/>
      <c r="CY367" s="25"/>
      <c r="CZ367" s="25"/>
      <c r="DG367" s="25"/>
    </row>
    <row r="368">
      <c r="CM368" s="25"/>
      <c r="CN368" s="25"/>
      <c r="CY368" s="25"/>
      <c r="CZ368" s="25"/>
      <c r="DG368" s="25"/>
    </row>
    <row r="369">
      <c r="CM369" s="25"/>
      <c r="CN369" s="25"/>
      <c r="CY369" s="25"/>
      <c r="CZ369" s="25"/>
      <c r="DG369" s="25"/>
    </row>
    <row r="370">
      <c r="CM370" s="25"/>
      <c r="CN370" s="25"/>
      <c r="CY370" s="25"/>
      <c r="CZ370" s="25"/>
      <c r="DG370" s="25"/>
    </row>
    <row r="371">
      <c r="CM371" s="25"/>
      <c r="CN371" s="25"/>
      <c r="CY371" s="25"/>
      <c r="CZ371" s="25"/>
      <c r="DG371" s="25"/>
    </row>
    <row r="372">
      <c r="CM372" s="25"/>
      <c r="CN372" s="25"/>
      <c r="CY372" s="25"/>
      <c r="CZ372" s="25"/>
      <c r="DG372" s="25"/>
    </row>
    <row r="373">
      <c r="CM373" s="25"/>
      <c r="CN373" s="25"/>
      <c r="CY373" s="25"/>
      <c r="CZ373" s="25"/>
      <c r="DG373" s="25"/>
    </row>
    <row r="374">
      <c r="CM374" s="25"/>
      <c r="CN374" s="25"/>
      <c r="CY374" s="25"/>
      <c r="CZ374" s="25"/>
      <c r="DG374" s="25"/>
    </row>
    <row r="375">
      <c r="CM375" s="25"/>
      <c r="CN375" s="25"/>
      <c r="CY375" s="25"/>
      <c r="CZ375" s="25"/>
      <c r="DG375" s="25"/>
    </row>
    <row r="376">
      <c r="CM376" s="25"/>
      <c r="CN376" s="25"/>
      <c r="CY376" s="25"/>
      <c r="CZ376" s="25"/>
      <c r="DG376" s="25"/>
    </row>
    <row r="377">
      <c r="CM377" s="25"/>
      <c r="CN377" s="25"/>
      <c r="CY377" s="25"/>
      <c r="CZ377" s="25"/>
      <c r="DG377" s="25"/>
    </row>
    <row r="378">
      <c r="CM378" s="25"/>
      <c r="CN378" s="25"/>
      <c r="CY378" s="25"/>
      <c r="CZ378" s="25"/>
      <c r="DG378" s="25"/>
    </row>
    <row r="379">
      <c r="CM379" s="25"/>
      <c r="CN379" s="25"/>
      <c r="CY379" s="25"/>
      <c r="CZ379" s="25"/>
      <c r="DG379" s="25"/>
    </row>
    <row r="380">
      <c r="CM380" s="25"/>
      <c r="CN380" s="25"/>
      <c r="CY380" s="25"/>
      <c r="CZ380" s="25"/>
      <c r="DG380" s="25"/>
    </row>
    <row r="381">
      <c r="CM381" s="25"/>
      <c r="CN381" s="25"/>
      <c r="CY381" s="25"/>
      <c r="CZ381" s="25"/>
      <c r="DG381" s="25"/>
    </row>
    <row r="382">
      <c r="CM382" s="25"/>
      <c r="CN382" s="25"/>
      <c r="CY382" s="25"/>
      <c r="CZ382" s="25"/>
      <c r="DG382" s="25"/>
    </row>
    <row r="383">
      <c r="CM383" s="25"/>
      <c r="CN383" s="25"/>
      <c r="CY383" s="25"/>
      <c r="CZ383" s="25"/>
      <c r="DG383" s="25"/>
    </row>
    <row r="384">
      <c r="CM384" s="25"/>
      <c r="CN384" s="25"/>
      <c r="CY384" s="25"/>
      <c r="CZ384" s="25"/>
      <c r="DG384" s="25"/>
    </row>
    <row r="385">
      <c r="CM385" s="25"/>
      <c r="CN385" s="25"/>
      <c r="CY385" s="25"/>
      <c r="CZ385" s="25"/>
      <c r="DG385" s="25"/>
    </row>
    <row r="386">
      <c r="CM386" s="25"/>
      <c r="CN386" s="25"/>
      <c r="CY386" s="25"/>
      <c r="CZ386" s="25"/>
      <c r="DG386" s="25"/>
    </row>
    <row r="387">
      <c r="CM387" s="25"/>
      <c r="CN387" s="25"/>
      <c r="CY387" s="25"/>
      <c r="CZ387" s="25"/>
      <c r="DG387" s="25"/>
    </row>
    <row r="388">
      <c r="CM388" s="25"/>
      <c r="CN388" s="25"/>
      <c r="CY388" s="25"/>
      <c r="CZ388" s="25"/>
      <c r="DG388" s="25"/>
    </row>
    <row r="389">
      <c r="CM389" s="25"/>
      <c r="CN389" s="25"/>
      <c r="CY389" s="25"/>
      <c r="CZ389" s="25"/>
      <c r="DG389" s="25"/>
    </row>
    <row r="390">
      <c r="CM390" s="25"/>
      <c r="CN390" s="25"/>
      <c r="CY390" s="25"/>
      <c r="CZ390" s="25"/>
      <c r="DG390" s="25"/>
    </row>
    <row r="391">
      <c r="CM391" s="25"/>
      <c r="CN391" s="25"/>
      <c r="CY391" s="25"/>
      <c r="CZ391" s="25"/>
      <c r="DG391" s="25"/>
    </row>
    <row r="392">
      <c r="CM392" s="25"/>
      <c r="CN392" s="25"/>
      <c r="CY392" s="25"/>
      <c r="CZ392" s="25"/>
      <c r="DG392" s="25"/>
    </row>
    <row r="393">
      <c r="CM393" s="25"/>
      <c r="CN393" s="25"/>
      <c r="CY393" s="25"/>
      <c r="CZ393" s="25"/>
      <c r="DG393" s="25"/>
    </row>
    <row r="394">
      <c r="CM394" s="25"/>
      <c r="CN394" s="25"/>
      <c r="CY394" s="25"/>
      <c r="CZ394" s="25"/>
      <c r="DG394" s="25"/>
    </row>
    <row r="395">
      <c r="CM395" s="25"/>
      <c r="CN395" s="25"/>
      <c r="CY395" s="25"/>
      <c r="CZ395" s="25"/>
      <c r="DG395" s="25"/>
    </row>
    <row r="396">
      <c r="CM396" s="25"/>
      <c r="CN396" s="25"/>
      <c r="CY396" s="25"/>
      <c r="CZ396" s="25"/>
      <c r="DG396" s="25"/>
    </row>
    <row r="397">
      <c r="CM397" s="25"/>
      <c r="CN397" s="25"/>
      <c r="CY397" s="25"/>
      <c r="CZ397" s="25"/>
      <c r="DG397" s="25"/>
    </row>
    <row r="398">
      <c r="CM398" s="25"/>
      <c r="CN398" s="25"/>
      <c r="CY398" s="25"/>
      <c r="CZ398" s="25"/>
      <c r="DG398" s="25"/>
    </row>
    <row r="399">
      <c r="CM399" s="25"/>
      <c r="CN399" s="25"/>
      <c r="CY399" s="25"/>
      <c r="CZ399" s="25"/>
      <c r="DG399" s="25"/>
    </row>
    <row r="400">
      <c r="CM400" s="25"/>
      <c r="CN400" s="25"/>
      <c r="CY400" s="25"/>
      <c r="CZ400" s="25"/>
      <c r="DG400" s="25"/>
    </row>
    <row r="401">
      <c r="CM401" s="25"/>
      <c r="CN401" s="25"/>
      <c r="CY401" s="25"/>
      <c r="CZ401" s="25"/>
      <c r="DG401" s="25"/>
    </row>
    <row r="402">
      <c r="CM402" s="25"/>
      <c r="CN402" s="25"/>
      <c r="CY402" s="25"/>
      <c r="CZ402" s="25"/>
      <c r="DG402" s="25"/>
    </row>
    <row r="403">
      <c r="CM403" s="25"/>
      <c r="CN403" s="25"/>
      <c r="CY403" s="25"/>
      <c r="CZ403" s="25"/>
      <c r="DG403" s="25"/>
    </row>
    <row r="404">
      <c r="CM404" s="25"/>
      <c r="CN404" s="25"/>
      <c r="CY404" s="25"/>
      <c r="CZ404" s="25"/>
      <c r="DG404" s="25"/>
    </row>
    <row r="405">
      <c r="CM405" s="25"/>
      <c r="CN405" s="25"/>
      <c r="CY405" s="25"/>
      <c r="CZ405" s="25"/>
      <c r="DG405" s="25"/>
    </row>
    <row r="406">
      <c r="CM406" s="25"/>
      <c r="CN406" s="25"/>
      <c r="CY406" s="25"/>
      <c r="CZ406" s="25"/>
      <c r="DG406" s="25"/>
    </row>
    <row r="407">
      <c r="CM407" s="25"/>
      <c r="CN407" s="25"/>
      <c r="CY407" s="25"/>
      <c r="CZ407" s="25"/>
      <c r="DG407" s="25"/>
    </row>
    <row r="408">
      <c r="CM408" s="25"/>
      <c r="CN408" s="25"/>
      <c r="CY408" s="25"/>
      <c r="CZ408" s="25"/>
      <c r="DG408" s="25"/>
    </row>
    <row r="409">
      <c r="CM409" s="25"/>
      <c r="CN409" s="25"/>
      <c r="CY409" s="25"/>
      <c r="CZ409" s="25"/>
      <c r="DG409" s="25"/>
    </row>
    <row r="410">
      <c r="CM410" s="25"/>
      <c r="CN410" s="25"/>
      <c r="CY410" s="25"/>
      <c r="CZ410" s="25"/>
      <c r="DG410" s="25"/>
    </row>
    <row r="411">
      <c r="CM411" s="25"/>
      <c r="CN411" s="25"/>
      <c r="CY411" s="25"/>
      <c r="CZ411" s="25"/>
      <c r="DG411" s="25"/>
    </row>
    <row r="412">
      <c r="CM412" s="25"/>
      <c r="CN412" s="25"/>
      <c r="CY412" s="25"/>
      <c r="CZ412" s="25"/>
      <c r="DG412" s="25"/>
    </row>
    <row r="413">
      <c r="CM413" s="25"/>
      <c r="CN413" s="25"/>
      <c r="CY413" s="25"/>
      <c r="CZ413" s="25"/>
      <c r="DG413" s="25"/>
    </row>
    <row r="414">
      <c r="CM414" s="25"/>
      <c r="CN414" s="25"/>
      <c r="CY414" s="25"/>
      <c r="CZ414" s="25"/>
      <c r="DG414" s="25"/>
    </row>
    <row r="415">
      <c r="CM415" s="25"/>
      <c r="CN415" s="25"/>
      <c r="CY415" s="25"/>
      <c r="CZ415" s="25"/>
      <c r="DG415" s="25"/>
    </row>
    <row r="416">
      <c r="CM416" s="25"/>
      <c r="CN416" s="25"/>
      <c r="CY416" s="25"/>
      <c r="CZ416" s="25"/>
      <c r="DG416" s="25"/>
    </row>
    <row r="417">
      <c r="CM417" s="25"/>
      <c r="CN417" s="25"/>
      <c r="CY417" s="25"/>
      <c r="CZ417" s="25"/>
      <c r="DG417" s="25"/>
    </row>
    <row r="418">
      <c r="CM418" s="25"/>
      <c r="CN418" s="25"/>
      <c r="CY418" s="25"/>
      <c r="CZ418" s="25"/>
      <c r="DG418" s="25"/>
    </row>
    <row r="419">
      <c r="CM419" s="25"/>
      <c r="CN419" s="25"/>
      <c r="CY419" s="25"/>
      <c r="CZ419" s="25"/>
      <c r="DG419" s="25"/>
    </row>
    <row r="420">
      <c r="CM420" s="25"/>
      <c r="CN420" s="25"/>
      <c r="CY420" s="25"/>
      <c r="CZ420" s="25"/>
      <c r="DG420" s="25"/>
    </row>
    <row r="421">
      <c r="CM421" s="25"/>
      <c r="CN421" s="25"/>
      <c r="CY421" s="25"/>
      <c r="CZ421" s="25"/>
      <c r="DG421" s="25"/>
    </row>
    <row r="422">
      <c r="CM422" s="25"/>
      <c r="CN422" s="25"/>
      <c r="CY422" s="25"/>
      <c r="CZ422" s="25"/>
      <c r="DG422" s="25"/>
    </row>
    <row r="423">
      <c r="CM423" s="25"/>
      <c r="CN423" s="25"/>
      <c r="CY423" s="25"/>
      <c r="CZ423" s="25"/>
      <c r="DG423" s="25"/>
    </row>
    <row r="424">
      <c r="CM424" s="25"/>
      <c r="CN424" s="25"/>
      <c r="CY424" s="25"/>
      <c r="CZ424" s="25"/>
      <c r="DG424" s="25"/>
    </row>
    <row r="425">
      <c r="CM425" s="25"/>
      <c r="CN425" s="25"/>
      <c r="CY425" s="25"/>
      <c r="CZ425" s="25"/>
      <c r="DG425" s="25"/>
    </row>
    <row r="426">
      <c r="CM426" s="25"/>
      <c r="CN426" s="25"/>
      <c r="CY426" s="25"/>
      <c r="CZ426" s="25"/>
      <c r="DG426" s="25"/>
    </row>
    <row r="427">
      <c r="CM427" s="25"/>
      <c r="CN427" s="25"/>
      <c r="CY427" s="25"/>
      <c r="CZ427" s="25"/>
      <c r="DG427" s="25"/>
    </row>
    <row r="428">
      <c r="CM428" s="25"/>
      <c r="CN428" s="25"/>
      <c r="CY428" s="25"/>
      <c r="CZ428" s="25"/>
      <c r="DG428" s="25"/>
    </row>
    <row r="429">
      <c r="CM429" s="25"/>
      <c r="CN429" s="25"/>
      <c r="CY429" s="25"/>
      <c r="CZ429" s="25"/>
      <c r="DG429" s="25"/>
    </row>
    <row r="430">
      <c r="CM430" s="25"/>
      <c r="CN430" s="25"/>
      <c r="CY430" s="25"/>
      <c r="CZ430" s="25"/>
      <c r="DG430" s="25"/>
    </row>
    <row r="431">
      <c r="CM431" s="25"/>
      <c r="CN431" s="25"/>
      <c r="CY431" s="25"/>
      <c r="CZ431" s="25"/>
      <c r="DG431" s="25"/>
    </row>
    <row r="432">
      <c r="CM432" s="25"/>
      <c r="CN432" s="25"/>
      <c r="CY432" s="25"/>
      <c r="CZ432" s="25"/>
      <c r="DG432" s="25"/>
    </row>
    <row r="433">
      <c r="CM433" s="25"/>
      <c r="CN433" s="25"/>
      <c r="CY433" s="25"/>
      <c r="CZ433" s="25"/>
      <c r="DG433" s="25"/>
    </row>
    <row r="434">
      <c r="CM434" s="25"/>
      <c r="CN434" s="25"/>
      <c r="CY434" s="25"/>
      <c r="CZ434" s="25"/>
      <c r="DG434" s="25"/>
    </row>
    <row r="435">
      <c r="CM435" s="25"/>
      <c r="CN435" s="25"/>
      <c r="CY435" s="25"/>
      <c r="CZ435" s="25"/>
      <c r="DG435" s="25"/>
    </row>
    <row r="436">
      <c r="CM436" s="25"/>
      <c r="CN436" s="25"/>
      <c r="CY436" s="25"/>
      <c r="CZ436" s="25"/>
      <c r="DG436" s="25"/>
    </row>
    <row r="437">
      <c r="CM437" s="25"/>
      <c r="CN437" s="25"/>
      <c r="CY437" s="25"/>
      <c r="CZ437" s="25"/>
      <c r="DG437" s="25"/>
    </row>
    <row r="438">
      <c r="CM438" s="25"/>
      <c r="CN438" s="25"/>
      <c r="CY438" s="25"/>
      <c r="CZ438" s="25"/>
      <c r="DG438" s="25"/>
    </row>
    <row r="439">
      <c r="CM439" s="25"/>
      <c r="CN439" s="25"/>
      <c r="CY439" s="25"/>
      <c r="CZ439" s="25"/>
      <c r="DG439" s="25"/>
    </row>
    <row r="440">
      <c r="CM440" s="25"/>
      <c r="CN440" s="25"/>
      <c r="CY440" s="25"/>
      <c r="CZ440" s="25"/>
      <c r="DG440" s="25"/>
    </row>
    <row r="441">
      <c r="CM441" s="25"/>
      <c r="CN441" s="25"/>
      <c r="CY441" s="25"/>
      <c r="CZ441" s="25"/>
      <c r="DG441" s="25"/>
    </row>
    <row r="442">
      <c r="CM442" s="25"/>
      <c r="CN442" s="25"/>
      <c r="CY442" s="25"/>
      <c r="CZ442" s="25"/>
      <c r="DG442" s="25"/>
    </row>
    <row r="443">
      <c r="CM443" s="25"/>
      <c r="CN443" s="25"/>
      <c r="CY443" s="25"/>
      <c r="CZ443" s="25"/>
      <c r="DG443" s="25"/>
    </row>
    <row r="444">
      <c r="CM444" s="25"/>
      <c r="CN444" s="25"/>
      <c r="CY444" s="25"/>
      <c r="CZ444" s="25"/>
      <c r="DG444" s="25"/>
    </row>
    <row r="445">
      <c r="CM445" s="25"/>
      <c r="CN445" s="25"/>
      <c r="CY445" s="25"/>
      <c r="CZ445" s="25"/>
      <c r="DG445" s="25"/>
    </row>
    <row r="446">
      <c r="CM446" s="25"/>
      <c r="CN446" s="25"/>
      <c r="CY446" s="25"/>
      <c r="CZ446" s="25"/>
      <c r="DG446" s="25"/>
    </row>
    <row r="447">
      <c r="CM447" s="25"/>
      <c r="CN447" s="25"/>
      <c r="CY447" s="25"/>
      <c r="CZ447" s="25"/>
      <c r="DG447" s="25"/>
    </row>
    <row r="448">
      <c r="CM448" s="25"/>
      <c r="CN448" s="25"/>
      <c r="CY448" s="25"/>
      <c r="CZ448" s="25"/>
      <c r="DG448" s="25"/>
    </row>
    <row r="449">
      <c r="CM449" s="25"/>
      <c r="CN449" s="25"/>
      <c r="CY449" s="25"/>
      <c r="CZ449" s="25"/>
      <c r="DG449" s="25"/>
    </row>
    <row r="450">
      <c r="CM450" s="25"/>
      <c r="CN450" s="25"/>
      <c r="CY450" s="25"/>
      <c r="CZ450" s="25"/>
      <c r="DG450" s="25"/>
    </row>
    <row r="451">
      <c r="CM451" s="25"/>
      <c r="CN451" s="25"/>
      <c r="CY451" s="25"/>
      <c r="CZ451" s="25"/>
      <c r="DG451" s="25"/>
    </row>
    <row r="452">
      <c r="CM452" s="25"/>
      <c r="CN452" s="25"/>
      <c r="CY452" s="25"/>
      <c r="CZ452" s="25"/>
      <c r="DG452" s="25"/>
    </row>
    <row r="453">
      <c r="CM453" s="25"/>
      <c r="CN453" s="25"/>
      <c r="CY453" s="25"/>
      <c r="CZ453" s="25"/>
      <c r="DG453" s="25"/>
    </row>
    <row r="454">
      <c r="CM454" s="25"/>
      <c r="CN454" s="25"/>
      <c r="CY454" s="25"/>
      <c r="CZ454" s="25"/>
      <c r="DG454" s="25"/>
    </row>
    <row r="455">
      <c r="CM455" s="25"/>
      <c r="CN455" s="25"/>
      <c r="CY455" s="25"/>
      <c r="CZ455" s="25"/>
      <c r="DG455" s="25"/>
    </row>
    <row r="456">
      <c r="CM456" s="25"/>
      <c r="CN456" s="25"/>
      <c r="CY456" s="25"/>
      <c r="CZ456" s="25"/>
      <c r="DG456" s="25"/>
    </row>
    <row r="457">
      <c r="CM457" s="25"/>
      <c r="CN457" s="25"/>
      <c r="CY457" s="25"/>
      <c r="CZ457" s="25"/>
      <c r="DG457" s="25"/>
    </row>
    <row r="458">
      <c r="CM458" s="25"/>
      <c r="CN458" s="25"/>
      <c r="CY458" s="25"/>
      <c r="CZ458" s="25"/>
      <c r="DG458" s="25"/>
    </row>
    <row r="459">
      <c r="CM459" s="25"/>
      <c r="CN459" s="25"/>
      <c r="CY459" s="25"/>
      <c r="CZ459" s="25"/>
      <c r="DG459" s="25"/>
    </row>
    <row r="460">
      <c r="CM460" s="25"/>
      <c r="CN460" s="25"/>
      <c r="CY460" s="25"/>
      <c r="CZ460" s="25"/>
      <c r="DG460" s="25"/>
    </row>
    <row r="461">
      <c r="CM461" s="25"/>
      <c r="CN461" s="25"/>
      <c r="CY461" s="25"/>
      <c r="CZ461" s="25"/>
      <c r="DG461" s="25"/>
    </row>
    <row r="462">
      <c r="CM462" s="25"/>
      <c r="CN462" s="25"/>
      <c r="CY462" s="25"/>
      <c r="CZ462" s="25"/>
      <c r="DG462" s="25"/>
    </row>
    <row r="463">
      <c r="CM463" s="25"/>
      <c r="CN463" s="25"/>
      <c r="CY463" s="25"/>
      <c r="CZ463" s="25"/>
      <c r="DG463" s="25"/>
    </row>
    <row r="464">
      <c r="CM464" s="25"/>
      <c r="CN464" s="25"/>
      <c r="CY464" s="25"/>
      <c r="CZ464" s="25"/>
      <c r="DG464" s="25"/>
    </row>
    <row r="465">
      <c r="CM465" s="25"/>
      <c r="CN465" s="25"/>
      <c r="CY465" s="25"/>
      <c r="CZ465" s="25"/>
      <c r="DG465" s="25"/>
    </row>
    <row r="466">
      <c r="CM466" s="25"/>
      <c r="CN466" s="25"/>
      <c r="CY466" s="25"/>
      <c r="CZ466" s="25"/>
      <c r="DG466" s="25"/>
    </row>
    <row r="467">
      <c r="CM467" s="25"/>
      <c r="CN467" s="25"/>
      <c r="CY467" s="25"/>
      <c r="CZ467" s="25"/>
      <c r="DG467" s="25"/>
    </row>
    <row r="468">
      <c r="CM468" s="25"/>
      <c r="CN468" s="25"/>
      <c r="CY468" s="25"/>
      <c r="CZ468" s="25"/>
      <c r="DG468" s="25"/>
    </row>
    <row r="469">
      <c r="CM469" s="25"/>
      <c r="CN469" s="25"/>
      <c r="CY469" s="25"/>
      <c r="CZ469" s="25"/>
      <c r="DG469" s="25"/>
    </row>
    <row r="470">
      <c r="CM470" s="25"/>
      <c r="CN470" s="25"/>
      <c r="CY470" s="25"/>
      <c r="CZ470" s="25"/>
      <c r="DG470" s="25"/>
    </row>
    <row r="471">
      <c r="CM471" s="25"/>
      <c r="CN471" s="25"/>
      <c r="CY471" s="25"/>
      <c r="CZ471" s="25"/>
      <c r="DG471" s="25"/>
    </row>
    <row r="472">
      <c r="CM472" s="25"/>
      <c r="CN472" s="25"/>
      <c r="CY472" s="25"/>
      <c r="CZ472" s="25"/>
      <c r="DG472" s="25"/>
    </row>
    <row r="473">
      <c r="CM473" s="25"/>
      <c r="CN473" s="25"/>
      <c r="CY473" s="25"/>
      <c r="CZ473" s="25"/>
      <c r="DG473" s="25"/>
    </row>
    <row r="474">
      <c r="CM474" s="25"/>
      <c r="CN474" s="25"/>
      <c r="CY474" s="25"/>
      <c r="CZ474" s="25"/>
      <c r="DG474" s="25"/>
    </row>
    <row r="475">
      <c r="CM475" s="25"/>
      <c r="CN475" s="25"/>
      <c r="CY475" s="25"/>
      <c r="CZ475" s="25"/>
      <c r="DG475" s="25"/>
    </row>
    <row r="476">
      <c r="CM476" s="25"/>
      <c r="CN476" s="25"/>
      <c r="CY476" s="25"/>
      <c r="CZ476" s="25"/>
      <c r="DG476" s="25"/>
    </row>
    <row r="477">
      <c r="CM477" s="25"/>
      <c r="CN477" s="25"/>
      <c r="CY477" s="25"/>
      <c r="CZ477" s="25"/>
      <c r="DG477" s="25"/>
    </row>
    <row r="478">
      <c r="CM478" s="25"/>
      <c r="CN478" s="25"/>
      <c r="CY478" s="25"/>
      <c r="CZ478" s="25"/>
      <c r="DG478" s="25"/>
    </row>
    <row r="479">
      <c r="CM479" s="25"/>
      <c r="CN479" s="25"/>
      <c r="CY479" s="25"/>
      <c r="CZ479" s="25"/>
      <c r="DG479" s="25"/>
    </row>
    <row r="480">
      <c r="CM480" s="25"/>
      <c r="CN480" s="25"/>
      <c r="CY480" s="25"/>
      <c r="CZ480" s="25"/>
      <c r="DG480" s="25"/>
    </row>
    <row r="481">
      <c r="CM481" s="25"/>
      <c r="CN481" s="25"/>
      <c r="CY481" s="25"/>
      <c r="CZ481" s="25"/>
      <c r="DG481" s="25"/>
    </row>
    <row r="482">
      <c r="CM482" s="25"/>
      <c r="CN482" s="25"/>
      <c r="CY482" s="25"/>
      <c r="CZ482" s="25"/>
      <c r="DG482" s="25"/>
    </row>
    <row r="483">
      <c r="CM483" s="25"/>
      <c r="CN483" s="25"/>
      <c r="CY483" s="25"/>
      <c r="CZ483" s="25"/>
      <c r="DG483" s="25"/>
    </row>
    <row r="484">
      <c r="CM484" s="25"/>
      <c r="CN484" s="25"/>
      <c r="CY484" s="25"/>
      <c r="CZ484" s="25"/>
      <c r="DG484" s="25"/>
    </row>
    <row r="485">
      <c r="CM485" s="25"/>
      <c r="CN485" s="25"/>
      <c r="CY485" s="25"/>
      <c r="CZ485" s="25"/>
      <c r="DG485" s="25"/>
    </row>
    <row r="486">
      <c r="CM486" s="25"/>
      <c r="CN486" s="25"/>
      <c r="CY486" s="25"/>
      <c r="CZ486" s="25"/>
      <c r="DG486" s="25"/>
    </row>
    <row r="487">
      <c r="CM487" s="25"/>
      <c r="CN487" s="25"/>
      <c r="CY487" s="25"/>
      <c r="CZ487" s="25"/>
      <c r="DG487" s="25"/>
    </row>
    <row r="488">
      <c r="CM488" s="25"/>
      <c r="CN488" s="25"/>
      <c r="CY488" s="25"/>
      <c r="CZ488" s="25"/>
      <c r="DG488" s="25"/>
    </row>
    <row r="489">
      <c r="CM489" s="25"/>
      <c r="CN489" s="25"/>
      <c r="CY489" s="25"/>
      <c r="CZ489" s="25"/>
      <c r="DG489" s="25"/>
    </row>
    <row r="490">
      <c r="CM490" s="25"/>
      <c r="CN490" s="25"/>
      <c r="CY490" s="25"/>
      <c r="CZ490" s="25"/>
      <c r="DG490" s="25"/>
    </row>
    <row r="491">
      <c r="CM491" s="25"/>
      <c r="CN491" s="25"/>
      <c r="CY491" s="25"/>
      <c r="CZ491" s="25"/>
      <c r="DG491" s="25"/>
    </row>
    <row r="492">
      <c r="CM492" s="25"/>
      <c r="CN492" s="25"/>
      <c r="CY492" s="25"/>
      <c r="CZ492" s="25"/>
      <c r="DG492" s="25"/>
    </row>
    <row r="493">
      <c r="CM493" s="25"/>
      <c r="CN493" s="25"/>
      <c r="CY493" s="25"/>
      <c r="CZ493" s="25"/>
      <c r="DG493" s="25"/>
    </row>
    <row r="494">
      <c r="CM494" s="25"/>
      <c r="CN494" s="25"/>
      <c r="CY494" s="25"/>
      <c r="CZ494" s="25"/>
      <c r="DG494" s="25"/>
    </row>
    <row r="495">
      <c r="CM495" s="25"/>
      <c r="CN495" s="25"/>
      <c r="CY495" s="25"/>
      <c r="CZ495" s="25"/>
      <c r="DG495" s="25"/>
    </row>
    <row r="496">
      <c r="CM496" s="25"/>
      <c r="CN496" s="25"/>
      <c r="CY496" s="25"/>
      <c r="CZ496" s="25"/>
      <c r="DG496" s="25"/>
    </row>
    <row r="497">
      <c r="CM497" s="25"/>
      <c r="CN497" s="25"/>
      <c r="CY497" s="25"/>
      <c r="CZ497" s="25"/>
      <c r="DG497" s="25"/>
    </row>
    <row r="498">
      <c r="CM498" s="25"/>
      <c r="CN498" s="25"/>
      <c r="CY498" s="25"/>
      <c r="CZ498" s="25"/>
      <c r="DG498" s="25"/>
    </row>
    <row r="499">
      <c r="CM499" s="25"/>
      <c r="CN499" s="25"/>
      <c r="CY499" s="25"/>
      <c r="CZ499" s="25"/>
      <c r="DG499" s="25"/>
    </row>
    <row r="500">
      <c r="CM500" s="25"/>
      <c r="CN500" s="25"/>
      <c r="CY500" s="25"/>
      <c r="CZ500" s="25"/>
      <c r="DG500" s="25"/>
    </row>
    <row r="501">
      <c r="CM501" s="25"/>
      <c r="CN501" s="25"/>
      <c r="CY501" s="25"/>
      <c r="CZ501" s="25"/>
      <c r="DG501" s="25"/>
    </row>
    <row r="502">
      <c r="CM502" s="25"/>
      <c r="CN502" s="25"/>
      <c r="CY502" s="25"/>
      <c r="CZ502" s="25"/>
      <c r="DG502" s="25"/>
    </row>
    <row r="503">
      <c r="CM503" s="25"/>
      <c r="CN503" s="25"/>
      <c r="CY503" s="25"/>
      <c r="CZ503" s="25"/>
      <c r="DG503" s="25"/>
    </row>
    <row r="504">
      <c r="CM504" s="25"/>
      <c r="CN504" s="25"/>
      <c r="CY504" s="25"/>
      <c r="CZ504" s="25"/>
      <c r="DG504" s="25"/>
    </row>
    <row r="505">
      <c r="CM505" s="25"/>
      <c r="CN505" s="25"/>
      <c r="CY505" s="25"/>
      <c r="CZ505" s="25"/>
      <c r="DG505" s="25"/>
    </row>
    <row r="506">
      <c r="CM506" s="25"/>
      <c r="CN506" s="25"/>
      <c r="CY506" s="25"/>
      <c r="CZ506" s="25"/>
      <c r="DG506" s="25"/>
    </row>
    <row r="507">
      <c r="CM507" s="25"/>
      <c r="CN507" s="25"/>
      <c r="CY507" s="25"/>
      <c r="CZ507" s="25"/>
      <c r="DG507" s="25"/>
    </row>
    <row r="508">
      <c r="CM508" s="25"/>
      <c r="CN508" s="25"/>
      <c r="CY508" s="25"/>
      <c r="CZ508" s="25"/>
      <c r="DG508" s="25"/>
    </row>
    <row r="509">
      <c r="CM509" s="25"/>
      <c r="CN509" s="25"/>
      <c r="CY509" s="25"/>
      <c r="CZ509" s="25"/>
      <c r="DG509" s="25"/>
    </row>
    <row r="510">
      <c r="CM510" s="25"/>
      <c r="CN510" s="25"/>
      <c r="CY510" s="25"/>
      <c r="CZ510" s="25"/>
      <c r="DG510" s="25"/>
    </row>
    <row r="511">
      <c r="CM511" s="25"/>
      <c r="CN511" s="25"/>
      <c r="CY511" s="25"/>
      <c r="CZ511" s="25"/>
      <c r="DG511" s="25"/>
    </row>
    <row r="512">
      <c r="CM512" s="25"/>
      <c r="CN512" s="25"/>
      <c r="CY512" s="25"/>
      <c r="CZ512" s="25"/>
      <c r="DG512" s="25"/>
    </row>
    <row r="513">
      <c r="CM513" s="25"/>
      <c r="CN513" s="25"/>
      <c r="CY513" s="25"/>
      <c r="CZ513" s="25"/>
      <c r="DG513" s="25"/>
    </row>
    <row r="514">
      <c r="CM514" s="25"/>
      <c r="CN514" s="25"/>
      <c r="CY514" s="25"/>
      <c r="CZ514" s="25"/>
      <c r="DG514" s="25"/>
    </row>
    <row r="515">
      <c r="CM515" s="25"/>
      <c r="CN515" s="25"/>
      <c r="CY515" s="25"/>
      <c r="CZ515" s="25"/>
      <c r="DG515" s="25"/>
    </row>
    <row r="516">
      <c r="CM516" s="25"/>
      <c r="CN516" s="25"/>
      <c r="CY516" s="25"/>
      <c r="CZ516" s="25"/>
      <c r="DG516" s="25"/>
    </row>
    <row r="517">
      <c r="CM517" s="25"/>
      <c r="CN517" s="25"/>
      <c r="CY517" s="25"/>
      <c r="CZ517" s="25"/>
      <c r="DG517" s="25"/>
    </row>
    <row r="518">
      <c r="CM518" s="25"/>
      <c r="CN518" s="25"/>
      <c r="CY518" s="25"/>
      <c r="CZ518" s="25"/>
      <c r="DG518" s="25"/>
    </row>
    <row r="519">
      <c r="CM519" s="25"/>
      <c r="CN519" s="25"/>
      <c r="CY519" s="25"/>
      <c r="CZ519" s="25"/>
      <c r="DG519" s="25"/>
    </row>
    <row r="520">
      <c r="CM520" s="25"/>
      <c r="CN520" s="25"/>
      <c r="CY520" s="25"/>
      <c r="CZ520" s="25"/>
      <c r="DG520" s="25"/>
    </row>
    <row r="521">
      <c r="CM521" s="25"/>
      <c r="CN521" s="25"/>
      <c r="CY521" s="25"/>
      <c r="CZ521" s="25"/>
      <c r="DG521" s="25"/>
    </row>
    <row r="522">
      <c r="CM522" s="25"/>
      <c r="CN522" s="25"/>
      <c r="CY522" s="25"/>
      <c r="CZ522" s="25"/>
      <c r="DG522" s="25"/>
    </row>
    <row r="523">
      <c r="CM523" s="25"/>
      <c r="CN523" s="25"/>
      <c r="CY523" s="25"/>
      <c r="CZ523" s="25"/>
      <c r="DG523" s="25"/>
    </row>
    <row r="524">
      <c r="CM524" s="25"/>
      <c r="CN524" s="25"/>
      <c r="CY524" s="25"/>
      <c r="CZ524" s="25"/>
      <c r="DG524" s="25"/>
    </row>
    <row r="525">
      <c r="CM525" s="25"/>
      <c r="CN525" s="25"/>
      <c r="CY525" s="25"/>
      <c r="CZ525" s="25"/>
      <c r="DG525" s="25"/>
    </row>
    <row r="526">
      <c r="CM526" s="25"/>
      <c r="CN526" s="25"/>
      <c r="CY526" s="25"/>
      <c r="CZ526" s="25"/>
      <c r="DG526" s="25"/>
    </row>
    <row r="527">
      <c r="CM527" s="25"/>
      <c r="CN527" s="25"/>
      <c r="CY527" s="25"/>
      <c r="CZ527" s="25"/>
      <c r="DG527" s="25"/>
    </row>
    <row r="528">
      <c r="CM528" s="25"/>
      <c r="CN528" s="25"/>
      <c r="CY528" s="25"/>
      <c r="CZ528" s="25"/>
      <c r="DG528" s="25"/>
    </row>
    <row r="529">
      <c r="CM529" s="25"/>
      <c r="CN529" s="25"/>
      <c r="CY529" s="25"/>
      <c r="CZ529" s="25"/>
      <c r="DG529" s="25"/>
    </row>
    <row r="530">
      <c r="CM530" s="25"/>
      <c r="CN530" s="25"/>
      <c r="CY530" s="25"/>
      <c r="CZ530" s="25"/>
      <c r="DG530" s="25"/>
    </row>
    <row r="531">
      <c r="CM531" s="25"/>
      <c r="CN531" s="25"/>
      <c r="CY531" s="25"/>
      <c r="CZ531" s="25"/>
      <c r="DG531" s="25"/>
    </row>
    <row r="532">
      <c r="CM532" s="25"/>
      <c r="CN532" s="25"/>
      <c r="CY532" s="25"/>
      <c r="CZ532" s="25"/>
      <c r="DG532" s="25"/>
    </row>
    <row r="533">
      <c r="CM533" s="25"/>
      <c r="CN533" s="25"/>
      <c r="CY533" s="25"/>
      <c r="CZ533" s="25"/>
      <c r="DG533" s="25"/>
    </row>
    <row r="534">
      <c r="CM534" s="25"/>
      <c r="CN534" s="25"/>
      <c r="CY534" s="25"/>
      <c r="CZ534" s="25"/>
      <c r="DG534" s="25"/>
    </row>
    <row r="535">
      <c r="CM535" s="25"/>
      <c r="CN535" s="25"/>
      <c r="CY535" s="25"/>
      <c r="CZ535" s="25"/>
      <c r="DG535" s="25"/>
    </row>
    <row r="536">
      <c r="CM536" s="25"/>
      <c r="CN536" s="25"/>
      <c r="CY536" s="25"/>
      <c r="CZ536" s="25"/>
      <c r="DG536" s="25"/>
    </row>
    <row r="537">
      <c r="CM537" s="25"/>
      <c r="CN537" s="25"/>
      <c r="CY537" s="25"/>
      <c r="CZ537" s="25"/>
      <c r="DG537" s="25"/>
    </row>
    <row r="538">
      <c r="CM538" s="25"/>
      <c r="CN538" s="25"/>
      <c r="CY538" s="25"/>
      <c r="CZ538" s="25"/>
      <c r="DG538" s="25"/>
    </row>
    <row r="539">
      <c r="CM539" s="25"/>
      <c r="CN539" s="25"/>
      <c r="CY539" s="25"/>
      <c r="CZ539" s="25"/>
      <c r="DG539" s="25"/>
    </row>
    <row r="540">
      <c r="CM540" s="25"/>
      <c r="CN540" s="25"/>
      <c r="CY540" s="25"/>
      <c r="CZ540" s="25"/>
      <c r="DG540" s="25"/>
    </row>
    <row r="541">
      <c r="CM541" s="25"/>
      <c r="CN541" s="25"/>
      <c r="CY541" s="25"/>
      <c r="CZ541" s="25"/>
      <c r="DG541" s="25"/>
    </row>
    <row r="542">
      <c r="CM542" s="25"/>
      <c r="CN542" s="25"/>
      <c r="CY542" s="25"/>
      <c r="CZ542" s="25"/>
      <c r="DG542" s="25"/>
    </row>
    <row r="543">
      <c r="CM543" s="25"/>
      <c r="CN543" s="25"/>
      <c r="CY543" s="25"/>
      <c r="CZ543" s="25"/>
      <c r="DG543" s="25"/>
    </row>
    <row r="544">
      <c r="CM544" s="25"/>
      <c r="CN544" s="25"/>
      <c r="CY544" s="25"/>
      <c r="CZ544" s="25"/>
      <c r="DG544" s="25"/>
    </row>
    <row r="545">
      <c r="CM545" s="25"/>
      <c r="CN545" s="25"/>
      <c r="CY545" s="25"/>
      <c r="CZ545" s="25"/>
      <c r="DG545" s="25"/>
    </row>
    <row r="546">
      <c r="CM546" s="25"/>
      <c r="CN546" s="25"/>
      <c r="CY546" s="25"/>
      <c r="CZ546" s="25"/>
      <c r="DG546" s="25"/>
    </row>
    <row r="547">
      <c r="CM547" s="25"/>
      <c r="CN547" s="25"/>
      <c r="CY547" s="25"/>
      <c r="CZ547" s="25"/>
      <c r="DG547" s="25"/>
    </row>
    <row r="548">
      <c r="CM548" s="25"/>
      <c r="CN548" s="25"/>
      <c r="CY548" s="25"/>
      <c r="CZ548" s="25"/>
      <c r="DG548" s="25"/>
    </row>
    <row r="549">
      <c r="CM549" s="25"/>
      <c r="CN549" s="25"/>
      <c r="CY549" s="25"/>
      <c r="CZ549" s="25"/>
      <c r="DG549" s="25"/>
    </row>
    <row r="550">
      <c r="CM550" s="25"/>
      <c r="CN550" s="25"/>
      <c r="CY550" s="25"/>
      <c r="CZ550" s="25"/>
      <c r="DG550" s="25"/>
    </row>
    <row r="551">
      <c r="CM551" s="25"/>
      <c r="CN551" s="25"/>
      <c r="CY551" s="25"/>
      <c r="CZ551" s="25"/>
      <c r="DG551" s="25"/>
    </row>
    <row r="552">
      <c r="CM552" s="25"/>
      <c r="CN552" s="25"/>
      <c r="CY552" s="25"/>
      <c r="CZ552" s="25"/>
      <c r="DG552" s="25"/>
    </row>
    <row r="553">
      <c r="CM553" s="25"/>
      <c r="CN553" s="25"/>
      <c r="CY553" s="25"/>
      <c r="CZ553" s="25"/>
      <c r="DG553" s="25"/>
    </row>
    <row r="554">
      <c r="CM554" s="25"/>
      <c r="CN554" s="25"/>
      <c r="CY554" s="25"/>
      <c r="CZ554" s="25"/>
      <c r="DG554" s="25"/>
    </row>
    <row r="555">
      <c r="CM555" s="25"/>
      <c r="CN555" s="25"/>
      <c r="CY555" s="25"/>
      <c r="CZ555" s="25"/>
      <c r="DG555" s="25"/>
    </row>
    <row r="556">
      <c r="CM556" s="25"/>
      <c r="CN556" s="25"/>
      <c r="CY556" s="25"/>
      <c r="CZ556" s="25"/>
      <c r="DG556" s="25"/>
    </row>
    <row r="557">
      <c r="CM557" s="25"/>
      <c r="CN557" s="25"/>
      <c r="CY557" s="25"/>
      <c r="CZ557" s="25"/>
      <c r="DG557" s="25"/>
    </row>
    <row r="558">
      <c r="CM558" s="25"/>
      <c r="CN558" s="25"/>
      <c r="CY558" s="25"/>
      <c r="CZ558" s="25"/>
      <c r="DG558" s="25"/>
    </row>
    <row r="559">
      <c r="CM559" s="25"/>
      <c r="CN559" s="25"/>
      <c r="CY559" s="25"/>
      <c r="CZ559" s="25"/>
      <c r="DG559" s="25"/>
    </row>
    <row r="560">
      <c r="CM560" s="25"/>
      <c r="CN560" s="25"/>
      <c r="CY560" s="25"/>
      <c r="CZ560" s="25"/>
      <c r="DG560" s="25"/>
    </row>
    <row r="561">
      <c r="CM561" s="25"/>
      <c r="CN561" s="25"/>
      <c r="CY561" s="25"/>
      <c r="CZ561" s="25"/>
      <c r="DG561" s="25"/>
    </row>
    <row r="562">
      <c r="CM562" s="25"/>
      <c r="CN562" s="25"/>
      <c r="CY562" s="25"/>
      <c r="CZ562" s="25"/>
      <c r="DG562" s="25"/>
    </row>
    <row r="563">
      <c r="CM563" s="25"/>
      <c r="CN563" s="25"/>
      <c r="CY563" s="25"/>
      <c r="CZ563" s="25"/>
      <c r="DG563" s="25"/>
    </row>
    <row r="564">
      <c r="CM564" s="25"/>
      <c r="CN564" s="25"/>
      <c r="CY564" s="25"/>
      <c r="CZ564" s="25"/>
      <c r="DG564" s="25"/>
    </row>
    <row r="565">
      <c r="CM565" s="25"/>
      <c r="CN565" s="25"/>
      <c r="CY565" s="25"/>
      <c r="CZ565" s="25"/>
      <c r="DG565" s="25"/>
    </row>
    <row r="566">
      <c r="CM566" s="25"/>
      <c r="CN566" s="25"/>
      <c r="CY566" s="25"/>
      <c r="CZ566" s="25"/>
      <c r="DG566" s="25"/>
    </row>
    <row r="567">
      <c r="CM567" s="25"/>
      <c r="CN567" s="25"/>
      <c r="CY567" s="25"/>
      <c r="CZ567" s="25"/>
      <c r="DG567" s="25"/>
    </row>
    <row r="568">
      <c r="CM568" s="25"/>
      <c r="CN568" s="25"/>
      <c r="CY568" s="25"/>
      <c r="CZ568" s="25"/>
      <c r="DG568" s="25"/>
    </row>
    <row r="569">
      <c r="CM569" s="25"/>
      <c r="CN569" s="25"/>
      <c r="CY569" s="25"/>
      <c r="CZ569" s="25"/>
      <c r="DG569" s="25"/>
    </row>
    <row r="570">
      <c r="CM570" s="25"/>
      <c r="CN570" s="25"/>
      <c r="CY570" s="25"/>
      <c r="CZ570" s="25"/>
      <c r="DG570" s="25"/>
    </row>
    <row r="571">
      <c r="CM571" s="25"/>
      <c r="CN571" s="25"/>
      <c r="CY571" s="25"/>
      <c r="CZ571" s="25"/>
      <c r="DG571" s="25"/>
    </row>
    <row r="572">
      <c r="CM572" s="25"/>
      <c r="CN572" s="25"/>
      <c r="CY572" s="25"/>
      <c r="CZ572" s="25"/>
      <c r="DG572" s="25"/>
    </row>
    <row r="573">
      <c r="CM573" s="25"/>
      <c r="CN573" s="25"/>
      <c r="CY573" s="25"/>
      <c r="CZ573" s="25"/>
      <c r="DG573" s="25"/>
    </row>
    <row r="574">
      <c r="CM574" s="25"/>
      <c r="CN574" s="25"/>
      <c r="CY574" s="25"/>
      <c r="CZ574" s="25"/>
      <c r="DG574" s="25"/>
    </row>
    <row r="575">
      <c r="CM575" s="25"/>
      <c r="CN575" s="25"/>
      <c r="CY575" s="25"/>
      <c r="CZ575" s="25"/>
      <c r="DG575" s="25"/>
    </row>
    <row r="576">
      <c r="CM576" s="25"/>
      <c r="CN576" s="25"/>
      <c r="CY576" s="25"/>
      <c r="CZ576" s="25"/>
      <c r="DG576" s="25"/>
    </row>
    <row r="577">
      <c r="CM577" s="25"/>
      <c r="CN577" s="25"/>
      <c r="CY577" s="25"/>
      <c r="CZ577" s="25"/>
      <c r="DG577" s="25"/>
    </row>
    <row r="578">
      <c r="CM578" s="25"/>
      <c r="CN578" s="25"/>
      <c r="CY578" s="25"/>
      <c r="CZ578" s="25"/>
      <c r="DG578" s="25"/>
    </row>
    <row r="579">
      <c r="CM579" s="25"/>
      <c r="CN579" s="25"/>
      <c r="CY579" s="25"/>
      <c r="CZ579" s="25"/>
      <c r="DG579" s="25"/>
    </row>
    <row r="580">
      <c r="CM580" s="25"/>
      <c r="CN580" s="25"/>
      <c r="CY580" s="25"/>
      <c r="CZ580" s="25"/>
      <c r="DG580" s="25"/>
    </row>
    <row r="581">
      <c r="CM581" s="25"/>
      <c r="CN581" s="25"/>
      <c r="CY581" s="25"/>
      <c r="CZ581" s="25"/>
      <c r="DG581" s="25"/>
    </row>
    <row r="582">
      <c r="CM582" s="25"/>
      <c r="CN582" s="25"/>
      <c r="CY582" s="25"/>
      <c r="CZ582" s="25"/>
      <c r="DG582" s="25"/>
    </row>
    <row r="583">
      <c r="CM583" s="25"/>
      <c r="CN583" s="25"/>
      <c r="CY583" s="25"/>
      <c r="CZ583" s="25"/>
      <c r="DG583" s="25"/>
    </row>
    <row r="584">
      <c r="CM584" s="25"/>
      <c r="CN584" s="25"/>
      <c r="CY584" s="25"/>
      <c r="CZ584" s="25"/>
      <c r="DG584" s="25"/>
    </row>
    <row r="585">
      <c r="CM585" s="25"/>
      <c r="CN585" s="25"/>
      <c r="CY585" s="25"/>
      <c r="CZ585" s="25"/>
      <c r="DG585" s="25"/>
    </row>
    <row r="586">
      <c r="CM586" s="25"/>
      <c r="CN586" s="25"/>
      <c r="CY586" s="25"/>
      <c r="CZ586" s="25"/>
      <c r="DG586" s="25"/>
    </row>
    <row r="587">
      <c r="CM587" s="25"/>
      <c r="CN587" s="25"/>
      <c r="CY587" s="25"/>
      <c r="CZ587" s="25"/>
      <c r="DG587" s="25"/>
    </row>
    <row r="588">
      <c r="CM588" s="25"/>
      <c r="CN588" s="25"/>
      <c r="CY588" s="25"/>
      <c r="CZ588" s="25"/>
      <c r="DG588" s="25"/>
    </row>
    <row r="589">
      <c r="CM589" s="25"/>
      <c r="CN589" s="25"/>
      <c r="CY589" s="25"/>
      <c r="CZ589" s="25"/>
      <c r="DG589" s="25"/>
    </row>
    <row r="590">
      <c r="CM590" s="25"/>
      <c r="CN590" s="25"/>
      <c r="CY590" s="25"/>
      <c r="CZ590" s="25"/>
      <c r="DG590" s="25"/>
    </row>
    <row r="591">
      <c r="CM591" s="25"/>
      <c r="CN591" s="25"/>
      <c r="CY591" s="25"/>
      <c r="CZ591" s="25"/>
      <c r="DG591" s="25"/>
    </row>
    <row r="592">
      <c r="CM592" s="25"/>
      <c r="CN592" s="25"/>
      <c r="CY592" s="25"/>
      <c r="CZ592" s="25"/>
      <c r="DG592" s="25"/>
    </row>
    <row r="593">
      <c r="CM593" s="25"/>
      <c r="CN593" s="25"/>
      <c r="CY593" s="25"/>
      <c r="CZ593" s="25"/>
      <c r="DG593" s="25"/>
    </row>
    <row r="594">
      <c r="CM594" s="25"/>
      <c r="CN594" s="25"/>
      <c r="CY594" s="25"/>
      <c r="CZ594" s="25"/>
      <c r="DG594" s="25"/>
    </row>
    <row r="595">
      <c r="CM595" s="25"/>
      <c r="CN595" s="25"/>
      <c r="CY595" s="25"/>
      <c r="CZ595" s="25"/>
      <c r="DG595" s="25"/>
    </row>
    <row r="596">
      <c r="CM596" s="25"/>
      <c r="CN596" s="25"/>
      <c r="CY596" s="25"/>
      <c r="CZ596" s="25"/>
      <c r="DG596" s="25"/>
    </row>
    <row r="597">
      <c r="CM597" s="25"/>
      <c r="CN597" s="25"/>
      <c r="CY597" s="25"/>
      <c r="CZ597" s="25"/>
      <c r="DG597" s="25"/>
    </row>
    <row r="598">
      <c r="CM598" s="25"/>
      <c r="CN598" s="25"/>
      <c r="CY598" s="25"/>
      <c r="CZ598" s="25"/>
      <c r="DG598" s="25"/>
    </row>
    <row r="599">
      <c r="CM599" s="25"/>
      <c r="CN599" s="25"/>
      <c r="CY599" s="25"/>
      <c r="CZ599" s="25"/>
      <c r="DG599" s="25"/>
    </row>
    <row r="600">
      <c r="CM600" s="25"/>
      <c r="CN600" s="25"/>
      <c r="CY600" s="25"/>
      <c r="CZ600" s="25"/>
      <c r="DG600" s="25"/>
    </row>
    <row r="601">
      <c r="CM601" s="25"/>
      <c r="CN601" s="25"/>
      <c r="CY601" s="25"/>
      <c r="CZ601" s="25"/>
      <c r="DG601" s="25"/>
    </row>
    <row r="602">
      <c r="CM602" s="25"/>
      <c r="CN602" s="25"/>
      <c r="CY602" s="25"/>
      <c r="CZ602" s="25"/>
      <c r="DG602" s="25"/>
    </row>
    <row r="603">
      <c r="CM603" s="25"/>
      <c r="CN603" s="25"/>
      <c r="CY603" s="25"/>
      <c r="CZ603" s="25"/>
      <c r="DG603" s="25"/>
    </row>
    <row r="604">
      <c r="CM604" s="25"/>
      <c r="CN604" s="25"/>
      <c r="CY604" s="25"/>
      <c r="CZ604" s="25"/>
      <c r="DG604" s="25"/>
    </row>
    <row r="605">
      <c r="CM605" s="25"/>
      <c r="CN605" s="25"/>
      <c r="CY605" s="25"/>
      <c r="CZ605" s="25"/>
      <c r="DG605" s="25"/>
    </row>
    <row r="606">
      <c r="CM606" s="25"/>
      <c r="CN606" s="25"/>
      <c r="CY606" s="25"/>
      <c r="CZ606" s="25"/>
      <c r="DG606" s="25"/>
    </row>
    <row r="607">
      <c r="CM607" s="25"/>
      <c r="CN607" s="25"/>
      <c r="CY607" s="25"/>
      <c r="CZ607" s="25"/>
      <c r="DG607" s="25"/>
    </row>
    <row r="608">
      <c r="CM608" s="25"/>
      <c r="CN608" s="25"/>
      <c r="CY608" s="25"/>
      <c r="CZ608" s="25"/>
      <c r="DG608" s="25"/>
    </row>
    <row r="609">
      <c r="CM609" s="25"/>
      <c r="CN609" s="25"/>
      <c r="CY609" s="25"/>
      <c r="CZ609" s="25"/>
      <c r="DG609" s="25"/>
    </row>
    <row r="610">
      <c r="CM610" s="25"/>
      <c r="CN610" s="25"/>
      <c r="CY610" s="25"/>
      <c r="CZ610" s="25"/>
      <c r="DG610" s="25"/>
    </row>
    <row r="611">
      <c r="CM611" s="25"/>
      <c r="CN611" s="25"/>
      <c r="CY611" s="25"/>
      <c r="CZ611" s="25"/>
      <c r="DG611" s="25"/>
    </row>
    <row r="612">
      <c r="CM612" s="25"/>
      <c r="CN612" s="25"/>
      <c r="CY612" s="25"/>
      <c r="CZ612" s="25"/>
      <c r="DG612" s="25"/>
    </row>
    <row r="613">
      <c r="CM613" s="25"/>
      <c r="CN613" s="25"/>
      <c r="CY613" s="25"/>
      <c r="CZ613" s="25"/>
      <c r="DG613" s="25"/>
    </row>
    <row r="614">
      <c r="CM614" s="25"/>
      <c r="CN614" s="25"/>
      <c r="CY614" s="25"/>
      <c r="CZ614" s="25"/>
      <c r="DG614" s="25"/>
    </row>
    <row r="615">
      <c r="CM615" s="25"/>
      <c r="CN615" s="25"/>
      <c r="CY615" s="25"/>
      <c r="CZ615" s="25"/>
      <c r="DG615" s="25"/>
    </row>
    <row r="616">
      <c r="CM616" s="25"/>
      <c r="CN616" s="25"/>
      <c r="CY616" s="25"/>
      <c r="CZ616" s="25"/>
      <c r="DG616" s="25"/>
    </row>
    <row r="617">
      <c r="CM617" s="25"/>
      <c r="CN617" s="25"/>
      <c r="CY617" s="25"/>
      <c r="CZ617" s="25"/>
      <c r="DG617" s="25"/>
    </row>
    <row r="618">
      <c r="CM618" s="25"/>
      <c r="CN618" s="25"/>
      <c r="CY618" s="25"/>
      <c r="CZ618" s="25"/>
      <c r="DG618" s="25"/>
    </row>
    <row r="619">
      <c r="CM619" s="25"/>
      <c r="CN619" s="25"/>
      <c r="CY619" s="25"/>
      <c r="CZ619" s="25"/>
      <c r="DG619" s="25"/>
    </row>
    <row r="620">
      <c r="CM620" s="25"/>
      <c r="CN620" s="25"/>
      <c r="CY620" s="25"/>
      <c r="CZ620" s="25"/>
      <c r="DG620" s="25"/>
    </row>
    <row r="621">
      <c r="CM621" s="25"/>
      <c r="CN621" s="25"/>
      <c r="CY621" s="25"/>
      <c r="CZ621" s="25"/>
      <c r="DG621" s="25"/>
    </row>
    <row r="622">
      <c r="CM622" s="25"/>
      <c r="CN622" s="25"/>
      <c r="CY622" s="25"/>
      <c r="CZ622" s="25"/>
      <c r="DG622" s="25"/>
    </row>
    <row r="623">
      <c r="CM623" s="25"/>
      <c r="CN623" s="25"/>
      <c r="CY623" s="25"/>
      <c r="CZ623" s="25"/>
      <c r="DG623" s="25"/>
    </row>
    <row r="624">
      <c r="CM624" s="25"/>
      <c r="CN624" s="25"/>
      <c r="CY624" s="25"/>
      <c r="CZ624" s="25"/>
      <c r="DG624" s="25"/>
    </row>
    <row r="625">
      <c r="CM625" s="25"/>
      <c r="CN625" s="25"/>
      <c r="CY625" s="25"/>
      <c r="CZ625" s="25"/>
      <c r="DG625" s="25"/>
    </row>
    <row r="626">
      <c r="CM626" s="25"/>
      <c r="CN626" s="25"/>
      <c r="CY626" s="25"/>
      <c r="CZ626" s="25"/>
      <c r="DG626" s="25"/>
    </row>
    <row r="627">
      <c r="CM627" s="25"/>
      <c r="CN627" s="25"/>
      <c r="CY627" s="25"/>
      <c r="CZ627" s="25"/>
      <c r="DG627" s="25"/>
    </row>
    <row r="628">
      <c r="CM628" s="25"/>
      <c r="CN628" s="25"/>
      <c r="CY628" s="25"/>
      <c r="CZ628" s="25"/>
      <c r="DG628" s="25"/>
    </row>
    <row r="629">
      <c r="CM629" s="25"/>
      <c r="CN629" s="25"/>
      <c r="CY629" s="25"/>
      <c r="CZ629" s="25"/>
      <c r="DG629" s="25"/>
    </row>
    <row r="630">
      <c r="CM630" s="25"/>
      <c r="CN630" s="25"/>
      <c r="CY630" s="25"/>
      <c r="CZ630" s="25"/>
      <c r="DG630" s="25"/>
    </row>
    <row r="631">
      <c r="CM631" s="25"/>
      <c r="CN631" s="25"/>
      <c r="CY631" s="25"/>
      <c r="CZ631" s="25"/>
      <c r="DG631" s="25"/>
    </row>
    <row r="632">
      <c r="CM632" s="25"/>
      <c r="CN632" s="25"/>
      <c r="CY632" s="25"/>
      <c r="CZ632" s="25"/>
      <c r="DG632" s="25"/>
    </row>
    <row r="633">
      <c r="CM633" s="25"/>
      <c r="CN633" s="25"/>
      <c r="CY633" s="25"/>
      <c r="CZ633" s="25"/>
      <c r="DG633" s="25"/>
    </row>
    <row r="634">
      <c r="CM634" s="25"/>
      <c r="CN634" s="25"/>
      <c r="CY634" s="25"/>
      <c r="CZ634" s="25"/>
      <c r="DG634" s="25"/>
    </row>
    <row r="635">
      <c r="CM635" s="25"/>
      <c r="CN635" s="25"/>
      <c r="CY635" s="25"/>
      <c r="CZ635" s="25"/>
      <c r="DG635" s="25"/>
    </row>
    <row r="636">
      <c r="CM636" s="25"/>
      <c r="CN636" s="25"/>
      <c r="CY636" s="25"/>
      <c r="CZ636" s="25"/>
      <c r="DG636" s="25"/>
    </row>
    <row r="637">
      <c r="CM637" s="25"/>
      <c r="CN637" s="25"/>
      <c r="CY637" s="25"/>
      <c r="CZ637" s="25"/>
      <c r="DG637" s="25"/>
    </row>
    <row r="638">
      <c r="CM638" s="25"/>
      <c r="CN638" s="25"/>
      <c r="CY638" s="25"/>
      <c r="CZ638" s="25"/>
      <c r="DG638" s="25"/>
    </row>
    <row r="639">
      <c r="CM639" s="25"/>
      <c r="CN639" s="25"/>
      <c r="CY639" s="25"/>
      <c r="CZ639" s="25"/>
      <c r="DG639" s="25"/>
    </row>
    <row r="640">
      <c r="CM640" s="25"/>
      <c r="CN640" s="25"/>
      <c r="CY640" s="25"/>
      <c r="CZ640" s="25"/>
      <c r="DG640" s="25"/>
    </row>
    <row r="641">
      <c r="CM641" s="25"/>
      <c r="CN641" s="25"/>
      <c r="CY641" s="25"/>
      <c r="CZ641" s="25"/>
      <c r="DG641" s="25"/>
    </row>
    <row r="642">
      <c r="CM642" s="25"/>
      <c r="CN642" s="25"/>
      <c r="CY642" s="25"/>
      <c r="CZ642" s="25"/>
      <c r="DG642" s="25"/>
    </row>
    <row r="643">
      <c r="CM643" s="25"/>
      <c r="CN643" s="25"/>
      <c r="CY643" s="25"/>
      <c r="CZ643" s="25"/>
      <c r="DG643" s="25"/>
    </row>
    <row r="644">
      <c r="CM644" s="25"/>
      <c r="CN644" s="25"/>
      <c r="CY644" s="25"/>
      <c r="CZ644" s="25"/>
      <c r="DG644" s="25"/>
    </row>
    <row r="645">
      <c r="CM645" s="25"/>
      <c r="CN645" s="25"/>
      <c r="CY645" s="25"/>
      <c r="CZ645" s="25"/>
      <c r="DG645" s="25"/>
    </row>
    <row r="646">
      <c r="CM646" s="25"/>
      <c r="CN646" s="25"/>
      <c r="CY646" s="25"/>
      <c r="CZ646" s="25"/>
      <c r="DG646" s="25"/>
    </row>
    <row r="647">
      <c r="CM647" s="25"/>
      <c r="CN647" s="25"/>
      <c r="CY647" s="25"/>
      <c r="CZ647" s="25"/>
      <c r="DG647" s="25"/>
    </row>
    <row r="648">
      <c r="CM648" s="25"/>
      <c r="CN648" s="25"/>
      <c r="CY648" s="25"/>
      <c r="CZ648" s="25"/>
      <c r="DG648" s="25"/>
    </row>
    <row r="649">
      <c r="CM649" s="25"/>
      <c r="CN649" s="25"/>
      <c r="CY649" s="25"/>
      <c r="CZ649" s="25"/>
      <c r="DG649" s="25"/>
    </row>
    <row r="650">
      <c r="CM650" s="25"/>
      <c r="CN650" s="25"/>
      <c r="CY650" s="25"/>
      <c r="CZ650" s="25"/>
      <c r="DG650" s="25"/>
    </row>
    <row r="651">
      <c r="CM651" s="25"/>
      <c r="CN651" s="25"/>
      <c r="CY651" s="25"/>
      <c r="CZ651" s="25"/>
      <c r="DG651" s="25"/>
    </row>
    <row r="652">
      <c r="CM652" s="25"/>
      <c r="CN652" s="25"/>
      <c r="CY652" s="25"/>
      <c r="CZ652" s="25"/>
      <c r="DG652" s="25"/>
    </row>
    <row r="653">
      <c r="CM653" s="25"/>
      <c r="CN653" s="25"/>
      <c r="CY653" s="25"/>
      <c r="CZ653" s="25"/>
      <c r="DG653" s="25"/>
    </row>
    <row r="654">
      <c r="CM654" s="25"/>
      <c r="CN654" s="25"/>
      <c r="CY654" s="25"/>
      <c r="CZ654" s="25"/>
      <c r="DG654" s="25"/>
    </row>
    <row r="655">
      <c r="CM655" s="25"/>
      <c r="CN655" s="25"/>
      <c r="CY655" s="25"/>
      <c r="CZ655" s="25"/>
      <c r="DG655" s="25"/>
    </row>
    <row r="656">
      <c r="CM656" s="25"/>
      <c r="CN656" s="25"/>
      <c r="CY656" s="25"/>
      <c r="CZ656" s="25"/>
      <c r="DG656" s="25"/>
    </row>
    <row r="657">
      <c r="CM657" s="25"/>
      <c r="CN657" s="25"/>
      <c r="CY657" s="25"/>
      <c r="CZ657" s="25"/>
      <c r="DG657" s="25"/>
    </row>
    <row r="658">
      <c r="CM658" s="25"/>
      <c r="CN658" s="25"/>
      <c r="CY658" s="25"/>
      <c r="CZ658" s="25"/>
      <c r="DG658" s="25"/>
    </row>
    <row r="659">
      <c r="CM659" s="25"/>
      <c r="CN659" s="25"/>
      <c r="CY659" s="25"/>
      <c r="CZ659" s="25"/>
      <c r="DG659" s="25"/>
    </row>
    <row r="660">
      <c r="CM660" s="25"/>
      <c r="CN660" s="25"/>
      <c r="CY660" s="25"/>
      <c r="CZ660" s="25"/>
      <c r="DG660" s="25"/>
    </row>
    <row r="661">
      <c r="CM661" s="25"/>
      <c r="CN661" s="25"/>
      <c r="CY661" s="25"/>
      <c r="CZ661" s="25"/>
      <c r="DG661" s="25"/>
    </row>
    <row r="662">
      <c r="CM662" s="25"/>
      <c r="CN662" s="25"/>
      <c r="CY662" s="25"/>
      <c r="CZ662" s="25"/>
      <c r="DG662" s="25"/>
    </row>
    <row r="663">
      <c r="CM663" s="25"/>
      <c r="CN663" s="25"/>
      <c r="CY663" s="25"/>
      <c r="CZ663" s="25"/>
      <c r="DG663" s="25"/>
    </row>
    <row r="664">
      <c r="CM664" s="25"/>
      <c r="CN664" s="25"/>
      <c r="CY664" s="25"/>
      <c r="CZ664" s="25"/>
      <c r="DG664" s="25"/>
    </row>
    <row r="665">
      <c r="CM665" s="25"/>
      <c r="CN665" s="25"/>
      <c r="CY665" s="25"/>
      <c r="CZ665" s="25"/>
      <c r="DG665" s="25"/>
    </row>
    <row r="666">
      <c r="CM666" s="25"/>
      <c r="CN666" s="25"/>
      <c r="CY666" s="25"/>
      <c r="CZ666" s="25"/>
      <c r="DG666" s="25"/>
    </row>
    <row r="667">
      <c r="CM667" s="25"/>
      <c r="CN667" s="25"/>
      <c r="CY667" s="25"/>
      <c r="CZ667" s="25"/>
      <c r="DG667" s="25"/>
    </row>
    <row r="668">
      <c r="CM668" s="25"/>
      <c r="CN668" s="25"/>
      <c r="CY668" s="25"/>
      <c r="CZ668" s="25"/>
      <c r="DG668" s="25"/>
    </row>
    <row r="669">
      <c r="CM669" s="25"/>
      <c r="CN669" s="25"/>
      <c r="CY669" s="25"/>
      <c r="CZ669" s="25"/>
      <c r="DG669" s="25"/>
    </row>
    <row r="670">
      <c r="CM670" s="25"/>
      <c r="CN670" s="25"/>
      <c r="CY670" s="25"/>
      <c r="CZ670" s="25"/>
      <c r="DG670" s="25"/>
    </row>
    <row r="671">
      <c r="CM671" s="25"/>
      <c r="CN671" s="25"/>
      <c r="CY671" s="25"/>
      <c r="CZ671" s="25"/>
      <c r="DG671" s="25"/>
    </row>
    <row r="672">
      <c r="CM672" s="25"/>
      <c r="CN672" s="25"/>
      <c r="CY672" s="25"/>
      <c r="CZ672" s="25"/>
      <c r="DG672" s="25"/>
    </row>
    <row r="673">
      <c r="CM673" s="25"/>
      <c r="CN673" s="25"/>
      <c r="CY673" s="25"/>
      <c r="CZ673" s="25"/>
      <c r="DG673" s="25"/>
    </row>
    <row r="674">
      <c r="CM674" s="25"/>
      <c r="CN674" s="25"/>
      <c r="CY674" s="25"/>
      <c r="CZ674" s="25"/>
      <c r="DG674" s="25"/>
    </row>
    <row r="675">
      <c r="CM675" s="25"/>
      <c r="CN675" s="25"/>
      <c r="CY675" s="25"/>
      <c r="CZ675" s="25"/>
      <c r="DG675" s="25"/>
    </row>
    <row r="676">
      <c r="CM676" s="25"/>
      <c r="CN676" s="25"/>
      <c r="CY676" s="25"/>
      <c r="CZ676" s="25"/>
      <c r="DG676" s="25"/>
    </row>
    <row r="677">
      <c r="CM677" s="25"/>
      <c r="CN677" s="25"/>
      <c r="CY677" s="25"/>
      <c r="CZ677" s="25"/>
      <c r="DG677" s="25"/>
    </row>
    <row r="678">
      <c r="CM678" s="25"/>
      <c r="CN678" s="25"/>
      <c r="CY678" s="25"/>
      <c r="CZ678" s="25"/>
      <c r="DG678" s="25"/>
    </row>
    <row r="679">
      <c r="CM679" s="25"/>
      <c r="CN679" s="25"/>
      <c r="CY679" s="25"/>
      <c r="CZ679" s="25"/>
      <c r="DG679" s="25"/>
    </row>
    <row r="680">
      <c r="CM680" s="25"/>
      <c r="CN680" s="25"/>
      <c r="CY680" s="25"/>
      <c r="CZ680" s="25"/>
      <c r="DG680" s="25"/>
    </row>
    <row r="681">
      <c r="CM681" s="25"/>
      <c r="CN681" s="25"/>
      <c r="CY681" s="25"/>
      <c r="CZ681" s="25"/>
      <c r="DG681" s="25"/>
    </row>
    <row r="682">
      <c r="CM682" s="25"/>
      <c r="CN682" s="25"/>
      <c r="CY682" s="25"/>
      <c r="CZ682" s="25"/>
      <c r="DG682" s="25"/>
    </row>
    <row r="683">
      <c r="CM683" s="25"/>
      <c r="CN683" s="25"/>
      <c r="CY683" s="25"/>
      <c r="CZ683" s="25"/>
      <c r="DG683" s="25"/>
    </row>
    <row r="684">
      <c r="CM684" s="25"/>
      <c r="CN684" s="25"/>
      <c r="CY684" s="25"/>
      <c r="CZ684" s="25"/>
      <c r="DG684" s="25"/>
    </row>
    <row r="685">
      <c r="CM685" s="25"/>
      <c r="CN685" s="25"/>
      <c r="CY685" s="25"/>
      <c r="CZ685" s="25"/>
      <c r="DG685" s="25"/>
    </row>
    <row r="686">
      <c r="CM686" s="25"/>
      <c r="CN686" s="25"/>
      <c r="CY686" s="25"/>
      <c r="CZ686" s="25"/>
      <c r="DG686" s="25"/>
    </row>
    <row r="687">
      <c r="CM687" s="25"/>
      <c r="CN687" s="25"/>
      <c r="CY687" s="25"/>
      <c r="CZ687" s="25"/>
      <c r="DG687" s="25"/>
    </row>
    <row r="688">
      <c r="CM688" s="25"/>
      <c r="CN688" s="25"/>
      <c r="CY688" s="25"/>
      <c r="CZ688" s="25"/>
      <c r="DG688" s="25"/>
    </row>
    <row r="689">
      <c r="CM689" s="25"/>
      <c r="CN689" s="25"/>
      <c r="CY689" s="25"/>
      <c r="CZ689" s="25"/>
      <c r="DG689" s="25"/>
    </row>
    <row r="690">
      <c r="CM690" s="25"/>
      <c r="CN690" s="25"/>
      <c r="CY690" s="25"/>
      <c r="CZ690" s="25"/>
      <c r="DG690" s="25"/>
    </row>
    <row r="691">
      <c r="CM691" s="25"/>
      <c r="CN691" s="25"/>
      <c r="CY691" s="25"/>
      <c r="CZ691" s="25"/>
      <c r="DG691" s="25"/>
    </row>
    <row r="692">
      <c r="CM692" s="25"/>
      <c r="CN692" s="25"/>
      <c r="CY692" s="25"/>
      <c r="CZ692" s="25"/>
      <c r="DG692" s="25"/>
    </row>
    <row r="693">
      <c r="CM693" s="25"/>
      <c r="CN693" s="25"/>
      <c r="CY693" s="25"/>
      <c r="CZ693" s="25"/>
      <c r="DG693" s="25"/>
    </row>
    <row r="694">
      <c r="CM694" s="25"/>
      <c r="CN694" s="25"/>
      <c r="CY694" s="25"/>
      <c r="CZ694" s="25"/>
      <c r="DG694" s="25"/>
    </row>
    <row r="695">
      <c r="CM695" s="25"/>
      <c r="CN695" s="25"/>
      <c r="CY695" s="25"/>
      <c r="CZ695" s="25"/>
      <c r="DG695" s="25"/>
    </row>
    <row r="696">
      <c r="CM696" s="25"/>
      <c r="CN696" s="25"/>
      <c r="CY696" s="25"/>
      <c r="CZ696" s="25"/>
      <c r="DG696" s="25"/>
    </row>
    <row r="697">
      <c r="CM697" s="25"/>
      <c r="CN697" s="25"/>
      <c r="CY697" s="25"/>
      <c r="CZ697" s="25"/>
      <c r="DG697" s="25"/>
    </row>
    <row r="698">
      <c r="CM698" s="25"/>
      <c r="CN698" s="25"/>
      <c r="CY698" s="25"/>
      <c r="CZ698" s="25"/>
      <c r="DG698" s="25"/>
    </row>
    <row r="699">
      <c r="CM699" s="25"/>
      <c r="CN699" s="25"/>
      <c r="CY699" s="25"/>
      <c r="CZ699" s="25"/>
      <c r="DG699" s="25"/>
    </row>
    <row r="700">
      <c r="CM700" s="25"/>
      <c r="CN700" s="25"/>
      <c r="CY700" s="25"/>
      <c r="CZ700" s="25"/>
      <c r="DG700" s="25"/>
    </row>
    <row r="701">
      <c r="CM701" s="25"/>
      <c r="CN701" s="25"/>
      <c r="CY701" s="25"/>
      <c r="CZ701" s="25"/>
      <c r="DG701" s="25"/>
    </row>
    <row r="702">
      <c r="CM702" s="25"/>
      <c r="CN702" s="25"/>
      <c r="CY702" s="25"/>
      <c r="CZ702" s="25"/>
      <c r="DG702" s="25"/>
    </row>
    <row r="703">
      <c r="CM703" s="25"/>
      <c r="CN703" s="25"/>
      <c r="CY703" s="25"/>
      <c r="CZ703" s="25"/>
      <c r="DG703" s="25"/>
    </row>
    <row r="704">
      <c r="CM704" s="25"/>
      <c r="CN704" s="25"/>
      <c r="CY704" s="25"/>
      <c r="CZ704" s="25"/>
      <c r="DG704" s="25"/>
    </row>
    <row r="705">
      <c r="CM705" s="25"/>
      <c r="CN705" s="25"/>
      <c r="CY705" s="25"/>
      <c r="CZ705" s="25"/>
      <c r="DG705" s="25"/>
    </row>
    <row r="706">
      <c r="CM706" s="25"/>
      <c r="CN706" s="25"/>
      <c r="CY706" s="25"/>
      <c r="CZ706" s="25"/>
      <c r="DG706" s="25"/>
    </row>
    <row r="707">
      <c r="CM707" s="25"/>
      <c r="CN707" s="25"/>
      <c r="CY707" s="25"/>
      <c r="CZ707" s="25"/>
      <c r="DG707" s="25"/>
    </row>
    <row r="708">
      <c r="CM708" s="25"/>
      <c r="CN708" s="25"/>
      <c r="CY708" s="25"/>
      <c r="CZ708" s="25"/>
      <c r="DG708" s="25"/>
    </row>
    <row r="709">
      <c r="CM709" s="25"/>
      <c r="CN709" s="25"/>
      <c r="CY709" s="25"/>
      <c r="CZ709" s="25"/>
      <c r="DG709" s="25"/>
    </row>
    <row r="710">
      <c r="CM710" s="25"/>
      <c r="CN710" s="25"/>
      <c r="CY710" s="25"/>
      <c r="CZ710" s="25"/>
      <c r="DG710" s="25"/>
    </row>
    <row r="711">
      <c r="CM711" s="25"/>
      <c r="CN711" s="25"/>
      <c r="CY711" s="25"/>
      <c r="CZ711" s="25"/>
      <c r="DG711" s="25"/>
    </row>
    <row r="712">
      <c r="CM712" s="25"/>
      <c r="CN712" s="25"/>
      <c r="CY712" s="25"/>
      <c r="CZ712" s="25"/>
      <c r="DG712" s="25"/>
    </row>
    <row r="713">
      <c r="CM713" s="25"/>
      <c r="CN713" s="25"/>
      <c r="CY713" s="25"/>
      <c r="CZ713" s="25"/>
      <c r="DG713" s="25"/>
    </row>
    <row r="714">
      <c r="CM714" s="25"/>
      <c r="CN714" s="25"/>
      <c r="CY714" s="25"/>
      <c r="CZ714" s="25"/>
      <c r="DG714" s="25"/>
    </row>
    <row r="715">
      <c r="CM715" s="25"/>
      <c r="CN715" s="25"/>
      <c r="CY715" s="25"/>
      <c r="CZ715" s="25"/>
      <c r="DG715" s="25"/>
    </row>
    <row r="716">
      <c r="CM716" s="25"/>
      <c r="CN716" s="25"/>
      <c r="CY716" s="25"/>
      <c r="CZ716" s="25"/>
      <c r="DG716" s="25"/>
    </row>
    <row r="717">
      <c r="CM717" s="25"/>
      <c r="CN717" s="25"/>
      <c r="CY717" s="25"/>
      <c r="CZ717" s="25"/>
      <c r="DG717" s="25"/>
    </row>
    <row r="718">
      <c r="CM718" s="25"/>
      <c r="CN718" s="25"/>
      <c r="CY718" s="25"/>
      <c r="CZ718" s="25"/>
      <c r="DG718" s="25"/>
    </row>
    <row r="719">
      <c r="CM719" s="25"/>
      <c r="CN719" s="25"/>
      <c r="CY719" s="25"/>
      <c r="CZ719" s="25"/>
      <c r="DG719" s="25"/>
    </row>
    <row r="720">
      <c r="CM720" s="25"/>
      <c r="CN720" s="25"/>
      <c r="CY720" s="25"/>
      <c r="CZ720" s="25"/>
      <c r="DG720" s="25"/>
    </row>
    <row r="721">
      <c r="CM721" s="25"/>
      <c r="CN721" s="25"/>
      <c r="CY721" s="25"/>
      <c r="CZ721" s="25"/>
      <c r="DG721" s="25"/>
    </row>
    <row r="722">
      <c r="CM722" s="25"/>
      <c r="CN722" s="25"/>
      <c r="CY722" s="25"/>
      <c r="CZ722" s="25"/>
      <c r="DG722" s="25"/>
    </row>
    <row r="723">
      <c r="CM723" s="25"/>
      <c r="CN723" s="25"/>
      <c r="CY723" s="25"/>
      <c r="CZ723" s="25"/>
      <c r="DG723" s="25"/>
    </row>
    <row r="724">
      <c r="CM724" s="25"/>
      <c r="CN724" s="25"/>
      <c r="CY724" s="25"/>
      <c r="CZ724" s="25"/>
      <c r="DG724" s="25"/>
    </row>
    <row r="725">
      <c r="CM725" s="25"/>
      <c r="CN725" s="25"/>
      <c r="CY725" s="25"/>
      <c r="CZ725" s="25"/>
      <c r="DG725" s="25"/>
    </row>
    <row r="726">
      <c r="CM726" s="25"/>
      <c r="CN726" s="25"/>
      <c r="CY726" s="25"/>
      <c r="CZ726" s="25"/>
      <c r="DG726" s="25"/>
    </row>
    <row r="727">
      <c r="CM727" s="25"/>
      <c r="CN727" s="25"/>
      <c r="CY727" s="25"/>
      <c r="CZ727" s="25"/>
      <c r="DG727" s="25"/>
    </row>
    <row r="728">
      <c r="CM728" s="25"/>
      <c r="CN728" s="25"/>
      <c r="CY728" s="25"/>
      <c r="CZ728" s="25"/>
      <c r="DG728" s="25"/>
    </row>
    <row r="729">
      <c r="CM729" s="25"/>
      <c r="CN729" s="25"/>
      <c r="CY729" s="25"/>
      <c r="CZ729" s="25"/>
      <c r="DG729" s="25"/>
    </row>
    <row r="730">
      <c r="CM730" s="25"/>
      <c r="CN730" s="25"/>
      <c r="CY730" s="25"/>
      <c r="CZ730" s="25"/>
      <c r="DG730" s="25"/>
    </row>
    <row r="731">
      <c r="CM731" s="25"/>
      <c r="CN731" s="25"/>
      <c r="CY731" s="25"/>
      <c r="CZ731" s="25"/>
      <c r="DG731" s="25"/>
    </row>
    <row r="732">
      <c r="CM732" s="25"/>
      <c r="CN732" s="25"/>
      <c r="CY732" s="25"/>
      <c r="CZ732" s="25"/>
      <c r="DG732" s="25"/>
    </row>
    <row r="733">
      <c r="CM733" s="25"/>
      <c r="CN733" s="25"/>
      <c r="CY733" s="25"/>
      <c r="CZ733" s="25"/>
      <c r="DG733" s="25"/>
    </row>
    <row r="734">
      <c r="CM734" s="25"/>
      <c r="CN734" s="25"/>
      <c r="CY734" s="25"/>
      <c r="CZ734" s="25"/>
      <c r="DG734" s="25"/>
    </row>
    <row r="735">
      <c r="CM735" s="25"/>
      <c r="CN735" s="25"/>
      <c r="CY735" s="25"/>
      <c r="CZ735" s="25"/>
      <c r="DG735" s="25"/>
    </row>
    <row r="736">
      <c r="CM736" s="25"/>
      <c r="CN736" s="25"/>
      <c r="CY736" s="25"/>
      <c r="CZ736" s="25"/>
      <c r="DG736" s="25"/>
    </row>
    <row r="737">
      <c r="CM737" s="25"/>
      <c r="CN737" s="25"/>
      <c r="CY737" s="25"/>
      <c r="CZ737" s="25"/>
      <c r="DG737" s="25"/>
    </row>
    <row r="738">
      <c r="CM738" s="25"/>
      <c r="CN738" s="25"/>
      <c r="CY738" s="25"/>
      <c r="CZ738" s="25"/>
      <c r="DG738" s="25"/>
    </row>
    <row r="739">
      <c r="CM739" s="25"/>
      <c r="CN739" s="25"/>
      <c r="CY739" s="25"/>
      <c r="CZ739" s="25"/>
      <c r="DG739" s="25"/>
    </row>
    <row r="740">
      <c r="CM740" s="25"/>
      <c r="CN740" s="25"/>
      <c r="CY740" s="25"/>
      <c r="CZ740" s="25"/>
      <c r="DG740" s="25"/>
    </row>
    <row r="741">
      <c r="CM741" s="25"/>
      <c r="CN741" s="25"/>
      <c r="CY741" s="25"/>
      <c r="CZ741" s="25"/>
      <c r="DG741" s="25"/>
    </row>
    <row r="742">
      <c r="CM742" s="25"/>
      <c r="CN742" s="25"/>
      <c r="CY742" s="25"/>
      <c r="CZ742" s="25"/>
      <c r="DG742" s="25"/>
    </row>
    <row r="743">
      <c r="CM743" s="25"/>
      <c r="CN743" s="25"/>
      <c r="CY743" s="25"/>
      <c r="CZ743" s="25"/>
      <c r="DG743" s="25"/>
    </row>
    <row r="744">
      <c r="CM744" s="25"/>
      <c r="CN744" s="25"/>
      <c r="CY744" s="25"/>
      <c r="CZ744" s="25"/>
      <c r="DG744" s="25"/>
    </row>
    <row r="745">
      <c r="CM745" s="25"/>
      <c r="CN745" s="25"/>
      <c r="CY745" s="25"/>
      <c r="CZ745" s="25"/>
      <c r="DG745" s="25"/>
    </row>
    <row r="746">
      <c r="CM746" s="25"/>
      <c r="CN746" s="25"/>
      <c r="CY746" s="25"/>
      <c r="CZ746" s="25"/>
      <c r="DG746" s="25"/>
    </row>
    <row r="747">
      <c r="CM747" s="25"/>
      <c r="CN747" s="25"/>
      <c r="CY747" s="25"/>
      <c r="CZ747" s="25"/>
      <c r="DG747" s="25"/>
    </row>
    <row r="748">
      <c r="CM748" s="25"/>
      <c r="CN748" s="25"/>
      <c r="CY748" s="25"/>
      <c r="CZ748" s="25"/>
      <c r="DG748" s="25"/>
    </row>
    <row r="749">
      <c r="CM749" s="25"/>
      <c r="CN749" s="25"/>
      <c r="CY749" s="25"/>
      <c r="CZ749" s="25"/>
      <c r="DG749" s="25"/>
    </row>
    <row r="750">
      <c r="CM750" s="25"/>
      <c r="CN750" s="25"/>
      <c r="CY750" s="25"/>
      <c r="CZ750" s="25"/>
      <c r="DG750" s="25"/>
    </row>
    <row r="751">
      <c r="CM751" s="25"/>
      <c r="CN751" s="25"/>
      <c r="CY751" s="25"/>
      <c r="CZ751" s="25"/>
      <c r="DG751" s="25"/>
    </row>
    <row r="752">
      <c r="CM752" s="25"/>
      <c r="CN752" s="25"/>
      <c r="CY752" s="25"/>
      <c r="CZ752" s="25"/>
      <c r="DG752" s="25"/>
    </row>
    <row r="753">
      <c r="CM753" s="25"/>
      <c r="CN753" s="25"/>
      <c r="CY753" s="25"/>
      <c r="CZ753" s="25"/>
      <c r="DG753" s="25"/>
    </row>
    <row r="754">
      <c r="CM754" s="25"/>
      <c r="CN754" s="25"/>
      <c r="CY754" s="25"/>
      <c r="CZ754" s="25"/>
      <c r="DG754" s="25"/>
    </row>
    <row r="755">
      <c r="CM755" s="25"/>
      <c r="CN755" s="25"/>
      <c r="CY755" s="25"/>
      <c r="CZ755" s="25"/>
      <c r="DG755" s="25"/>
    </row>
    <row r="756">
      <c r="CM756" s="25"/>
      <c r="CN756" s="25"/>
      <c r="CY756" s="25"/>
      <c r="CZ756" s="25"/>
      <c r="DG756" s="25"/>
    </row>
    <row r="757">
      <c r="CM757" s="25"/>
      <c r="CN757" s="25"/>
      <c r="CY757" s="25"/>
      <c r="CZ757" s="25"/>
      <c r="DG757" s="25"/>
    </row>
    <row r="758">
      <c r="CM758" s="25"/>
      <c r="CN758" s="25"/>
      <c r="CY758" s="25"/>
      <c r="CZ758" s="25"/>
      <c r="DG758" s="25"/>
    </row>
    <row r="759">
      <c r="CM759" s="25"/>
      <c r="CN759" s="25"/>
      <c r="CY759" s="25"/>
      <c r="CZ759" s="25"/>
      <c r="DG759" s="25"/>
    </row>
    <row r="760">
      <c r="CM760" s="25"/>
      <c r="CN760" s="25"/>
      <c r="CY760" s="25"/>
      <c r="CZ760" s="25"/>
      <c r="DG760" s="25"/>
    </row>
    <row r="761">
      <c r="CM761" s="25"/>
      <c r="CN761" s="25"/>
      <c r="CY761" s="25"/>
      <c r="CZ761" s="25"/>
      <c r="DG761" s="25"/>
    </row>
    <row r="762">
      <c r="CM762" s="25"/>
      <c r="CN762" s="25"/>
      <c r="CY762" s="25"/>
      <c r="CZ762" s="25"/>
      <c r="DG762" s="25"/>
    </row>
    <row r="763">
      <c r="CM763" s="25"/>
      <c r="CN763" s="25"/>
      <c r="CY763" s="25"/>
      <c r="CZ763" s="25"/>
      <c r="DG763" s="25"/>
    </row>
    <row r="764">
      <c r="CM764" s="25"/>
      <c r="CN764" s="25"/>
      <c r="CY764" s="25"/>
      <c r="CZ764" s="25"/>
      <c r="DG764" s="25"/>
    </row>
    <row r="765">
      <c r="CM765" s="25"/>
      <c r="CN765" s="25"/>
      <c r="CY765" s="25"/>
      <c r="CZ765" s="25"/>
      <c r="DG765" s="25"/>
    </row>
    <row r="766">
      <c r="CM766" s="25"/>
      <c r="CN766" s="25"/>
      <c r="CY766" s="25"/>
      <c r="CZ766" s="25"/>
      <c r="DG766" s="25"/>
    </row>
    <row r="767">
      <c r="CM767" s="25"/>
      <c r="CN767" s="25"/>
      <c r="CY767" s="25"/>
      <c r="CZ767" s="25"/>
      <c r="DG767" s="25"/>
    </row>
    <row r="768">
      <c r="CM768" s="25"/>
      <c r="CN768" s="25"/>
      <c r="CY768" s="25"/>
      <c r="CZ768" s="25"/>
      <c r="DG768" s="25"/>
    </row>
    <row r="769">
      <c r="CM769" s="25"/>
      <c r="CN769" s="25"/>
      <c r="CY769" s="25"/>
      <c r="CZ769" s="25"/>
      <c r="DG769" s="25"/>
    </row>
    <row r="770">
      <c r="CM770" s="25"/>
      <c r="CN770" s="25"/>
      <c r="CY770" s="25"/>
      <c r="CZ770" s="25"/>
      <c r="DG770" s="25"/>
    </row>
    <row r="771">
      <c r="CM771" s="25"/>
      <c r="CN771" s="25"/>
      <c r="CY771" s="25"/>
      <c r="CZ771" s="25"/>
      <c r="DG771" s="25"/>
    </row>
    <row r="772">
      <c r="CM772" s="25"/>
      <c r="CN772" s="25"/>
      <c r="CY772" s="25"/>
      <c r="CZ772" s="25"/>
      <c r="DG772" s="25"/>
    </row>
    <row r="773">
      <c r="CM773" s="25"/>
      <c r="CN773" s="25"/>
      <c r="CY773" s="25"/>
      <c r="CZ773" s="25"/>
      <c r="DG773" s="25"/>
    </row>
    <row r="774">
      <c r="CM774" s="25"/>
      <c r="CN774" s="25"/>
      <c r="CY774" s="25"/>
      <c r="CZ774" s="25"/>
      <c r="DG774" s="25"/>
    </row>
    <row r="775">
      <c r="CM775" s="25"/>
      <c r="CN775" s="25"/>
      <c r="CY775" s="25"/>
      <c r="CZ775" s="25"/>
      <c r="DG775" s="25"/>
    </row>
    <row r="776">
      <c r="CM776" s="25"/>
      <c r="CN776" s="25"/>
      <c r="CY776" s="25"/>
      <c r="CZ776" s="25"/>
      <c r="DG776" s="25"/>
    </row>
    <row r="777">
      <c r="CM777" s="25"/>
      <c r="CN777" s="25"/>
      <c r="CY777" s="25"/>
      <c r="CZ777" s="25"/>
      <c r="DG777" s="25"/>
    </row>
    <row r="778">
      <c r="CM778" s="25"/>
      <c r="CN778" s="25"/>
      <c r="CY778" s="25"/>
      <c r="CZ778" s="25"/>
      <c r="DG778" s="25"/>
    </row>
    <row r="779">
      <c r="CM779" s="25"/>
      <c r="CN779" s="25"/>
      <c r="CY779" s="25"/>
      <c r="CZ779" s="25"/>
      <c r="DG779" s="25"/>
    </row>
    <row r="780">
      <c r="CM780" s="25"/>
      <c r="CN780" s="25"/>
      <c r="CY780" s="25"/>
      <c r="CZ780" s="25"/>
      <c r="DG780" s="25"/>
    </row>
    <row r="781">
      <c r="CM781" s="25"/>
      <c r="CN781" s="25"/>
      <c r="CY781" s="25"/>
      <c r="CZ781" s="25"/>
      <c r="DG781" s="25"/>
    </row>
    <row r="782">
      <c r="CM782" s="25"/>
      <c r="CN782" s="25"/>
      <c r="CY782" s="25"/>
      <c r="CZ782" s="25"/>
      <c r="DG782" s="25"/>
    </row>
    <row r="783">
      <c r="CM783" s="25"/>
      <c r="CN783" s="25"/>
      <c r="CY783" s="25"/>
      <c r="CZ783" s="25"/>
      <c r="DG783" s="25"/>
    </row>
    <row r="784">
      <c r="CM784" s="25"/>
      <c r="CN784" s="25"/>
      <c r="CY784" s="25"/>
      <c r="CZ784" s="25"/>
      <c r="DG784" s="25"/>
    </row>
    <row r="785">
      <c r="CM785" s="25"/>
      <c r="CN785" s="25"/>
      <c r="CY785" s="25"/>
      <c r="CZ785" s="25"/>
      <c r="DG785" s="25"/>
    </row>
    <row r="786">
      <c r="CM786" s="25"/>
      <c r="CN786" s="25"/>
      <c r="CY786" s="25"/>
      <c r="CZ786" s="25"/>
      <c r="DG786" s="25"/>
    </row>
    <row r="787">
      <c r="CM787" s="25"/>
      <c r="CN787" s="25"/>
      <c r="CY787" s="25"/>
      <c r="CZ787" s="25"/>
      <c r="DG787" s="25"/>
    </row>
    <row r="788">
      <c r="CM788" s="25"/>
      <c r="CN788" s="25"/>
      <c r="CY788" s="25"/>
      <c r="CZ788" s="25"/>
      <c r="DG788" s="25"/>
    </row>
    <row r="789">
      <c r="CM789" s="25"/>
      <c r="CN789" s="25"/>
      <c r="CY789" s="25"/>
      <c r="CZ789" s="25"/>
      <c r="DG789" s="25"/>
    </row>
    <row r="790">
      <c r="CM790" s="25"/>
      <c r="CN790" s="25"/>
      <c r="CY790" s="25"/>
      <c r="CZ790" s="25"/>
      <c r="DG790" s="25"/>
    </row>
    <row r="791">
      <c r="CM791" s="25"/>
      <c r="CN791" s="25"/>
      <c r="CY791" s="25"/>
      <c r="CZ791" s="25"/>
      <c r="DG791" s="25"/>
    </row>
    <row r="792">
      <c r="CM792" s="25"/>
      <c r="CN792" s="25"/>
      <c r="CY792" s="25"/>
      <c r="CZ792" s="25"/>
      <c r="DG792" s="25"/>
    </row>
    <row r="793">
      <c r="CM793" s="25"/>
      <c r="CN793" s="25"/>
      <c r="CY793" s="25"/>
      <c r="CZ793" s="25"/>
      <c r="DG793" s="25"/>
    </row>
    <row r="794">
      <c r="CM794" s="25"/>
      <c r="CN794" s="25"/>
      <c r="CY794" s="25"/>
      <c r="CZ794" s="25"/>
      <c r="DG794" s="25"/>
    </row>
    <row r="795">
      <c r="CM795" s="25"/>
      <c r="CN795" s="25"/>
      <c r="CY795" s="25"/>
      <c r="CZ795" s="25"/>
      <c r="DG795" s="25"/>
    </row>
    <row r="796">
      <c r="CM796" s="25"/>
      <c r="CN796" s="25"/>
      <c r="CY796" s="25"/>
      <c r="CZ796" s="25"/>
      <c r="DG796" s="25"/>
    </row>
    <row r="797">
      <c r="CM797" s="25"/>
      <c r="CN797" s="25"/>
      <c r="CY797" s="25"/>
      <c r="CZ797" s="25"/>
      <c r="DG797" s="25"/>
    </row>
    <row r="798">
      <c r="CM798" s="25"/>
      <c r="CN798" s="25"/>
      <c r="CY798" s="25"/>
      <c r="CZ798" s="25"/>
      <c r="DG798" s="25"/>
    </row>
    <row r="799">
      <c r="CM799" s="25"/>
      <c r="CN799" s="25"/>
      <c r="CY799" s="25"/>
      <c r="CZ799" s="25"/>
      <c r="DG799" s="25"/>
    </row>
    <row r="800">
      <c r="CM800" s="25"/>
      <c r="CN800" s="25"/>
      <c r="CY800" s="25"/>
      <c r="CZ800" s="25"/>
      <c r="DG800" s="25"/>
    </row>
    <row r="801">
      <c r="CM801" s="25"/>
      <c r="CN801" s="25"/>
      <c r="CY801" s="25"/>
      <c r="CZ801" s="25"/>
      <c r="DG801" s="25"/>
    </row>
    <row r="802">
      <c r="CM802" s="25"/>
      <c r="CN802" s="25"/>
      <c r="CY802" s="25"/>
      <c r="CZ802" s="25"/>
      <c r="DG802" s="25"/>
    </row>
    <row r="803">
      <c r="CM803" s="25"/>
      <c r="CN803" s="25"/>
      <c r="CY803" s="25"/>
      <c r="CZ803" s="25"/>
      <c r="DG803" s="25"/>
    </row>
    <row r="804">
      <c r="CM804" s="25"/>
      <c r="CN804" s="25"/>
      <c r="CY804" s="25"/>
      <c r="CZ804" s="25"/>
      <c r="DG804" s="25"/>
    </row>
    <row r="805">
      <c r="CM805" s="25"/>
      <c r="CN805" s="25"/>
      <c r="CY805" s="25"/>
      <c r="CZ805" s="25"/>
      <c r="DG805" s="25"/>
    </row>
    <row r="806">
      <c r="CM806" s="25"/>
      <c r="CN806" s="25"/>
      <c r="CY806" s="25"/>
      <c r="CZ806" s="25"/>
      <c r="DG806" s="25"/>
    </row>
    <row r="807">
      <c r="CM807" s="25"/>
      <c r="CN807" s="25"/>
      <c r="CY807" s="25"/>
      <c r="CZ807" s="25"/>
      <c r="DG807" s="25"/>
    </row>
    <row r="808">
      <c r="CM808" s="25"/>
      <c r="CN808" s="25"/>
      <c r="CY808" s="25"/>
      <c r="CZ808" s="25"/>
      <c r="DG808" s="25"/>
    </row>
    <row r="809">
      <c r="CM809" s="25"/>
      <c r="CN809" s="25"/>
      <c r="CY809" s="25"/>
      <c r="CZ809" s="25"/>
      <c r="DG809" s="25"/>
    </row>
    <row r="810">
      <c r="CM810" s="25"/>
      <c r="CN810" s="25"/>
      <c r="CY810" s="25"/>
      <c r="CZ810" s="25"/>
      <c r="DG810" s="25"/>
    </row>
    <row r="811">
      <c r="CM811" s="25"/>
      <c r="CN811" s="25"/>
      <c r="CY811" s="25"/>
      <c r="CZ811" s="25"/>
      <c r="DG811" s="25"/>
    </row>
    <row r="812">
      <c r="CM812" s="25"/>
      <c r="CN812" s="25"/>
      <c r="CY812" s="25"/>
      <c r="CZ812" s="25"/>
      <c r="DG812" s="25"/>
    </row>
    <row r="813">
      <c r="CM813" s="25"/>
      <c r="CN813" s="25"/>
      <c r="CY813" s="25"/>
      <c r="CZ813" s="25"/>
      <c r="DG813" s="25"/>
    </row>
    <row r="814">
      <c r="CM814" s="25"/>
      <c r="CN814" s="25"/>
      <c r="CY814" s="25"/>
      <c r="CZ814" s="25"/>
      <c r="DG814" s="25"/>
    </row>
    <row r="815">
      <c r="CM815" s="25"/>
      <c r="CN815" s="25"/>
      <c r="CY815" s="25"/>
      <c r="CZ815" s="25"/>
      <c r="DG815" s="25"/>
    </row>
    <row r="816">
      <c r="CM816" s="25"/>
      <c r="CN816" s="25"/>
      <c r="CY816" s="25"/>
      <c r="CZ816" s="25"/>
      <c r="DG816" s="25"/>
    </row>
    <row r="817">
      <c r="CM817" s="25"/>
      <c r="CN817" s="25"/>
      <c r="CY817" s="25"/>
      <c r="CZ817" s="25"/>
      <c r="DG817" s="25"/>
    </row>
    <row r="818">
      <c r="CM818" s="25"/>
      <c r="CN818" s="25"/>
      <c r="CY818" s="25"/>
      <c r="CZ818" s="25"/>
      <c r="DG818" s="25"/>
    </row>
    <row r="819">
      <c r="CM819" s="25"/>
      <c r="CN819" s="25"/>
      <c r="CY819" s="25"/>
      <c r="CZ819" s="25"/>
      <c r="DG819" s="25"/>
    </row>
    <row r="820">
      <c r="CM820" s="25"/>
      <c r="CN820" s="25"/>
      <c r="CY820" s="25"/>
      <c r="CZ820" s="25"/>
      <c r="DG820" s="25"/>
    </row>
    <row r="821">
      <c r="CM821" s="25"/>
      <c r="CN821" s="25"/>
      <c r="CY821" s="25"/>
      <c r="CZ821" s="25"/>
      <c r="DG821" s="25"/>
    </row>
    <row r="822">
      <c r="CM822" s="25"/>
      <c r="CN822" s="25"/>
      <c r="CY822" s="25"/>
      <c r="CZ822" s="25"/>
      <c r="DG822" s="25"/>
    </row>
    <row r="823">
      <c r="CM823" s="25"/>
      <c r="CN823" s="25"/>
      <c r="CY823" s="25"/>
      <c r="CZ823" s="25"/>
      <c r="DG823" s="25"/>
    </row>
    <row r="824">
      <c r="CM824" s="25"/>
      <c r="CN824" s="25"/>
      <c r="CY824" s="25"/>
      <c r="CZ824" s="25"/>
      <c r="DG824" s="25"/>
    </row>
    <row r="825">
      <c r="CM825" s="25"/>
      <c r="CN825" s="25"/>
      <c r="CY825" s="25"/>
      <c r="CZ825" s="25"/>
      <c r="DG825" s="25"/>
    </row>
    <row r="826">
      <c r="CM826" s="25"/>
      <c r="CN826" s="25"/>
      <c r="CY826" s="25"/>
      <c r="CZ826" s="25"/>
      <c r="DG826" s="25"/>
    </row>
    <row r="827">
      <c r="CM827" s="25"/>
      <c r="CN827" s="25"/>
      <c r="CY827" s="25"/>
      <c r="CZ827" s="25"/>
      <c r="DG827" s="25"/>
    </row>
    <row r="828">
      <c r="CM828" s="25"/>
      <c r="CN828" s="25"/>
      <c r="CY828" s="25"/>
      <c r="CZ828" s="25"/>
      <c r="DG828" s="25"/>
    </row>
    <row r="829">
      <c r="CM829" s="25"/>
      <c r="CN829" s="25"/>
      <c r="CY829" s="25"/>
      <c r="CZ829" s="25"/>
      <c r="DG829" s="25"/>
    </row>
    <row r="830">
      <c r="CM830" s="25"/>
      <c r="CN830" s="25"/>
      <c r="CY830" s="25"/>
      <c r="CZ830" s="25"/>
      <c r="DG830" s="25"/>
    </row>
    <row r="831">
      <c r="CM831" s="25"/>
      <c r="CN831" s="25"/>
      <c r="CY831" s="25"/>
      <c r="CZ831" s="25"/>
      <c r="DG831" s="25"/>
    </row>
    <row r="832">
      <c r="CM832" s="25"/>
      <c r="CN832" s="25"/>
      <c r="CY832" s="25"/>
      <c r="CZ832" s="25"/>
      <c r="DG832" s="25"/>
    </row>
    <row r="833">
      <c r="CM833" s="25"/>
      <c r="CN833" s="25"/>
      <c r="CY833" s="25"/>
      <c r="CZ833" s="25"/>
      <c r="DG833" s="25"/>
    </row>
    <row r="834">
      <c r="CM834" s="25"/>
      <c r="CN834" s="25"/>
      <c r="CY834" s="25"/>
      <c r="CZ834" s="25"/>
      <c r="DG834" s="25"/>
    </row>
    <row r="835">
      <c r="CM835" s="25"/>
      <c r="CN835" s="25"/>
      <c r="CY835" s="25"/>
      <c r="CZ835" s="25"/>
      <c r="DG835" s="25"/>
    </row>
    <row r="836">
      <c r="CM836" s="25"/>
      <c r="CN836" s="25"/>
      <c r="CY836" s="25"/>
      <c r="CZ836" s="25"/>
      <c r="DG836" s="25"/>
    </row>
    <row r="837">
      <c r="CM837" s="25"/>
      <c r="CN837" s="25"/>
      <c r="CY837" s="25"/>
      <c r="CZ837" s="25"/>
      <c r="DG837" s="25"/>
    </row>
    <row r="838">
      <c r="CM838" s="25"/>
      <c r="CN838" s="25"/>
      <c r="CY838" s="25"/>
      <c r="CZ838" s="25"/>
      <c r="DG838" s="25"/>
    </row>
    <row r="839">
      <c r="CM839" s="25"/>
      <c r="CN839" s="25"/>
      <c r="CY839" s="25"/>
      <c r="CZ839" s="25"/>
      <c r="DG839" s="25"/>
    </row>
    <row r="840">
      <c r="CM840" s="25"/>
      <c r="CN840" s="25"/>
      <c r="CY840" s="25"/>
      <c r="CZ840" s="25"/>
      <c r="DG840" s="25"/>
    </row>
    <row r="841">
      <c r="CM841" s="25"/>
      <c r="CN841" s="25"/>
      <c r="CY841" s="25"/>
      <c r="CZ841" s="25"/>
      <c r="DG841" s="25"/>
    </row>
    <row r="842">
      <c r="CM842" s="25"/>
      <c r="CN842" s="25"/>
      <c r="CY842" s="25"/>
      <c r="CZ842" s="25"/>
      <c r="DG842" s="25"/>
    </row>
    <row r="843">
      <c r="CM843" s="25"/>
      <c r="CN843" s="25"/>
      <c r="CY843" s="25"/>
      <c r="CZ843" s="25"/>
      <c r="DG843" s="25"/>
    </row>
    <row r="844">
      <c r="CM844" s="25"/>
      <c r="CN844" s="25"/>
      <c r="CY844" s="25"/>
      <c r="CZ844" s="25"/>
      <c r="DG844" s="25"/>
    </row>
    <row r="845">
      <c r="CM845" s="25"/>
      <c r="CN845" s="25"/>
      <c r="CY845" s="25"/>
      <c r="CZ845" s="25"/>
      <c r="DG845" s="25"/>
    </row>
    <row r="846">
      <c r="CM846" s="25"/>
      <c r="CN846" s="25"/>
      <c r="CY846" s="25"/>
      <c r="CZ846" s="25"/>
      <c r="DG846" s="25"/>
    </row>
    <row r="847">
      <c r="CM847" s="25"/>
      <c r="CN847" s="25"/>
      <c r="CY847" s="25"/>
      <c r="CZ847" s="25"/>
      <c r="DG847" s="25"/>
    </row>
    <row r="848">
      <c r="CM848" s="25"/>
      <c r="CN848" s="25"/>
      <c r="CY848" s="25"/>
      <c r="CZ848" s="25"/>
      <c r="DG848" s="25"/>
    </row>
    <row r="849">
      <c r="CM849" s="25"/>
      <c r="CN849" s="25"/>
      <c r="CY849" s="25"/>
      <c r="CZ849" s="25"/>
      <c r="DG849" s="25"/>
    </row>
    <row r="850">
      <c r="CM850" s="25"/>
      <c r="CN850" s="25"/>
      <c r="CY850" s="25"/>
      <c r="CZ850" s="25"/>
      <c r="DG850" s="25"/>
    </row>
    <row r="851">
      <c r="CM851" s="25"/>
      <c r="CN851" s="25"/>
      <c r="CY851" s="25"/>
      <c r="CZ851" s="25"/>
      <c r="DG851" s="25"/>
    </row>
    <row r="852">
      <c r="CM852" s="25"/>
      <c r="CN852" s="25"/>
      <c r="CY852" s="25"/>
      <c r="CZ852" s="25"/>
      <c r="DG852" s="25"/>
    </row>
    <row r="853">
      <c r="CM853" s="25"/>
      <c r="CN853" s="25"/>
      <c r="CY853" s="25"/>
      <c r="CZ853" s="25"/>
      <c r="DG853" s="25"/>
    </row>
    <row r="854">
      <c r="CM854" s="25"/>
      <c r="CN854" s="25"/>
      <c r="CY854" s="25"/>
      <c r="CZ854" s="25"/>
      <c r="DG854" s="25"/>
    </row>
    <row r="855">
      <c r="CM855" s="25"/>
      <c r="CN855" s="25"/>
      <c r="CY855" s="25"/>
      <c r="CZ855" s="25"/>
      <c r="DG855" s="25"/>
    </row>
    <row r="856">
      <c r="CM856" s="25"/>
      <c r="CN856" s="25"/>
      <c r="CY856" s="25"/>
      <c r="CZ856" s="25"/>
      <c r="DG856" s="25"/>
    </row>
    <row r="857">
      <c r="CM857" s="25"/>
      <c r="CN857" s="25"/>
      <c r="CY857" s="25"/>
      <c r="CZ857" s="25"/>
      <c r="DG857" s="25"/>
    </row>
    <row r="858">
      <c r="CM858" s="25"/>
      <c r="CN858" s="25"/>
      <c r="CY858" s="25"/>
      <c r="CZ858" s="25"/>
      <c r="DG858" s="25"/>
    </row>
    <row r="859">
      <c r="CM859" s="25"/>
      <c r="CN859" s="25"/>
      <c r="CY859" s="25"/>
      <c r="CZ859" s="25"/>
      <c r="DG859" s="25"/>
    </row>
    <row r="860">
      <c r="CM860" s="25"/>
      <c r="CN860" s="25"/>
      <c r="CY860" s="25"/>
      <c r="CZ860" s="25"/>
      <c r="DG860" s="25"/>
    </row>
    <row r="861">
      <c r="CM861" s="25"/>
      <c r="CN861" s="25"/>
      <c r="CY861" s="25"/>
      <c r="CZ861" s="25"/>
      <c r="DG861" s="25"/>
    </row>
    <row r="862">
      <c r="CM862" s="25"/>
      <c r="CN862" s="25"/>
      <c r="CY862" s="25"/>
      <c r="CZ862" s="25"/>
      <c r="DG862" s="25"/>
    </row>
    <row r="863">
      <c r="CM863" s="25"/>
      <c r="CN863" s="25"/>
      <c r="CY863" s="25"/>
      <c r="CZ863" s="25"/>
      <c r="DG863" s="25"/>
    </row>
    <row r="864">
      <c r="CM864" s="25"/>
      <c r="CN864" s="25"/>
      <c r="CY864" s="25"/>
      <c r="CZ864" s="25"/>
      <c r="DG864" s="25"/>
    </row>
    <row r="865">
      <c r="CM865" s="25"/>
      <c r="CN865" s="25"/>
      <c r="CY865" s="25"/>
      <c r="CZ865" s="25"/>
      <c r="DG865" s="25"/>
    </row>
    <row r="866">
      <c r="CM866" s="25"/>
      <c r="CN866" s="25"/>
      <c r="CY866" s="25"/>
      <c r="CZ866" s="25"/>
      <c r="DG866" s="25"/>
    </row>
    <row r="867">
      <c r="CM867" s="25"/>
      <c r="CN867" s="25"/>
      <c r="CY867" s="25"/>
      <c r="CZ867" s="25"/>
      <c r="DG867" s="25"/>
    </row>
    <row r="868">
      <c r="CM868" s="25"/>
      <c r="CN868" s="25"/>
      <c r="CY868" s="25"/>
      <c r="CZ868" s="25"/>
      <c r="DG868" s="25"/>
    </row>
    <row r="869">
      <c r="CM869" s="25"/>
      <c r="CN869" s="25"/>
      <c r="CY869" s="25"/>
      <c r="CZ869" s="25"/>
      <c r="DG869" s="25"/>
    </row>
    <row r="870">
      <c r="CM870" s="25"/>
      <c r="CN870" s="25"/>
      <c r="CY870" s="25"/>
      <c r="CZ870" s="25"/>
      <c r="DG870" s="25"/>
    </row>
    <row r="871">
      <c r="CM871" s="25"/>
      <c r="CN871" s="25"/>
      <c r="CY871" s="25"/>
      <c r="CZ871" s="25"/>
      <c r="DG871" s="25"/>
    </row>
    <row r="872">
      <c r="CM872" s="25"/>
      <c r="CN872" s="25"/>
      <c r="CY872" s="25"/>
      <c r="CZ872" s="25"/>
      <c r="DG872" s="25"/>
    </row>
    <row r="873">
      <c r="CM873" s="25"/>
      <c r="CN873" s="25"/>
      <c r="CY873" s="25"/>
      <c r="CZ873" s="25"/>
      <c r="DG873" s="25"/>
    </row>
    <row r="874">
      <c r="CM874" s="25"/>
      <c r="CN874" s="25"/>
      <c r="CY874" s="25"/>
      <c r="CZ874" s="25"/>
      <c r="DG874" s="25"/>
    </row>
    <row r="875">
      <c r="CM875" s="25"/>
      <c r="CN875" s="25"/>
      <c r="CY875" s="25"/>
      <c r="CZ875" s="25"/>
      <c r="DG875" s="25"/>
    </row>
    <row r="876">
      <c r="CM876" s="25"/>
      <c r="CN876" s="25"/>
      <c r="CY876" s="25"/>
      <c r="CZ876" s="25"/>
      <c r="DG876" s="25"/>
    </row>
    <row r="877">
      <c r="CM877" s="25"/>
      <c r="CN877" s="25"/>
      <c r="CY877" s="25"/>
      <c r="CZ877" s="25"/>
      <c r="DG877" s="25"/>
    </row>
    <row r="878">
      <c r="CM878" s="25"/>
      <c r="CN878" s="25"/>
      <c r="CY878" s="25"/>
      <c r="CZ878" s="25"/>
      <c r="DG878" s="25"/>
    </row>
    <row r="879">
      <c r="CM879" s="25"/>
      <c r="CN879" s="25"/>
      <c r="CY879" s="25"/>
      <c r="CZ879" s="25"/>
      <c r="DG879" s="25"/>
    </row>
    <row r="880">
      <c r="CM880" s="25"/>
      <c r="CN880" s="25"/>
      <c r="CY880" s="25"/>
      <c r="CZ880" s="25"/>
      <c r="DG880" s="25"/>
    </row>
    <row r="881">
      <c r="CM881" s="25"/>
      <c r="CN881" s="25"/>
      <c r="CY881" s="25"/>
      <c r="CZ881" s="25"/>
      <c r="DG881" s="25"/>
    </row>
    <row r="882">
      <c r="CM882" s="25"/>
      <c r="CN882" s="25"/>
      <c r="CY882" s="25"/>
      <c r="CZ882" s="25"/>
      <c r="DG882" s="25"/>
    </row>
    <row r="883">
      <c r="CM883" s="25"/>
      <c r="CN883" s="25"/>
      <c r="CY883" s="25"/>
      <c r="CZ883" s="25"/>
      <c r="DG883" s="25"/>
    </row>
    <row r="884">
      <c r="CM884" s="25"/>
      <c r="CN884" s="25"/>
      <c r="CY884" s="25"/>
      <c r="CZ884" s="25"/>
      <c r="DG884" s="25"/>
    </row>
    <row r="885">
      <c r="CM885" s="25"/>
      <c r="CN885" s="25"/>
      <c r="CY885" s="25"/>
      <c r="CZ885" s="25"/>
      <c r="DG885" s="25"/>
    </row>
    <row r="886">
      <c r="CM886" s="25"/>
      <c r="CN886" s="25"/>
      <c r="CY886" s="25"/>
      <c r="CZ886" s="25"/>
      <c r="DG886" s="25"/>
    </row>
    <row r="887">
      <c r="CM887" s="25"/>
      <c r="CN887" s="25"/>
      <c r="CY887" s="25"/>
      <c r="CZ887" s="25"/>
      <c r="DG887" s="25"/>
    </row>
    <row r="888">
      <c r="CM888" s="25"/>
      <c r="CN888" s="25"/>
      <c r="CY888" s="25"/>
      <c r="CZ888" s="25"/>
      <c r="DG888" s="25"/>
    </row>
    <row r="889">
      <c r="CM889" s="25"/>
      <c r="CN889" s="25"/>
      <c r="CY889" s="25"/>
      <c r="CZ889" s="25"/>
      <c r="DG889" s="25"/>
    </row>
    <row r="890">
      <c r="CM890" s="25"/>
      <c r="CN890" s="25"/>
      <c r="CY890" s="25"/>
      <c r="CZ890" s="25"/>
      <c r="DG890" s="25"/>
    </row>
    <row r="891">
      <c r="CM891" s="25"/>
      <c r="CN891" s="25"/>
      <c r="CY891" s="25"/>
      <c r="CZ891" s="25"/>
      <c r="DG891" s="25"/>
    </row>
    <row r="892">
      <c r="CM892" s="25"/>
      <c r="CN892" s="25"/>
      <c r="CY892" s="25"/>
      <c r="CZ892" s="25"/>
      <c r="DG892" s="25"/>
    </row>
    <row r="893">
      <c r="CM893" s="25"/>
      <c r="CN893" s="25"/>
      <c r="CY893" s="25"/>
      <c r="CZ893" s="25"/>
      <c r="DG893" s="25"/>
    </row>
    <row r="894">
      <c r="CM894" s="25"/>
      <c r="CN894" s="25"/>
      <c r="CY894" s="25"/>
      <c r="CZ894" s="25"/>
      <c r="DG894" s="25"/>
    </row>
    <row r="895">
      <c r="CM895" s="25"/>
      <c r="CN895" s="25"/>
      <c r="CY895" s="25"/>
      <c r="CZ895" s="25"/>
      <c r="DG895" s="25"/>
    </row>
    <row r="896">
      <c r="CM896" s="25"/>
      <c r="CN896" s="25"/>
      <c r="CY896" s="25"/>
      <c r="CZ896" s="25"/>
      <c r="DG896" s="25"/>
    </row>
    <row r="897">
      <c r="CM897" s="25"/>
      <c r="CN897" s="25"/>
      <c r="CY897" s="25"/>
      <c r="CZ897" s="25"/>
      <c r="DG897" s="25"/>
    </row>
    <row r="898">
      <c r="CM898" s="25"/>
      <c r="CN898" s="25"/>
      <c r="CY898" s="25"/>
      <c r="CZ898" s="25"/>
      <c r="DG898" s="25"/>
    </row>
    <row r="899">
      <c r="CM899" s="25"/>
      <c r="CN899" s="25"/>
      <c r="CY899" s="25"/>
      <c r="CZ899" s="25"/>
      <c r="DG899" s="25"/>
    </row>
    <row r="900">
      <c r="CM900" s="25"/>
      <c r="CN900" s="25"/>
      <c r="CY900" s="25"/>
      <c r="CZ900" s="25"/>
      <c r="DG900" s="25"/>
    </row>
    <row r="901">
      <c r="CM901" s="25"/>
      <c r="CN901" s="25"/>
      <c r="CY901" s="25"/>
      <c r="CZ901" s="25"/>
      <c r="DG901" s="25"/>
    </row>
    <row r="902">
      <c r="CM902" s="25"/>
      <c r="CN902" s="25"/>
      <c r="CY902" s="25"/>
      <c r="CZ902" s="25"/>
      <c r="DG902" s="25"/>
    </row>
    <row r="903">
      <c r="CM903" s="25"/>
      <c r="CN903" s="25"/>
      <c r="CY903" s="25"/>
      <c r="CZ903" s="25"/>
      <c r="DG903" s="25"/>
    </row>
    <row r="904">
      <c r="CM904" s="25"/>
      <c r="CN904" s="25"/>
      <c r="CY904" s="25"/>
      <c r="CZ904" s="25"/>
      <c r="DG904" s="25"/>
    </row>
    <row r="905">
      <c r="CM905" s="25"/>
      <c r="CN905" s="25"/>
      <c r="CY905" s="25"/>
      <c r="CZ905" s="25"/>
      <c r="DG905" s="25"/>
    </row>
    <row r="906">
      <c r="CM906" s="25"/>
      <c r="CN906" s="25"/>
      <c r="CY906" s="25"/>
      <c r="CZ906" s="25"/>
      <c r="DG906" s="25"/>
    </row>
    <row r="907">
      <c r="CM907" s="25"/>
      <c r="CN907" s="25"/>
      <c r="CY907" s="25"/>
      <c r="CZ907" s="25"/>
      <c r="DG907" s="25"/>
    </row>
    <row r="908">
      <c r="CM908" s="25"/>
      <c r="CN908" s="25"/>
      <c r="CY908" s="25"/>
      <c r="CZ908" s="25"/>
      <c r="DG908" s="25"/>
    </row>
    <row r="909">
      <c r="CM909" s="25"/>
      <c r="CN909" s="25"/>
      <c r="CY909" s="25"/>
      <c r="CZ909" s="25"/>
      <c r="DG909" s="25"/>
    </row>
    <row r="910">
      <c r="CM910" s="25"/>
      <c r="CN910" s="25"/>
      <c r="CY910" s="25"/>
      <c r="CZ910" s="25"/>
      <c r="DG910" s="25"/>
    </row>
    <row r="911">
      <c r="CM911" s="25"/>
      <c r="CN911" s="25"/>
      <c r="CY911" s="25"/>
      <c r="CZ911" s="25"/>
      <c r="DG911" s="25"/>
    </row>
    <row r="912">
      <c r="CM912" s="25"/>
      <c r="CN912" s="25"/>
      <c r="CY912" s="25"/>
      <c r="CZ912" s="25"/>
      <c r="DG912" s="25"/>
    </row>
    <row r="913">
      <c r="CM913" s="25"/>
      <c r="CN913" s="25"/>
      <c r="CY913" s="25"/>
      <c r="CZ913" s="25"/>
      <c r="DG913" s="25"/>
    </row>
    <row r="914">
      <c r="CM914" s="25"/>
      <c r="CN914" s="25"/>
      <c r="CY914" s="25"/>
      <c r="CZ914" s="25"/>
      <c r="DG914" s="25"/>
    </row>
    <row r="915">
      <c r="CM915" s="25"/>
      <c r="CN915" s="25"/>
      <c r="CY915" s="25"/>
      <c r="CZ915" s="25"/>
      <c r="DG915" s="25"/>
    </row>
    <row r="916">
      <c r="CM916" s="25"/>
      <c r="CN916" s="25"/>
      <c r="CY916" s="25"/>
      <c r="CZ916" s="25"/>
      <c r="DG916" s="25"/>
    </row>
    <row r="917">
      <c r="CM917" s="25"/>
      <c r="CN917" s="25"/>
      <c r="CY917" s="25"/>
      <c r="CZ917" s="25"/>
      <c r="DG917" s="25"/>
    </row>
    <row r="918">
      <c r="CM918" s="25"/>
      <c r="CN918" s="25"/>
      <c r="CY918" s="25"/>
      <c r="CZ918" s="25"/>
      <c r="DG918" s="25"/>
    </row>
    <row r="919">
      <c r="CM919" s="25"/>
      <c r="CN919" s="25"/>
      <c r="CY919" s="25"/>
      <c r="CZ919" s="25"/>
      <c r="DG919" s="25"/>
    </row>
    <row r="920">
      <c r="CM920" s="25"/>
      <c r="CN920" s="25"/>
      <c r="CY920" s="25"/>
      <c r="CZ920" s="25"/>
      <c r="DG920" s="25"/>
    </row>
    <row r="921">
      <c r="CM921" s="25"/>
      <c r="CN921" s="25"/>
      <c r="CY921" s="25"/>
      <c r="CZ921" s="25"/>
      <c r="DG921" s="25"/>
    </row>
    <row r="922">
      <c r="CM922" s="25"/>
      <c r="CN922" s="25"/>
      <c r="CY922" s="25"/>
      <c r="CZ922" s="25"/>
      <c r="DG922" s="25"/>
    </row>
    <row r="923">
      <c r="CM923" s="25"/>
      <c r="CN923" s="25"/>
      <c r="CY923" s="25"/>
      <c r="CZ923" s="25"/>
      <c r="DG923" s="25"/>
    </row>
    <row r="924">
      <c r="CM924" s="25"/>
      <c r="CN924" s="25"/>
      <c r="CY924" s="25"/>
      <c r="CZ924" s="25"/>
      <c r="DG924" s="25"/>
    </row>
    <row r="925">
      <c r="CM925" s="25"/>
      <c r="CN925" s="25"/>
      <c r="CY925" s="25"/>
      <c r="CZ925" s="25"/>
      <c r="DG925" s="25"/>
    </row>
    <row r="926">
      <c r="CM926" s="25"/>
      <c r="CN926" s="25"/>
      <c r="CY926" s="25"/>
      <c r="CZ926" s="25"/>
      <c r="DG926" s="25"/>
    </row>
    <row r="927">
      <c r="CM927" s="25"/>
      <c r="CN927" s="25"/>
      <c r="CY927" s="25"/>
      <c r="CZ927" s="25"/>
      <c r="DG927" s="25"/>
    </row>
    <row r="928">
      <c r="CM928" s="25"/>
      <c r="CN928" s="25"/>
      <c r="CY928" s="25"/>
      <c r="CZ928" s="25"/>
      <c r="DG928" s="25"/>
    </row>
    <row r="929">
      <c r="CM929" s="25"/>
      <c r="CN929" s="25"/>
      <c r="CY929" s="25"/>
      <c r="CZ929" s="25"/>
      <c r="DG929" s="25"/>
    </row>
    <row r="930">
      <c r="CM930" s="25"/>
      <c r="CN930" s="25"/>
      <c r="CY930" s="25"/>
      <c r="CZ930" s="25"/>
      <c r="DG930" s="25"/>
    </row>
    <row r="931">
      <c r="CM931" s="25"/>
      <c r="CN931" s="25"/>
      <c r="CY931" s="25"/>
      <c r="CZ931" s="25"/>
      <c r="DG931" s="25"/>
    </row>
    <row r="932">
      <c r="CM932" s="25"/>
      <c r="CN932" s="25"/>
      <c r="CY932" s="25"/>
      <c r="CZ932" s="25"/>
      <c r="DG932" s="25"/>
    </row>
    <row r="933">
      <c r="CM933" s="25"/>
      <c r="CN933" s="25"/>
      <c r="CY933" s="25"/>
      <c r="CZ933" s="25"/>
      <c r="DG933" s="25"/>
    </row>
    <row r="934">
      <c r="CM934" s="25"/>
      <c r="CN934" s="25"/>
      <c r="CY934" s="25"/>
      <c r="CZ934" s="25"/>
      <c r="DG934" s="25"/>
    </row>
    <row r="935">
      <c r="CM935" s="25"/>
      <c r="CN935" s="25"/>
      <c r="CY935" s="25"/>
      <c r="CZ935" s="25"/>
      <c r="DG935" s="25"/>
    </row>
    <row r="936">
      <c r="CM936" s="25"/>
      <c r="CN936" s="25"/>
      <c r="CY936" s="25"/>
      <c r="CZ936" s="25"/>
      <c r="DG936" s="25"/>
    </row>
    <row r="937">
      <c r="CM937" s="25"/>
      <c r="CN937" s="25"/>
      <c r="CY937" s="25"/>
      <c r="CZ937" s="25"/>
      <c r="DG937" s="25"/>
    </row>
    <row r="938">
      <c r="CM938" s="25"/>
      <c r="CN938" s="25"/>
      <c r="CY938" s="25"/>
      <c r="CZ938" s="25"/>
      <c r="DG938" s="25"/>
    </row>
    <row r="939">
      <c r="CM939" s="25"/>
      <c r="CN939" s="25"/>
      <c r="CY939" s="25"/>
      <c r="CZ939" s="25"/>
      <c r="DG939" s="25"/>
    </row>
    <row r="940">
      <c r="CM940" s="25"/>
      <c r="CN940" s="25"/>
      <c r="CY940" s="25"/>
      <c r="CZ940" s="25"/>
      <c r="DG940" s="25"/>
    </row>
    <row r="941">
      <c r="CM941" s="25"/>
      <c r="CN941" s="25"/>
      <c r="CY941" s="25"/>
      <c r="CZ941" s="25"/>
      <c r="DG941" s="25"/>
    </row>
    <row r="942">
      <c r="CM942" s="25"/>
      <c r="CN942" s="25"/>
      <c r="CY942" s="25"/>
      <c r="CZ942" s="25"/>
      <c r="DG942" s="25"/>
    </row>
    <row r="943">
      <c r="CM943" s="25"/>
      <c r="CN943" s="25"/>
      <c r="CY943" s="25"/>
      <c r="CZ943" s="25"/>
      <c r="DG943" s="25"/>
    </row>
    <row r="944">
      <c r="CM944" s="25"/>
      <c r="CN944" s="25"/>
      <c r="CY944" s="25"/>
      <c r="CZ944" s="25"/>
      <c r="DG944" s="25"/>
    </row>
    <row r="945">
      <c r="CM945" s="25"/>
      <c r="CN945" s="25"/>
      <c r="CY945" s="25"/>
      <c r="CZ945" s="25"/>
      <c r="DG945" s="25"/>
    </row>
    <row r="946">
      <c r="CM946" s="25"/>
      <c r="CN946" s="25"/>
      <c r="CY946" s="25"/>
      <c r="CZ946" s="25"/>
      <c r="DG946" s="25"/>
    </row>
    <row r="947">
      <c r="CM947" s="25"/>
      <c r="CN947" s="25"/>
      <c r="CY947" s="25"/>
      <c r="CZ947" s="25"/>
      <c r="DG947" s="25"/>
    </row>
    <row r="948">
      <c r="CM948" s="25"/>
      <c r="CN948" s="25"/>
      <c r="CY948" s="25"/>
      <c r="CZ948" s="25"/>
      <c r="DG948" s="25"/>
    </row>
    <row r="949">
      <c r="CM949" s="25"/>
      <c r="CN949" s="25"/>
      <c r="CY949" s="25"/>
      <c r="CZ949" s="25"/>
      <c r="DG949" s="25"/>
    </row>
    <row r="950">
      <c r="CM950" s="25"/>
      <c r="CN950" s="25"/>
      <c r="CY950" s="25"/>
      <c r="CZ950" s="25"/>
      <c r="DG950" s="25"/>
    </row>
    <row r="951">
      <c r="CM951" s="25"/>
      <c r="CN951" s="25"/>
      <c r="CY951" s="25"/>
      <c r="CZ951" s="25"/>
      <c r="DG951" s="25"/>
    </row>
    <row r="952">
      <c r="CM952" s="25"/>
      <c r="CN952" s="25"/>
      <c r="CY952" s="25"/>
      <c r="CZ952" s="25"/>
      <c r="DG952" s="25"/>
    </row>
    <row r="953">
      <c r="CM953" s="25"/>
      <c r="CN953" s="25"/>
      <c r="CY953" s="25"/>
      <c r="CZ953" s="25"/>
      <c r="DG953" s="25"/>
    </row>
    <row r="954">
      <c r="CM954" s="25"/>
      <c r="CN954" s="25"/>
      <c r="CY954" s="25"/>
      <c r="CZ954" s="25"/>
      <c r="DG954" s="25"/>
    </row>
    <row r="955">
      <c r="CM955" s="25"/>
      <c r="CN955" s="25"/>
      <c r="CY955" s="25"/>
      <c r="CZ955" s="25"/>
      <c r="DG955" s="25"/>
    </row>
    <row r="956">
      <c r="CM956" s="25"/>
      <c r="CN956" s="25"/>
      <c r="CY956" s="25"/>
      <c r="CZ956" s="25"/>
      <c r="DG956" s="25"/>
    </row>
    <row r="957">
      <c r="CM957" s="25"/>
      <c r="CN957" s="25"/>
      <c r="CY957" s="25"/>
      <c r="CZ957" s="25"/>
      <c r="DG957" s="25"/>
    </row>
    <row r="958">
      <c r="CM958" s="25"/>
      <c r="CN958" s="25"/>
      <c r="CY958" s="25"/>
      <c r="CZ958" s="25"/>
      <c r="DG958" s="25"/>
    </row>
    <row r="959">
      <c r="CM959" s="25"/>
      <c r="CN959" s="25"/>
      <c r="CY959" s="25"/>
      <c r="CZ959" s="25"/>
      <c r="DG959" s="25"/>
    </row>
    <row r="960">
      <c r="CM960" s="25"/>
      <c r="CN960" s="25"/>
      <c r="CY960" s="25"/>
      <c r="CZ960" s="25"/>
      <c r="DG960" s="25"/>
    </row>
    <row r="961">
      <c r="CM961" s="25"/>
      <c r="CN961" s="25"/>
      <c r="CY961" s="25"/>
      <c r="CZ961" s="25"/>
      <c r="DG961" s="25"/>
    </row>
    <row r="962">
      <c r="CM962" s="25"/>
      <c r="CN962" s="25"/>
      <c r="CY962" s="25"/>
      <c r="CZ962" s="25"/>
      <c r="DG962" s="25"/>
    </row>
    <row r="963">
      <c r="CM963" s="25"/>
      <c r="CN963" s="25"/>
      <c r="CY963" s="25"/>
      <c r="CZ963" s="25"/>
      <c r="DG963" s="25"/>
    </row>
    <row r="964">
      <c r="CM964" s="25"/>
      <c r="CN964" s="25"/>
      <c r="CY964" s="25"/>
      <c r="CZ964" s="25"/>
      <c r="DG964" s="25"/>
    </row>
    <row r="965">
      <c r="CM965" s="25"/>
      <c r="CN965" s="25"/>
      <c r="CY965" s="25"/>
      <c r="CZ965" s="25"/>
      <c r="DG965" s="25"/>
    </row>
    <row r="966">
      <c r="CM966" s="25"/>
      <c r="CN966" s="25"/>
      <c r="CY966" s="25"/>
      <c r="CZ966" s="25"/>
      <c r="DG966" s="25"/>
    </row>
    <row r="967">
      <c r="CM967" s="25"/>
      <c r="CN967" s="25"/>
      <c r="CY967" s="25"/>
      <c r="CZ967" s="25"/>
      <c r="DG967" s="25"/>
    </row>
    <row r="968">
      <c r="CM968" s="25"/>
      <c r="CN968" s="25"/>
      <c r="CY968" s="25"/>
      <c r="CZ968" s="25"/>
      <c r="DG968" s="25"/>
    </row>
    <row r="969">
      <c r="CM969" s="25"/>
      <c r="CN969" s="25"/>
      <c r="CY969" s="25"/>
      <c r="CZ969" s="25"/>
      <c r="DG969" s="25"/>
    </row>
    <row r="970">
      <c r="CM970" s="25"/>
      <c r="CN970" s="25"/>
      <c r="CY970" s="25"/>
      <c r="CZ970" s="25"/>
      <c r="DG970" s="25"/>
    </row>
    <row r="971">
      <c r="CM971" s="25"/>
      <c r="CN971" s="25"/>
      <c r="CY971" s="25"/>
      <c r="CZ971" s="25"/>
      <c r="DG971" s="25"/>
    </row>
    <row r="972">
      <c r="CM972" s="25"/>
      <c r="CN972" s="25"/>
      <c r="CY972" s="25"/>
      <c r="CZ972" s="25"/>
      <c r="DG972" s="25"/>
    </row>
    <row r="973">
      <c r="CM973" s="25"/>
      <c r="CN973" s="25"/>
      <c r="CY973" s="25"/>
      <c r="CZ973" s="25"/>
      <c r="DG973" s="25"/>
    </row>
    <row r="974">
      <c r="CM974" s="25"/>
      <c r="CN974" s="25"/>
      <c r="CY974" s="25"/>
      <c r="CZ974" s="25"/>
      <c r="DG974" s="25"/>
    </row>
    <row r="975">
      <c r="CM975" s="25"/>
      <c r="CN975" s="25"/>
      <c r="CY975" s="25"/>
      <c r="CZ975" s="25"/>
      <c r="DG975" s="25"/>
    </row>
    <row r="976">
      <c r="CM976" s="25"/>
      <c r="CN976" s="25"/>
      <c r="CY976" s="25"/>
      <c r="CZ976" s="25"/>
      <c r="DG976" s="25"/>
    </row>
    <row r="977">
      <c r="CM977" s="25"/>
      <c r="CN977" s="25"/>
      <c r="CY977" s="25"/>
      <c r="CZ977" s="25"/>
      <c r="DG977" s="25"/>
    </row>
    <row r="978">
      <c r="CM978" s="25"/>
      <c r="CN978" s="25"/>
      <c r="CY978" s="25"/>
      <c r="CZ978" s="25"/>
      <c r="DG978" s="25"/>
    </row>
    <row r="979">
      <c r="CM979" s="25"/>
      <c r="CN979" s="25"/>
      <c r="CY979" s="25"/>
      <c r="CZ979" s="25"/>
      <c r="DG979" s="25"/>
    </row>
    <row r="980">
      <c r="CM980" s="25"/>
      <c r="CN980" s="25"/>
      <c r="CY980" s="25"/>
      <c r="CZ980" s="25"/>
      <c r="DG980" s="25"/>
    </row>
    <row r="981">
      <c r="CM981" s="25"/>
      <c r="CN981" s="25"/>
      <c r="CY981" s="25"/>
      <c r="CZ981" s="25"/>
      <c r="DG981" s="25"/>
    </row>
    <row r="982">
      <c r="CM982" s="25"/>
      <c r="CN982" s="25"/>
      <c r="CY982" s="25"/>
      <c r="CZ982" s="25"/>
      <c r="DG982" s="25"/>
    </row>
    <row r="983">
      <c r="CM983" s="25"/>
      <c r="CN983" s="25"/>
      <c r="CY983" s="25"/>
      <c r="CZ983" s="25"/>
      <c r="DG983" s="25"/>
    </row>
    <row r="984">
      <c r="CM984" s="25"/>
      <c r="CN984" s="25"/>
      <c r="CY984" s="25"/>
      <c r="CZ984" s="25"/>
      <c r="DG984" s="25"/>
    </row>
    <row r="985">
      <c r="CM985" s="25"/>
      <c r="CN985" s="25"/>
      <c r="CY985" s="25"/>
      <c r="CZ985" s="25"/>
      <c r="DG985" s="25"/>
    </row>
    <row r="986">
      <c r="CM986" s="25"/>
      <c r="CN986" s="25"/>
      <c r="CY986" s="25"/>
      <c r="CZ986" s="25"/>
      <c r="DG986" s="25"/>
    </row>
    <row r="987">
      <c r="CM987" s="25"/>
      <c r="CN987" s="25"/>
      <c r="CY987" s="25"/>
      <c r="CZ987" s="25"/>
      <c r="DG987" s="25"/>
    </row>
    <row r="988">
      <c r="CM988" s="25"/>
      <c r="CN988" s="25"/>
      <c r="CY988" s="25"/>
      <c r="CZ988" s="25"/>
      <c r="DG988" s="25"/>
    </row>
    <row r="989">
      <c r="CM989" s="25"/>
      <c r="CN989" s="25"/>
      <c r="CY989" s="25"/>
      <c r="CZ989" s="25"/>
      <c r="DG989" s="25"/>
    </row>
    <row r="990">
      <c r="CM990" s="25"/>
      <c r="CN990" s="25"/>
      <c r="CY990" s="25"/>
      <c r="CZ990" s="25"/>
      <c r="DG990" s="25"/>
    </row>
    <row r="991">
      <c r="CM991" s="25"/>
      <c r="CN991" s="25"/>
      <c r="CY991" s="25"/>
      <c r="CZ991" s="25"/>
      <c r="DG991" s="25"/>
    </row>
    <row r="992">
      <c r="CM992" s="25"/>
      <c r="CN992" s="25"/>
      <c r="CY992" s="25"/>
      <c r="CZ992" s="25"/>
      <c r="DG992" s="25"/>
    </row>
    <row r="993">
      <c r="CM993" s="25"/>
      <c r="CN993" s="25"/>
      <c r="CY993" s="25"/>
      <c r="CZ993" s="25"/>
      <c r="DG993" s="25"/>
    </row>
    <row r="994">
      <c r="CM994" s="25"/>
      <c r="CN994" s="25"/>
      <c r="CY994" s="25"/>
      <c r="CZ994" s="25"/>
      <c r="DG994" s="25"/>
    </row>
    <row r="995">
      <c r="CM995" s="25"/>
      <c r="CN995" s="25"/>
      <c r="CY995" s="25"/>
      <c r="CZ995" s="25"/>
      <c r="DG995" s="25"/>
    </row>
    <row r="996">
      <c r="CM996" s="25"/>
      <c r="CN996" s="25"/>
      <c r="CY996" s="25"/>
      <c r="CZ996" s="25"/>
      <c r="DG996" s="25"/>
    </row>
    <row r="997">
      <c r="CM997" s="25"/>
      <c r="CN997" s="25"/>
      <c r="CY997" s="25"/>
      <c r="CZ997" s="25"/>
      <c r="DG997" s="25"/>
    </row>
    <row r="998">
      <c r="CM998" s="25"/>
      <c r="CN998" s="25"/>
      <c r="CY998" s="25"/>
      <c r="CZ998" s="25"/>
      <c r="DG998" s="25"/>
    </row>
    <row r="999">
      <c r="CM999" s="25"/>
      <c r="CN999" s="25"/>
      <c r="CY999" s="25"/>
      <c r="CZ999" s="25"/>
      <c r="DG999" s="25"/>
    </row>
    <row r="1000">
      <c r="CM1000" s="25"/>
      <c r="CN1000" s="25"/>
      <c r="CY1000" s="25"/>
      <c r="CZ1000" s="25"/>
      <c r="DG1000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8.0"/>
    <col customWidth="1" min="3" max="3" width="18.75"/>
    <col customWidth="1" min="4" max="4" width="9.25"/>
    <col customWidth="1" min="5" max="5" width="13.38"/>
    <col customWidth="1" min="6" max="6" width="36.5"/>
    <col customWidth="1" min="7" max="7" width="12.5"/>
    <col customWidth="1" min="8" max="8" width="30.88"/>
    <col customWidth="1" min="9" max="9" width="23.88"/>
    <col customWidth="1" min="10" max="10" width="35.63"/>
    <col customWidth="1" min="11" max="26" width="23.88"/>
  </cols>
  <sheetData>
    <row r="1">
      <c r="A1" s="1" t="s">
        <v>0</v>
      </c>
      <c r="B1" s="1" t="s">
        <v>1</v>
      </c>
      <c r="C1" s="1" t="s">
        <v>2</v>
      </c>
      <c r="D1" s="26" t="s">
        <v>5</v>
      </c>
      <c r="E1" s="23" t="s">
        <v>485</v>
      </c>
      <c r="F1" s="23" t="s">
        <v>486</v>
      </c>
      <c r="G1" s="6" t="s">
        <v>13</v>
      </c>
      <c r="H1" s="23" t="s">
        <v>487</v>
      </c>
      <c r="I1" s="6" t="s">
        <v>13</v>
      </c>
      <c r="J1" s="23" t="s">
        <v>488</v>
      </c>
      <c r="K1" s="6" t="s">
        <v>13</v>
      </c>
    </row>
    <row r="2">
      <c r="A2" s="7">
        <v>1334.0</v>
      </c>
      <c r="B2" s="8" t="s">
        <v>50</v>
      </c>
      <c r="C2" s="27" t="s">
        <v>489</v>
      </c>
      <c r="D2" s="21" t="s">
        <v>490</v>
      </c>
      <c r="E2" s="24" t="s">
        <v>491</v>
      </c>
      <c r="F2" s="27" t="s">
        <v>492</v>
      </c>
      <c r="G2" s="28" t="b">
        <v>1</v>
      </c>
      <c r="J2" s="29"/>
      <c r="K2" s="29"/>
    </row>
    <row r="3">
      <c r="A3" s="7">
        <v>1334.0</v>
      </c>
      <c r="B3" s="8" t="s">
        <v>50</v>
      </c>
      <c r="C3" s="27" t="s">
        <v>493</v>
      </c>
      <c r="D3" s="21" t="s">
        <v>494</v>
      </c>
      <c r="E3" s="24" t="s">
        <v>495</v>
      </c>
      <c r="F3" s="27" t="s">
        <v>496</v>
      </c>
      <c r="G3" s="28" t="b">
        <v>1</v>
      </c>
      <c r="J3" s="29"/>
      <c r="K3" s="29"/>
    </row>
    <row r="4">
      <c r="A4" s="7">
        <v>1334.0</v>
      </c>
      <c r="B4" s="8" t="s">
        <v>50</v>
      </c>
      <c r="C4" s="27" t="s">
        <v>497</v>
      </c>
      <c r="D4" s="21" t="s">
        <v>498</v>
      </c>
      <c r="E4" s="24" t="s">
        <v>499</v>
      </c>
      <c r="F4" s="27" t="s">
        <v>500</v>
      </c>
      <c r="G4" s="28" t="b">
        <v>1</v>
      </c>
      <c r="J4" s="29"/>
      <c r="K4" s="29"/>
    </row>
    <row r="5">
      <c r="A5" s="7">
        <v>1334.0</v>
      </c>
      <c r="B5" s="8" t="s">
        <v>50</v>
      </c>
      <c r="C5" s="27" t="s">
        <v>501</v>
      </c>
      <c r="D5" s="21" t="s">
        <v>502</v>
      </c>
      <c r="E5" s="24" t="s">
        <v>503</v>
      </c>
      <c r="F5" s="27" t="s">
        <v>504</v>
      </c>
      <c r="G5" s="28" t="b">
        <v>1</v>
      </c>
      <c r="J5" s="29"/>
      <c r="K5" s="29"/>
    </row>
    <row r="6">
      <c r="A6" s="7">
        <v>1334.0</v>
      </c>
      <c r="B6" s="8" t="s">
        <v>50</v>
      </c>
      <c r="C6" s="27" t="s">
        <v>505</v>
      </c>
      <c r="D6" s="21" t="s">
        <v>332</v>
      </c>
      <c r="E6" s="24" t="s">
        <v>506</v>
      </c>
      <c r="F6" s="27" t="s">
        <v>507</v>
      </c>
      <c r="G6" s="28" t="b">
        <v>1</v>
      </c>
      <c r="J6" s="29"/>
      <c r="K6" s="29"/>
    </row>
    <row r="7">
      <c r="A7" s="7">
        <v>1334.0</v>
      </c>
      <c r="B7" s="8" t="s">
        <v>50</v>
      </c>
      <c r="C7" s="27" t="s">
        <v>508</v>
      </c>
      <c r="D7" s="21" t="s">
        <v>509</v>
      </c>
      <c r="E7" s="24" t="s">
        <v>510</v>
      </c>
      <c r="F7" s="27" t="s">
        <v>511</v>
      </c>
      <c r="G7" s="28" t="b">
        <v>1</v>
      </c>
      <c r="H7" s="27" t="s">
        <v>512</v>
      </c>
      <c r="I7" s="28" t="b">
        <v>1</v>
      </c>
      <c r="J7" s="27" t="s">
        <v>513</v>
      </c>
      <c r="K7" s="28" t="b">
        <v>1</v>
      </c>
    </row>
    <row r="8">
      <c r="A8" s="7">
        <v>1334.0</v>
      </c>
      <c r="B8" s="8" t="s">
        <v>50</v>
      </c>
      <c r="C8" s="27" t="s">
        <v>514</v>
      </c>
      <c r="D8" s="21" t="s">
        <v>515</v>
      </c>
      <c r="E8" s="24" t="s">
        <v>516</v>
      </c>
      <c r="F8" s="27" t="s">
        <v>517</v>
      </c>
      <c r="G8" s="28" t="b">
        <v>1</v>
      </c>
      <c r="H8" s="27" t="s">
        <v>518</v>
      </c>
      <c r="I8" s="28" t="b">
        <v>1</v>
      </c>
      <c r="J8" s="27" t="s">
        <v>519</v>
      </c>
      <c r="K8" s="28" t="b">
        <v>1</v>
      </c>
    </row>
    <row r="9">
      <c r="A9" s="7">
        <v>1334.0</v>
      </c>
      <c r="B9" s="8" t="s">
        <v>50</v>
      </c>
      <c r="C9" s="27" t="s">
        <v>520</v>
      </c>
      <c r="D9" s="21" t="s">
        <v>111</v>
      </c>
      <c r="E9" s="24" t="s">
        <v>521</v>
      </c>
      <c r="F9" s="27" t="s">
        <v>522</v>
      </c>
      <c r="G9" s="28" t="b">
        <v>1</v>
      </c>
      <c r="H9" s="27" t="s">
        <v>523</v>
      </c>
      <c r="I9" s="28" t="b">
        <v>1</v>
      </c>
      <c r="J9" s="27" t="s">
        <v>524</v>
      </c>
      <c r="K9" s="28" t="b">
        <v>1</v>
      </c>
    </row>
    <row r="10">
      <c r="A10" s="7">
        <v>1334.0</v>
      </c>
      <c r="B10" s="8" t="s">
        <v>50</v>
      </c>
      <c r="C10" s="27" t="s">
        <v>525</v>
      </c>
      <c r="D10" s="21" t="s">
        <v>526</v>
      </c>
      <c r="E10" s="24" t="s">
        <v>527</v>
      </c>
      <c r="F10" s="27" t="s">
        <v>528</v>
      </c>
      <c r="G10" s="28" t="b">
        <v>1</v>
      </c>
      <c r="H10" s="27" t="s">
        <v>529</v>
      </c>
      <c r="I10" s="28" t="b">
        <v>1</v>
      </c>
      <c r="J10" s="27" t="s">
        <v>530</v>
      </c>
      <c r="K10" s="28" t="b">
        <v>1</v>
      </c>
    </row>
    <row r="11">
      <c r="D11" s="25"/>
      <c r="E11" s="9"/>
      <c r="F11" s="25"/>
      <c r="G11" s="25"/>
      <c r="J11" s="29"/>
      <c r="K11" s="29"/>
    </row>
    <row r="12">
      <c r="D12" s="25"/>
      <c r="E12" s="9"/>
      <c r="F12" s="25"/>
      <c r="G12" s="25"/>
      <c r="J12" s="25"/>
      <c r="K12" s="25"/>
    </row>
    <row r="13">
      <c r="D13" s="25"/>
      <c r="E13" s="9"/>
      <c r="F13" s="25"/>
      <c r="G13" s="25"/>
      <c r="J13" s="25"/>
      <c r="K13" s="25"/>
    </row>
    <row r="14">
      <c r="D14" s="25"/>
      <c r="E14" s="9"/>
      <c r="F14" s="25"/>
      <c r="G14" s="25"/>
      <c r="J14" s="25"/>
      <c r="K14" s="25"/>
    </row>
    <row r="15">
      <c r="D15" s="25"/>
      <c r="E15" s="9"/>
      <c r="F15" s="25"/>
      <c r="G15" s="25"/>
      <c r="J15" s="25"/>
      <c r="K15" s="25"/>
    </row>
    <row r="16">
      <c r="D16" s="25"/>
      <c r="E16" s="9"/>
      <c r="F16" s="25"/>
      <c r="G16" s="25"/>
      <c r="J16" s="25"/>
      <c r="K16" s="25"/>
    </row>
    <row r="17">
      <c r="D17" s="25"/>
      <c r="E17" s="9"/>
      <c r="F17" s="25"/>
      <c r="G17" s="25"/>
      <c r="J17" s="25"/>
      <c r="K17" s="25"/>
    </row>
    <row r="18">
      <c r="D18" s="25"/>
      <c r="E18" s="9"/>
      <c r="F18" s="25"/>
      <c r="G18" s="25"/>
      <c r="J18" s="25"/>
      <c r="K18" s="25"/>
    </row>
    <row r="19">
      <c r="D19" s="25"/>
      <c r="E19" s="9"/>
      <c r="F19" s="25"/>
      <c r="G19" s="25"/>
      <c r="J19" s="25"/>
      <c r="K19" s="25"/>
    </row>
    <row r="20">
      <c r="D20" s="25"/>
      <c r="E20" s="9"/>
      <c r="F20" s="25"/>
      <c r="G20" s="25"/>
      <c r="J20" s="25"/>
      <c r="K20" s="25"/>
    </row>
    <row r="21">
      <c r="D21" s="25"/>
      <c r="E21" s="9"/>
      <c r="F21" s="25"/>
      <c r="G21" s="25"/>
      <c r="J21" s="25"/>
      <c r="K21" s="25"/>
    </row>
    <row r="22">
      <c r="D22" s="25"/>
      <c r="E22" s="9"/>
      <c r="F22" s="25"/>
      <c r="G22" s="25"/>
      <c r="J22" s="25"/>
      <c r="K22" s="25"/>
    </row>
    <row r="23">
      <c r="D23" s="25"/>
      <c r="E23" s="9"/>
      <c r="F23" s="25"/>
      <c r="G23" s="25"/>
      <c r="J23" s="25"/>
      <c r="K23" s="25"/>
    </row>
    <row r="24">
      <c r="D24" s="25"/>
      <c r="E24" s="9"/>
      <c r="F24" s="25"/>
      <c r="G24" s="25"/>
      <c r="J24" s="25"/>
      <c r="K24" s="25"/>
    </row>
    <row r="25">
      <c r="D25" s="25"/>
      <c r="E25" s="9"/>
      <c r="F25" s="25"/>
      <c r="G25" s="25"/>
      <c r="J25" s="25"/>
      <c r="K25" s="25"/>
    </row>
    <row r="26">
      <c r="D26" s="25"/>
      <c r="E26" s="9"/>
      <c r="F26" s="25"/>
      <c r="G26" s="25"/>
      <c r="J26" s="25"/>
      <c r="K26" s="25"/>
    </row>
    <row r="27">
      <c r="D27" s="25"/>
      <c r="E27" s="9"/>
      <c r="F27" s="25"/>
      <c r="G27" s="25"/>
      <c r="J27" s="25"/>
      <c r="K27" s="25"/>
    </row>
    <row r="28">
      <c r="D28" s="25"/>
      <c r="E28" s="9"/>
      <c r="F28" s="25"/>
      <c r="G28" s="25"/>
      <c r="J28" s="25"/>
      <c r="K28" s="25"/>
    </row>
    <row r="29">
      <c r="D29" s="25"/>
      <c r="E29" s="9"/>
      <c r="F29" s="25"/>
      <c r="G29" s="25"/>
      <c r="J29" s="25"/>
      <c r="K29" s="25"/>
    </row>
    <row r="30">
      <c r="D30" s="25"/>
      <c r="E30" s="9"/>
      <c r="F30" s="25"/>
      <c r="G30" s="25"/>
      <c r="J30" s="25"/>
      <c r="K30" s="25"/>
    </row>
    <row r="31">
      <c r="D31" s="25"/>
      <c r="E31" s="9"/>
      <c r="F31" s="25"/>
      <c r="G31" s="25"/>
      <c r="J31" s="25"/>
      <c r="K31" s="25"/>
    </row>
    <row r="32">
      <c r="D32" s="25"/>
      <c r="E32" s="9"/>
      <c r="F32" s="25"/>
      <c r="G32" s="25"/>
      <c r="J32" s="25"/>
      <c r="K32" s="25"/>
    </row>
    <row r="33">
      <c r="D33" s="25"/>
      <c r="E33" s="9"/>
      <c r="F33" s="25"/>
      <c r="G33" s="25"/>
      <c r="J33" s="25"/>
      <c r="K33" s="25"/>
    </row>
    <row r="34">
      <c r="D34" s="25"/>
      <c r="E34" s="9"/>
      <c r="F34" s="25"/>
      <c r="G34" s="25"/>
      <c r="J34" s="25"/>
      <c r="K34" s="25"/>
    </row>
    <row r="35">
      <c r="D35" s="25"/>
      <c r="E35" s="9"/>
      <c r="F35" s="25"/>
      <c r="G35" s="25"/>
      <c r="J35" s="25"/>
      <c r="K35" s="25"/>
    </row>
    <row r="36">
      <c r="D36" s="25"/>
      <c r="E36" s="9"/>
      <c r="F36" s="25"/>
      <c r="G36" s="25"/>
      <c r="J36" s="25"/>
      <c r="K36" s="25"/>
    </row>
    <row r="37">
      <c r="D37" s="25"/>
      <c r="E37" s="9"/>
      <c r="F37" s="25"/>
      <c r="G37" s="25"/>
      <c r="J37" s="25"/>
      <c r="K37" s="25"/>
    </row>
    <row r="38">
      <c r="D38" s="25"/>
      <c r="E38" s="9"/>
      <c r="F38" s="25"/>
      <c r="G38" s="25"/>
      <c r="J38" s="25"/>
      <c r="K38" s="25"/>
    </row>
    <row r="39">
      <c r="D39" s="25"/>
      <c r="E39" s="9"/>
      <c r="F39" s="25"/>
      <c r="G39" s="25"/>
      <c r="J39" s="25"/>
      <c r="K39" s="25"/>
    </row>
    <row r="40">
      <c r="D40" s="25"/>
      <c r="E40" s="9"/>
      <c r="F40" s="25"/>
      <c r="G40" s="25"/>
      <c r="J40" s="25"/>
      <c r="K40" s="25"/>
    </row>
    <row r="41">
      <c r="D41" s="25"/>
      <c r="E41" s="9"/>
      <c r="F41" s="25"/>
      <c r="G41" s="25"/>
      <c r="J41" s="25"/>
      <c r="K41" s="25"/>
    </row>
    <row r="42">
      <c r="D42" s="25"/>
      <c r="E42" s="9"/>
      <c r="F42" s="25"/>
      <c r="G42" s="25"/>
      <c r="J42" s="25"/>
      <c r="K42" s="25"/>
    </row>
    <row r="43">
      <c r="D43" s="25"/>
      <c r="E43" s="9"/>
      <c r="F43" s="25"/>
      <c r="G43" s="25"/>
      <c r="J43" s="25"/>
      <c r="K43" s="25"/>
    </row>
    <row r="44">
      <c r="D44" s="25"/>
      <c r="E44" s="9"/>
      <c r="F44" s="25"/>
      <c r="G44" s="25"/>
      <c r="J44" s="25"/>
      <c r="K44" s="25"/>
    </row>
    <row r="45">
      <c r="D45" s="25"/>
      <c r="E45" s="9"/>
      <c r="F45" s="25"/>
      <c r="G45" s="25"/>
      <c r="J45" s="25"/>
      <c r="K45" s="25"/>
    </row>
    <row r="46">
      <c r="D46" s="25"/>
      <c r="E46" s="9"/>
      <c r="F46" s="25"/>
      <c r="G46" s="25"/>
      <c r="J46" s="25"/>
      <c r="K46" s="25"/>
    </row>
    <row r="47">
      <c r="D47" s="25"/>
      <c r="E47" s="9"/>
      <c r="F47" s="25"/>
      <c r="G47" s="25"/>
      <c r="J47" s="25"/>
      <c r="K47" s="25"/>
    </row>
    <row r="48">
      <c r="D48" s="25"/>
      <c r="E48" s="9"/>
      <c r="F48" s="25"/>
      <c r="G48" s="25"/>
      <c r="J48" s="25"/>
      <c r="K48" s="25"/>
    </row>
    <row r="49">
      <c r="D49" s="25"/>
      <c r="E49" s="9"/>
      <c r="F49" s="25"/>
      <c r="G49" s="25"/>
      <c r="J49" s="25"/>
      <c r="K49" s="25"/>
    </row>
    <row r="50">
      <c r="D50" s="25"/>
      <c r="E50" s="9"/>
      <c r="F50" s="25"/>
      <c r="G50" s="25"/>
      <c r="J50" s="25"/>
      <c r="K50" s="25"/>
    </row>
    <row r="51">
      <c r="D51" s="25"/>
      <c r="E51" s="9"/>
      <c r="F51" s="25"/>
      <c r="G51" s="25"/>
      <c r="J51" s="25"/>
      <c r="K51" s="25"/>
    </row>
    <row r="52">
      <c r="D52" s="25"/>
      <c r="E52" s="9"/>
      <c r="F52" s="25"/>
      <c r="G52" s="25"/>
      <c r="J52" s="25"/>
      <c r="K52" s="25"/>
    </row>
    <row r="53">
      <c r="D53" s="25"/>
      <c r="E53" s="9"/>
      <c r="F53" s="25"/>
      <c r="G53" s="25"/>
      <c r="J53" s="25"/>
      <c r="K53" s="25"/>
    </row>
    <row r="54">
      <c r="D54" s="25"/>
      <c r="E54" s="9"/>
      <c r="F54" s="25"/>
      <c r="G54" s="25"/>
      <c r="J54" s="25"/>
      <c r="K54" s="25"/>
    </row>
    <row r="55">
      <c r="D55" s="25"/>
      <c r="E55" s="9"/>
      <c r="F55" s="25"/>
      <c r="G55" s="25"/>
      <c r="J55" s="25"/>
      <c r="K55" s="25"/>
    </row>
    <row r="56">
      <c r="D56" s="25"/>
      <c r="E56" s="9"/>
      <c r="F56" s="25"/>
      <c r="G56" s="25"/>
      <c r="J56" s="25"/>
      <c r="K56" s="25"/>
    </row>
    <row r="57">
      <c r="D57" s="25"/>
      <c r="E57" s="9"/>
      <c r="F57" s="25"/>
      <c r="G57" s="25"/>
      <c r="J57" s="25"/>
      <c r="K57" s="25"/>
    </row>
    <row r="58">
      <c r="D58" s="25"/>
      <c r="E58" s="9"/>
      <c r="F58" s="25"/>
      <c r="G58" s="25"/>
      <c r="J58" s="25"/>
      <c r="K58" s="25"/>
    </row>
    <row r="59">
      <c r="D59" s="25"/>
      <c r="E59" s="9"/>
      <c r="F59" s="25"/>
      <c r="G59" s="25"/>
      <c r="J59" s="25"/>
      <c r="K59" s="25"/>
    </row>
    <row r="60">
      <c r="D60" s="25"/>
      <c r="E60" s="9"/>
      <c r="F60" s="25"/>
      <c r="G60" s="25"/>
      <c r="J60" s="25"/>
      <c r="K60" s="25"/>
    </row>
    <row r="61">
      <c r="D61" s="25"/>
      <c r="E61" s="9"/>
      <c r="F61" s="25"/>
      <c r="G61" s="25"/>
      <c r="J61" s="25"/>
      <c r="K61" s="25"/>
    </row>
    <row r="62">
      <c r="D62" s="25"/>
      <c r="E62" s="9"/>
      <c r="F62" s="25"/>
      <c r="G62" s="25"/>
      <c r="J62" s="25"/>
      <c r="K62" s="25"/>
    </row>
    <row r="63">
      <c r="D63" s="25"/>
      <c r="E63" s="9"/>
      <c r="F63" s="25"/>
      <c r="G63" s="25"/>
      <c r="J63" s="25"/>
      <c r="K63" s="25"/>
    </row>
    <row r="64">
      <c r="D64" s="25"/>
      <c r="E64" s="9"/>
      <c r="F64" s="25"/>
      <c r="G64" s="25"/>
      <c r="J64" s="25"/>
      <c r="K64" s="25"/>
    </row>
    <row r="65">
      <c r="D65" s="25"/>
      <c r="E65" s="9"/>
      <c r="F65" s="25"/>
      <c r="G65" s="25"/>
      <c r="J65" s="25"/>
      <c r="K65" s="25"/>
    </row>
    <row r="66">
      <c r="D66" s="25"/>
      <c r="E66" s="9"/>
      <c r="F66" s="25"/>
      <c r="G66" s="25"/>
      <c r="J66" s="25"/>
      <c r="K66" s="25"/>
    </row>
    <row r="67">
      <c r="D67" s="25"/>
      <c r="E67" s="9"/>
      <c r="F67" s="25"/>
      <c r="G67" s="25"/>
      <c r="J67" s="25"/>
      <c r="K67" s="25"/>
    </row>
    <row r="68">
      <c r="D68" s="25"/>
      <c r="E68" s="9"/>
      <c r="F68" s="25"/>
      <c r="G68" s="25"/>
      <c r="J68" s="25"/>
      <c r="K68" s="25"/>
    </row>
    <row r="69">
      <c r="D69" s="25"/>
      <c r="E69" s="9"/>
      <c r="F69" s="25"/>
      <c r="G69" s="25"/>
      <c r="J69" s="25"/>
      <c r="K69" s="25"/>
    </row>
    <row r="70">
      <c r="D70" s="25"/>
      <c r="E70" s="9"/>
      <c r="F70" s="25"/>
      <c r="G70" s="25"/>
      <c r="J70" s="25"/>
      <c r="K70" s="25"/>
    </row>
    <row r="71">
      <c r="D71" s="25"/>
      <c r="E71" s="9"/>
      <c r="F71" s="25"/>
      <c r="G71" s="25"/>
      <c r="J71" s="25"/>
      <c r="K71" s="25"/>
    </row>
    <row r="72">
      <c r="D72" s="25"/>
      <c r="E72" s="9"/>
      <c r="F72" s="25"/>
      <c r="G72" s="25"/>
      <c r="J72" s="25"/>
      <c r="K72" s="25"/>
    </row>
    <row r="73">
      <c r="D73" s="25"/>
      <c r="E73" s="9"/>
      <c r="F73" s="25"/>
      <c r="G73" s="25"/>
      <c r="J73" s="25"/>
      <c r="K73" s="25"/>
    </row>
    <row r="74">
      <c r="D74" s="25"/>
      <c r="E74" s="9"/>
      <c r="F74" s="25"/>
      <c r="G74" s="25"/>
      <c r="J74" s="25"/>
      <c r="K74" s="25"/>
    </row>
    <row r="75">
      <c r="D75" s="25"/>
      <c r="E75" s="9"/>
      <c r="F75" s="25"/>
      <c r="G75" s="25"/>
      <c r="J75" s="25"/>
      <c r="K75" s="25"/>
    </row>
    <row r="76">
      <c r="D76" s="25"/>
      <c r="E76" s="9"/>
      <c r="F76" s="25"/>
      <c r="G76" s="25"/>
      <c r="J76" s="25"/>
      <c r="K76" s="25"/>
    </row>
    <row r="77">
      <c r="D77" s="25"/>
      <c r="E77" s="9"/>
      <c r="F77" s="25"/>
      <c r="G77" s="25"/>
      <c r="J77" s="25"/>
      <c r="K77" s="25"/>
    </row>
    <row r="78">
      <c r="D78" s="25"/>
      <c r="E78" s="9"/>
      <c r="F78" s="25"/>
      <c r="G78" s="25"/>
      <c r="J78" s="25"/>
      <c r="K78" s="25"/>
    </row>
    <row r="79">
      <c r="D79" s="25"/>
      <c r="E79" s="9"/>
      <c r="F79" s="25"/>
      <c r="G79" s="25"/>
      <c r="J79" s="25"/>
      <c r="K79" s="25"/>
    </row>
    <row r="80">
      <c r="D80" s="25"/>
      <c r="E80" s="9"/>
      <c r="F80" s="25"/>
      <c r="G80" s="25"/>
      <c r="J80" s="25"/>
      <c r="K80" s="25"/>
    </row>
    <row r="81">
      <c r="D81" s="25"/>
      <c r="E81" s="9"/>
      <c r="F81" s="25"/>
      <c r="G81" s="25"/>
      <c r="J81" s="25"/>
      <c r="K81" s="25"/>
    </row>
    <row r="82">
      <c r="D82" s="25"/>
      <c r="E82" s="9"/>
      <c r="F82" s="25"/>
      <c r="G82" s="25"/>
      <c r="J82" s="25"/>
      <c r="K82" s="25"/>
    </row>
    <row r="83">
      <c r="D83" s="25"/>
      <c r="E83" s="9"/>
      <c r="F83" s="25"/>
      <c r="G83" s="25"/>
      <c r="J83" s="25"/>
      <c r="K83" s="25"/>
    </row>
    <row r="84">
      <c r="D84" s="25"/>
      <c r="E84" s="9"/>
      <c r="F84" s="25"/>
      <c r="G84" s="25"/>
      <c r="J84" s="25"/>
      <c r="K84" s="25"/>
    </row>
    <row r="85">
      <c r="D85" s="25"/>
      <c r="E85" s="9"/>
      <c r="F85" s="25"/>
      <c r="G85" s="25"/>
      <c r="J85" s="25"/>
      <c r="K85" s="25"/>
    </row>
    <row r="86">
      <c r="D86" s="25"/>
      <c r="E86" s="9"/>
      <c r="F86" s="25"/>
      <c r="G86" s="25"/>
      <c r="J86" s="25"/>
      <c r="K86" s="25"/>
    </row>
    <row r="87">
      <c r="D87" s="25"/>
      <c r="E87" s="9"/>
      <c r="F87" s="25"/>
      <c r="G87" s="25"/>
      <c r="J87" s="25"/>
      <c r="K87" s="25"/>
    </row>
    <row r="88">
      <c r="D88" s="25"/>
      <c r="E88" s="9"/>
      <c r="F88" s="25"/>
      <c r="G88" s="25"/>
      <c r="J88" s="25"/>
      <c r="K88" s="25"/>
    </row>
    <row r="89">
      <c r="D89" s="25"/>
      <c r="E89" s="9"/>
      <c r="F89" s="25"/>
      <c r="G89" s="25"/>
      <c r="J89" s="25"/>
      <c r="K89" s="25"/>
    </row>
    <row r="90">
      <c r="D90" s="25"/>
      <c r="E90" s="9"/>
      <c r="F90" s="25"/>
      <c r="G90" s="25"/>
      <c r="J90" s="25"/>
      <c r="K90" s="25"/>
    </row>
    <row r="91">
      <c r="D91" s="25"/>
      <c r="E91" s="9"/>
      <c r="F91" s="25"/>
      <c r="G91" s="25"/>
      <c r="J91" s="25"/>
      <c r="K91" s="25"/>
    </row>
    <row r="92">
      <c r="D92" s="25"/>
      <c r="E92" s="9"/>
      <c r="F92" s="25"/>
      <c r="G92" s="25"/>
      <c r="J92" s="25"/>
      <c r="K92" s="25"/>
    </row>
    <row r="93">
      <c r="D93" s="25"/>
      <c r="E93" s="9"/>
      <c r="F93" s="25"/>
      <c r="G93" s="25"/>
      <c r="J93" s="25"/>
      <c r="K93" s="25"/>
    </row>
    <row r="94">
      <c r="D94" s="25"/>
      <c r="E94" s="9"/>
      <c r="F94" s="25"/>
      <c r="G94" s="25"/>
      <c r="J94" s="25"/>
      <c r="K94" s="25"/>
    </row>
    <row r="95">
      <c r="D95" s="25"/>
      <c r="E95" s="9"/>
      <c r="F95" s="25"/>
      <c r="G95" s="25"/>
      <c r="J95" s="25"/>
      <c r="K95" s="25"/>
    </row>
    <row r="96">
      <c r="D96" s="25"/>
      <c r="E96" s="9"/>
      <c r="F96" s="25"/>
      <c r="G96" s="25"/>
      <c r="J96" s="25"/>
      <c r="K96" s="25"/>
    </row>
    <row r="97">
      <c r="D97" s="25"/>
      <c r="E97" s="9"/>
      <c r="F97" s="25"/>
      <c r="G97" s="25"/>
      <c r="J97" s="25"/>
      <c r="K97" s="25"/>
    </row>
    <row r="98">
      <c r="D98" s="25"/>
      <c r="E98" s="9"/>
      <c r="F98" s="25"/>
      <c r="G98" s="25"/>
      <c r="J98" s="25"/>
      <c r="K98" s="25"/>
    </row>
    <row r="99">
      <c r="D99" s="25"/>
      <c r="E99" s="9"/>
      <c r="F99" s="25"/>
      <c r="G99" s="25"/>
      <c r="J99" s="25"/>
      <c r="K99" s="25"/>
    </row>
    <row r="100">
      <c r="D100" s="25"/>
      <c r="E100" s="9"/>
      <c r="F100" s="25"/>
      <c r="G100" s="25"/>
      <c r="J100" s="25"/>
      <c r="K100" s="25"/>
    </row>
    <row r="101">
      <c r="D101" s="25"/>
      <c r="E101" s="9"/>
      <c r="F101" s="25"/>
      <c r="G101" s="25"/>
      <c r="J101" s="25"/>
      <c r="K101" s="25"/>
    </row>
    <row r="102">
      <c r="D102" s="25"/>
      <c r="E102" s="9"/>
      <c r="F102" s="25"/>
      <c r="G102" s="25"/>
      <c r="J102" s="25"/>
      <c r="K102" s="25"/>
    </row>
    <row r="103">
      <c r="D103" s="25"/>
      <c r="E103" s="9"/>
      <c r="F103" s="25"/>
      <c r="G103" s="25"/>
      <c r="J103" s="25"/>
      <c r="K103" s="25"/>
    </row>
    <row r="104">
      <c r="D104" s="25"/>
      <c r="E104" s="9"/>
      <c r="F104" s="25"/>
      <c r="G104" s="25"/>
      <c r="J104" s="25"/>
      <c r="K104" s="25"/>
    </row>
    <row r="105">
      <c r="D105" s="25"/>
      <c r="E105" s="9"/>
      <c r="F105" s="25"/>
      <c r="G105" s="25"/>
      <c r="J105" s="25"/>
      <c r="K105" s="25"/>
    </row>
    <row r="106">
      <c r="D106" s="25"/>
      <c r="E106" s="9"/>
      <c r="F106" s="25"/>
      <c r="G106" s="25"/>
      <c r="J106" s="25"/>
      <c r="K106" s="25"/>
    </row>
    <row r="107">
      <c r="D107" s="25"/>
      <c r="E107" s="9"/>
      <c r="F107" s="25"/>
      <c r="G107" s="25"/>
      <c r="J107" s="25"/>
      <c r="K107" s="25"/>
    </row>
    <row r="108">
      <c r="D108" s="25"/>
      <c r="E108" s="9"/>
      <c r="F108" s="25"/>
      <c r="G108" s="25"/>
      <c r="J108" s="25"/>
      <c r="K108" s="25"/>
    </row>
    <row r="109">
      <c r="D109" s="25"/>
      <c r="E109" s="9"/>
      <c r="F109" s="25"/>
      <c r="G109" s="25"/>
      <c r="J109" s="25"/>
      <c r="K109" s="25"/>
    </row>
    <row r="110">
      <c r="D110" s="25"/>
      <c r="E110" s="9"/>
      <c r="F110" s="25"/>
      <c r="G110" s="25"/>
      <c r="J110" s="25"/>
      <c r="K110" s="25"/>
    </row>
    <row r="111">
      <c r="D111" s="25"/>
      <c r="E111" s="9"/>
      <c r="F111" s="25"/>
      <c r="G111" s="25"/>
      <c r="J111" s="25"/>
      <c r="K111" s="25"/>
    </row>
    <row r="112">
      <c r="D112" s="25"/>
      <c r="E112" s="9"/>
      <c r="F112" s="25"/>
      <c r="G112" s="25"/>
      <c r="J112" s="25"/>
      <c r="K112" s="25"/>
    </row>
    <row r="113">
      <c r="D113" s="25"/>
      <c r="E113" s="9"/>
      <c r="F113" s="25"/>
      <c r="G113" s="25"/>
      <c r="J113" s="25"/>
      <c r="K113" s="25"/>
    </row>
    <row r="114">
      <c r="D114" s="25"/>
      <c r="E114" s="9"/>
      <c r="F114" s="25"/>
      <c r="G114" s="25"/>
      <c r="J114" s="25"/>
      <c r="K114" s="25"/>
    </row>
    <row r="115">
      <c r="D115" s="25"/>
      <c r="E115" s="9"/>
      <c r="F115" s="25"/>
      <c r="G115" s="25"/>
      <c r="J115" s="25"/>
      <c r="K115" s="25"/>
    </row>
    <row r="116">
      <c r="D116" s="25"/>
      <c r="E116" s="9"/>
      <c r="F116" s="25"/>
      <c r="G116" s="25"/>
      <c r="J116" s="25"/>
      <c r="K116" s="25"/>
    </row>
    <row r="117">
      <c r="D117" s="25"/>
      <c r="E117" s="9"/>
      <c r="F117" s="25"/>
      <c r="G117" s="25"/>
      <c r="J117" s="25"/>
      <c r="K117" s="25"/>
    </row>
    <row r="118">
      <c r="D118" s="25"/>
      <c r="E118" s="9"/>
      <c r="F118" s="25"/>
      <c r="G118" s="25"/>
      <c r="J118" s="25"/>
      <c r="K118" s="25"/>
    </row>
    <row r="119">
      <c r="D119" s="25"/>
      <c r="E119" s="9"/>
      <c r="F119" s="25"/>
      <c r="G119" s="25"/>
      <c r="J119" s="25"/>
      <c r="K119" s="25"/>
    </row>
    <row r="120">
      <c r="D120" s="25"/>
      <c r="E120" s="9"/>
      <c r="F120" s="25"/>
      <c r="G120" s="25"/>
      <c r="J120" s="25"/>
      <c r="K120" s="25"/>
    </row>
    <row r="121">
      <c r="D121" s="25"/>
      <c r="E121" s="9"/>
      <c r="F121" s="25"/>
      <c r="G121" s="25"/>
      <c r="J121" s="25"/>
      <c r="K121" s="25"/>
    </row>
    <row r="122">
      <c r="D122" s="25"/>
      <c r="E122" s="9"/>
      <c r="F122" s="25"/>
      <c r="G122" s="25"/>
      <c r="J122" s="25"/>
      <c r="K122" s="25"/>
    </row>
    <row r="123">
      <c r="D123" s="25"/>
      <c r="E123" s="9"/>
      <c r="F123" s="25"/>
      <c r="G123" s="25"/>
      <c r="J123" s="25"/>
      <c r="K123" s="25"/>
    </row>
    <row r="124">
      <c r="D124" s="25"/>
      <c r="E124" s="9"/>
      <c r="F124" s="25"/>
      <c r="G124" s="25"/>
      <c r="J124" s="25"/>
      <c r="K124" s="25"/>
    </row>
    <row r="125">
      <c r="D125" s="25"/>
      <c r="E125" s="9"/>
      <c r="F125" s="25"/>
      <c r="G125" s="25"/>
      <c r="J125" s="25"/>
      <c r="K125" s="25"/>
    </row>
    <row r="126">
      <c r="D126" s="25"/>
      <c r="E126" s="9"/>
      <c r="F126" s="25"/>
      <c r="G126" s="25"/>
      <c r="J126" s="25"/>
      <c r="K126" s="25"/>
    </row>
    <row r="127">
      <c r="D127" s="25"/>
      <c r="E127" s="9"/>
      <c r="F127" s="25"/>
      <c r="G127" s="25"/>
      <c r="J127" s="25"/>
      <c r="K127" s="25"/>
    </row>
    <row r="128">
      <c r="D128" s="25"/>
      <c r="E128" s="9"/>
      <c r="F128" s="25"/>
      <c r="G128" s="25"/>
      <c r="J128" s="25"/>
      <c r="K128" s="25"/>
    </row>
    <row r="129">
      <c r="D129" s="25"/>
      <c r="E129" s="9"/>
      <c r="F129" s="25"/>
      <c r="G129" s="25"/>
      <c r="J129" s="25"/>
      <c r="K129" s="25"/>
    </row>
    <row r="130">
      <c r="D130" s="25"/>
      <c r="E130" s="9"/>
      <c r="F130" s="25"/>
      <c r="G130" s="25"/>
      <c r="J130" s="25"/>
      <c r="K130" s="25"/>
    </row>
    <row r="131">
      <c r="D131" s="25"/>
      <c r="E131" s="9"/>
      <c r="F131" s="25"/>
      <c r="G131" s="25"/>
      <c r="J131" s="25"/>
      <c r="K131" s="25"/>
    </row>
    <row r="132">
      <c r="D132" s="25"/>
      <c r="E132" s="9"/>
      <c r="F132" s="25"/>
      <c r="G132" s="25"/>
      <c r="J132" s="25"/>
      <c r="K132" s="25"/>
    </row>
    <row r="133">
      <c r="D133" s="25"/>
      <c r="E133" s="9"/>
      <c r="F133" s="25"/>
      <c r="G133" s="25"/>
      <c r="J133" s="25"/>
      <c r="K133" s="25"/>
    </row>
    <row r="134">
      <c r="D134" s="25"/>
      <c r="E134" s="9"/>
      <c r="F134" s="25"/>
      <c r="G134" s="25"/>
      <c r="J134" s="25"/>
      <c r="K134" s="25"/>
    </row>
    <row r="135">
      <c r="D135" s="25"/>
      <c r="E135" s="9"/>
      <c r="F135" s="25"/>
      <c r="G135" s="25"/>
      <c r="J135" s="25"/>
      <c r="K135" s="25"/>
    </row>
    <row r="136">
      <c r="D136" s="25"/>
      <c r="E136" s="9"/>
      <c r="F136" s="25"/>
      <c r="G136" s="25"/>
      <c r="J136" s="25"/>
      <c r="K136" s="25"/>
    </row>
    <row r="137">
      <c r="D137" s="25"/>
      <c r="E137" s="9"/>
      <c r="F137" s="25"/>
      <c r="G137" s="25"/>
      <c r="J137" s="25"/>
      <c r="K137" s="25"/>
    </row>
    <row r="138">
      <c r="D138" s="25"/>
      <c r="E138" s="9"/>
      <c r="F138" s="25"/>
      <c r="G138" s="25"/>
      <c r="J138" s="25"/>
      <c r="K138" s="25"/>
    </row>
    <row r="139">
      <c r="D139" s="25"/>
      <c r="E139" s="9"/>
      <c r="F139" s="25"/>
      <c r="G139" s="25"/>
      <c r="J139" s="25"/>
      <c r="K139" s="25"/>
    </row>
    <row r="140">
      <c r="D140" s="25"/>
      <c r="E140" s="9"/>
      <c r="F140" s="25"/>
      <c r="G140" s="25"/>
      <c r="J140" s="25"/>
      <c r="K140" s="25"/>
    </row>
    <row r="141">
      <c r="D141" s="25"/>
      <c r="E141" s="9"/>
      <c r="F141" s="25"/>
      <c r="G141" s="25"/>
      <c r="J141" s="25"/>
      <c r="K141" s="25"/>
    </row>
    <row r="142">
      <c r="D142" s="25"/>
      <c r="E142" s="9"/>
      <c r="F142" s="25"/>
      <c r="G142" s="25"/>
      <c r="J142" s="25"/>
      <c r="K142" s="25"/>
    </row>
    <row r="143">
      <c r="D143" s="25"/>
      <c r="E143" s="9"/>
      <c r="F143" s="25"/>
      <c r="G143" s="25"/>
      <c r="J143" s="25"/>
      <c r="K143" s="25"/>
    </row>
    <row r="144">
      <c r="D144" s="25"/>
      <c r="E144" s="9"/>
      <c r="F144" s="25"/>
      <c r="G144" s="25"/>
      <c r="J144" s="25"/>
      <c r="K144" s="25"/>
    </row>
    <row r="145">
      <c r="D145" s="25"/>
      <c r="E145" s="9"/>
      <c r="F145" s="25"/>
      <c r="G145" s="25"/>
      <c r="J145" s="25"/>
      <c r="K145" s="25"/>
    </row>
    <row r="146">
      <c r="D146" s="25"/>
      <c r="E146" s="9"/>
      <c r="F146" s="25"/>
      <c r="G146" s="25"/>
      <c r="J146" s="25"/>
      <c r="K146" s="25"/>
    </row>
    <row r="147">
      <c r="D147" s="25"/>
      <c r="E147" s="9"/>
      <c r="F147" s="25"/>
      <c r="G147" s="25"/>
      <c r="J147" s="25"/>
      <c r="K147" s="25"/>
    </row>
    <row r="148">
      <c r="D148" s="25"/>
      <c r="E148" s="9"/>
      <c r="F148" s="25"/>
      <c r="G148" s="25"/>
      <c r="J148" s="25"/>
      <c r="K148" s="25"/>
    </row>
    <row r="149">
      <c r="D149" s="25"/>
      <c r="E149" s="9"/>
      <c r="F149" s="25"/>
      <c r="G149" s="25"/>
      <c r="J149" s="25"/>
      <c r="K149" s="25"/>
    </row>
    <row r="150">
      <c r="D150" s="25"/>
      <c r="E150" s="9"/>
      <c r="F150" s="25"/>
      <c r="G150" s="25"/>
      <c r="J150" s="25"/>
      <c r="K150" s="25"/>
    </row>
    <row r="151">
      <c r="D151" s="25"/>
      <c r="E151" s="9"/>
      <c r="F151" s="25"/>
      <c r="G151" s="25"/>
      <c r="J151" s="25"/>
      <c r="K151" s="25"/>
    </row>
    <row r="152">
      <c r="D152" s="25"/>
      <c r="E152" s="9"/>
      <c r="F152" s="25"/>
      <c r="G152" s="25"/>
      <c r="J152" s="25"/>
      <c r="K152" s="25"/>
    </row>
    <row r="153">
      <c r="D153" s="25"/>
      <c r="E153" s="9"/>
      <c r="F153" s="25"/>
      <c r="G153" s="25"/>
      <c r="J153" s="25"/>
      <c r="K153" s="25"/>
    </row>
    <row r="154">
      <c r="D154" s="25"/>
      <c r="E154" s="9"/>
      <c r="F154" s="25"/>
      <c r="G154" s="25"/>
      <c r="J154" s="25"/>
      <c r="K154" s="25"/>
    </row>
    <row r="155">
      <c r="D155" s="25"/>
      <c r="E155" s="9"/>
      <c r="F155" s="25"/>
      <c r="G155" s="25"/>
      <c r="J155" s="25"/>
      <c r="K155" s="25"/>
    </row>
    <row r="156">
      <c r="D156" s="25"/>
      <c r="E156" s="9"/>
      <c r="F156" s="25"/>
      <c r="G156" s="25"/>
      <c r="J156" s="25"/>
      <c r="K156" s="25"/>
    </row>
    <row r="157">
      <c r="D157" s="25"/>
      <c r="E157" s="9"/>
      <c r="F157" s="25"/>
      <c r="G157" s="25"/>
      <c r="J157" s="25"/>
      <c r="K157" s="25"/>
    </row>
    <row r="158">
      <c r="D158" s="25"/>
      <c r="E158" s="9"/>
      <c r="F158" s="25"/>
      <c r="G158" s="25"/>
      <c r="J158" s="25"/>
      <c r="K158" s="25"/>
    </row>
    <row r="159">
      <c r="D159" s="25"/>
      <c r="E159" s="9"/>
      <c r="F159" s="25"/>
      <c r="G159" s="25"/>
      <c r="J159" s="25"/>
      <c r="K159" s="25"/>
    </row>
    <row r="160">
      <c r="D160" s="25"/>
      <c r="E160" s="9"/>
      <c r="F160" s="25"/>
      <c r="G160" s="25"/>
      <c r="J160" s="25"/>
      <c r="K160" s="25"/>
    </row>
    <row r="161">
      <c r="D161" s="25"/>
      <c r="E161" s="9"/>
      <c r="F161" s="25"/>
      <c r="G161" s="25"/>
      <c r="J161" s="25"/>
      <c r="K161" s="25"/>
    </row>
    <row r="162">
      <c r="D162" s="25"/>
      <c r="E162" s="9"/>
      <c r="F162" s="25"/>
      <c r="G162" s="25"/>
      <c r="J162" s="25"/>
      <c r="K162" s="25"/>
    </row>
    <row r="163">
      <c r="D163" s="25"/>
      <c r="E163" s="9"/>
      <c r="F163" s="25"/>
      <c r="G163" s="25"/>
      <c r="J163" s="25"/>
      <c r="K163" s="25"/>
    </row>
    <row r="164">
      <c r="D164" s="25"/>
      <c r="E164" s="9"/>
      <c r="F164" s="25"/>
      <c r="G164" s="25"/>
      <c r="J164" s="25"/>
      <c r="K164" s="25"/>
    </row>
    <row r="165">
      <c r="D165" s="25"/>
      <c r="E165" s="9"/>
      <c r="F165" s="25"/>
      <c r="G165" s="25"/>
      <c r="J165" s="25"/>
      <c r="K165" s="25"/>
    </row>
    <row r="166">
      <c r="D166" s="25"/>
      <c r="E166" s="9"/>
      <c r="F166" s="25"/>
      <c r="G166" s="25"/>
      <c r="J166" s="25"/>
      <c r="K166" s="25"/>
    </row>
    <row r="167">
      <c r="D167" s="25"/>
      <c r="E167" s="9"/>
      <c r="F167" s="25"/>
      <c r="G167" s="25"/>
      <c r="J167" s="25"/>
      <c r="K167" s="25"/>
    </row>
    <row r="168">
      <c r="D168" s="25"/>
      <c r="E168" s="9"/>
      <c r="F168" s="25"/>
      <c r="G168" s="25"/>
      <c r="J168" s="25"/>
      <c r="K168" s="25"/>
    </row>
    <row r="169">
      <c r="D169" s="25"/>
      <c r="E169" s="9"/>
      <c r="F169" s="25"/>
      <c r="G169" s="25"/>
      <c r="J169" s="25"/>
      <c r="K169" s="25"/>
    </row>
    <row r="170">
      <c r="D170" s="25"/>
      <c r="E170" s="9"/>
      <c r="F170" s="25"/>
      <c r="G170" s="25"/>
      <c r="J170" s="25"/>
      <c r="K170" s="25"/>
    </row>
    <row r="171">
      <c r="D171" s="25"/>
      <c r="E171" s="9"/>
      <c r="F171" s="25"/>
      <c r="G171" s="25"/>
      <c r="J171" s="25"/>
      <c r="K171" s="25"/>
    </row>
    <row r="172">
      <c r="D172" s="25"/>
      <c r="E172" s="9"/>
      <c r="F172" s="25"/>
      <c r="G172" s="25"/>
      <c r="J172" s="25"/>
      <c r="K172" s="25"/>
    </row>
    <row r="173">
      <c r="D173" s="25"/>
      <c r="E173" s="9"/>
      <c r="F173" s="25"/>
      <c r="G173" s="25"/>
      <c r="J173" s="25"/>
      <c r="K173" s="25"/>
    </row>
    <row r="174">
      <c r="D174" s="25"/>
      <c r="E174" s="9"/>
      <c r="F174" s="25"/>
      <c r="G174" s="25"/>
      <c r="J174" s="25"/>
      <c r="K174" s="25"/>
    </row>
    <row r="175">
      <c r="D175" s="25"/>
      <c r="E175" s="9"/>
      <c r="F175" s="25"/>
      <c r="G175" s="25"/>
      <c r="J175" s="25"/>
      <c r="K175" s="25"/>
    </row>
    <row r="176">
      <c r="D176" s="25"/>
      <c r="E176" s="9"/>
      <c r="F176" s="25"/>
      <c r="G176" s="25"/>
      <c r="J176" s="25"/>
      <c r="K176" s="25"/>
    </row>
    <row r="177">
      <c r="D177" s="25"/>
      <c r="E177" s="9"/>
      <c r="F177" s="25"/>
      <c r="G177" s="25"/>
      <c r="J177" s="25"/>
      <c r="K177" s="25"/>
    </row>
    <row r="178">
      <c r="D178" s="25"/>
      <c r="E178" s="9"/>
      <c r="F178" s="25"/>
      <c r="G178" s="25"/>
      <c r="J178" s="25"/>
      <c r="K178" s="25"/>
    </row>
    <row r="179">
      <c r="D179" s="25"/>
      <c r="E179" s="9"/>
      <c r="F179" s="25"/>
      <c r="G179" s="25"/>
      <c r="J179" s="25"/>
      <c r="K179" s="25"/>
    </row>
    <row r="180">
      <c r="D180" s="25"/>
      <c r="E180" s="9"/>
      <c r="F180" s="25"/>
      <c r="G180" s="25"/>
      <c r="J180" s="25"/>
      <c r="K180" s="25"/>
    </row>
    <row r="181">
      <c r="D181" s="25"/>
      <c r="E181" s="9"/>
      <c r="F181" s="25"/>
      <c r="G181" s="25"/>
      <c r="J181" s="25"/>
      <c r="K181" s="25"/>
    </row>
    <row r="182">
      <c r="D182" s="25"/>
      <c r="E182" s="9"/>
      <c r="F182" s="25"/>
      <c r="G182" s="25"/>
      <c r="J182" s="25"/>
      <c r="K182" s="25"/>
    </row>
    <row r="183">
      <c r="D183" s="25"/>
      <c r="E183" s="9"/>
      <c r="F183" s="25"/>
      <c r="G183" s="25"/>
      <c r="J183" s="25"/>
      <c r="K183" s="25"/>
    </row>
    <row r="184">
      <c r="D184" s="25"/>
      <c r="E184" s="9"/>
      <c r="F184" s="25"/>
      <c r="G184" s="25"/>
      <c r="J184" s="25"/>
      <c r="K184" s="25"/>
    </row>
    <row r="185">
      <c r="D185" s="25"/>
      <c r="E185" s="9"/>
      <c r="F185" s="25"/>
      <c r="G185" s="25"/>
      <c r="J185" s="25"/>
      <c r="K185" s="25"/>
    </row>
    <row r="186">
      <c r="D186" s="25"/>
      <c r="E186" s="9"/>
      <c r="F186" s="25"/>
      <c r="G186" s="25"/>
      <c r="J186" s="25"/>
      <c r="K186" s="25"/>
    </row>
    <row r="187">
      <c r="D187" s="25"/>
      <c r="E187" s="9"/>
      <c r="F187" s="25"/>
      <c r="G187" s="25"/>
      <c r="J187" s="25"/>
      <c r="K187" s="25"/>
    </row>
    <row r="188">
      <c r="D188" s="25"/>
      <c r="E188" s="9"/>
      <c r="F188" s="25"/>
      <c r="G188" s="25"/>
      <c r="J188" s="25"/>
      <c r="K188" s="25"/>
    </row>
    <row r="189">
      <c r="D189" s="25"/>
      <c r="E189" s="9"/>
      <c r="F189" s="25"/>
      <c r="G189" s="25"/>
      <c r="J189" s="25"/>
      <c r="K189" s="25"/>
    </row>
    <row r="190">
      <c r="D190" s="25"/>
      <c r="E190" s="9"/>
      <c r="F190" s="25"/>
      <c r="G190" s="25"/>
      <c r="J190" s="25"/>
      <c r="K190" s="25"/>
    </row>
    <row r="191">
      <c r="D191" s="25"/>
      <c r="E191" s="9"/>
      <c r="F191" s="25"/>
      <c r="G191" s="25"/>
      <c r="J191" s="25"/>
      <c r="K191" s="25"/>
    </row>
    <row r="192">
      <c r="D192" s="25"/>
      <c r="E192" s="9"/>
      <c r="F192" s="25"/>
      <c r="G192" s="25"/>
      <c r="J192" s="25"/>
      <c r="K192" s="25"/>
    </row>
    <row r="193">
      <c r="D193" s="25"/>
      <c r="E193" s="9"/>
      <c r="F193" s="25"/>
      <c r="G193" s="25"/>
      <c r="J193" s="25"/>
      <c r="K193" s="25"/>
    </row>
    <row r="194">
      <c r="D194" s="25"/>
      <c r="E194" s="9"/>
      <c r="F194" s="25"/>
      <c r="G194" s="25"/>
      <c r="J194" s="25"/>
      <c r="K194" s="25"/>
    </row>
    <row r="195">
      <c r="D195" s="25"/>
      <c r="E195" s="9"/>
      <c r="F195" s="25"/>
      <c r="G195" s="25"/>
      <c r="J195" s="25"/>
      <c r="K195" s="25"/>
    </row>
    <row r="196">
      <c r="D196" s="25"/>
      <c r="E196" s="9"/>
      <c r="F196" s="25"/>
      <c r="G196" s="25"/>
      <c r="J196" s="25"/>
      <c r="K196" s="25"/>
    </row>
    <row r="197">
      <c r="D197" s="25"/>
      <c r="E197" s="9"/>
      <c r="F197" s="25"/>
      <c r="G197" s="25"/>
      <c r="J197" s="25"/>
      <c r="K197" s="25"/>
    </row>
    <row r="198">
      <c r="D198" s="25"/>
      <c r="E198" s="9"/>
      <c r="F198" s="25"/>
      <c r="G198" s="25"/>
      <c r="J198" s="25"/>
      <c r="K198" s="25"/>
    </row>
    <row r="199">
      <c r="D199" s="25"/>
      <c r="E199" s="9"/>
      <c r="F199" s="25"/>
      <c r="G199" s="25"/>
      <c r="J199" s="25"/>
      <c r="K199" s="25"/>
    </row>
    <row r="200">
      <c r="D200" s="25"/>
      <c r="E200" s="9"/>
      <c r="F200" s="25"/>
      <c r="G200" s="25"/>
      <c r="J200" s="25"/>
      <c r="K200" s="25"/>
    </row>
    <row r="201">
      <c r="D201" s="25"/>
      <c r="E201" s="9"/>
      <c r="F201" s="25"/>
      <c r="G201" s="25"/>
      <c r="J201" s="25"/>
      <c r="K201" s="25"/>
    </row>
    <row r="202">
      <c r="D202" s="25"/>
      <c r="E202" s="9"/>
      <c r="F202" s="25"/>
      <c r="G202" s="25"/>
      <c r="J202" s="25"/>
      <c r="K202" s="25"/>
    </row>
    <row r="203">
      <c r="D203" s="25"/>
      <c r="E203" s="9"/>
      <c r="F203" s="25"/>
      <c r="G203" s="25"/>
      <c r="J203" s="25"/>
      <c r="K203" s="25"/>
    </row>
    <row r="204">
      <c r="D204" s="25"/>
      <c r="E204" s="9"/>
      <c r="F204" s="25"/>
      <c r="G204" s="25"/>
      <c r="J204" s="25"/>
      <c r="K204" s="25"/>
    </row>
    <row r="205">
      <c r="D205" s="25"/>
      <c r="E205" s="9"/>
      <c r="F205" s="25"/>
      <c r="G205" s="25"/>
      <c r="J205" s="25"/>
      <c r="K205" s="25"/>
    </row>
    <row r="206">
      <c r="D206" s="25"/>
      <c r="E206" s="9"/>
      <c r="F206" s="25"/>
      <c r="G206" s="25"/>
      <c r="J206" s="25"/>
      <c r="K206" s="25"/>
    </row>
    <row r="207">
      <c r="D207" s="25"/>
      <c r="E207" s="9"/>
      <c r="F207" s="25"/>
      <c r="G207" s="25"/>
      <c r="J207" s="25"/>
      <c r="K207" s="25"/>
    </row>
    <row r="208">
      <c r="D208" s="25"/>
      <c r="E208" s="9"/>
      <c r="F208" s="25"/>
      <c r="G208" s="25"/>
      <c r="J208" s="25"/>
      <c r="K208" s="25"/>
    </row>
    <row r="209">
      <c r="D209" s="25"/>
      <c r="E209" s="9"/>
      <c r="F209" s="25"/>
      <c r="G209" s="25"/>
      <c r="J209" s="25"/>
      <c r="K209" s="25"/>
    </row>
    <row r="210">
      <c r="D210" s="25"/>
      <c r="E210" s="9"/>
      <c r="F210" s="25"/>
      <c r="G210" s="25"/>
      <c r="J210" s="25"/>
      <c r="K210" s="25"/>
    </row>
    <row r="211">
      <c r="D211" s="25"/>
      <c r="E211" s="9"/>
      <c r="F211" s="25"/>
      <c r="G211" s="25"/>
      <c r="J211" s="25"/>
      <c r="K211" s="25"/>
    </row>
    <row r="212">
      <c r="D212" s="25"/>
      <c r="E212" s="9"/>
      <c r="F212" s="25"/>
      <c r="G212" s="25"/>
      <c r="J212" s="25"/>
      <c r="K212" s="25"/>
    </row>
    <row r="213">
      <c r="D213" s="25"/>
      <c r="E213" s="9"/>
      <c r="F213" s="25"/>
      <c r="G213" s="25"/>
      <c r="J213" s="25"/>
      <c r="K213" s="25"/>
    </row>
    <row r="214">
      <c r="D214" s="25"/>
      <c r="E214" s="9"/>
      <c r="F214" s="25"/>
      <c r="G214" s="25"/>
      <c r="J214" s="25"/>
      <c r="K214" s="25"/>
    </row>
    <row r="215">
      <c r="D215" s="25"/>
      <c r="E215" s="9"/>
      <c r="F215" s="25"/>
      <c r="G215" s="25"/>
      <c r="J215" s="25"/>
      <c r="K215" s="25"/>
    </row>
    <row r="216">
      <c r="D216" s="25"/>
      <c r="E216" s="9"/>
      <c r="F216" s="25"/>
      <c r="G216" s="25"/>
      <c r="J216" s="25"/>
      <c r="K216" s="25"/>
    </row>
    <row r="217">
      <c r="D217" s="25"/>
      <c r="E217" s="9"/>
      <c r="F217" s="25"/>
      <c r="G217" s="25"/>
      <c r="J217" s="25"/>
      <c r="K217" s="25"/>
    </row>
    <row r="218">
      <c r="D218" s="25"/>
      <c r="E218" s="9"/>
      <c r="F218" s="25"/>
      <c r="G218" s="25"/>
      <c r="J218" s="25"/>
      <c r="K218" s="25"/>
    </row>
    <row r="219">
      <c r="D219" s="25"/>
      <c r="E219" s="9"/>
      <c r="F219" s="25"/>
      <c r="G219" s="25"/>
      <c r="J219" s="25"/>
      <c r="K219" s="25"/>
    </row>
    <row r="220">
      <c r="D220" s="25"/>
      <c r="E220" s="9"/>
      <c r="F220" s="25"/>
      <c r="G220" s="25"/>
      <c r="J220" s="25"/>
      <c r="K220" s="25"/>
    </row>
    <row r="221">
      <c r="D221" s="25"/>
      <c r="E221" s="9"/>
      <c r="F221" s="25"/>
      <c r="G221" s="25"/>
      <c r="J221" s="25"/>
      <c r="K221" s="25"/>
    </row>
    <row r="222">
      <c r="D222" s="25"/>
      <c r="E222" s="9"/>
      <c r="F222" s="25"/>
      <c r="G222" s="25"/>
      <c r="J222" s="25"/>
      <c r="K222" s="25"/>
    </row>
    <row r="223">
      <c r="D223" s="25"/>
      <c r="E223" s="9"/>
      <c r="F223" s="25"/>
      <c r="G223" s="25"/>
      <c r="J223" s="25"/>
      <c r="K223" s="25"/>
    </row>
    <row r="224">
      <c r="D224" s="25"/>
      <c r="E224" s="9"/>
      <c r="F224" s="25"/>
      <c r="G224" s="25"/>
      <c r="J224" s="25"/>
      <c r="K224" s="25"/>
    </row>
    <row r="225">
      <c r="D225" s="25"/>
      <c r="E225" s="9"/>
      <c r="F225" s="25"/>
      <c r="G225" s="25"/>
      <c r="J225" s="25"/>
      <c r="K225" s="25"/>
    </row>
    <row r="226">
      <c r="D226" s="25"/>
      <c r="E226" s="9"/>
      <c r="F226" s="25"/>
      <c r="G226" s="25"/>
      <c r="J226" s="25"/>
      <c r="K226" s="25"/>
    </row>
    <row r="227">
      <c r="D227" s="25"/>
      <c r="E227" s="9"/>
      <c r="F227" s="25"/>
      <c r="G227" s="25"/>
      <c r="J227" s="25"/>
      <c r="K227" s="25"/>
    </row>
    <row r="228">
      <c r="D228" s="25"/>
      <c r="E228" s="9"/>
      <c r="F228" s="25"/>
      <c r="G228" s="25"/>
      <c r="J228" s="25"/>
      <c r="K228" s="25"/>
    </row>
    <row r="229">
      <c r="D229" s="25"/>
      <c r="E229" s="9"/>
      <c r="F229" s="25"/>
      <c r="G229" s="25"/>
      <c r="J229" s="25"/>
      <c r="K229" s="25"/>
    </row>
    <row r="230">
      <c r="D230" s="25"/>
      <c r="E230" s="9"/>
      <c r="F230" s="25"/>
      <c r="G230" s="25"/>
      <c r="J230" s="25"/>
      <c r="K230" s="25"/>
    </row>
    <row r="231">
      <c r="D231" s="25"/>
      <c r="E231" s="9"/>
      <c r="F231" s="25"/>
      <c r="G231" s="25"/>
      <c r="J231" s="25"/>
      <c r="K231" s="25"/>
    </row>
    <row r="232">
      <c r="D232" s="25"/>
      <c r="E232" s="9"/>
      <c r="F232" s="25"/>
      <c r="G232" s="25"/>
      <c r="J232" s="25"/>
      <c r="K232" s="25"/>
    </row>
    <row r="233">
      <c r="D233" s="25"/>
      <c r="E233" s="9"/>
      <c r="F233" s="25"/>
      <c r="G233" s="25"/>
      <c r="J233" s="25"/>
      <c r="K233" s="25"/>
    </row>
    <row r="234">
      <c r="D234" s="25"/>
      <c r="E234" s="9"/>
      <c r="F234" s="25"/>
      <c r="G234" s="25"/>
      <c r="J234" s="25"/>
      <c r="K234" s="25"/>
    </row>
    <row r="235">
      <c r="D235" s="25"/>
      <c r="E235" s="9"/>
      <c r="F235" s="25"/>
      <c r="G235" s="25"/>
      <c r="J235" s="25"/>
      <c r="K235" s="25"/>
    </row>
    <row r="236">
      <c r="D236" s="25"/>
      <c r="E236" s="9"/>
      <c r="F236" s="25"/>
      <c r="G236" s="25"/>
      <c r="J236" s="25"/>
      <c r="K236" s="25"/>
    </row>
    <row r="237">
      <c r="D237" s="25"/>
      <c r="E237" s="9"/>
      <c r="F237" s="25"/>
      <c r="G237" s="25"/>
      <c r="J237" s="25"/>
      <c r="K237" s="25"/>
    </row>
    <row r="238">
      <c r="D238" s="25"/>
      <c r="E238" s="9"/>
      <c r="F238" s="25"/>
      <c r="G238" s="25"/>
      <c r="J238" s="25"/>
      <c r="K238" s="25"/>
    </row>
    <row r="239">
      <c r="D239" s="25"/>
      <c r="E239" s="9"/>
      <c r="F239" s="25"/>
      <c r="G239" s="25"/>
      <c r="J239" s="25"/>
      <c r="K239" s="25"/>
    </row>
    <row r="240">
      <c r="D240" s="25"/>
      <c r="E240" s="9"/>
      <c r="F240" s="25"/>
      <c r="G240" s="25"/>
      <c r="J240" s="25"/>
      <c r="K240" s="25"/>
    </row>
    <row r="241">
      <c r="D241" s="25"/>
      <c r="E241" s="9"/>
      <c r="F241" s="25"/>
      <c r="G241" s="25"/>
      <c r="J241" s="25"/>
      <c r="K241" s="25"/>
    </row>
    <row r="242">
      <c r="D242" s="25"/>
      <c r="E242" s="9"/>
      <c r="F242" s="25"/>
      <c r="G242" s="25"/>
      <c r="J242" s="25"/>
      <c r="K242" s="25"/>
    </row>
    <row r="243">
      <c r="D243" s="25"/>
      <c r="E243" s="9"/>
      <c r="F243" s="25"/>
      <c r="G243" s="25"/>
      <c r="J243" s="25"/>
      <c r="K243" s="25"/>
    </row>
    <row r="244">
      <c r="D244" s="25"/>
      <c r="E244" s="9"/>
      <c r="F244" s="25"/>
      <c r="G244" s="25"/>
      <c r="J244" s="25"/>
      <c r="K244" s="25"/>
    </row>
    <row r="245">
      <c r="D245" s="25"/>
      <c r="E245" s="9"/>
      <c r="F245" s="25"/>
      <c r="G245" s="25"/>
      <c r="J245" s="25"/>
      <c r="K245" s="25"/>
    </row>
    <row r="246">
      <c r="D246" s="25"/>
      <c r="E246" s="9"/>
      <c r="F246" s="25"/>
      <c r="G246" s="25"/>
      <c r="J246" s="25"/>
      <c r="K246" s="25"/>
    </row>
    <row r="247">
      <c r="D247" s="25"/>
      <c r="E247" s="9"/>
      <c r="F247" s="25"/>
      <c r="G247" s="25"/>
      <c r="J247" s="25"/>
      <c r="K247" s="25"/>
    </row>
    <row r="248">
      <c r="D248" s="25"/>
      <c r="E248" s="9"/>
      <c r="F248" s="25"/>
      <c r="G248" s="25"/>
      <c r="J248" s="25"/>
      <c r="K248" s="25"/>
    </row>
    <row r="249">
      <c r="D249" s="25"/>
      <c r="E249" s="9"/>
      <c r="F249" s="25"/>
      <c r="G249" s="25"/>
      <c r="J249" s="25"/>
      <c r="K249" s="25"/>
    </row>
    <row r="250">
      <c r="D250" s="25"/>
      <c r="E250" s="9"/>
      <c r="F250" s="25"/>
      <c r="G250" s="25"/>
      <c r="J250" s="25"/>
      <c r="K250" s="25"/>
    </row>
    <row r="251">
      <c r="D251" s="25"/>
      <c r="E251" s="9"/>
      <c r="F251" s="25"/>
      <c r="G251" s="25"/>
      <c r="J251" s="25"/>
      <c r="K251" s="25"/>
    </row>
    <row r="252">
      <c r="D252" s="25"/>
      <c r="E252" s="9"/>
      <c r="F252" s="25"/>
      <c r="G252" s="25"/>
      <c r="J252" s="25"/>
      <c r="K252" s="25"/>
    </row>
    <row r="253">
      <c r="D253" s="25"/>
      <c r="E253" s="9"/>
      <c r="F253" s="25"/>
      <c r="G253" s="25"/>
      <c r="J253" s="25"/>
      <c r="K253" s="25"/>
    </row>
    <row r="254">
      <c r="D254" s="25"/>
      <c r="E254" s="9"/>
      <c r="F254" s="25"/>
      <c r="G254" s="25"/>
      <c r="J254" s="25"/>
      <c r="K254" s="25"/>
    </row>
    <row r="255">
      <c r="D255" s="25"/>
      <c r="E255" s="9"/>
      <c r="F255" s="25"/>
      <c r="G255" s="25"/>
      <c r="J255" s="25"/>
      <c r="K255" s="25"/>
    </row>
    <row r="256">
      <c r="D256" s="25"/>
      <c r="E256" s="9"/>
      <c r="F256" s="25"/>
      <c r="G256" s="25"/>
      <c r="J256" s="25"/>
      <c r="K256" s="25"/>
    </row>
    <row r="257">
      <c r="D257" s="25"/>
      <c r="E257" s="9"/>
      <c r="F257" s="25"/>
      <c r="G257" s="25"/>
      <c r="J257" s="25"/>
      <c r="K257" s="25"/>
    </row>
    <row r="258">
      <c r="D258" s="25"/>
      <c r="E258" s="9"/>
      <c r="F258" s="25"/>
      <c r="G258" s="25"/>
      <c r="J258" s="25"/>
      <c r="K258" s="25"/>
    </row>
    <row r="259">
      <c r="D259" s="25"/>
      <c r="E259" s="9"/>
      <c r="F259" s="25"/>
      <c r="G259" s="25"/>
      <c r="J259" s="25"/>
      <c r="K259" s="25"/>
    </row>
    <row r="260">
      <c r="D260" s="25"/>
      <c r="E260" s="9"/>
      <c r="F260" s="25"/>
      <c r="G260" s="25"/>
      <c r="J260" s="25"/>
      <c r="K260" s="25"/>
    </row>
    <row r="261">
      <c r="D261" s="25"/>
      <c r="E261" s="9"/>
      <c r="F261" s="25"/>
      <c r="G261" s="25"/>
      <c r="J261" s="25"/>
      <c r="K261" s="25"/>
    </row>
    <row r="262">
      <c r="D262" s="25"/>
      <c r="E262" s="9"/>
      <c r="F262" s="25"/>
      <c r="G262" s="25"/>
      <c r="J262" s="25"/>
      <c r="K262" s="25"/>
    </row>
    <row r="263">
      <c r="D263" s="25"/>
      <c r="E263" s="9"/>
      <c r="F263" s="25"/>
      <c r="G263" s="25"/>
      <c r="J263" s="25"/>
      <c r="K263" s="25"/>
    </row>
    <row r="264">
      <c r="D264" s="25"/>
      <c r="E264" s="9"/>
      <c r="F264" s="25"/>
      <c r="G264" s="25"/>
      <c r="J264" s="25"/>
      <c r="K264" s="25"/>
    </row>
    <row r="265">
      <c r="D265" s="25"/>
      <c r="E265" s="9"/>
      <c r="F265" s="25"/>
      <c r="G265" s="25"/>
      <c r="J265" s="25"/>
      <c r="K265" s="25"/>
    </row>
    <row r="266">
      <c r="D266" s="25"/>
      <c r="E266" s="9"/>
      <c r="F266" s="25"/>
      <c r="G266" s="25"/>
      <c r="J266" s="25"/>
      <c r="K266" s="25"/>
    </row>
    <row r="267">
      <c r="D267" s="25"/>
      <c r="E267" s="9"/>
      <c r="F267" s="25"/>
      <c r="G267" s="25"/>
      <c r="J267" s="25"/>
      <c r="K267" s="25"/>
    </row>
    <row r="268">
      <c r="D268" s="25"/>
      <c r="E268" s="9"/>
      <c r="F268" s="25"/>
      <c r="G268" s="25"/>
      <c r="J268" s="25"/>
      <c r="K268" s="25"/>
    </row>
    <row r="269">
      <c r="D269" s="25"/>
      <c r="E269" s="9"/>
      <c r="F269" s="25"/>
      <c r="G269" s="25"/>
      <c r="J269" s="25"/>
      <c r="K269" s="25"/>
    </row>
    <row r="270">
      <c r="D270" s="25"/>
      <c r="E270" s="9"/>
      <c r="F270" s="25"/>
      <c r="G270" s="25"/>
      <c r="J270" s="25"/>
      <c r="K270" s="25"/>
    </row>
    <row r="271">
      <c r="D271" s="25"/>
      <c r="E271" s="9"/>
      <c r="F271" s="25"/>
      <c r="G271" s="25"/>
      <c r="J271" s="25"/>
      <c r="K271" s="25"/>
    </row>
    <row r="272">
      <c r="D272" s="25"/>
      <c r="E272" s="9"/>
      <c r="F272" s="25"/>
      <c r="G272" s="25"/>
      <c r="J272" s="25"/>
      <c r="K272" s="25"/>
    </row>
    <row r="273">
      <c r="D273" s="25"/>
      <c r="E273" s="9"/>
      <c r="F273" s="25"/>
      <c r="G273" s="25"/>
      <c r="J273" s="25"/>
      <c r="K273" s="25"/>
    </row>
    <row r="274">
      <c r="D274" s="25"/>
      <c r="E274" s="9"/>
      <c r="F274" s="25"/>
      <c r="G274" s="25"/>
      <c r="J274" s="25"/>
      <c r="K274" s="25"/>
    </row>
    <row r="275">
      <c r="D275" s="25"/>
      <c r="E275" s="9"/>
      <c r="F275" s="25"/>
      <c r="G275" s="25"/>
      <c r="J275" s="25"/>
      <c r="K275" s="25"/>
    </row>
    <row r="276">
      <c r="D276" s="25"/>
      <c r="E276" s="9"/>
      <c r="F276" s="25"/>
      <c r="G276" s="25"/>
      <c r="J276" s="25"/>
      <c r="K276" s="25"/>
    </row>
    <row r="277">
      <c r="D277" s="25"/>
      <c r="E277" s="9"/>
      <c r="F277" s="25"/>
      <c r="G277" s="25"/>
      <c r="J277" s="25"/>
      <c r="K277" s="25"/>
    </row>
    <row r="278">
      <c r="D278" s="25"/>
      <c r="E278" s="9"/>
      <c r="F278" s="25"/>
      <c r="G278" s="25"/>
      <c r="J278" s="25"/>
      <c r="K278" s="25"/>
    </row>
    <row r="279">
      <c r="D279" s="25"/>
      <c r="E279" s="9"/>
      <c r="F279" s="25"/>
      <c r="G279" s="25"/>
      <c r="J279" s="25"/>
      <c r="K279" s="25"/>
    </row>
    <row r="280">
      <c r="D280" s="25"/>
      <c r="E280" s="9"/>
      <c r="F280" s="25"/>
      <c r="G280" s="25"/>
      <c r="J280" s="25"/>
      <c r="K280" s="25"/>
    </row>
    <row r="281">
      <c r="D281" s="25"/>
      <c r="E281" s="9"/>
      <c r="F281" s="25"/>
      <c r="G281" s="25"/>
      <c r="J281" s="25"/>
      <c r="K281" s="25"/>
    </row>
    <row r="282">
      <c r="D282" s="25"/>
      <c r="E282" s="9"/>
      <c r="F282" s="25"/>
      <c r="G282" s="25"/>
      <c r="J282" s="25"/>
      <c r="K282" s="25"/>
    </row>
    <row r="283">
      <c r="D283" s="25"/>
      <c r="E283" s="9"/>
      <c r="F283" s="25"/>
      <c r="G283" s="25"/>
      <c r="J283" s="25"/>
      <c r="K283" s="25"/>
    </row>
    <row r="284">
      <c r="D284" s="25"/>
      <c r="E284" s="9"/>
      <c r="F284" s="25"/>
      <c r="G284" s="25"/>
      <c r="J284" s="25"/>
      <c r="K284" s="25"/>
    </row>
    <row r="285">
      <c r="D285" s="25"/>
      <c r="E285" s="9"/>
      <c r="F285" s="25"/>
      <c r="G285" s="25"/>
      <c r="J285" s="25"/>
      <c r="K285" s="25"/>
    </row>
    <row r="286">
      <c r="D286" s="25"/>
      <c r="E286" s="9"/>
      <c r="F286" s="25"/>
      <c r="G286" s="25"/>
      <c r="J286" s="25"/>
      <c r="K286" s="25"/>
    </row>
    <row r="287">
      <c r="D287" s="25"/>
      <c r="E287" s="9"/>
      <c r="F287" s="25"/>
      <c r="G287" s="25"/>
      <c r="J287" s="25"/>
      <c r="K287" s="25"/>
    </row>
    <row r="288">
      <c r="D288" s="25"/>
      <c r="E288" s="9"/>
      <c r="F288" s="25"/>
      <c r="G288" s="25"/>
      <c r="J288" s="25"/>
      <c r="K288" s="25"/>
    </row>
    <row r="289">
      <c r="D289" s="25"/>
      <c r="E289" s="9"/>
      <c r="F289" s="25"/>
      <c r="G289" s="25"/>
      <c r="J289" s="25"/>
      <c r="K289" s="25"/>
    </row>
    <row r="290">
      <c r="D290" s="25"/>
      <c r="E290" s="9"/>
      <c r="F290" s="25"/>
      <c r="G290" s="25"/>
      <c r="J290" s="25"/>
      <c r="K290" s="25"/>
    </row>
    <row r="291">
      <c r="D291" s="25"/>
      <c r="E291" s="9"/>
      <c r="F291" s="25"/>
      <c r="G291" s="25"/>
      <c r="J291" s="25"/>
      <c r="K291" s="25"/>
    </row>
    <row r="292">
      <c r="D292" s="25"/>
      <c r="E292" s="9"/>
      <c r="F292" s="25"/>
      <c r="G292" s="25"/>
      <c r="J292" s="25"/>
      <c r="K292" s="25"/>
    </row>
    <row r="293">
      <c r="D293" s="25"/>
      <c r="E293" s="9"/>
      <c r="F293" s="25"/>
      <c r="G293" s="25"/>
      <c r="J293" s="25"/>
      <c r="K293" s="25"/>
    </row>
    <row r="294">
      <c r="D294" s="25"/>
      <c r="E294" s="9"/>
      <c r="F294" s="25"/>
      <c r="G294" s="25"/>
      <c r="J294" s="25"/>
      <c r="K294" s="25"/>
    </row>
    <row r="295">
      <c r="D295" s="25"/>
      <c r="E295" s="9"/>
      <c r="F295" s="25"/>
      <c r="G295" s="25"/>
      <c r="J295" s="25"/>
      <c r="K295" s="25"/>
    </row>
    <row r="296">
      <c r="D296" s="25"/>
      <c r="E296" s="9"/>
      <c r="F296" s="25"/>
      <c r="G296" s="25"/>
      <c r="J296" s="25"/>
      <c r="K296" s="25"/>
    </row>
    <row r="297">
      <c r="D297" s="25"/>
      <c r="E297" s="9"/>
      <c r="F297" s="25"/>
      <c r="G297" s="25"/>
      <c r="J297" s="25"/>
      <c r="K297" s="25"/>
    </row>
    <row r="298">
      <c r="D298" s="25"/>
      <c r="E298" s="9"/>
      <c r="F298" s="25"/>
      <c r="G298" s="25"/>
      <c r="J298" s="25"/>
      <c r="K298" s="25"/>
    </row>
    <row r="299">
      <c r="D299" s="25"/>
      <c r="E299" s="9"/>
      <c r="F299" s="25"/>
      <c r="G299" s="25"/>
      <c r="J299" s="25"/>
      <c r="K299" s="25"/>
    </row>
    <row r="300">
      <c r="D300" s="25"/>
      <c r="E300" s="9"/>
      <c r="F300" s="25"/>
      <c r="G300" s="25"/>
      <c r="J300" s="25"/>
      <c r="K300" s="25"/>
    </row>
    <row r="301">
      <c r="D301" s="25"/>
      <c r="E301" s="9"/>
      <c r="F301" s="25"/>
      <c r="G301" s="25"/>
      <c r="J301" s="25"/>
      <c r="K301" s="25"/>
    </row>
    <row r="302">
      <c r="D302" s="25"/>
      <c r="E302" s="9"/>
      <c r="F302" s="25"/>
      <c r="G302" s="25"/>
      <c r="J302" s="25"/>
      <c r="K302" s="25"/>
    </row>
    <row r="303">
      <c r="D303" s="25"/>
      <c r="E303" s="9"/>
      <c r="F303" s="25"/>
      <c r="G303" s="25"/>
      <c r="J303" s="25"/>
      <c r="K303" s="25"/>
    </row>
    <row r="304">
      <c r="D304" s="25"/>
      <c r="E304" s="9"/>
      <c r="F304" s="25"/>
      <c r="G304" s="25"/>
      <c r="J304" s="25"/>
      <c r="K304" s="25"/>
    </row>
    <row r="305">
      <c r="D305" s="25"/>
      <c r="E305" s="9"/>
      <c r="F305" s="25"/>
      <c r="G305" s="25"/>
      <c r="J305" s="25"/>
      <c r="K305" s="25"/>
    </row>
    <row r="306">
      <c r="D306" s="25"/>
      <c r="E306" s="9"/>
      <c r="F306" s="25"/>
      <c r="G306" s="25"/>
      <c r="J306" s="25"/>
      <c r="K306" s="25"/>
    </row>
    <row r="307">
      <c r="D307" s="25"/>
      <c r="E307" s="9"/>
      <c r="F307" s="25"/>
      <c r="G307" s="25"/>
      <c r="J307" s="25"/>
      <c r="K307" s="25"/>
    </row>
    <row r="308">
      <c r="D308" s="25"/>
      <c r="E308" s="9"/>
      <c r="F308" s="25"/>
      <c r="G308" s="25"/>
      <c r="J308" s="25"/>
      <c r="K308" s="25"/>
    </row>
    <row r="309">
      <c r="D309" s="25"/>
      <c r="E309" s="9"/>
      <c r="F309" s="25"/>
      <c r="G309" s="25"/>
      <c r="J309" s="25"/>
      <c r="K309" s="25"/>
    </row>
    <row r="310">
      <c r="D310" s="25"/>
      <c r="E310" s="9"/>
      <c r="F310" s="25"/>
      <c r="G310" s="25"/>
      <c r="J310" s="25"/>
      <c r="K310" s="25"/>
    </row>
    <row r="311">
      <c r="D311" s="25"/>
      <c r="E311" s="9"/>
      <c r="F311" s="25"/>
      <c r="G311" s="25"/>
      <c r="J311" s="25"/>
      <c r="K311" s="25"/>
    </row>
    <row r="312">
      <c r="D312" s="25"/>
      <c r="E312" s="9"/>
      <c r="F312" s="25"/>
      <c r="G312" s="25"/>
      <c r="J312" s="25"/>
      <c r="K312" s="25"/>
    </row>
    <row r="313">
      <c r="D313" s="25"/>
      <c r="E313" s="9"/>
      <c r="F313" s="25"/>
      <c r="G313" s="25"/>
      <c r="J313" s="25"/>
      <c r="K313" s="25"/>
    </row>
    <row r="314">
      <c r="D314" s="25"/>
      <c r="E314" s="9"/>
      <c r="F314" s="25"/>
      <c r="G314" s="25"/>
      <c r="J314" s="25"/>
      <c r="K314" s="25"/>
    </row>
    <row r="315">
      <c r="D315" s="25"/>
      <c r="E315" s="9"/>
      <c r="F315" s="25"/>
      <c r="G315" s="25"/>
      <c r="J315" s="25"/>
      <c r="K315" s="25"/>
    </row>
    <row r="316">
      <c r="D316" s="25"/>
      <c r="E316" s="9"/>
      <c r="F316" s="25"/>
      <c r="G316" s="25"/>
      <c r="J316" s="25"/>
      <c r="K316" s="25"/>
    </row>
    <row r="317">
      <c r="D317" s="25"/>
      <c r="E317" s="9"/>
      <c r="F317" s="25"/>
      <c r="G317" s="25"/>
      <c r="J317" s="25"/>
      <c r="K317" s="25"/>
    </row>
    <row r="318">
      <c r="D318" s="25"/>
      <c r="E318" s="9"/>
      <c r="F318" s="25"/>
      <c r="G318" s="25"/>
      <c r="J318" s="25"/>
      <c r="K318" s="25"/>
    </row>
    <row r="319">
      <c r="D319" s="25"/>
      <c r="E319" s="9"/>
      <c r="F319" s="25"/>
      <c r="G319" s="25"/>
      <c r="J319" s="25"/>
      <c r="K319" s="25"/>
    </row>
    <row r="320">
      <c r="D320" s="25"/>
      <c r="E320" s="9"/>
      <c r="F320" s="25"/>
      <c r="G320" s="25"/>
      <c r="J320" s="25"/>
      <c r="K320" s="25"/>
    </row>
    <row r="321">
      <c r="D321" s="25"/>
      <c r="E321" s="9"/>
      <c r="F321" s="25"/>
      <c r="G321" s="25"/>
      <c r="J321" s="25"/>
      <c r="K321" s="25"/>
    </row>
    <row r="322">
      <c r="D322" s="25"/>
      <c r="E322" s="9"/>
      <c r="F322" s="25"/>
      <c r="G322" s="25"/>
      <c r="J322" s="25"/>
      <c r="K322" s="25"/>
    </row>
    <row r="323">
      <c r="D323" s="25"/>
      <c r="E323" s="9"/>
      <c r="F323" s="25"/>
      <c r="G323" s="25"/>
      <c r="J323" s="25"/>
      <c r="K323" s="25"/>
    </row>
    <row r="324">
      <c r="D324" s="25"/>
      <c r="E324" s="9"/>
      <c r="F324" s="25"/>
      <c r="G324" s="25"/>
      <c r="J324" s="25"/>
      <c r="K324" s="25"/>
    </row>
    <row r="325">
      <c r="D325" s="25"/>
      <c r="E325" s="9"/>
      <c r="F325" s="25"/>
      <c r="G325" s="25"/>
      <c r="J325" s="25"/>
      <c r="K325" s="25"/>
    </row>
    <row r="326">
      <c r="D326" s="25"/>
      <c r="E326" s="9"/>
      <c r="F326" s="25"/>
      <c r="G326" s="25"/>
      <c r="J326" s="25"/>
      <c r="K326" s="25"/>
    </row>
    <row r="327">
      <c r="D327" s="25"/>
      <c r="E327" s="9"/>
      <c r="F327" s="25"/>
      <c r="G327" s="25"/>
      <c r="J327" s="25"/>
      <c r="K327" s="25"/>
    </row>
    <row r="328">
      <c r="D328" s="25"/>
      <c r="E328" s="9"/>
      <c r="F328" s="25"/>
      <c r="G328" s="25"/>
      <c r="J328" s="25"/>
      <c r="K328" s="25"/>
    </row>
    <row r="329">
      <c r="D329" s="25"/>
      <c r="E329" s="9"/>
      <c r="F329" s="25"/>
      <c r="G329" s="25"/>
      <c r="J329" s="25"/>
      <c r="K329" s="25"/>
    </row>
    <row r="330">
      <c r="D330" s="25"/>
      <c r="E330" s="9"/>
      <c r="F330" s="25"/>
      <c r="G330" s="25"/>
      <c r="J330" s="25"/>
      <c r="K330" s="25"/>
    </row>
    <row r="331">
      <c r="D331" s="25"/>
      <c r="E331" s="9"/>
      <c r="F331" s="25"/>
      <c r="G331" s="25"/>
      <c r="J331" s="25"/>
      <c r="K331" s="25"/>
    </row>
    <row r="332">
      <c r="D332" s="25"/>
      <c r="E332" s="9"/>
      <c r="F332" s="25"/>
      <c r="G332" s="25"/>
      <c r="J332" s="25"/>
      <c r="K332" s="25"/>
    </row>
    <row r="333">
      <c r="D333" s="25"/>
      <c r="E333" s="9"/>
      <c r="F333" s="25"/>
      <c r="G333" s="25"/>
      <c r="J333" s="25"/>
      <c r="K333" s="25"/>
    </row>
    <row r="334">
      <c r="D334" s="25"/>
      <c r="E334" s="9"/>
      <c r="F334" s="25"/>
      <c r="G334" s="25"/>
      <c r="J334" s="25"/>
      <c r="K334" s="25"/>
    </row>
    <row r="335">
      <c r="D335" s="25"/>
      <c r="E335" s="9"/>
      <c r="F335" s="25"/>
      <c r="G335" s="25"/>
      <c r="J335" s="25"/>
      <c r="K335" s="25"/>
    </row>
    <row r="336">
      <c r="D336" s="25"/>
      <c r="E336" s="9"/>
      <c r="F336" s="25"/>
      <c r="G336" s="25"/>
      <c r="J336" s="25"/>
      <c r="K336" s="25"/>
    </row>
    <row r="337">
      <c r="D337" s="25"/>
      <c r="E337" s="9"/>
      <c r="F337" s="25"/>
      <c r="G337" s="25"/>
      <c r="J337" s="25"/>
      <c r="K337" s="25"/>
    </row>
    <row r="338">
      <c r="D338" s="25"/>
      <c r="E338" s="9"/>
      <c r="F338" s="25"/>
      <c r="G338" s="25"/>
      <c r="J338" s="25"/>
      <c r="K338" s="25"/>
    </row>
    <row r="339">
      <c r="D339" s="25"/>
      <c r="E339" s="9"/>
      <c r="F339" s="25"/>
      <c r="G339" s="25"/>
      <c r="J339" s="25"/>
      <c r="K339" s="25"/>
    </row>
    <row r="340">
      <c r="D340" s="25"/>
      <c r="E340" s="9"/>
      <c r="F340" s="25"/>
      <c r="G340" s="25"/>
      <c r="J340" s="25"/>
      <c r="K340" s="25"/>
    </row>
    <row r="341">
      <c r="D341" s="25"/>
      <c r="E341" s="9"/>
      <c r="F341" s="25"/>
      <c r="G341" s="25"/>
      <c r="J341" s="25"/>
      <c r="K341" s="25"/>
    </row>
    <row r="342">
      <c r="D342" s="25"/>
      <c r="E342" s="9"/>
      <c r="F342" s="25"/>
      <c r="G342" s="25"/>
      <c r="J342" s="25"/>
      <c r="K342" s="25"/>
    </row>
    <row r="343">
      <c r="D343" s="25"/>
      <c r="E343" s="9"/>
      <c r="F343" s="25"/>
      <c r="G343" s="25"/>
      <c r="J343" s="25"/>
      <c r="K343" s="25"/>
    </row>
    <row r="344">
      <c r="D344" s="25"/>
      <c r="E344" s="9"/>
      <c r="F344" s="25"/>
      <c r="G344" s="25"/>
      <c r="J344" s="25"/>
      <c r="K344" s="25"/>
    </row>
    <row r="345">
      <c r="D345" s="25"/>
      <c r="E345" s="9"/>
      <c r="F345" s="25"/>
      <c r="G345" s="25"/>
      <c r="J345" s="25"/>
      <c r="K345" s="25"/>
    </row>
    <row r="346">
      <c r="D346" s="25"/>
      <c r="E346" s="9"/>
      <c r="F346" s="25"/>
      <c r="G346" s="25"/>
      <c r="J346" s="25"/>
      <c r="K346" s="25"/>
    </row>
    <row r="347">
      <c r="D347" s="25"/>
      <c r="E347" s="9"/>
      <c r="F347" s="25"/>
      <c r="G347" s="25"/>
      <c r="J347" s="25"/>
      <c r="K347" s="25"/>
    </row>
    <row r="348">
      <c r="D348" s="25"/>
      <c r="E348" s="9"/>
      <c r="F348" s="25"/>
      <c r="G348" s="25"/>
      <c r="J348" s="25"/>
      <c r="K348" s="25"/>
    </row>
    <row r="349">
      <c r="D349" s="25"/>
      <c r="E349" s="9"/>
      <c r="F349" s="25"/>
      <c r="G349" s="25"/>
      <c r="J349" s="25"/>
      <c r="K349" s="25"/>
    </row>
    <row r="350">
      <c r="D350" s="25"/>
      <c r="E350" s="9"/>
      <c r="F350" s="25"/>
      <c r="G350" s="25"/>
      <c r="J350" s="25"/>
      <c r="K350" s="25"/>
    </row>
    <row r="351">
      <c r="D351" s="25"/>
      <c r="E351" s="9"/>
      <c r="F351" s="25"/>
      <c r="G351" s="25"/>
      <c r="J351" s="25"/>
      <c r="K351" s="25"/>
    </row>
    <row r="352">
      <c r="D352" s="25"/>
      <c r="E352" s="9"/>
      <c r="F352" s="25"/>
      <c r="G352" s="25"/>
      <c r="J352" s="25"/>
      <c r="K352" s="25"/>
    </row>
    <row r="353">
      <c r="D353" s="25"/>
      <c r="E353" s="9"/>
      <c r="F353" s="25"/>
      <c r="G353" s="25"/>
      <c r="J353" s="25"/>
      <c r="K353" s="25"/>
    </row>
    <row r="354">
      <c r="D354" s="25"/>
      <c r="E354" s="9"/>
      <c r="F354" s="25"/>
      <c r="G354" s="25"/>
      <c r="J354" s="25"/>
      <c r="K354" s="25"/>
    </row>
    <row r="355">
      <c r="D355" s="25"/>
      <c r="E355" s="9"/>
      <c r="F355" s="25"/>
      <c r="G355" s="25"/>
      <c r="J355" s="25"/>
      <c r="K355" s="25"/>
    </row>
    <row r="356">
      <c r="D356" s="25"/>
      <c r="E356" s="9"/>
      <c r="F356" s="25"/>
      <c r="G356" s="25"/>
      <c r="J356" s="25"/>
      <c r="K356" s="25"/>
    </row>
    <row r="357">
      <c r="D357" s="25"/>
      <c r="E357" s="9"/>
      <c r="F357" s="25"/>
      <c r="G357" s="25"/>
      <c r="J357" s="25"/>
      <c r="K357" s="25"/>
    </row>
    <row r="358">
      <c r="D358" s="25"/>
      <c r="E358" s="9"/>
      <c r="F358" s="25"/>
      <c r="G358" s="25"/>
      <c r="J358" s="25"/>
      <c r="K358" s="25"/>
    </row>
    <row r="359">
      <c r="D359" s="25"/>
      <c r="E359" s="9"/>
      <c r="F359" s="25"/>
      <c r="G359" s="25"/>
      <c r="J359" s="25"/>
      <c r="K359" s="25"/>
    </row>
    <row r="360">
      <c r="D360" s="25"/>
      <c r="E360" s="9"/>
      <c r="F360" s="25"/>
      <c r="G360" s="25"/>
      <c r="J360" s="25"/>
      <c r="K360" s="25"/>
    </row>
    <row r="361">
      <c r="D361" s="25"/>
      <c r="E361" s="9"/>
      <c r="F361" s="25"/>
      <c r="G361" s="25"/>
      <c r="J361" s="25"/>
      <c r="K361" s="25"/>
    </row>
    <row r="362">
      <c r="D362" s="25"/>
      <c r="E362" s="9"/>
      <c r="F362" s="25"/>
      <c r="G362" s="25"/>
      <c r="J362" s="25"/>
      <c r="K362" s="25"/>
    </row>
    <row r="363">
      <c r="D363" s="25"/>
      <c r="E363" s="9"/>
      <c r="F363" s="25"/>
      <c r="G363" s="25"/>
      <c r="J363" s="25"/>
      <c r="K363" s="25"/>
    </row>
    <row r="364">
      <c r="D364" s="25"/>
      <c r="E364" s="9"/>
      <c r="F364" s="25"/>
      <c r="G364" s="25"/>
      <c r="J364" s="25"/>
      <c r="K364" s="25"/>
    </row>
    <row r="365">
      <c r="D365" s="25"/>
      <c r="E365" s="9"/>
      <c r="F365" s="25"/>
      <c r="G365" s="25"/>
      <c r="J365" s="25"/>
      <c r="K365" s="25"/>
    </row>
    <row r="366">
      <c r="D366" s="25"/>
      <c r="E366" s="9"/>
      <c r="F366" s="25"/>
      <c r="G366" s="25"/>
      <c r="J366" s="25"/>
      <c r="K366" s="25"/>
    </row>
    <row r="367">
      <c r="D367" s="25"/>
      <c r="E367" s="9"/>
      <c r="F367" s="25"/>
      <c r="G367" s="25"/>
      <c r="J367" s="25"/>
      <c r="K367" s="25"/>
    </row>
    <row r="368">
      <c r="D368" s="25"/>
      <c r="E368" s="9"/>
      <c r="F368" s="25"/>
      <c r="G368" s="25"/>
      <c r="J368" s="25"/>
      <c r="K368" s="25"/>
    </row>
    <row r="369">
      <c r="D369" s="25"/>
      <c r="E369" s="9"/>
      <c r="F369" s="25"/>
      <c r="G369" s="25"/>
      <c r="J369" s="25"/>
      <c r="K369" s="25"/>
    </row>
    <row r="370">
      <c r="D370" s="25"/>
      <c r="E370" s="9"/>
      <c r="F370" s="25"/>
      <c r="G370" s="25"/>
      <c r="J370" s="25"/>
      <c r="K370" s="25"/>
    </row>
    <row r="371">
      <c r="D371" s="25"/>
      <c r="E371" s="9"/>
      <c r="F371" s="25"/>
      <c r="G371" s="25"/>
      <c r="J371" s="25"/>
      <c r="K371" s="25"/>
    </row>
    <row r="372">
      <c r="D372" s="25"/>
      <c r="E372" s="9"/>
      <c r="F372" s="25"/>
      <c r="G372" s="25"/>
      <c r="J372" s="25"/>
      <c r="K372" s="25"/>
    </row>
    <row r="373">
      <c r="D373" s="25"/>
      <c r="E373" s="9"/>
      <c r="F373" s="25"/>
      <c r="G373" s="25"/>
      <c r="J373" s="25"/>
      <c r="K373" s="25"/>
    </row>
    <row r="374">
      <c r="D374" s="25"/>
      <c r="E374" s="9"/>
      <c r="F374" s="25"/>
      <c r="G374" s="25"/>
      <c r="J374" s="25"/>
      <c r="K374" s="25"/>
    </row>
    <row r="375">
      <c r="D375" s="25"/>
      <c r="E375" s="9"/>
      <c r="F375" s="25"/>
      <c r="G375" s="25"/>
      <c r="J375" s="25"/>
      <c r="K375" s="25"/>
    </row>
    <row r="376">
      <c r="D376" s="25"/>
      <c r="E376" s="9"/>
      <c r="F376" s="25"/>
      <c r="G376" s="25"/>
      <c r="J376" s="25"/>
      <c r="K376" s="25"/>
    </row>
    <row r="377">
      <c r="D377" s="25"/>
      <c r="E377" s="9"/>
      <c r="F377" s="25"/>
      <c r="G377" s="25"/>
      <c r="J377" s="25"/>
      <c r="K377" s="25"/>
    </row>
    <row r="378">
      <c r="D378" s="25"/>
      <c r="E378" s="9"/>
      <c r="F378" s="25"/>
      <c r="G378" s="25"/>
      <c r="J378" s="25"/>
      <c r="K378" s="25"/>
    </row>
    <row r="379">
      <c r="D379" s="25"/>
      <c r="E379" s="9"/>
      <c r="F379" s="25"/>
      <c r="G379" s="25"/>
      <c r="J379" s="25"/>
      <c r="K379" s="25"/>
    </row>
    <row r="380">
      <c r="D380" s="25"/>
      <c r="E380" s="9"/>
      <c r="F380" s="25"/>
      <c r="G380" s="25"/>
      <c r="J380" s="25"/>
      <c r="K380" s="25"/>
    </row>
    <row r="381">
      <c r="D381" s="25"/>
      <c r="E381" s="9"/>
      <c r="F381" s="25"/>
      <c r="G381" s="25"/>
      <c r="J381" s="25"/>
      <c r="K381" s="25"/>
    </row>
    <row r="382">
      <c r="D382" s="25"/>
      <c r="E382" s="9"/>
      <c r="F382" s="25"/>
      <c r="G382" s="25"/>
      <c r="J382" s="25"/>
      <c r="K382" s="25"/>
    </row>
    <row r="383">
      <c r="D383" s="25"/>
      <c r="E383" s="9"/>
      <c r="F383" s="25"/>
      <c r="G383" s="25"/>
      <c r="J383" s="25"/>
      <c r="K383" s="25"/>
    </row>
    <row r="384">
      <c r="D384" s="25"/>
      <c r="E384" s="9"/>
      <c r="F384" s="25"/>
      <c r="G384" s="25"/>
      <c r="J384" s="25"/>
      <c r="K384" s="25"/>
    </row>
    <row r="385">
      <c r="D385" s="25"/>
      <c r="E385" s="9"/>
      <c r="F385" s="25"/>
      <c r="G385" s="25"/>
      <c r="J385" s="25"/>
      <c r="K385" s="25"/>
    </row>
    <row r="386">
      <c r="D386" s="25"/>
      <c r="E386" s="9"/>
      <c r="F386" s="25"/>
      <c r="G386" s="25"/>
      <c r="J386" s="25"/>
      <c r="K386" s="25"/>
    </row>
    <row r="387">
      <c r="D387" s="25"/>
      <c r="E387" s="9"/>
      <c r="F387" s="25"/>
      <c r="G387" s="25"/>
      <c r="J387" s="25"/>
      <c r="K387" s="25"/>
    </row>
    <row r="388">
      <c r="D388" s="25"/>
      <c r="E388" s="9"/>
      <c r="F388" s="25"/>
      <c r="G388" s="25"/>
      <c r="J388" s="25"/>
      <c r="K388" s="25"/>
    </row>
    <row r="389">
      <c r="D389" s="25"/>
      <c r="E389" s="9"/>
      <c r="F389" s="25"/>
      <c r="G389" s="25"/>
      <c r="J389" s="25"/>
      <c r="K389" s="25"/>
    </row>
    <row r="390">
      <c r="D390" s="25"/>
      <c r="E390" s="9"/>
      <c r="F390" s="25"/>
      <c r="G390" s="25"/>
      <c r="J390" s="25"/>
      <c r="K390" s="25"/>
    </row>
    <row r="391">
      <c r="D391" s="25"/>
      <c r="E391" s="9"/>
      <c r="F391" s="25"/>
      <c r="G391" s="25"/>
      <c r="J391" s="25"/>
      <c r="K391" s="25"/>
    </row>
    <row r="392">
      <c r="D392" s="25"/>
      <c r="E392" s="9"/>
      <c r="F392" s="25"/>
      <c r="G392" s="25"/>
      <c r="J392" s="25"/>
      <c r="K392" s="25"/>
    </row>
    <row r="393">
      <c r="D393" s="25"/>
      <c r="E393" s="9"/>
      <c r="F393" s="25"/>
      <c r="G393" s="25"/>
      <c r="J393" s="25"/>
      <c r="K393" s="25"/>
    </row>
    <row r="394">
      <c r="D394" s="25"/>
      <c r="E394" s="9"/>
      <c r="F394" s="25"/>
      <c r="G394" s="25"/>
      <c r="J394" s="25"/>
      <c r="K394" s="25"/>
    </row>
    <row r="395">
      <c r="D395" s="25"/>
      <c r="E395" s="9"/>
      <c r="F395" s="25"/>
      <c r="G395" s="25"/>
      <c r="J395" s="25"/>
      <c r="K395" s="25"/>
    </row>
    <row r="396">
      <c r="D396" s="25"/>
      <c r="E396" s="9"/>
      <c r="F396" s="25"/>
      <c r="G396" s="25"/>
      <c r="J396" s="25"/>
      <c r="K396" s="25"/>
    </row>
    <row r="397">
      <c r="D397" s="25"/>
      <c r="E397" s="9"/>
      <c r="F397" s="25"/>
      <c r="G397" s="25"/>
      <c r="J397" s="25"/>
      <c r="K397" s="25"/>
    </row>
    <row r="398">
      <c r="D398" s="25"/>
      <c r="E398" s="9"/>
      <c r="F398" s="25"/>
      <c r="G398" s="25"/>
      <c r="J398" s="25"/>
      <c r="K398" s="25"/>
    </row>
    <row r="399">
      <c r="D399" s="25"/>
      <c r="E399" s="9"/>
      <c r="F399" s="25"/>
      <c r="G399" s="25"/>
      <c r="J399" s="25"/>
      <c r="K399" s="25"/>
    </row>
    <row r="400">
      <c r="D400" s="25"/>
      <c r="E400" s="9"/>
      <c r="F400" s="25"/>
      <c r="G400" s="25"/>
      <c r="J400" s="25"/>
      <c r="K400" s="25"/>
    </row>
    <row r="401">
      <c r="D401" s="25"/>
      <c r="E401" s="9"/>
      <c r="F401" s="25"/>
      <c r="G401" s="25"/>
      <c r="J401" s="25"/>
      <c r="K401" s="25"/>
    </row>
    <row r="402">
      <c r="D402" s="25"/>
      <c r="E402" s="9"/>
      <c r="F402" s="25"/>
      <c r="G402" s="25"/>
      <c r="J402" s="25"/>
      <c r="K402" s="25"/>
    </row>
    <row r="403">
      <c r="D403" s="25"/>
      <c r="E403" s="9"/>
      <c r="F403" s="25"/>
      <c r="G403" s="25"/>
      <c r="J403" s="25"/>
      <c r="K403" s="25"/>
    </row>
    <row r="404">
      <c r="D404" s="25"/>
      <c r="E404" s="9"/>
      <c r="F404" s="25"/>
      <c r="G404" s="25"/>
      <c r="J404" s="25"/>
      <c r="K404" s="25"/>
    </row>
    <row r="405">
      <c r="D405" s="25"/>
      <c r="E405" s="9"/>
      <c r="F405" s="25"/>
      <c r="G405" s="25"/>
      <c r="J405" s="25"/>
      <c r="K405" s="25"/>
    </row>
    <row r="406">
      <c r="D406" s="25"/>
      <c r="E406" s="9"/>
      <c r="F406" s="25"/>
      <c r="G406" s="25"/>
      <c r="J406" s="25"/>
      <c r="K406" s="25"/>
    </row>
    <row r="407">
      <c r="D407" s="25"/>
      <c r="E407" s="9"/>
      <c r="F407" s="25"/>
      <c r="G407" s="25"/>
      <c r="J407" s="25"/>
      <c r="K407" s="25"/>
    </row>
    <row r="408">
      <c r="D408" s="25"/>
      <c r="E408" s="9"/>
      <c r="F408" s="25"/>
      <c r="G408" s="25"/>
      <c r="J408" s="25"/>
      <c r="K408" s="25"/>
    </row>
    <row r="409">
      <c r="D409" s="25"/>
      <c r="E409" s="9"/>
      <c r="F409" s="25"/>
      <c r="G409" s="25"/>
      <c r="J409" s="25"/>
      <c r="K409" s="25"/>
    </row>
    <row r="410">
      <c r="D410" s="25"/>
      <c r="E410" s="9"/>
      <c r="F410" s="25"/>
      <c r="G410" s="25"/>
      <c r="J410" s="25"/>
      <c r="K410" s="25"/>
    </row>
    <row r="411">
      <c r="D411" s="25"/>
      <c r="E411" s="9"/>
      <c r="F411" s="25"/>
      <c r="G411" s="25"/>
      <c r="J411" s="25"/>
      <c r="K411" s="25"/>
    </row>
    <row r="412">
      <c r="D412" s="25"/>
      <c r="E412" s="9"/>
      <c r="F412" s="25"/>
      <c r="G412" s="25"/>
      <c r="J412" s="25"/>
      <c r="K412" s="25"/>
    </row>
    <row r="413">
      <c r="D413" s="25"/>
      <c r="E413" s="9"/>
      <c r="F413" s="25"/>
      <c r="G413" s="25"/>
      <c r="J413" s="25"/>
      <c r="K413" s="25"/>
    </row>
    <row r="414">
      <c r="D414" s="25"/>
      <c r="E414" s="9"/>
      <c r="F414" s="25"/>
      <c r="G414" s="25"/>
      <c r="J414" s="25"/>
      <c r="K414" s="25"/>
    </row>
    <row r="415">
      <c r="D415" s="25"/>
      <c r="E415" s="9"/>
      <c r="F415" s="25"/>
      <c r="G415" s="25"/>
      <c r="J415" s="25"/>
      <c r="K415" s="25"/>
    </row>
    <row r="416">
      <c r="D416" s="25"/>
      <c r="E416" s="9"/>
      <c r="F416" s="25"/>
      <c r="G416" s="25"/>
      <c r="J416" s="25"/>
      <c r="K416" s="25"/>
    </row>
    <row r="417">
      <c r="D417" s="25"/>
      <c r="E417" s="9"/>
      <c r="F417" s="25"/>
      <c r="G417" s="25"/>
      <c r="J417" s="25"/>
      <c r="K417" s="25"/>
    </row>
    <row r="418">
      <c r="D418" s="25"/>
      <c r="E418" s="9"/>
      <c r="F418" s="25"/>
      <c r="G418" s="25"/>
      <c r="J418" s="25"/>
      <c r="K418" s="25"/>
    </row>
    <row r="419">
      <c r="D419" s="25"/>
      <c r="E419" s="9"/>
      <c r="F419" s="25"/>
      <c r="G419" s="25"/>
      <c r="J419" s="25"/>
      <c r="K419" s="25"/>
    </row>
    <row r="420">
      <c r="D420" s="25"/>
      <c r="E420" s="9"/>
      <c r="F420" s="25"/>
      <c r="G420" s="25"/>
      <c r="J420" s="25"/>
      <c r="K420" s="25"/>
    </row>
    <row r="421">
      <c r="D421" s="25"/>
      <c r="E421" s="9"/>
      <c r="F421" s="25"/>
      <c r="G421" s="25"/>
      <c r="J421" s="25"/>
      <c r="K421" s="25"/>
    </row>
    <row r="422">
      <c r="D422" s="25"/>
      <c r="E422" s="9"/>
      <c r="F422" s="25"/>
      <c r="G422" s="25"/>
      <c r="J422" s="25"/>
      <c r="K422" s="25"/>
    </row>
    <row r="423">
      <c r="D423" s="25"/>
      <c r="E423" s="9"/>
      <c r="F423" s="25"/>
      <c r="G423" s="25"/>
      <c r="J423" s="25"/>
      <c r="K423" s="25"/>
    </row>
    <row r="424">
      <c r="D424" s="25"/>
      <c r="E424" s="9"/>
      <c r="F424" s="25"/>
      <c r="G424" s="25"/>
      <c r="J424" s="25"/>
      <c r="K424" s="25"/>
    </row>
    <row r="425">
      <c r="D425" s="25"/>
      <c r="E425" s="9"/>
      <c r="F425" s="25"/>
      <c r="G425" s="25"/>
      <c r="J425" s="25"/>
      <c r="K425" s="25"/>
    </row>
    <row r="426">
      <c r="D426" s="25"/>
      <c r="E426" s="9"/>
      <c r="F426" s="25"/>
      <c r="G426" s="25"/>
      <c r="J426" s="25"/>
      <c r="K426" s="25"/>
    </row>
    <row r="427">
      <c r="D427" s="25"/>
      <c r="E427" s="9"/>
      <c r="F427" s="25"/>
      <c r="G427" s="25"/>
      <c r="J427" s="25"/>
      <c r="K427" s="25"/>
    </row>
    <row r="428">
      <c r="D428" s="25"/>
      <c r="E428" s="9"/>
      <c r="F428" s="25"/>
      <c r="G428" s="25"/>
      <c r="J428" s="25"/>
      <c r="K428" s="25"/>
    </row>
    <row r="429">
      <c r="D429" s="25"/>
      <c r="E429" s="9"/>
      <c r="F429" s="25"/>
      <c r="G429" s="25"/>
      <c r="J429" s="25"/>
      <c r="K429" s="25"/>
    </row>
    <row r="430">
      <c r="D430" s="25"/>
      <c r="E430" s="9"/>
      <c r="F430" s="25"/>
      <c r="G430" s="25"/>
      <c r="J430" s="25"/>
      <c r="K430" s="25"/>
    </row>
    <row r="431">
      <c r="D431" s="25"/>
      <c r="E431" s="9"/>
      <c r="F431" s="25"/>
      <c r="G431" s="25"/>
      <c r="J431" s="25"/>
      <c r="K431" s="25"/>
    </row>
    <row r="432">
      <c r="D432" s="25"/>
      <c r="E432" s="9"/>
      <c r="F432" s="25"/>
      <c r="G432" s="25"/>
      <c r="J432" s="25"/>
      <c r="K432" s="25"/>
    </row>
    <row r="433">
      <c r="D433" s="25"/>
      <c r="E433" s="9"/>
      <c r="F433" s="25"/>
      <c r="G433" s="25"/>
      <c r="J433" s="25"/>
      <c r="K433" s="25"/>
    </row>
    <row r="434">
      <c r="D434" s="25"/>
      <c r="E434" s="9"/>
      <c r="F434" s="25"/>
      <c r="G434" s="25"/>
      <c r="J434" s="25"/>
      <c r="K434" s="25"/>
    </row>
    <row r="435">
      <c r="D435" s="25"/>
      <c r="E435" s="9"/>
      <c r="F435" s="25"/>
      <c r="G435" s="25"/>
      <c r="J435" s="25"/>
      <c r="K435" s="25"/>
    </row>
    <row r="436">
      <c r="D436" s="25"/>
      <c r="E436" s="9"/>
      <c r="F436" s="25"/>
      <c r="G436" s="25"/>
      <c r="J436" s="25"/>
      <c r="K436" s="25"/>
    </row>
    <row r="437">
      <c r="D437" s="25"/>
      <c r="E437" s="9"/>
      <c r="F437" s="25"/>
      <c r="G437" s="25"/>
      <c r="J437" s="25"/>
      <c r="K437" s="25"/>
    </row>
    <row r="438">
      <c r="D438" s="25"/>
      <c r="E438" s="9"/>
      <c r="F438" s="25"/>
      <c r="G438" s="25"/>
      <c r="J438" s="25"/>
      <c r="K438" s="25"/>
    </row>
    <row r="439">
      <c r="D439" s="25"/>
      <c r="E439" s="9"/>
      <c r="F439" s="25"/>
      <c r="G439" s="25"/>
      <c r="J439" s="25"/>
      <c r="K439" s="25"/>
    </row>
    <row r="440">
      <c r="D440" s="25"/>
      <c r="E440" s="9"/>
      <c r="F440" s="25"/>
      <c r="G440" s="25"/>
      <c r="J440" s="25"/>
      <c r="K440" s="25"/>
    </row>
    <row r="441">
      <c r="D441" s="25"/>
      <c r="E441" s="9"/>
      <c r="F441" s="25"/>
      <c r="G441" s="25"/>
      <c r="J441" s="25"/>
      <c r="K441" s="25"/>
    </row>
    <row r="442">
      <c r="D442" s="25"/>
      <c r="E442" s="9"/>
      <c r="F442" s="25"/>
      <c r="G442" s="25"/>
      <c r="J442" s="25"/>
      <c r="K442" s="25"/>
    </row>
    <row r="443">
      <c r="D443" s="25"/>
      <c r="E443" s="9"/>
      <c r="F443" s="25"/>
      <c r="G443" s="25"/>
      <c r="J443" s="25"/>
      <c r="K443" s="25"/>
    </row>
    <row r="444">
      <c r="D444" s="25"/>
      <c r="E444" s="9"/>
      <c r="F444" s="25"/>
      <c r="G444" s="25"/>
      <c r="J444" s="25"/>
      <c r="K444" s="25"/>
    </row>
    <row r="445">
      <c r="D445" s="25"/>
      <c r="E445" s="9"/>
      <c r="F445" s="25"/>
      <c r="G445" s="25"/>
      <c r="J445" s="25"/>
      <c r="K445" s="25"/>
    </row>
    <row r="446">
      <c r="D446" s="25"/>
      <c r="E446" s="9"/>
      <c r="F446" s="25"/>
      <c r="G446" s="25"/>
      <c r="J446" s="25"/>
      <c r="K446" s="25"/>
    </row>
    <row r="447">
      <c r="D447" s="25"/>
      <c r="E447" s="9"/>
      <c r="F447" s="25"/>
      <c r="G447" s="25"/>
      <c r="J447" s="25"/>
      <c r="K447" s="25"/>
    </row>
    <row r="448">
      <c r="D448" s="25"/>
      <c r="E448" s="9"/>
      <c r="F448" s="25"/>
      <c r="G448" s="25"/>
      <c r="J448" s="25"/>
      <c r="K448" s="25"/>
    </row>
    <row r="449">
      <c r="D449" s="25"/>
      <c r="E449" s="9"/>
      <c r="F449" s="25"/>
      <c r="G449" s="25"/>
      <c r="J449" s="25"/>
      <c r="K449" s="25"/>
    </row>
    <row r="450">
      <c r="D450" s="25"/>
      <c r="E450" s="9"/>
      <c r="F450" s="25"/>
      <c r="G450" s="25"/>
      <c r="J450" s="25"/>
      <c r="K450" s="25"/>
    </row>
    <row r="451">
      <c r="D451" s="25"/>
      <c r="E451" s="9"/>
      <c r="F451" s="25"/>
      <c r="G451" s="25"/>
      <c r="J451" s="25"/>
      <c r="K451" s="25"/>
    </row>
    <row r="452">
      <c r="D452" s="25"/>
      <c r="E452" s="9"/>
      <c r="F452" s="25"/>
      <c r="G452" s="25"/>
      <c r="J452" s="25"/>
      <c r="K452" s="25"/>
    </row>
    <row r="453">
      <c r="D453" s="25"/>
      <c r="E453" s="9"/>
      <c r="F453" s="25"/>
      <c r="G453" s="25"/>
      <c r="J453" s="25"/>
      <c r="K453" s="25"/>
    </row>
    <row r="454">
      <c r="D454" s="25"/>
      <c r="E454" s="9"/>
      <c r="F454" s="25"/>
      <c r="G454" s="25"/>
      <c r="J454" s="25"/>
      <c r="K454" s="25"/>
    </row>
    <row r="455">
      <c r="D455" s="25"/>
      <c r="E455" s="9"/>
      <c r="F455" s="25"/>
      <c r="G455" s="25"/>
      <c r="J455" s="25"/>
      <c r="K455" s="25"/>
    </row>
    <row r="456">
      <c r="D456" s="25"/>
      <c r="E456" s="9"/>
      <c r="F456" s="25"/>
      <c r="G456" s="25"/>
      <c r="J456" s="25"/>
      <c r="K456" s="25"/>
    </row>
    <row r="457">
      <c r="D457" s="25"/>
      <c r="E457" s="9"/>
      <c r="F457" s="25"/>
      <c r="G457" s="25"/>
      <c r="J457" s="25"/>
      <c r="K457" s="25"/>
    </row>
    <row r="458">
      <c r="D458" s="25"/>
      <c r="E458" s="9"/>
      <c r="F458" s="25"/>
      <c r="G458" s="25"/>
      <c r="J458" s="25"/>
      <c r="K458" s="25"/>
    </row>
    <row r="459">
      <c r="D459" s="25"/>
      <c r="E459" s="9"/>
      <c r="F459" s="25"/>
      <c r="G459" s="25"/>
      <c r="J459" s="25"/>
      <c r="K459" s="25"/>
    </row>
    <row r="460">
      <c r="D460" s="25"/>
      <c r="E460" s="9"/>
      <c r="F460" s="25"/>
      <c r="G460" s="25"/>
      <c r="J460" s="25"/>
      <c r="K460" s="25"/>
    </row>
    <row r="461">
      <c r="D461" s="25"/>
      <c r="E461" s="9"/>
      <c r="F461" s="25"/>
      <c r="G461" s="25"/>
      <c r="J461" s="25"/>
      <c r="K461" s="25"/>
    </row>
    <row r="462">
      <c r="D462" s="25"/>
      <c r="E462" s="9"/>
      <c r="F462" s="25"/>
      <c r="G462" s="25"/>
      <c r="J462" s="25"/>
      <c r="K462" s="25"/>
    </row>
    <row r="463">
      <c r="D463" s="25"/>
      <c r="E463" s="9"/>
      <c r="F463" s="25"/>
      <c r="G463" s="25"/>
      <c r="J463" s="25"/>
      <c r="K463" s="25"/>
    </row>
    <row r="464">
      <c r="D464" s="25"/>
      <c r="E464" s="9"/>
      <c r="F464" s="25"/>
      <c r="G464" s="25"/>
      <c r="J464" s="25"/>
      <c r="K464" s="25"/>
    </row>
    <row r="465">
      <c r="D465" s="25"/>
      <c r="E465" s="9"/>
      <c r="F465" s="25"/>
      <c r="G465" s="25"/>
      <c r="J465" s="25"/>
      <c r="K465" s="25"/>
    </row>
    <row r="466">
      <c r="D466" s="25"/>
      <c r="E466" s="9"/>
      <c r="F466" s="25"/>
      <c r="G466" s="25"/>
      <c r="J466" s="25"/>
      <c r="K466" s="25"/>
    </row>
    <row r="467">
      <c r="D467" s="25"/>
      <c r="E467" s="9"/>
      <c r="F467" s="25"/>
      <c r="G467" s="25"/>
      <c r="J467" s="25"/>
      <c r="K467" s="25"/>
    </row>
    <row r="468">
      <c r="D468" s="25"/>
      <c r="E468" s="9"/>
      <c r="F468" s="25"/>
      <c r="G468" s="25"/>
      <c r="J468" s="25"/>
      <c r="K468" s="25"/>
    </row>
    <row r="469">
      <c r="D469" s="25"/>
      <c r="E469" s="9"/>
      <c r="F469" s="25"/>
      <c r="G469" s="25"/>
      <c r="J469" s="25"/>
      <c r="K469" s="25"/>
    </row>
    <row r="470">
      <c r="D470" s="25"/>
      <c r="E470" s="9"/>
      <c r="F470" s="25"/>
      <c r="G470" s="25"/>
      <c r="J470" s="25"/>
      <c r="K470" s="25"/>
    </row>
    <row r="471">
      <c r="D471" s="25"/>
      <c r="E471" s="9"/>
      <c r="F471" s="25"/>
      <c r="G471" s="25"/>
      <c r="J471" s="25"/>
      <c r="K471" s="25"/>
    </row>
    <row r="472">
      <c r="D472" s="25"/>
      <c r="E472" s="9"/>
      <c r="F472" s="25"/>
      <c r="G472" s="25"/>
      <c r="J472" s="25"/>
      <c r="K472" s="25"/>
    </row>
    <row r="473">
      <c r="D473" s="25"/>
      <c r="E473" s="9"/>
      <c r="F473" s="25"/>
      <c r="G473" s="25"/>
      <c r="J473" s="25"/>
      <c r="K473" s="25"/>
    </row>
    <row r="474">
      <c r="D474" s="25"/>
      <c r="E474" s="9"/>
      <c r="F474" s="25"/>
      <c r="G474" s="25"/>
      <c r="J474" s="25"/>
      <c r="K474" s="25"/>
    </row>
    <row r="475">
      <c r="D475" s="25"/>
      <c r="E475" s="9"/>
      <c r="F475" s="25"/>
      <c r="G475" s="25"/>
      <c r="J475" s="25"/>
      <c r="K475" s="25"/>
    </row>
    <row r="476">
      <c r="D476" s="25"/>
      <c r="E476" s="9"/>
      <c r="F476" s="25"/>
      <c r="G476" s="25"/>
      <c r="J476" s="25"/>
      <c r="K476" s="25"/>
    </row>
    <row r="477">
      <c r="D477" s="25"/>
      <c r="E477" s="9"/>
      <c r="F477" s="25"/>
      <c r="G477" s="25"/>
      <c r="J477" s="25"/>
      <c r="K477" s="25"/>
    </row>
    <row r="478">
      <c r="D478" s="25"/>
      <c r="E478" s="9"/>
      <c r="F478" s="25"/>
      <c r="G478" s="25"/>
      <c r="J478" s="25"/>
      <c r="K478" s="25"/>
    </row>
    <row r="479">
      <c r="D479" s="25"/>
      <c r="E479" s="9"/>
      <c r="F479" s="25"/>
      <c r="G479" s="25"/>
      <c r="J479" s="25"/>
      <c r="K479" s="25"/>
    </row>
    <row r="480">
      <c r="D480" s="25"/>
      <c r="E480" s="9"/>
      <c r="F480" s="25"/>
      <c r="G480" s="25"/>
      <c r="J480" s="25"/>
      <c r="K480" s="25"/>
    </row>
    <row r="481">
      <c r="D481" s="25"/>
      <c r="E481" s="9"/>
      <c r="F481" s="25"/>
      <c r="G481" s="25"/>
      <c r="J481" s="25"/>
      <c r="K481" s="25"/>
    </row>
    <row r="482">
      <c r="D482" s="25"/>
      <c r="E482" s="9"/>
      <c r="F482" s="25"/>
      <c r="G482" s="25"/>
      <c r="J482" s="25"/>
      <c r="K482" s="25"/>
    </row>
    <row r="483">
      <c r="D483" s="25"/>
      <c r="E483" s="9"/>
      <c r="F483" s="25"/>
      <c r="G483" s="25"/>
      <c r="J483" s="25"/>
      <c r="K483" s="25"/>
    </row>
    <row r="484">
      <c r="D484" s="25"/>
      <c r="E484" s="9"/>
      <c r="F484" s="25"/>
      <c r="G484" s="25"/>
      <c r="J484" s="25"/>
      <c r="K484" s="25"/>
    </row>
    <row r="485">
      <c r="D485" s="25"/>
      <c r="E485" s="9"/>
      <c r="F485" s="25"/>
      <c r="G485" s="25"/>
      <c r="J485" s="25"/>
      <c r="K485" s="25"/>
    </row>
    <row r="486">
      <c r="D486" s="25"/>
      <c r="E486" s="9"/>
      <c r="F486" s="25"/>
      <c r="G486" s="25"/>
      <c r="J486" s="25"/>
      <c r="K486" s="25"/>
    </row>
    <row r="487">
      <c r="D487" s="25"/>
      <c r="E487" s="9"/>
      <c r="F487" s="25"/>
      <c r="G487" s="25"/>
      <c r="J487" s="25"/>
      <c r="K487" s="25"/>
    </row>
    <row r="488">
      <c r="D488" s="25"/>
      <c r="E488" s="9"/>
      <c r="F488" s="25"/>
      <c r="G488" s="25"/>
      <c r="J488" s="25"/>
      <c r="K488" s="25"/>
    </row>
    <row r="489">
      <c r="D489" s="25"/>
      <c r="E489" s="9"/>
      <c r="F489" s="25"/>
      <c r="G489" s="25"/>
      <c r="J489" s="25"/>
      <c r="K489" s="25"/>
    </row>
    <row r="490">
      <c r="D490" s="25"/>
      <c r="E490" s="9"/>
      <c r="F490" s="25"/>
      <c r="G490" s="25"/>
      <c r="J490" s="25"/>
      <c r="K490" s="25"/>
    </row>
    <row r="491">
      <c r="D491" s="25"/>
      <c r="E491" s="9"/>
      <c r="F491" s="25"/>
      <c r="G491" s="25"/>
      <c r="J491" s="25"/>
      <c r="K491" s="25"/>
    </row>
    <row r="492">
      <c r="D492" s="25"/>
      <c r="E492" s="9"/>
      <c r="F492" s="25"/>
      <c r="G492" s="25"/>
      <c r="J492" s="25"/>
      <c r="K492" s="25"/>
    </row>
    <row r="493">
      <c r="D493" s="25"/>
      <c r="E493" s="9"/>
      <c r="F493" s="25"/>
      <c r="G493" s="25"/>
      <c r="J493" s="25"/>
      <c r="K493" s="25"/>
    </row>
    <row r="494">
      <c r="D494" s="25"/>
      <c r="E494" s="9"/>
      <c r="F494" s="25"/>
      <c r="G494" s="25"/>
      <c r="J494" s="25"/>
      <c r="K494" s="25"/>
    </row>
    <row r="495">
      <c r="D495" s="25"/>
      <c r="E495" s="9"/>
      <c r="F495" s="25"/>
      <c r="G495" s="25"/>
      <c r="J495" s="25"/>
      <c r="K495" s="25"/>
    </row>
    <row r="496">
      <c r="D496" s="25"/>
      <c r="E496" s="9"/>
      <c r="F496" s="25"/>
      <c r="G496" s="25"/>
      <c r="J496" s="25"/>
      <c r="K496" s="25"/>
    </row>
    <row r="497">
      <c r="D497" s="25"/>
      <c r="E497" s="9"/>
      <c r="F497" s="25"/>
      <c r="G497" s="25"/>
      <c r="J497" s="25"/>
      <c r="K497" s="25"/>
    </row>
    <row r="498">
      <c r="D498" s="25"/>
      <c r="E498" s="9"/>
      <c r="F498" s="25"/>
      <c r="G498" s="25"/>
      <c r="J498" s="25"/>
      <c r="K498" s="25"/>
    </row>
    <row r="499">
      <c r="D499" s="25"/>
      <c r="E499" s="9"/>
      <c r="F499" s="25"/>
      <c r="G499" s="25"/>
      <c r="J499" s="25"/>
      <c r="K499" s="25"/>
    </row>
    <row r="500">
      <c r="D500" s="25"/>
      <c r="E500" s="9"/>
      <c r="F500" s="25"/>
      <c r="G500" s="25"/>
      <c r="J500" s="25"/>
      <c r="K500" s="25"/>
    </row>
    <row r="501">
      <c r="D501" s="25"/>
      <c r="E501" s="9"/>
      <c r="F501" s="25"/>
      <c r="G501" s="25"/>
      <c r="J501" s="25"/>
      <c r="K501" s="25"/>
    </row>
    <row r="502">
      <c r="D502" s="25"/>
      <c r="E502" s="9"/>
      <c r="F502" s="25"/>
      <c r="G502" s="25"/>
      <c r="J502" s="25"/>
      <c r="K502" s="25"/>
    </row>
    <row r="503">
      <c r="D503" s="25"/>
      <c r="E503" s="9"/>
      <c r="F503" s="25"/>
      <c r="G503" s="25"/>
      <c r="J503" s="25"/>
      <c r="K503" s="25"/>
    </row>
    <row r="504">
      <c r="D504" s="25"/>
      <c r="E504" s="9"/>
      <c r="F504" s="25"/>
      <c r="G504" s="25"/>
      <c r="J504" s="25"/>
      <c r="K504" s="25"/>
    </row>
    <row r="505">
      <c r="D505" s="25"/>
      <c r="E505" s="9"/>
      <c r="F505" s="25"/>
      <c r="G505" s="25"/>
      <c r="J505" s="25"/>
      <c r="K505" s="25"/>
    </row>
    <row r="506">
      <c r="D506" s="25"/>
      <c r="E506" s="9"/>
      <c r="F506" s="25"/>
      <c r="G506" s="25"/>
      <c r="J506" s="25"/>
      <c r="K506" s="25"/>
    </row>
    <row r="507">
      <c r="D507" s="25"/>
      <c r="E507" s="9"/>
      <c r="F507" s="25"/>
      <c r="G507" s="25"/>
      <c r="J507" s="25"/>
      <c r="K507" s="25"/>
    </row>
    <row r="508">
      <c r="D508" s="25"/>
      <c r="E508" s="9"/>
      <c r="F508" s="25"/>
      <c r="G508" s="25"/>
      <c r="J508" s="25"/>
      <c r="K508" s="25"/>
    </row>
    <row r="509">
      <c r="D509" s="25"/>
      <c r="E509" s="9"/>
      <c r="F509" s="25"/>
      <c r="G509" s="25"/>
      <c r="J509" s="25"/>
      <c r="K509" s="25"/>
    </row>
    <row r="510">
      <c r="D510" s="25"/>
      <c r="E510" s="9"/>
      <c r="F510" s="25"/>
      <c r="G510" s="25"/>
      <c r="J510" s="25"/>
      <c r="K510" s="25"/>
    </row>
    <row r="511">
      <c r="D511" s="25"/>
      <c r="E511" s="9"/>
      <c r="F511" s="25"/>
      <c r="G511" s="25"/>
      <c r="J511" s="25"/>
      <c r="K511" s="25"/>
    </row>
    <row r="512">
      <c r="D512" s="25"/>
      <c r="E512" s="9"/>
      <c r="F512" s="25"/>
      <c r="G512" s="25"/>
      <c r="J512" s="25"/>
      <c r="K512" s="25"/>
    </row>
    <row r="513">
      <c r="D513" s="25"/>
      <c r="E513" s="9"/>
      <c r="F513" s="25"/>
      <c r="G513" s="25"/>
      <c r="J513" s="25"/>
      <c r="K513" s="25"/>
    </row>
    <row r="514">
      <c r="D514" s="25"/>
      <c r="E514" s="9"/>
      <c r="F514" s="25"/>
      <c r="G514" s="25"/>
      <c r="J514" s="25"/>
      <c r="K514" s="25"/>
    </row>
    <row r="515">
      <c r="D515" s="25"/>
      <c r="E515" s="9"/>
      <c r="F515" s="25"/>
      <c r="G515" s="25"/>
      <c r="J515" s="25"/>
      <c r="K515" s="25"/>
    </row>
    <row r="516">
      <c r="D516" s="25"/>
      <c r="E516" s="9"/>
      <c r="F516" s="25"/>
      <c r="G516" s="25"/>
      <c r="J516" s="25"/>
      <c r="K516" s="25"/>
    </row>
    <row r="517">
      <c r="D517" s="25"/>
      <c r="E517" s="9"/>
      <c r="F517" s="25"/>
      <c r="G517" s="25"/>
      <c r="J517" s="25"/>
      <c r="K517" s="25"/>
    </row>
    <row r="518">
      <c r="D518" s="25"/>
      <c r="E518" s="9"/>
      <c r="F518" s="25"/>
      <c r="G518" s="25"/>
      <c r="J518" s="25"/>
      <c r="K518" s="25"/>
    </row>
    <row r="519">
      <c r="D519" s="25"/>
      <c r="E519" s="9"/>
      <c r="F519" s="25"/>
      <c r="G519" s="25"/>
      <c r="J519" s="25"/>
      <c r="K519" s="25"/>
    </row>
    <row r="520">
      <c r="D520" s="25"/>
      <c r="E520" s="9"/>
      <c r="F520" s="25"/>
      <c r="G520" s="25"/>
      <c r="J520" s="25"/>
      <c r="K520" s="25"/>
    </row>
    <row r="521">
      <c r="D521" s="25"/>
      <c r="E521" s="9"/>
      <c r="F521" s="25"/>
      <c r="G521" s="25"/>
      <c r="J521" s="25"/>
      <c r="K521" s="25"/>
    </row>
    <row r="522">
      <c r="D522" s="25"/>
      <c r="E522" s="9"/>
      <c r="F522" s="25"/>
      <c r="G522" s="25"/>
      <c r="J522" s="25"/>
      <c r="K522" s="25"/>
    </row>
    <row r="523">
      <c r="D523" s="25"/>
      <c r="E523" s="9"/>
      <c r="F523" s="25"/>
      <c r="G523" s="25"/>
      <c r="J523" s="25"/>
      <c r="K523" s="25"/>
    </row>
    <row r="524">
      <c r="D524" s="25"/>
      <c r="E524" s="9"/>
      <c r="F524" s="25"/>
      <c r="G524" s="25"/>
      <c r="J524" s="25"/>
      <c r="K524" s="25"/>
    </row>
    <row r="525">
      <c r="D525" s="25"/>
      <c r="E525" s="9"/>
      <c r="F525" s="25"/>
      <c r="G525" s="25"/>
      <c r="J525" s="25"/>
      <c r="K525" s="25"/>
    </row>
    <row r="526">
      <c r="D526" s="25"/>
      <c r="E526" s="9"/>
      <c r="F526" s="25"/>
      <c r="G526" s="25"/>
      <c r="J526" s="25"/>
      <c r="K526" s="25"/>
    </row>
    <row r="527">
      <c r="D527" s="25"/>
      <c r="E527" s="9"/>
      <c r="F527" s="25"/>
      <c r="G527" s="25"/>
      <c r="J527" s="25"/>
      <c r="K527" s="25"/>
    </row>
    <row r="528">
      <c r="D528" s="25"/>
      <c r="E528" s="9"/>
      <c r="F528" s="25"/>
      <c r="G528" s="25"/>
      <c r="J528" s="25"/>
      <c r="K528" s="25"/>
    </row>
    <row r="529">
      <c r="D529" s="25"/>
      <c r="E529" s="9"/>
      <c r="F529" s="25"/>
      <c r="G529" s="25"/>
      <c r="J529" s="25"/>
      <c r="K529" s="25"/>
    </row>
    <row r="530">
      <c r="D530" s="25"/>
      <c r="E530" s="9"/>
      <c r="F530" s="25"/>
      <c r="G530" s="25"/>
      <c r="J530" s="25"/>
      <c r="K530" s="25"/>
    </row>
    <row r="531">
      <c r="D531" s="25"/>
      <c r="E531" s="9"/>
      <c r="F531" s="25"/>
      <c r="G531" s="25"/>
      <c r="J531" s="25"/>
      <c r="K531" s="25"/>
    </row>
    <row r="532">
      <c r="D532" s="25"/>
      <c r="E532" s="9"/>
      <c r="F532" s="25"/>
      <c r="G532" s="25"/>
      <c r="J532" s="25"/>
      <c r="K532" s="25"/>
    </row>
    <row r="533">
      <c r="D533" s="25"/>
      <c r="E533" s="9"/>
      <c r="F533" s="25"/>
      <c r="G533" s="25"/>
      <c r="J533" s="25"/>
      <c r="K533" s="25"/>
    </row>
    <row r="534">
      <c r="D534" s="25"/>
      <c r="E534" s="9"/>
      <c r="F534" s="25"/>
      <c r="G534" s="25"/>
      <c r="J534" s="25"/>
      <c r="K534" s="25"/>
    </row>
    <row r="535">
      <c r="D535" s="25"/>
      <c r="E535" s="9"/>
      <c r="F535" s="25"/>
      <c r="G535" s="25"/>
      <c r="J535" s="25"/>
      <c r="K535" s="25"/>
    </row>
    <row r="536">
      <c r="D536" s="25"/>
      <c r="E536" s="9"/>
      <c r="F536" s="25"/>
      <c r="G536" s="25"/>
      <c r="J536" s="25"/>
      <c r="K536" s="25"/>
    </row>
    <row r="537">
      <c r="D537" s="25"/>
      <c r="E537" s="9"/>
      <c r="F537" s="25"/>
      <c r="G537" s="25"/>
      <c r="J537" s="25"/>
      <c r="K537" s="25"/>
    </row>
    <row r="538">
      <c r="D538" s="25"/>
      <c r="E538" s="9"/>
      <c r="F538" s="25"/>
      <c r="G538" s="25"/>
      <c r="J538" s="25"/>
      <c r="K538" s="25"/>
    </row>
    <row r="539">
      <c r="D539" s="25"/>
      <c r="E539" s="9"/>
      <c r="F539" s="25"/>
      <c r="G539" s="25"/>
      <c r="J539" s="25"/>
      <c r="K539" s="25"/>
    </row>
    <row r="540">
      <c r="D540" s="25"/>
      <c r="E540" s="9"/>
      <c r="F540" s="25"/>
      <c r="G540" s="25"/>
      <c r="J540" s="25"/>
      <c r="K540" s="25"/>
    </row>
    <row r="541">
      <c r="D541" s="25"/>
      <c r="E541" s="9"/>
      <c r="F541" s="25"/>
      <c r="G541" s="25"/>
      <c r="J541" s="25"/>
      <c r="K541" s="25"/>
    </row>
    <row r="542">
      <c r="D542" s="25"/>
      <c r="E542" s="9"/>
      <c r="F542" s="25"/>
      <c r="G542" s="25"/>
      <c r="J542" s="25"/>
      <c r="K542" s="25"/>
    </row>
    <row r="543">
      <c r="D543" s="25"/>
      <c r="E543" s="9"/>
      <c r="F543" s="25"/>
      <c r="G543" s="25"/>
      <c r="J543" s="25"/>
      <c r="K543" s="25"/>
    </row>
    <row r="544">
      <c r="D544" s="25"/>
      <c r="E544" s="9"/>
      <c r="F544" s="25"/>
      <c r="G544" s="25"/>
      <c r="J544" s="25"/>
      <c r="K544" s="25"/>
    </row>
    <row r="545">
      <c r="D545" s="25"/>
      <c r="E545" s="9"/>
      <c r="F545" s="25"/>
      <c r="G545" s="25"/>
      <c r="J545" s="25"/>
      <c r="K545" s="25"/>
    </row>
    <row r="546">
      <c r="D546" s="25"/>
      <c r="E546" s="9"/>
      <c r="F546" s="25"/>
      <c r="G546" s="25"/>
      <c r="J546" s="25"/>
      <c r="K546" s="25"/>
    </row>
    <row r="547">
      <c r="D547" s="25"/>
      <c r="E547" s="9"/>
      <c r="F547" s="25"/>
      <c r="G547" s="25"/>
      <c r="J547" s="25"/>
      <c r="K547" s="25"/>
    </row>
    <row r="548">
      <c r="D548" s="25"/>
      <c r="E548" s="9"/>
      <c r="F548" s="25"/>
      <c r="G548" s="25"/>
      <c r="J548" s="25"/>
      <c r="K548" s="25"/>
    </row>
    <row r="549">
      <c r="D549" s="25"/>
      <c r="E549" s="9"/>
      <c r="F549" s="25"/>
      <c r="G549" s="25"/>
      <c r="J549" s="25"/>
      <c r="K549" s="25"/>
    </row>
    <row r="550">
      <c r="D550" s="25"/>
      <c r="E550" s="9"/>
      <c r="F550" s="25"/>
      <c r="G550" s="25"/>
      <c r="J550" s="25"/>
      <c r="K550" s="25"/>
    </row>
    <row r="551">
      <c r="D551" s="25"/>
      <c r="E551" s="9"/>
      <c r="F551" s="25"/>
      <c r="G551" s="25"/>
      <c r="J551" s="25"/>
      <c r="K551" s="25"/>
    </row>
    <row r="552">
      <c r="D552" s="25"/>
      <c r="E552" s="9"/>
      <c r="F552" s="25"/>
      <c r="G552" s="25"/>
      <c r="J552" s="25"/>
      <c r="K552" s="25"/>
    </row>
    <row r="553">
      <c r="D553" s="25"/>
      <c r="E553" s="9"/>
      <c r="F553" s="25"/>
      <c r="G553" s="25"/>
      <c r="J553" s="25"/>
      <c r="K553" s="25"/>
    </row>
    <row r="554">
      <c r="D554" s="25"/>
      <c r="E554" s="9"/>
      <c r="F554" s="25"/>
      <c r="G554" s="25"/>
      <c r="J554" s="25"/>
      <c r="K554" s="25"/>
    </row>
    <row r="555">
      <c r="D555" s="25"/>
      <c r="E555" s="9"/>
      <c r="F555" s="25"/>
      <c r="G555" s="25"/>
      <c r="J555" s="25"/>
      <c r="K555" s="25"/>
    </row>
    <row r="556">
      <c r="D556" s="25"/>
      <c r="E556" s="9"/>
      <c r="F556" s="25"/>
      <c r="G556" s="25"/>
      <c r="J556" s="25"/>
      <c r="K556" s="25"/>
    </row>
    <row r="557">
      <c r="D557" s="25"/>
      <c r="E557" s="9"/>
      <c r="F557" s="25"/>
      <c r="G557" s="25"/>
      <c r="J557" s="25"/>
      <c r="K557" s="25"/>
    </row>
    <row r="558">
      <c r="D558" s="25"/>
      <c r="E558" s="9"/>
      <c r="F558" s="25"/>
      <c r="G558" s="25"/>
      <c r="J558" s="25"/>
      <c r="K558" s="25"/>
    </row>
    <row r="559">
      <c r="D559" s="25"/>
      <c r="E559" s="9"/>
      <c r="F559" s="25"/>
      <c r="G559" s="25"/>
      <c r="J559" s="25"/>
      <c r="K559" s="25"/>
    </row>
    <row r="560">
      <c r="D560" s="25"/>
      <c r="E560" s="9"/>
      <c r="F560" s="25"/>
      <c r="G560" s="25"/>
      <c r="J560" s="25"/>
      <c r="K560" s="25"/>
    </row>
    <row r="561">
      <c r="D561" s="25"/>
      <c r="E561" s="9"/>
      <c r="F561" s="25"/>
      <c r="G561" s="25"/>
      <c r="J561" s="25"/>
      <c r="K561" s="25"/>
    </row>
    <row r="562">
      <c r="D562" s="25"/>
      <c r="E562" s="9"/>
      <c r="F562" s="25"/>
      <c r="G562" s="25"/>
      <c r="J562" s="25"/>
      <c r="K562" s="25"/>
    </row>
    <row r="563">
      <c r="D563" s="25"/>
      <c r="E563" s="9"/>
      <c r="F563" s="25"/>
      <c r="G563" s="25"/>
      <c r="J563" s="25"/>
      <c r="K563" s="25"/>
    </row>
    <row r="564">
      <c r="D564" s="25"/>
      <c r="E564" s="9"/>
      <c r="F564" s="25"/>
      <c r="G564" s="25"/>
      <c r="J564" s="25"/>
      <c r="K564" s="25"/>
    </row>
    <row r="565">
      <c r="D565" s="25"/>
      <c r="E565" s="9"/>
      <c r="F565" s="25"/>
      <c r="G565" s="25"/>
      <c r="J565" s="25"/>
      <c r="K565" s="25"/>
    </row>
    <row r="566">
      <c r="D566" s="25"/>
      <c r="E566" s="9"/>
      <c r="F566" s="25"/>
      <c r="G566" s="25"/>
      <c r="J566" s="25"/>
      <c r="K566" s="25"/>
    </row>
    <row r="567">
      <c r="D567" s="25"/>
      <c r="E567" s="9"/>
      <c r="F567" s="25"/>
      <c r="G567" s="25"/>
      <c r="J567" s="25"/>
      <c r="K567" s="25"/>
    </row>
    <row r="568">
      <c r="D568" s="25"/>
      <c r="E568" s="9"/>
      <c r="F568" s="25"/>
      <c r="G568" s="25"/>
      <c r="J568" s="25"/>
      <c r="K568" s="25"/>
    </row>
    <row r="569">
      <c r="D569" s="25"/>
      <c r="E569" s="9"/>
      <c r="F569" s="25"/>
      <c r="G569" s="25"/>
      <c r="J569" s="25"/>
      <c r="K569" s="25"/>
    </row>
    <row r="570">
      <c r="D570" s="25"/>
      <c r="E570" s="9"/>
      <c r="F570" s="25"/>
      <c r="G570" s="25"/>
      <c r="J570" s="25"/>
      <c r="K570" s="25"/>
    </row>
    <row r="571">
      <c r="D571" s="25"/>
      <c r="E571" s="9"/>
      <c r="F571" s="25"/>
      <c r="G571" s="25"/>
      <c r="J571" s="25"/>
      <c r="K571" s="25"/>
    </row>
    <row r="572">
      <c r="D572" s="25"/>
      <c r="E572" s="9"/>
      <c r="F572" s="25"/>
      <c r="G572" s="25"/>
      <c r="J572" s="25"/>
      <c r="K572" s="25"/>
    </row>
    <row r="573">
      <c r="D573" s="25"/>
      <c r="E573" s="9"/>
      <c r="F573" s="25"/>
      <c r="G573" s="25"/>
      <c r="J573" s="25"/>
      <c r="K573" s="25"/>
    </row>
    <row r="574">
      <c r="D574" s="25"/>
      <c r="E574" s="9"/>
      <c r="F574" s="25"/>
      <c r="G574" s="25"/>
      <c r="J574" s="25"/>
      <c r="K574" s="25"/>
    </row>
    <row r="575">
      <c r="D575" s="25"/>
      <c r="E575" s="9"/>
      <c r="F575" s="25"/>
      <c r="G575" s="25"/>
      <c r="J575" s="25"/>
      <c r="K575" s="25"/>
    </row>
    <row r="576">
      <c r="D576" s="25"/>
      <c r="E576" s="9"/>
      <c r="F576" s="25"/>
      <c r="G576" s="25"/>
      <c r="J576" s="25"/>
      <c r="K576" s="25"/>
    </row>
    <row r="577">
      <c r="D577" s="25"/>
      <c r="E577" s="9"/>
      <c r="F577" s="25"/>
      <c r="G577" s="25"/>
      <c r="J577" s="25"/>
      <c r="K577" s="25"/>
    </row>
    <row r="578">
      <c r="D578" s="25"/>
      <c r="E578" s="9"/>
      <c r="F578" s="25"/>
      <c r="G578" s="25"/>
      <c r="J578" s="25"/>
      <c r="K578" s="25"/>
    </row>
    <row r="579">
      <c r="D579" s="25"/>
      <c r="E579" s="9"/>
      <c r="F579" s="25"/>
      <c r="G579" s="25"/>
      <c r="J579" s="25"/>
      <c r="K579" s="25"/>
    </row>
    <row r="580">
      <c r="D580" s="25"/>
      <c r="E580" s="9"/>
      <c r="F580" s="25"/>
      <c r="G580" s="25"/>
      <c r="J580" s="25"/>
      <c r="K580" s="25"/>
    </row>
    <row r="581">
      <c r="D581" s="25"/>
      <c r="E581" s="9"/>
      <c r="F581" s="25"/>
      <c r="G581" s="25"/>
      <c r="J581" s="25"/>
      <c r="K581" s="25"/>
    </row>
    <row r="582">
      <c r="D582" s="25"/>
      <c r="E582" s="9"/>
      <c r="F582" s="25"/>
      <c r="G582" s="25"/>
      <c r="J582" s="25"/>
      <c r="K582" s="25"/>
    </row>
    <row r="583">
      <c r="D583" s="25"/>
      <c r="E583" s="9"/>
      <c r="F583" s="25"/>
      <c r="G583" s="25"/>
      <c r="J583" s="25"/>
      <c r="K583" s="25"/>
    </row>
    <row r="584">
      <c r="D584" s="25"/>
      <c r="E584" s="9"/>
      <c r="F584" s="25"/>
      <c r="G584" s="25"/>
      <c r="J584" s="25"/>
      <c r="K584" s="25"/>
    </row>
    <row r="585">
      <c r="D585" s="25"/>
      <c r="E585" s="9"/>
      <c r="F585" s="25"/>
      <c r="G585" s="25"/>
      <c r="J585" s="25"/>
      <c r="K585" s="25"/>
    </row>
    <row r="586">
      <c r="D586" s="25"/>
      <c r="E586" s="9"/>
      <c r="F586" s="25"/>
      <c r="G586" s="25"/>
      <c r="J586" s="25"/>
      <c r="K586" s="25"/>
    </row>
    <row r="587">
      <c r="D587" s="25"/>
      <c r="E587" s="9"/>
      <c r="F587" s="25"/>
      <c r="G587" s="25"/>
      <c r="J587" s="25"/>
      <c r="K587" s="25"/>
    </row>
    <row r="588">
      <c r="D588" s="25"/>
      <c r="E588" s="9"/>
      <c r="F588" s="25"/>
      <c r="G588" s="25"/>
      <c r="J588" s="25"/>
      <c r="K588" s="25"/>
    </row>
    <row r="589">
      <c r="D589" s="25"/>
      <c r="E589" s="9"/>
      <c r="F589" s="25"/>
      <c r="G589" s="25"/>
      <c r="J589" s="25"/>
      <c r="K589" s="25"/>
    </row>
    <row r="590">
      <c r="D590" s="25"/>
      <c r="E590" s="9"/>
      <c r="F590" s="25"/>
      <c r="G590" s="25"/>
      <c r="J590" s="25"/>
      <c r="K590" s="25"/>
    </row>
    <row r="591">
      <c r="D591" s="25"/>
      <c r="E591" s="9"/>
      <c r="F591" s="25"/>
      <c r="G591" s="25"/>
      <c r="J591" s="25"/>
      <c r="K591" s="25"/>
    </row>
    <row r="592">
      <c r="D592" s="25"/>
      <c r="E592" s="9"/>
      <c r="F592" s="25"/>
      <c r="G592" s="25"/>
      <c r="J592" s="25"/>
      <c r="K592" s="25"/>
    </row>
    <row r="593">
      <c r="D593" s="25"/>
      <c r="E593" s="9"/>
      <c r="F593" s="25"/>
      <c r="G593" s="25"/>
      <c r="J593" s="25"/>
      <c r="K593" s="25"/>
    </row>
    <row r="594">
      <c r="D594" s="25"/>
      <c r="E594" s="9"/>
      <c r="F594" s="25"/>
      <c r="G594" s="25"/>
      <c r="J594" s="25"/>
      <c r="K594" s="25"/>
    </row>
    <row r="595">
      <c r="D595" s="25"/>
      <c r="E595" s="9"/>
      <c r="F595" s="25"/>
      <c r="G595" s="25"/>
      <c r="J595" s="25"/>
      <c r="K595" s="25"/>
    </row>
    <row r="596">
      <c r="D596" s="25"/>
      <c r="E596" s="9"/>
      <c r="F596" s="25"/>
      <c r="G596" s="25"/>
      <c r="J596" s="25"/>
      <c r="K596" s="25"/>
    </row>
    <row r="597">
      <c r="D597" s="25"/>
      <c r="E597" s="9"/>
      <c r="F597" s="25"/>
      <c r="G597" s="25"/>
      <c r="J597" s="25"/>
      <c r="K597" s="25"/>
    </row>
    <row r="598">
      <c r="D598" s="25"/>
      <c r="E598" s="9"/>
      <c r="F598" s="25"/>
      <c r="G598" s="25"/>
      <c r="J598" s="25"/>
      <c r="K598" s="25"/>
    </row>
    <row r="599">
      <c r="D599" s="25"/>
      <c r="E599" s="9"/>
      <c r="F599" s="25"/>
      <c r="G599" s="25"/>
      <c r="J599" s="25"/>
      <c r="K599" s="25"/>
    </row>
    <row r="600">
      <c r="D600" s="25"/>
      <c r="E600" s="9"/>
      <c r="F600" s="25"/>
      <c r="G600" s="25"/>
      <c r="J600" s="25"/>
      <c r="K600" s="25"/>
    </row>
    <row r="601">
      <c r="D601" s="25"/>
      <c r="E601" s="9"/>
      <c r="F601" s="25"/>
      <c r="G601" s="25"/>
      <c r="J601" s="25"/>
      <c r="K601" s="25"/>
    </row>
    <row r="602">
      <c r="D602" s="25"/>
      <c r="E602" s="9"/>
      <c r="F602" s="25"/>
      <c r="G602" s="25"/>
      <c r="J602" s="25"/>
      <c r="K602" s="25"/>
    </row>
    <row r="603">
      <c r="D603" s="25"/>
      <c r="E603" s="9"/>
      <c r="F603" s="25"/>
      <c r="G603" s="25"/>
      <c r="J603" s="25"/>
      <c r="K603" s="25"/>
    </row>
    <row r="604">
      <c r="D604" s="25"/>
      <c r="E604" s="9"/>
      <c r="F604" s="25"/>
      <c r="G604" s="25"/>
      <c r="J604" s="25"/>
      <c r="K604" s="25"/>
    </row>
    <row r="605">
      <c r="D605" s="25"/>
      <c r="E605" s="9"/>
      <c r="F605" s="25"/>
      <c r="G605" s="25"/>
      <c r="J605" s="25"/>
      <c r="K605" s="25"/>
    </row>
    <row r="606">
      <c r="D606" s="25"/>
      <c r="E606" s="9"/>
      <c r="F606" s="25"/>
      <c r="G606" s="25"/>
      <c r="J606" s="25"/>
      <c r="K606" s="25"/>
    </row>
    <row r="607">
      <c r="D607" s="25"/>
      <c r="E607" s="9"/>
      <c r="F607" s="25"/>
      <c r="G607" s="25"/>
      <c r="J607" s="25"/>
      <c r="K607" s="25"/>
    </row>
    <row r="608">
      <c r="D608" s="25"/>
      <c r="E608" s="9"/>
      <c r="F608" s="25"/>
      <c r="G608" s="25"/>
      <c r="J608" s="25"/>
      <c r="K608" s="25"/>
    </row>
    <row r="609">
      <c r="D609" s="25"/>
      <c r="E609" s="9"/>
      <c r="F609" s="25"/>
      <c r="G609" s="25"/>
      <c r="J609" s="25"/>
      <c r="K609" s="25"/>
    </row>
    <row r="610">
      <c r="D610" s="25"/>
      <c r="E610" s="9"/>
      <c r="F610" s="25"/>
      <c r="G610" s="25"/>
      <c r="J610" s="25"/>
      <c r="K610" s="25"/>
    </row>
    <row r="611">
      <c r="D611" s="25"/>
      <c r="E611" s="9"/>
      <c r="F611" s="25"/>
      <c r="G611" s="25"/>
      <c r="J611" s="25"/>
      <c r="K611" s="25"/>
    </row>
    <row r="612">
      <c r="D612" s="25"/>
      <c r="E612" s="9"/>
      <c r="F612" s="25"/>
      <c r="G612" s="25"/>
      <c r="J612" s="25"/>
      <c r="K612" s="25"/>
    </row>
    <row r="613">
      <c r="D613" s="25"/>
      <c r="E613" s="9"/>
      <c r="F613" s="25"/>
      <c r="G613" s="25"/>
      <c r="J613" s="25"/>
      <c r="K613" s="25"/>
    </row>
    <row r="614">
      <c r="D614" s="25"/>
      <c r="E614" s="9"/>
      <c r="F614" s="25"/>
      <c r="G614" s="25"/>
      <c r="J614" s="25"/>
      <c r="K614" s="25"/>
    </row>
    <row r="615">
      <c r="D615" s="25"/>
      <c r="E615" s="9"/>
      <c r="F615" s="25"/>
      <c r="G615" s="25"/>
      <c r="J615" s="25"/>
      <c r="K615" s="25"/>
    </row>
    <row r="616">
      <c r="D616" s="25"/>
      <c r="E616" s="9"/>
      <c r="F616" s="25"/>
      <c r="G616" s="25"/>
      <c r="J616" s="25"/>
      <c r="K616" s="25"/>
    </row>
    <row r="617">
      <c r="D617" s="25"/>
      <c r="E617" s="9"/>
      <c r="F617" s="25"/>
      <c r="G617" s="25"/>
      <c r="J617" s="25"/>
      <c r="K617" s="25"/>
    </row>
    <row r="618">
      <c r="D618" s="25"/>
      <c r="E618" s="9"/>
      <c r="F618" s="25"/>
      <c r="G618" s="25"/>
      <c r="J618" s="25"/>
      <c r="K618" s="25"/>
    </row>
    <row r="619">
      <c r="D619" s="25"/>
      <c r="E619" s="9"/>
      <c r="F619" s="25"/>
      <c r="G619" s="25"/>
      <c r="J619" s="25"/>
      <c r="K619" s="25"/>
    </row>
    <row r="620">
      <c r="D620" s="25"/>
      <c r="E620" s="9"/>
      <c r="F620" s="25"/>
      <c r="G620" s="25"/>
      <c r="J620" s="25"/>
      <c r="K620" s="25"/>
    </row>
    <row r="621">
      <c r="D621" s="25"/>
      <c r="E621" s="9"/>
      <c r="F621" s="25"/>
      <c r="G621" s="25"/>
      <c r="J621" s="25"/>
      <c r="K621" s="25"/>
    </row>
    <row r="622">
      <c r="D622" s="25"/>
      <c r="E622" s="9"/>
      <c r="F622" s="25"/>
      <c r="G622" s="25"/>
      <c r="J622" s="25"/>
      <c r="K622" s="25"/>
    </row>
    <row r="623">
      <c r="D623" s="25"/>
      <c r="E623" s="9"/>
      <c r="F623" s="25"/>
      <c r="G623" s="25"/>
      <c r="J623" s="25"/>
      <c r="K623" s="25"/>
    </row>
    <row r="624">
      <c r="D624" s="25"/>
      <c r="E624" s="9"/>
      <c r="F624" s="25"/>
      <c r="G624" s="25"/>
      <c r="J624" s="25"/>
      <c r="K624" s="25"/>
    </row>
    <row r="625">
      <c r="D625" s="25"/>
      <c r="E625" s="9"/>
      <c r="F625" s="25"/>
      <c r="G625" s="25"/>
      <c r="J625" s="25"/>
      <c r="K625" s="25"/>
    </row>
    <row r="626">
      <c r="D626" s="25"/>
      <c r="E626" s="9"/>
      <c r="F626" s="25"/>
      <c r="G626" s="25"/>
      <c r="J626" s="25"/>
      <c r="K626" s="25"/>
    </row>
    <row r="627">
      <c r="D627" s="25"/>
      <c r="E627" s="9"/>
      <c r="F627" s="25"/>
      <c r="G627" s="25"/>
      <c r="J627" s="25"/>
      <c r="K627" s="25"/>
    </row>
    <row r="628">
      <c r="D628" s="25"/>
      <c r="E628" s="9"/>
      <c r="F628" s="25"/>
      <c r="G628" s="25"/>
      <c r="J628" s="25"/>
      <c r="K628" s="25"/>
    </row>
    <row r="629">
      <c r="D629" s="25"/>
      <c r="E629" s="9"/>
      <c r="F629" s="25"/>
      <c r="G629" s="25"/>
      <c r="J629" s="25"/>
      <c r="K629" s="25"/>
    </row>
    <row r="630">
      <c r="D630" s="25"/>
      <c r="E630" s="9"/>
      <c r="F630" s="25"/>
      <c r="G630" s="25"/>
      <c r="J630" s="25"/>
      <c r="K630" s="25"/>
    </row>
    <row r="631">
      <c r="D631" s="25"/>
      <c r="E631" s="9"/>
      <c r="F631" s="25"/>
      <c r="G631" s="25"/>
      <c r="J631" s="25"/>
      <c r="K631" s="25"/>
    </row>
    <row r="632">
      <c r="D632" s="25"/>
      <c r="E632" s="9"/>
      <c r="F632" s="25"/>
      <c r="G632" s="25"/>
      <c r="J632" s="25"/>
      <c r="K632" s="25"/>
    </row>
    <row r="633">
      <c r="D633" s="25"/>
      <c r="E633" s="9"/>
      <c r="F633" s="25"/>
      <c r="G633" s="25"/>
      <c r="J633" s="25"/>
      <c r="K633" s="25"/>
    </row>
    <row r="634">
      <c r="D634" s="25"/>
      <c r="E634" s="9"/>
      <c r="F634" s="25"/>
      <c r="G634" s="25"/>
      <c r="J634" s="25"/>
      <c r="K634" s="25"/>
    </row>
    <row r="635">
      <c r="D635" s="25"/>
      <c r="E635" s="9"/>
      <c r="F635" s="25"/>
      <c r="G635" s="25"/>
      <c r="J635" s="25"/>
      <c r="K635" s="25"/>
    </row>
    <row r="636">
      <c r="D636" s="25"/>
      <c r="E636" s="9"/>
      <c r="F636" s="25"/>
      <c r="G636" s="25"/>
      <c r="J636" s="25"/>
      <c r="K636" s="25"/>
    </row>
    <row r="637">
      <c r="D637" s="25"/>
      <c r="E637" s="9"/>
      <c r="F637" s="25"/>
      <c r="G637" s="25"/>
      <c r="J637" s="25"/>
      <c r="K637" s="25"/>
    </row>
    <row r="638">
      <c r="D638" s="25"/>
      <c r="E638" s="9"/>
      <c r="F638" s="25"/>
      <c r="G638" s="25"/>
      <c r="J638" s="25"/>
      <c r="K638" s="25"/>
    </row>
    <row r="639">
      <c r="D639" s="25"/>
      <c r="E639" s="9"/>
      <c r="F639" s="25"/>
      <c r="G639" s="25"/>
      <c r="J639" s="25"/>
      <c r="K639" s="25"/>
    </row>
    <row r="640">
      <c r="D640" s="25"/>
      <c r="E640" s="9"/>
      <c r="F640" s="25"/>
      <c r="G640" s="25"/>
      <c r="J640" s="25"/>
      <c r="K640" s="25"/>
    </row>
    <row r="641">
      <c r="D641" s="25"/>
      <c r="E641" s="9"/>
      <c r="F641" s="25"/>
      <c r="G641" s="25"/>
      <c r="J641" s="25"/>
      <c r="K641" s="25"/>
    </row>
    <row r="642">
      <c r="D642" s="25"/>
      <c r="E642" s="9"/>
      <c r="F642" s="25"/>
      <c r="G642" s="25"/>
      <c r="J642" s="25"/>
      <c r="K642" s="25"/>
    </row>
    <row r="643">
      <c r="D643" s="25"/>
      <c r="E643" s="9"/>
      <c r="F643" s="25"/>
      <c r="G643" s="25"/>
      <c r="J643" s="25"/>
      <c r="K643" s="25"/>
    </row>
    <row r="644">
      <c r="D644" s="25"/>
      <c r="E644" s="9"/>
      <c r="F644" s="25"/>
      <c r="G644" s="25"/>
      <c r="J644" s="25"/>
      <c r="K644" s="25"/>
    </row>
    <row r="645">
      <c r="D645" s="25"/>
      <c r="E645" s="9"/>
      <c r="F645" s="25"/>
      <c r="G645" s="25"/>
      <c r="J645" s="25"/>
      <c r="K645" s="25"/>
    </row>
    <row r="646">
      <c r="D646" s="25"/>
      <c r="E646" s="9"/>
      <c r="F646" s="25"/>
      <c r="G646" s="25"/>
      <c r="J646" s="25"/>
      <c r="K646" s="25"/>
    </row>
    <row r="647">
      <c r="D647" s="25"/>
      <c r="E647" s="9"/>
      <c r="F647" s="25"/>
      <c r="G647" s="25"/>
      <c r="J647" s="25"/>
      <c r="K647" s="25"/>
    </row>
    <row r="648">
      <c r="D648" s="25"/>
      <c r="E648" s="9"/>
      <c r="F648" s="25"/>
      <c r="G648" s="25"/>
      <c r="J648" s="25"/>
      <c r="K648" s="25"/>
    </row>
    <row r="649">
      <c r="D649" s="25"/>
      <c r="E649" s="9"/>
      <c r="F649" s="25"/>
      <c r="G649" s="25"/>
      <c r="J649" s="25"/>
      <c r="K649" s="25"/>
    </row>
    <row r="650">
      <c r="D650" s="25"/>
      <c r="E650" s="9"/>
      <c r="F650" s="25"/>
      <c r="G650" s="25"/>
      <c r="J650" s="25"/>
      <c r="K650" s="25"/>
    </row>
    <row r="651">
      <c r="D651" s="25"/>
      <c r="E651" s="9"/>
      <c r="F651" s="25"/>
      <c r="G651" s="25"/>
      <c r="J651" s="25"/>
      <c r="K651" s="25"/>
    </row>
    <row r="652">
      <c r="D652" s="25"/>
      <c r="E652" s="9"/>
      <c r="F652" s="25"/>
      <c r="G652" s="25"/>
      <c r="J652" s="25"/>
      <c r="K652" s="25"/>
    </row>
    <row r="653">
      <c r="D653" s="25"/>
      <c r="E653" s="9"/>
      <c r="F653" s="25"/>
      <c r="G653" s="25"/>
      <c r="J653" s="25"/>
      <c r="K653" s="25"/>
    </row>
    <row r="654">
      <c r="D654" s="25"/>
      <c r="E654" s="9"/>
      <c r="F654" s="25"/>
      <c r="G654" s="25"/>
      <c r="J654" s="25"/>
      <c r="K654" s="25"/>
    </row>
    <row r="655">
      <c r="D655" s="25"/>
      <c r="E655" s="9"/>
      <c r="F655" s="25"/>
      <c r="G655" s="25"/>
      <c r="J655" s="25"/>
      <c r="K655" s="25"/>
    </row>
    <row r="656">
      <c r="D656" s="25"/>
      <c r="E656" s="9"/>
      <c r="F656" s="25"/>
      <c r="G656" s="25"/>
      <c r="J656" s="25"/>
      <c r="K656" s="25"/>
    </row>
    <row r="657">
      <c r="D657" s="25"/>
      <c r="E657" s="9"/>
      <c r="F657" s="25"/>
      <c r="G657" s="25"/>
      <c r="J657" s="25"/>
      <c r="K657" s="25"/>
    </row>
    <row r="658">
      <c r="D658" s="25"/>
      <c r="E658" s="9"/>
      <c r="F658" s="25"/>
      <c r="G658" s="25"/>
      <c r="J658" s="25"/>
      <c r="K658" s="25"/>
    </row>
    <row r="659">
      <c r="D659" s="25"/>
      <c r="E659" s="9"/>
      <c r="F659" s="25"/>
      <c r="G659" s="25"/>
      <c r="J659" s="25"/>
      <c r="K659" s="25"/>
    </row>
    <row r="660">
      <c r="D660" s="25"/>
      <c r="E660" s="9"/>
      <c r="F660" s="25"/>
      <c r="G660" s="25"/>
      <c r="J660" s="25"/>
      <c r="K660" s="25"/>
    </row>
    <row r="661">
      <c r="D661" s="25"/>
      <c r="E661" s="9"/>
      <c r="F661" s="25"/>
      <c r="G661" s="25"/>
      <c r="J661" s="25"/>
      <c r="K661" s="25"/>
    </row>
    <row r="662">
      <c r="D662" s="25"/>
      <c r="E662" s="9"/>
      <c r="F662" s="25"/>
      <c r="G662" s="25"/>
      <c r="J662" s="25"/>
      <c r="K662" s="25"/>
    </row>
    <row r="663">
      <c r="D663" s="25"/>
      <c r="E663" s="9"/>
      <c r="F663" s="25"/>
      <c r="G663" s="25"/>
      <c r="J663" s="25"/>
      <c r="K663" s="25"/>
    </row>
    <row r="664">
      <c r="D664" s="25"/>
      <c r="E664" s="9"/>
      <c r="F664" s="25"/>
      <c r="G664" s="25"/>
      <c r="J664" s="25"/>
      <c r="K664" s="25"/>
    </row>
    <row r="665">
      <c r="D665" s="25"/>
      <c r="E665" s="9"/>
      <c r="F665" s="25"/>
      <c r="G665" s="25"/>
      <c r="J665" s="25"/>
      <c r="K665" s="25"/>
    </row>
    <row r="666">
      <c r="D666" s="25"/>
      <c r="E666" s="9"/>
      <c r="F666" s="25"/>
      <c r="G666" s="25"/>
      <c r="J666" s="25"/>
      <c r="K666" s="25"/>
    </row>
    <row r="667">
      <c r="D667" s="25"/>
      <c r="E667" s="9"/>
      <c r="F667" s="25"/>
      <c r="G667" s="25"/>
      <c r="J667" s="25"/>
      <c r="K667" s="25"/>
    </row>
    <row r="668">
      <c r="D668" s="25"/>
      <c r="E668" s="9"/>
      <c r="F668" s="25"/>
      <c r="G668" s="25"/>
      <c r="J668" s="25"/>
      <c r="K668" s="25"/>
    </row>
    <row r="669">
      <c r="D669" s="25"/>
      <c r="E669" s="9"/>
      <c r="F669" s="25"/>
      <c r="G669" s="25"/>
      <c r="J669" s="25"/>
      <c r="K669" s="25"/>
    </row>
    <row r="670">
      <c r="D670" s="25"/>
      <c r="E670" s="9"/>
      <c r="F670" s="25"/>
      <c r="G670" s="25"/>
      <c r="J670" s="25"/>
      <c r="K670" s="25"/>
    </row>
    <row r="671">
      <c r="D671" s="25"/>
      <c r="E671" s="9"/>
      <c r="F671" s="25"/>
      <c r="G671" s="25"/>
      <c r="J671" s="25"/>
      <c r="K671" s="25"/>
    </row>
    <row r="672">
      <c r="D672" s="25"/>
      <c r="E672" s="9"/>
      <c r="F672" s="25"/>
      <c r="G672" s="25"/>
      <c r="J672" s="25"/>
      <c r="K672" s="25"/>
    </row>
    <row r="673">
      <c r="D673" s="25"/>
      <c r="E673" s="9"/>
      <c r="F673" s="25"/>
      <c r="G673" s="25"/>
      <c r="J673" s="25"/>
      <c r="K673" s="25"/>
    </row>
    <row r="674">
      <c r="D674" s="25"/>
      <c r="E674" s="9"/>
      <c r="F674" s="25"/>
      <c r="G674" s="25"/>
      <c r="J674" s="25"/>
      <c r="K674" s="25"/>
    </row>
    <row r="675">
      <c r="D675" s="25"/>
      <c r="E675" s="9"/>
      <c r="F675" s="25"/>
      <c r="G675" s="25"/>
      <c r="J675" s="25"/>
      <c r="K675" s="25"/>
    </row>
    <row r="676">
      <c r="D676" s="25"/>
      <c r="E676" s="9"/>
      <c r="F676" s="25"/>
      <c r="G676" s="25"/>
      <c r="J676" s="25"/>
      <c r="K676" s="25"/>
    </row>
    <row r="677">
      <c r="D677" s="25"/>
      <c r="E677" s="9"/>
      <c r="F677" s="25"/>
      <c r="G677" s="25"/>
      <c r="J677" s="25"/>
      <c r="K677" s="25"/>
    </row>
    <row r="678">
      <c r="D678" s="25"/>
      <c r="E678" s="9"/>
      <c r="F678" s="25"/>
      <c r="G678" s="25"/>
      <c r="J678" s="25"/>
      <c r="K678" s="25"/>
    </row>
    <row r="679">
      <c r="D679" s="25"/>
      <c r="E679" s="9"/>
      <c r="F679" s="25"/>
      <c r="G679" s="25"/>
      <c r="J679" s="25"/>
      <c r="K679" s="25"/>
    </row>
    <row r="680">
      <c r="D680" s="25"/>
      <c r="E680" s="9"/>
      <c r="F680" s="25"/>
      <c r="G680" s="25"/>
      <c r="J680" s="25"/>
      <c r="K680" s="25"/>
    </row>
    <row r="681">
      <c r="D681" s="25"/>
      <c r="E681" s="9"/>
      <c r="F681" s="25"/>
      <c r="G681" s="25"/>
      <c r="J681" s="25"/>
      <c r="K681" s="25"/>
    </row>
    <row r="682">
      <c r="D682" s="25"/>
      <c r="E682" s="9"/>
      <c r="F682" s="25"/>
      <c r="G682" s="25"/>
      <c r="J682" s="25"/>
      <c r="K682" s="25"/>
    </row>
    <row r="683">
      <c r="D683" s="25"/>
      <c r="E683" s="9"/>
      <c r="F683" s="25"/>
      <c r="G683" s="25"/>
      <c r="J683" s="25"/>
      <c r="K683" s="25"/>
    </row>
    <row r="684">
      <c r="D684" s="25"/>
      <c r="E684" s="9"/>
      <c r="F684" s="25"/>
      <c r="G684" s="25"/>
      <c r="J684" s="25"/>
      <c r="K684" s="25"/>
    </row>
    <row r="685">
      <c r="D685" s="25"/>
      <c r="E685" s="9"/>
      <c r="F685" s="25"/>
      <c r="G685" s="25"/>
      <c r="J685" s="25"/>
      <c r="K685" s="25"/>
    </row>
    <row r="686">
      <c r="D686" s="25"/>
      <c r="E686" s="9"/>
      <c r="F686" s="25"/>
      <c r="G686" s="25"/>
      <c r="J686" s="25"/>
      <c r="K686" s="25"/>
    </row>
    <row r="687">
      <c r="D687" s="25"/>
      <c r="E687" s="9"/>
      <c r="F687" s="25"/>
      <c r="G687" s="25"/>
      <c r="J687" s="25"/>
      <c r="K687" s="25"/>
    </row>
    <row r="688">
      <c r="D688" s="25"/>
      <c r="E688" s="9"/>
      <c r="F688" s="25"/>
      <c r="G688" s="25"/>
      <c r="J688" s="25"/>
      <c r="K688" s="25"/>
    </row>
    <row r="689">
      <c r="D689" s="25"/>
      <c r="E689" s="9"/>
      <c r="F689" s="25"/>
      <c r="G689" s="25"/>
      <c r="J689" s="25"/>
      <c r="K689" s="25"/>
    </row>
    <row r="690">
      <c r="D690" s="25"/>
      <c r="E690" s="9"/>
      <c r="F690" s="25"/>
      <c r="G690" s="25"/>
      <c r="J690" s="25"/>
      <c r="K690" s="25"/>
    </row>
    <row r="691">
      <c r="D691" s="25"/>
      <c r="E691" s="9"/>
      <c r="F691" s="25"/>
      <c r="G691" s="25"/>
      <c r="J691" s="25"/>
      <c r="K691" s="25"/>
    </row>
    <row r="692">
      <c r="D692" s="25"/>
      <c r="E692" s="9"/>
      <c r="F692" s="25"/>
      <c r="G692" s="25"/>
      <c r="J692" s="25"/>
      <c r="K692" s="25"/>
    </row>
    <row r="693">
      <c r="D693" s="25"/>
      <c r="E693" s="9"/>
      <c r="F693" s="25"/>
      <c r="G693" s="25"/>
      <c r="J693" s="25"/>
      <c r="K693" s="25"/>
    </row>
    <row r="694">
      <c r="D694" s="25"/>
      <c r="E694" s="9"/>
      <c r="F694" s="25"/>
      <c r="G694" s="25"/>
      <c r="J694" s="25"/>
      <c r="K694" s="25"/>
    </row>
    <row r="695">
      <c r="D695" s="25"/>
      <c r="E695" s="9"/>
      <c r="F695" s="25"/>
      <c r="G695" s="25"/>
      <c r="J695" s="25"/>
      <c r="K695" s="25"/>
    </row>
    <row r="696">
      <c r="D696" s="25"/>
      <c r="E696" s="9"/>
      <c r="F696" s="25"/>
      <c r="G696" s="25"/>
      <c r="J696" s="25"/>
      <c r="K696" s="25"/>
    </row>
    <row r="697">
      <c r="D697" s="25"/>
      <c r="E697" s="9"/>
      <c r="F697" s="25"/>
      <c r="G697" s="25"/>
      <c r="J697" s="25"/>
      <c r="K697" s="25"/>
    </row>
    <row r="698">
      <c r="D698" s="25"/>
      <c r="E698" s="9"/>
      <c r="F698" s="25"/>
      <c r="G698" s="25"/>
      <c r="J698" s="25"/>
      <c r="K698" s="25"/>
    </row>
    <row r="699">
      <c r="D699" s="25"/>
      <c r="E699" s="9"/>
      <c r="F699" s="25"/>
      <c r="G699" s="25"/>
      <c r="J699" s="25"/>
      <c r="K699" s="25"/>
    </row>
    <row r="700">
      <c r="D700" s="25"/>
      <c r="E700" s="9"/>
      <c r="F700" s="25"/>
      <c r="G700" s="25"/>
      <c r="J700" s="25"/>
      <c r="K700" s="25"/>
    </row>
    <row r="701">
      <c r="D701" s="25"/>
      <c r="E701" s="9"/>
      <c r="F701" s="25"/>
      <c r="G701" s="25"/>
      <c r="J701" s="25"/>
      <c r="K701" s="25"/>
    </row>
    <row r="702">
      <c r="D702" s="25"/>
      <c r="E702" s="9"/>
      <c r="F702" s="25"/>
      <c r="G702" s="25"/>
      <c r="J702" s="25"/>
      <c r="K702" s="25"/>
    </row>
    <row r="703">
      <c r="D703" s="25"/>
      <c r="E703" s="9"/>
      <c r="F703" s="25"/>
      <c r="G703" s="25"/>
      <c r="J703" s="25"/>
      <c r="K703" s="25"/>
    </row>
    <row r="704">
      <c r="D704" s="25"/>
      <c r="E704" s="9"/>
      <c r="F704" s="25"/>
      <c r="G704" s="25"/>
      <c r="J704" s="25"/>
      <c r="K704" s="25"/>
    </row>
    <row r="705">
      <c r="D705" s="25"/>
      <c r="E705" s="9"/>
      <c r="F705" s="25"/>
      <c r="G705" s="25"/>
      <c r="J705" s="25"/>
      <c r="K705" s="25"/>
    </row>
    <row r="706">
      <c r="D706" s="25"/>
      <c r="E706" s="9"/>
      <c r="F706" s="25"/>
      <c r="G706" s="25"/>
      <c r="J706" s="25"/>
      <c r="K706" s="25"/>
    </row>
    <row r="707">
      <c r="D707" s="25"/>
      <c r="E707" s="9"/>
      <c r="F707" s="25"/>
      <c r="G707" s="25"/>
      <c r="J707" s="25"/>
      <c r="K707" s="25"/>
    </row>
    <row r="708">
      <c r="D708" s="25"/>
      <c r="E708" s="9"/>
      <c r="F708" s="25"/>
      <c r="G708" s="25"/>
      <c r="J708" s="25"/>
      <c r="K708" s="25"/>
    </row>
    <row r="709">
      <c r="D709" s="25"/>
      <c r="E709" s="9"/>
      <c r="F709" s="25"/>
      <c r="G709" s="25"/>
      <c r="J709" s="25"/>
      <c r="K709" s="25"/>
    </row>
    <row r="710">
      <c r="D710" s="25"/>
      <c r="E710" s="9"/>
      <c r="F710" s="25"/>
      <c r="G710" s="25"/>
      <c r="J710" s="25"/>
      <c r="K710" s="25"/>
    </row>
    <row r="711">
      <c r="D711" s="25"/>
      <c r="E711" s="9"/>
      <c r="F711" s="25"/>
      <c r="G711" s="25"/>
      <c r="J711" s="25"/>
      <c r="K711" s="25"/>
    </row>
    <row r="712">
      <c r="D712" s="25"/>
      <c r="E712" s="9"/>
      <c r="F712" s="25"/>
      <c r="G712" s="25"/>
      <c r="J712" s="25"/>
      <c r="K712" s="25"/>
    </row>
    <row r="713">
      <c r="D713" s="25"/>
      <c r="E713" s="9"/>
      <c r="F713" s="25"/>
      <c r="G713" s="25"/>
      <c r="J713" s="25"/>
      <c r="K713" s="25"/>
    </row>
    <row r="714">
      <c r="D714" s="25"/>
      <c r="E714" s="9"/>
      <c r="F714" s="25"/>
      <c r="G714" s="25"/>
      <c r="J714" s="25"/>
      <c r="K714" s="25"/>
    </row>
    <row r="715">
      <c r="D715" s="25"/>
      <c r="E715" s="9"/>
      <c r="F715" s="25"/>
      <c r="G715" s="25"/>
      <c r="J715" s="25"/>
      <c r="K715" s="25"/>
    </row>
    <row r="716">
      <c r="D716" s="25"/>
      <c r="E716" s="9"/>
      <c r="F716" s="25"/>
      <c r="G716" s="25"/>
      <c r="J716" s="25"/>
      <c r="K716" s="25"/>
    </row>
    <row r="717">
      <c r="D717" s="25"/>
      <c r="E717" s="9"/>
      <c r="F717" s="25"/>
      <c r="G717" s="25"/>
      <c r="J717" s="25"/>
      <c r="K717" s="25"/>
    </row>
    <row r="718">
      <c r="D718" s="25"/>
      <c r="E718" s="9"/>
      <c r="F718" s="25"/>
      <c r="G718" s="25"/>
      <c r="J718" s="25"/>
      <c r="K718" s="25"/>
    </row>
    <row r="719">
      <c r="D719" s="25"/>
      <c r="E719" s="9"/>
      <c r="F719" s="25"/>
      <c r="G719" s="25"/>
      <c r="J719" s="25"/>
      <c r="K719" s="25"/>
    </row>
    <row r="720">
      <c r="D720" s="25"/>
      <c r="E720" s="9"/>
      <c r="F720" s="25"/>
      <c r="G720" s="25"/>
      <c r="J720" s="25"/>
      <c r="K720" s="25"/>
    </row>
    <row r="721">
      <c r="D721" s="25"/>
      <c r="E721" s="9"/>
      <c r="F721" s="25"/>
      <c r="G721" s="25"/>
      <c r="J721" s="25"/>
      <c r="K721" s="25"/>
    </row>
    <row r="722">
      <c r="D722" s="25"/>
      <c r="E722" s="9"/>
      <c r="F722" s="25"/>
      <c r="G722" s="25"/>
      <c r="J722" s="25"/>
      <c r="K722" s="25"/>
    </row>
    <row r="723">
      <c r="D723" s="25"/>
      <c r="E723" s="9"/>
      <c r="F723" s="25"/>
      <c r="G723" s="25"/>
      <c r="J723" s="25"/>
      <c r="K723" s="25"/>
    </row>
    <row r="724">
      <c r="D724" s="25"/>
      <c r="E724" s="9"/>
      <c r="F724" s="25"/>
      <c r="G724" s="25"/>
      <c r="J724" s="25"/>
      <c r="K724" s="25"/>
    </row>
    <row r="725">
      <c r="D725" s="25"/>
      <c r="E725" s="9"/>
      <c r="F725" s="25"/>
      <c r="G725" s="25"/>
      <c r="J725" s="25"/>
      <c r="K725" s="25"/>
    </row>
    <row r="726">
      <c r="D726" s="25"/>
      <c r="E726" s="9"/>
      <c r="F726" s="25"/>
      <c r="G726" s="25"/>
      <c r="J726" s="25"/>
      <c r="K726" s="25"/>
    </row>
    <row r="727">
      <c r="D727" s="25"/>
      <c r="E727" s="9"/>
      <c r="F727" s="25"/>
      <c r="G727" s="25"/>
      <c r="J727" s="25"/>
      <c r="K727" s="25"/>
    </row>
    <row r="728">
      <c r="D728" s="25"/>
      <c r="E728" s="9"/>
      <c r="F728" s="25"/>
      <c r="G728" s="25"/>
      <c r="J728" s="25"/>
      <c r="K728" s="25"/>
    </row>
    <row r="729">
      <c r="D729" s="25"/>
      <c r="E729" s="9"/>
      <c r="F729" s="25"/>
      <c r="G729" s="25"/>
      <c r="J729" s="25"/>
      <c r="K729" s="25"/>
    </row>
    <row r="730">
      <c r="D730" s="25"/>
      <c r="E730" s="9"/>
      <c r="F730" s="25"/>
      <c r="G730" s="25"/>
      <c r="J730" s="25"/>
      <c r="K730" s="25"/>
    </row>
    <row r="731">
      <c r="D731" s="25"/>
      <c r="E731" s="9"/>
      <c r="F731" s="25"/>
      <c r="G731" s="25"/>
      <c r="J731" s="25"/>
      <c r="K731" s="25"/>
    </row>
    <row r="732">
      <c r="D732" s="25"/>
      <c r="E732" s="9"/>
      <c r="F732" s="25"/>
      <c r="G732" s="25"/>
      <c r="J732" s="25"/>
      <c r="K732" s="25"/>
    </row>
    <row r="733">
      <c r="D733" s="25"/>
      <c r="E733" s="9"/>
      <c r="F733" s="25"/>
      <c r="G733" s="25"/>
      <c r="J733" s="25"/>
      <c r="K733" s="25"/>
    </row>
    <row r="734">
      <c r="D734" s="25"/>
      <c r="E734" s="9"/>
      <c r="F734" s="25"/>
      <c r="G734" s="25"/>
      <c r="J734" s="25"/>
      <c r="K734" s="25"/>
    </row>
    <row r="735">
      <c r="D735" s="25"/>
      <c r="E735" s="9"/>
      <c r="F735" s="25"/>
      <c r="G735" s="25"/>
      <c r="J735" s="25"/>
      <c r="K735" s="25"/>
    </row>
    <row r="736">
      <c r="D736" s="25"/>
      <c r="E736" s="9"/>
      <c r="F736" s="25"/>
      <c r="G736" s="25"/>
      <c r="J736" s="25"/>
      <c r="K736" s="25"/>
    </row>
    <row r="737">
      <c r="D737" s="25"/>
      <c r="E737" s="9"/>
      <c r="F737" s="25"/>
      <c r="G737" s="25"/>
      <c r="J737" s="25"/>
      <c r="K737" s="25"/>
    </row>
    <row r="738">
      <c r="D738" s="25"/>
      <c r="E738" s="9"/>
      <c r="F738" s="25"/>
      <c r="G738" s="25"/>
      <c r="J738" s="25"/>
      <c r="K738" s="25"/>
    </row>
    <row r="739">
      <c r="D739" s="25"/>
      <c r="E739" s="9"/>
      <c r="F739" s="25"/>
      <c r="G739" s="25"/>
      <c r="J739" s="25"/>
      <c r="K739" s="25"/>
    </row>
    <row r="740">
      <c r="D740" s="25"/>
      <c r="E740" s="9"/>
      <c r="F740" s="25"/>
      <c r="G740" s="25"/>
      <c r="J740" s="25"/>
      <c r="K740" s="25"/>
    </row>
    <row r="741">
      <c r="D741" s="25"/>
      <c r="E741" s="9"/>
      <c r="F741" s="25"/>
      <c r="G741" s="25"/>
      <c r="J741" s="25"/>
      <c r="K741" s="25"/>
    </row>
    <row r="742">
      <c r="D742" s="25"/>
      <c r="E742" s="9"/>
      <c r="F742" s="25"/>
      <c r="G742" s="25"/>
      <c r="J742" s="25"/>
      <c r="K742" s="25"/>
    </row>
    <row r="743">
      <c r="D743" s="25"/>
      <c r="E743" s="9"/>
      <c r="F743" s="25"/>
      <c r="G743" s="25"/>
      <c r="J743" s="25"/>
      <c r="K743" s="25"/>
    </row>
    <row r="744">
      <c r="D744" s="25"/>
      <c r="E744" s="9"/>
      <c r="F744" s="25"/>
      <c r="G744" s="25"/>
      <c r="J744" s="25"/>
      <c r="K744" s="25"/>
    </row>
    <row r="745">
      <c r="D745" s="25"/>
      <c r="E745" s="9"/>
      <c r="F745" s="25"/>
      <c r="G745" s="25"/>
      <c r="J745" s="25"/>
      <c r="K745" s="25"/>
    </row>
    <row r="746">
      <c r="D746" s="25"/>
      <c r="E746" s="9"/>
      <c r="F746" s="25"/>
      <c r="G746" s="25"/>
      <c r="J746" s="25"/>
      <c r="K746" s="25"/>
    </row>
    <row r="747">
      <c r="D747" s="25"/>
      <c r="E747" s="9"/>
      <c r="F747" s="25"/>
      <c r="G747" s="25"/>
      <c r="J747" s="25"/>
      <c r="K747" s="25"/>
    </row>
    <row r="748">
      <c r="D748" s="25"/>
      <c r="E748" s="9"/>
      <c r="F748" s="25"/>
      <c r="G748" s="25"/>
      <c r="J748" s="25"/>
      <c r="K748" s="25"/>
    </row>
    <row r="749">
      <c r="D749" s="25"/>
      <c r="E749" s="9"/>
      <c r="F749" s="25"/>
      <c r="G749" s="25"/>
      <c r="J749" s="25"/>
      <c r="K749" s="25"/>
    </row>
    <row r="750">
      <c r="D750" s="25"/>
      <c r="E750" s="9"/>
      <c r="F750" s="25"/>
      <c r="G750" s="25"/>
      <c r="J750" s="25"/>
      <c r="K750" s="25"/>
    </row>
    <row r="751">
      <c r="D751" s="25"/>
      <c r="E751" s="9"/>
      <c r="F751" s="25"/>
      <c r="G751" s="25"/>
      <c r="J751" s="25"/>
      <c r="K751" s="25"/>
    </row>
    <row r="752">
      <c r="D752" s="25"/>
      <c r="E752" s="9"/>
      <c r="F752" s="25"/>
      <c r="G752" s="25"/>
      <c r="J752" s="25"/>
      <c r="K752" s="25"/>
    </row>
    <row r="753">
      <c r="D753" s="25"/>
      <c r="E753" s="9"/>
      <c r="F753" s="25"/>
      <c r="G753" s="25"/>
      <c r="J753" s="25"/>
      <c r="K753" s="25"/>
    </row>
    <row r="754">
      <c r="D754" s="25"/>
      <c r="E754" s="9"/>
      <c r="F754" s="25"/>
      <c r="G754" s="25"/>
      <c r="J754" s="25"/>
      <c r="K754" s="25"/>
    </row>
    <row r="755">
      <c r="D755" s="25"/>
      <c r="E755" s="9"/>
      <c r="F755" s="25"/>
      <c r="G755" s="25"/>
      <c r="J755" s="25"/>
      <c r="K755" s="25"/>
    </row>
    <row r="756">
      <c r="D756" s="25"/>
      <c r="E756" s="9"/>
      <c r="F756" s="25"/>
      <c r="G756" s="25"/>
      <c r="J756" s="25"/>
      <c r="K756" s="25"/>
    </row>
    <row r="757">
      <c r="D757" s="25"/>
      <c r="E757" s="9"/>
      <c r="F757" s="25"/>
      <c r="G757" s="25"/>
      <c r="J757" s="25"/>
      <c r="K757" s="25"/>
    </row>
    <row r="758">
      <c r="D758" s="25"/>
      <c r="E758" s="9"/>
      <c r="F758" s="25"/>
      <c r="G758" s="25"/>
      <c r="J758" s="25"/>
      <c r="K758" s="25"/>
    </row>
    <row r="759">
      <c r="D759" s="25"/>
      <c r="E759" s="9"/>
      <c r="F759" s="25"/>
      <c r="G759" s="25"/>
      <c r="J759" s="25"/>
      <c r="K759" s="25"/>
    </row>
    <row r="760">
      <c r="D760" s="25"/>
      <c r="E760" s="9"/>
      <c r="F760" s="25"/>
      <c r="G760" s="25"/>
      <c r="J760" s="25"/>
      <c r="K760" s="25"/>
    </row>
    <row r="761">
      <c r="D761" s="25"/>
      <c r="E761" s="9"/>
      <c r="F761" s="25"/>
      <c r="G761" s="25"/>
      <c r="J761" s="25"/>
      <c r="K761" s="25"/>
    </row>
    <row r="762">
      <c r="D762" s="25"/>
      <c r="E762" s="9"/>
      <c r="F762" s="25"/>
      <c r="G762" s="25"/>
      <c r="J762" s="25"/>
      <c r="K762" s="25"/>
    </row>
    <row r="763">
      <c r="D763" s="25"/>
      <c r="E763" s="9"/>
      <c r="F763" s="25"/>
      <c r="G763" s="25"/>
      <c r="J763" s="25"/>
      <c r="K763" s="25"/>
    </row>
    <row r="764">
      <c r="D764" s="25"/>
      <c r="E764" s="9"/>
      <c r="F764" s="25"/>
      <c r="G764" s="25"/>
      <c r="J764" s="25"/>
      <c r="K764" s="25"/>
    </row>
    <row r="765">
      <c r="D765" s="25"/>
      <c r="E765" s="9"/>
      <c r="F765" s="25"/>
      <c r="G765" s="25"/>
      <c r="J765" s="25"/>
      <c r="K765" s="25"/>
    </row>
    <row r="766">
      <c r="D766" s="25"/>
      <c r="E766" s="9"/>
      <c r="F766" s="25"/>
      <c r="G766" s="25"/>
      <c r="J766" s="25"/>
      <c r="K766" s="25"/>
    </row>
    <row r="767">
      <c r="D767" s="25"/>
      <c r="E767" s="9"/>
      <c r="F767" s="25"/>
      <c r="G767" s="25"/>
      <c r="J767" s="25"/>
      <c r="K767" s="25"/>
    </row>
    <row r="768">
      <c r="D768" s="25"/>
      <c r="E768" s="9"/>
      <c r="F768" s="25"/>
      <c r="G768" s="25"/>
      <c r="J768" s="25"/>
      <c r="K768" s="25"/>
    </row>
    <row r="769">
      <c r="D769" s="25"/>
      <c r="E769" s="9"/>
      <c r="F769" s="25"/>
      <c r="G769" s="25"/>
      <c r="J769" s="25"/>
      <c r="K769" s="25"/>
    </row>
    <row r="770">
      <c r="D770" s="25"/>
      <c r="E770" s="9"/>
      <c r="F770" s="25"/>
      <c r="G770" s="25"/>
      <c r="J770" s="25"/>
      <c r="K770" s="25"/>
    </row>
    <row r="771">
      <c r="D771" s="25"/>
      <c r="E771" s="9"/>
      <c r="F771" s="25"/>
      <c r="G771" s="25"/>
      <c r="J771" s="25"/>
      <c r="K771" s="25"/>
    </row>
    <row r="772">
      <c r="D772" s="25"/>
      <c r="E772" s="9"/>
      <c r="F772" s="25"/>
      <c r="G772" s="25"/>
      <c r="J772" s="25"/>
      <c r="K772" s="25"/>
    </row>
    <row r="773">
      <c r="D773" s="25"/>
      <c r="E773" s="9"/>
      <c r="F773" s="25"/>
      <c r="G773" s="25"/>
      <c r="J773" s="25"/>
      <c r="K773" s="25"/>
    </row>
    <row r="774">
      <c r="D774" s="25"/>
      <c r="E774" s="9"/>
      <c r="F774" s="25"/>
      <c r="G774" s="25"/>
      <c r="J774" s="25"/>
      <c r="K774" s="25"/>
    </row>
    <row r="775">
      <c r="D775" s="25"/>
      <c r="E775" s="9"/>
      <c r="F775" s="25"/>
      <c r="G775" s="25"/>
      <c r="J775" s="25"/>
      <c r="K775" s="25"/>
    </row>
    <row r="776">
      <c r="D776" s="25"/>
      <c r="E776" s="9"/>
      <c r="F776" s="25"/>
      <c r="G776" s="25"/>
      <c r="J776" s="25"/>
      <c r="K776" s="25"/>
    </row>
    <row r="777">
      <c r="D777" s="25"/>
      <c r="E777" s="9"/>
      <c r="F777" s="25"/>
      <c r="G777" s="25"/>
      <c r="J777" s="25"/>
      <c r="K777" s="25"/>
    </row>
    <row r="778">
      <c r="D778" s="25"/>
      <c r="E778" s="9"/>
      <c r="F778" s="25"/>
      <c r="G778" s="25"/>
      <c r="J778" s="25"/>
      <c r="K778" s="25"/>
    </row>
    <row r="779">
      <c r="D779" s="25"/>
      <c r="E779" s="9"/>
      <c r="F779" s="25"/>
      <c r="G779" s="25"/>
      <c r="J779" s="25"/>
      <c r="K779" s="25"/>
    </row>
    <row r="780">
      <c r="D780" s="25"/>
      <c r="E780" s="9"/>
      <c r="F780" s="25"/>
      <c r="G780" s="25"/>
      <c r="J780" s="25"/>
      <c r="K780" s="25"/>
    </row>
    <row r="781">
      <c r="D781" s="25"/>
      <c r="E781" s="9"/>
      <c r="F781" s="25"/>
      <c r="G781" s="25"/>
      <c r="J781" s="25"/>
      <c r="K781" s="25"/>
    </row>
    <row r="782">
      <c r="D782" s="25"/>
      <c r="E782" s="9"/>
      <c r="F782" s="25"/>
      <c r="G782" s="25"/>
      <c r="J782" s="25"/>
      <c r="K782" s="25"/>
    </row>
    <row r="783">
      <c r="D783" s="25"/>
      <c r="E783" s="9"/>
      <c r="F783" s="25"/>
      <c r="G783" s="25"/>
      <c r="J783" s="25"/>
      <c r="K783" s="25"/>
    </row>
    <row r="784">
      <c r="D784" s="25"/>
      <c r="E784" s="9"/>
      <c r="F784" s="25"/>
      <c r="G784" s="25"/>
      <c r="J784" s="25"/>
      <c r="K784" s="25"/>
    </row>
    <row r="785">
      <c r="D785" s="25"/>
      <c r="E785" s="9"/>
      <c r="F785" s="25"/>
      <c r="G785" s="25"/>
      <c r="J785" s="25"/>
      <c r="K785" s="25"/>
    </row>
    <row r="786">
      <c r="D786" s="25"/>
      <c r="E786" s="9"/>
      <c r="F786" s="25"/>
      <c r="G786" s="25"/>
      <c r="J786" s="25"/>
      <c r="K786" s="25"/>
    </row>
    <row r="787">
      <c r="D787" s="25"/>
      <c r="E787" s="9"/>
      <c r="F787" s="25"/>
      <c r="G787" s="25"/>
      <c r="J787" s="25"/>
      <c r="K787" s="25"/>
    </row>
    <row r="788">
      <c r="D788" s="25"/>
      <c r="E788" s="9"/>
      <c r="F788" s="25"/>
      <c r="G788" s="25"/>
      <c r="J788" s="25"/>
      <c r="K788" s="25"/>
    </row>
    <row r="789">
      <c r="D789" s="25"/>
      <c r="E789" s="9"/>
      <c r="F789" s="25"/>
      <c r="G789" s="25"/>
      <c r="J789" s="25"/>
      <c r="K789" s="25"/>
    </row>
    <row r="790">
      <c r="D790" s="25"/>
      <c r="E790" s="9"/>
      <c r="F790" s="25"/>
      <c r="G790" s="25"/>
      <c r="J790" s="25"/>
      <c r="K790" s="25"/>
    </row>
    <row r="791">
      <c r="D791" s="25"/>
      <c r="E791" s="9"/>
      <c r="F791" s="25"/>
      <c r="G791" s="25"/>
      <c r="J791" s="25"/>
      <c r="K791" s="25"/>
    </row>
    <row r="792">
      <c r="D792" s="25"/>
      <c r="E792" s="9"/>
      <c r="F792" s="25"/>
      <c r="G792" s="25"/>
      <c r="J792" s="25"/>
      <c r="K792" s="25"/>
    </row>
    <row r="793">
      <c r="D793" s="25"/>
      <c r="E793" s="9"/>
      <c r="F793" s="25"/>
      <c r="G793" s="25"/>
      <c r="J793" s="25"/>
      <c r="K793" s="25"/>
    </row>
    <row r="794">
      <c r="D794" s="25"/>
      <c r="E794" s="9"/>
      <c r="F794" s="25"/>
      <c r="G794" s="25"/>
      <c r="J794" s="25"/>
      <c r="K794" s="25"/>
    </row>
    <row r="795">
      <c r="D795" s="25"/>
      <c r="E795" s="9"/>
      <c r="F795" s="25"/>
      <c r="G795" s="25"/>
      <c r="J795" s="25"/>
      <c r="K795" s="25"/>
    </row>
    <row r="796">
      <c r="D796" s="25"/>
      <c r="E796" s="9"/>
      <c r="F796" s="25"/>
      <c r="G796" s="25"/>
      <c r="J796" s="25"/>
      <c r="K796" s="25"/>
    </row>
    <row r="797">
      <c r="D797" s="25"/>
      <c r="E797" s="9"/>
      <c r="F797" s="25"/>
      <c r="G797" s="25"/>
      <c r="J797" s="25"/>
      <c r="K797" s="25"/>
    </row>
    <row r="798">
      <c r="D798" s="25"/>
      <c r="E798" s="9"/>
      <c r="F798" s="25"/>
      <c r="G798" s="25"/>
      <c r="J798" s="25"/>
      <c r="K798" s="25"/>
    </row>
    <row r="799">
      <c r="D799" s="25"/>
      <c r="E799" s="9"/>
      <c r="F799" s="25"/>
      <c r="G799" s="25"/>
      <c r="J799" s="25"/>
      <c r="K799" s="25"/>
    </row>
    <row r="800">
      <c r="D800" s="25"/>
      <c r="E800" s="9"/>
      <c r="F800" s="25"/>
      <c r="G800" s="25"/>
      <c r="J800" s="25"/>
      <c r="K800" s="25"/>
    </row>
    <row r="801">
      <c r="D801" s="25"/>
      <c r="E801" s="9"/>
      <c r="F801" s="25"/>
      <c r="G801" s="25"/>
      <c r="J801" s="25"/>
      <c r="K801" s="25"/>
    </row>
    <row r="802">
      <c r="D802" s="25"/>
      <c r="E802" s="9"/>
      <c r="F802" s="25"/>
      <c r="G802" s="25"/>
      <c r="J802" s="25"/>
      <c r="K802" s="25"/>
    </row>
    <row r="803">
      <c r="D803" s="25"/>
      <c r="E803" s="9"/>
      <c r="F803" s="25"/>
      <c r="G803" s="25"/>
      <c r="J803" s="25"/>
      <c r="K803" s="25"/>
    </row>
    <row r="804">
      <c r="D804" s="25"/>
      <c r="E804" s="9"/>
      <c r="F804" s="25"/>
      <c r="G804" s="25"/>
      <c r="J804" s="25"/>
      <c r="K804" s="25"/>
    </row>
    <row r="805">
      <c r="D805" s="25"/>
      <c r="E805" s="9"/>
      <c r="F805" s="25"/>
      <c r="G805" s="25"/>
      <c r="J805" s="25"/>
      <c r="K805" s="25"/>
    </row>
    <row r="806">
      <c r="D806" s="25"/>
      <c r="E806" s="9"/>
      <c r="F806" s="25"/>
      <c r="G806" s="25"/>
      <c r="J806" s="25"/>
      <c r="K806" s="25"/>
    </row>
    <row r="807">
      <c r="D807" s="25"/>
      <c r="E807" s="9"/>
      <c r="F807" s="25"/>
      <c r="G807" s="25"/>
      <c r="J807" s="25"/>
      <c r="K807" s="25"/>
    </row>
    <row r="808">
      <c r="D808" s="25"/>
      <c r="E808" s="9"/>
      <c r="F808" s="25"/>
      <c r="G808" s="25"/>
      <c r="J808" s="25"/>
      <c r="K808" s="25"/>
    </row>
    <row r="809">
      <c r="D809" s="25"/>
      <c r="E809" s="9"/>
      <c r="F809" s="25"/>
      <c r="G809" s="25"/>
      <c r="J809" s="25"/>
      <c r="K809" s="25"/>
    </row>
    <row r="810">
      <c r="D810" s="25"/>
      <c r="E810" s="9"/>
      <c r="F810" s="25"/>
      <c r="G810" s="25"/>
      <c r="J810" s="25"/>
      <c r="K810" s="25"/>
    </row>
    <row r="811">
      <c r="D811" s="25"/>
      <c r="E811" s="9"/>
      <c r="F811" s="25"/>
      <c r="G811" s="25"/>
      <c r="J811" s="25"/>
      <c r="K811" s="25"/>
    </row>
    <row r="812">
      <c r="D812" s="25"/>
      <c r="E812" s="9"/>
      <c r="F812" s="25"/>
      <c r="G812" s="25"/>
      <c r="J812" s="25"/>
      <c r="K812" s="25"/>
    </row>
    <row r="813">
      <c r="D813" s="25"/>
      <c r="E813" s="9"/>
      <c r="F813" s="25"/>
      <c r="G813" s="25"/>
      <c r="J813" s="25"/>
      <c r="K813" s="25"/>
    </row>
    <row r="814">
      <c r="D814" s="25"/>
      <c r="E814" s="9"/>
      <c r="F814" s="25"/>
      <c r="G814" s="25"/>
      <c r="J814" s="25"/>
      <c r="K814" s="25"/>
    </row>
    <row r="815">
      <c r="D815" s="25"/>
      <c r="E815" s="9"/>
      <c r="F815" s="25"/>
      <c r="G815" s="25"/>
      <c r="J815" s="25"/>
      <c r="K815" s="25"/>
    </row>
    <row r="816">
      <c r="D816" s="25"/>
      <c r="E816" s="9"/>
      <c r="F816" s="25"/>
      <c r="G816" s="25"/>
      <c r="J816" s="25"/>
      <c r="K816" s="25"/>
    </row>
    <row r="817">
      <c r="D817" s="25"/>
      <c r="E817" s="9"/>
      <c r="F817" s="25"/>
      <c r="G817" s="25"/>
      <c r="J817" s="25"/>
      <c r="K817" s="25"/>
    </row>
    <row r="818">
      <c r="D818" s="25"/>
      <c r="E818" s="9"/>
      <c r="F818" s="25"/>
      <c r="G818" s="25"/>
      <c r="J818" s="25"/>
      <c r="K818" s="25"/>
    </row>
    <row r="819">
      <c r="D819" s="25"/>
      <c r="E819" s="9"/>
      <c r="F819" s="25"/>
      <c r="G819" s="25"/>
      <c r="J819" s="25"/>
      <c r="K819" s="25"/>
    </row>
    <row r="820">
      <c r="D820" s="25"/>
      <c r="E820" s="9"/>
      <c r="F820" s="25"/>
      <c r="G820" s="25"/>
      <c r="J820" s="25"/>
      <c r="K820" s="25"/>
    </row>
    <row r="821">
      <c r="D821" s="25"/>
      <c r="E821" s="9"/>
      <c r="F821" s="25"/>
      <c r="G821" s="25"/>
      <c r="J821" s="25"/>
      <c r="K821" s="25"/>
    </row>
    <row r="822">
      <c r="D822" s="25"/>
      <c r="E822" s="9"/>
      <c r="F822" s="25"/>
      <c r="G822" s="25"/>
      <c r="J822" s="25"/>
      <c r="K822" s="25"/>
    </row>
    <row r="823">
      <c r="D823" s="25"/>
      <c r="E823" s="9"/>
      <c r="F823" s="25"/>
      <c r="G823" s="25"/>
      <c r="J823" s="25"/>
      <c r="K823" s="25"/>
    </row>
    <row r="824">
      <c r="D824" s="25"/>
      <c r="E824" s="9"/>
      <c r="F824" s="25"/>
      <c r="G824" s="25"/>
      <c r="J824" s="25"/>
      <c r="K824" s="25"/>
    </row>
    <row r="825">
      <c r="D825" s="25"/>
      <c r="E825" s="9"/>
      <c r="F825" s="25"/>
      <c r="G825" s="25"/>
      <c r="J825" s="25"/>
      <c r="K825" s="25"/>
    </row>
    <row r="826">
      <c r="D826" s="25"/>
      <c r="E826" s="9"/>
      <c r="F826" s="25"/>
      <c r="G826" s="25"/>
      <c r="J826" s="25"/>
      <c r="K826" s="25"/>
    </row>
    <row r="827">
      <c r="D827" s="25"/>
      <c r="E827" s="9"/>
      <c r="F827" s="25"/>
      <c r="G827" s="25"/>
      <c r="J827" s="25"/>
      <c r="K827" s="25"/>
    </row>
    <row r="828">
      <c r="D828" s="25"/>
      <c r="E828" s="9"/>
      <c r="F828" s="25"/>
      <c r="G828" s="25"/>
      <c r="J828" s="25"/>
      <c r="K828" s="25"/>
    </row>
    <row r="829">
      <c r="D829" s="25"/>
      <c r="E829" s="9"/>
      <c r="F829" s="25"/>
      <c r="G829" s="25"/>
      <c r="J829" s="25"/>
      <c r="K829" s="25"/>
    </row>
    <row r="830">
      <c r="D830" s="25"/>
      <c r="E830" s="9"/>
      <c r="F830" s="25"/>
      <c r="G830" s="25"/>
      <c r="J830" s="25"/>
      <c r="K830" s="25"/>
    </row>
    <row r="831">
      <c r="D831" s="25"/>
      <c r="E831" s="9"/>
      <c r="F831" s="25"/>
      <c r="G831" s="25"/>
      <c r="J831" s="25"/>
      <c r="K831" s="25"/>
    </row>
    <row r="832">
      <c r="D832" s="25"/>
      <c r="E832" s="9"/>
      <c r="F832" s="25"/>
      <c r="G832" s="25"/>
      <c r="J832" s="25"/>
      <c r="K832" s="25"/>
    </row>
    <row r="833">
      <c r="D833" s="25"/>
      <c r="E833" s="9"/>
      <c r="F833" s="25"/>
      <c r="G833" s="25"/>
      <c r="J833" s="25"/>
      <c r="K833" s="25"/>
    </row>
    <row r="834">
      <c r="D834" s="25"/>
      <c r="E834" s="9"/>
      <c r="F834" s="25"/>
      <c r="G834" s="25"/>
      <c r="J834" s="25"/>
      <c r="K834" s="25"/>
    </row>
    <row r="835">
      <c r="D835" s="25"/>
      <c r="E835" s="9"/>
      <c r="F835" s="25"/>
      <c r="G835" s="25"/>
      <c r="J835" s="25"/>
      <c r="K835" s="25"/>
    </row>
    <row r="836">
      <c r="D836" s="25"/>
      <c r="E836" s="9"/>
      <c r="F836" s="25"/>
      <c r="G836" s="25"/>
      <c r="J836" s="25"/>
      <c r="K836" s="25"/>
    </row>
    <row r="837">
      <c r="D837" s="25"/>
      <c r="E837" s="9"/>
      <c r="F837" s="25"/>
      <c r="G837" s="25"/>
      <c r="J837" s="25"/>
      <c r="K837" s="25"/>
    </row>
    <row r="838">
      <c r="D838" s="25"/>
      <c r="E838" s="9"/>
      <c r="F838" s="25"/>
      <c r="G838" s="25"/>
      <c r="J838" s="25"/>
      <c r="K838" s="25"/>
    </row>
    <row r="839">
      <c r="D839" s="25"/>
      <c r="E839" s="9"/>
      <c r="F839" s="25"/>
      <c r="G839" s="25"/>
      <c r="J839" s="25"/>
      <c r="K839" s="25"/>
    </row>
    <row r="840">
      <c r="D840" s="25"/>
      <c r="E840" s="9"/>
      <c r="F840" s="25"/>
      <c r="G840" s="25"/>
      <c r="J840" s="25"/>
      <c r="K840" s="25"/>
    </row>
    <row r="841">
      <c r="D841" s="25"/>
      <c r="E841" s="9"/>
      <c r="F841" s="25"/>
      <c r="G841" s="25"/>
      <c r="J841" s="25"/>
      <c r="K841" s="25"/>
    </row>
    <row r="842">
      <c r="D842" s="25"/>
      <c r="E842" s="9"/>
      <c r="F842" s="25"/>
      <c r="G842" s="25"/>
      <c r="J842" s="25"/>
      <c r="K842" s="25"/>
    </row>
    <row r="843">
      <c r="D843" s="25"/>
      <c r="E843" s="9"/>
      <c r="F843" s="25"/>
      <c r="G843" s="25"/>
      <c r="J843" s="25"/>
      <c r="K843" s="25"/>
    </row>
    <row r="844">
      <c r="D844" s="25"/>
      <c r="E844" s="9"/>
      <c r="F844" s="25"/>
      <c r="G844" s="25"/>
      <c r="J844" s="25"/>
      <c r="K844" s="25"/>
    </row>
    <row r="845">
      <c r="D845" s="25"/>
      <c r="E845" s="9"/>
      <c r="F845" s="25"/>
      <c r="G845" s="25"/>
      <c r="J845" s="25"/>
      <c r="K845" s="25"/>
    </row>
    <row r="846">
      <c r="D846" s="25"/>
      <c r="E846" s="9"/>
      <c r="F846" s="25"/>
      <c r="G846" s="25"/>
      <c r="J846" s="25"/>
      <c r="K846" s="25"/>
    </row>
    <row r="847">
      <c r="D847" s="25"/>
      <c r="E847" s="9"/>
      <c r="F847" s="25"/>
      <c r="G847" s="25"/>
      <c r="J847" s="25"/>
      <c r="K847" s="25"/>
    </row>
    <row r="848">
      <c r="D848" s="25"/>
      <c r="E848" s="9"/>
      <c r="F848" s="25"/>
      <c r="G848" s="25"/>
      <c r="J848" s="25"/>
      <c r="K848" s="25"/>
    </row>
    <row r="849">
      <c r="D849" s="25"/>
      <c r="E849" s="9"/>
      <c r="F849" s="25"/>
      <c r="G849" s="25"/>
      <c r="J849" s="25"/>
      <c r="K849" s="25"/>
    </row>
    <row r="850">
      <c r="D850" s="25"/>
      <c r="E850" s="9"/>
      <c r="F850" s="25"/>
      <c r="G850" s="25"/>
      <c r="J850" s="25"/>
      <c r="K850" s="25"/>
    </row>
    <row r="851">
      <c r="D851" s="25"/>
      <c r="E851" s="9"/>
      <c r="F851" s="25"/>
      <c r="G851" s="25"/>
      <c r="J851" s="25"/>
      <c r="K851" s="25"/>
    </row>
    <row r="852">
      <c r="D852" s="25"/>
      <c r="E852" s="9"/>
      <c r="F852" s="25"/>
      <c r="G852" s="25"/>
      <c r="J852" s="25"/>
      <c r="K852" s="25"/>
    </row>
    <row r="853">
      <c r="D853" s="25"/>
      <c r="E853" s="9"/>
      <c r="F853" s="25"/>
      <c r="G853" s="25"/>
      <c r="J853" s="25"/>
      <c r="K853" s="25"/>
    </row>
    <row r="854">
      <c r="D854" s="25"/>
      <c r="E854" s="9"/>
      <c r="F854" s="25"/>
      <c r="G854" s="25"/>
      <c r="J854" s="25"/>
      <c r="K854" s="25"/>
    </row>
    <row r="855">
      <c r="D855" s="25"/>
      <c r="E855" s="9"/>
      <c r="F855" s="25"/>
      <c r="G855" s="25"/>
      <c r="J855" s="25"/>
      <c r="K855" s="25"/>
    </row>
    <row r="856">
      <c r="D856" s="25"/>
      <c r="E856" s="9"/>
      <c r="F856" s="25"/>
      <c r="G856" s="25"/>
      <c r="J856" s="25"/>
      <c r="K856" s="25"/>
    </row>
    <row r="857">
      <c r="D857" s="25"/>
      <c r="E857" s="9"/>
      <c r="F857" s="25"/>
      <c r="G857" s="25"/>
      <c r="J857" s="25"/>
      <c r="K857" s="25"/>
    </row>
    <row r="858">
      <c r="D858" s="25"/>
      <c r="E858" s="9"/>
      <c r="F858" s="25"/>
      <c r="G858" s="25"/>
      <c r="J858" s="25"/>
      <c r="K858" s="25"/>
    </row>
    <row r="859">
      <c r="D859" s="25"/>
      <c r="E859" s="9"/>
      <c r="F859" s="25"/>
      <c r="G859" s="25"/>
      <c r="J859" s="25"/>
      <c r="K859" s="25"/>
    </row>
    <row r="860">
      <c r="D860" s="25"/>
      <c r="E860" s="9"/>
      <c r="F860" s="25"/>
      <c r="G860" s="25"/>
      <c r="J860" s="25"/>
      <c r="K860" s="25"/>
    </row>
    <row r="861">
      <c r="D861" s="25"/>
      <c r="E861" s="9"/>
      <c r="F861" s="25"/>
      <c r="G861" s="25"/>
      <c r="J861" s="25"/>
      <c r="K861" s="25"/>
    </row>
    <row r="862">
      <c r="D862" s="25"/>
      <c r="E862" s="9"/>
      <c r="F862" s="25"/>
      <c r="G862" s="25"/>
      <c r="J862" s="25"/>
      <c r="K862" s="25"/>
    </row>
    <row r="863">
      <c r="D863" s="25"/>
      <c r="E863" s="9"/>
      <c r="F863" s="25"/>
      <c r="G863" s="25"/>
      <c r="J863" s="25"/>
      <c r="K863" s="25"/>
    </row>
    <row r="864">
      <c r="D864" s="25"/>
      <c r="E864" s="9"/>
      <c r="F864" s="25"/>
      <c r="G864" s="25"/>
      <c r="J864" s="25"/>
      <c r="K864" s="25"/>
    </row>
    <row r="865">
      <c r="D865" s="25"/>
      <c r="E865" s="9"/>
      <c r="F865" s="25"/>
      <c r="G865" s="25"/>
      <c r="J865" s="25"/>
      <c r="K865" s="25"/>
    </row>
    <row r="866">
      <c r="D866" s="25"/>
      <c r="E866" s="9"/>
      <c r="F866" s="25"/>
      <c r="G866" s="25"/>
      <c r="J866" s="25"/>
      <c r="K866" s="25"/>
    </row>
    <row r="867">
      <c r="D867" s="25"/>
      <c r="E867" s="9"/>
      <c r="F867" s="25"/>
      <c r="G867" s="25"/>
      <c r="J867" s="25"/>
      <c r="K867" s="25"/>
    </row>
    <row r="868">
      <c r="D868" s="25"/>
      <c r="E868" s="9"/>
      <c r="F868" s="25"/>
      <c r="G868" s="25"/>
      <c r="J868" s="25"/>
      <c r="K868" s="25"/>
    </row>
    <row r="869">
      <c r="D869" s="25"/>
      <c r="E869" s="9"/>
      <c r="F869" s="25"/>
      <c r="G869" s="25"/>
      <c r="J869" s="25"/>
      <c r="K869" s="25"/>
    </row>
    <row r="870">
      <c r="D870" s="25"/>
      <c r="E870" s="9"/>
      <c r="F870" s="25"/>
      <c r="G870" s="25"/>
      <c r="J870" s="25"/>
      <c r="K870" s="25"/>
    </row>
    <row r="871">
      <c r="D871" s="25"/>
      <c r="E871" s="9"/>
      <c r="F871" s="25"/>
      <c r="G871" s="25"/>
      <c r="J871" s="25"/>
      <c r="K871" s="25"/>
    </row>
    <row r="872">
      <c r="D872" s="25"/>
      <c r="E872" s="9"/>
      <c r="F872" s="25"/>
      <c r="G872" s="25"/>
      <c r="J872" s="25"/>
      <c r="K872" s="25"/>
    </row>
    <row r="873">
      <c r="D873" s="25"/>
      <c r="E873" s="9"/>
      <c r="F873" s="25"/>
      <c r="G873" s="25"/>
      <c r="J873" s="25"/>
      <c r="K873" s="25"/>
    </row>
    <row r="874">
      <c r="D874" s="25"/>
      <c r="E874" s="9"/>
      <c r="F874" s="25"/>
      <c r="G874" s="25"/>
      <c r="J874" s="25"/>
      <c r="K874" s="25"/>
    </row>
    <row r="875">
      <c r="D875" s="25"/>
      <c r="E875" s="9"/>
      <c r="F875" s="25"/>
      <c r="G875" s="25"/>
      <c r="J875" s="25"/>
      <c r="K875" s="25"/>
    </row>
    <row r="876">
      <c r="D876" s="25"/>
      <c r="E876" s="9"/>
      <c r="F876" s="25"/>
      <c r="G876" s="25"/>
      <c r="J876" s="25"/>
      <c r="K876" s="25"/>
    </row>
    <row r="877">
      <c r="D877" s="25"/>
      <c r="E877" s="9"/>
      <c r="F877" s="25"/>
      <c r="G877" s="25"/>
      <c r="J877" s="25"/>
      <c r="K877" s="25"/>
    </row>
    <row r="878">
      <c r="D878" s="25"/>
      <c r="E878" s="9"/>
      <c r="F878" s="25"/>
      <c r="G878" s="25"/>
      <c r="J878" s="25"/>
      <c r="K878" s="25"/>
    </row>
    <row r="879">
      <c r="D879" s="25"/>
      <c r="E879" s="9"/>
      <c r="F879" s="25"/>
      <c r="G879" s="25"/>
      <c r="J879" s="25"/>
      <c r="K879" s="25"/>
    </row>
    <row r="880">
      <c r="D880" s="25"/>
      <c r="E880" s="9"/>
      <c r="F880" s="25"/>
      <c r="G880" s="25"/>
      <c r="J880" s="25"/>
      <c r="K880" s="25"/>
    </row>
    <row r="881">
      <c r="D881" s="25"/>
      <c r="E881" s="9"/>
      <c r="F881" s="25"/>
      <c r="G881" s="25"/>
      <c r="J881" s="25"/>
      <c r="K881" s="25"/>
    </row>
    <row r="882">
      <c r="D882" s="25"/>
      <c r="E882" s="9"/>
      <c r="F882" s="25"/>
      <c r="G882" s="25"/>
      <c r="J882" s="25"/>
      <c r="K882" s="25"/>
    </row>
    <row r="883">
      <c r="D883" s="25"/>
      <c r="E883" s="9"/>
      <c r="F883" s="25"/>
      <c r="G883" s="25"/>
      <c r="J883" s="25"/>
      <c r="K883" s="25"/>
    </row>
    <row r="884">
      <c r="D884" s="25"/>
      <c r="E884" s="9"/>
      <c r="F884" s="25"/>
      <c r="G884" s="25"/>
      <c r="J884" s="25"/>
      <c r="K884" s="25"/>
    </row>
    <row r="885">
      <c r="D885" s="25"/>
      <c r="E885" s="9"/>
      <c r="F885" s="25"/>
      <c r="G885" s="25"/>
      <c r="J885" s="25"/>
      <c r="K885" s="25"/>
    </row>
    <row r="886">
      <c r="D886" s="25"/>
      <c r="E886" s="9"/>
      <c r="F886" s="25"/>
      <c r="G886" s="25"/>
      <c r="J886" s="25"/>
      <c r="K886" s="25"/>
    </row>
    <row r="887">
      <c r="D887" s="25"/>
      <c r="E887" s="9"/>
      <c r="F887" s="25"/>
      <c r="G887" s="25"/>
      <c r="J887" s="25"/>
      <c r="K887" s="25"/>
    </row>
    <row r="888">
      <c r="D888" s="25"/>
      <c r="E888" s="9"/>
      <c r="F888" s="25"/>
      <c r="G888" s="25"/>
      <c r="J888" s="25"/>
      <c r="K888" s="25"/>
    </row>
    <row r="889">
      <c r="D889" s="25"/>
      <c r="E889" s="9"/>
      <c r="F889" s="25"/>
      <c r="G889" s="25"/>
      <c r="J889" s="25"/>
      <c r="K889" s="25"/>
    </row>
    <row r="890">
      <c r="D890" s="25"/>
      <c r="E890" s="9"/>
      <c r="F890" s="25"/>
      <c r="G890" s="25"/>
      <c r="J890" s="25"/>
      <c r="K890" s="25"/>
    </row>
    <row r="891">
      <c r="D891" s="25"/>
      <c r="E891" s="9"/>
      <c r="F891" s="25"/>
      <c r="G891" s="25"/>
      <c r="J891" s="25"/>
      <c r="K891" s="25"/>
    </row>
    <row r="892">
      <c r="D892" s="25"/>
      <c r="E892" s="9"/>
      <c r="F892" s="25"/>
      <c r="G892" s="25"/>
      <c r="J892" s="25"/>
      <c r="K892" s="25"/>
    </row>
    <row r="893">
      <c r="D893" s="25"/>
      <c r="E893" s="9"/>
      <c r="F893" s="25"/>
      <c r="G893" s="25"/>
      <c r="J893" s="25"/>
      <c r="K893" s="25"/>
    </row>
    <row r="894">
      <c r="D894" s="25"/>
      <c r="E894" s="9"/>
      <c r="F894" s="25"/>
      <c r="G894" s="25"/>
      <c r="J894" s="25"/>
      <c r="K894" s="25"/>
    </row>
    <row r="895">
      <c r="D895" s="25"/>
      <c r="E895" s="9"/>
      <c r="F895" s="25"/>
      <c r="G895" s="25"/>
      <c r="J895" s="25"/>
      <c r="K895" s="25"/>
    </row>
    <row r="896">
      <c r="D896" s="25"/>
      <c r="E896" s="9"/>
      <c r="F896" s="25"/>
      <c r="G896" s="25"/>
      <c r="J896" s="25"/>
      <c r="K896" s="25"/>
    </row>
    <row r="897">
      <c r="D897" s="25"/>
      <c r="E897" s="9"/>
      <c r="F897" s="25"/>
      <c r="G897" s="25"/>
      <c r="J897" s="25"/>
      <c r="K897" s="25"/>
    </row>
    <row r="898">
      <c r="D898" s="25"/>
      <c r="E898" s="9"/>
      <c r="F898" s="25"/>
      <c r="G898" s="25"/>
      <c r="J898" s="25"/>
      <c r="K898" s="25"/>
    </row>
    <row r="899">
      <c r="D899" s="25"/>
      <c r="E899" s="9"/>
      <c r="F899" s="25"/>
      <c r="G899" s="25"/>
      <c r="J899" s="25"/>
      <c r="K899" s="25"/>
    </row>
    <row r="900">
      <c r="D900" s="25"/>
      <c r="E900" s="9"/>
      <c r="F900" s="25"/>
      <c r="G900" s="25"/>
      <c r="J900" s="25"/>
      <c r="K900" s="25"/>
    </row>
    <row r="901">
      <c r="D901" s="25"/>
      <c r="E901" s="9"/>
      <c r="F901" s="25"/>
      <c r="G901" s="25"/>
      <c r="J901" s="25"/>
      <c r="K901" s="25"/>
    </row>
    <row r="902">
      <c r="D902" s="25"/>
      <c r="E902" s="9"/>
      <c r="F902" s="25"/>
      <c r="G902" s="25"/>
      <c r="J902" s="25"/>
      <c r="K902" s="25"/>
    </row>
    <row r="903">
      <c r="D903" s="25"/>
      <c r="E903" s="9"/>
      <c r="F903" s="25"/>
      <c r="G903" s="25"/>
      <c r="J903" s="25"/>
      <c r="K903" s="25"/>
    </row>
    <row r="904">
      <c r="D904" s="25"/>
      <c r="E904" s="9"/>
      <c r="F904" s="25"/>
      <c r="G904" s="25"/>
      <c r="J904" s="25"/>
      <c r="K904" s="25"/>
    </row>
    <row r="905">
      <c r="D905" s="25"/>
      <c r="E905" s="9"/>
      <c r="F905" s="25"/>
      <c r="G905" s="25"/>
      <c r="J905" s="25"/>
      <c r="K905" s="25"/>
    </row>
    <row r="906">
      <c r="D906" s="25"/>
      <c r="E906" s="9"/>
      <c r="F906" s="25"/>
      <c r="G906" s="25"/>
      <c r="J906" s="25"/>
      <c r="K906" s="25"/>
    </row>
    <row r="907">
      <c r="D907" s="25"/>
      <c r="E907" s="9"/>
      <c r="F907" s="25"/>
      <c r="G907" s="25"/>
      <c r="J907" s="25"/>
      <c r="K907" s="25"/>
    </row>
    <row r="908">
      <c r="D908" s="25"/>
      <c r="E908" s="9"/>
      <c r="F908" s="25"/>
      <c r="G908" s="25"/>
      <c r="J908" s="25"/>
      <c r="K908" s="25"/>
    </row>
    <row r="909">
      <c r="D909" s="25"/>
      <c r="E909" s="9"/>
      <c r="F909" s="25"/>
      <c r="G909" s="25"/>
      <c r="J909" s="25"/>
      <c r="K909" s="25"/>
    </row>
    <row r="910">
      <c r="D910" s="25"/>
      <c r="E910" s="9"/>
      <c r="F910" s="25"/>
      <c r="G910" s="25"/>
      <c r="J910" s="25"/>
      <c r="K910" s="25"/>
    </row>
    <row r="911">
      <c r="D911" s="25"/>
      <c r="E911" s="9"/>
      <c r="F911" s="25"/>
      <c r="G911" s="25"/>
      <c r="J911" s="25"/>
      <c r="K911" s="25"/>
    </row>
    <row r="912">
      <c r="D912" s="25"/>
      <c r="E912" s="9"/>
      <c r="F912" s="25"/>
      <c r="G912" s="25"/>
      <c r="J912" s="25"/>
      <c r="K912" s="25"/>
    </row>
    <row r="913">
      <c r="D913" s="25"/>
      <c r="E913" s="9"/>
      <c r="F913" s="25"/>
      <c r="G913" s="25"/>
      <c r="J913" s="25"/>
      <c r="K913" s="25"/>
    </row>
    <row r="914">
      <c r="D914" s="25"/>
      <c r="E914" s="9"/>
      <c r="F914" s="25"/>
      <c r="G914" s="25"/>
      <c r="J914" s="25"/>
      <c r="K914" s="25"/>
    </row>
    <row r="915">
      <c r="D915" s="25"/>
      <c r="E915" s="9"/>
      <c r="F915" s="25"/>
      <c r="G915" s="25"/>
      <c r="J915" s="25"/>
      <c r="K915" s="25"/>
    </row>
    <row r="916">
      <c r="D916" s="25"/>
      <c r="E916" s="9"/>
      <c r="F916" s="25"/>
      <c r="G916" s="25"/>
      <c r="J916" s="25"/>
      <c r="K916" s="25"/>
    </row>
    <row r="917">
      <c r="D917" s="25"/>
      <c r="E917" s="9"/>
      <c r="F917" s="25"/>
      <c r="G917" s="25"/>
      <c r="J917" s="25"/>
      <c r="K917" s="25"/>
    </row>
    <row r="918">
      <c r="D918" s="25"/>
      <c r="E918" s="9"/>
      <c r="F918" s="25"/>
      <c r="G918" s="25"/>
      <c r="J918" s="25"/>
      <c r="K918" s="25"/>
    </row>
    <row r="919">
      <c r="D919" s="25"/>
      <c r="E919" s="9"/>
      <c r="F919" s="25"/>
      <c r="G919" s="25"/>
      <c r="J919" s="25"/>
      <c r="K919" s="25"/>
    </row>
    <row r="920">
      <c r="D920" s="25"/>
      <c r="E920" s="9"/>
      <c r="F920" s="25"/>
      <c r="G920" s="25"/>
      <c r="J920" s="25"/>
      <c r="K920" s="25"/>
    </row>
    <row r="921">
      <c r="D921" s="25"/>
      <c r="E921" s="9"/>
      <c r="F921" s="25"/>
      <c r="G921" s="25"/>
      <c r="J921" s="25"/>
      <c r="K921" s="25"/>
    </row>
    <row r="922">
      <c r="D922" s="25"/>
      <c r="E922" s="9"/>
      <c r="F922" s="25"/>
      <c r="G922" s="25"/>
      <c r="J922" s="25"/>
      <c r="K922" s="25"/>
    </row>
    <row r="923">
      <c r="D923" s="25"/>
      <c r="E923" s="9"/>
      <c r="F923" s="25"/>
      <c r="G923" s="25"/>
      <c r="J923" s="25"/>
      <c r="K923" s="25"/>
    </row>
    <row r="924">
      <c r="D924" s="25"/>
      <c r="E924" s="9"/>
      <c r="F924" s="25"/>
      <c r="G924" s="25"/>
      <c r="J924" s="25"/>
      <c r="K924" s="25"/>
    </row>
    <row r="925">
      <c r="D925" s="25"/>
      <c r="E925" s="9"/>
      <c r="F925" s="25"/>
      <c r="G925" s="25"/>
      <c r="J925" s="25"/>
      <c r="K925" s="25"/>
    </row>
    <row r="926">
      <c r="D926" s="25"/>
      <c r="E926" s="9"/>
      <c r="F926" s="25"/>
      <c r="G926" s="25"/>
      <c r="J926" s="25"/>
      <c r="K926" s="25"/>
    </row>
    <row r="927">
      <c r="D927" s="25"/>
      <c r="E927" s="9"/>
      <c r="F927" s="25"/>
      <c r="G927" s="25"/>
      <c r="J927" s="25"/>
      <c r="K927" s="25"/>
    </row>
    <row r="928">
      <c r="D928" s="25"/>
      <c r="E928" s="9"/>
      <c r="F928" s="25"/>
      <c r="G928" s="25"/>
      <c r="J928" s="25"/>
      <c r="K928" s="25"/>
    </row>
    <row r="929">
      <c r="D929" s="25"/>
      <c r="E929" s="9"/>
      <c r="F929" s="25"/>
      <c r="G929" s="25"/>
      <c r="J929" s="25"/>
      <c r="K929" s="25"/>
    </row>
    <row r="930">
      <c r="D930" s="25"/>
      <c r="E930" s="9"/>
      <c r="F930" s="25"/>
      <c r="G930" s="25"/>
      <c r="J930" s="25"/>
      <c r="K930" s="25"/>
    </row>
    <row r="931">
      <c r="D931" s="25"/>
      <c r="E931" s="9"/>
      <c r="F931" s="25"/>
      <c r="G931" s="25"/>
      <c r="J931" s="25"/>
      <c r="K931" s="25"/>
    </row>
    <row r="932">
      <c r="D932" s="25"/>
      <c r="E932" s="9"/>
      <c r="F932" s="25"/>
      <c r="G932" s="25"/>
      <c r="J932" s="25"/>
      <c r="K932" s="25"/>
    </row>
    <row r="933">
      <c r="D933" s="25"/>
      <c r="E933" s="9"/>
      <c r="F933" s="25"/>
      <c r="G933" s="25"/>
      <c r="J933" s="25"/>
      <c r="K933" s="25"/>
    </row>
    <row r="934">
      <c r="D934" s="25"/>
      <c r="E934" s="9"/>
      <c r="F934" s="25"/>
      <c r="G934" s="25"/>
      <c r="J934" s="25"/>
      <c r="K934" s="25"/>
    </row>
    <row r="935">
      <c r="D935" s="25"/>
      <c r="E935" s="9"/>
      <c r="F935" s="25"/>
      <c r="G935" s="25"/>
      <c r="J935" s="25"/>
      <c r="K935" s="25"/>
    </row>
    <row r="936">
      <c r="D936" s="25"/>
      <c r="E936" s="9"/>
      <c r="F936" s="25"/>
      <c r="G936" s="25"/>
      <c r="J936" s="25"/>
      <c r="K936" s="25"/>
    </row>
    <row r="937">
      <c r="D937" s="25"/>
      <c r="E937" s="9"/>
      <c r="F937" s="25"/>
      <c r="G937" s="25"/>
      <c r="J937" s="25"/>
      <c r="K937" s="25"/>
    </row>
    <row r="938">
      <c r="D938" s="25"/>
      <c r="E938" s="9"/>
      <c r="F938" s="25"/>
      <c r="G938" s="25"/>
      <c r="J938" s="25"/>
      <c r="K938" s="25"/>
    </row>
    <row r="939">
      <c r="D939" s="25"/>
      <c r="E939" s="9"/>
      <c r="F939" s="25"/>
      <c r="G939" s="25"/>
      <c r="J939" s="25"/>
      <c r="K939" s="25"/>
    </row>
    <row r="940">
      <c r="D940" s="25"/>
      <c r="E940" s="9"/>
      <c r="F940" s="25"/>
      <c r="G940" s="25"/>
      <c r="J940" s="25"/>
      <c r="K940" s="25"/>
    </row>
    <row r="941">
      <c r="D941" s="25"/>
      <c r="E941" s="9"/>
      <c r="F941" s="25"/>
      <c r="G941" s="25"/>
      <c r="J941" s="25"/>
      <c r="K941" s="25"/>
    </row>
    <row r="942">
      <c r="D942" s="25"/>
      <c r="E942" s="9"/>
      <c r="F942" s="25"/>
      <c r="G942" s="25"/>
      <c r="J942" s="25"/>
      <c r="K942" s="25"/>
    </row>
    <row r="943">
      <c r="D943" s="25"/>
      <c r="E943" s="9"/>
      <c r="F943" s="25"/>
      <c r="G943" s="25"/>
      <c r="J943" s="25"/>
      <c r="K943" s="25"/>
    </row>
    <row r="944">
      <c r="D944" s="25"/>
      <c r="E944" s="9"/>
      <c r="F944" s="25"/>
      <c r="G944" s="25"/>
      <c r="J944" s="25"/>
      <c r="K944" s="25"/>
    </row>
    <row r="945">
      <c r="D945" s="25"/>
      <c r="E945" s="9"/>
      <c r="F945" s="25"/>
      <c r="G945" s="25"/>
      <c r="J945" s="25"/>
      <c r="K945" s="25"/>
    </row>
    <row r="946">
      <c r="D946" s="25"/>
      <c r="E946" s="9"/>
      <c r="F946" s="25"/>
      <c r="G946" s="25"/>
      <c r="J946" s="25"/>
      <c r="K946" s="25"/>
    </row>
    <row r="947">
      <c r="D947" s="25"/>
      <c r="E947" s="9"/>
      <c r="F947" s="25"/>
      <c r="G947" s="25"/>
      <c r="J947" s="25"/>
      <c r="K947" s="25"/>
    </row>
    <row r="948">
      <c r="D948" s="25"/>
      <c r="E948" s="9"/>
      <c r="F948" s="25"/>
      <c r="G948" s="25"/>
      <c r="J948" s="25"/>
      <c r="K948" s="25"/>
    </row>
    <row r="949">
      <c r="D949" s="25"/>
      <c r="E949" s="9"/>
      <c r="F949" s="25"/>
      <c r="G949" s="25"/>
      <c r="J949" s="25"/>
      <c r="K949" s="25"/>
    </row>
    <row r="950">
      <c r="D950" s="25"/>
      <c r="E950" s="9"/>
      <c r="F950" s="25"/>
      <c r="G950" s="25"/>
      <c r="J950" s="25"/>
      <c r="K950" s="25"/>
    </row>
    <row r="951">
      <c r="D951" s="25"/>
      <c r="E951" s="9"/>
      <c r="F951" s="25"/>
      <c r="G951" s="25"/>
      <c r="J951" s="25"/>
      <c r="K951" s="25"/>
    </row>
    <row r="952">
      <c r="D952" s="25"/>
      <c r="E952" s="9"/>
      <c r="F952" s="25"/>
      <c r="G952" s="25"/>
      <c r="J952" s="25"/>
      <c r="K952" s="25"/>
    </row>
    <row r="953">
      <c r="D953" s="25"/>
      <c r="E953" s="9"/>
      <c r="F953" s="25"/>
      <c r="G953" s="25"/>
      <c r="J953" s="25"/>
      <c r="K953" s="25"/>
    </row>
    <row r="954">
      <c r="D954" s="25"/>
      <c r="E954" s="9"/>
      <c r="F954" s="25"/>
      <c r="G954" s="25"/>
      <c r="J954" s="25"/>
      <c r="K954" s="25"/>
    </row>
    <row r="955">
      <c r="D955" s="25"/>
      <c r="E955" s="9"/>
      <c r="F955" s="25"/>
      <c r="G955" s="25"/>
      <c r="J955" s="25"/>
      <c r="K955" s="25"/>
    </row>
    <row r="956">
      <c r="D956" s="25"/>
      <c r="E956" s="9"/>
      <c r="F956" s="25"/>
      <c r="G956" s="25"/>
      <c r="J956" s="25"/>
      <c r="K956" s="25"/>
    </row>
    <row r="957">
      <c r="D957" s="25"/>
      <c r="E957" s="9"/>
      <c r="F957" s="25"/>
      <c r="G957" s="25"/>
      <c r="J957" s="25"/>
      <c r="K957" s="25"/>
    </row>
    <row r="958">
      <c r="D958" s="25"/>
      <c r="E958" s="9"/>
      <c r="F958" s="25"/>
      <c r="G958" s="25"/>
      <c r="J958" s="25"/>
      <c r="K958" s="25"/>
    </row>
    <row r="959">
      <c r="D959" s="25"/>
      <c r="E959" s="9"/>
      <c r="F959" s="25"/>
      <c r="G959" s="25"/>
      <c r="J959" s="25"/>
      <c r="K959" s="25"/>
    </row>
    <row r="960">
      <c r="D960" s="25"/>
      <c r="E960" s="9"/>
      <c r="F960" s="25"/>
      <c r="G960" s="25"/>
      <c r="J960" s="25"/>
      <c r="K960" s="25"/>
    </row>
    <row r="961">
      <c r="D961" s="25"/>
      <c r="E961" s="9"/>
      <c r="F961" s="25"/>
      <c r="G961" s="25"/>
      <c r="J961" s="25"/>
      <c r="K961" s="25"/>
    </row>
    <row r="962">
      <c r="D962" s="25"/>
      <c r="E962" s="9"/>
      <c r="F962" s="25"/>
      <c r="G962" s="25"/>
      <c r="J962" s="25"/>
      <c r="K962" s="25"/>
    </row>
    <row r="963">
      <c r="D963" s="25"/>
      <c r="E963" s="9"/>
      <c r="F963" s="25"/>
      <c r="G963" s="25"/>
      <c r="J963" s="25"/>
      <c r="K963" s="25"/>
    </row>
    <row r="964">
      <c r="D964" s="25"/>
      <c r="E964" s="9"/>
      <c r="F964" s="25"/>
      <c r="G964" s="25"/>
      <c r="J964" s="25"/>
      <c r="K964" s="25"/>
    </row>
    <row r="965">
      <c r="D965" s="25"/>
      <c r="E965" s="9"/>
      <c r="F965" s="25"/>
      <c r="G965" s="25"/>
      <c r="J965" s="25"/>
      <c r="K965" s="25"/>
    </row>
    <row r="966">
      <c r="D966" s="25"/>
      <c r="E966" s="9"/>
      <c r="F966" s="25"/>
      <c r="G966" s="25"/>
      <c r="J966" s="25"/>
      <c r="K966" s="25"/>
    </row>
    <row r="967">
      <c r="D967" s="25"/>
      <c r="E967" s="9"/>
      <c r="F967" s="25"/>
      <c r="G967" s="25"/>
      <c r="J967" s="25"/>
      <c r="K967" s="25"/>
    </row>
    <row r="968">
      <c r="D968" s="25"/>
      <c r="E968" s="9"/>
      <c r="F968" s="25"/>
      <c r="G968" s="25"/>
      <c r="J968" s="25"/>
      <c r="K968" s="25"/>
    </row>
    <row r="969">
      <c r="D969" s="25"/>
      <c r="E969" s="9"/>
      <c r="F969" s="25"/>
      <c r="G969" s="25"/>
      <c r="J969" s="25"/>
      <c r="K969" s="25"/>
    </row>
    <row r="970">
      <c r="D970" s="25"/>
      <c r="E970" s="9"/>
      <c r="F970" s="25"/>
      <c r="G970" s="25"/>
      <c r="J970" s="25"/>
      <c r="K970" s="25"/>
    </row>
    <row r="971">
      <c r="D971" s="25"/>
      <c r="E971" s="9"/>
      <c r="F971" s="25"/>
      <c r="G971" s="25"/>
      <c r="J971" s="25"/>
      <c r="K971" s="25"/>
    </row>
    <row r="972">
      <c r="D972" s="25"/>
      <c r="E972" s="9"/>
      <c r="F972" s="25"/>
      <c r="G972" s="25"/>
      <c r="J972" s="25"/>
      <c r="K972" s="25"/>
    </row>
    <row r="973">
      <c r="D973" s="25"/>
      <c r="E973" s="9"/>
      <c r="F973" s="25"/>
      <c r="G973" s="25"/>
      <c r="J973" s="25"/>
      <c r="K973" s="25"/>
    </row>
    <row r="974">
      <c r="D974" s="25"/>
      <c r="E974" s="9"/>
      <c r="F974" s="25"/>
      <c r="G974" s="25"/>
      <c r="J974" s="25"/>
      <c r="K974" s="25"/>
    </row>
    <row r="975">
      <c r="D975" s="25"/>
      <c r="E975" s="9"/>
      <c r="F975" s="25"/>
      <c r="G975" s="25"/>
      <c r="J975" s="25"/>
      <c r="K975" s="25"/>
    </row>
    <row r="976">
      <c r="D976" s="25"/>
      <c r="E976" s="9"/>
      <c r="F976" s="25"/>
      <c r="G976" s="25"/>
      <c r="J976" s="25"/>
      <c r="K976" s="25"/>
    </row>
    <row r="977">
      <c r="D977" s="25"/>
      <c r="E977" s="9"/>
      <c r="F977" s="25"/>
      <c r="G977" s="25"/>
      <c r="J977" s="25"/>
      <c r="K977" s="25"/>
    </row>
    <row r="978">
      <c r="D978" s="25"/>
      <c r="E978" s="9"/>
      <c r="F978" s="25"/>
      <c r="G978" s="25"/>
      <c r="J978" s="25"/>
      <c r="K978" s="25"/>
    </row>
    <row r="979">
      <c r="D979" s="25"/>
      <c r="E979" s="9"/>
      <c r="F979" s="25"/>
      <c r="G979" s="25"/>
      <c r="J979" s="25"/>
      <c r="K979" s="25"/>
    </row>
    <row r="980">
      <c r="D980" s="25"/>
      <c r="E980" s="9"/>
      <c r="F980" s="25"/>
      <c r="G980" s="25"/>
      <c r="J980" s="25"/>
      <c r="K980" s="25"/>
    </row>
    <row r="981">
      <c r="D981" s="25"/>
      <c r="E981" s="9"/>
      <c r="F981" s="25"/>
      <c r="G981" s="25"/>
      <c r="J981" s="25"/>
      <c r="K981" s="25"/>
    </row>
    <row r="982">
      <c r="D982" s="25"/>
      <c r="E982" s="9"/>
      <c r="F982" s="25"/>
      <c r="G982" s="25"/>
      <c r="J982" s="25"/>
      <c r="K982" s="25"/>
    </row>
    <row r="983">
      <c r="D983" s="25"/>
      <c r="E983" s="9"/>
      <c r="F983" s="25"/>
      <c r="G983" s="25"/>
      <c r="J983" s="25"/>
      <c r="K983" s="25"/>
    </row>
    <row r="984">
      <c r="D984" s="25"/>
      <c r="E984" s="9"/>
      <c r="F984" s="25"/>
      <c r="G984" s="25"/>
      <c r="J984" s="25"/>
      <c r="K984" s="25"/>
    </row>
    <row r="985">
      <c r="D985" s="25"/>
      <c r="E985" s="9"/>
      <c r="F985" s="25"/>
      <c r="G985" s="25"/>
      <c r="J985" s="25"/>
      <c r="K985" s="25"/>
    </row>
    <row r="986">
      <c r="D986" s="25"/>
      <c r="E986" s="9"/>
      <c r="F986" s="25"/>
      <c r="G986" s="25"/>
      <c r="J986" s="25"/>
      <c r="K986" s="25"/>
    </row>
    <row r="987">
      <c r="D987" s="25"/>
      <c r="E987" s="9"/>
      <c r="F987" s="25"/>
      <c r="G987" s="25"/>
      <c r="J987" s="25"/>
      <c r="K987" s="25"/>
    </row>
    <row r="988">
      <c r="D988" s="25"/>
      <c r="E988" s="9"/>
      <c r="F988" s="25"/>
      <c r="G988" s="25"/>
      <c r="J988" s="25"/>
      <c r="K988" s="25"/>
    </row>
    <row r="989">
      <c r="D989" s="25"/>
      <c r="E989" s="9"/>
      <c r="F989" s="25"/>
      <c r="G989" s="25"/>
      <c r="J989" s="25"/>
      <c r="K989" s="25"/>
    </row>
    <row r="990">
      <c r="D990" s="25"/>
      <c r="E990" s="9"/>
      <c r="F990" s="25"/>
      <c r="G990" s="25"/>
      <c r="J990" s="25"/>
      <c r="K990" s="25"/>
    </row>
    <row r="991">
      <c r="D991" s="25"/>
      <c r="E991" s="9"/>
      <c r="F991" s="25"/>
      <c r="G991" s="25"/>
      <c r="J991" s="25"/>
      <c r="K991" s="25"/>
    </row>
    <row r="992">
      <c r="D992" s="25"/>
      <c r="E992" s="9"/>
      <c r="F992" s="25"/>
      <c r="G992" s="25"/>
      <c r="J992" s="25"/>
      <c r="K992" s="25"/>
    </row>
    <row r="993">
      <c r="D993" s="25"/>
      <c r="E993" s="9"/>
      <c r="F993" s="25"/>
      <c r="G993" s="25"/>
      <c r="J993" s="25"/>
      <c r="K993" s="25"/>
    </row>
    <row r="994">
      <c r="D994" s="25"/>
      <c r="E994" s="9"/>
      <c r="F994" s="25"/>
      <c r="G994" s="25"/>
      <c r="J994" s="25"/>
      <c r="K994" s="25"/>
    </row>
    <row r="995">
      <c r="D995" s="25"/>
      <c r="E995" s="9"/>
      <c r="F995" s="25"/>
      <c r="G995" s="25"/>
      <c r="J995" s="25"/>
      <c r="K995" s="25"/>
    </row>
    <row r="996">
      <c r="D996" s="25"/>
      <c r="E996" s="9"/>
      <c r="F996" s="25"/>
      <c r="G996" s="25"/>
      <c r="J996" s="25"/>
      <c r="K996" s="25"/>
    </row>
    <row r="997">
      <c r="D997" s="25"/>
      <c r="E997" s="9"/>
      <c r="F997" s="25"/>
      <c r="G997" s="25"/>
      <c r="J997" s="25"/>
      <c r="K997" s="25"/>
    </row>
    <row r="998">
      <c r="D998" s="25"/>
      <c r="E998" s="9"/>
      <c r="F998" s="25"/>
      <c r="G998" s="25"/>
      <c r="J998" s="25"/>
      <c r="K998" s="25"/>
    </row>
    <row r="999">
      <c r="D999" s="25"/>
      <c r="E999" s="9"/>
      <c r="F999" s="25"/>
      <c r="G999" s="25"/>
      <c r="J999" s="25"/>
      <c r="K999" s="25"/>
    </row>
    <row r="1000">
      <c r="D1000" s="25"/>
      <c r="E1000" s="9"/>
      <c r="F1000" s="25"/>
      <c r="G1000" s="25"/>
      <c r="J1000" s="25"/>
      <c r="K1000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531</v>
      </c>
      <c r="H1" s="2" t="s">
        <v>7</v>
      </c>
      <c r="I1" s="2" t="s">
        <v>8</v>
      </c>
      <c r="J1" s="2" t="s">
        <v>9</v>
      </c>
      <c r="K1" s="2" t="s">
        <v>532</v>
      </c>
      <c r="L1" s="2" t="s">
        <v>13</v>
      </c>
      <c r="M1" s="2" t="s">
        <v>8</v>
      </c>
      <c r="N1" s="2" t="s">
        <v>9</v>
      </c>
      <c r="O1" s="2" t="s">
        <v>533</v>
      </c>
      <c r="P1" s="2" t="s">
        <v>7</v>
      </c>
      <c r="Q1" s="2" t="s">
        <v>8</v>
      </c>
      <c r="R1" s="2" t="s">
        <v>9</v>
      </c>
      <c r="S1" s="2" t="s">
        <v>534</v>
      </c>
      <c r="T1" s="2" t="s">
        <v>13</v>
      </c>
      <c r="U1" s="2" t="s">
        <v>8</v>
      </c>
      <c r="V1" s="2" t="s">
        <v>9</v>
      </c>
      <c r="W1" s="2" t="s">
        <v>535</v>
      </c>
      <c r="X1" s="2" t="s">
        <v>13</v>
      </c>
      <c r="Y1" s="2" t="s">
        <v>536</v>
      </c>
      <c r="Z1" s="2" t="s">
        <v>537</v>
      </c>
      <c r="AA1" s="2" t="s">
        <v>538</v>
      </c>
      <c r="AB1" s="2" t="s">
        <v>13</v>
      </c>
      <c r="AC1" s="2" t="s">
        <v>536</v>
      </c>
      <c r="AD1" s="2" t="s">
        <v>9</v>
      </c>
      <c r="AE1" s="2" t="s">
        <v>539</v>
      </c>
      <c r="AF1" s="2" t="s">
        <v>13</v>
      </c>
      <c r="AG1" s="2" t="s">
        <v>8</v>
      </c>
      <c r="AH1" s="2" t="s">
        <v>537</v>
      </c>
      <c r="AI1" s="2" t="s">
        <v>540</v>
      </c>
      <c r="AJ1" s="2" t="s">
        <v>13</v>
      </c>
      <c r="AK1" s="2" t="s">
        <v>8</v>
      </c>
      <c r="AL1" s="2" t="s">
        <v>9</v>
      </c>
      <c r="AM1" s="2" t="s">
        <v>541</v>
      </c>
      <c r="AN1" s="2" t="s">
        <v>13</v>
      </c>
      <c r="AO1" s="2" t="s">
        <v>8</v>
      </c>
      <c r="AP1" s="2" t="s">
        <v>9</v>
      </c>
      <c r="AQ1" s="2" t="s">
        <v>542</v>
      </c>
      <c r="AR1" s="2" t="s">
        <v>13</v>
      </c>
      <c r="AS1" s="2" t="s">
        <v>8</v>
      </c>
      <c r="AT1" s="2" t="s">
        <v>9</v>
      </c>
      <c r="AU1" s="2" t="s">
        <v>543</v>
      </c>
      <c r="AV1" s="2" t="s">
        <v>13</v>
      </c>
      <c r="AW1" s="2" t="s">
        <v>536</v>
      </c>
      <c r="AX1" s="2" t="s">
        <v>9</v>
      </c>
      <c r="AY1" s="30" t="s">
        <v>544</v>
      </c>
      <c r="AZ1" s="30" t="s">
        <v>13</v>
      </c>
      <c r="BA1" s="2" t="s">
        <v>536</v>
      </c>
      <c r="BB1" s="2" t="s">
        <v>9</v>
      </c>
      <c r="BC1" s="9"/>
      <c r="BD1" s="9"/>
      <c r="BE1" s="9"/>
      <c r="BF1" s="9"/>
      <c r="BG1" s="9"/>
    </row>
    <row r="2">
      <c r="A2" s="7">
        <v>1334.0</v>
      </c>
      <c r="B2" s="8" t="s">
        <v>545</v>
      </c>
      <c r="C2" s="9" t="str">
        <f t="shared" ref="C2:C28" si="1">CONCATENATE(D2,"_",F2)</f>
        <v>TK-01_BS VI MS</v>
      </c>
      <c r="D2" s="10" t="s">
        <v>51</v>
      </c>
      <c r="E2" s="9"/>
      <c r="F2" s="11" t="s">
        <v>52</v>
      </c>
      <c r="G2" s="13" t="s">
        <v>546</v>
      </c>
      <c r="H2" s="15">
        <v>0.0</v>
      </c>
      <c r="I2" s="13"/>
      <c r="J2" s="13"/>
      <c r="K2" s="13" t="s">
        <v>547</v>
      </c>
      <c r="L2" s="15">
        <v>0.0</v>
      </c>
      <c r="M2" s="9" t="str">
        <f t="shared" ref="M2:M25" si="2">MID(K2,13,6)</f>
        <v>LSW-01</v>
      </c>
      <c r="N2" s="9" t="s">
        <v>61</v>
      </c>
      <c r="O2" s="13" t="s">
        <v>548</v>
      </c>
      <c r="P2" s="15">
        <v>0.0</v>
      </c>
      <c r="Q2" s="9" t="str">
        <f t="shared" ref="Q2:Q28" si="3">MID(O2,13,6)</f>
        <v>RDR-01</v>
      </c>
      <c r="R2" s="9" t="s">
        <v>66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18" t="s">
        <v>549</v>
      </c>
      <c r="AJ2" s="15">
        <v>0.0</v>
      </c>
      <c r="AK2" s="31" t="str">
        <f t="shared" ref="AK2:AK28" si="4">MID(AI2,5,7)</f>
        <v>MOV-001</v>
      </c>
      <c r="AL2" s="31" t="s">
        <v>81</v>
      </c>
      <c r="AM2" s="31"/>
      <c r="AN2" s="31"/>
      <c r="AO2" s="31"/>
      <c r="AP2" s="31"/>
      <c r="AQ2" s="18"/>
      <c r="AR2" s="13"/>
      <c r="AS2" s="31"/>
      <c r="AT2" s="31"/>
      <c r="AU2" s="31"/>
      <c r="AV2" s="31"/>
      <c r="AW2" s="31"/>
      <c r="AX2" s="31"/>
      <c r="AY2" s="9"/>
      <c r="AZ2" s="9"/>
      <c r="BA2" s="9"/>
      <c r="BB2" s="9"/>
      <c r="BC2" s="9"/>
      <c r="BD2" s="9"/>
      <c r="BE2" s="9"/>
      <c r="BF2" s="9"/>
      <c r="BG2" s="9"/>
    </row>
    <row r="3">
      <c r="A3" s="7">
        <v>1334.0</v>
      </c>
      <c r="B3" s="8" t="s">
        <v>545</v>
      </c>
      <c r="C3" s="9" t="str">
        <f t="shared" si="1"/>
        <v>TK-02_BS VI MS</v>
      </c>
      <c r="D3" s="20" t="s">
        <v>86</v>
      </c>
      <c r="E3" s="9"/>
      <c r="F3" s="21" t="s">
        <v>52</v>
      </c>
      <c r="G3" s="13" t="s">
        <v>550</v>
      </c>
      <c r="H3" s="15">
        <v>0.0</v>
      </c>
      <c r="I3" s="13"/>
      <c r="J3" s="13"/>
      <c r="K3" s="13" t="s">
        <v>551</v>
      </c>
      <c r="L3" s="15">
        <v>0.0</v>
      </c>
      <c r="M3" s="9" t="str">
        <f t="shared" si="2"/>
        <v>LSW-02</v>
      </c>
      <c r="N3" s="9" t="s">
        <v>61</v>
      </c>
      <c r="O3" s="13" t="s">
        <v>552</v>
      </c>
      <c r="P3" s="15">
        <v>0.0</v>
      </c>
      <c r="Q3" s="9" t="str">
        <f t="shared" si="3"/>
        <v>RDR-02</v>
      </c>
      <c r="R3" s="9" t="s">
        <v>66</v>
      </c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22" t="s">
        <v>553</v>
      </c>
      <c r="AJ3" s="15">
        <v>0.0</v>
      </c>
      <c r="AK3" s="31" t="str">
        <f t="shared" si="4"/>
        <v>MOV-004</v>
      </c>
      <c r="AL3" s="31" t="s">
        <v>81</v>
      </c>
      <c r="AM3" s="31"/>
      <c r="AN3" s="31"/>
      <c r="AO3" s="31"/>
      <c r="AP3" s="31"/>
      <c r="AQ3" s="18"/>
      <c r="AR3" s="13"/>
      <c r="AS3" s="31"/>
      <c r="AT3" s="31"/>
      <c r="AU3" s="31"/>
      <c r="AV3" s="31"/>
      <c r="AW3" s="31"/>
      <c r="AX3" s="31"/>
      <c r="AY3" s="9"/>
      <c r="AZ3" s="9"/>
      <c r="BA3" s="9"/>
      <c r="BB3" s="9"/>
      <c r="BC3" s="9"/>
      <c r="BD3" s="9"/>
      <c r="BE3" s="9"/>
      <c r="BF3" s="9"/>
      <c r="BG3" s="9"/>
    </row>
    <row r="4">
      <c r="A4" s="7">
        <v>1334.0</v>
      </c>
      <c r="B4" s="8" t="s">
        <v>545</v>
      </c>
      <c r="C4" s="9" t="str">
        <f t="shared" si="1"/>
        <v>TK-03_ETHANOL</v>
      </c>
      <c r="D4" s="20" t="s">
        <v>110</v>
      </c>
      <c r="E4" s="9"/>
      <c r="F4" s="21" t="s">
        <v>111</v>
      </c>
      <c r="G4" s="13" t="s">
        <v>554</v>
      </c>
      <c r="H4" s="15">
        <v>0.0</v>
      </c>
      <c r="I4" s="13"/>
      <c r="J4" s="13"/>
      <c r="K4" s="13" t="s">
        <v>555</v>
      </c>
      <c r="L4" s="15">
        <v>0.0</v>
      </c>
      <c r="M4" s="9" t="str">
        <f t="shared" si="2"/>
        <v>LSW-03</v>
      </c>
      <c r="N4" s="9" t="s">
        <v>61</v>
      </c>
      <c r="O4" s="13" t="s">
        <v>556</v>
      </c>
      <c r="P4" s="15">
        <v>0.0</v>
      </c>
      <c r="Q4" s="9" t="str">
        <f t="shared" si="3"/>
        <v>RDR-03</v>
      </c>
      <c r="R4" s="9" t="s">
        <v>66</v>
      </c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22" t="s">
        <v>557</v>
      </c>
      <c r="AJ4" s="15">
        <v>0.0</v>
      </c>
      <c r="AK4" s="31" t="str">
        <f t="shared" si="4"/>
        <v>MOV-007</v>
      </c>
      <c r="AL4" s="31" t="s">
        <v>81</v>
      </c>
      <c r="AM4" s="31"/>
      <c r="AN4" s="31"/>
      <c r="AO4" s="31"/>
      <c r="AP4" s="31"/>
      <c r="AQ4" s="18"/>
      <c r="AR4" s="13"/>
      <c r="AS4" s="31"/>
      <c r="AT4" s="31"/>
      <c r="AU4" s="31"/>
      <c r="AV4" s="31"/>
      <c r="AW4" s="31"/>
      <c r="AX4" s="31"/>
      <c r="AY4" s="9"/>
      <c r="AZ4" s="9"/>
      <c r="BA4" s="9"/>
      <c r="BB4" s="9"/>
      <c r="BC4" s="9"/>
      <c r="BD4" s="9"/>
      <c r="BE4" s="9"/>
      <c r="BF4" s="9"/>
      <c r="BG4" s="9"/>
    </row>
    <row r="5">
      <c r="A5" s="7">
        <v>1334.0</v>
      </c>
      <c r="B5" s="8" t="s">
        <v>545</v>
      </c>
      <c r="C5" s="9" t="str">
        <f t="shared" si="1"/>
        <v>TK-04_ETHANOL</v>
      </c>
      <c r="D5" s="20" t="s">
        <v>135</v>
      </c>
      <c r="E5" s="9"/>
      <c r="F5" s="21" t="s">
        <v>111</v>
      </c>
      <c r="G5" s="13" t="s">
        <v>558</v>
      </c>
      <c r="H5" s="15">
        <v>0.0</v>
      </c>
      <c r="I5" s="13"/>
      <c r="J5" s="13"/>
      <c r="K5" s="13" t="s">
        <v>559</v>
      </c>
      <c r="L5" s="15">
        <v>0.0</v>
      </c>
      <c r="M5" s="9" t="str">
        <f t="shared" si="2"/>
        <v>LSW-04</v>
      </c>
      <c r="N5" s="9" t="s">
        <v>61</v>
      </c>
      <c r="O5" s="13" t="s">
        <v>560</v>
      </c>
      <c r="P5" s="15">
        <v>0.0</v>
      </c>
      <c r="Q5" s="9" t="str">
        <f t="shared" si="3"/>
        <v>RDR-04</v>
      </c>
      <c r="R5" s="9" t="s">
        <v>66</v>
      </c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22" t="s">
        <v>561</v>
      </c>
      <c r="AJ5" s="15">
        <v>0.0</v>
      </c>
      <c r="AK5" s="31" t="str">
        <f t="shared" si="4"/>
        <v>MOV-010</v>
      </c>
      <c r="AL5" s="31" t="s">
        <v>81</v>
      </c>
      <c r="AM5" s="31"/>
      <c r="AN5" s="31"/>
      <c r="AO5" s="31"/>
      <c r="AP5" s="31"/>
      <c r="AQ5" s="18"/>
      <c r="AR5" s="13"/>
      <c r="AS5" s="31"/>
      <c r="AT5" s="31"/>
      <c r="AU5" s="31"/>
      <c r="AV5" s="31"/>
      <c r="AW5" s="31"/>
      <c r="AX5" s="31"/>
      <c r="AY5" s="9"/>
      <c r="AZ5" s="9"/>
      <c r="BA5" s="9"/>
      <c r="BB5" s="9"/>
      <c r="BC5" s="9"/>
      <c r="BD5" s="9"/>
      <c r="BE5" s="9"/>
      <c r="BF5" s="9"/>
      <c r="BG5" s="9"/>
    </row>
    <row r="6">
      <c r="A6" s="7">
        <v>1334.0</v>
      </c>
      <c r="B6" s="8" t="s">
        <v>545</v>
      </c>
      <c r="C6" s="9" t="str">
        <f t="shared" si="1"/>
        <v>TK-05_ETHANOL</v>
      </c>
      <c r="D6" s="20" t="s">
        <v>159</v>
      </c>
      <c r="E6" s="9"/>
      <c r="F6" s="21" t="s">
        <v>111</v>
      </c>
      <c r="G6" s="13" t="s">
        <v>562</v>
      </c>
      <c r="H6" s="15">
        <v>0.0</v>
      </c>
      <c r="I6" s="13"/>
      <c r="J6" s="13"/>
      <c r="K6" s="13" t="s">
        <v>563</v>
      </c>
      <c r="L6" s="15">
        <v>0.0</v>
      </c>
      <c r="M6" s="9" t="str">
        <f t="shared" si="2"/>
        <v>LSW-05</v>
      </c>
      <c r="N6" s="9" t="s">
        <v>61</v>
      </c>
      <c r="O6" s="13" t="s">
        <v>564</v>
      </c>
      <c r="P6" s="15">
        <v>0.0</v>
      </c>
      <c r="Q6" s="9" t="str">
        <f t="shared" si="3"/>
        <v>RDR-05</v>
      </c>
      <c r="R6" s="9" t="s">
        <v>66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22" t="s">
        <v>565</v>
      </c>
      <c r="AJ6" s="15">
        <v>0.0</v>
      </c>
      <c r="AK6" s="31" t="str">
        <f t="shared" si="4"/>
        <v>MOV-013</v>
      </c>
      <c r="AL6" s="31" t="s">
        <v>81</v>
      </c>
      <c r="AM6" s="31"/>
      <c r="AN6" s="31"/>
      <c r="AO6" s="31"/>
      <c r="AP6" s="31"/>
      <c r="AQ6" s="18"/>
      <c r="AR6" s="13"/>
      <c r="AS6" s="31"/>
      <c r="AT6" s="31"/>
      <c r="AU6" s="31"/>
      <c r="AV6" s="31"/>
      <c r="AW6" s="31"/>
      <c r="AX6" s="31"/>
      <c r="AY6" s="9"/>
      <c r="AZ6" s="9"/>
      <c r="BA6" s="9"/>
      <c r="BB6" s="9"/>
      <c r="BC6" s="9"/>
      <c r="BD6" s="9"/>
      <c r="BE6" s="9"/>
      <c r="BF6" s="9"/>
      <c r="BG6" s="9"/>
    </row>
    <row r="7">
      <c r="A7" s="7">
        <v>1334.0</v>
      </c>
      <c r="B7" s="8" t="s">
        <v>545</v>
      </c>
      <c r="C7" s="9" t="str">
        <f t="shared" si="1"/>
        <v>TK-06_BS VI HSD</v>
      </c>
      <c r="D7" s="20" t="s">
        <v>183</v>
      </c>
      <c r="E7" s="9"/>
      <c r="F7" s="21" t="s">
        <v>184</v>
      </c>
      <c r="G7" s="13" t="s">
        <v>566</v>
      </c>
      <c r="H7" s="15">
        <v>0.0</v>
      </c>
      <c r="I7" s="13"/>
      <c r="J7" s="13"/>
      <c r="K7" s="18"/>
      <c r="L7" s="13"/>
      <c r="M7" s="9" t="str">
        <f t="shared" si="2"/>
        <v/>
      </c>
      <c r="N7" s="9"/>
      <c r="O7" s="18"/>
      <c r="P7" s="13"/>
      <c r="Q7" s="9" t="str">
        <f t="shared" si="3"/>
        <v/>
      </c>
      <c r="R7" s="9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18"/>
      <c r="AJ7" s="13"/>
      <c r="AK7" s="31" t="str">
        <f t="shared" si="4"/>
        <v/>
      </c>
      <c r="AL7" s="31"/>
      <c r="AM7" s="31"/>
      <c r="AN7" s="31"/>
      <c r="AO7" s="31"/>
      <c r="AP7" s="31"/>
      <c r="AQ7" s="18"/>
      <c r="AR7" s="13"/>
      <c r="AS7" s="31"/>
      <c r="AT7" s="31"/>
      <c r="AU7" s="31"/>
      <c r="AV7" s="31"/>
      <c r="AW7" s="31"/>
      <c r="AX7" s="31"/>
      <c r="AY7" s="9"/>
      <c r="AZ7" s="9"/>
      <c r="BA7" s="9"/>
      <c r="BB7" s="9"/>
      <c r="BC7" s="9"/>
      <c r="BD7" s="9"/>
      <c r="BE7" s="9"/>
      <c r="BF7" s="9"/>
      <c r="BG7" s="9"/>
    </row>
    <row r="8">
      <c r="A8" s="7">
        <v>1334.0</v>
      </c>
      <c r="B8" s="8" t="s">
        <v>545</v>
      </c>
      <c r="C8" s="9" t="str">
        <f t="shared" si="1"/>
        <v>TK-07_BS VI MS</v>
      </c>
      <c r="D8" s="20" t="s">
        <v>189</v>
      </c>
      <c r="E8" s="9"/>
      <c r="F8" s="21" t="s">
        <v>52</v>
      </c>
      <c r="G8" s="13" t="s">
        <v>567</v>
      </c>
      <c r="H8" s="15">
        <v>0.0</v>
      </c>
      <c r="I8" s="13"/>
      <c r="J8" s="13"/>
      <c r="K8" s="18"/>
      <c r="L8" s="13"/>
      <c r="M8" s="9" t="str">
        <f t="shared" si="2"/>
        <v/>
      </c>
      <c r="N8" s="9"/>
      <c r="O8" s="18"/>
      <c r="P8" s="13"/>
      <c r="Q8" s="9" t="str">
        <f t="shared" si="3"/>
        <v/>
      </c>
      <c r="R8" s="9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18"/>
      <c r="AJ8" s="13"/>
      <c r="AK8" s="31" t="str">
        <f t="shared" si="4"/>
        <v/>
      </c>
      <c r="AL8" s="31"/>
      <c r="AM8" s="31"/>
      <c r="AN8" s="31"/>
      <c r="AO8" s="31"/>
      <c r="AP8" s="31"/>
      <c r="AQ8" s="18"/>
      <c r="AR8" s="13"/>
      <c r="AS8" s="31"/>
      <c r="AT8" s="31"/>
      <c r="AU8" s="31"/>
      <c r="AV8" s="31"/>
      <c r="AW8" s="31"/>
      <c r="AX8" s="31"/>
      <c r="AY8" s="9"/>
      <c r="AZ8" s="9"/>
      <c r="BA8" s="9"/>
      <c r="BB8" s="9"/>
      <c r="BC8" s="9"/>
      <c r="BD8" s="9"/>
      <c r="BE8" s="9"/>
      <c r="BF8" s="9"/>
      <c r="BG8" s="9"/>
    </row>
    <row r="9">
      <c r="A9" s="7">
        <v>1334.0</v>
      </c>
      <c r="B9" s="8" t="s">
        <v>545</v>
      </c>
      <c r="C9" s="9" t="str">
        <f t="shared" si="1"/>
        <v>TK-08_BS VI HSD</v>
      </c>
      <c r="D9" s="20" t="s">
        <v>194</v>
      </c>
      <c r="E9" s="9"/>
      <c r="F9" s="21" t="s">
        <v>184</v>
      </c>
      <c r="G9" s="13" t="s">
        <v>568</v>
      </c>
      <c r="H9" s="15">
        <v>0.0</v>
      </c>
      <c r="I9" s="13"/>
      <c r="J9" s="13"/>
      <c r="K9" s="18"/>
      <c r="L9" s="13"/>
      <c r="M9" s="9" t="str">
        <f t="shared" si="2"/>
        <v/>
      </c>
      <c r="N9" s="9"/>
      <c r="O9" s="18"/>
      <c r="P9" s="13"/>
      <c r="Q9" s="9" t="str">
        <f t="shared" si="3"/>
        <v/>
      </c>
      <c r="R9" s="9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18"/>
      <c r="AJ9" s="13"/>
      <c r="AK9" s="31" t="str">
        <f t="shared" si="4"/>
        <v/>
      </c>
      <c r="AL9" s="31"/>
      <c r="AM9" s="31"/>
      <c r="AN9" s="31"/>
      <c r="AO9" s="31"/>
      <c r="AP9" s="31"/>
      <c r="AQ9" s="18"/>
      <c r="AR9" s="13"/>
      <c r="AS9" s="31"/>
      <c r="AT9" s="31"/>
      <c r="AU9" s="31"/>
      <c r="AV9" s="31"/>
      <c r="AW9" s="31"/>
      <c r="AX9" s="31"/>
      <c r="AY9" s="9"/>
      <c r="AZ9" s="9"/>
      <c r="BA9" s="9"/>
      <c r="BB9" s="9"/>
      <c r="BC9" s="9"/>
      <c r="BD9" s="9"/>
      <c r="BE9" s="9"/>
      <c r="BF9" s="9"/>
      <c r="BG9" s="9"/>
    </row>
    <row r="10">
      <c r="A10" s="7">
        <v>1334.0</v>
      </c>
      <c r="B10" s="8" t="s">
        <v>545</v>
      </c>
      <c r="C10" s="9" t="str">
        <f t="shared" si="1"/>
        <v>TK-09_WATER</v>
      </c>
      <c r="D10" s="20" t="s">
        <v>199</v>
      </c>
      <c r="E10" s="9"/>
      <c r="F10" s="21" t="s">
        <v>200</v>
      </c>
      <c r="G10" s="13"/>
      <c r="H10" s="13"/>
      <c r="I10" s="13"/>
      <c r="J10" s="13"/>
      <c r="K10" s="18"/>
      <c r="L10" s="13"/>
      <c r="M10" s="9" t="str">
        <f t="shared" si="2"/>
        <v/>
      </c>
      <c r="N10" s="9"/>
      <c r="O10" s="18"/>
      <c r="P10" s="13"/>
      <c r="Q10" s="9" t="str">
        <f t="shared" si="3"/>
        <v/>
      </c>
      <c r="R10" s="9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18"/>
      <c r="AJ10" s="13"/>
      <c r="AK10" s="31" t="str">
        <f t="shared" si="4"/>
        <v/>
      </c>
      <c r="AL10" s="31"/>
      <c r="AM10" s="31"/>
      <c r="AN10" s="31"/>
      <c r="AO10" s="31"/>
      <c r="AP10" s="31"/>
      <c r="AQ10" s="18"/>
      <c r="AR10" s="13"/>
      <c r="AS10" s="31"/>
      <c r="AT10" s="31"/>
      <c r="AU10" s="31"/>
      <c r="AV10" s="31"/>
      <c r="AW10" s="31"/>
      <c r="AX10" s="31"/>
      <c r="AY10" s="9"/>
      <c r="AZ10" s="9"/>
      <c r="BA10" s="9"/>
      <c r="BB10" s="9"/>
      <c r="BC10" s="9"/>
      <c r="BD10" s="9"/>
      <c r="BE10" s="9"/>
      <c r="BF10" s="9"/>
      <c r="BG10" s="9"/>
    </row>
    <row r="11">
      <c r="A11" s="7">
        <v>1334.0</v>
      </c>
      <c r="B11" s="8" t="s">
        <v>545</v>
      </c>
      <c r="C11" s="9" t="str">
        <f t="shared" si="1"/>
        <v>TK-10_WATER</v>
      </c>
      <c r="D11" s="20" t="s">
        <v>203</v>
      </c>
      <c r="E11" s="9"/>
      <c r="F11" s="21" t="s">
        <v>200</v>
      </c>
      <c r="G11" s="13"/>
      <c r="H11" s="13"/>
      <c r="I11" s="13"/>
      <c r="J11" s="13"/>
      <c r="K11" s="18"/>
      <c r="L11" s="13"/>
      <c r="M11" s="9" t="str">
        <f t="shared" si="2"/>
        <v/>
      </c>
      <c r="N11" s="9"/>
      <c r="O11" s="18"/>
      <c r="P11" s="13"/>
      <c r="Q11" s="9" t="str">
        <f t="shared" si="3"/>
        <v/>
      </c>
      <c r="R11" s="9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18"/>
      <c r="AJ11" s="13"/>
      <c r="AK11" s="31" t="str">
        <f t="shared" si="4"/>
        <v/>
      </c>
      <c r="AL11" s="31"/>
      <c r="AM11" s="31"/>
      <c r="AN11" s="31"/>
      <c r="AO11" s="31"/>
      <c r="AP11" s="31"/>
      <c r="AQ11" s="18"/>
      <c r="AR11" s="13"/>
      <c r="AS11" s="31"/>
      <c r="AT11" s="31"/>
      <c r="AU11" s="31"/>
      <c r="AV11" s="31"/>
      <c r="AW11" s="31"/>
      <c r="AX11" s="31"/>
      <c r="AY11" s="9"/>
      <c r="AZ11" s="9"/>
      <c r="BA11" s="9"/>
      <c r="BB11" s="9"/>
      <c r="BC11" s="9"/>
      <c r="BD11" s="9"/>
      <c r="BE11" s="9"/>
      <c r="BF11" s="9"/>
      <c r="BG11" s="9"/>
    </row>
    <row r="12">
      <c r="A12" s="7">
        <v>1334.0</v>
      </c>
      <c r="B12" s="8" t="s">
        <v>545</v>
      </c>
      <c r="C12" s="9" t="str">
        <f t="shared" si="1"/>
        <v>TK-11_BS VI HSD</v>
      </c>
      <c r="D12" s="20" t="s">
        <v>206</v>
      </c>
      <c r="E12" s="9"/>
      <c r="F12" s="21" t="s">
        <v>184</v>
      </c>
      <c r="G12" s="13" t="s">
        <v>569</v>
      </c>
      <c r="H12" s="15">
        <v>0.0</v>
      </c>
      <c r="I12" s="13"/>
      <c r="J12" s="13"/>
      <c r="K12" s="13" t="s">
        <v>570</v>
      </c>
      <c r="L12" s="15">
        <v>0.0</v>
      </c>
      <c r="M12" s="9" t="str">
        <f t="shared" si="2"/>
        <v>LSW-06</v>
      </c>
      <c r="N12" s="9" t="s">
        <v>61</v>
      </c>
      <c r="O12" s="13" t="s">
        <v>571</v>
      </c>
      <c r="P12" s="15">
        <v>0.0</v>
      </c>
      <c r="Q12" s="9" t="str">
        <f t="shared" si="3"/>
        <v>RDR-06</v>
      </c>
      <c r="R12" s="9" t="s">
        <v>66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22" t="s">
        <v>572</v>
      </c>
      <c r="AJ12" s="15">
        <v>0.0</v>
      </c>
      <c r="AK12" s="31" t="str">
        <f t="shared" si="4"/>
        <v>MOV-016</v>
      </c>
      <c r="AL12" s="31" t="s">
        <v>81</v>
      </c>
      <c r="AM12" s="31"/>
      <c r="AN12" s="31"/>
      <c r="AO12" s="31"/>
      <c r="AP12" s="31"/>
      <c r="AQ12" s="18"/>
      <c r="AR12" s="13"/>
      <c r="AS12" s="31"/>
      <c r="AT12" s="31"/>
      <c r="AU12" s="31"/>
      <c r="AV12" s="31"/>
      <c r="AW12" s="31"/>
      <c r="AX12" s="31"/>
      <c r="AY12" s="9"/>
      <c r="AZ12" s="9"/>
      <c r="BA12" s="9"/>
      <c r="BB12" s="9"/>
      <c r="BC12" s="9"/>
      <c r="BD12" s="9"/>
      <c r="BE12" s="9"/>
      <c r="BF12" s="9"/>
      <c r="BG12" s="9"/>
    </row>
    <row r="13">
      <c r="A13" s="7">
        <v>1334.0</v>
      </c>
      <c r="B13" s="8" t="s">
        <v>545</v>
      </c>
      <c r="C13" s="9" t="str">
        <f t="shared" si="1"/>
        <v>TK-12_BS VI MS</v>
      </c>
      <c r="D13" s="20" t="s">
        <v>231</v>
      </c>
      <c r="E13" s="9"/>
      <c r="F13" s="21" t="s">
        <v>52</v>
      </c>
      <c r="G13" s="13" t="s">
        <v>573</v>
      </c>
      <c r="H13" s="15">
        <v>0.0</v>
      </c>
      <c r="I13" s="13"/>
      <c r="J13" s="13"/>
      <c r="K13" s="13" t="s">
        <v>574</v>
      </c>
      <c r="L13" s="15">
        <v>0.0</v>
      </c>
      <c r="M13" s="9" t="str">
        <f t="shared" si="2"/>
        <v>LSW-07</v>
      </c>
      <c r="N13" s="9" t="s">
        <v>61</v>
      </c>
      <c r="O13" s="13" t="s">
        <v>575</v>
      </c>
      <c r="P13" s="15">
        <v>0.0</v>
      </c>
      <c r="Q13" s="9" t="str">
        <f t="shared" si="3"/>
        <v>RDR-07</v>
      </c>
      <c r="R13" s="9" t="s">
        <v>66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22" t="s">
        <v>576</v>
      </c>
      <c r="AJ13" s="15">
        <v>0.0</v>
      </c>
      <c r="AK13" s="31" t="str">
        <f t="shared" si="4"/>
        <v>MOV-019</v>
      </c>
      <c r="AL13" s="31" t="s">
        <v>81</v>
      </c>
      <c r="AM13" s="31"/>
      <c r="AN13" s="31"/>
      <c r="AO13" s="31"/>
      <c r="AP13" s="31"/>
      <c r="AQ13" s="18"/>
      <c r="AR13" s="13"/>
      <c r="AS13" s="31"/>
      <c r="AT13" s="31"/>
      <c r="AU13" s="31"/>
      <c r="AV13" s="31"/>
      <c r="AW13" s="31"/>
      <c r="AX13" s="31"/>
      <c r="AY13" s="9"/>
      <c r="AZ13" s="9"/>
      <c r="BA13" s="9"/>
      <c r="BB13" s="9"/>
      <c r="BC13" s="9"/>
      <c r="BD13" s="9"/>
      <c r="BE13" s="9"/>
      <c r="BF13" s="9"/>
      <c r="BG13" s="9"/>
    </row>
    <row r="14">
      <c r="A14" s="7">
        <v>1334.0</v>
      </c>
      <c r="B14" s="8" t="s">
        <v>545</v>
      </c>
      <c r="C14" s="9" t="str">
        <f t="shared" si="1"/>
        <v>TK-13_BS VI HSD</v>
      </c>
      <c r="D14" s="20" t="s">
        <v>256</v>
      </c>
      <c r="E14" s="9"/>
      <c r="F14" s="21" t="s">
        <v>184</v>
      </c>
      <c r="G14" s="13" t="s">
        <v>577</v>
      </c>
      <c r="H14" s="15">
        <v>0.0</v>
      </c>
      <c r="I14" s="13"/>
      <c r="J14" s="13"/>
      <c r="K14" s="13" t="s">
        <v>578</v>
      </c>
      <c r="L14" s="15">
        <v>0.0</v>
      </c>
      <c r="M14" s="9" t="str">
        <f t="shared" si="2"/>
        <v>LSW-08</v>
      </c>
      <c r="N14" s="9" t="s">
        <v>61</v>
      </c>
      <c r="O14" s="13" t="s">
        <v>579</v>
      </c>
      <c r="P14" s="15">
        <v>0.0</v>
      </c>
      <c r="Q14" s="9" t="str">
        <f t="shared" si="3"/>
        <v>RDR-08</v>
      </c>
      <c r="R14" s="9" t="s">
        <v>66</v>
      </c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22" t="s">
        <v>580</v>
      </c>
      <c r="AJ14" s="15">
        <v>0.0</v>
      </c>
      <c r="AK14" s="31" t="str">
        <f t="shared" si="4"/>
        <v>MOV-022</v>
      </c>
      <c r="AL14" s="31" t="s">
        <v>81</v>
      </c>
      <c r="AM14" s="31"/>
      <c r="AN14" s="31"/>
      <c r="AO14" s="31"/>
      <c r="AP14" s="31"/>
      <c r="AQ14" s="18"/>
      <c r="AR14" s="13"/>
      <c r="AS14" s="31"/>
      <c r="AT14" s="31"/>
      <c r="AU14" s="31"/>
      <c r="AV14" s="31"/>
      <c r="AW14" s="31"/>
      <c r="AX14" s="31"/>
      <c r="AY14" s="9"/>
      <c r="AZ14" s="9"/>
      <c r="BA14" s="9"/>
      <c r="BB14" s="9"/>
      <c r="BC14" s="9"/>
      <c r="BD14" s="9"/>
      <c r="BE14" s="9"/>
      <c r="BF14" s="9"/>
      <c r="BG14" s="9"/>
    </row>
    <row r="15">
      <c r="A15" s="7">
        <v>1334.0</v>
      </c>
      <c r="B15" s="8" t="s">
        <v>545</v>
      </c>
      <c r="C15" s="9" t="str">
        <f t="shared" si="1"/>
        <v>TK-14_BS VI HSD</v>
      </c>
      <c r="D15" s="20" t="s">
        <v>281</v>
      </c>
      <c r="E15" s="9"/>
      <c r="F15" s="21" t="s">
        <v>184</v>
      </c>
      <c r="G15" s="13" t="s">
        <v>581</v>
      </c>
      <c r="H15" s="15">
        <v>0.0</v>
      </c>
      <c r="I15" s="13"/>
      <c r="J15" s="13"/>
      <c r="K15" s="13" t="s">
        <v>582</v>
      </c>
      <c r="L15" s="15">
        <v>0.0</v>
      </c>
      <c r="M15" s="9" t="str">
        <f t="shared" si="2"/>
        <v>LSW-09</v>
      </c>
      <c r="N15" s="9" t="s">
        <v>61</v>
      </c>
      <c r="O15" s="13" t="s">
        <v>583</v>
      </c>
      <c r="P15" s="15">
        <v>0.0</v>
      </c>
      <c r="Q15" s="9" t="str">
        <f t="shared" si="3"/>
        <v>RDR-09</v>
      </c>
      <c r="R15" s="9" t="s">
        <v>66</v>
      </c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22" t="s">
        <v>584</v>
      </c>
      <c r="AJ15" s="15">
        <v>0.0</v>
      </c>
      <c r="AK15" s="31" t="str">
        <f t="shared" si="4"/>
        <v>MOV-025</v>
      </c>
      <c r="AL15" s="31" t="s">
        <v>81</v>
      </c>
      <c r="AM15" s="31"/>
      <c r="AN15" s="31"/>
      <c r="AO15" s="31"/>
      <c r="AP15" s="31"/>
      <c r="AQ15" s="18"/>
      <c r="AR15" s="13"/>
      <c r="AS15" s="31"/>
      <c r="AT15" s="31"/>
      <c r="AU15" s="31"/>
      <c r="AV15" s="31"/>
      <c r="AW15" s="31"/>
      <c r="AX15" s="31"/>
      <c r="AY15" s="9"/>
      <c r="AZ15" s="9"/>
      <c r="BA15" s="9"/>
      <c r="BB15" s="9"/>
      <c r="BC15" s="9"/>
      <c r="BD15" s="9"/>
      <c r="BE15" s="9"/>
      <c r="BF15" s="9"/>
      <c r="BG15" s="9"/>
    </row>
    <row r="16">
      <c r="A16" s="7">
        <v>1334.0</v>
      </c>
      <c r="B16" s="8" t="s">
        <v>545</v>
      </c>
      <c r="C16" s="9" t="str">
        <f t="shared" si="1"/>
        <v>TK-15_BS VI MS</v>
      </c>
      <c r="D16" s="20" t="s">
        <v>306</v>
      </c>
      <c r="E16" s="9"/>
      <c r="F16" s="21" t="s">
        <v>52</v>
      </c>
      <c r="G16" s="13" t="s">
        <v>585</v>
      </c>
      <c r="H16" s="15">
        <v>0.0</v>
      </c>
      <c r="I16" s="13"/>
      <c r="J16" s="13"/>
      <c r="K16" s="13" t="s">
        <v>586</v>
      </c>
      <c r="L16" s="15">
        <v>0.0</v>
      </c>
      <c r="M16" s="9" t="str">
        <f t="shared" si="2"/>
        <v>LSW-10</v>
      </c>
      <c r="N16" s="9" t="s">
        <v>61</v>
      </c>
      <c r="O16" s="13" t="s">
        <v>587</v>
      </c>
      <c r="P16" s="15">
        <v>0.0</v>
      </c>
      <c r="Q16" s="9" t="str">
        <f t="shared" si="3"/>
        <v>RDR-10</v>
      </c>
      <c r="R16" s="9" t="s">
        <v>66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22" t="s">
        <v>588</v>
      </c>
      <c r="AJ16" s="15">
        <v>0.0</v>
      </c>
      <c r="AK16" s="31" t="str">
        <f t="shared" si="4"/>
        <v>MOV-028</v>
      </c>
      <c r="AL16" s="31" t="s">
        <v>81</v>
      </c>
      <c r="AM16" s="31"/>
      <c r="AN16" s="31"/>
      <c r="AO16" s="31"/>
      <c r="AP16" s="31"/>
      <c r="AQ16" s="18"/>
      <c r="AR16" s="13"/>
      <c r="AS16" s="31"/>
      <c r="AT16" s="31"/>
      <c r="AU16" s="31"/>
      <c r="AV16" s="31"/>
      <c r="AW16" s="31"/>
      <c r="AX16" s="31"/>
      <c r="AY16" s="9"/>
      <c r="AZ16" s="9"/>
      <c r="BA16" s="9"/>
      <c r="BB16" s="9"/>
      <c r="BC16" s="9"/>
      <c r="BD16" s="9"/>
      <c r="BE16" s="9"/>
      <c r="BF16" s="9"/>
      <c r="BG16" s="9"/>
    </row>
    <row r="17">
      <c r="A17" s="7">
        <v>1334.0</v>
      </c>
      <c r="B17" s="8" t="s">
        <v>545</v>
      </c>
      <c r="C17" s="9" t="str">
        <f t="shared" si="1"/>
        <v>TK-16_SLOP</v>
      </c>
      <c r="D17" s="20" t="s">
        <v>331</v>
      </c>
      <c r="E17" s="9"/>
      <c r="F17" s="21" t="s">
        <v>332</v>
      </c>
      <c r="G17" s="13"/>
      <c r="H17" s="13"/>
      <c r="I17" s="13"/>
      <c r="J17" s="13"/>
      <c r="K17" s="13" t="s">
        <v>589</v>
      </c>
      <c r="L17" s="15">
        <v>0.0</v>
      </c>
      <c r="M17" s="9" t="str">
        <f t="shared" si="2"/>
        <v>LSW-11</v>
      </c>
      <c r="N17" s="9" t="s">
        <v>61</v>
      </c>
      <c r="O17" s="13" t="s">
        <v>590</v>
      </c>
      <c r="P17" s="15">
        <v>0.0</v>
      </c>
      <c r="Q17" s="9" t="str">
        <f t="shared" si="3"/>
        <v>RDR-11</v>
      </c>
      <c r="R17" s="9" t="s">
        <v>66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22" t="s">
        <v>591</v>
      </c>
      <c r="AJ17" s="15">
        <v>0.0</v>
      </c>
      <c r="AK17" s="31" t="str">
        <f t="shared" si="4"/>
        <v>MOV-031</v>
      </c>
      <c r="AL17" s="31" t="s">
        <v>81</v>
      </c>
      <c r="AM17" s="31"/>
      <c r="AN17" s="31"/>
      <c r="AO17" s="31"/>
      <c r="AP17" s="31"/>
      <c r="AQ17" s="22" t="s">
        <v>592</v>
      </c>
      <c r="AR17" s="15">
        <v>0.0</v>
      </c>
      <c r="AS17" s="31" t="s">
        <v>356</v>
      </c>
      <c r="AT17" s="31" t="s">
        <v>357</v>
      </c>
      <c r="AU17" s="31"/>
      <c r="AV17" s="31"/>
      <c r="AW17" s="31"/>
      <c r="AX17" s="31"/>
      <c r="AY17" s="9"/>
      <c r="AZ17" s="9"/>
      <c r="BA17" s="9"/>
      <c r="BB17" s="9"/>
      <c r="BC17" s="9"/>
      <c r="BD17" s="9"/>
      <c r="BE17" s="9"/>
      <c r="BF17" s="9"/>
      <c r="BG17" s="9"/>
    </row>
    <row r="18">
      <c r="A18" s="7">
        <v>1334.0</v>
      </c>
      <c r="B18" s="8" t="s">
        <v>545</v>
      </c>
      <c r="C18" s="9" t="str">
        <f t="shared" si="1"/>
        <v>TK-17_SLOP</v>
      </c>
      <c r="D18" s="20" t="s">
        <v>359</v>
      </c>
      <c r="E18" s="9"/>
      <c r="F18" s="21" t="s">
        <v>332</v>
      </c>
      <c r="G18" s="13"/>
      <c r="H18" s="13"/>
      <c r="I18" s="13"/>
      <c r="J18" s="13"/>
      <c r="K18" s="13" t="s">
        <v>593</v>
      </c>
      <c r="L18" s="15">
        <v>0.0</v>
      </c>
      <c r="M18" s="9" t="str">
        <f t="shared" si="2"/>
        <v>LSW-12</v>
      </c>
      <c r="N18" s="9" t="s">
        <v>61</v>
      </c>
      <c r="O18" s="13" t="s">
        <v>594</v>
      </c>
      <c r="P18" s="15">
        <v>0.0</v>
      </c>
      <c r="Q18" s="9" t="str">
        <f t="shared" si="3"/>
        <v>RDR-12</v>
      </c>
      <c r="R18" s="9" t="s">
        <v>66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22" t="s">
        <v>595</v>
      </c>
      <c r="AJ18" s="15">
        <v>0.0</v>
      </c>
      <c r="AK18" s="31" t="str">
        <f t="shared" si="4"/>
        <v>MOV-034</v>
      </c>
      <c r="AL18" s="31" t="s">
        <v>81</v>
      </c>
      <c r="AM18" s="31"/>
      <c r="AN18" s="31"/>
      <c r="AO18" s="31"/>
      <c r="AP18" s="31"/>
      <c r="AQ18" s="13"/>
      <c r="AR18" s="13"/>
      <c r="AS18" s="31"/>
      <c r="AT18" s="31"/>
      <c r="AU18" s="31"/>
      <c r="AV18" s="31"/>
      <c r="AW18" s="31"/>
      <c r="AX18" s="31"/>
      <c r="AY18" s="9"/>
      <c r="AZ18" s="9"/>
      <c r="BA18" s="9"/>
      <c r="BB18" s="9"/>
      <c r="BC18" s="9"/>
      <c r="BD18" s="9"/>
      <c r="BE18" s="9"/>
      <c r="BF18" s="9"/>
      <c r="BG18" s="9"/>
    </row>
    <row r="19">
      <c r="A19" s="7">
        <v>1334.0</v>
      </c>
      <c r="B19" s="8" t="s">
        <v>545</v>
      </c>
      <c r="C19" s="9" t="str">
        <f t="shared" si="1"/>
        <v>TK-18_ETHANOL</v>
      </c>
      <c r="D19" s="20" t="s">
        <v>382</v>
      </c>
      <c r="E19" s="9"/>
      <c r="F19" s="21" t="s">
        <v>111</v>
      </c>
      <c r="G19" s="13" t="s">
        <v>596</v>
      </c>
      <c r="H19" s="15">
        <v>0.0</v>
      </c>
      <c r="I19" s="13"/>
      <c r="J19" s="13"/>
      <c r="K19" s="18"/>
      <c r="L19" s="13"/>
      <c r="M19" s="9" t="str">
        <f t="shared" si="2"/>
        <v/>
      </c>
      <c r="N19" s="9"/>
      <c r="O19" s="18"/>
      <c r="P19" s="13"/>
      <c r="Q19" s="9" t="str">
        <f t="shared" si="3"/>
        <v/>
      </c>
      <c r="R19" s="9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18"/>
      <c r="AJ19" s="13"/>
      <c r="AK19" s="31" t="str">
        <f t="shared" si="4"/>
        <v/>
      </c>
      <c r="AL19" s="31"/>
      <c r="AM19" s="31"/>
      <c r="AN19" s="31"/>
      <c r="AO19" s="31"/>
      <c r="AP19" s="31"/>
      <c r="AQ19" s="13"/>
      <c r="AR19" s="13"/>
      <c r="AS19" s="31"/>
      <c r="AT19" s="31"/>
      <c r="AU19" s="31"/>
      <c r="AV19" s="31"/>
      <c r="AW19" s="31"/>
      <c r="AX19" s="31"/>
      <c r="AY19" s="9"/>
      <c r="AZ19" s="9"/>
      <c r="BA19" s="9"/>
      <c r="BB19" s="9"/>
      <c r="BC19" s="9"/>
      <c r="BD19" s="9"/>
      <c r="BE19" s="9"/>
      <c r="BF19" s="9"/>
      <c r="BG19" s="9"/>
    </row>
    <row r="20">
      <c r="A20" s="7">
        <v>1334.0</v>
      </c>
      <c r="B20" s="8" t="s">
        <v>545</v>
      </c>
      <c r="C20" s="9" t="str">
        <f t="shared" si="1"/>
        <v>TK-19_ETHANOL</v>
      </c>
      <c r="D20" s="20" t="s">
        <v>387</v>
      </c>
      <c r="E20" s="9"/>
      <c r="F20" s="21" t="s">
        <v>111</v>
      </c>
      <c r="G20" s="13" t="s">
        <v>597</v>
      </c>
      <c r="H20" s="15">
        <v>0.0</v>
      </c>
      <c r="I20" s="13"/>
      <c r="J20" s="13"/>
      <c r="K20" s="18"/>
      <c r="L20" s="13"/>
      <c r="M20" s="9" t="str">
        <f t="shared" si="2"/>
        <v/>
      </c>
      <c r="N20" s="9"/>
      <c r="O20" s="18"/>
      <c r="P20" s="13"/>
      <c r="Q20" s="9" t="str">
        <f t="shared" si="3"/>
        <v/>
      </c>
      <c r="R20" s="9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18"/>
      <c r="AJ20" s="13"/>
      <c r="AK20" s="31" t="str">
        <f t="shared" si="4"/>
        <v/>
      </c>
      <c r="AL20" s="31"/>
      <c r="AM20" s="31"/>
      <c r="AN20" s="31"/>
      <c r="AO20" s="31"/>
      <c r="AP20" s="31"/>
      <c r="AQ20" s="13"/>
      <c r="AR20" s="13"/>
      <c r="AS20" s="31"/>
      <c r="AT20" s="31"/>
      <c r="AU20" s="31"/>
      <c r="AV20" s="31"/>
      <c r="AW20" s="31"/>
      <c r="AX20" s="31"/>
      <c r="AY20" s="9"/>
      <c r="AZ20" s="9"/>
      <c r="BA20" s="9"/>
      <c r="BB20" s="9"/>
      <c r="BC20" s="9"/>
      <c r="BD20" s="9"/>
      <c r="BE20" s="9"/>
      <c r="BF20" s="9"/>
      <c r="BG20" s="9"/>
    </row>
    <row r="21">
      <c r="A21" s="7">
        <v>1334.0</v>
      </c>
      <c r="B21" s="8" t="s">
        <v>545</v>
      </c>
      <c r="C21" s="9" t="str">
        <f t="shared" si="1"/>
        <v>TK-20_ETHANOL</v>
      </c>
      <c r="D21" s="20" t="s">
        <v>392</v>
      </c>
      <c r="E21" s="9"/>
      <c r="F21" s="21" t="s">
        <v>111</v>
      </c>
      <c r="G21" s="13" t="s">
        <v>598</v>
      </c>
      <c r="H21" s="15">
        <v>0.0</v>
      </c>
      <c r="I21" s="13"/>
      <c r="J21" s="13"/>
      <c r="K21" s="18"/>
      <c r="L21" s="13"/>
      <c r="M21" s="9" t="str">
        <f t="shared" si="2"/>
        <v/>
      </c>
      <c r="N21" s="9"/>
      <c r="O21" s="18"/>
      <c r="P21" s="13"/>
      <c r="Q21" s="9" t="str">
        <f t="shared" si="3"/>
        <v/>
      </c>
      <c r="R21" s="9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13"/>
      <c r="AJ21" s="13"/>
      <c r="AK21" s="31" t="str">
        <f t="shared" si="4"/>
        <v/>
      </c>
      <c r="AL21" s="31"/>
      <c r="AM21" s="31"/>
      <c r="AN21" s="31"/>
      <c r="AO21" s="31"/>
      <c r="AP21" s="31"/>
      <c r="AQ21" s="13"/>
      <c r="AR21" s="13"/>
      <c r="AS21" s="31"/>
      <c r="AT21" s="31"/>
      <c r="AU21" s="31"/>
      <c r="AV21" s="31"/>
      <c r="AW21" s="31"/>
      <c r="AX21" s="31"/>
      <c r="AY21" s="9"/>
      <c r="AZ21" s="9"/>
      <c r="BA21" s="9"/>
      <c r="BB21" s="9"/>
      <c r="BC21" s="9"/>
      <c r="BD21" s="9"/>
      <c r="BE21" s="9"/>
      <c r="BF21" s="9"/>
      <c r="BG21" s="9"/>
    </row>
    <row r="22">
      <c r="A22" s="7">
        <v>1334.0</v>
      </c>
      <c r="B22" s="8" t="s">
        <v>545</v>
      </c>
      <c r="C22" s="9" t="str">
        <f t="shared" si="1"/>
        <v>TK-21_ETHANOL</v>
      </c>
      <c r="D22" s="20" t="s">
        <v>397</v>
      </c>
      <c r="E22" s="9"/>
      <c r="F22" s="21" t="s">
        <v>111</v>
      </c>
      <c r="G22" s="13" t="s">
        <v>599</v>
      </c>
      <c r="H22" s="15">
        <v>0.0</v>
      </c>
      <c r="I22" s="13"/>
      <c r="J22" s="13"/>
      <c r="K22" s="18"/>
      <c r="L22" s="13"/>
      <c r="M22" s="9" t="str">
        <f t="shared" si="2"/>
        <v/>
      </c>
      <c r="N22" s="9"/>
      <c r="O22" s="18"/>
      <c r="P22" s="13"/>
      <c r="Q22" s="9" t="str">
        <f t="shared" si="3"/>
        <v/>
      </c>
      <c r="R22" s="9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13"/>
      <c r="AJ22" s="13"/>
      <c r="AK22" s="31" t="str">
        <f t="shared" si="4"/>
        <v/>
      </c>
      <c r="AL22" s="31"/>
      <c r="AM22" s="31"/>
      <c r="AN22" s="31"/>
      <c r="AO22" s="31"/>
      <c r="AP22" s="31"/>
      <c r="AQ22" s="13"/>
      <c r="AR22" s="13"/>
      <c r="AS22" s="31"/>
      <c r="AT22" s="31"/>
      <c r="AU22" s="31"/>
      <c r="AV22" s="31"/>
      <c r="AW22" s="31"/>
      <c r="AX22" s="31"/>
      <c r="AY22" s="9"/>
      <c r="AZ22" s="9"/>
      <c r="BA22" s="9"/>
      <c r="BB22" s="9"/>
      <c r="BC22" s="9"/>
      <c r="BD22" s="9"/>
      <c r="BE22" s="9"/>
      <c r="BF22" s="9"/>
      <c r="BG22" s="9"/>
    </row>
    <row r="23">
      <c r="A23" s="7">
        <v>1334.0</v>
      </c>
      <c r="B23" s="8" t="s">
        <v>545</v>
      </c>
      <c r="C23" s="9" t="str">
        <f t="shared" si="1"/>
        <v>TK-26_BS VI MS</v>
      </c>
      <c r="D23" s="20" t="s">
        <v>402</v>
      </c>
      <c r="E23" s="9"/>
      <c r="F23" s="21" t="s">
        <v>52</v>
      </c>
      <c r="G23" s="13" t="s">
        <v>600</v>
      </c>
      <c r="H23" s="15">
        <v>0.0</v>
      </c>
      <c r="I23" s="13"/>
      <c r="J23" s="13"/>
      <c r="K23" s="13" t="s">
        <v>601</v>
      </c>
      <c r="L23" s="15">
        <v>0.0</v>
      </c>
      <c r="M23" s="9" t="str">
        <f t="shared" si="2"/>
        <v>LSW-13</v>
      </c>
      <c r="N23" s="9" t="s">
        <v>61</v>
      </c>
      <c r="O23" s="13" t="s">
        <v>602</v>
      </c>
      <c r="P23" s="15">
        <v>0.0</v>
      </c>
      <c r="Q23" s="9" t="str">
        <f t="shared" si="3"/>
        <v>RDR-13</v>
      </c>
      <c r="R23" s="9" t="s">
        <v>66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22" t="s">
        <v>603</v>
      </c>
      <c r="AJ23" s="13"/>
      <c r="AK23" s="31" t="str">
        <f t="shared" si="4"/>
        <v>MOV-037</v>
      </c>
      <c r="AL23" s="31" t="s">
        <v>81</v>
      </c>
      <c r="AM23" s="31"/>
      <c r="AN23" s="31"/>
      <c r="AO23" s="31"/>
      <c r="AP23" s="31"/>
      <c r="AQ23" s="18"/>
      <c r="AR23" s="13"/>
      <c r="AS23" s="31"/>
      <c r="AT23" s="31"/>
      <c r="AU23" s="31"/>
      <c r="AV23" s="31"/>
      <c r="AW23" s="31"/>
      <c r="AX23" s="31"/>
      <c r="AY23" s="9"/>
      <c r="AZ23" s="9"/>
      <c r="BA23" s="9"/>
      <c r="BB23" s="9"/>
      <c r="BC23" s="9"/>
      <c r="BD23" s="9"/>
      <c r="BE23" s="9"/>
      <c r="BF23" s="9"/>
      <c r="BG23" s="9"/>
    </row>
    <row r="24">
      <c r="A24" s="7">
        <v>1334.0</v>
      </c>
      <c r="B24" s="8" t="s">
        <v>545</v>
      </c>
      <c r="C24" s="9" t="str">
        <f t="shared" si="1"/>
        <v>TK-27_BS VI HSD</v>
      </c>
      <c r="D24" s="20" t="s">
        <v>426</v>
      </c>
      <c r="E24" s="9"/>
      <c r="F24" s="21" t="s">
        <v>184</v>
      </c>
      <c r="G24" s="13" t="s">
        <v>604</v>
      </c>
      <c r="H24" s="15">
        <v>0.0</v>
      </c>
      <c r="I24" s="13"/>
      <c r="J24" s="13"/>
      <c r="K24" s="13" t="s">
        <v>605</v>
      </c>
      <c r="L24" s="15">
        <v>0.0</v>
      </c>
      <c r="M24" s="9" t="str">
        <f t="shared" si="2"/>
        <v>LSW-14</v>
      </c>
      <c r="N24" s="9" t="s">
        <v>61</v>
      </c>
      <c r="O24" s="13" t="s">
        <v>606</v>
      </c>
      <c r="P24" s="15">
        <v>0.0</v>
      </c>
      <c r="Q24" s="9" t="str">
        <f t="shared" si="3"/>
        <v>RDR-14</v>
      </c>
      <c r="R24" s="9" t="s">
        <v>66</v>
      </c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22" t="s">
        <v>607</v>
      </c>
      <c r="AJ24" s="13"/>
      <c r="AK24" s="31" t="str">
        <f t="shared" si="4"/>
        <v>MOV-040</v>
      </c>
      <c r="AL24" s="31" t="s">
        <v>81</v>
      </c>
      <c r="AM24" s="31"/>
      <c r="AN24" s="31"/>
      <c r="AO24" s="31"/>
      <c r="AP24" s="31"/>
      <c r="AQ24" s="18"/>
      <c r="AR24" s="13"/>
      <c r="AS24" s="31"/>
      <c r="AT24" s="31"/>
      <c r="AU24" s="31"/>
      <c r="AV24" s="31"/>
      <c r="AW24" s="31"/>
      <c r="AX24" s="31"/>
      <c r="AY24" s="9"/>
      <c r="AZ24" s="9"/>
      <c r="BA24" s="9"/>
      <c r="BB24" s="9"/>
      <c r="BC24" s="9"/>
      <c r="BD24" s="9"/>
      <c r="BE24" s="9"/>
      <c r="BF24" s="9"/>
      <c r="BG24" s="9"/>
    </row>
    <row r="25">
      <c r="A25" s="7">
        <v>1334.0</v>
      </c>
      <c r="B25" s="8" t="s">
        <v>545</v>
      </c>
      <c r="C25" s="9" t="str">
        <f t="shared" si="1"/>
        <v>TK-28_BS VI HSD</v>
      </c>
      <c r="D25" s="20" t="s">
        <v>450</v>
      </c>
      <c r="E25" s="9"/>
      <c r="F25" s="21" t="s">
        <v>184</v>
      </c>
      <c r="G25" s="13" t="s">
        <v>608</v>
      </c>
      <c r="H25" s="15">
        <v>0.0</v>
      </c>
      <c r="I25" s="13"/>
      <c r="J25" s="13"/>
      <c r="K25" s="13" t="s">
        <v>609</v>
      </c>
      <c r="L25" s="15">
        <v>0.0</v>
      </c>
      <c r="M25" s="9" t="str">
        <f t="shared" si="2"/>
        <v>LSW-15</v>
      </c>
      <c r="N25" s="9" t="s">
        <v>61</v>
      </c>
      <c r="O25" s="13" t="s">
        <v>610</v>
      </c>
      <c r="P25" s="15">
        <v>0.0</v>
      </c>
      <c r="Q25" s="9" t="str">
        <f t="shared" si="3"/>
        <v>RDR-15</v>
      </c>
      <c r="R25" s="9" t="s">
        <v>66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22" t="s">
        <v>611</v>
      </c>
      <c r="AJ25" s="15">
        <v>0.0</v>
      </c>
      <c r="AK25" s="31" t="str">
        <f t="shared" si="4"/>
        <v>MOV-043</v>
      </c>
      <c r="AL25" s="31" t="s">
        <v>81</v>
      </c>
      <c r="AM25" s="31"/>
      <c r="AN25" s="31"/>
      <c r="AO25" s="31"/>
      <c r="AP25" s="31"/>
      <c r="AQ25" s="18"/>
      <c r="AR25" s="13"/>
      <c r="AS25" s="31"/>
      <c r="AT25" s="31"/>
      <c r="AU25" s="31"/>
      <c r="AV25" s="31"/>
      <c r="AW25" s="31"/>
      <c r="AX25" s="31"/>
      <c r="AY25" s="9"/>
      <c r="AZ25" s="9"/>
      <c r="BA25" s="9"/>
      <c r="BB25" s="9"/>
      <c r="BC25" s="9"/>
      <c r="BD25" s="9"/>
      <c r="BE25" s="9"/>
      <c r="BF25" s="9"/>
      <c r="BG25" s="9"/>
    </row>
    <row r="26">
      <c r="A26" s="7">
        <v>1334.0</v>
      </c>
      <c r="B26" s="8" t="s">
        <v>545</v>
      </c>
      <c r="C26" s="9" t="str">
        <f t="shared" si="1"/>
        <v>TK-29_WATER</v>
      </c>
      <c r="D26" s="20" t="s">
        <v>474</v>
      </c>
      <c r="E26" s="9"/>
      <c r="F26" s="21" t="s">
        <v>200</v>
      </c>
      <c r="G26" s="13"/>
      <c r="H26" s="13"/>
      <c r="I26" s="13"/>
      <c r="J26" s="13"/>
      <c r="K26" s="13"/>
      <c r="L26" s="13"/>
      <c r="M26" s="9"/>
      <c r="N26" s="9"/>
      <c r="O26" s="9"/>
      <c r="P26" s="9"/>
      <c r="Q26" s="9" t="str">
        <f t="shared" si="3"/>
        <v/>
      </c>
      <c r="R26" s="9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 t="str">
        <f t="shared" si="4"/>
        <v/>
      </c>
      <c r="AL26" s="31"/>
      <c r="AM26" s="31"/>
      <c r="AN26" s="31"/>
      <c r="AO26" s="31"/>
      <c r="AP26" s="31"/>
      <c r="AQ26" s="18"/>
      <c r="AR26" s="13"/>
      <c r="AS26" s="31"/>
      <c r="AT26" s="31"/>
      <c r="AU26" s="31"/>
      <c r="AV26" s="31"/>
      <c r="AW26" s="31"/>
      <c r="AX26" s="31"/>
      <c r="AY26" s="9"/>
      <c r="AZ26" s="9"/>
      <c r="BA26" s="9"/>
      <c r="BB26" s="9"/>
      <c r="BC26" s="9"/>
      <c r="BD26" s="9"/>
      <c r="BE26" s="9"/>
      <c r="BF26" s="9"/>
      <c r="BG26" s="9"/>
    </row>
    <row r="27">
      <c r="A27" s="7">
        <v>1334.0</v>
      </c>
      <c r="B27" s="8" t="s">
        <v>545</v>
      </c>
      <c r="C27" s="9" t="str">
        <f t="shared" si="1"/>
        <v>TK-30_WATER</v>
      </c>
      <c r="D27" s="20" t="s">
        <v>477</v>
      </c>
      <c r="E27" s="9"/>
      <c r="F27" s="21" t="s">
        <v>200</v>
      </c>
      <c r="G27" s="13"/>
      <c r="H27" s="13"/>
      <c r="I27" s="13"/>
      <c r="J27" s="13"/>
      <c r="K27" s="13"/>
      <c r="L27" s="13"/>
      <c r="M27" s="9"/>
      <c r="N27" s="9"/>
      <c r="O27" s="9"/>
      <c r="P27" s="9"/>
      <c r="Q27" s="9" t="str">
        <f t="shared" si="3"/>
        <v/>
      </c>
      <c r="R27" s="9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 t="str">
        <f t="shared" si="4"/>
        <v/>
      </c>
      <c r="AL27" s="31"/>
      <c r="AM27" s="31"/>
      <c r="AN27" s="31"/>
      <c r="AO27" s="31"/>
      <c r="AP27" s="31"/>
      <c r="AQ27" s="18"/>
      <c r="AR27" s="13"/>
      <c r="AS27" s="31"/>
      <c r="AT27" s="31"/>
      <c r="AU27" s="31"/>
      <c r="AV27" s="31"/>
      <c r="AW27" s="31"/>
      <c r="AX27" s="31"/>
      <c r="AY27" s="9"/>
      <c r="AZ27" s="9"/>
      <c r="BA27" s="9"/>
      <c r="BB27" s="9"/>
      <c r="BC27" s="9"/>
      <c r="BD27" s="9"/>
      <c r="BE27" s="9"/>
      <c r="BF27" s="9"/>
      <c r="BG27" s="9"/>
    </row>
    <row r="28">
      <c r="A28" s="7">
        <v>1334.0</v>
      </c>
      <c r="B28" s="8" t="s">
        <v>545</v>
      </c>
      <c r="C28" s="9" t="str">
        <f t="shared" si="1"/>
        <v>TK-32_ETHANOL</v>
      </c>
      <c r="D28" s="20" t="s">
        <v>480</v>
      </c>
      <c r="E28" s="9"/>
      <c r="F28" s="21" t="s">
        <v>111</v>
      </c>
      <c r="G28" s="13" t="s">
        <v>612</v>
      </c>
      <c r="H28" s="15">
        <v>0.0</v>
      </c>
      <c r="I28" s="13"/>
      <c r="J28" s="13"/>
      <c r="K28" s="13"/>
      <c r="L28" s="13"/>
      <c r="M28" s="9"/>
      <c r="N28" s="9"/>
      <c r="O28" s="9"/>
      <c r="P28" s="9"/>
      <c r="Q28" s="9" t="str">
        <f t="shared" si="3"/>
        <v/>
      </c>
      <c r="R28" s="9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 t="str">
        <f t="shared" si="4"/>
        <v/>
      </c>
      <c r="AL28" s="31"/>
      <c r="AM28" s="31"/>
      <c r="AN28" s="31"/>
      <c r="AO28" s="31"/>
      <c r="AP28" s="31"/>
      <c r="AQ28" s="18"/>
      <c r="AR28" s="13"/>
      <c r="AS28" s="31"/>
      <c r="AT28" s="31"/>
      <c r="AU28" s="31"/>
      <c r="AV28" s="31"/>
      <c r="AW28" s="31"/>
      <c r="AX28" s="31"/>
      <c r="AY28" s="9"/>
      <c r="AZ28" s="9"/>
      <c r="BA28" s="9"/>
      <c r="BB28" s="9"/>
      <c r="BC28" s="9"/>
      <c r="BD28" s="9"/>
      <c r="BE28" s="9"/>
      <c r="BF28" s="9"/>
      <c r="BG28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2" t="s">
        <v>1</v>
      </c>
      <c r="C1" s="32" t="s">
        <v>2</v>
      </c>
      <c r="D1" s="32" t="s">
        <v>613</v>
      </c>
      <c r="E1" s="32" t="s">
        <v>614</v>
      </c>
      <c r="F1" s="33"/>
      <c r="G1" s="32" t="s">
        <v>615</v>
      </c>
      <c r="H1" s="1" t="s">
        <v>616</v>
      </c>
      <c r="I1" s="34" t="s">
        <v>617</v>
      </c>
      <c r="J1" s="35" t="s">
        <v>618</v>
      </c>
      <c r="K1" s="35" t="s">
        <v>8</v>
      </c>
      <c r="L1" s="35" t="s">
        <v>9</v>
      </c>
      <c r="M1" s="34" t="s">
        <v>619</v>
      </c>
      <c r="N1" s="35" t="s">
        <v>620</v>
      </c>
      <c r="O1" s="35" t="s">
        <v>8</v>
      </c>
      <c r="P1" s="35" t="s">
        <v>9</v>
      </c>
      <c r="Q1" s="34" t="s">
        <v>621</v>
      </c>
      <c r="R1" s="35" t="s">
        <v>622</v>
      </c>
      <c r="S1" s="35" t="s">
        <v>8</v>
      </c>
      <c r="T1" s="35" t="s">
        <v>9</v>
      </c>
      <c r="U1" s="36" t="s">
        <v>623</v>
      </c>
      <c r="V1" s="5" t="s">
        <v>13</v>
      </c>
      <c r="W1" s="35" t="s">
        <v>8</v>
      </c>
      <c r="X1" s="35" t="s">
        <v>9</v>
      </c>
      <c r="Y1" s="9"/>
      <c r="Z1" s="9"/>
      <c r="AA1" s="9"/>
      <c r="AB1" s="9"/>
      <c r="AC1" s="9"/>
      <c r="AD1" s="9"/>
      <c r="AE1" s="9"/>
      <c r="AF1" s="9"/>
      <c r="AG1" s="9"/>
      <c r="AH1" s="9"/>
    </row>
    <row r="2">
      <c r="A2" s="7">
        <v>1334.0</v>
      </c>
      <c r="B2" s="8" t="s">
        <v>50</v>
      </c>
      <c r="C2" s="37" t="str">
        <f t="shared" ref="C2:C31" si="1">CONCATENATE(D2,"_",E2)</f>
        <v>ADTV-PMP-01_POWERMS</v>
      </c>
      <c r="D2" s="37" t="s">
        <v>624</v>
      </c>
      <c r="E2" s="37" t="s">
        <v>625</v>
      </c>
      <c r="F2" s="9"/>
      <c r="G2" s="37" t="s">
        <v>626</v>
      </c>
      <c r="H2" s="9"/>
      <c r="I2" s="38" t="s">
        <v>627</v>
      </c>
      <c r="J2" s="38">
        <v>1.0</v>
      </c>
      <c r="K2" s="39"/>
      <c r="L2" s="39"/>
      <c r="M2" s="38" t="s">
        <v>628</v>
      </c>
      <c r="N2" s="40">
        <v>0.0</v>
      </c>
      <c r="O2" s="17"/>
      <c r="P2" s="17"/>
      <c r="Q2" s="38" t="s">
        <v>629</v>
      </c>
      <c r="R2" s="40">
        <v>0.0</v>
      </c>
      <c r="S2" s="17"/>
      <c r="T2" s="17"/>
      <c r="U2" s="38" t="s">
        <v>630</v>
      </c>
      <c r="V2" s="40">
        <v>0.0</v>
      </c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7">
        <v>1334.0</v>
      </c>
      <c r="B3" s="8" t="s">
        <v>50</v>
      </c>
      <c r="C3" s="37" t="str">
        <f t="shared" si="1"/>
        <v>ADTV-PMP-02_POWERMS</v>
      </c>
      <c r="D3" s="37" t="s">
        <v>631</v>
      </c>
      <c r="E3" s="37" t="s">
        <v>625</v>
      </c>
      <c r="F3" s="9"/>
      <c r="G3" s="37" t="s">
        <v>626</v>
      </c>
      <c r="H3" s="9"/>
      <c r="I3" s="41" t="s">
        <v>632</v>
      </c>
      <c r="J3" s="41">
        <v>1.0</v>
      </c>
      <c r="K3" s="18"/>
      <c r="L3" s="18"/>
      <c r="M3" s="41" t="s">
        <v>633</v>
      </c>
      <c r="N3" s="42">
        <v>0.0</v>
      </c>
      <c r="O3" s="13"/>
      <c r="P3" s="13"/>
      <c r="Q3" s="41" t="s">
        <v>634</v>
      </c>
      <c r="R3" s="42">
        <v>0.0</v>
      </c>
      <c r="S3" s="13"/>
      <c r="T3" s="13"/>
      <c r="U3" s="41" t="s">
        <v>635</v>
      </c>
      <c r="V3" s="42">
        <v>0.0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>
      <c r="A4" s="7">
        <v>1334.0</v>
      </c>
      <c r="B4" s="8" t="s">
        <v>50</v>
      </c>
      <c r="C4" s="37" t="str">
        <f t="shared" si="1"/>
        <v>ADTV-PMP-03_TURBOHSD</v>
      </c>
      <c r="D4" s="37" t="s">
        <v>636</v>
      </c>
      <c r="E4" s="37" t="s">
        <v>637</v>
      </c>
      <c r="F4" s="9"/>
      <c r="G4" s="37" t="s">
        <v>626</v>
      </c>
      <c r="H4" s="9"/>
      <c r="I4" s="41" t="s">
        <v>638</v>
      </c>
      <c r="J4" s="41">
        <v>1.0</v>
      </c>
      <c r="K4" s="18"/>
      <c r="L4" s="18"/>
      <c r="M4" s="41" t="s">
        <v>639</v>
      </c>
      <c r="N4" s="42">
        <v>0.0</v>
      </c>
      <c r="O4" s="13"/>
      <c r="P4" s="13"/>
      <c r="Q4" s="41" t="s">
        <v>640</v>
      </c>
      <c r="R4" s="42">
        <v>0.0</v>
      </c>
      <c r="S4" s="13"/>
      <c r="T4" s="13"/>
      <c r="U4" s="41" t="s">
        <v>641</v>
      </c>
      <c r="V4" s="42">
        <v>0.0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>
      <c r="A5" s="7">
        <v>1334.0</v>
      </c>
      <c r="B5" s="8" t="s">
        <v>50</v>
      </c>
      <c r="C5" s="37" t="str">
        <f t="shared" si="1"/>
        <v>ADTV-PMP-04_TURBOHSD</v>
      </c>
      <c r="D5" s="37" t="s">
        <v>642</v>
      </c>
      <c r="E5" s="37" t="s">
        <v>637</v>
      </c>
      <c r="F5" s="9"/>
      <c r="G5" s="37" t="s">
        <v>626</v>
      </c>
      <c r="H5" s="9"/>
      <c r="I5" s="41" t="s">
        <v>643</v>
      </c>
      <c r="J5" s="41">
        <v>1.0</v>
      </c>
      <c r="K5" s="18"/>
      <c r="L5" s="18"/>
      <c r="M5" s="41" t="s">
        <v>644</v>
      </c>
      <c r="N5" s="42">
        <v>0.0</v>
      </c>
      <c r="O5" s="13"/>
      <c r="P5" s="13"/>
      <c r="Q5" s="41" t="s">
        <v>645</v>
      </c>
      <c r="R5" s="42">
        <v>0.0</v>
      </c>
      <c r="S5" s="13"/>
      <c r="T5" s="13"/>
      <c r="U5" s="41" t="s">
        <v>646</v>
      </c>
      <c r="V5" s="42">
        <v>0.0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>
      <c r="A6" s="7">
        <v>1334.0</v>
      </c>
      <c r="B6" s="8" t="s">
        <v>50</v>
      </c>
      <c r="C6" s="37" t="str">
        <f t="shared" si="1"/>
        <v>PMP-01_ETHANOL</v>
      </c>
      <c r="D6" s="20" t="s">
        <v>647</v>
      </c>
      <c r="E6" s="20" t="s">
        <v>111</v>
      </c>
      <c r="F6" s="9"/>
      <c r="G6" s="20" t="s">
        <v>626</v>
      </c>
      <c r="H6" s="9"/>
      <c r="I6" s="41" t="s">
        <v>648</v>
      </c>
      <c r="J6" s="41">
        <v>1.0</v>
      </c>
      <c r="K6" s="18"/>
      <c r="L6" s="18"/>
      <c r="M6" s="41" t="s">
        <v>649</v>
      </c>
      <c r="N6" s="41">
        <v>0.0</v>
      </c>
      <c r="O6" s="18"/>
      <c r="P6" s="18"/>
      <c r="Q6" s="41" t="s">
        <v>650</v>
      </c>
      <c r="R6" s="41">
        <v>0.0</v>
      </c>
      <c r="S6" s="18"/>
      <c r="T6" s="18"/>
      <c r="U6" s="41" t="s">
        <v>651</v>
      </c>
      <c r="V6" s="41">
        <v>0.0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>
      <c r="A7" s="7">
        <v>1334.0</v>
      </c>
      <c r="B7" s="8" t="s">
        <v>50</v>
      </c>
      <c r="C7" s="37" t="str">
        <f t="shared" si="1"/>
        <v>PMP-02_ETHANOL</v>
      </c>
      <c r="D7" s="20" t="s">
        <v>652</v>
      </c>
      <c r="E7" s="20" t="s">
        <v>111</v>
      </c>
      <c r="F7" s="9"/>
      <c r="G7" s="20" t="s">
        <v>626</v>
      </c>
      <c r="H7" s="9"/>
      <c r="I7" s="41" t="s">
        <v>653</v>
      </c>
      <c r="J7" s="41">
        <v>1.0</v>
      </c>
      <c r="K7" s="18"/>
      <c r="L7" s="18"/>
      <c r="M7" s="41" t="s">
        <v>654</v>
      </c>
      <c r="N7" s="41">
        <v>0.0</v>
      </c>
      <c r="O7" s="18"/>
      <c r="P7" s="18"/>
      <c r="Q7" s="41" t="s">
        <v>655</v>
      </c>
      <c r="R7" s="41">
        <v>0.0</v>
      </c>
      <c r="S7" s="18"/>
      <c r="T7" s="18"/>
      <c r="U7" s="41" t="s">
        <v>656</v>
      </c>
      <c r="V7" s="41">
        <v>0.0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>
      <c r="A8" s="7">
        <v>1334.0</v>
      </c>
      <c r="B8" s="8" t="s">
        <v>50</v>
      </c>
      <c r="C8" s="37" t="str">
        <f t="shared" si="1"/>
        <v>PMP-03_ETHANOL</v>
      </c>
      <c r="D8" s="20" t="s">
        <v>657</v>
      </c>
      <c r="E8" s="20" t="s">
        <v>111</v>
      </c>
      <c r="F8" s="9"/>
      <c r="G8" s="20" t="s">
        <v>626</v>
      </c>
      <c r="H8" s="9"/>
      <c r="I8" s="41" t="s">
        <v>658</v>
      </c>
      <c r="J8" s="41">
        <v>1.0</v>
      </c>
      <c r="K8" s="18"/>
      <c r="L8" s="18"/>
      <c r="M8" s="41" t="s">
        <v>659</v>
      </c>
      <c r="N8" s="41">
        <v>0.0</v>
      </c>
      <c r="O8" s="18"/>
      <c r="P8" s="18"/>
      <c r="Q8" s="41" t="s">
        <v>660</v>
      </c>
      <c r="R8" s="41">
        <v>0.0</v>
      </c>
      <c r="S8" s="18"/>
      <c r="T8" s="18"/>
      <c r="U8" s="41" t="s">
        <v>661</v>
      </c>
      <c r="V8" s="41">
        <v>0.0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>
      <c r="A9" s="7">
        <v>1334.0</v>
      </c>
      <c r="B9" s="8" t="s">
        <v>50</v>
      </c>
      <c r="C9" s="37" t="str">
        <f t="shared" si="1"/>
        <v>PMP-04_WATER</v>
      </c>
      <c r="D9" s="20" t="s">
        <v>662</v>
      </c>
      <c r="E9" s="20" t="s">
        <v>200</v>
      </c>
      <c r="F9" s="9"/>
      <c r="G9" s="20" t="s">
        <v>626</v>
      </c>
      <c r="H9" s="9"/>
      <c r="I9" s="41" t="s">
        <v>663</v>
      </c>
      <c r="J9" s="41">
        <v>1.0</v>
      </c>
      <c r="K9" s="18"/>
      <c r="L9" s="18"/>
      <c r="M9" s="41" t="s">
        <v>664</v>
      </c>
      <c r="N9" s="41">
        <v>0.0</v>
      </c>
      <c r="O9" s="18"/>
      <c r="P9" s="18"/>
      <c r="Q9" s="41" t="s">
        <v>665</v>
      </c>
      <c r="R9" s="41">
        <v>0.0</v>
      </c>
      <c r="S9" s="18"/>
      <c r="T9" s="18"/>
      <c r="U9" s="41" t="s">
        <v>666</v>
      </c>
      <c r="V9" s="41">
        <v>0.0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>
      <c r="A10" s="7">
        <v>1334.0</v>
      </c>
      <c r="B10" s="8" t="s">
        <v>50</v>
      </c>
      <c r="C10" s="37" t="str">
        <f t="shared" si="1"/>
        <v>PMP-05_WATER</v>
      </c>
      <c r="D10" s="20" t="s">
        <v>667</v>
      </c>
      <c r="E10" s="20" t="s">
        <v>200</v>
      </c>
      <c r="F10" s="9"/>
      <c r="G10" s="20" t="s">
        <v>626</v>
      </c>
      <c r="H10" s="9"/>
      <c r="I10" s="41" t="s">
        <v>668</v>
      </c>
      <c r="J10" s="41">
        <v>1.0</v>
      </c>
      <c r="K10" s="18"/>
      <c r="L10" s="18"/>
      <c r="M10" s="41" t="s">
        <v>669</v>
      </c>
      <c r="N10" s="41">
        <v>0.0</v>
      </c>
      <c r="O10" s="18"/>
      <c r="P10" s="18"/>
      <c r="Q10" s="41" t="s">
        <v>670</v>
      </c>
      <c r="R10" s="41">
        <v>0.0</v>
      </c>
      <c r="S10" s="18"/>
      <c r="T10" s="18"/>
      <c r="U10" s="41" t="s">
        <v>671</v>
      </c>
      <c r="V10" s="41">
        <v>0.0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>
      <c r="A11" s="7">
        <v>1334.0</v>
      </c>
      <c r="B11" s="8" t="s">
        <v>50</v>
      </c>
      <c r="C11" s="37" t="str">
        <f t="shared" si="1"/>
        <v>PMP-06_BS VI MS</v>
      </c>
      <c r="D11" s="20" t="s">
        <v>672</v>
      </c>
      <c r="E11" s="20" t="s">
        <v>52</v>
      </c>
      <c r="F11" s="9"/>
      <c r="G11" s="20" t="s">
        <v>626</v>
      </c>
      <c r="H11" s="9"/>
      <c r="I11" s="41" t="s">
        <v>673</v>
      </c>
      <c r="J11" s="41">
        <v>1.0</v>
      </c>
      <c r="K11" s="18"/>
      <c r="L11" s="18"/>
      <c r="M11" s="41" t="s">
        <v>674</v>
      </c>
      <c r="N11" s="41">
        <v>0.0</v>
      </c>
      <c r="O11" s="18"/>
      <c r="P11" s="18"/>
      <c r="Q11" s="41" t="s">
        <v>675</v>
      </c>
      <c r="R11" s="41">
        <v>0.0</v>
      </c>
      <c r="S11" s="18"/>
      <c r="T11" s="18"/>
      <c r="U11" s="41" t="s">
        <v>676</v>
      </c>
      <c r="V11" s="41">
        <v>0.0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>
      <c r="A12" s="7">
        <v>1334.0</v>
      </c>
      <c r="B12" s="8" t="s">
        <v>50</v>
      </c>
      <c r="C12" s="37" t="str">
        <f t="shared" si="1"/>
        <v>PMP-07_BS VI MS</v>
      </c>
      <c r="D12" s="20" t="s">
        <v>677</v>
      </c>
      <c r="E12" s="20" t="s">
        <v>52</v>
      </c>
      <c r="F12" s="9"/>
      <c r="G12" s="20" t="s">
        <v>626</v>
      </c>
      <c r="H12" s="9"/>
      <c r="I12" s="41" t="s">
        <v>678</v>
      </c>
      <c r="J12" s="41">
        <v>1.0</v>
      </c>
      <c r="K12" s="18"/>
      <c r="L12" s="18"/>
      <c r="M12" s="41" t="s">
        <v>679</v>
      </c>
      <c r="N12" s="41">
        <v>0.0</v>
      </c>
      <c r="O12" s="18"/>
      <c r="P12" s="18"/>
      <c r="Q12" s="41" t="s">
        <v>680</v>
      </c>
      <c r="R12" s="41">
        <v>0.0</v>
      </c>
      <c r="S12" s="18"/>
      <c r="T12" s="18"/>
      <c r="U12" s="41" t="s">
        <v>681</v>
      </c>
      <c r="V12" s="41">
        <v>0.0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>
      <c r="A13" s="7">
        <v>1334.0</v>
      </c>
      <c r="B13" s="8" t="s">
        <v>50</v>
      </c>
      <c r="C13" s="37" t="str">
        <f t="shared" si="1"/>
        <v>PMP-08_BS VI MS</v>
      </c>
      <c r="D13" s="20" t="s">
        <v>682</v>
      </c>
      <c r="E13" s="20" t="s">
        <v>52</v>
      </c>
      <c r="F13" s="9"/>
      <c r="G13" s="20" t="s">
        <v>626</v>
      </c>
      <c r="H13" s="9"/>
      <c r="I13" s="41" t="s">
        <v>683</v>
      </c>
      <c r="J13" s="41">
        <v>1.0</v>
      </c>
      <c r="K13" s="18"/>
      <c r="L13" s="18"/>
      <c r="M13" s="41" t="s">
        <v>684</v>
      </c>
      <c r="N13" s="41">
        <v>0.0</v>
      </c>
      <c r="O13" s="18"/>
      <c r="P13" s="18"/>
      <c r="Q13" s="41" t="s">
        <v>685</v>
      </c>
      <c r="R13" s="41">
        <v>0.0</v>
      </c>
      <c r="S13" s="18"/>
      <c r="T13" s="18"/>
      <c r="U13" s="41" t="s">
        <v>686</v>
      </c>
      <c r="V13" s="41">
        <v>0.0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>
      <c r="A14" s="7">
        <v>1334.0</v>
      </c>
      <c r="B14" s="8" t="s">
        <v>50</v>
      </c>
      <c r="C14" s="37" t="str">
        <f t="shared" si="1"/>
        <v>PMP-09_BS VI HSD</v>
      </c>
      <c r="D14" s="20" t="s">
        <v>687</v>
      </c>
      <c r="E14" s="20" t="s">
        <v>184</v>
      </c>
      <c r="F14" s="9"/>
      <c r="G14" s="20" t="s">
        <v>626</v>
      </c>
      <c r="H14" s="9"/>
      <c r="I14" s="41" t="s">
        <v>688</v>
      </c>
      <c r="J14" s="41">
        <v>1.0</v>
      </c>
      <c r="K14" s="18"/>
      <c r="L14" s="18"/>
      <c r="M14" s="41" t="s">
        <v>689</v>
      </c>
      <c r="N14" s="41">
        <v>0.0</v>
      </c>
      <c r="O14" s="18"/>
      <c r="P14" s="18"/>
      <c r="Q14" s="41" t="s">
        <v>690</v>
      </c>
      <c r="R14" s="41">
        <v>0.0</v>
      </c>
      <c r="S14" s="18"/>
      <c r="T14" s="18"/>
      <c r="U14" s="41" t="s">
        <v>691</v>
      </c>
      <c r="V14" s="41">
        <v>0.0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>
      <c r="A15" s="7">
        <v>1334.0</v>
      </c>
      <c r="B15" s="8" t="s">
        <v>50</v>
      </c>
      <c r="C15" s="37" t="str">
        <f t="shared" si="1"/>
        <v>PMP-10_BS VI HSD</v>
      </c>
      <c r="D15" s="20" t="s">
        <v>692</v>
      </c>
      <c r="E15" s="20" t="s">
        <v>184</v>
      </c>
      <c r="F15" s="9"/>
      <c r="G15" s="20" t="s">
        <v>626</v>
      </c>
      <c r="H15" s="9"/>
      <c r="I15" s="41" t="s">
        <v>693</v>
      </c>
      <c r="J15" s="41">
        <v>1.0</v>
      </c>
      <c r="K15" s="18"/>
      <c r="L15" s="18"/>
      <c r="M15" s="41" t="s">
        <v>694</v>
      </c>
      <c r="N15" s="41">
        <v>0.0</v>
      </c>
      <c r="O15" s="18"/>
      <c r="P15" s="18"/>
      <c r="Q15" s="41" t="s">
        <v>695</v>
      </c>
      <c r="R15" s="41">
        <v>0.0</v>
      </c>
      <c r="S15" s="18"/>
      <c r="T15" s="18"/>
      <c r="U15" s="41" t="s">
        <v>696</v>
      </c>
      <c r="V15" s="41">
        <v>0.0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>
      <c r="A16" s="7">
        <v>1334.0</v>
      </c>
      <c r="B16" s="8" t="s">
        <v>50</v>
      </c>
      <c r="C16" s="37" t="str">
        <f t="shared" si="1"/>
        <v>PMP-11_BS VI HSD</v>
      </c>
      <c r="D16" s="20" t="s">
        <v>697</v>
      </c>
      <c r="E16" s="20" t="s">
        <v>184</v>
      </c>
      <c r="F16" s="9"/>
      <c r="G16" s="20" t="s">
        <v>626</v>
      </c>
      <c r="H16" s="9"/>
      <c r="I16" s="41" t="s">
        <v>698</v>
      </c>
      <c r="J16" s="41">
        <v>1.0</v>
      </c>
      <c r="K16" s="18"/>
      <c r="L16" s="18"/>
      <c r="M16" s="41" t="s">
        <v>699</v>
      </c>
      <c r="N16" s="41">
        <v>0.0</v>
      </c>
      <c r="O16" s="18"/>
      <c r="P16" s="18"/>
      <c r="Q16" s="41" t="s">
        <v>700</v>
      </c>
      <c r="R16" s="41">
        <v>0.0</v>
      </c>
      <c r="S16" s="18"/>
      <c r="T16" s="18"/>
      <c r="U16" s="41" t="s">
        <v>701</v>
      </c>
      <c r="V16" s="41">
        <v>0.0</v>
      </c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>
      <c r="A17" s="7">
        <v>1334.0</v>
      </c>
      <c r="B17" s="8" t="s">
        <v>50</v>
      </c>
      <c r="C17" s="37" t="str">
        <f t="shared" si="1"/>
        <v>PMP-12_BS VI HSD</v>
      </c>
      <c r="D17" s="20" t="s">
        <v>702</v>
      </c>
      <c r="E17" s="20" t="s">
        <v>184</v>
      </c>
      <c r="F17" s="9"/>
      <c r="G17" s="20" t="s">
        <v>626</v>
      </c>
      <c r="H17" s="9"/>
      <c r="I17" s="41" t="s">
        <v>703</v>
      </c>
      <c r="J17" s="41">
        <v>1.0</v>
      </c>
      <c r="K17" s="18"/>
      <c r="L17" s="18"/>
      <c r="M17" s="41" t="s">
        <v>704</v>
      </c>
      <c r="N17" s="41">
        <v>0.0</v>
      </c>
      <c r="O17" s="18"/>
      <c r="P17" s="18"/>
      <c r="Q17" s="41" t="s">
        <v>705</v>
      </c>
      <c r="R17" s="41">
        <v>0.0</v>
      </c>
      <c r="S17" s="18"/>
      <c r="T17" s="18"/>
      <c r="U17" s="41" t="s">
        <v>706</v>
      </c>
      <c r="V17" s="41">
        <v>0.0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>
      <c r="A18" s="7">
        <v>1334.0</v>
      </c>
      <c r="B18" s="8" t="s">
        <v>50</v>
      </c>
      <c r="C18" s="37" t="str">
        <f t="shared" si="1"/>
        <v>PMP-13_BS VI HSD</v>
      </c>
      <c r="D18" s="20" t="s">
        <v>707</v>
      </c>
      <c r="E18" s="20" t="s">
        <v>184</v>
      </c>
      <c r="F18" s="9"/>
      <c r="G18" s="20" t="s">
        <v>626</v>
      </c>
      <c r="H18" s="9"/>
      <c r="I18" s="41" t="s">
        <v>708</v>
      </c>
      <c r="J18" s="41">
        <v>1.0</v>
      </c>
      <c r="K18" s="18"/>
      <c r="L18" s="18"/>
      <c r="M18" s="41" t="s">
        <v>709</v>
      </c>
      <c r="N18" s="41">
        <v>0.0</v>
      </c>
      <c r="O18" s="18"/>
      <c r="P18" s="18"/>
      <c r="Q18" s="41" t="s">
        <v>710</v>
      </c>
      <c r="R18" s="41">
        <v>0.0</v>
      </c>
      <c r="S18" s="18"/>
      <c r="T18" s="18"/>
      <c r="U18" s="41" t="s">
        <v>711</v>
      </c>
      <c r="V18" s="41">
        <v>0.0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>
      <c r="A19" s="7">
        <v>1334.0</v>
      </c>
      <c r="B19" s="8" t="s">
        <v>50</v>
      </c>
      <c r="C19" s="37" t="str">
        <f t="shared" si="1"/>
        <v>PMP-18_ETHANOL</v>
      </c>
      <c r="D19" s="20" t="s">
        <v>712</v>
      </c>
      <c r="E19" s="20" t="s">
        <v>111</v>
      </c>
      <c r="F19" s="9"/>
      <c r="G19" s="20" t="s">
        <v>626</v>
      </c>
      <c r="H19" s="9"/>
      <c r="I19" s="41" t="s">
        <v>713</v>
      </c>
      <c r="J19" s="41">
        <v>1.0</v>
      </c>
      <c r="K19" s="18"/>
      <c r="L19" s="18"/>
      <c r="M19" s="41" t="s">
        <v>714</v>
      </c>
      <c r="N19" s="41">
        <v>0.0</v>
      </c>
      <c r="O19" s="18"/>
      <c r="P19" s="18"/>
      <c r="Q19" s="41" t="s">
        <v>715</v>
      </c>
      <c r="R19" s="41">
        <v>0.0</v>
      </c>
      <c r="S19" s="18"/>
      <c r="T19" s="18"/>
      <c r="U19" s="41" t="s">
        <v>716</v>
      </c>
      <c r="V19" s="41">
        <v>0.0</v>
      </c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>
      <c r="A20" s="7">
        <v>1334.0</v>
      </c>
      <c r="B20" s="8" t="s">
        <v>50</v>
      </c>
      <c r="C20" s="37" t="str">
        <f t="shared" si="1"/>
        <v>PMP-19_ETHANOL</v>
      </c>
      <c r="D20" s="20" t="s">
        <v>717</v>
      </c>
      <c r="E20" s="20" t="s">
        <v>111</v>
      </c>
      <c r="F20" s="9"/>
      <c r="G20" s="20" t="s">
        <v>626</v>
      </c>
      <c r="H20" s="9"/>
      <c r="I20" s="41" t="s">
        <v>718</v>
      </c>
      <c r="J20" s="41">
        <v>1.0</v>
      </c>
      <c r="K20" s="18"/>
      <c r="L20" s="18"/>
      <c r="M20" s="41" t="s">
        <v>719</v>
      </c>
      <c r="N20" s="41">
        <v>0.0</v>
      </c>
      <c r="O20" s="18"/>
      <c r="P20" s="18"/>
      <c r="Q20" s="41" t="s">
        <v>720</v>
      </c>
      <c r="R20" s="41">
        <v>0.0</v>
      </c>
      <c r="S20" s="18"/>
      <c r="T20" s="18"/>
      <c r="U20" s="41" t="s">
        <v>721</v>
      </c>
      <c r="V20" s="41">
        <v>0.0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>
      <c r="A21" s="7">
        <v>1334.0</v>
      </c>
      <c r="B21" s="8" t="s">
        <v>50</v>
      </c>
      <c r="C21" s="37" t="str">
        <f t="shared" si="1"/>
        <v>PMP-20_ETHANOL</v>
      </c>
      <c r="D21" s="20" t="s">
        <v>722</v>
      </c>
      <c r="E21" s="20" t="s">
        <v>111</v>
      </c>
      <c r="F21" s="9"/>
      <c r="G21" s="20" t="s">
        <v>626</v>
      </c>
      <c r="H21" s="9"/>
      <c r="I21" s="41" t="s">
        <v>723</v>
      </c>
      <c r="J21" s="41">
        <v>1.0</v>
      </c>
      <c r="K21" s="18"/>
      <c r="L21" s="18"/>
      <c r="M21" s="41" t="s">
        <v>724</v>
      </c>
      <c r="N21" s="41">
        <v>0.0</v>
      </c>
      <c r="O21" s="18"/>
      <c r="P21" s="18"/>
      <c r="Q21" s="41" t="s">
        <v>725</v>
      </c>
      <c r="R21" s="41">
        <v>0.0</v>
      </c>
      <c r="S21" s="18"/>
      <c r="T21" s="18"/>
      <c r="U21" s="41" t="s">
        <v>726</v>
      </c>
      <c r="V21" s="41">
        <v>0.0</v>
      </c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>
      <c r="A22" s="7">
        <v>1334.0</v>
      </c>
      <c r="B22" s="8" t="s">
        <v>50</v>
      </c>
      <c r="C22" s="37" t="str">
        <f t="shared" si="1"/>
        <v>PMP-21_ETHANOL</v>
      </c>
      <c r="D22" s="20" t="s">
        <v>727</v>
      </c>
      <c r="E22" s="20" t="s">
        <v>111</v>
      </c>
      <c r="F22" s="9"/>
      <c r="G22" s="20" t="s">
        <v>626</v>
      </c>
      <c r="H22" s="9"/>
      <c r="I22" s="41" t="s">
        <v>728</v>
      </c>
      <c r="J22" s="41">
        <v>1.0</v>
      </c>
      <c r="K22" s="18"/>
      <c r="L22" s="18"/>
      <c r="M22" s="41" t="s">
        <v>729</v>
      </c>
      <c r="N22" s="41">
        <v>0.0</v>
      </c>
      <c r="O22" s="18"/>
      <c r="P22" s="18"/>
      <c r="Q22" s="41" t="s">
        <v>730</v>
      </c>
      <c r="R22" s="41">
        <v>0.0</v>
      </c>
      <c r="S22" s="18"/>
      <c r="T22" s="18"/>
      <c r="U22" s="41" t="s">
        <v>731</v>
      </c>
      <c r="V22" s="41">
        <v>0.0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>
      <c r="A23" s="7">
        <v>1334.0</v>
      </c>
      <c r="B23" s="8" t="s">
        <v>50</v>
      </c>
      <c r="C23" s="37" t="str">
        <f t="shared" si="1"/>
        <v>PMP-22_ETHANOL</v>
      </c>
      <c r="D23" s="20" t="s">
        <v>732</v>
      </c>
      <c r="E23" s="20" t="s">
        <v>111</v>
      </c>
      <c r="F23" s="9"/>
      <c r="G23" s="20" t="s">
        <v>626</v>
      </c>
      <c r="H23" s="9"/>
      <c r="I23" s="41" t="s">
        <v>733</v>
      </c>
      <c r="J23" s="41">
        <v>1.0</v>
      </c>
      <c r="K23" s="18"/>
      <c r="L23" s="18"/>
      <c r="M23" s="41" t="s">
        <v>734</v>
      </c>
      <c r="N23" s="41">
        <v>0.0</v>
      </c>
      <c r="O23" s="18"/>
      <c r="P23" s="18"/>
      <c r="Q23" s="41" t="s">
        <v>735</v>
      </c>
      <c r="R23" s="41">
        <v>0.0</v>
      </c>
      <c r="S23" s="18"/>
      <c r="T23" s="18"/>
      <c r="U23" s="41" t="s">
        <v>736</v>
      </c>
      <c r="V23" s="41">
        <v>0.0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>
      <c r="A24" s="7">
        <v>1334.0</v>
      </c>
      <c r="B24" s="8" t="s">
        <v>50</v>
      </c>
      <c r="C24" s="37" t="str">
        <f t="shared" si="1"/>
        <v>PMP-IOCL-01_BS VI MS</v>
      </c>
      <c r="D24" s="20" t="s">
        <v>737</v>
      </c>
      <c r="E24" s="20" t="s">
        <v>52</v>
      </c>
      <c r="F24" s="9"/>
      <c r="G24" s="20" t="s">
        <v>738</v>
      </c>
      <c r="H24" s="9"/>
      <c r="I24" s="41" t="s">
        <v>739</v>
      </c>
      <c r="J24" s="41">
        <v>1.0</v>
      </c>
      <c r="K24" s="18"/>
      <c r="L24" s="18"/>
      <c r="M24" s="41" t="s">
        <v>740</v>
      </c>
      <c r="N24" s="41">
        <v>0.0</v>
      </c>
      <c r="O24" s="9"/>
      <c r="P24" s="9"/>
      <c r="Q24" s="9"/>
      <c r="R24" s="9"/>
      <c r="S24" s="9"/>
      <c r="T24" s="9"/>
      <c r="U24" s="18"/>
      <c r="V24" s="18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>
      <c r="A25" s="7">
        <v>1334.0</v>
      </c>
      <c r="B25" s="8" t="s">
        <v>50</v>
      </c>
      <c r="C25" s="37" t="str">
        <f t="shared" si="1"/>
        <v>PMP-IOCL-02_BS VI MS</v>
      </c>
      <c r="D25" s="20" t="s">
        <v>741</v>
      </c>
      <c r="E25" s="20" t="s">
        <v>52</v>
      </c>
      <c r="F25" s="9"/>
      <c r="G25" s="20" t="s">
        <v>738</v>
      </c>
      <c r="H25" s="9"/>
      <c r="I25" s="41" t="s">
        <v>742</v>
      </c>
      <c r="J25" s="41">
        <v>1.0</v>
      </c>
      <c r="K25" s="18"/>
      <c r="L25" s="18"/>
      <c r="M25" s="41" t="s">
        <v>743</v>
      </c>
      <c r="N25" s="41">
        <v>0.0</v>
      </c>
      <c r="O25" s="9"/>
      <c r="P25" s="9"/>
      <c r="Q25" s="9"/>
      <c r="R25" s="9"/>
      <c r="S25" s="9"/>
      <c r="T25" s="9"/>
      <c r="U25" s="18"/>
      <c r="V25" s="18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>
      <c r="A26" s="7">
        <v>1334.0</v>
      </c>
      <c r="B26" s="8" t="s">
        <v>50</v>
      </c>
      <c r="C26" s="37" t="str">
        <f t="shared" si="1"/>
        <v>PMP-IOCL-03_BS VI HSD</v>
      </c>
      <c r="D26" s="20" t="s">
        <v>744</v>
      </c>
      <c r="E26" s="20" t="s">
        <v>184</v>
      </c>
      <c r="F26" s="9"/>
      <c r="G26" s="20" t="s">
        <v>738</v>
      </c>
      <c r="H26" s="9"/>
      <c r="I26" s="41" t="s">
        <v>745</v>
      </c>
      <c r="J26" s="41">
        <v>1.0</v>
      </c>
      <c r="K26" s="18"/>
      <c r="L26" s="18"/>
      <c r="M26" s="41" t="s">
        <v>746</v>
      </c>
      <c r="N26" s="41">
        <v>0.0</v>
      </c>
      <c r="O26" s="9"/>
      <c r="P26" s="9"/>
      <c r="Q26" s="9"/>
      <c r="R26" s="9"/>
      <c r="S26" s="9"/>
      <c r="T26" s="9"/>
      <c r="U26" s="18"/>
      <c r="V26" s="18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>
      <c r="A27" s="7">
        <v>1334.0</v>
      </c>
      <c r="B27" s="8" t="s">
        <v>50</v>
      </c>
      <c r="C27" s="37" t="str">
        <f t="shared" si="1"/>
        <v>PMP-IOCL-04_BS VI HSD</v>
      </c>
      <c r="D27" s="20" t="s">
        <v>747</v>
      </c>
      <c r="E27" s="20" t="s">
        <v>184</v>
      </c>
      <c r="F27" s="9"/>
      <c r="G27" s="20" t="s">
        <v>738</v>
      </c>
      <c r="H27" s="9"/>
      <c r="I27" s="41" t="s">
        <v>748</v>
      </c>
      <c r="J27" s="41">
        <v>1.0</v>
      </c>
      <c r="K27" s="18"/>
      <c r="L27" s="18"/>
      <c r="M27" s="41" t="s">
        <v>749</v>
      </c>
      <c r="N27" s="41">
        <v>0.0</v>
      </c>
      <c r="O27" s="9"/>
      <c r="P27" s="9"/>
      <c r="Q27" s="9"/>
      <c r="R27" s="9"/>
      <c r="S27" s="9"/>
      <c r="T27" s="9"/>
      <c r="U27" s="18"/>
      <c r="V27" s="18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>
      <c r="A28" s="7">
        <v>1334.0</v>
      </c>
      <c r="B28" s="8" t="s">
        <v>50</v>
      </c>
      <c r="C28" s="37" t="str">
        <f t="shared" si="1"/>
        <v>PMP-IOCL-05_BS VI HSD</v>
      </c>
      <c r="D28" s="20" t="s">
        <v>750</v>
      </c>
      <c r="E28" s="20" t="s">
        <v>184</v>
      </c>
      <c r="F28" s="9"/>
      <c r="G28" s="20" t="s">
        <v>738</v>
      </c>
      <c r="H28" s="9"/>
      <c r="I28" s="41" t="s">
        <v>751</v>
      </c>
      <c r="J28" s="41">
        <v>1.0</v>
      </c>
      <c r="K28" s="18"/>
      <c r="L28" s="18"/>
      <c r="M28" s="41" t="s">
        <v>752</v>
      </c>
      <c r="N28" s="41">
        <v>0.0</v>
      </c>
      <c r="O28" s="9"/>
      <c r="P28" s="9"/>
      <c r="Q28" s="9"/>
      <c r="R28" s="9"/>
      <c r="S28" s="9"/>
      <c r="T28" s="9"/>
      <c r="U28" s="18"/>
      <c r="V28" s="18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>
      <c r="A29" s="7">
        <v>1334.0</v>
      </c>
      <c r="B29" s="8" t="s">
        <v>50</v>
      </c>
      <c r="C29" s="37" t="str">
        <f t="shared" si="1"/>
        <v>PMP-IOCL-06_BS VI HSD</v>
      </c>
      <c r="D29" s="20" t="s">
        <v>753</v>
      </c>
      <c r="E29" s="20" t="s">
        <v>184</v>
      </c>
      <c r="F29" s="9"/>
      <c r="G29" s="20" t="s">
        <v>738</v>
      </c>
      <c r="H29" s="9"/>
      <c r="I29" s="41" t="s">
        <v>754</v>
      </c>
      <c r="J29" s="41">
        <v>1.0</v>
      </c>
      <c r="K29" s="18"/>
      <c r="L29" s="18"/>
      <c r="M29" s="41" t="s">
        <v>755</v>
      </c>
      <c r="N29" s="41">
        <v>0.0</v>
      </c>
      <c r="O29" s="9"/>
      <c r="P29" s="9"/>
      <c r="Q29" s="9"/>
      <c r="R29" s="9"/>
      <c r="S29" s="9"/>
      <c r="T29" s="9"/>
      <c r="U29" s="18"/>
      <c r="V29" s="18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>
      <c r="A30" s="7">
        <v>1334.0</v>
      </c>
      <c r="B30" s="8" t="s">
        <v>50</v>
      </c>
      <c r="C30" s="37" t="str">
        <f t="shared" si="1"/>
        <v>PMP-IOCL-07_BS VI HSD</v>
      </c>
      <c r="D30" s="20" t="s">
        <v>756</v>
      </c>
      <c r="E30" s="20" t="s">
        <v>184</v>
      </c>
      <c r="F30" s="9"/>
      <c r="G30" s="20" t="s">
        <v>738</v>
      </c>
      <c r="H30" s="9"/>
      <c r="I30" s="41" t="s">
        <v>757</v>
      </c>
      <c r="J30" s="41">
        <v>1.0</v>
      </c>
      <c r="K30" s="18"/>
      <c r="L30" s="18"/>
      <c r="M30" s="41" t="s">
        <v>758</v>
      </c>
      <c r="N30" s="41">
        <v>0.0</v>
      </c>
      <c r="O30" s="9"/>
      <c r="P30" s="9"/>
      <c r="Q30" s="9"/>
      <c r="R30" s="9"/>
      <c r="S30" s="9"/>
      <c r="T30" s="9"/>
      <c r="U30" s="18"/>
      <c r="V30" s="18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>
      <c r="A31" s="7">
        <v>1334.0</v>
      </c>
      <c r="B31" s="8" t="s">
        <v>50</v>
      </c>
      <c r="C31" s="37" t="str">
        <f t="shared" si="1"/>
        <v>VRU-PMP-01_BS IV HSD</v>
      </c>
      <c r="D31" s="20" t="s">
        <v>759</v>
      </c>
      <c r="E31" s="20" t="s">
        <v>760</v>
      </c>
      <c r="F31" s="9"/>
      <c r="G31" s="20" t="s">
        <v>761</v>
      </c>
      <c r="H31" s="9"/>
      <c r="I31" s="41" t="s">
        <v>762</v>
      </c>
      <c r="J31" s="41">
        <v>1.0</v>
      </c>
      <c r="K31" s="18"/>
      <c r="L31" s="18"/>
      <c r="M31" s="41" t="s">
        <v>763</v>
      </c>
      <c r="N31" s="41">
        <v>0.0</v>
      </c>
      <c r="O31" s="9"/>
      <c r="P31" s="9"/>
      <c r="Q31" s="9"/>
      <c r="R31" s="9"/>
      <c r="S31" s="9"/>
      <c r="T31" s="9"/>
      <c r="U31" s="41" t="s">
        <v>764</v>
      </c>
      <c r="V31" s="41">
        <v>0.0</v>
      </c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0</v>
      </c>
      <c r="B1" s="43" t="s">
        <v>1</v>
      </c>
      <c r="C1" s="43" t="s">
        <v>2</v>
      </c>
      <c r="D1" s="43" t="s">
        <v>613</v>
      </c>
      <c r="E1" s="43" t="s">
        <v>614</v>
      </c>
      <c r="F1" s="43" t="s">
        <v>615</v>
      </c>
      <c r="G1" s="43" t="s">
        <v>616</v>
      </c>
      <c r="H1" s="44" t="s">
        <v>617</v>
      </c>
      <c r="I1" s="44" t="s">
        <v>618</v>
      </c>
      <c r="J1" s="44" t="s">
        <v>8</v>
      </c>
      <c r="K1" s="44" t="s">
        <v>9</v>
      </c>
      <c r="L1" s="44" t="s">
        <v>619</v>
      </c>
      <c r="M1" s="44" t="s">
        <v>620</v>
      </c>
      <c r="N1" s="44" t="s">
        <v>8</v>
      </c>
      <c r="O1" s="44" t="s">
        <v>9</v>
      </c>
      <c r="P1" s="44" t="s">
        <v>621</v>
      </c>
      <c r="Q1" s="44" t="s">
        <v>622</v>
      </c>
      <c r="R1" s="44" t="s">
        <v>8</v>
      </c>
      <c r="S1" s="44" t="s">
        <v>9</v>
      </c>
      <c r="T1" s="44" t="s">
        <v>765</v>
      </c>
      <c r="U1" s="44" t="s">
        <v>766</v>
      </c>
      <c r="V1" s="44" t="s">
        <v>8</v>
      </c>
      <c r="W1" s="44" t="s">
        <v>9</v>
      </c>
      <c r="X1" s="44" t="s">
        <v>767</v>
      </c>
      <c r="Y1" s="44" t="s">
        <v>768</v>
      </c>
      <c r="Z1" s="44" t="s">
        <v>8</v>
      </c>
      <c r="AA1" s="44" t="s">
        <v>9</v>
      </c>
      <c r="AB1" s="44" t="s">
        <v>769</v>
      </c>
      <c r="AC1" s="44" t="s">
        <v>770</v>
      </c>
      <c r="AD1" s="44" t="s">
        <v>8</v>
      </c>
      <c r="AE1" s="44" t="s">
        <v>9</v>
      </c>
      <c r="AF1" s="44" t="s">
        <v>771</v>
      </c>
      <c r="AG1" s="44" t="s">
        <v>772</v>
      </c>
      <c r="AH1" s="44" t="s">
        <v>8</v>
      </c>
      <c r="AI1" s="44" t="s">
        <v>9</v>
      </c>
      <c r="AJ1" s="44" t="s">
        <v>773</v>
      </c>
      <c r="AK1" s="44" t="s">
        <v>774</v>
      </c>
      <c r="AL1" s="44" t="s">
        <v>8</v>
      </c>
      <c r="AM1" s="44" t="s">
        <v>9</v>
      </c>
      <c r="AN1" s="44" t="s">
        <v>775</v>
      </c>
      <c r="AO1" s="44" t="s">
        <v>776</v>
      </c>
      <c r="AP1" s="44" t="s">
        <v>8</v>
      </c>
      <c r="AQ1" s="44" t="s">
        <v>9</v>
      </c>
      <c r="AR1" s="44" t="s">
        <v>777</v>
      </c>
      <c r="AS1" s="44" t="s">
        <v>778</v>
      </c>
      <c r="AT1" s="44" t="s">
        <v>8</v>
      </c>
      <c r="AU1" s="44" t="s">
        <v>9</v>
      </c>
      <c r="AV1" s="44" t="s">
        <v>779</v>
      </c>
      <c r="AW1" s="44" t="s">
        <v>780</v>
      </c>
      <c r="AX1" s="44" t="s">
        <v>8</v>
      </c>
      <c r="AY1" s="44" t="s">
        <v>9</v>
      </c>
    </row>
    <row r="2">
      <c r="A2" s="7">
        <v>1334.0</v>
      </c>
      <c r="B2" s="8" t="s">
        <v>50</v>
      </c>
      <c r="C2" s="16" t="str">
        <f t="shared" ref="C2:C8" si="1">CONCATENATE(D2,"_",E2,"_",G2)</f>
        <v>FWP-01_Water_DISPATCH</v>
      </c>
      <c r="D2" s="45" t="s">
        <v>781</v>
      </c>
      <c r="E2" s="45" t="s">
        <v>782</v>
      </c>
      <c r="F2" s="45" t="s">
        <v>783</v>
      </c>
      <c r="G2" s="16" t="s">
        <v>784</v>
      </c>
      <c r="H2" s="41" t="s">
        <v>785</v>
      </c>
      <c r="I2" s="41">
        <v>1.0</v>
      </c>
      <c r="J2" s="18"/>
      <c r="K2" s="18"/>
      <c r="L2" s="41" t="s">
        <v>786</v>
      </c>
      <c r="M2" s="41">
        <v>0.0</v>
      </c>
      <c r="N2" s="18"/>
      <c r="O2" s="18"/>
      <c r="P2" s="41" t="s">
        <v>787</v>
      </c>
      <c r="Q2" s="41">
        <v>0.0</v>
      </c>
      <c r="R2" s="18"/>
      <c r="S2" s="18"/>
      <c r="T2" s="18"/>
      <c r="U2" s="18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41" t="s">
        <v>788</v>
      </c>
      <c r="AS2" s="41">
        <v>0.0</v>
      </c>
      <c r="AT2" s="18"/>
      <c r="AU2" s="18"/>
      <c r="AV2" s="41" t="s">
        <v>789</v>
      </c>
      <c r="AW2" s="41">
        <v>0.0</v>
      </c>
      <c r="AX2" s="9"/>
      <c r="AY2" s="9"/>
    </row>
    <row r="3">
      <c r="A3" s="7">
        <v>1334.0</v>
      </c>
      <c r="B3" s="8" t="s">
        <v>50</v>
      </c>
      <c r="C3" s="16" t="str">
        <f t="shared" si="1"/>
        <v>FWP-02_Water_DISPATCH</v>
      </c>
      <c r="D3" s="45" t="s">
        <v>790</v>
      </c>
      <c r="E3" s="45" t="s">
        <v>782</v>
      </c>
      <c r="F3" s="45" t="s">
        <v>783</v>
      </c>
      <c r="G3" s="16" t="s">
        <v>784</v>
      </c>
      <c r="H3" s="41" t="s">
        <v>791</v>
      </c>
      <c r="I3" s="41">
        <v>1.0</v>
      </c>
      <c r="J3" s="18"/>
      <c r="K3" s="18"/>
      <c r="L3" s="41" t="s">
        <v>792</v>
      </c>
      <c r="M3" s="41">
        <v>0.0</v>
      </c>
      <c r="N3" s="18"/>
      <c r="O3" s="18"/>
      <c r="P3" s="41" t="s">
        <v>793</v>
      </c>
      <c r="Q3" s="41">
        <v>0.0</v>
      </c>
      <c r="R3" s="18"/>
      <c r="S3" s="18"/>
      <c r="T3" s="18"/>
      <c r="U3" s="18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41" t="s">
        <v>794</v>
      </c>
      <c r="AS3" s="41">
        <v>0.0</v>
      </c>
      <c r="AT3" s="18"/>
      <c r="AU3" s="18"/>
      <c r="AV3" s="41" t="s">
        <v>795</v>
      </c>
      <c r="AW3" s="41">
        <v>0.0</v>
      </c>
      <c r="AX3" s="9"/>
      <c r="AY3" s="9"/>
    </row>
    <row r="4">
      <c r="A4" s="7">
        <v>1334.0</v>
      </c>
      <c r="B4" s="8" t="s">
        <v>50</v>
      </c>
      <c r="C4" s="16" t="str">
        <f t="shared" si="1"/>
        <v>FWP-03_Water_DISPATCH</v>
      </c>
      <c r="D4" s="45" t="s">
        <v>796</v>
      </c>
      <c r="E4" s="45" t="s">
        <v>782</v>
      </c>
      <c r="F4" s="45" t="s">
        <v>783</v>
      </c>
      <c r="G4" s="16" t="s">
        <v>784</v>
      </c>
      <c r="H4" s="41" t="s">
        <v>797</v>
      </c>
      <c r="I4" s="41">
        <v>1.0</v>
      </c>
      <c r="J4" s="18"/>
      <c r="K4" s="18"/>
      <c r="L4" s="41" t="s">
        <v>798</v>
      </c>
      <c r="M4" s="41">
        <v>0.0</v>
      </c>
      <c r="N4" s="18"/>
      <c r="O4" s="18"/>
      <c r="P4" s="41" t="s">
        <v>799</v>
      </c>
      <c r="Q4" s="41">
        <v>0.0</v>
      </c>
      <c r="R4" s="18"/>
      <c r="S4" s="18"/>
      <c r="T4" s="18"/>
      <c r="U4" s="18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41" t="s">
        <v>800</v>
      </c>
      <c r="AS4" s="41">
        <v>0.0</v>
      </c>
      <c r="AT4" s="18"/>
      <c r="AU4" s="18"/>
      <c r="AV4" s="41" t="s">
        <v>801</v>
      </c>
      <c r="AW4" s="41">
        <v>0.0</v>
      </c>
      <c r="AX4" s="9"/>
      <c r="AY4" s="9"/>
    </row>
    <row r="5">
      <c r="A5" s="7">
        <v>1334.0</v>
      </c>
      <c r="B5" s="8" t="s">
        <v>50</v>
      </c>
      <c r="C5" s="16" t="str">
        <f t="shared" si="1"/>
        <v>JCY-01_Jockey_DISPATCH</v>
      </c>
      <c r="D5" s="45" t="s">
        <v>802</v>
      </c>
      <c r="E5" s="45" t="s">
        <v>803</v>
      </c>
      <c r="F5" s="45" t="s">
        <v>783</v>
      </c>
      <c r="G5" s="16" t="s">
        <v>784</v>
      </c>
      <c r="H5" s="41" t="s">
        <v>804</v>
      </c>
      <c r="I5" s="41">
        <v>1.0</v>
      </c>
      <c r="J5" s="18"/>
      <c r="K5" s="18"/>
      <c r="L5" s="41" t="s">
        <v>805</v>
      </c>
      <c r="M5" s="41">
        <v>0.0</v>
      </c>
      <c r="N5" s="18"/>
      <c r="O5" s="18"/>
      <c r="P5" s="41" t="s">
        <v>806</v>
      </c>
      <c r="Q5" s="41">
        <v>0.0</v>
      </c>
      <c r="R5" s="18"/>
      <c r="S5" s="18"/>
      <c r="T5" s="18"/>
      <c r="U5" s="18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41" t="s">
        <v>807</v>
      </c>
      <c r="AO5" s="41">
        <v>0.0</v>
      </c>
      <c r="AP5" s="9"/>
      <c r="AQ5" s="9"/>
      <c r="AR5" s="9"/>
      <c r="AS5" s="9"/>
      <c r="AT5" s="9"/>
      <c r="AU5" s="9"/>
      <c r="AV5" s="9"/>
      <c r="AW5" s="9"/>
      <c r="AX5" s="9"/>
      <c r="AY5" s="9"/>
    </row>
    <row r="6">
      <c r="A6" s="7">
        <v>1334.0</v>
      </c>
      <c r="B6" s="8" t="s">
        <v>50</v>
      </c>
      <c r="C6" s="16" t="str">
        <f t="shared" si="1"/>
        <v>JCY-02_Jockey_DISPATCH</v>
      </c>
      <c r="D6" s="45" t="s">
        <v>808</v>
      </c>
      <c r="E6" s="45" t="s">
        <v>803</v>
      </c>
      <c r="F6" s="45" t="s">
        <v>783</v>
      </c>
      <c r="G6" s="16" t="s">
        <v>784</v>
      </c>
      <c r="H6" s="41" t="s">
        <v>809</v>
      </c>
      <c r="I6" s="41">
        <v>1.0</v>
      </c>
      <c r="J6" s="18"/>
      <c r="K6" s="18"/>
      <c r="L6" s="41" t="s">
        <v>810</v>
      </c>
      <c r="M6" s="41">
        <v>0.0</v>
      </c>
      <c r="N6" s="18"/>
      <c r="O6" s="18"/>
      <c r="P6" s="41" t="s">
        <v>811</v>
      </c>
      <c r="Q6" s="41">
        <v>0.0</v>
      </c>
      <c r="R6" s="18"/>
      <c r="S6" s="18"/>
      <c r="T6" s="18"/>
      <c r="U6" s="18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41" t="s">
        <v>812</v>
      </c>
      <c r="AO6" s="41">
        <v>0.0</v>
      </c>
      <c r="AP6" s="9"/>
      <c r="AQ6" s="9"/>
      <c r="AR6" s="9"/>
      <c r="AS6" s="9"/>
      <c r="AT6" s="9"/>
      <c r="AU6" s="9"/>
      <c r="AV6" s="9"/>
      <c r="AW6" s="9"/>
      <c r="AX6" s="9"/>
      <c r="AY6" s="9"/>
    </row>
    <row r="7">
      <c r="A7" s="7">
        <v>1334.0</v>
      </c>
      <c r="B7" s="8" t="s">
        <v>50</v>
      </c>
      <c r="C7" s="16" t="str">
        <f t="shared" si="1"/>
        <v>FARTHEST_POINT_PT</v>
      </c>
      <c r="D7" s="21" t="s">
        <v>813</v>
      </c>
      <c r="E7" s="9" t="s">
        <v>814</v>
      </c>
      <c r="F7" s="9"/>
      <c r="G7" s="9" t="s">
        <v>815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8" t="s">
        <v>816</v>
      </c>
      <c r="U7" s="41">
        <v>0.0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>
      <c r="A8" s="7">
        <v>1334.0</v>
      </c>
      <c r="B8" s="8" t="s">
        <v>50</v>
      </c>
      <c r="C8" s="16" t="str">
        <f t="shared" si="1"/>
        <v>NEAREST_POINT_PT</v>
      </c>
      <c r="D8" s="21" t="s">
        <v>817</v>
      </c>
      <c r="E8" s="9" t="s">
        <v>814</v>
      </c>
      <c r="F8" s="9"/>
      <c r="G8" s="9" t="s">
        <v>815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8" t="s">
        <v>818</v>
      </c>
      <c r="U8" s="41">
        <v>0.0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0</v>
      </c>
      <c r="B1" s="46" t="s">
        <v>1</v>
      </c>
      <c r="C1" s="32" t="s">
        <v>2</v>
      </c>
      <c r="D1" s="32" t="s">
        <v>819</v>
      </c>
      <c r="E1" s="32" t="s">
        <v>1</v>
      </c>
      <c r="F1" s="34" t="s">
        <v>820</v>
      </c>
      <c r="G1" s="35" t="s">
        <v>821</v>
      </c>
      <c r="H1" s="35" t="s">
        <v>8</v>
      </c>
      <c r="I1" s="35" t="s">
        <v>9</v>
      </c>
      <c r="J1" s="34" t="s">
        <v>822</v>
      </c>
      <c r="K1" s="35" t="s">
        <v>823</v>
      </c>
      <c r="L1" s="35" t="s">
        <v>8</v>
      </c>
      <c r="M1" s="35" t="s">
        <v>9</v>
      </c>
      <c r="N1" s="34" t="s">
        <v>824</v>
      </c>
      <c r="O1" s="35" t="s">
        <v>825</v>
      </c>
      <c r="P1" s="35" t="s">
        <v>8</v>
      </c>
      <c r="Q1" s="35" t="s">
        <v>9</v>
      </c>
      <c r="R1" s="34" t="s">
        <v>826</v>
      </c>
      <c r="S1" s="35" t="s">
        <v>827</v>
      </c>
      <c r="T1" s="35" t="s">
        <v>8</v>
      </c>
      <c r="U1" s="35" t="s">
        <v>9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>
      <c r="A2" s="7">
        <v>1334.0</v>
      </c>
      <c r="B2" s="8" t="s">
        <v>50</v>
      </c>
      <c r="C2" s="9" t="str">
        <f t="shared" ref="C2:C3" si="1">CONCATENATE(D2,"_",E2)</f>
        <v>UPS-01_Control Room</v>
      </c>
      <c r="D2" s="45" t="s">
        <v>828</v>
      </c>
      <c r="E2" s="47" t="s">
        <v>829</v>
      </c>
      <c r="F2" s="14" t="s">
        <v>830</v>
      </c>
      <c r="G2" s="14">
        <v>0.0</v>
      </c>
      <c r="H2" s="9"/>
      <c r="I2" s="9"/>
      <c r="J2" s="14" t="s">
        <v>831</v>
      </c>
      <c r="K2" s="14">
        <v>0.0</v>
      </c>
      <c r="L2" s="9"/>
      <c r="M2" s="9"/>
      <c r="N2" s="14" t="s">
        <v>832</v>
      </c>
      <c r="O2" s="14">
        <v>0.0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>
      <c r="A3" s="7">
        <v>1334.0</v>
      </c>
      <c r="B3" s="8" t="s">
        <v>50</v>
      </c>
      <c r="C3" s="9" t="str">
        <f t="shared" si="1"/>
        <v>UPS-02_Control Room</v>
      </c>
      <c r="D3" s="45" t="s">
        <v>833</v>
      </c>
      <c r="E3" s="47" t="s">
        <v>829</v>
      </c>
      <c r="F3" s="14" t="s">
        <v>834</v>
      </c>
      <c r="G3" s="14">
        <v>0.0</v>
      </c>
      <c r="H3" s="9"/>
      <c r="I3" s="9"/>
      <c r="J3" s="14" t="s">
        <v>835</v>
      </c>
      <c r="K3" s="14">
        <v>0.0</v>
      </c>
      <c r="L3" s="9"/>
      <c r="M3" s="9"/>
      <c r="N3" s="14" t="s">
        <v>836</v>
      </c>
      <c r="O3" s="14">
        <v>0.0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0</v>
      </c>
      <c r="B1" s="46" t="s">
        <v>1</v>
      </c>
      <c r="C1" s="32" t="s">
        <v>2</v>
      </c>
      <c r="D1" s="32" t="s">
        <v>837</v>
      </c>
      <c r="E1" s="32" t="s">
        <v>1</v>
      </c>
      <c r="F1" s="34" t="s">
        <v>838</v>
      </c>
      <c r="G1" s="35" t="s">
        <v>839</v>
      </c>
      <c r="H1" s="34" t="s">
        <v>8</v>
      </c>
      <c r="I1" s="34" t="s">
        <v>537</v>
      </c>
      <c r="J1" s="34" t="s">
        <v>840</v>
      </c>
      <c r="K1" s="35" t="s">
        <v>841</v>
      </c>
      <c r="L1" s="34" t="s">
        <v>8</v>
      </c>
      <c r="M1" s="34" t="s">
        <v>9</v>
      </c>
      <c r="N1" s="34" t="s">
        <v>842</v>
      </c>
      <c r="O1" s="35" t="s">
        <v>843</v>
      </c>
      <c r="P1" s="34" t="s">
        <v>536</v>
      </c>
      <c r="Q1" s="34" t="s">
        <v>9</v>
      </c>
      <c r="R1" s="34" t="s">
        <v>844</v>
      </c>
      <c r="S1" s="35" t="s">
        <v>845</v>
      </c>
      <c r="T1" s="34" t="s">
        <v>8</v>
      </c>
      <c r="U1" s="34" t="s">
        <v>846</v>
      </c>
      <c r="V1" s="34" t="s">
        <v>847</v>
      </c>
      <c r="W1" s="35" t="s">
        <v>848</v>
      </c>
      <c r="X1" s="34" t="s">
        <v>536</v>
      </c>
      <c r="Y1" s="34" t="s">
        <v>9</v>
      </c>
      <c r="Z1" s="34" t="s">
        <v>849</v>
      </c>
      <c r="AA1" s="35" t="s">
        <v>850</v>
      </c>
      <c r="AB1" s="34" t="s">
        <v>8</v>
      </c>
      <c r="AC1" s="34" t="s">
        <v>9</v>
      </c>
    </row>
    <row r="2">
      <c r="A2" s="7">
        <v>1334.0</v>
      </c>
      <c r="B2" s="8" t="s">
        <v>50</v>
      </c>
      <c r="C2" s="16" t="str">
        <f t="shared" ref="C2:C3" si="1">CONCATENATE(D2,"_",E2)</f>
        <v>GEPLC_Process PLC</v>
      </c>
      <c r="D2" s="16" t="s">
        <v>851</v>
      </c>
      <c r="E2" s="47" t="s">
        <v>852</v>
      </c>
      <c r="F2" s="48" t="s">
        <v>853</v>
      </c>
      <c r="G2" s="14">
        <v>1.0</v>
      </c>
      <c r="H2" s="14" t="s">
        <v>854</v>
      </c>
      <c r="I2" s="14" t="s">
        <v>855</v>
      </c>
      <c r="J2" s="48" t="s">
        <v>856</v>
      </c>
      <c r="K2" s="14">
        <v>1.0</v>
      </c>
      <c r="L2" s="14" t="s">
        <v>854</v>
      </c>
      <c r="M2" s="14" t="s">
        <v>857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7">
        <v>1334.0</v>
      </c>
      <c r="B3" s="8" t="s">
        <v>50</v>
      </c>
      <c r="C3" s="16" t="str">
        <f t="shared" si="1"/>
        <v>SFT PLC_Safety PLC</v>
      </c>
      <c r="D3" s="16" t="s">
        <v>858</v>
      </c>
      <c r="E3" s="47" t="s">
        <v>859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49" t="s">
        <v>1</v>
      </c>
      <c r="C1" s="32" t="s">
        <v>2</v>
      </c>
      <c r="D1" s="32" t="s">
        <v>860</v>
      </c>
      <c r="E1" s="32" t="s">
        <v>861</v>
      </c>
      <c r="F1" s="32" t="s">
        <v>1</v>
      </c>
      <c r="G1" s="34" t="s">
        <v>862</v>
      </c>
      <c r="H1" s="35" t="s">
        <v>863</v>
      </c>
      <c r="I1" s="35" t="s">
        <v>8</v>
      </c>
      <c r="J1" s="35" t="s">
        <v>9</v>
      </c>
      <c r="K1" s="34" t="s">
        <v>864</v>
      </c>
      <c r="L1" s="35" t="s">
        <v>865</v>
      </c>
      <c r="M1" s="35" t="s">
        <v>8</v>
      </c>
      <c r="N1" s="35" t="s">
        <v>9</v>
      </c>
      <c r="O1" s="34" t="s">
        <v>866</v>
      </c>
      <c r="P1" s="35" t="s">
        <v>867</v>
      </c>
      <c r="Q1" s="35" t="s">
        <v>8</v>
      </c>
      <c r="R1" s="35" t="s">
        <v>9</v>
      </c>
      <c r="S1" s="34" t="s">
        <v>868</v>
      </c>
      <c r="T1" s="35" t="s">
        <v>869</v>
      </c>
      <c r="U1" s="35" t="s">
        <v>8</v>
      </c>
      <c r="V1" s="35" t="s">
        <v>9</v>
      </c>
      <c r="W1" s="34" t="s">
        <v>870</v>
      </c>
      <c r="X1" s="35" t="s">
        <v>871</v>
      </c>
      <c r="Y1" s="35" t="s">
        <v>8</v>
      </c>
      <c r="Z1" s="35" t="s">
        <v>9</v>
      </c>
      <c r="AA1" s="50" t="s">
        <v>872</v>
      </c>
      <c r="AB1" s="34" t="s">
        <v>7</v>
      </c>
      <c r="AC1" s="35" t="s">
        <v>8</v>
      </c>
      <c r="AD1" s="35" t="s">
        <v>9</v>
      </c>
      <c r="AE1" s="9"/>
      <c r="AF1" s="9"/>
      <c r="AG1" s="9"/>
      <c r="AH1" s="9"/>
      <c r="AI1" s="9"/>
      <c r="AJ1" s="9"/>
      <c r="AK1" s="9"/>
    </row>
    <row r="2">
      <c r="A2" s="7">
        <v>1334.0</v>
      </c>
      <c r="B2" s="8" t="s">
        <v>50</v>
      </c>
      <c r="C2" s="16" t="str">
        <f t="shared" ref="C2:C10" si="1">CONCATENATE(D2,"_",E2,"_",F2)</f>
        <v>HDS-01_OP-HCD-AT-PUMPHOUSE_OPEN TYPE AT PUMP HOUSE 1</v>
      </c>
      <c r="D2" s="20" t="s">
        <v>873</v>
      </c>
      <c r="E2" s="20" t="s">
        <v>874</v>
      </c>
      <c r="F2" s="20" t="s">
        <v>875</v>
      </c>
      <c r="G2" s="38" t="s">
        <v>876</v>
      </c>
      <c r="H2" s="38">
        <v>0.0</v>
      </c>
      <c r="I2" s="9"/>
      <c r="J2" s="9"/>
      <c r="K2" s="14" t="s">
        <v>877</v>
      </c>
      <c r="L2" s="38">
        <v>0.0</v>
      </c>
      <c r="M2" s="39"/>
      <c r="N2" s="39"/>
      <c r="O2" s="38" t="s">
        <v>878</v>
      </c>
      <c r="P2" s="38">
        <v>0.0</v>
      </c>
      <c r="Q2" s="39"/>
      <c r="R2" s="39"/>
      <c r="S2" s="38" t="s">
        <v>879</v>
      </c>
      <c r="T2" s="38">
        <v>0.0</v>
      </c>
      <c r="U2" s="39"/>
      <c r="V2" s="39"/>
      <c r="W2" s="38" t="s">
        <v>880</v>
      </c>
      <c r="X2" s="38">
        <v>0.0</v>
      </c>
      <c r="Y2" s="51"/>
      <c r="Z2" s="51"/>
      <c r="AA2" s="12" t="s">
        <v>881</v>
      </c>
      <c r="AB2" s="7">
        <v>0.0</v>
      </c>
      <c r="AC2" s="9"/>
      <c r="AD2" s="9"/>
      <c r="AE2" s="9"/>
      <c r="AF2" s="9"/>
      <c r="AG2" s="9"/>
      <c r="AH2" s="9"/>
      <c r="AI2" s="9"/>
      <c r="AJ2" s="9"/>
      <c r="AK2" s="9"/>
    </row>
    <row r="3">
      <c r="A3" s="7">
        <v>1334.0</v>
      </c>
      <c r="B3" s="8" t="s">
        <v>50</v>
      </c>
      <c r="C3" s="16" t="str">
        <f t="shared" si="1"/>
        <v>HDS-02_OP-HCD-NEAR-TK1-2_OPEN TYPE AT MS DYKE1 NEAR TK1-2</v>
      </c>
      <c r="D3" s="20" t="s">
        <v>882</v>
      </c>
      <c r="E3" s="20" t="s">
        <v>883</v>
      </c>
      <c r="F3" s="20" t="s">
        <v>884</v>
      </c>
      <c r="G3" s="41" t="s">
        <v>885</v>
      </c>
      <c r="H3" s="41">
        <v>0.0</v>
      </c>
      <c r="I3" s="9"/>
      <c r="J3" s="9"/>
      <c r="K3" s="14" t="s">
        <v>886</v>
      </c>
      <c r="L3" s="41">
        <v>0.0</v>
      </c>
      <c r="M3" s="18"/>
      <c r="N3" s="18"/>
      <c r="O3" s="41" t="s">
        <v>887</v>
      </c>
      <c r="P3" s="41">
        <v>0.0</v>
      </c>
      <c r="Q3" s="18"/>
      <c r="R3" s="18"/>
      <c r="S3" s="41" t="s">
        <v>888</v>
      </c>
      <c r="T3" s="41">
        <v>0.0</v>
      </c>
      <c r="U3" s="18"/>
      <c r="V3" s="18"/>
      <c r="W3" s="41" t="s">
        <v>889</v>
      </c>
      <c r="X3" s="41">
        <v>0.0</v>
      </c>
      <c r="Y3" s="51"/>
      <c r="Z3" s="51"/>
      <c r="AA3" s="12" t="s">
        <v>881</v>
      </c>
      <c r="AB3" s="7">
        <v>0.0</v>
      </c>
      <c r="AC3" s="9"/>
      <c r="AD3" s="9"/>
      <c r="AE3" s="9"/>
      <c r="AF3" s="9"/>
      <c r="AG3" s="9"/>
      <c r="AH3" s="9"/>
      <c r="AI3" s="9"/>
      <c r="AJ3" s="9"/>
      <c r="AK3" s="9"/>
    </row>
    <row r="4">
      <c r="A4" s="7">
        <v>1334.0</v>
      </c>
      <c r="B4" s="8" t="s">
        <v>50</v>
      </c>
      <c r="C4" s="16" t="str">
        <f t="shared" si="1"/>
        <v>HDS-03_OP-HCD-NEAR-TK16-17_OPEN TYPE AT MS DYKE1 NEAR TK16-17</v>
      </c>
      <c r="D4" s="20" t="s">
        <v>890</v>
      </c>
      <c r="E4" s="20" t="s">
        <v>891</v>
      </c>
      <c r="F4" s="20" t="s">
        <v>892</v>
      </c>
      <c r="G4" s="41" t="s">
        <v>893</v>
      </c>
      <c r="H4" s="41">
        <v>0.0</v>
      </c>
      <c r="I4" s="9"/>
      <c r="J4" s="9"/>
      <c r="K4" s="14" t="s">
        <v>894</v>
      </c>
      <c r="L4" s="41">
        <v>0.0</v>
      </c>
      <c r="M4" s="18"/>
      <c r="N4" s="18"/>
      <c r="O4" s="41" t="s">
        <v>895</v>
      </c>
      <c r="P4" s="41">
        <v>0.0</v>
      </c>
      <c r="Q4" s="18"/>
      <c r="R4" s="18"/>
      <c r="S4" s="41" t="s">
        <v>896</v>
      </c>
      <c r="T4" s="41">
        <v>0.0</v>
      </c>
      <c r="U4" s="18"/>
      <c r="V4" s="18"/>
      <c r="W4" s="41" t="s">
        <v>897</v>
      </c>
      <c r="X4" s="41">
        <v>0.0</v>
      </c>
      <c r="Y4" s="51"/>
      <c r="Z4" s="51"/>
      <c r="AA4" s="12" t="s">
        <v>881</v>
      </c>
      <c r="AB4" s="7">
        <v>0.0</v>
      </c>
      <c r="AC4" s="9"/>
      <c r="AD4" s="9"/>
      <c r="AE4" s="9"/>
      <c r="AF4" s="9"/>
      <c r="AG4" s="9"/>
      <c r="AH4" s="9"/>
      <c r="AI4" s="9"/>
      <c r="AJ4" s="9"/>
      <c r="AK4" s="9"/>
    </row>
    <row r="5">
      <c r="A5" s="7">
        <v>1334.0</v>
      </c>
      <c r="B5" s="8" t="s">
        <v>50</v>
      </c>
      <c r="C5" s="16" t="str">
        <f t="shared" si="1"/>
        <v>HDS-04_OP-HCD-NEAR-TK15_OPEN TYPE AT MS DYKE 2 NEAR TK15</v>
      </c>
      <c r="D5" s="20" t="s">
        <v>898</v>
      </c>
      <c r="E5" s="20" t="s">
        <v>899</v>
      </c>
      <c r="F5" s="20" t="s">
        <v>900</v>
      </c>
      <c r="G5" s="41" t="s">
        <v>901</v>
      </c>
      <c r="H5" s="41">
        <v>0.0</v>
      </c>
      <c r="I5" s="9"/>
      <c r="J5" s="9"/>
      <c r="K5" s="14" t="s">
        <v>902</v>
      </c>
      <c r="L5" s="41">
        <v>0.0</v>
      </c>
      <c r="M5" s="18"/>
      <c r="N5" s="18"/>
      <c r="O5" s="41" t="s">
        <v>903</v>
      </c>
      <c r="P5" s="41">
        <v>0.0</v>
      </c>
      <c r="Q5" s="18"/>
      <c r="R5" s="18"/>
      <c r="S5" s="41" t="s">
        <v>904</v>
      </c>
      <c r="T5" s="41">
        <v>0.0</v>
      </c>
      <c r="U5" s="18"/>
      <c r="V5" s="18"/>
      <c r="W5" s="41" t="s">
        <v>905</v>
      </c>
      <c r="X5" s="41">
        <v>0.0</v>
      </c>
      <c r="Y5" s="51"/>
      <c r="Z5" s="51"/>
      <c r="AA5" s="12" t="s">
        <v>881</v>
      </c>
      <c r="AB5" s="7">
        <v>0.0</v>
      </c>
      <c r="AC5" s="9"/>
      <c r="AD5" s="9"/>
      <c r="AE5" s="9"/>
      <c r="AF5" s="9"/>
      <c r="AG5" s="9"/>
      <c r="AH5" s="9"/>
      <c r="AI5" s="9"/>
      <c r="AJ5" s="9"/>
      <c r="AK5" s="9"/>
    </row>
    <row r="6">
      <c r="A6" s="7">
        <v>1334.0</v>
      </c>
      <c r="B6" s="8" t="s">
        <v>50</v>
      </c>
      <c r="C6" s="16" t="str">
        <f t="shared" si="1"/>
        <v>HDS-05_P-HCD-NEAR-TK17_FIXED HCD AT MS DYKE4 NEAR TK17</v>
      </c>
      <c r="D6" s="20" t="s">
        <v>906</v>
      </c>
      <c r="E6" s="20" t="s">
        <v>907</v>
      </c>
      <c r="F6" s="20" t="s">
        <v>908</v>
      </c>
      <c r="G6" s="41" t="s">
        <v>909</v>
      </c>
      <c r="H6" s="41">
        <v>0.0</v>
      </c>
      <c r="I6" s="9"/>
      <c r="J6" s="9"/>
      <c r="K6" s="14" t="s">
        <v>910</v>
      </c>
      <c r="L6" s="41">
        <v>0.0</v>
      </c>
      <c r="M6" s="18"/>
      <c r="N6" s="18"/>
      <c r="O6" s="41" t="s">
        <v>911</v>
      </c>
      <c r="P6" s="41">
        <v>0.0</v>
      </c>
      <c r="Q6" s="18"/>
      <c r="R6" s="18"/>
      <c r="S6" s="41" t="s">
        <v>912</v>
      </c>
      <c r="T6" s="41">
        <v>0.0</v>
      </c>
      <c r="U6" s="18"/>
      <c r="V6" s="18"/>
      <c r="W6" s="41" t="s">
        <v>913</v>
      </c>
      <c r="X6" s="41">
        <v>0.0</v>
      </c>
      <c r="Y6" s="51"/>
      <c r="Z6" s="51"/>
      <c r="AA6" s="12" t="s">
        <v>881</v>
      </c>
      <c r="AB6" s="7">
        <v>0.0</v>
      </c>
      <c r="AC6" s="9"/>
      <c r="AD6" s="9"/>
      <c r="AE6" s="9"/>
      <c r="AF6" s="9"/>
      <c r="AG6" s="9"/>
      <c r="AH6" s="9"/>
      <c r="AI6" s="9"/>
      <c r="AJ6" s="9"/>
      <c r="AK6" s="9"/>
    </row>
    <row r="7">
      <c r="A7" s="7">
        <v>1334.0</v>
      </c>
      <c r="B7" s="8" t="s">
        <v>50</v>
      </c>
      <c r="C7" s="16" t="str">
        <f t="shared" si="1"/>
        <v>HDS-06_OP-HCD-NEAR-TK12-26_OPEN TYPE NEAR AT MS DYKE1 NEAR TK12-26</v>
      </c>
      <c r="D7" s="20" t="s">
        <v>914</v>
      </c>
      <c r="E7" s="20" t="s">
        <v>915</v>
      </c>
      <c r="F7" s="20" t="s">
        <v>916</v>
      </c>
      <c r="G7" s="41" t="s">
        <v>917</v>
      </c>
      <c r="H7" s="41">
        <v>0.0</v>
      </c>
      <c r="I7" s="9"/>
      <c r="J7" s="9"/>
      <c r="K7" s="14" t="s">
        <v>918</v>
      </c>
      <c r="L7" s="41">
        <v>0.0</v>
      </c>
      <c r="M7" s="18"/>
      <c r="N7" s="18"/>
      <c r="O7" s="41" t="s">
        <v>919</v>
      </c>
      <c r="P7" s="41">
        <v>0.0</v>
      </c>
      <c r="Q7" s="18"/>
      <c r="R7" s="18"/>
      <c r="S7" s="41" t="s">
        <v>920</v>
      </c>
      <c r="T7" s="41">
        <v>0.0</v>
      </c>
      <c r="U7" s="18"/>
      <c r="V7" s="18"/>
      <c r="W7" s="41" t="s">
        <v>921</v>
      </c>
      <c r="X7" s="41">
        <v>0.0</v>
      </c>
      <c r="Y7" s="51"/>
      <c r="Z7" s="51"/>
      <c r="AA7" s="12" t="s">
        <v>881</v>
      </c>
      <c r="AB7" s="7">
        <v>0.0</v>
      </c>
      <c r="AC7" s="9"/>
      <c r="AD7" s="9"/>
      <c r="AE7" s="9"/>
      <c r="AF7" s="9"/>
      <c r="AG7" s="9"/>
      <c r="AH7" s="9"/>
      <c r="AI7" s="9"/>
      <c r="AJ7" s="9"/>
      <c r="AK7" s="9"/>
    </row>
    <row r="8">
      <c r="A8" s="7">
        <v>1334.0</v>
      </c>
      <c r="B8" s="8" t="s">
        <v>50</v>
      </c>
      <c r="C8" s="16" t="str">
        <f t="shared" si="1"/>
        <v>HDS-07_P-HCD-NEAR-TK26_FIXED TYPE MS DYKE1 NEAR TK26</v>
      </c>
      <c r="D8" s="20" t="s">
        <v>922</v>
      </c>
      <c r="E8" s="20" t="s">
        <v>923</v>
      </c>
      <c r="F8" s="20" t="s">
        <v>924</v>
      </c>
      <c r="G8" s="41" t="s">
        <v>925</v>
      </c>
      <c r="H8" s="41">
        <v>0.0</v>
      </c>
      <c r="I8" s="9"/>
      <c r="J8" s="9"/>
      <c r="K8" s="14" t="s">
        <v>926</v>
      </c>
      <c r="L8" s="41">
        <v>0.0</v>
      </c>
      <c r="M8" s="18"/>
      <c r="N8" s="18"/>
      <c r="O8" s="41" t="s">
        <v>927</v>
      </c>
      <c r="P8" s="41">
        <v>0.0</v>
      </c>
      <c r="Q8" s="18"/>
      <c r="R8" s="18"/>
      <c r="S8" s="41" t="s">
        <v>928</v>
      </c>
      <c r="T8" s="41">
        <v>0.0</v>
      </c>
      <c r="U8" s="18"/>
      <c r="V8" s="18"/>
      <c r="W8" s="41" t="s">
        <v>929</v>
      </c>
      <c r="X8" s="41">
        <v>0.0</v>
      </c>
      <c r="Y8" s="51"/>
      <c r="Z8" s="51"/>
      <c r="AA8" s="12" t="s">
        <v>881</v>
      </c>
      <c r="AB8" s="7">
        <v>0.0</v>
      </c>
      <c r="AC8" s="9"/>
      <c r="AD8" s="9"/>
      <c r="AE8" s="9"/>
      <c r="AF8" s="9"/>
      <c r="AG8" s="9"/>
      <c r="AH8" s="9"/>
      <c r="AI8" s="9"/>
      <c r="AJ8" s="9"/>
      <c r="AK8" s="9"/>
    </row>
    <row r="9">
      <c r="A9" s="7">
        <v>1334.0</v>
      </c>
      <c r="B9" s="8" t="s">
        <v>50</v>
      </c>
      <c r="C9" s="16" t="str">
        <f t="shared" si="1"/>
        <v>HDS-08_P-HDS-AT-PH-DRAIN_FIXED TYPE AT PUMP HOUSE DRAIN</v>
      </c>
      <c r="D9" s="20" t="s">
        <v>930</v>
      </c>
      <c r="E9" s="20" t="s">
        <v>931</v>
      </c>
      <c r="F9" s="20" t="s">
        <v>932</v>
      </c>
      <c r="G9" s="41" t="s">
        <v>933</v>
      </c>
      <c r="H9" s="41">
        <v>0.0</v>
      </c>
      <c r="I9" s="9"/>
      <c r="J9" s="9"/>
      <c r="K9" s="14" t="s">
        <v>934</v>
      </c>
      <c r="L9" s="41">
        <v>0.0</v>
      </c>
      <c r="M9" s="18"/>
      <c r="N9" s="18"/>
      <c r="O9" s="41" t="s">
        <v>935</v>
      </c>
      <c r="P9" s="41">
        <v>0.0</v>
      </c>
      <c r="Q9" s="18"/>
      <c r="R9" s="18"/>
      <c r="S9" s="41" t="s">
        <v>936</v>
      </c>
      <c r="T9" s="41">
        <v>0.0</v>
      </c>
      <c r="U9" s="18"/>
      <c r="V9" s="18"/>
      <c r="W9" s="41" t="s">
        <v>937</v>
      </c>
      <c r="X9" s="41">
        <v>0.0</v>
      </c>
      <c r="Y9" s="51"/>
      <c r="Z9" s="51"/>
      <c r="AA9" s="12" t="s">
        <v>881</v>
      </c>
      <c r="AB9" s="7">
        <v>0.0</v>
      </c>
      <c r="AC9" s="9"/>
      <c r="AD9" s="9"/>
      <c r="AE9" s="9"/>
      <c r="AF9" s="9"/>
      <c r="AG9" s="9"/>
      <c r="AH9" s="9"/>
      <c r="AI9" s="9"/>
      <c r="AJ9" s="9"/>
      <c r="AK9" s="9"/>
    </row>
    <row r="10">
      <c r="A10" s="7">
        <v>1334.0</v>
      </c>
      <c r="B10" s="8" t="s">
        <v>50</v>
      </c>
      <c r="C10" s="16" t="str">
        <f t="shared" si="1"/>
        <v>HDS-09_NEAR_TK-04_NEAR_TK-04</v>
      </c>
      <c r="D10" s="20" t="s">
        <v>938</v>
      </c>
      <c r="E10" s="20" t="s">
        <v>939</v>
      </c>
      <c r="F10" s="20" t="s">
        <v>939</v>
      </c>
      <c r="G10" s="41" t="s">
        <v>940</v>
      </c>
      <c r="H10" s="41">
        <v>0.0</v>
      </c>
      <c r="I10" s="9"/>
      <c r="J10" s="9"/>
      <c r="K10" s="14" t="s">
        <v>941</v>
      </c>
      <c r="L10" s="41">
        <v>0.0</v>
      </c>
      <c r="M10" s="18"/>
      <c r="N10" s="18"/>
      <c r="O10" s="41" t="s">
        <v>942</v>
      </c>
      <c r="P10" s="41">
        <v>0.0</v>
      </c>
      <c r="Q10" s="18"/>
      <c r="R10" s="18"/>
      <c r="S10" s="41" t="s">
        <v>943</v>
      </c>
      <c r="T10" s="41">
        <v>0.0</v>
      </c>
      <c r="U10" s="18"/>
      <c r="V10" s="18"/>
      <c r="W10" s="41" t="s">
        <v>944</v>
      </c>
      <c r="X10" s="41">
        <v>0.0</v>
      </c>
      <c r="Y10" s="51"/>
      <c r="Z10" s="51"/>
      <c r="AA10" s="12" t="s">
        <v>881</v>
      </c>
      <c r="AB10" s="7">
        <v>0.0</v>
      </c>
      <c r="AC10" s="9"/>
      <c r="AD10" s="9"/>
      <c r="AE10" s="9"/>
      <c r="AF10" s="9"/>
      <c r="AG10" s="9"/>
      <c r="AH10" s="9"/>
      <c r="AI10" s="9"/>
      <c r="AJ10" s="9"/>
      <c r="AK10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</cols>
  <sheetData>
    <row r="1">
      <c r="A1" s="32" t="s">
        <v>0</v>
      </c>
      <c r="B1" s="32" t="s">
        <v>1</v>
      </c>
      <c r="C1" s="32" t="s">
        <v>945</v>
      </c>
      <c r="D1" s="34" t="s">
        <v>946</v>
      </c>
      <c r="E1" s="35" t="s">
        <v>947</v>
      </c>
      <c r="F1" s="52" t="s">
        <v>948</v>
      </c>
      <c r="G1" s="9" t="s">
        <v>7</v>
      </c>
      <c r="H1" s="9" t="s">
        <v>8</v>
      </c>
      <c r="I1" s="35" t="s">
        <v>9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>
        <v>1334.0</v>
      </c>
      <c r="B2" s="8" t="s">
        <v>50</v>
      </c>
      <c r="C2" s="20" t="s">
        <v>949</v>
      </c>
      <c r="D2" s="14" t="s">
        <v>950</v>
      </c>
      <c r="E2" s="38">
        <v>0.0</v>
      </c>
      <c r="F2" s="51" t="s">
        <v>951</v>
      </c>
      <c r="G2" s="7">
        <v>0.0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7">
        <v>1334.0</v>
      </c>
      <c r="B3" s="8" t="s">
        <v>50</v>
      </c>
      <c r="C3" s="20" t="s">
        <v>952</v>
      </c>
      <c r="D3" s="14" t="s">
        <v>953</v>
      </c>
      <c r="E3" s="41">
        <v>0.0</v>
      </c>
      <c r="F3" s="51" t="s">
        <v>951</v>
      </c>
      <c r="G3" s="7">
        <v>0.0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>
        <v>1334.0</v>
      </c>
      <c r="B4" s="8" t="s">
        <v>50</v>
      </c>
      <c r="C4" s="20" t="s">
        <v>954</v>
      </c>
      <c r="D4" s="14" t="s">
        <v>955</v>
      </c>
      <c r="E4" s="41">
        <v>0.0</v>
      </c>
      <c r="F4" s="51" t="s">
        <v>951</v>
      </c>
      <c r="G4" s="7">
        <v>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>
        <v>1334.0</v>
      </c>
      <c r="B5" s="8" t="s">
        <v>50</v>
      </c>
      <c r="C5" s="20" t="s">
        <v>956</v>
      </c>
      <c r="D5" s="14" t="s">
        <v>957</v>
      </c>
      <c r="E5" s="41">
        <v>0.0</v>
      </c>
      <c r="F5" s="51" t="s">
        <v>951</v>
      </c>
      <c r="G5" s="7">
        <v>0.0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7">
        <v>1334.0</v>
      </c>
      <c r="B6" s="8" t="s">
        <v>50</v>
      </c>
      <c r="C6" s="20" t="s">
        <v>958</v>
      </c>
      <c r="D6" s="14" t="s">
        <v>959</v>
      </c>
      <c r="E6" s="41">
        <v>0.0</v>
      </c>
      <c r="F6" s="51" t="s">
        <v>951</v>
      </c>
      <c r="G6" s="7">
        <v>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>
        <v>1334.0</v>
      </c>
      <c r="B7" s="8" t="s">
        <v>50</v>
      </c>
      <c r="C7" s="20" t="s">
        <v>960</v>
      </c>
      <c r="D7" s="14" t="s">
        <v>961</v>
      </c>
      <c r="E7" s="41">
        <v>0.0</v>
      </c>
      <c r="F7" s="51" t="s">
        <v>951</v>
      </c>
      <c r="G7" s="7">
        <v>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>
        <v>1334.0</v>
      </c>
      <c r="B8" s="8" t="s">
        <v>50</v>
      </c>
      <c r="C8" s="20" t="s">
        <v>962</v>
      </c>
      <c r="D8" s="14" t="s">
        <v>963</v>
      </c>
      <c r="E8" s="41">
        <v>0.0</v>
      </c>
      <c r="F8" s="51" t="s">
        <v>951</v>
      </c>
      <c r="G8" s="7">
        <v>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>
        <v>1334.0</v>
      </c>
      <c r="B9" s="8" t="s">
        <v>50</v>
      </c>
      <c r="C9" s="20" t="s">
        <v>964</v>
      </c>
      <c r="D9" s="14" t="s">
        <v>965</v>
      </c>
      <c r="E9" s="41">
        <v>0.0</v>
      </c>
      <c r="F9" s="51" t="s">
        <v>951</v>
      </c>
      <c r="G9" s="7">
        <v>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2" t="s">
        <v>1</v>
      </c>
      <c r="C1" s="32" t="s">
        <v>966</v>
      </c>
      <c r="D1" s="34" t="s">
        <v>967</v>
      </c>
      <c r="E1" s="35" t="s">
        <v>968</v>
      </c>
      <c r="F1" s="35" t="s">
        <v>8</v>
      </c>
      <c r="G1" s="35" t="s">
        <v>9</v>
      </c>
      <c r="H1" s="34" t="s">
        <v>969</v>
      </c>
      <c r="I1" s="35" t="s">
        <v>970</v>
      </c>
      <c r="J1" s="35" t="s">
        <v>8</v>
      </c>
      <c r="K1" s="35" t="s">
        <v>9</v>
      </c>
      <c r="L1" s="34" t="s">
        <v>971</v>
      </c>
      <c r="M1" s="35" t="s">
        <v>7</v>
      </c>
      <c r="N1" s="35" t="s">
        <v>8</v>
      </c>
      <c r="O1" s="35" t="s">
        <v>9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7">
        <v>1334.0</v>
      </c>
      <c r="B2" s="8" t="s">
        <v>50</v>
      </c>
      <c r="C2" s="16" t="s">
        <v>972</v>
      </c>
      <c r="D2" s="38" t="s">
        <v>973</v>
      </c>
      <c r="E2" s="38">
        <v>0.0</v>
      </c>
      <c r="F2" s="39"/>
      <c r="G2" s="39"/>
      <c r="H2" s="38" t="s">
        <v>974</v>
      </c>
      <c r="I2" s="38">
        <v>0.0</v>
      </c>
      <c r="J2" s="39"/>
      <c r="K2" s="39"/>
      <c r="L2" s="38" t="s">
        <v>975</v>
      </c>
      <c r="M2" s="38">
        <v>1.0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7">
        <v>1334.0</v>
      </c>
      <c r="B3" s="8" t="s">
        <v>50</v>
      </c>
      <c r="C3" s="16" t="s">
        <v>976</v>
      </c>
      <c r="D3" s="41" t="s">
        <v>977</v>
      </c>
      <c r="E3" s="41">
        <v>0.0</v>
      </c>
      <c r="F3" s="18"/>
      <c r="G3" s="18"/>
      <c r="H3" s="41" t="s">
        <v>978</v>
      </c>
      <c r="I3" s="41">
        <v>0.0</v>
      </c>
      <c r="J3" s="18"/>
      <c r="K3" s="18"/>
      <c r="L3" s="41" t="s">
        <v>979</v>
      </c>
      <c r="M3" s="41">
        <v>1.0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2" t="s">
        <v>1</v>
      </c>
      <c r="C1" s="32" t="s">
        <v>2</v>
      </c>
      <c r="D1" s="32" t="s">
        <v>980</v>
      </c>
      <c r="E1" s="32" t="s">
        <v>981</v>
      </c>
      <c r="F1" s="34" t="s">
        <v>982</v>
      </c>
      <c r="G1" s="35" t="s">
        <v>983</v>
      </c>
      <c r="H1" s="35" t="s">
        <v>8</v>
      </c>
      <c r="I1" s="35" t="s">
        <v>9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7">
        <v>1334.0</v>
      </c>
      <c r="B2" s="8" t="s">
        <v>50</v>
      </c>
      <c r="C2" s="16" t="str">
        <f t="shared" ref="C2:C9" si="1">CONCATENATE(D2,"_",E2)</f>
        <v>HOOTER_FIELD_1_Dedicated Hooter cum strobe for TLF P/H Activated in Field</v>
      </c>
      <c r="D2" s="20" t="s">
        <v>984</v>
      </c>
      <c r="E2" s="20" t="s">
        <v>985</v>
      </c>
      <c r="F2" s="51" t="s">
        <v>986</v>
      </c>
      <c r="G2" s="38">
        <v>0.0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7">
        <v>1334.0</v>
      </c>
      <c r="B3" s="8" t="s">
        <v>50</v>
      </c>
      <c r="C3" s="16" t="str">
        <f t="shared" si="1"/>
        <v>HOOTER_FIELD_2_Dedicated Hooter cum strobe for Near TK-01 Activated in Field</v>
      </c>
      <c r="D3" s="20" t="s">
        <v>987</v>
      </c>
      <c r="E3" s="20" t="s">
        <v>988</v>
      </c>
      <c r="F3" s="51" t="s">
        <v>989</v>
      </c>
      <c r="G3" s="41">
        <v>0.0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7">
        <v>1334.0</v>
      </c>
      <c r="B4" s="8" t="s">
        <v>50</v>
      </c>
      <c r="C4" s="16" t="str">
        <f t="shared" si="1"/>
        <v>HOOTER_FIELD_3_Dedicated Hooter cum strobe for Near TK-12 Activated in Field</v>
      </c>
      <c r="D4" s="20" t="s">
        <v>990</v>
      </c>
      <c r="E4" s="20" t="s">
        <v>991</v>
      </c>
      <c r="F4" s="51" t="s">
        <v>992</v>
      </c>
      <c r="G4" s="41">
        <v>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7">
        <v>1334.0</v>
      </c>
      <c r="B5" s="8" t="s">
        <v>50</v>
      </c>
      <c r="C5" s="16" t="str">
        <f t="shared" si="1"/>
        <v>HOOTER_FIELD_4_Dedicated Hooter cum strobe for Near TK-15 Activated in Field</v>
      </c>
      <c r="D5" s="20" t="s">
        <v>993</v>
      </c>
      <c r="E5" s="20" t="s">
        <v>994</v>
      </c>
      <c r="F5" s="51" t="s">
        <v>995</v>
      </c>
      <c r="G5" s="41">
        <v>0.0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7">
        <v>1334.0</v>
      </c>
      <c r="B6" s="8" t="s">
        <v>50</v>
      </c>
      <c r="C6" s="16" t="str">
        <f t="shared" si="1"/>
        <v>HOOTER_FIELD_5_Dedicated Hooter cum strobe for Near TK-16 Activated in Field</v>
      </c>
      <c r="D6" s="20" t="s">
        <v>996</v>
      </c>
      <c r="E6" s="20" t="s">
        <v>997</v>
      </c>
      <c r="F6" s="51" t="s">
        <v>998</v>
      </c>
      <c r="G6" s="41">
        <v>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7">
        <v>1334.0</v>
      </c>
      <c r="B7" s="8" t="s">
        <v>50</v>
      </c>
      <c r="C7" s="16" t="str">
        <f t="shared" si="1"/>
        <v>HOOTER_FOR_ESD_CR_Dedicated Hooter cum strobe for ESD activated in control room</v>
      </c>
      <c r="D7" s="20" t="s">
        <v>999</v>
      </c>
      <c r="E7" s="20" t="s">
        <v>1000</v>
      </c>
      <c r="F7" s="51" t="s">
        <v>1001</v>
      </c>
      <c r="G7" s="41">
        <v>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7">
        <v>1334.0</v>
      </c>
      <c r="B8" s="8" t="s">
        <v>50</v>
      </c>
      <c r="C8" s="16" t="str">
        <f t="shared" si="1"/>
        <v>HOOTER_FOR_HC_CR_Dedicated Hooter cum strobe for HC detector activated in control room</v>
      </c>
      <c r="D8" s="20" t="s">
        <v>1002</v>
      </c>
      <c r="E8" s="20" t="s">
        <v>1003</v>
      </c>
      <c r="F8" s="51" t="s">
        <v>881</v>
      </c>
      <c r="G8" s="41">
        <v>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7">
        <v>1334.0</v>
      </c>
      <c r="B9" s="8" t="s">
        <v>50</v>
      </c>
      <c r="C9" s="16" t="str">
        <f t="shared" si="1"/>
        <v>HOOTER_FOR_RIMSEAL_CR_Dedicated Hooter cum strobe for FAP/Dyke activated in control room</v>
      </c>
      <c r="D9" s="10" t="s">
        <v>1004</v>
      </c>
      <c r="E9" s="10" t="s">
        <v>1005</v>
      </c>
      <c r="F9" s="51" t="s">
        <v>951</v>
      </c>
      <c r="G9" s="41">
        <v>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0.0"/>
    <col customWidth="1" min="6" max="6" width="33.25"/>
    <col customWidth="1" min="7" max="7" width="24.38"/>
  </cols>
  <sheetData>
    <row r="1">
      <c r="A1" s="32" t="s">
        <v>0</v>
      </c>
      <c r="B1" s="32" t="s">
        <v>1</v>
      </c>
      <c r="C1" s="32" t="s">
        <v>2</v>
      </c>
      <c r="D1" s="32" t="s">
        <v>1006</v>
      </c>
      <c r="E1" s="32" t="s">
        <v>1007</v>
      </c>
      <c r="F1" s="32" t="s">
        <v>1</v>
      </c>
      <c r="G1" s="53" t="s">
        <v>1008</v>
      </c>
      <c r="H1" s="54" t="s">
        <v>1009</v>
      </c>
      <c r="I1" s="54" t="s">
        <v>8</v>
      </c>
      <c r="J1" s="54" t="s">
        <v>9</v>
      </c>
      <c r="K1" s="53" t="s">
        <v>1010</v>
      </c>
      <c r="L1" s="54" t="s">
        <v>1011</v>
      </c>
      <c r="M1" s="54" t="s">
        <v>8</v>
      </c>
      <c r="N1" s="54" t="s">
        <v>9</v>
      </c>
      <c r="O1" s="55" t="s">
        <v>1012</v>
      </c>
      <c r="P1" s="55" t="s">
        <v>7</v>
      </c>
      <c r="Q1" s="54" t="s">
        <v>8</v>
      </c>
      <c r="R1" s="54" t="s">
        <v>9</v>
      </c>
      <c r="S1" s="55" t="s">
        <v>1013</v>
      </c>
      <c r="T1" s="55" t="s">
        <v>13</v>
      </c>
      <c r="U1" s="54" t="s">
        <v>8</v>
      </c>
      <c r="V1" s="54" t="s">
        <v>9</v>
      </c>
      <c r="W1" s="55" t="s">
        <v>1014</v>
      </c>
      <c r="X1" s="55" t="s">
        <v>7</v>
      </c>
      <c r="Y1" s="54" t="s">
        <v>8</v>
      </c>
      <c r="Z1" s="54" t="s">
        <v>9</v>
      </c>
      <c r="AA1" s="55" t="s">
        <v>1015</v>
      </c>
      <c r="AB1" s="55" t="s">
        <v>7</v>
      </c>
      <c r="AC1" s="54" t="s">
        <v>8</v>
      </c>
      <c r="AD1" s="54" t="s">
        <v>9</v>
      </c>
      <c r="AE1" s="55" t="s">
        <v>1016</v>
      </c>
      <c r="AF1" s="55" t="s">
        <v>7</v>
      </c>
      <c r="AG1" s="54" t="s">
        <v>8</v>
      </c>
      <c r="AH1" s="54" t="s">
        <v>9</v>
      </c>
      <c r="AI1" s="55" t="s">
        <v>1017</v>
      </c>
      <c r="AJ1" s="55" t="s">
        <v>7</v>
      </c>
      <c r="AK1" s="54" t="s">
        <v>8</v>
      </c>
      <c r="AL1" s="54" t="s">
        <v>9</v>
      </c>
      <c r="AM1" s="55" t="s">
        <v>1018</v>
      </c>
      <c r="AN1" s="55" t="s">
        <v>7</v>
      </c>
      <c r="AO1" s="54" t="s">
        <v>8</v>
      </c>
      <c r="AP1" s="54" t="s">
        <v>9</v>
      </c>
      <c r="AQ1" s="55" t="s">
        <v>1019</v>
      </c>
      <c r="AR1" s="55" t="s">
        <v>7</v>
      </c>
      <c r="AS1" s="54" t="s">
        <v>8</v>
      </c>
      <c r="AT1" s="54" t="s">
        <v>9</v>
      </c>
      <c r="AU1" s="55" t="s">
        <v>1020</v>
      </c>
      <c r="AV1" s="55" t="s">
        <v>7</v>
      </c>
      <c r="AW1" s="54" t="s">
        <v>8</v>
      </c>
      <c r="AX1" s="54" t="s">
        <v>9</v>
      </c>
      <c r="AY1" s="55" t="s">
        <v>1021</v>
      </c>
      <c r="AZ1" s="55" t="s">
        <v>7</v>
      </c>
      <c r="BA1" s="54" t="s">
        <v>8</v>
      </c>
      <c r="BB1" s="54" t="s">
        <v>9</v>
      </c>
      <c r="BC1" s="55" t="s">
        <v>1022</v>
      </c>
      <c r="BD1" s="55" t="s">
        <v>7</v>
      </c>
      <c r="BE1" s="54" t="s">
        <v>8</v>
      </c>
      <c r="BF1" s="54" t="s">
        <v>9</v>
      </c>
    </row>
    <row r="2">
      <c r="A2" s="7">
        <v>1334.0</v>
      </c>
      <c r="B2" s="8" t="s">
        <v>50</v>
      </c>
      <c r="C2" s="16" t="str">
        <f t="shared" ref="C2:C22" si="1">CONCATENATE(D2,"_",F2)</f>
        <v>ESD-01_ESD AT GANTRY SUPERVISOR CABIN</v>
      </c>
      <c r="D2" s="20" t="s">
        <v>1023</v>
      </c>
      <c r="E2" s="20" t="s">
        <v>1023</v>
      </c>
      <c r="F2" s="20" t="s">
        <v>1024</v>
      </c>
      <c r="G2" s="38" t="s">
        <v>1025</v>
      </c>
      <c r="H2" s="38">
        <v>0.0</v>
      </c>
      <c r="I2" s="39"/>
      <c r="J2" s="39"/>
      <c r="K2" s="38" t="s">
        <v>1026</v>
      </c>
      <c r="L2" s="38">
        <v>0.0</v>
      </c>
      <c r="M2" s="51"/>
      <c r="N2" s="51"/>
      <c r="O2" s="12" t="s">
        <v>1027</v>
      </c>
      <c r="P2" s="16">
        <v>0.0</v>
      </c>
      <c r="Q2" s="51"/>
      <c r="R2" s="51"/>
      <c r="S2" s="12" t="s">
        <v>1028</v>
      </c>
      <c r="T2" s="16">
        <v>0.0</v>
      </c>
      <c r="U2" s="51"/>
      <c r="V2" s="51"/>
      <c r="W2" s="12" t="s">
        <v>1029</v>
      </c>
      <c r="X2" s="16">
        <v>0.0</v>
      </c>
      <c r="Y2" s="51"/>
      <c r="Z2" s="51"/>
      <c r="AA2" s="12" t="s">
        <v>1030</v>
      </c>
      <c r="AB2" s="16">
        <v>0.0</v>
      </c>
      <c r="AC2" s="51"/>
      <c r="AD2" s="51"/>
      <c r="AE2" s="12" t="s">
        <v>1031</v>
      </c>
      <c r="AF2" s="16">
        <v>0.0</v>
      </c>
      <c r="AG2" s="51"/>
      <c r="AH2" s="51"/>
      <c r="AI2" s="12" t="s">
        <v>1032</v>
      </c>
      <c r="AJ2" s="16">
        <v>0.0</v>
      </c>
      <c r="AK2" s="51"/>
      <c r="AL2" s="51"/>
      <c r="AM2" s="12" t="s">
        <v>1033</v>
      </c>
      <c r="AN2" s="16">
        <v>0.0</v>
      </c>
      <c r="AO2" s="51"/>
      <c r="AP2" s="51"/>
      <c r="AQ2" s="12" t="s">
        <v>1034</v>
      </c>
      <c r="AR2" s="16">
        <v>0.0</v>
      </c>
      <c r="AS2" s="51"/>
      <c r="AT2" s="51"/>
      <c r="AU2" s="12" t="s">
        <v>1001</v>
      </c>
      <c r="AV2" s="16">
        <v>0.0</v>
      </c>
      <c r="AW2" s="51"/>
      <c r="AX2" s="51"/>
      <c r="AY2" s="12" t="s">
        <v>1035</v>
      </c>
      <c r="AZ2" s="16">
        <v>0.0</v>
      </c>
      <c r="BA2" s="51"/>
      <c r="BB2" s="51"/>
      <c r="BC2" s="12" t="s">
        <v>1036</v>
      </c>
      <c r="BD2" s="7">
        <v>0.0</v>
      </c>
      <c r="BE2" s="9"/>
      <c r="BF2" s="9"/>
    </row>
    <row r="3">
      <c r="A3" s="7">
        <v>1334.0</v>
      </c>
      <c r="B3" s="8" t="s">
        <v>50</v>
      </c>
      <c r="C3" s="16" t="str">
        <f t="shared" si="1"/>
        <v>ESD-02_ESD AT CONTROL ROOM</v>
      </c>
      <c r="D3" s="20" t="s">
        <v>1037</v>
      </c>
      <c r="E3" s="20" t="s">
        <v>1037</v>
      </c>
      <c r="F3" s="20" t="s">
        <v>1038</v>
      </c>
      <c r="G3" s="41" t="s">
        <v>1039</v>
      </c>
      <c r="H3" s="41">
        <v>0.0</v>
      </c>
      <c r="I3" s="18"/>
      <c r="J3" s="18"/>
      <c r="K3" s="41" t="s">
        <v>1040</v>
      </c>
      <c r="L3" s="41">
        <v>0.0</v>
      </c>
      <c r="M3" s="51"/>
      <c r="N3" s="51"/>
      <c r="O3" s="12" t="s">
        <v>1027</v>
      </c>
      <c r="P3" s="16">
        <v>0.0</v>
      </c>
      <c r="Q3" s="51"/>
      <c r="R3" s="51"/>
      <c r="S3" s="12" t="s">
        <v>1028</v>
      </c>
      <c r="T3" s="16">
        <v>0.0</v>
      </c>
      <c r="U3" s="51"/>
      <c r="V3" s="51"/>
      <c r="W3" s="12" t="s">
        <v>1029</v>
      </c>
      <c r="X3" s="16">
        <v>0.0</v>
      </c>
      <c r="Y3" s="51"/>
      <c r="Z3" s="51"/>
      <c r="AA3" s="12" t="s">
        <v>1030</v>
      </c>
      <c r="AB3" s="16">
        <v>0.0</v>
      </c>
      <c r="AC3" s="51"/>
      <c r="AD3" s="51"/>
      <c r="AE3" s="12" t="s">
        <v>1031</v>
      </c>
      <c r="AF3" s="16">
        <v>0.0</v>
      </c>
      <c r="AG3" s="51"/>
      <c r="AH3" s="51"/>
      <c r="AI3" s="12" t="s">
        <v>1032</v>
      </c>
      <c r="AJ3" s="16">
        <v>0.0</v>
      </c>
      <c r="AK3" s="51"/>
      <c r="AL3" s="51"/>
      <c r="AM3" s="12" t="s">
        <v>1033</v>
      </c>
      <c r="AN3" s="16">
        <v>0.0</v>
      </c>
      <c r="AO3" s="51"/>
      <c r="AP3" s="51"/>
      <c r="AQ3" s="12" t="s">
        <v>1034</v>
      </c>
      <c r="AR3" s="16">
        <v>0.0</v>
      </c>
      <c r="AS3" s="51"/>
      <c r="AT3" s="51"/>
      <c r="AU3" s="12" t="s">
        <v>1001</v>
      </c>
      <c r="AV3" s="16">
        <v>0.0</v>
      </c>
      <c r="AW3" s="51"/>
      <c r="AX3" s="51"/>
      <c r="AY3" s="12" t="s">
        <v>1035</v>
      </c>
      <c r="AZ3" s="16">
        <v>0.0</v>
      </c>
      <c r="BA3" s="51"/>
      <c r="BB3" s="51"/>
      <c r="BC3" s="12" t="s">
        <v>1036</v>
      </c>
      <c r="BD3" s="7">
        <v>0.0</v>
      </c>
      <c r="BE3" s="9"/>
      <c r="BF3" s="9"/>
    </row>
    <row r="4">
      <c r="A4" s="7">
        <v>1334.0</v>
      </c>
      <c r="B4" s="8" t="s">
        <v>50</v>
      </c>
      <c r="C4" s="16" t="str">
        <f t="shared" si="1"/>
        <v>ESD-03_ESD AT INSIDE PRODUCT PUMP HOUSE</v>
      </c>
      <c r="D4" s="20" t="s">
        <v>1041</v>
      </c>
      <c r="E4" s="20" t="s">
        <v>1041</v>
      </c>
      <c r="F4" s="20" t="s">
        <v>1042</v>
      </c>
      <c r="G4" s="41" t="s">
        <v>1043</v>
      </c>
      <c r="H4" s="41">
        <v>0.0</v>
      </c>
      <c r="I4" s="18"/>
      <c r="J4" s="18"/>
      <c r="K4" s="41" t="s">
        <v>1044</v>
      </c>
      <c r="L4" s="41">
        <v>0.0</v>
      </c>
      <c r="M4" s="51"/>
      <c r="N4" s="51"/>
      <c r="O4" s="12" t="s">
        <v>1027</v>
      </c>
      <c r="P4" s="16">
        <v>0.0</v>
      </c>
      <c r="Q4" s="51"/>
      <c r="R4" s="51"/>
      <c r="S4" s="12" t="s">
        <v>1028</v>
      </c>
      <c r="T4" s="16">
        <v>0.0</v>
      </c>
      <c r="U4" s="51"/>
      <c r="V4" s="51"/>
      <c r="W4" s="12" t="s">
        <v>1029</v>
      </c>
      <c r="X4" s="16">
        <v>0.0</v>
      </c>
      <c r="Y4" s="51"/>
      <c r="Z4" s="51"/>
      <c r="AA4" s="12" t="s">
        <v>1030</v>
      </c>
      <c r="AB4" s="16">
        <v>0.0</v>
      </c>
      <c r="AC4" s="51"/>
      <c r="AD4" s="51"/>
      <c r="AE4" s="12" t="s">
        <v>1031</v>
      </c>
      <c r="AF4" s="16">
        <v>0.0</v>
      </c>
      <c r="AG4" s="51"/>
      <c r="AH4" s="51"/>
      <c r="AI4" s="12" t="s">
        <v>1032</v>
      </c>
      <c r="AJ4" s="16">
        <v>0.0</v>
      </c>
      <c r="AK4" s="51"/>
      <c r="AL4" s="51"/>
      <c r="AM4" s="12" t="s">
        <v>1033</v>
      </c>
      <c r="AN4" s="16">
        <v>0.0</v>
      </c>
      <c r="AO4" s="51"/>
      <c r="AP4" s="51"/>
      <c r="AQ4" s="12" t="s">
        <v>1034</v>
      </c>
      <c r="AR4" s="16">
        <v>0.0</v>
      </c>
      <c r="AS4" s="51"/>
      <c r="AT4" s="51"/>
      <c r="AU4" s="12" t="s">
        <v>1001</v>
      </c>
      <c r="AV4" s="16">
        <v>0.0</v>
      </c>
      <c r="AW4" s="51"/>
      <c r="AX4" s="51"/>
      <c r="AY4" s="12" t="s">
        <v>1035</v>
      </c>
      <c r="AZ4" s="16">
        <v>0.0</v>
      </c>
      <c r="BA4" s="51"/>
      <c r="BB4" s="51"/>
      <c r="BC4" s="12" t="s">
        <v>1036</v>
      </c>
      <c r="BD4" s="7">
        <v>0.0</v>
      </c>
      <c r="BE4" s="9"/>
      <c r="BF4" s="9"/>
    </row>
    <row r="5">
      <c r="A5" s="7">
        <v>1334.0</v>
      </c>
      <c r="B5" s="8" t="s">
        <v>50</v>
      </c>
      <c r="C5" s="16" t="str">
        <f t="shared" si="1"/>
        <v>ESD-04_ESD AT SECURITY MAIN GATE</v>
      </c>
      <c r="D5" s="20" t="s">
        <v>1045</v>
      </c>
      <c r="E5" s="20" t="s">
        <v>1045</v>
      </c>
      <c r="F5" s="20" t="s">
        <v>1046</v>
      </c>
      <c r="G5" s="41" t="s">
        <v>1047</v>
      </c>
      <c r="H5" s="41">
        <v>0.0</v>
      </c>
      <c r="I5" s="18"/>
      <c r="J5" s="18"/>
      <c r="K5" s="41" t="s">
        <v>1048</v>
      </c>
      <c r="L5" s="41">
        <v>0.0</v>
      </c>
      <c r="M5" s="51"/>
      <c r="N5" s="51"/>
      <c r="O5" s="12" t="s">
        <v>1027</v>
      </c>
      <c r="P5" s="16">
        <v>0.0</v>
      </c>
      <c r="Q5" s="51"/>
      <c r="R5" s="51"/>
      <c r="S5" s="12" t="s">
        <v>1028</v>
      </c>
      <c r="T5" s="16">
        <v>0.0</v>
      </c>
      <c r="U5" s="51"/>
      <c r="V5" s="51"/>
      <c r="W5" s="12" t="s">
        <v>1029</v>
      </c>
      <c r="X5" s="16">
        <v>0.0</v>
      </c>
      <c r="Y5" s="51"/>
      <c r="Z5" s="51"/>
      <c r="AA5" s="12" t="s">
        <v>1030</v>
      </c>
      <c r="AB5" s="16">
        <v>0.0</v>
      </c>
      <c r="AC5" s="51"/>
      <c r="AD5" s="51"/>
      <c r="AE5" s="12" t="s">
        <v>1031</v>
      </c>
      <c r="AF5" s="16">
        <v>0.0</v>
      </c>
      <c r="AG5" s="51"/>
      <c r="AH5" s="51"/>
      <c r="AI5" s="12" t="s">
        <v>1032</v>
      </c>
      <c r="AJ5" s="16">
        <v>0.0</v>
      </c>
      <c r="AK5" s="51"/>
      <c r="AL5" s="51"/>
      <c r="AM5" s="12" t="s">
        <v>1033</v>
      </c>
      <c r="AN5" s="16">
        <v>0.0</v>
      </c>
      <c r="AO5" s="51"/>
      <c r="AP5" s="51"/>
      <c r="AQ5" s="12" t="s">
        <v>1034</v>
      </c>
      <c r="AR5" s="16">
        <v>0.0</v>
      </c>
      <c r="AS5" s="51"/>
      <c r="AT5" s="51"/>
      <c r="AU5" s="12" t="s">
        <v>1001</v>
      </c>
      <c r="AV5" s="16">
        <v>0.0</v>
      </c>
      <c r="AW5" s="51"/>
      <c r="AX5" s="51"/>
      <c r="AY5" s="12" t="s">
        <v>1035</v>
      </c>
      <c r="AZ5" s="16">
        <v>0.0</v>
      </c>
      <c r="BA5" s="51"/>
      <c r="BB5" s="51"/>
      <c r="BC5" s="12" t="s">
        <v>1036</v>
      </c>
      <c r="BD5" s="7">
        <v>0.0</v>
      </c>
      <c r="BE5" s="9"/>
      <c r="BF5" s="9"/>
    </row>
    <row r="6">
      <c r="A6" s="7">
        <v>1334.0</v>
      </c>
      <c r="B6" s="8" t="s">
        <v>50</v>
      </c>
      <c r="C6" s="16" t="str">
        <f t="shared" si="1"/>
        <v>ESD-05_ESD AT BEHIND BAY-08</v>
      </c>
      <c r="D6" s="20" t="s">
        <v>1049</v>
      </c>
      <c r="E6" s="20" t="s">
        <v>1049</v>
      </c>
      <c r="F6" s="20" t="s">
        <v>1050</v>
      </c>
      <c r="G6" s="41" t="s">
        <v>1051</v>
      </c>
      <c r="H6" s="41">
        <v>0.0</v>
      </c>
      <c r="I6" s="18"/>
      <c r="J6" s="18"/>
      <c r="K6" s="41" t="s">
        <v>1052</v>
      </c>
      <c r="L6" s="41">
        <v>0.0</v>
      </c>
      <c r="M6" s="51"/>
      <c r="N6" s="51"/>
      <c r="O6" s="12" t="s">
        <v>1027</v>
      </c>
      <c r="P6" s="16">
        <v>0.0</v>
      </c>
      <c r="Q6" s="51"/>
      <c r="R6" s="51"/>
      <c r="S6" s="12" t="s">
        <v>1028</v>
      </c>
      <c r="T6" s="16">
        <v>0.0</v>
      </c>
      <c r="U6" s="51"/>
      <c r="V6" s="51"/>
      <c r="W6" s="12" t="s">
        <v>1029</v>
      </c>
      <c r="X6" s="16">
        <v>0.0</v>
      </c>
      <c r="Y6" s="51"/>
      <c r="Z6" s="51"/>
      <c r="AA6" s="12" t="s">
        <v>1030</v>
      </c>
      <c r="AB6" s="16">
        <v>0.0</v>
      </c>
      <c r="AC6" s="51"/>
      <c r="AD6" s="51"/>
      <c r="AE6" s="12" t="s">
        <v>1031</v>
      </c>
      <c r="AF6" s="16">
        <v>0.0</v>
      </c>
      <c r="AG6" s="51"/>
      <c r="AH6" s="51"/>
      <c r="AI6" s="12" t="s">
        <v>1032</v>
      </c>
      <c r="AJ6" s="16">
        <v>0.0</v>
      </c>
      <c r="AK6" s="51"/>
      <c r="AL6" s="51"/>
      <c r="AM6" s="12" t="s">
        <v>1033</v>
      </c>
      <c r="AN6" s="16">
        <v>0.0</v>
      </c>
      <c r="AO6" s="51"/>
      <c r="AP6" s="51"/>
      <c r="AQ6" s="12" t="s">
        <v>1034</v>
      </c>
      <c r="AR6" s="16">
        <v>0.0</v>
      </c>
      <c r="AS6" s="51"/>
      <c r="AT6" s="51"/>
      <c r="AU6" s="12" t="s">
        <v>1001</v>
      </c>
      <c r="AV6" s="16">
        <v>0.0</v>
      </c>
      <c r="AW6" s="51"/>
      <c r="AX6" s="51"/>
      <c r="AY6" s="12" t="s">
        <v>1035</v>
      </c>
      <c r="AZ6" s="16">
        <v>0.0</v>
      </c>
      <c r="BA6" s="51"/>
      <c r="BB6" s="51"/>
      <c r="BC6" s="12" t="s">
        <v>1036</v>
      </c>
      <c r="BD6" s="7">
        <v>0.0</v>
      </c>
      <c r="BE6" s="9"/>
      <c r="BF6" s="9"/>
    </row>
    <row r="7">
      <c r="A7" s="7">
        <v>1334.0</v>
      </c>
      <c r="B7" s="8" t="s">
        <v>50</v>
      </c>
      <c r="C7" s="16" t="str">
        <f t="shared" si="1"/>
        <v>ESD-06_ESD AT IN FRONT OF PUMP HOUSE</v>
      </c>
      <c r="D7" s="20" t="s">
        <v>1053</v>
      </c>
      <c r="E7" s="20" t="s">
        <v>1053</v>
      </c>
      <c r="F7" s="20" t="s">
        <v>1054</v>
      </c>
      <c r="G7" s="41" t="s">
        <v>1055</v>
      </c>
      <c r="H7" s="41">
        <v>0.0</v>
      </c>
      <c r="I7" s="18"/>
      <c r="J7" s="18"/>
      <c r="K7" s="41" t="s">
        <v>1056</v>
      </c>
      <c r="L7" s="41">
        <v>0.0</v>
      </c>
      <c r="M7" s="51"/>
      <c r="N7" s="51"/>
      <c r="O7" s="12" t="s">
        <v>1027</v>
      </c>
      <c r="P7" s="16">
        <v>0.0</v>
      </c>
      <c r="Q7" s="51"/>
      <c r="R7" s="51"/>
      <c r="S7" s="12" t="s">
        <v>1028</v>
      </c>
      <c r="T7" s="16">
        <v>0.0</v>
      </c>
      <c r="U7" s="51"/>
      <c r="V7" s="51"/>
      <c r="W7" s="12" t="s">
        <v>1029</v>
      </c>
      <c r="X7" s="16">
        <v>0.0</v>
      </c>
      <c r="Y7" s="51"/>
      <c r="Z7" s="51"/>
      <c r="AA7" s="12" t="s">
        <v>1030</v>
      </c>
      <c r="AB7" s="16">
        <v>0.0</v>
      </c>
      <c r="AC7" s="51"/>
      <c r="AD7" s="51"/>
      <c r="AE7" s="12" t="s">
        <v>1031</v>
      </c>
      <c r="AF7" s="16">
        <v>0.0</v>
      </c>
      <c r="AG7" s="51"/>
      <c r="AH7" s="51"/>
      <c r="AI7" s="12" t="s">
        <v>1032</v>
      </c>
      <c r="AJ7" s="16">
        <v>0.0</v>
      </c>
      <c r="AK7" s="51"/>
      <c r="AL7" s="51"/>
      <c r="AM7" s="12" t="s">
        <v>1033</v>
      </c>
      <c r="AN7" s="16">
        <v>0.0</v>
      </c>
      <c r="AO7" s="51"/>
      <c r="AP7" s="51"/>
      <c r="AQ7" s="12" t="s">
        <v>1034</v>
      </c>
      <c r="AR7" s="16">
        <v>0.0</v>
      </c>
      <c r="AS7" s="51"/>
      <c r="AT7" s="51"/>
      <c r="AU7" s="12" t="s">
        <v>1001</v>
      </c>
      <c r="AV7" s="16">
        <v>0.0</v>
      </c>
      <c r="AW7" s="51"/>
      <c r="AX7" s="51"/>
      <c r="AY7" s="12" t="s">
        <v>1035</v>
      </c>
      <c r="AZ7" s="16">
        <v>0.0</v>
      </c>
      <c r="BA7" s="51"/>
      <c r="BB7" s="51"/>
      <c r="BC7" s="12" t="s">
        <v>1036</v>
      </c>
      <c r="BD7" s="7">
        <v>0.0</v>
      </c>
      <c r="BE7" s="9"/>
      <c r="BF7" s="9"/>
    </row>
    <row r="8">
      <c r="A8" s="7">
        <v>1334.0</v>
      </c>
      <c r="B8" s="8" t="s">
        <v>50</v>
      </c>
      <c r="C8" s="16" t="str">
        <f t="shared" si="1"/>
        <v>ESD-07_ESD AT NEAR TANK 04</v>
      </c>
      <c r="D8" s="20" t="s">
        <v>1057</v>
      </c>
      <c r="E8" s="20" t="s">
        <v>1057</v>
      </c>
      <c r="F8" s="20" t="s">
        <v>1058</v>
      </c>
      <c r="G8" s="41" t="s">
        <v>1059</v>
      </c>
      <c r="H8" s="41">
        <v>0.0</v>
      </c>
      <c r="I8" s="18"/>
      <c r="J8" s="18"/>
      <c r="K8" s="41" t="s">
        <v>1060</v>
      </c>
      <c r="L8" s="41">
        <v>0.0</v>
      </c>
      <c r="M8" s="51"/>
      <c r="N8" s="51"/>
      <c r="O8" s="12" t="s">
        <v>1027</v>
      </c>
      <c r="P8" s="16">
        <v>0.0</v>
      </c>
      <c r="Q8" s="51"/>
      <c r="R8" s="51"/>
      <c r="S8" s="12" t="s">
        <v>1028</v>
      </c>
      <c r="T8" s="16">
        <v>0.0</v>
      </c>
      <c r="U8" s="51"/>
      <c r="V8" s="51"/>
      <c r="W8" s="12" t="s">
        <v>1029</v>
      </c>
      <c r="X8" s="16">
        <v>0.0</v>
      </c>
      <c r="Y8" s="51"/>
      <c r="Z8" s="51"/>
      <c r="AA8" s="12" t="s">
        <v>1030</v>
      </c>
      <c r="AB8" s="16">
        <v>0.0</v>
      </c>
      <c r="AC8" s="51"/>
      <c r="AD8" s="51"/>
      <c r="AE8" s="12" t="s">
        <v>1031</v>
      </c>
      <c r="AF8" s="16">
        <v>0.0</v>
      </c>
      <c r="AG8" s="51"/>
      <c r="AH8" s="51"/>
      <c r="AI8" s="12" t="s">
        <v>1032</v>
      </c>
      <c r="AJ8" s="16">
        <v>0.0</v>
      </c>
      <c r="AK8" s="51"/>
      <c r="AL8" s="51"/>
      <c r="AM8" s="12" t="s">
        <v>1033</v>
      </c>
      <c r="AN8" s="16">
        <v>0.0</v>
      </c>
      <c r="AO8" s="51"/>
      <c r="AP8" s="51"/>
      <c r="AQ8" s="12" t="s">
        <v>1034</v>
      </c>
      <c r="AR8" s="16">
        <v>0.0</v>
      </c>
      <c r="AS8" s="51"/>
      <c r="AT8" s="51"/>
      <c r="AU8" s="12" t="s">
        <v>1001</v>
      </c>
      <c r="AV8" s="16">
        <v>0.0</v>
      </c>
      <c r="AW8" s="51"/>
      <c r="AX8" s="51"/>
      <c r="AY8" s="12" t="s">
        <v>1035</v>
      </c>
      <c r="AZ8" s="16">
        <v>0.0</v>
      </c>
      <c r="BA8" s="51"/>
      <c r="BB8" s="51"/>
      <c r="BC8" s="12" t="s">
        <v>1036</v>
      </c>
      <c r="BD8" s="7">
        <v>0.0</v>
      </c>
      <c r="BE8" s="9"/>
      <c r="BF8" s="9"/>
    </row>
    <row r="9">
      <c r="A9" s="7">
        <v>1334.0</v>
      </c>
      <c r="B9" s="8" t="s">
        <v>50</v>
      </c>
      <c r="C9" s="16" t="str">
        <f t="shared" si="1"/>
        <v>ESD-08_ESD AT NEAR TANK 28</v>
      </c>
      <c r="D9" s="20" t="s">
        <v>1061</v>
      </c>
      <c r="E9" s="20" t="s">
        <v>1061</v>
      </c>
      <c r="F9" s="20" t="s">
        <v>1062</v>
      </c>
      <c r="G9" s="41" t="s">
        <v>1063</v>
      </c>
      <c r="H9" s="41">
        <v>0.0</v>
      </c>
      <c r="I9" s="18"/>
      <c r="J9" s="18"/>
      <c r="K9" s="41" t="s">
        <v>1064</v>
      </c>
      <c r="L9" s="41">
        <v>0.0</v>
      </c>
      <c r="M9" s="51"/>
      <c r="N9" s="51"/>
      <c r="O9" s="12" t="s">
        <v>1027</v>
      </c>
      <c r="P9" s="16">
        <v>0.0</v>
      </c>
      <c r="Q9" s="51"/>
      <c r="R9" s="51"/>
      <c r="S9" s="12" t="s">
        <v>1028</v>
      </c>
      <c r="T9" s="16">
        <v>0.0</v>
      </c>
      <c r="U9" s="51"/>
      <c r="V9" s="51"/>
      <c r="W9" s="12" t="s">
        <v>1029</v>
      </c>
      <c r="X9" s="16">
        <v>0.0</v>
      </c>
      <c r="Y9" s="51"/>
      <c r="Z9" s="51"/>
      <c r="AA9" s="12" t="s">
        <v>1030</v>
      </c>
      <c r="AB9" s="16">
        <v>0.0</v>
      </c>
      <c r="AC9" s="51"/>
      <c r="AD9" s="51"/>
      <c r="AE9" s="12" t="s">
        <v>1031</v>
      </c>
      <c r="AF9" s="16">
        <v>0.0</v>
      </c>
      <c r="AG9" s="51"/>
      <c r="AH9" s="51"/>
      <c r="AI9" s="12" t="s">
        <v>1032</v>
      </c>
      <c r="AJ9" s="16">
        <v>0.0</v>
      </c>
      <c r="AK9" s="51"/>
      <c r="AL9" s="51"/>
      <c r="AM9" s="12" t="s">
        <v>1033</v>
      </c>
      <c r="AN9" s="16">
        <v>0.0</v>
      </c>
      <c r="AO9" s="51"/>
      <c r="AP9" s="51"/>
      <c r="AQ9" s="12" t="s">
        <v>1034</v>
      </c>
      <c r="AR9" s="16">
        <v>0.0</v>
      </c>
      <c r="AS9" s="51"/>
      <c r="AT9" s="51"/>
      <c r="AU9" s="12" t="s">
        <v>1001</v>
      </c>
      <c r="AV9" s="16">
        <v>0.0</v>
      </c>
      <c r="AW9" s="51"/>
      <c r="AX9" s="51"/>
      <c r="AY9" s="12" t="s">
        <v>1035</v>
      </c>
      <c r="AZ9" s="16">
        <v>0.0</v>
      </c>
      <c r="BA9" s="51"/>
      <c r="BB9" s="51"/>
      <c r="BC9" s="12" t="s">
        <v>1036</v>
      </c>
      <c r="BD9" s="7">
        <v>0.0</v>
      </c>
      <c r="BE9" s="9"/>
      <c r="BF9" s="9"/>
    </row>
    <row r="10">
      <c r="A10" s="7">
        <v>1334.0</v>
      </c>
      <c r="B10" s="8" t="s">
        <v>50</v>
      </c>
      <c r="C10" s="16" t="str">
        <f t="shared" si="1"/>
        <v>ESD-09_ESD AT NEAR TANK 17</v>
      </c>
      <c r="D10" s="20" t="s">
        <v>1065</v>
      </c>
      <c r="E10" s="20" t="s">
        <v>1065</v>
      </c>
      <c r="F10" s="20" t="s">
        <v>1066</v>
      </c>
      <c r="G10" s="41" t="s">
        <v>1067</v>
      </c>
      <c r="H10" s="41">
        <v>0.0</v>
      </c>
      <c r="I10" s="18"/>
      <c r="J10" s="18"/>
      <c r="K10" s="41" t="s">
        <v>1068</v>
      </c>
      <c r="L10" s="41">
        <v>0.0</v>
      </c>
      <c r="M10" s="51"/>
      <c r="N10" s="51"/>
      <c r="O10" s="12" t="s">
        <v>1027</v>
      </c>
      <c r="P10" s="16">
        <v>0.0</v>
      </c>
      <c r="Q10" s="51"/>
      <c r="R10" s="51"/>
      <c r="S10" s="12" t="s">
        <v>1028</v>
      </c>
      <c r="T10" s="16">
        <v>0.0</v>
      </c>
      <c r="U10" s="51"/>
      <c r="V10" s="51"/>
      <c r="W10" s="12" t="s">
        <v>1029</v>
      </c>
      <c r="X10" s="16">
        <v>0.0</v>
      </c>
      <c r="Y10" s="51"/>
      <c r="Z10" s="51"/>
      <c r="AA10" s="12" t="s">
        <v>1030</v>
      </c>
      <c r="AB10" s="16">
        <v>0.0</v>
      </c>
      <c r="AC10" s="51"/>
      <c r="AD10" s="51"/>
      <c r="AE10" s="12" t="s">
        <v>1031</v>
      </c>
      <c r="AF10" s="16">
        <v>0.0</v>
      </c>
      <c r="AG10" s="51"/>
      <c r="AH10" s="51"/>
      <c r="AI10" s="12" t="s">
        <v>1032</v>
      </c>
      <c r="AJ10" s="16">
        <v>0.0</v>
      </c>
      <c r="AK10" s="51"/>
      <c r="AL10" s="51"/>
      <c r="AM10" s="12" t="s">
        <v>1033</v>
      </c>
      <c r="AN10" s="16">
        <v>0.0</v>
      </c>
      <c r="AO10" s="51"/>
      <c r="AP10" s="51"/>
      <c r="AQ10" s="12" t="s">
        <v>1034</v>
      </c>
      <c r="AR10" s="16">
        <v>0.0</v>
      </c>
      <c r="AS10" s="51"/>
      <c r="AT10" s="51"/>
      <c r="AU10" s="12" t="s">
        <v>1001</v>
      </c>
      <c r="AV10" s="16">
        <v>0.0</v>
      </c>
      <c r="AW10" s="51"/>
      <c r="AX10" s="51"/>
      <c r="AY10" s="12" t="s">
        <v>1035</v>
      </c>
      <c r="AZ10" s="16">
        <v>0.0</v>
      </c>
      <c r="BA10" s="51"/>
      <c r="BB10" s="51"/>
      <c r="BC10" s="12" t="s">
        <v>1036</v>
      </c>
      <c r="BD10" s="7">
        <v>0.0</v>
      </c>
      <c r="BE10" s="9"/>
      <c r="BF10" s="9"/>
    </row>
    <row r="11">
      <c r="A11" s="7">
        <v>1334.0</v>
      </c>
      <c r="B11" s="8" t="s">
        <v>50</v>
      </c>
      <c r="C11" s="16" t="str">
        <f t="shared" si="1"/>
        <v>ESD-10_ESD AT MCC ROOM</v>
      </c>
      <c r="D11" s="20" t="s">
        <v>1069</v>
      </c>
      <c r="E11" s="20" t="s">
        <v>1069</v>
      </c>
      <c r="F11" s="20" t="s">
        <v>1070</v>
      </c>
      <c r="G11" s="41" t="s">
        <v>1071</v>
      </c>
      <c r="H11" s="41">
        <v>0.0</v>
      </c>
      <c r="I11" s="18"/>
      <c r="J11" s="18"/>
      <c r="K11" s="41" t="s">
        <v>1072</v>
      </c>
      <c r="L11" s="41">
        <v>0.0</v>
      </c>
      <c r="M11" s="51"/>
      <c r="N11" s="51"/>
      <c r="O11" s="12" t="s">
        <v>1027</v>
      </c>
      <c r="P11" s="16">
        <v>0.0</v>
      </c>
      <c r="Q11" s="51"/>
      <c r="R11" s="51"/>
      <c r="S11" s="12" t="s">
        <v>1028</v>
      </c>
      <c r="T11" s="16">
        <v>0.0</v>
      </c>
      <c r="U11" s="51"/>
      <c r="V11" s="51"/>
      <c r="W11" s="12" t="s">
        <v>1029</v>
      </c>
      <c r="X11" s="16">
        <v>0.0</v>
      </c>
      <c r="Y11" s="51"/>
      <c r="Z11" s="51"/>
      <c r="AA11" s="12" t="s">
        <v>1030</v>
      </c>
      <c r="AB11" s="16">
        <v>0.0</v>
      </c>
      <c r="AC11" s="51"/>
      <c r="AD11" s="51"/>
      <c r="AE11" s="12" t="s">
        <v>1031</v>
      </c>
      <c r="AF11" s="16">
        <v>0.0</v>
      </c>
      <c r="AG11" s="51"/>
      <c r="AH11" s="51"/>
      <c r="AI11" s="12" t="s">
        <v>1032</v>
      </c>
      <c r="AJ11" s="16">
        <v>0.0</v>
      </c>
      <c r="AK11" s="51"/>
      <c r="AL11" s="51"/>
      <c r="AM11" s="12" t="s">
        <v>1033</v>
      </c>
      <c r="AN11" s="16">
        <v>0.0</v>
      </c>
      <c r="AO11" s="51"/>
      <c r="AP11" s="51"/>
      <c r="AQ11" s="12" t="s">
        <v>1034</v>
      </c>
      <c r="AR11" s="16">
        <v>0.0</v>
      </c>
      <c r="AS11" s="51"/>
      <c r="AT11" s="51"/>
      <c r="AU11" s="12" t="s">
        <v>1001</v>
      </c>
      <c r="AV11" s="16">
        <v>0.0</v>
      </c>
      <c r="AW11" s="51"/>
      <c r="AX11" s="51"/>
      <c r="AY11" s="12" t="s">
        <v>1035</v>
      </c>
      <c r="AZ11" s="16">
        <v>0.0</v>
      </c>
      <c r="BA11" s="51"/>
      <c r="BB11" s="51"/>
      <c r="BC11" s="12" t="s">
        <v>1036</v>
      </c>
      <c r="BD11" s="7">
        <v>0.0</v>
      </c>
      <c r="BE11" s="9"/>
      <c r="BF11" s="9"/>
    </row>
    <row r="12">
      <c r="A12" s="7">
        <v>1334.0</v>
      </c>
      <c r="B12" s="8" t="s">
        <v>50</v>
      </c>
      <c r="C12" s="16" t="str">
        <f t="shared" si="1"/>
        <v>ESD-11_ESD AT ADMIN BULDING</v>
      </c>
      <c r="D12" s="20" t="s">
        <v>1073</v>
      </c>
      <c r="E12" s="20" t="s">
        <v>1073</v>
      </c>
      <c r="F12" s="20" t="s">
        <v>1074</v>
      </c>
      <c r="G12" s="41" t="s">
        <v>1075</v>
      </c>
      <c r="H12" s="41">
        <v>0.0</v>
      </c>
      <c r="I12" s="18"/>
      <c r="J12" s="18"/>
      <c r="K12" s="41" t="s">
        <v>1076</v>
      </c>
      <c r="L12" s="41">
        <v>0.0</v>
      </c>
      <c r="M12" s="51"/>
      <c r="N12" s="51"/>
      <c r="O12" s="12" t="s">
        <v>1027</v>
      </c>
      <c r="P12" s="16">
        <v>0.0</v>
      </c>
      <c r="Q12" s="51"/>
      <c r="R12" s="51"/>
      <c r="S12" s="12" t="s">
        <v>1028</v>
      </c>
      <c r="T12" s="16">
        <v>0.0</v>
      </c>
      <c r="U12" s="51"/>
      <c r="V12" s="51"/>
      <c r="W12" s="12" t="s">
        <v>1029</v>
      </c>
      <c r="X12" s="16">
        <v>0.0</v>
      </c>
      <c r="Y12" s="51"/>
      <c r="Z12" s="51"/>
      <c r="AA12" s="12" t="s">
        <v>1030</v>
      </c>
      <c r="AB12" s="16">
        <v>0.0</v>
      </c>
      <c r="AC12" s="51"/>
      <c r="AD12" s="51"/>
      <c r="AE12" s="12" t="s">
        <v>1031</v>
      </c>
      <c r="AF12" s="16">
        <v>0.0</v>
      </c>
      <c r="AG12" s="51"/>
      <c r="AH12" s="51"/>
      <c r="AI12" s="12" t="s">
        <v>1032</v>
      </c>
      <c r="AJ12" s="16">
        <v>0.0</v>
      </c>
      <c r="AK12" s="51"/>
      <c r="AL12" s="51"/>
      <c r="AM12" s="12" t="s">
        <v>1033</v>
      </c>
      <c r="AN12" s="16">
        <v>0.0</v>
      </c>
      <c r="AO12" s="51"/>
      <c r="AP12" s="51"/>
      <c r="AQ12" s="12" t="s">
        <v>1034</v>
      </c>
      <c r="AR12" s="16">
        <v>0.0</v>
      </c>
      <c r="AS12" s="51"/>
      <c r="AT12" s="51"/>
      <c r="AU12" s="12" t="s">
        <v>1001</v>
      </c>
      <c r="AV12" s="16">
        <v>0.0</v>
      </c>
      <c r="AW12" s="51"/>
      <c r="AX12" s="51"/>
      <c r="AY12" s="12" t="s">
        <v>1035</v>
      </c>
      <c r="AZ12" s="16">
        <v>0.0</v>
      </c>
      <c r="BA12" s="51"/>
      <c r="BB12" s="51"/>
      <c r="BC12" s="12" t="s">
        <v>1036</v>
      </c>
      <c r="BD12" s="7">
        <v>0.0</v>
      </c>
      <c r="BE12" s="9"/>
      <c r="BF12" s="9"/>
    </row>
    <row r="13">
      <c r="A13" s="7">
        <v>1334.0</v>
      </c>
      <c r="B13" s="8" t="s">
        <v>50</v>
      </c>
      <c r="C13" s="16" t="str">
        <f t="shared" si="1"/>
        <v>ESD-12_ESD AT NEAR ERV SHED</v>
      </c>
      <c r="D13" s="20" t="s">
        <v>1077</v>
      </c>
      <c r="E13" s="20" t="s">
        <v>1077</v>
      </c>
      <c r="F13" s="20" t="s">
        <v>1078</v>
      </c>
      <c r="G13" s="41" t="s">
        <v>1079</v>
      </c>
      <c r="H13" s="41">
        <v>0.0</v>
      </c>
      <c r="I13" s="18"/>
      <c r="J13" s="18"/>
      <c r="K13" s="41" t="s">
        <v>1080</v>
      </c>
      <c r="L13" s="41">
        <v>0.0</v>
      </c>
      <c r="M13" s="51"/>
      <c r="N13" s="51"/>
      <c r="O13" s="12" t="s">
        <v>1027</v>
      </c>
      <c r="P13" s="16">
        <v>0.0</v>
      </c>
      <c r="Q13" s="51"/>
      <c r="R13" s="51"/>
      <c r="S13" s="12" t="s">
        <v>1028</v>
      </c>
      <c r="T13" s="16">
        <v>0.0</v>
      </c>
      <c r="U13" s="51"/>
      <c r="V13" s="51"/>
      <c r="W13" s="12" t="s">
        <v>1029</v>
      </c>
      <c r="X13" s="16">
        <v>0.0</v>
      </c>
      <c r="Y13" s="51"/>
      <c r="Z13" s="51"/>
      <c r="AA13" s="12" t="s">
        <v>1030</v>
      </c>
      <c r="AB13" s="16">
        <v>0.0</v>
      </c>
      <c r="AC13" s="51"/>
      <c r="AD13" s="51"/>
      <c r="AE13" s="12" t="s">
        <v>1031</v>
      </c>
      <c r="AF13" s="16">
        <v>0.0</v>
      </c>
      <c r="AG13" s="51"/>
      <c r="AH13" s="51"/>
      <c r="AI13" s="12" t="s">
        <v>1032</v>
      </c>
      <c r="AJ13" s="16">
        <v>0.0</v>
      </c>
      <c r="AK13" s="51"/>
      <c r="AL13" s="51"/>
      <c r="AM13" s="12" t="s">
        <v>1033</v>
      </c>
      <c r="AN13" s="16">
        <v>0.0</v>
      </c>
      <c r="AO13" s="51"/>
      <c r="AP13" s="51"/>
      <c r="AQ13" s="12" t="s">
        <v>1034</v>
      </c>
      <c r="AR13" s="16">
        <v>0.0</v>
      </c>
      <c r="AS13" s="51"/>
      <c r="AT13" s="51"/>
      <c r="AU13" s="12" t="s">
        <v>1001</v>
      </c>
      <c r="AV13" s="16">
        <v>0.0</v>
      </c>
      <c r="AW13" s="51"/>
      <c r="AX13" s="51"/>
      <c r="AY13" s="12" t="s">
        <v>1035</v>
      </c>
      <c r="AZ13" s="16">
        <v>0.0</v>
      </c>
      <c r="BA13" s="51"/>
      <c r="BB13" s="51"/>
      <c r="BC13" s="12" t="s">
        <v>1036</v>
      </c>
      <c r="BD13" s="7">
        <v>0.0</v>
      </c>
      <c r="BE13" s="9"/>
      <c r="BF13" s="9"/>
    </row>
    <row r="14">
      <c r="A14" s="7">
        <v>1334.0</v>
      </c>
      <c r="B14" s="8" t="s">
        <v>50</v>
      </c>
      <c r="C14" s="16" t="str">
        <f t="shared" si="1"/>
        <v>ESD-13_ESD FROM PIPE LINE PLC</v>
      </c>
      <c r="D14" s="20" t="s">
        <v>1081</v>
      </c>
      <c r="E14" s="20" t="s">
        <v>1082</v>
      </c>
      <c r="F14" s="20" t="s">
        <v>1083</v>
      </c>
      <c r="G14" s="41" t="s">
        <v>1084</v>
      </c>
      <c r="H14" s="41">
        <v>0.0</v>
      </c>
      <c r="I14" s="18"/>
      <c r="J14" s="18"/>
      <c r="K14" s="41" t="s">
        <v>1085</v>
      </c>
      <c r="L14" s="41">
        <v>0.0</v>
      </c>
      <c r="M14" s="51"/>
      <c r="N14" s="51"/>
      <c r="O14" s="12" t="s">
        <v>1027</v>
      </c>
      <c r="P14" s="16">
        <v>0.0</v>
      </c>
      <c r="Q14" s="51"/>
      <c r="R14" s="51"/>
      <c r="S14" s="12" t="s">
        <v>1028</v>
      </c>
      <c r="T14" s="16">
        <v>0.0</v>
      </c>
      <c r="U14" s="51"/>
      <c r="V14" s="51"/>
      <c r="W14" s="12" t="s">
        <v>1029</v>
      </c>
      <c r="X14" s="16">
        <v>0.0</v>
      </c>
      <c r="Y14" s="51"/>
      <c r="Z14" s="51"/>
      <c r="AA14" s="12" t="s">
        <v>1030</v>
      </c>
      <c r="AB14" s="16">
        <v>0.0</v>
      </c>
      <c r="AC14" s="51"/>
      <c r="AD14" s="51"/>
      <c r="AE14" s="12" t="s">
        <v>1031</v>
      </c>
      <c r="AF14" s="16">
        <v>0.0</v>
      </c>
      <c r="AG14" s="51"/>
      <c r="AH14" s="51"/>
      <c r="AI14" s="12" t="s">
        <v>1032</v>
      </c>
      <c r="AJ14" s="16">
        <v>0.0</v>
      </c>
      <c r="AK14" s="51"/>
      <c r="AL14" s="51"/>
      <c r="AM14" s="12" t="s">
        <v>1033</v>
      </c>
      <c r="AN14" s="16">
        <v>0.0</v>
      </c>
      <c r="AO14" s="51"/>
      <c r="AP14" s="51"/>
      <c r="AQ14" s="12" t="s">
        <v>1034</v>
      </c>
      <c r="AR14" s="16">
        <v>0.0</v>
      </c>
      <c r="AS14" s="51"/>
      <c r="AT14" s="51"/>
      <c r="AU14" s="12" t="s">
        <v>1001</v>
      </c>
      <c r="AV14" s="16">
        <v>0.0</v>
      </c>
      <c r="AW14" s="51"/>
      <c r="AX14" s="51"/>
      <c r="AY14" s="12" t="s">
        <v>1035</v>
      </c>
      <c r="AZ14" s="16">
        <v>0.0</v>
      </c>
      <c r="BA14" s="51"/>
      <c r="BB14" s="51"/>
      <c r="BC14" s="12" t="s">
        <v>1036</v>
      </c>
      <c r="BD14" s="7">
        <v>0.0</v>
      </c>
      <c r="BE14" s="9"/>
      <c r="BF14" s="9"/>
    </row>
    <row r="15">
      <c r="A15" s="7">
        <v>1334.0</v>
      </c>
      <c r="B15" s="8" t="s">
        <v>50</v>
      </c>
      <c r="C15" s="16" t="str">
        <f t="shared" si="1"/>
        <v>ESD-14_CENTRAL ESD</v>
      </c>
      <c r="D15" s="20" t="s">
        <v>1086</v>
      </c>
      <c r="E15" s="20" t="s">
        <v>1087</v>
      </c>
      <c r="F15" s="20" t="s">
        <v>1088</v>
      </c>
      <c r="G15" s="41" t="s">
        <v>1089</v>
      </c>
      <c r="H15" s="41">
        <v>0.0</v>
      </c>
      <c r="I15" s="18"/>
      <c r="J15" s="18"/>
      <c r="K15" s="18"/>
      <c r="L15" s="18"/>
      <c r="M15" s="51"/>
      <c r="N15" s="51"/>
      <c r="O15" s="12" t="s">
        <v>1027</v>
      </c>
      <c r="P15" s="16">
        <v>0.0</v>
      </c>
      <c r="Q15" s="51"/>
      <c r="R15" s="51"/>
      <c r="S15" s="12" t="s">
        <v>1028</v>
      </c>
      <c r="T15" s="16">
        <v>0.0</v>
      </c>
      <c r="U15" s="51"/>
      <c r="V15" s="51"/>
      <c r="W15" s="12" t="s">
        <v>1029</v>
      </c>
      <c r="X15" s="16">
        <v>0.0</v>
      </c>
      <c r="Y15" s="51"/>
      <c r="Z15" s="51"/>
      <c r="AA15" s="12" t="s">
        <v>1030</v>
      </c>
      <c r="AB15" s="16">
        <v>0.0</v>
      </c>
      <c r="AC15" s="51"/>
      <c r="AD15" s="51"/>
      <c r="AE15" s="12" t="s">
        <v>1031</v>
      </c>
      <c r="AF15" s="16">
        <v>0.0</v>
      </c>
      <c r="AG15" s="51"/>
      <c r="AH15" s="51"/>
      <c r="AI15" s="12" t="s">
        <v>1032</v>
      </c>
      <c r="AJ15" s="16">
        <v>0.0</v>
      </c>
      <c r="AK15" s="51"/>
      <c r="AL15" s="51"/>
      <c r="AM15" s="12" t="s">
        <v>1033</v>
      </c>
      <c r="AN15" s="16">
        <v>0.0</v>
      </c>
      <c r="AO15" s="51"/>
      <c r="AP15" s="51"/>
      <c r="AQ15" s="12" t="s">
        <v>1034</v>
      </c>
      <c r="AR15" s="16">
        <v>0.0</v>
      </c>
      <c r="AS15" s="51"/>
      <c r="AT15" s="51"/>
      <c r="AU15" s="12" t="s">
        <v>1001</v>
      </c>
      <c r="AV15" s="16">
        <v>0.0</v>
      </c>
      <c r="AW15" s="51"/>
      <c r="AX15" s="51"/>
      <c r="AY15" s="12" t="s">
        <v>1035</v>
      </c>
      <c r="AZ15" s="16">
        <v>0.0</v>
      </c>
      <c r="BA15" s="51"/>
      <c r="BB15" s="51"/>
      <c r="BC15" s="12" t="s">
        <v>1036</v>
      </c>
      <c r="BD15" s="7">
        <v>0.0</v>
      </c>
      <c r="BE15" s="9"/>
      <c r="BF15" s="9"/>
    </row>
    <row r="16">
      <c r="A16" s="7">
        <v>1334.0</v>
      </c>
      <c r="B16" s="8" t="s">
        <v>50</v>
      </c>
      <c r="C16" s="16" t="str">
        <f t="shared" si="1"/>
        <v>ESD-17_ESD DUE TO RIM SEAL</v>
      </c>
      <c r="D16" s="20" t="s">
        <v>1090</v>
      </c>
      <c r="E16" s="20" t="s">
        <v>1091</v>
      </c>
      <c r="F16" s="20" t="s">
        <v>1092</v>
      </c>
      <c r="G16" s="41" t="s">
        <v>1093</v>
      </c>
      <c r="H16" s="41">
        <v>0.0</v>
      </c>
      <c r="I16" s="18"/>
      <c r="J16" s="18"/>
      <c r="K16" s="18"/>
      <c r="L16" s="18"/>
      <c r="M16" s="51"/>
      <c r="N16" s="51"/>
      <c r="O16" s="12" t="s">
        <v>1027</v>
      </c>
      <c r="P16" s="16">
        <v>0.0</v>
      </c>
      <c r="Q16" s="51"/>
      <c r="R16" s="51"/>
      <c r="S16" s="12" t="s">
        <v>1028</v>
      </c>
      <c r="T16" s="16">
        <v>0.0</v>
      </c>
      <c r="U16" s="51"/>
      <c r="V16" s="51"/>
      <c r="W16" s="12" t="s">
        <v>1029</v>
      </c>
      <c r="X16" s="16">
        <v>0.0</v>
      </c>
      <c r="Y16" s="51"/>
      <c r="Z16" s="51"/>
      <c r="AA16" s="12" t="s">
        <v>1030</v>
      </c>
      <c r="AB16" s="16">
        <v>0.0</v>
      </c>
      <c r="AC16" s="51"/>
      <c r="AD16" s="51"/>
      <c r="AE16" s="12" t="s">
        <v>1031</v>
      </c>
      <c r="AF16" s="16">
        <v>0.0</v>
      </c>
      <c r="AG16" s="51"/>
      <c r="AH16" s="51"/>
      <c r="AI16" s="12" t="s">
        <v>1032</v>
      </c>
      <c r="AJ16" s="16">
        <v>0.0</v>
      </c>
      <c r="AK16" s="51"/>
      <c r="AL16" s="51"/>
      <c r="AM16" s="12" t="s">
        <v>1033</v>
      </c>
      <c r="AN16" s="16">
        <v>0.0</v>
      </c>
      <c r="AO16" s="51"/>
      <c r="AP16" s="51"/>
      <c r="AQ16" s="12" t="s">
        <v>1034</v>
      </c>
      <c r="AR16" s="16">
        <v>0.0</v>
      </c>
      <c r="AS16" s="51"/>
      <c r="AT16" s="51"/>
      <c r="AU16" s="12" t="s">
        <v>1001</v>
      </c>
      <c r="AV16" s="16">
        <v>0.0</v>
      </c>
      <c r="AW16" s="51"/>
      <c r="AX16" s="51"/>
      <c r="AY16" s="12" t="s">
        <v>1035</v>
      </c>
      <c r="AZ16" s="16">
        <v>0.0</v>
      </c>
      <c r="BA16" s="51"/>
      <c r="BB16" s="51"/>
      <c r="BC16" s="12" t="s">
        <v>1036</v>
      </c>
      <c r="BD16" s="7">
        <v>0.0</v>
      </c>
      <c r="BE16" s="9"/>
      <c r="BF16" s="9"/>
    </row>
    <row r="17">
      <c r="A17" s="7">
        <v>1334.0</v>
      </c>
      <c r="B17" s="8" t="s">
        <v>50</v>
      </c>
      <c r="C17" s="16" t="str">
        <f t="shared" si="1"/>
        <v>ESD-18_ESD AT NEAR TK 15</v>
      </c>
      <c r="D17" s="20" t="s">
        <v>1094</v>
      </c>
      <c r="E17" s="20" t="s">
        <v>1081</v>
      </c>
      <c r="F17" s="20" t="s">
        <v>1095</v>
      </c>
      <c r="G17" s="41" t="s">
        <v>1096</v>
      </c>
      <c r="H17" s="41">
        <v>0.0</v>
      </c>
      <c r="I17" s="18"/>
      <c r="J17" s="18"/>
      <c r="K17" s="41" t="s">
        <v>1097</v>
      </c>
      <c r="L17" s="41">
        <v>0.0</v>
      </c>
      <c r="M17" s="51"/>
      <c r="N17" s="51"/>
      <c r="O17" s="12" t="s">
        <v>1027</v>
      </c>
      <c r="P17" s="16">
        <v>0.0</v>
      </c>
      <c r="Q17" s="51"/>
      <c r="R17" s="51"/>
      <c r="S17" s="12" t="s">
        <v>1028</v>
      </c>
      <c r="T17" s="16">
        <v>0.0</v>
      </c>
      <c r="U17" s="51"/>
      <c r="V17" s="51"/>
      <c r="W17" s="12" t="s">
        <v>1029</v>
      </c>
      <c r="X17" s="16">
        <v>0.0</v>
      </c>
      <c r="Y17" s="51"/>
      <c r="Z17" s="51"/>
      <c r="AA17" s="12" t="s">
        <v>1030</v>
      </c>
      <c r="AB17" s="16">
        <v>0.0</v>
      </c>
      <c r="AC17" s="51"/>
      <c r="AD17" s="51"/>
      <c r="AE17" s="12" t="s">
        <v>1031</v>
      </c>
      <c r="AF17" s="16">
        <v>0.0</v>
      </c>
      <c r="AG17" s="51"/>
      <c r="AH17" s="51"/>
      <c r="AI17" s="12" t="s">
        <v>1032</v>
      </c>
      <c r="AJ17" s="16">
        <v>0.0</v>
      </c>
      <c r="AK17" s="51"/>
      <c r="AL17" s="51"/>
      <c r="AM17" s="12" t="s">
        <v>1033</v>
      </c>
      <c r="AN17" s="16">
        <v>0.0</v>
      </c>
      <c r="AO17" s="51"/>
      <c r="AP17" s="51"/>
      <c r="AQ17" s="12" t="s">
        <v>1034</v>
      </c>
      <c r="AR17" s="16">
        <v>0.0</v>
      </c>
      <c r="AS17" s="51"/>
      <c r="AT17" s="51"/>
      <c r="AU17" s="12" t="s">
        <v>1001</v>
      </c>
      <c r="AV17" s="16">
        <v>0.0</v>
      </c>
      <c r="AW17" s="51"/>
      <c r="AX17" s="51"/>
      <c r="AY17" s="12" t="s">
        <v>1035</v>
      </c>
      <c r="AZ17" s="16">
        <v>0.0</v>
      </c>
      <c r="BA17" s="51"/>
      <c r="BB17" s="51"/>
      <c r="BC17" s="12" t="s">
        <v>1036</v>
      </c>
      <c r="BD17" s="7">
        <v>0.0</v>
      </c>
      <c r="BE17" s="9"/>
      <c r="BF17" s="9"/>
    </row>
    <row r="18">
      <c r="A18" s="7">
        <v>1334.0</v>
      </c>
      <c r="B18" s="8" t="s">
        <v>50</v>
      </c>
      <c r="C18" s="16" t="str">
        <f t="shared" si="1"/>
        <v>ESD-19_ESD AT NEAR TK 01</v>
      </c>
      <c r="D18" s="20" t="s">
        <v>1098</v>
      </c>
      <c r="E18" s="20" t="s">
        <v>1086</v>
      </c>
      <c r="F18" s="20" t="s">
        <v>1099</v>
      </c>
      <c r="G18" s="41" t="s">
        <v>1100</v>
      </c>
      <c r="H18" s="41">
        <v>0.0</v>
      </c>
      <c r="I18" s="18"/>
      <c r="J18" s="18"/>
      <c r="K18" s="41" t="s">
        <v>1101</v>
      </c>
      <c r="L18" s="41">
        <v>0.0</v>
      </c>
      <c r="M18" s="51"/>
      <c r="N18" s="51"/>
      <c r="O18" s="12" t="s">
        <v>1027</v>
      </c>
      <c r="P18" s="16">
        <v>0.0</v>
      </c>
      <c r="Q18" s="51"/>
      <c r="R18" s="51"/>
      <c r="S18" s="12" t="s">
        <v>1028</v>
      </c>
      <c r="T18" s="16">
        <v>0.0</v>
      </c>
      <c r="U18" s="51"/>
      <c r="V18" s="51"/>
      <c r="W18" s="12" t="s">
        <v>1029</v>
      </c>
      <c r="X18" s="16">
        <v>0.0</v>
      </c>
      <c r="Y18" s="51"/>
      <c r="Z18" s="51"/>
      <c r="AA18" s="12" t="s">
        <v>1030</v>
      </c>
      <c r="AB18" s="16">
        <v>0.0</v>
      </c>
      <c r="AC18" s="51"/>
      <c r="AD18" s="51"/>
      <c r="AE18" s="12" t="s">
        <v>1031</v>
      </c>
      <c r="AF18" s="16">
        <v>0.0</v>
      </c>
      <c r="AG18" s="51"/>
      <c r="AH18" s="51"/>
      <c r="AI18" s="12" t="s">
        <v>1032</v>
      </c>
      <c r="AJ18" s="16">
        <v>0.0</v>
      </c>
      <c r="AK18" s="51"/>
      <c r="AL18" s="51"/>
      <c r="AM18" s="12" t="s">
        <v>1033</v>
      </c>
      <c r="AN18" s="16">
        <v>0.0</v>
      </c>
      <c r="AO18" s="51"/>
      <c r="AP18" s="51"/>
      <c r="AQ18" s="12" t="s">
        <v>1034</v>
      </c>
      <c r="AR18" s="16">
        <v>0.0</v>
      </c>
      <c r="AS18" s="51"/>
      <c r="AT18" s="51"/>
      <c r="AU18" s="12" t="s">
        <v>1001</v>
      </c>
      <c r="AV18" s="16">
        <v>0.0</v>
      </c>
      <c r="AW18" s="51"/>
      <c r="AX18" s="51"/>
      <c r="AY18" s="12" t="s">
        <v>1035</v>
      </c>
      <c r="AZ18" s="16">
        <v>0.0</v>
      </c>
      <c r="BA18" s="51"/>
      <c r="BB18" s="51"/>
      <c r="BC18" s="12" t="s">
        <v>1036</v>
      </c>
      <c r="BD18" s="7">
        <v>0.0</v>
      </c>
      <c r="BE18" s="9"/>
      <c r="BF18" s="9"/>
    </row>
    <row r="19">
      <c r="A19" s="7">
        <v>1334.0</v>
      </c>
      <c r="B19" s="8" t="s">
        <v>50</v>
      </c>
      <c r="C19" s="16" t="str">
        <f t="shared" si="1"/>
        <v>ESD-BPCL_ESD-BPCL</v>
      </c>
      <c r="D19" s="20" t="s">
        <v>1102</v>
      </c>
      <c r="E19" s="20" t="s">
        <v>1102</v>
      </c>
      <c r="F19" s="20" t="s">
        <v>1102</v>
      </c>
      <c r="G19" s="41" t="s">
        <v>1103</v>
      </c>
      <c r="H19" s="41">
        <v>0.0</v>
      </c>
      <c r="I19" s="18"/>
      <c r="J19" s="18"/>
      <c r="K19" s="18"/>
      <c r="L19" s="9"/>
      <c r="M19" s="9"/>
      <c r="N19" s="9"/>
      <c r="O19" s="12" t="s">
        <v>1027</v>
      </c>
      <c r="P19" s="16">
        <v>0.0</v>
      </c>
      <c r="Q19" s="51"/>
      <c r="R19" s="51"/>
      <c r="S19" s="12" t="s">
        <v>1028</v>
      </c>
      <c r="T19" s="16">
        <v>0.0</v>
      </c>
      <c r="U19" s="51"/>
      <c r="V19" s="51"/>
      <c r="W19" s="12" t="s">
        <v>1029</v>
      </c>
      <c r="X19" s="16">
        <v>0.0</v>
      </c>
      <c r="Y19" s="51"/>
      <c r="Z19" s="51"/>
      <c r="AA19" s="12" t="s">
        <v>1030</v>
      </c>
      <c r="AB19" s="16">
        <v>0.0</v>
      </c>
      <c r="AC19" s="51"/>
      <c r="AD19" s="51"/>
      <c r="AE19" s="12" t="s">
        <v>1031</v>
      </c>
      <c r="AF19" s="16">
        <v>0.0</v>
      </c>
      <c r="AG19" s="51"/>
      <c r="AH19" s="51"/>
      <c r="AI19" s="12" t="s">
        <v>1032</v>
      </c>
      <c r="AJ19" s="16">
        <v>0.0</v>
      </c>
      <c r="AK19" s="51"/>
      <c r="AL19" s="51"/>
      <c r="AM19" s="12" t="s">
        <v>1033</v>
      </c>
      <c r="AN19" s="16">
        <v>0.0</v>
      </c>
      <c r="AO19" s="51"/>
      <c r="AP19" s="51"/>
      <c r="AQ19" s="12" t="s">
        <v>1034</v>
      </c>
      <c r="AR19" s="16">
        <v>0.0</v>
      </c>
      <c r="AS19" s="51"/>
      <c r="AT19" s="51"/>
      <c r="AU19" s="12" t="s">
        <v>1001</v>
      </c>
      <c r="AV19" s="16">
        <v>0.0</v>
      </c>
      <c r="AW19" s="51"/>
      <c r="AX19" s="51"/>
      <c r="AY19" s="12" t="s">
        <v>1035</v>
      </c>
      <c r="AZ19" s="16">
        <v>0.0</v>
      </c>
      <c r="BA19" s="51"/>
      <c r="BB19" s="51"/>
      <c r="BC19" s="12" t="s">
        <v>1036</v>
      </c>
      <c r="BD19" s="7">
        <v>0.0</v>
      </c>
      <c r="BE19" s="9"/>
      <c r="BF19" s="9"/>
    </row>
    <row r="20">
      <c r="A20" s="7">
        <v>1334.0</v>
      </c>
      <c r="B20" s="8" t="s">
        <v>50</v>
      </c>
      <c r="C20" s="16" t="str">
        <f t="shared" si="1"/>
        <v>ESD-IOCL_ESD-IOCL</v>
      </c>
      <c r="D20" s="20" t="s">
        <v>1104</v>
      </c>
      <c r="E20" s="20" t="s">
        <v>1104</v>
      </c>
      <c r="F20" s="20" t="s">
        <v>1104</v>
      </c>
      <c r="G20" s="41" t="s">
        <v>1105</v>
      </c>
      <c r="H20" s="41">
        <v>0.0</v>
      </c>
      <c r="I20" s="18"/>
      <c r="J20" s="18"/>
      <c r="K20" s="18"/>
      <c r="L20" s="9"/>
      <c r="M20" s="9"/>
      <c r="N20" s="9"/>
      <c r="O20" s="12" t="s">
        <v>1027</v>
      </c>
      <c r="P20" s="16">
        <v>0.0</v>
      </c>
      <c r="Q20" s="51"/>
      <c r="R20" s="51"/>
      <c r="S20" s="12" t="s">
        <v>1028</v>
      </c>
      <c r="T20" s="16">
        <v>0.0</v>
      </c>
      <c r="U20" s="51"/>
      <c r="V20" s="51"/>
      <c r="W20" s="12" t="s">
        <v>1029</v>
      </c>
      <c r="X20" s="16">
        <v>0.0</v>
      </c>
      <c r="Y20" s="51"/>
      <c r="Z20" s="51"/>
      <c r="AA20" s="12" t="s">
        <v>1030</v>
      </c>
      <c r="AB20" s="16">
        <v>0.0</v>
      </c>
      <c r="AC20" s="51"/>
      <c r="AD20" s="51"/>
      <c r="AE20" s="12" t="s">
        <v>1031</v>
      </c>
      <c r="AF20" s="16">
        <v>0.0</v>
      </c>
      <c r="AG20" s="51"/>
      <c r="AH20" s="51"/>
      <c r="AI20" s="12" t="s">
        <v>1032</v>
      </c>
      <c r="AJ20" s="16">
        <v>0.0</v>
      </c>
      <c r="AK20" s="51"/>
      <c r="AL20" s="51"/>
      <c r="AM20" s="12" t="s">
        <v>1033</v>
      </c>
      <c r="AN20" s="16">
        <v>0.0</v>
      </c>
      <c r="AO20" s="51"/>
      <c r="AP20" s="51"/>
      <c r="AQ20" s="12" t="s">
        <v>1034</v>
      </c>
      <c r="AR20" s="16">
        <v>0.0</v>
      </c>
      <c r="AS20" s="51"/>
      <c r="AT20" s="51"/>
      <c r="AU20" s="12" t="s">
        <v>1001</v>
      </c>
      <c r="AV20" s="16">
        <v>0.0</v>
      </c>
      <c r="AW20" s="51"/>
      <c r="AX20" s="51"/>
      <c r="AY20" s="12" t="s">
        <v>1035</v>
      </c>
      <c r="AZ20" s="16">
        <v>0.0</v>
      </c>
      <c r="BA20" s="51"/>
      <c r="BB20" s="51"/>
      <c r="BC20" s="12" t="s">
        <v>1036</v>
      </c>
      <c r="BD20" s="7">
        <v>0.0</v>
      </c>
      <c r="BE20" s="9"/>
      <c r="BF20" s="9"/>
    </row>
    <row r="21">
      <c r="A21" s="7">
        <v>1334.0</v>
      </c>
      <c r="B21" s="8" t="s">
        <v>50</v>
      </c>
      <c r="C21" s="16" t="str">
        <f t="shared" si="1"/>
        <v>ESD-SOFT_SOFT FROM OIC</v>
      </c>
      <c r="D21" s="20" t="s">
        <v>1106</v>
      </c>
      <c r="E21" s="20" t="s">
        <v>1106</v>
      </c>
      <c r="F21" s="20" t="s">
        <v>1107</v>
      </c>
      <c r="G21" s="41" t="s">
        <v>1108</v>
      </c>
      <c r="H21" s="41">
        <v>0.0</v>
      </c>
      <c r="I21" s="18"/>
      <c r="J21" s="18"/>
      <c r="K21" s="18"/>
      <c r="L21" s="9"/>
      <c r="M21" s="9"/>
      <c r="N21" s="9"/>
      <c r="O21" s="12" t="s">
        <v>1027</v>
      </c>
      <c r="P21" s="16">
        <v>0.0</v>
      </c>
      <c r="Q21" s="51"/>
      <c r="R21" s="51"/>
      <c r="S21" s="12" t="s">
        <v>1028</v>
      </c>
      <c r="T21" s="16">
        <v>0.0</v>
      </c>
      <c r="U21" s="51"/>
      <c r="V21" s="51"/>
      <c r="W21" s="12" t="s">
        <v>1029</v>
      </c>
      <c r="X21" s="16">
        <v>0.0</v>
      </c>
      <c r="Y21" s="51"/>
      <c r="Z21" s="51"/>
      <c r="AA21" s="12" t="s">
        <v>1030</v>
      </c>
      <c r="AB21" s="16">
        <v>0.0</v>
      </c>
      <c r="AC21" s="51"/>
      <c r="AD21" s="51"/>
      <c r="AE21" s="12" t="s">
        <v>1031</v>
      </c>
      <c r="AF21" s="16">
        <v>0.0</v>
      </c>
      <c r="AG21" s="51"/>
      <c r="AH21" s="51"/>
      <c r="AI21" s="12" t="s">
        <v>1032</v>
      </c>
      <c r="AJ21" s="16">
        <v>0.0</v>
      </c>
      <c r="AK21" s="51"/>
      <c r="AL21" s="51"/>
      <c r="AM21" s="12" t="s">
        <v>1033</v>
      </c>
      <c r="AN21" s="16">
        <v>0.0</v>
      </c>
      <c r="AO21" s="51"/>
      <c r="AP21" s="51"/>
      <c r="AQ21" s="12" t="s">
        <v>1034</v>
      </c>
      <c r="AR21" s="16">
        <v>0.0</v>
      </c>
      <c r="AS21" s="51"/>
      <c r="AT21" s="51"/>
      <c r="AU21" s="12" t="s">
        <v>1001</v>
      </c>
      <c r="AV21" s="16">
        <v>0.0</v>
      </c>
      <c r="AW21" s="51"/>
      <c r="AX21" s="51"/>
      <c r="AY21" s="12" t="s">
        <v>1035</v>
      </c>
      <c r="AZ21" s="16">
        <v>0.0</v>
      </c>
      <c r="BA21" s="51"/>
      <c r="BB21" s="51"/>
      <c r="BC21" s="12" t="s">
        <v>1036</v>
      </c>
      <c r="BD21" s="7">
        <v>0.0</v>
      </c>
      <c r="BE21" s="9"/>
      <c r="BF21" s="9"/>
    </row>
    <row r="22">
      <c r="A22" s="7">
        <v>1334.0</v>
      </c>
      <c r="B22" s="8" t="s">
        <v>50</v>
      </c>
      <c r="C22" s="16" t="str">
        <f t="shared" si="1"/>
        <v>ESD-VRU_VRU SKID</v>
      </c>
      <c r="D22" s="20" t="s">
        <v>1109</v>
      </c>
      <c r="E22" s="20" t="s">
        <v>1109</v>
      </c>
      <c r="F22" s="20" t="s">
        <v>1110</v>
      </c>
      <c r="G22" s="41" t="s">
        <v>1111</v>
      </c>
      <c r="H22" s="41">
        <v>0.0</v>
      </c>
      <c r="I22" s="18"/>
      <c r="J22" s="18"/>
      <c r="K22" s="18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22.25"/>
    <col customWidth="1" min="8" max="8" width="40.38"/>
    <col customWidth="1" min="12" max="12" width="46.25"/>
    <col customWidth="1" min="16" max="16" width="46.25"/>
    <col customWidth="1" min="20" max="20" width="47.5"/>
    <col customWidth="1" min="24" max="24" width="47.5"/>
    <col customWidth="1" min="28" max="28" width="47.88"/>
    <col customWidth="1" min="32" max="32" width="47.88"/>
    <col customWidth="1" min="36" max="36" width="55.75"/>
    <col customWidth="1" min="40" max="40" width="53.13"/>
    <col customWidth="1" min="44" max="44" width="50.63"/>
    <col customWidth="1" min="48" max="48" width="51.88"/>
    <col customWidth="1" min="52" max="52" width="52.75"/>
    <col customWidth="1" min="56" max="56" width="54.0"/>
    <col customWidth="1" min="60" max="60" width="33.63"/>
    <col customWidth="1" min="64" max="64" width="58.88"/>
    <col customWidth="1" min="68" max="68" width="58.88"/>
    <col customWidth="1" min="72" max="72" width="64.88"/>
    <col customWidth="1" min="80" max="80" width="53.75"/>
  </cols>
  <sheetData>
    <row r="1">
      <c r="A1" s="1" t="s">
        <v>0</v>
      </c>
      <c r="B1" s="1" t="s">
        <v>1</v>
      </c>
      <c r="C1" s="1" t="s">
        <v>2</v>
      </c>
      <c r="D1" s="1" t="s">
        <v>1112</v>
      </c>
      <c r="E1" s="1" t="s">
        <v>1113</v>
      </c>
      <c r="F1" s="1" t="s">
        <v>1114</v>
      </c>
      <c r="G1" s="1" t="s">
        <v>5</v>
      </c>
      <c r="H1" s="53" t="s">
        <v>1115</v>
      </c>
      <c r="I1" s="53" t="s">
        <v>7</v>
      </c>
      <c r="J1" s="53" t="s">
        <v>8</v>
      </c>
      <c r="K1" s="53" t="s">
        <v>9</v>
      </c>
      <c r="L1" s="53" t="s">
        <v>1116</v>
      </c>
      <c r="M1" s="53" t="s">
        <v>7</v>
      </c>
      <c r="N1" s="53" t="s">
        <v>8</v>
      </c>
      <c r="O1" s="53" t="s">
        <v>9</v>
      </c>
      <c r="P1" s="53" t="s">
        <v>1117</v>
      </c>
      <c r="Q1" s="53" t="s">
        <v>7</v>
      </c>
      <c r="R1" s="53" t="s">
        <v>8</v>
      </c>
      <c r="S1" s="53" t="s">
        <v>9</v>
      </c>
      <c r="T1" s="53" t="s">
        <v>1118</v>
      </c>
      <c r="U1" s="53" t="s">
        <v>7</v>
      </c>
      <c r="V1" s="53" t="s">
        <v>8</v>
      </c>
      <c r="W1" s="53" t="s">
        <v>9</v>
      </c>
      <c r="X1" s="53" t="s">
        <v>1119</v>
      </c>
      <c r="Y1" s="53" t="s">
        <v>7</v>
      </c>
      <c r="Z1" s="53" t="s">
        <v>8</v>
      </c>
      <c r="AA1" s="53" t="s">
        <v>9</v>
      </c>
      <c r="AB1" s="53" t="s">
        <v>1120</v>
      </c>
      <c r="AC1" s="53" t="s">
        <v>7</v>
      </c>
      <c r="AD1" s="53" t="s">
        <v>8</v>
      </c>
      <c r="AE1" s="53" t="s">
        <v>9</v>
      </c>
      <c r="AF1" s="53" t="s">
        <v>1121</v>
      </c>
      <c r="AG1" s="53" t="s">
        <v>7</v>
      </c>
      <c r="AH1" s="53" t="s">
        <v>8</v>
      </c>
      <c r="AI1" s="53" t="s">
        <v>9</v>
      </c>
      <c r="AJ1" s="53" t="s">
        <v>1122</v>
      </c>
      <c r="AK1" s="53" t="s">
        <v>7</v>
      </c>
      <c r="AL1" s="53" t="s">
        <v>8</v>
      </c>
      <c r="AM1" s="53" t="s">
        <v>9</v>
      </c>
      <c r="AN1" s="53" t="s">
        <v>1123</v>
      </c>
      <c r="AO1" s="53" t="s">
        <v>7</v>
      </c>
      <c r="AP1" s="53" t="s">
        <v>8</v>
      </c>
      <c r="AQ1" s="53" t="s">
        <v>9</v>
      </c>
      <c r="AR1" s="53" t="s">
        <v>1124</v>
      </c>
      <c r="AS1" s="53" t="s">
        <v>7</v>
      </c>
      <c r="AT1" s="53" t="s">
        <v>8</v>
      </c>
      <c r="AU1" s="53" t="s">
        <v>9</v>
      </c>
      <c r="AV1" s="53" t="s">
        <v>1125</v>
      </c>
      <c r="AW1" s="53" t="s">
        <v>7</v>
      </c>
      <c r="AX1" s="53" t="s">
        <v>8</v>
      </c>
      <c r="AY1" s="53" t="s">
        <v>9</v>
      </c>
      <c r="AZ1" s="53" t="s">
        <v>1126</v>
      </c>
      <c r="BA1" s="53" t="s">
        <v>7</v>
      </c>
      <c r="BB1" s="53" t="s">
        <v>8</v>
      </c>
      <c r="BC1" s="53" t="s">
        <v>9</v>
      </c>
      <c r="BD1" s="53" t="s">
        <v>1127</v>
      </c>
      <c r="BE1" s="53" t="s">
        <v>7</v>
      </c>
      <c r="BF1" s="53" t="s">
        <v>8</v>
      </c>
      <c r="BG1" s="53" t="s">
        <v>9</v>
      </c>
      <c r="BH1" s="56" t="s">
        <v>1128</v>
      </c>
      <c r="BI1" s="57" t="s">
        <v>7</v>
      </c>
      <c r="BJ1" s="53" t="s">
        <v>8</v>
      </c>
      <c r="BK1" s="53" t="s">
        <v>9</v>
      </c>
      <c r="BL1" s="54" t="s">
        <v>1129</v>
      </c>
      <c r="BM1" s="54" t="s">
        <v>7</v>
      </c>
      <c r="BN1" s="53" t="s">
        <v>8</v>
      </c>
      <c r="BO1" s="53" t="s">
        <v>9</v>
      </c>
      <c r="BP1" s="54" t="s">
        <v>1130</v>
      </c>
      <c r="BQ1" s="54" t="s">
        <v>7</v>
      </c>
      <c r="BR1" s="53" t="s">
        <v>8</v>
      </c>
      <c r="BS1" s="53" t="s">
        <v>9</v>
      </c>
      <c r="BT1" s="53" t="s">
        <v>1131</v>
      </c>
      <c r="BU1" s="53" t="s">
        <v>13</v>
      </c>
      <c r="BV1" s="53" t="s">
        <v>8</v>
      </c>
      <c r="BW1" s="53" t="s">
        <v>9</v>
      </c>
      <c r="BX1" s="53" t="s">
        <v>1132</v>
      </c>
      <c r="BY1" s="53" t="s">
        <v>7</v>
      </c>
      <c r="BZ1" s="53" t="s">
        <v>8</v>
      </c>
      <c r="CA1" s="53" t="s">
        <v>9</v>
      </c>
      <c r="CB1" s="53" t="s">
        <v>1133</v>
      </c>
      <c r="CC1" s="53" t="s">
        <v>7</v>
      </c>
      <c r="CD1" s="53" t="s">
        <v>8</v>
      </c>
      <c r="CE1" s="53" t="s">
        <v>9</v>
      </c>
    </row>
    <row r="2">
      <c r="A2" s="7">
        <v>1334.0</v>
      </c>
      <c r="B2" s="8" t="s">
        <v>50</v>
      </c>
      <c r="C2" s="16" t="str">
        <f t="shared" ref="C2:C17" si="1">CONCATENATE(D2,"_",F2,"_",G2)</f>
        <v>LP-1_BC-501A_BS VI MS</v>
      </c>
      <c r="D2" s="16" t="s">
        <v>1134</v>
      </c>
      <c r="E2" s="16" t="s">
        <v>1135</v>
      </c>
      <c r="F2" s="20" t="s">
        <v>1136</v>
      </c>
      <c r="G2" s="20" t="s">
        <v>52</v>
      </c>
      <c r="H2" s="39" t="s">
        <v>1137</v>
      </c>
      <c r="I2" s="38">
        <v>0.0</v>
      </c>
      <c r="J2" s="39"/>
      <c r="K2" s="39"/>
      <c r="L2" s="39" t="s">
        <v>1138</v>
      </c>
      <c r="M2" s="38">
        <v>0.0</v>
      </c>
      <c r="N2" s="39"/>
      <c r="O2" s="39"/>
      <c r="P2" s="39" t="s">
        <v>1139</v>
      </c>
      <c r="Q2" s="38">
        <v>0.0</v>
      </c>
      <c r="R2" s="39"/>
      <c r="S2" s="39"/>
      <c r="T2" s="39" t="s">
        <v>1140</v>
      </c>
      <c r="U2" s="38">
        <v>0.0</v>
      </c>
      <c r="V2" s="39"/>
      <c r="W2" s="39"/>
      <c r="X2" s="39" t="s">
        <v>1141</v>
      </c>
      <c r="Y2" s="38">
        <v>0.0</v>
      </c>
      <c r="Z2" s="39"/>
      <c r="AA2" s="39"/>
      <c r="AB2" s="39" t="s">
        <v>1142</v>
      </c>
      <c r="AC2" s="38">
        <v>0.0</v>
      </c>
      <c r="AD2" s="39"/>
      <c r="AE2" s="39"/>
      <c r="AF2" s="39" t="s">
        <v>1143</v>
      </c>
      <c r="AG2" s="38">
        <v>0.0</v>
      </c>
      <c r="AH2" s="39"/>
      <c r="AI2" s="39"/>
      <c r="AJ2" s="39" t="s">
        <v>1144</v>
      </c>
      <c r="AK2" s="38">
        <v>0.0</v>
      </c>
      <c r="AL2" s="39"/>
      <c r="AM2" s="39"/>
      <c r="AN2" s="39" t="s">
        <v>1145</v>
      </c>
      <c r="AO2" s="38">
        <v>0.0</v>
      </c>
      <c r="AP2" s="39"/>
      <c r="AQ2" s="39"/>
      <c r="AR2" s="39" t="s">
        <v>1146</v>
      </c>
      <c r="AS2" s="38">
        <v>0.0</v>
      </c>
      <c r="AT2" s="39"/>
      <c r="AU2" s="39"/>
      <c r="AV2" s="39" t="s">
        <v>1147</v>
      </c>
      <c r="AW2" s="38">
        <v>0.0</v>
      </c>
      <c r="AX2" s="39"/>
      <c r="AY2" s="39"/>
      <c r="AZ2" s="39" t="s">
        <v>1148</v>
      </c>
      <c r="BA2" s="38">
        <v>0.0</v>
      </c>
      <c r="BB2" s="39"/>
      <c r="BC2" s="39"/>
      <c r="BD2" s="39" t="s">
        <v>1149</v>
      </c>
      <c r="BE2" s="38">
        <v>0.0</v>
      </c>
      <c r="BF2" s="39"/>
      <c r="BG2" s="39"/>
      <c r="BH2" s="39" t="s">
        <v>1150</v>
      </c>
      <c r="BI2" s="31"/>
      <c r="BJ2" s="58"/>
      <c r="BK2" s="58"/>
      <c r="BL2" s="39" t="s">
        <v>1151</v>
      </c>
      <c r="BM2" s="38">
        <v>0.0</v>
      </c>
      <c r="BN2" s="39"/>
      <c r="BO2" s="39"/>
      <c r="BP2" s="39" t="s">
        <v>1152</v>
      </c>
      <c r="BQ2" s="38">
        <v>0.0</v>
      </c>
      <c r="BR2" s="39"/>
      <c r="BS2" s="39"/>
      <c r="BT2" s="39" t="s">
        <v>1153</v>
      </c>
      <c r="BU2" s="38">
        <v>0.0</v>
      </c>
      <c r="BV2" s="39"/>
      <c r="BW2" s="39"/>
      <c r="BX2" s="39" t="s">
        <v>1154</v>
      </c>
      <c r="BY2" s="38">
        <v>0.0</v>
      </c>
      <c r="BZ2" s="39"/>
      <c r="CA2" s="39"/>
      <c r="CB2" s="39" t="s">
        <v>1155</v>
      </c>
      <c r="CC2" s="38">
        <v>0.0</v>
      </c>
      <c r="CD2" s="9"/>
      <c r="CE2" s="9"/>
    </row>
    <row r="3">
      <c r="A3" s="7">
        <v>1334.0</v>
      </c>
      <c r="B3" s="8" t="s">
        <v>50</v>
      </c>
      <c r="C3" s="16" t="str">
        <f t="shared" si="1"/>
        <v>LP-2_BC-501B_BS VI HSD</v>
      </c>
      <c r="D3" s="16" t="s">
        <v>1156</v>
      </c>
      <c r="E3" s="16" t="s">
        <v>1135</v>
      </c>
      <c r="F3" s="20" t="s">
        <v>1157</v>
      </c>
      <c r="G3" s="20" t="s">
        <v>184</v>
      </c>
      <c r="H3" s="18" t="s">
        <v>1158</v>
      </c>
      <c r="I3" s="41">
        <v>0.0</v>
      </c>
      <c r="J3" s="18"/>
      <c r="K3" s="18"/>
      <c r="L3" s="18" t="s">
        <v>1159</v>
      </c>
      <c r="M3" s="41">
        <v>0.0</v>
      </c>
      <c r="N3" s="18"/>
      <c r="O3" s="18"/>
      <c r="P3" s="18"/>
      <c r="Q3" s="18"/>
      <c r="R3" s="18"/>
      <c r="S3" s="18"/>
      <c r="T3" s="18" t="s">
        <v>1160</v>
      </c>
      <c r="U3" s="41">
        <v>0.0</v>
      </c>
      <c r="V3" s="18"/>
      <c r="W3" s="18"/>
      <c r="X3" s="18"/>
      <c r="Y3" s="18"/>
      <c r="Z3" s="18"/>
      <c r="AA3" s="18"/>
      <c r="AB3" s="18" t="s">
        <v>1161</v>
      </c>
      <c r="AC3" s="41">
        <v>0.0</v>
      </c>
      <c r="AD3" s="18"/>
      <c r="AE3" s="18"/>
      <c r="AF3" s="18"/>
      <c r="AG3" s="18"/>
      <c r="AH3" s="18"/>
      <c r="AI3" s="18"/>
      <c r="AJ3" s="18" t="s">
        <v>1162</v>
      </c>
      <c r="AK3" s="41">
        <v>0.0</v>
      </c>
      <c r="AL3" s="18"/>
      <c r="AM3" s="18"/>
      <c r="AN3" s="18" t="s">
        <v>1163</v>
      </c>
      <c r="AO3" s="41">
        <v>0.0</v>
      </c>
      <c r="AP3" s="18"/>
      <c r="AQ3" s="18"/>
      <c r="AR3" s="18" t="s">
        <v>1164</v>
      </c>
      <c r="AS3" s="41">
        <v>0.0</v>
      </c>
      <c r="AT3" s="18"/>
      <c r="AU3" s="18"/>
      <c r="AV3" s="18" t="s">
        <v>1165</v>
      </c>
      <c r="AW3" s="41">
        <v>0.0</v>
      </c>
      <c r="AX3" s="18"/>
      <c r="AY3" s="18"/>
      <c r="AZ3" s="18" t="s">
        <v>1166</v>
      </c>
      <c r="BA3" s="41">
        <v>0.0</v>
      </c>
      <c r="BB3" s="18"/>
      <c r="BC3" s="18"/>
      <c r="BD3" s="18" t="s">
        <v>1167</v>
      </c>
      <c r="BE3" s="41">
        <v>0.0</v>
      </c>
      <c r="BF3" s="18"/>
      <c r="BG3" s="18"/>
      <c r="BH3" s="18" t="s">
        <v>1168</v>
      </c>
      <c r="BI3" s="31"/>
      <c r="BJ3" s="58"/>
      <c r="BK3" s="58"/>
      <c r="BL3" s="18" t="s">
        <v>1169</v>
      </c>
      <c r="BM3" s="41">
        <v>0.0</v>
      </c>
      <c r="BN3" s="18"/>
      <c r="BO3" s="18"/>
      <c r="BP3" s="18"/>
      <c r="BQ3" s="18"/>
      <c r="BR3" s="18"/>
      <c r="BS3" s="18"/>
      <c r="BT3" s="18" t="s">
        <v>1170</v>
      </c>
      <c r="BU3" s="41">
        <v>0.0</v>
      </c>
      <c r="BV3" s="18"/>
      <c r="BW3" s="18"/>
      <c r="BX3" s="18" t="s">
        <v>1171</v>
      </c>
      <c r="BY3" s="41">
        <v>0.0</v>
      </c>
      <c r="BZ3" s="18"/>
      <c r="CA3" s="18"/>
      <c r="CB3" s="18"/>
      <c r="CC3" s="18"/>
      <c r="CD3" s="9"/>
      <c r="CE3" s="9"/>
    </row>
    <row r="4">
      <c r="A4" s="7">
        <v>1334.0</v>
      </c>
      <c r="B4" s="8" t="s">
        <v>50</v>
      </c>
      <c r="C4" s="16" t="str">
        <f t="shared" si="1"/>
        <v>LP-3_BC-502A_BS VI MS</v>
      </c>
      <c r="D4" s="16" t="s">
        <v>1172</v>
      </c>
      <c r="E4" s="16" t="s">
        <v>1135</v>
      </c>
      <c r="F4" s="20" t="s">
        <v>1173</v>
      </c>
      <c r="G4" s="20" t="s">
        <v>52</v>
      </c>
      <c r="H4" s="18" t="s">
        <v>1174</v>
      </c>
      <c r="I4" s="41">
        <v>0.0</v>
      </c>
      <c r="J4" s="18"/>
      <c r="K4" s="18"/>
      <c r="L4" s="18" t="s">
        <v>1175</v>
      </c>
      <c r="M4" s="41">
        <v>0.0</v>
      </c>
      <c r="N4" s="18"/>
      <c r="O4" s="18"/>
      <c r="P4" s="18" t="s">
        <v>1176</v>
      </c>
      <c r="Q4" s="41">
        <v>0.0</v>
      </c>
      <c r="R4" s="18"/>
      <c r="S4" s="18"/>
      <c r="T4" s="18" t="s">
        <v>1177</v>
      </c>
      <c r="U4" s="41">
        <v>0.0</v>
      </c>
      <c r="V4" s="18"/>
      <c r="W4" s="18"/>
      <c r="X4" s="18" t="s">
        <v>1178</v>
      </c>
      <c r="Y4" s="41">
        <v>0.0</v>
      </c>
      <c r="Z4" s="18"/>
      <c r="AA4" s="18"/>
      <c r="AB4" s="18" t="s">
        <v>1179</v>
      </c>
      <c r="AC4" s="41">
        <v>0.0</v>
      </c>
      <c r="AD4" s="18"/>
      <c r="AE4" s="18"/>
      <c r="AF4" s="18" t="s">
        <v>1180</v>
      </c>
      <c r="AG4" s="41">
        <v>0.0</v>
      </c>
      <c r="AH4" s="18"/>
      <c r="AI4" s="18"/>
      <c r="AJ4" s="18" t="s">
        <v>1181</v>
      </c>
      <c r="AK4" s="41">
        <v>0.0</v>
      </c>
      <c r="AL4" s="18"/>
      <c r="AM4" s="18"/>
      <c r="AN4" s="18" t="s">
        <v>1182</v>
      </c>
      <c r="AO4" s="41">
        <v>0.0</v>
      </c>
      <c r="AP4" s="18"/>
      <c r="AQ4" s="18"/>
      <c r="AR4" s="18" t="s">
        <v>1183</v>
      </c>
      <c r="AS4" s="41">
        <v>0.0</v>
      </c>
      <c r="AT4" s="18"/>
      <c r="AU4" s="18"/>
      <c r="AV4" s="18" t="s">
        <v>1184</v>
      </c>
      <c r="AW4" s="41">
        <v>0.0</v>
      </c>
      <c r="AX4" s="18"/>
      <c r="AY4" s="18"/>
      <c r="AZ4" s="18" t="s">
        <v>1185</v>
      </c>
      <c r="BA4" s="41">
        <v>0.0</v>
      </c>
      <c r="BB4" s="18"/>
      <c r="BC4" s="18"/>
      <c r="BD4" s="18" t="s">
        <v>1186</v>
      </c>
      <c r="BE4" s="41">
        <v>0.0</v>
      </c>
      <c r="BF4" s="18"/>
      <c r="BG4" s="18"/>
      <c r="BH4" s="18" t="s">
        <v>1187</v>
      </c>
      <c r="BI4" s="31"/>
      <c r="BJ4" s="58"/>
      <c r="BK4" s="58"/>
      <c r="BL4" s="18" t="s">
        <v>1188</v>
      </c>
      <c r="BM4" s="41">
        <v>0.0</v>
      </c>
      <c r="BN4" s="18"/>
      <c r="BO4" s="18"/>
      <c r="BP4" s="18" t="s">
        <v>1189</v>
      </c>
      <c r="BQ4" s="41">
        <v>0.0</v>
      </c>
      <c r="BR4" s="18"/>
      <c r="BS4" s="18"/>
      <c r="BT4" s="18" t="s">
        <v>1190</v>
      </c>
      <c r="BU4" s="41">
        <v>0.0</v>
      </c>
      <c r="BV4" s="18"/>
      <c r="BW4" s="18"/>
      <c r="BX4" s="18" t="s">
        <v>1191</v>
      </c>
      <c r="BY4" s="41">
        <v>0.0</v>
      </c>
      <c r="BZ4" s="18"/>
      <c r="CA4" s="18"/>
      <c r="CB4" s="18" t="s">
        <v>1192</v>
      </c>
      <c r="CC4" s="41">
        <v>0.0</v>
      </c>
      <c r="CD4" s="9"/>
      <c r="CE4" s="9"/>
    </row>
    <row r="5">
      <c r="A5" s="7">
        <v>1334.0</v>
      </c>
      <c r="B5" s="8" t="s">
        <v>50</v>
      </c>
      <c r="C5" s="16" t="str">
        <f t="shared" si="1"/>
        <v>LP-4_BC-502B_BS VI HSD</v>
      </c>
      <c r="D5" s="16" t="s">
        <v>1193</v>
      </c>
      <c r="E5" s="16" t="s">
        <v>1135</v>
      </c>
      <c r="F5" s="20" t="s">
        <v>1194</v>
      </c>
      <c r="G5" s="20" t="s">
        <v>184</v>
      </c>
      <c r="H5" s="18" t="s">
        <v>1195</v>
      </c>
      <c r="I5" s="41">
        <v>0.0</v>
      </c>
      <c r="J5" s="18"/>
      <c r="K5" s="18"/>
      <c r="L5" s="18" t="s">
        <v>1196</v>
      </c>
      <c r="M5" s="41">
        <v>0.0</v>
      </c>
      <c r="N5" s="18"/>
      <c r="O5" s="18"/>
      <c r="P5" s="18"/>
      <c r="Q5" s="18"/>
      <c r="R5" s="18"/>
      <c r="S5" s="18"/>
      <c r="T5" s="18" t="s">
        <v>1197</v>
      </c>
      <c r="U5" s="41">
        <v>0.0</v>
      </c>
      <c r="V5" s="18"/>
      <c r="W5" s="18"/>
      <c r="X5" s="18"/>
      <c r="Y5" s="18"/>
      <c r="Z5" s="18"/>
      <c r="AA5" s="18"/>
      <c r="AB5" s="18" t="s">
        <v>1198</v>
      </c>
      <c r="AC5" s="41">
        <v>0.0</v>
      </c>
      <c r="AD5" s="18"/>
      <c r="AE5" s="18"/>
      <c r="AF5" s="18"/>
      <c r="AG5" s="18"/>
      <c r="AH5" s="18"/>
      <c r="AI5" s="18"/>
      <c r="AJ5" s="18" t="s">
        <v>1199</v>
      </c>
      <c r="AK5" s="41">
        <v>0.0</v>
      </c>
      <c r="AL5" s="18"/>
      <c r="AM5" s="18"/>
      <c r="AN5" s="18" t="s">
        <v>1200</v>
      </c>
      <c r="AO5" s="41">
        <v>0.0</v>
      </c>
      <c r="AP5" s="18"/>
      <c r="AQ5" s="18"/>
      <c r="AR5" s="18" t="s">
        <v>1201</v>
      </c>
      <c r="AS5" s="41">
        <v>0.0</v>
      </c>
      <c r="AT5" s="18"/>
      <c r="AU5" s="18"/>
      <c r="AV5" s="18" t="s">
        <v>1202</v>
      </c>
      <c r="AW5" s="41">
        <v>0.0</v>
      </c>
      <c r="AX5" s="18"/>
      <c r="AY5" s="18"/>
      <c r="AZ5" s="18" t="s">
        <v>1203</v>
      </c>
      <c r="BA5" s="41">
        <v>0.0</v>
      </c>
      <c r="BB5" s="18"/>
      <c r="BC5" s="18"/>
      <c r="BD5" s="18" t="s">
        <v>1204</v>
      </c>
      <c r="BE5" s="41">
        <v>0.0</v>
      </c>
      <c r="BF5" s="18"/>
      <c r="BG5" s="18"/>
      <c r="BH5" s="18" t="s">
        <v>1205</v>
      </c>
      <c r="BI5" s="31"/>
      <c r="BJ5" s="58"/>
      <c r="BK5" s="58"/>
      <c r="BL5" s="18" t="s">
        <v>1206</v>
      </c>
      <c r="BM5" s="41">
        <v>0.0</v>
      </c>
      <c r="BN5" s="18"/>
      <c r="BO5" s="18"/>
      <c r="BP5" s="18"/>
      <c r="BQ5" s="18"/>
      <c r="BR5" s="18"/>
      <c r="BS5" s="18"/>
      <c r="BT5" s="18" t="s">
        <v>1207</v>
      </c>
      <c r="BU5" s="41">
        <v>0.0</v>
      </c>
      <c r="BV5" s="18"/>
      <c r="BW5" s="18"/>
      <c r="BX5" s="18" t="s">
        <v>1208</v>
      </c>
      <c r="BY5" s="41">
        <v>0.0</v>
      </c>
      <c r="BZ5" s="18"/>
      <c r="CA5" s="18"/>
      <c r="CB5" s="18"/>
      <c r="CC5" s="18"/>
      <c r="CD5" s="9"/>
      <c r="CE5" s="9"/>
    </row>
    <row r="6">
      <c r="A6" s="7">
        <v>1334.0</v>
      </c>
      <c r="B6" s="8" t="s">
        <v>50</v>
      </c>
      <c r="C6" s="16" t="str">
        <f t="shared" si="1"/>
        <v>LP-5_BC-503A_BS VI MS</v>
      </c>
      <c r="D6" s="16" t="s">
        <v>1209</v>
      </c>
      <c r="E6" s="16" t="s">
        <v>1135</v>
      </c>
      <c r="F6" s="20" t="s">
        <v>1210</v>
      </c>
      <c r="G6" s="20" t="s">
        <v>52</v>
      </c>
      <c r="H6" s="18" t="s">
        <v>1211</v>
      </c>
      <c r="I6" s="41">
        <v>0.0</v>
      </c>
      <c r="J6" s="18"/>
      <c r="K6" s="18"/>
      <c r="L6" s="18" t="s">
        <v>1212</v>
      </c>
      <c r="M6" s="41">
        <v>0.0</v>
      </c>
      <c r="N6" s="18"/>
      <c r="O6" s="18"/>
      <c r="P6" s="18" t="s">
        <v>1213</v>
      </c>
      <c r="Q6" s="41">
        <v>0.0</v>
      </c>
      <c r="R6" s="18"/>
      <c r="S6" s="18"/>
      <c r="T6" s="18" t="s">
        <v>1214</v>
      </c>
      <c r="U6" s="41">
        <v>0.0</v>
      </c>
      <c r="V6" s="18"/>
      <c r="W6" s="18"/>
      <c r="X6" s="18" t="s">
        <v>1215</v>
      </c>
      <c r="Y6" s="41">
        <v>0.0</v>
      </c>
      <c r="Z6" s="18"/>
      <c r="AA6" s="18"/>
      <c r="AB6" s="18" t="s">
        <v>1216</v>
      </c>
      <c r="AC6" s="41">
        <v>0.0</v>
      </c>
      <c r="AD6" s="18"/>
      <c r="AE6" s="18"/>
      <c r="AF6" s="18" t="s">
        <v>1217</v>
      </c>
      <c r="AG6" s="41">
        <v>0.0</v>
      </c>
      <c r="AH6" s="18"/>
      <c r="AI6" s="18"/>
      <c r="AJ6" s="18" t="s">
        <v>1218</v>
      </c>
      <c r="AK6" s="41">
        <v>0.0</v>
      </c>
      <c r="AL6" s="18"/>
      <c r="AM6" s="18"/>
      <c r="AN6" s="18" t="s">
        <v>1219</v>
      </c>
      <c r="AO6" s="41">
        <v>0.0</v>
      </c>
      <c r="AP6" s="18"/>
      <c r="AQ6" s="18"/>
      <c r="AR6" s="18" t="s">
        <v>1220</v>
      </c>
      <c r="AS6" s="41">
        <v>0.0</v>
      </c>
      <c r="AT6" s="18"/>
      <c r="AU6" s="18"/>
      <c r="AV6" s="18" t="s">
        <v>1221</v>
      </c>
      <c r="AW6" s="41">
        <v>0.0</v>
      </c>
      <c r="AX6" s="18"/>
      <c r="AY6" s="18"/>
      <c r="AZ6" s="18" t="s">
        <v>1222</v>
      </c>
      <c r="BA6" s="41">
        <v>0.0</v>
      </c>
      <c r="BB6" s="18"/>
      <c r="BC6" s="18"/>
      <c r="BD6" s="18" t="s">
        <v>1223</v>
      </c>
      <c r="BE6" s="41">
        <v>0.0</v>
      </c>
      <c r="BF6" s="18"/>
      <c r="BG6" s="18"/>
      <c r="BH6" s="18" t="s">
        <v>1224</v>
      </c>
      <c r="BI6" s="31"/>
      <c r="BJ6" s="58"/>
      <c r="BK6" s="58"/>
      <c r="BL6" s="18" t="s">
        <v>1225</v>
      </c>
      <c r="BM6" s="41">
        <v>0.0</v>
      </c>
      <c r="BN6" s="18"/>
      <c r="BO6" s="18"/>
      <c r="BP6" s="18" t="s">
        <v>1226</v>
      </c>
      <c r="BQ6" s="41">
        <v>0.0</v>
      </c>
      <c r="BR6" s="18"/>
      <c r="BS6" s="18"/>
      <c r="BT6" s="18" t="s">
        <v>1227</v>
      </c>
      <c r="BU6" s="41">
        <v>0.0</v>
      </c>
      <c r="BV6" s="18"/>
      <c r="BW6" s="18"/>
      <c r="BX6" s="18" t="s">
        <v>1228</v>
      </c>
      <c r="BY6" s="41">
        <v>0.0</v>
      </c>
      <c r="BZ6" s="18"/>
      <c r="CA6" s="18"/>
      <c r="CB6" s="18" t="s">
        <v>1229</v>
      </c>
      <c r="CC6" s="41">
        <v>0.0</v>
      </c>
      <c r="CD6" s="9"/>
      <c r="CE6" s="9"/>
    </row>
    <row r="7">
      <c r="A7" s="7">
        <v>1334.0</v>
      </c>
      <c r="B7" s="8" t="s">
        <v>50</v>
      </c>
      <c r="C7" s="16" t="str">
        <f t="shared" si="1"/>
        <v>LP-6_BC-503B_BS VI HSD</v>
      </c>
      <c r="D7" s="16" t="s">
        <v>1230</v>
      </c>
      <c r="E7" s="16" t="s">
        <v>1135</v>
      </c>
      <c r="F7" s="20" t="s">
        <v>1231</v>
      </c>
      <c r="G7" s="20" t="s">
        <v>184</v>
      </c>
      <c r="H7" s="18" t="s">
        <v>1232</v>
      </c>
      <c r="I7" s="41">
        <v>0.0</v>
      </c>
      <c r="J7" s="18"/>
      <c r="K7" s="18"/>
      <c r="L7" s="18" t="s">
        <v>1233</v>
      </c>
      <c r="M7" s="41">
        <v>0.0</v>
      </c>
      <c r="N7" s="18"/>
      <c r="O7" s="18"/>
      <c r="P7" s="18" t="s">
        <v>1234</v>
      </c>
      <c r="Q7" s="41">
        <v>0.0</v>
      </c>
      <c r="R7" s="18"/>
      <c r="S7" s="18"/>
      <c r="T7" s="18" t="s">
        <v>1235</v>
      </c>
      <c r="U7" s="41">
        <v>0.0</v>
      </c>
      <c r="V7" s="18"/>
      <c r="W7" s="18"/>
      <c r="X7" s="18" t="s">
        <v>1236</v>
      </c>
      <c r="Y7" s="41">
        <v>0.0</v>
      </c>
      <c r="Z7" s="18"/>
      <c r="AA7" s="18"/>
      <c r="AB7" s="18" t="s">
        <v>1237</v>
      </c>
      <c r="AC7" s="41">
        <v>0.0</v>
      </c>
      <c r="AD7" s="18"/>
      <c r="AE7" s="18"/>
      <c r="AF7" s="18" t="s">
        <v>1238</v>
      </c>
      <c r="AG7" s="41">
        <v>0.0</v>
      </c>
      <c r="AH7" s="18"/>
      <c r="AI7" s="18"/>
      <c r="AJ7" s="18" t="s">
        <v>1239</v>
      </c>
      <c r="AK7" s="41">
        <v>0.0</v>
      </c>
      <c r="AL7" s="18"/>
      <c r="AM7" s="18"/>
      <c r="AN7" s="18" t="s">
        <v>1240</v>
      </c>
      <c r="AO7" s="41">
        <v>0.0</v>
      </c>
      <c r="AP7" s="18"/>
      <c r="AQ7" s="18"/>
      <c r="AR7" s="18" t="s">
        <v>1241</v>
      </c>
      <c r="AS7" s="41">
        <v>0.0</v>
      </c>
      <c r="AT7" s="18"/>
      <c r="AU7" s="18"/>
      <c r="AV7" s="18" t="s">
        <v>1242</v>
      </c>
      <c r="AW7" s="41">
        <v>0.0</v>
      </c>
      <c r="AX7" s="18"/>
      <c r="AY7" s="18"/>
      <c r="AZ7" s="18" t="s">
        <v>1243</v>
      </c>
      <c r="BA7" s="41">
        <v>0.0</v>
      </c>
      <c r="BB7" s="18"/>
      <c r="BC7" s="18"/>
      <c r="BD7" s="18" t="s">
        <v>1244</v>
      </c>
      <c r="BE7" s="41">
        <v>0.0</v>
      </c>
      <c r="BF7" s="18"/>
      <c r="BG7" s="18"/>
      <c r="BH7" s="18" t="s">
        <v>1245</v>
      </c>
      <c r="BI7" s="31"/>
      <c r="BJ7" s="58"/>
      <c r="BK7" s="58"/>
      <c r="BL7" s="18" t="s">
        <v>1246</v>
      </c>
      <c r="BM7" s="41">
        <v>0.0</v>
      </c>
      <c r="BN7" s="18"/>
      <c r="BO7" s="18"/>
      <c r="BP7" s="18" t="s">
        <v>1247</v>
      </c>
      <c r="BQ7" s="41">
        <v>0.0</v>
      </c>
      <c r="BR7" s="18"/>
      <c r="BS7" s="18"/>
      <c r="BT7" s="18" t="s">
        <v>1248</v>
      </c>
      <c r="BU7" s="41">
        <v>0.0</v>
      </c>
      <c r="BV7" s="18"/>
      <c r="BW7" s="18"/>
      <c r="BX7" s="18" t="s">
        <v>1249</v>
      </c>
      <c r="BY7" s="41">
        <v>0.0</v>
      </c>
      <c r="BZ7" s="18"/>
      <c r="CA7" s="18"/>
      <c r="CB7" s="18" t="s">
        <v>1250</v>
      </c>
      <c r="CC7" s="41">
        <v>0.0</v>
      </c>
      <c r="CD7" s="9"/>
      <c r="CE7" s="9"/>
    </row>
    <row r="8">
      <c r="A8" s="7">
        <v>1334.0</v>
      </c>
      <c r="B8" s="8" t="s">
        <v>50</v>
      </c>
      <c r="C8" s="16" t="str">
        <f t="shared" si="1"/>
        <v>LP-7_BC-504A_BS VI HSD</v>
      </c>
      <c r="D8" s="16" t="s">
        <v>1251</v>
      </c>
      <c r="E8" s="16" t="s">
        <v>1135</v>
      </c>
      <c r="F8" s="20" t="s">
        <v>1252</v>
      </c>
      <c r="G8" s="20" t="s">
        <v>184</v>
      </c>
      <c r="H8" s="18" t="s">
        <v>1253</v>
      </c>
      <c r="I8" s="41">
        <v>0.0</v>
      </c>
      <c r="J8" s="18"/>
      <c r="K8" s="18"/>
      <c r="L8" s="18" t="s">
        <v>1254</v>
      </c>
      <c r="M8" s="41">
        <v>0.0</v>
      </c>
      <c r="N8" s="18"/>
      <c r="O8" s="18"/>
      <c r="P8" s="18" t="s">
        <v>1255</v>
      </c>
      <c r="Q8" s="41">
        <v>0.0</v>
      </c>
      <c r="R8" s="18"/>
      <c r="S8" s="18"/>
      <c r="T8" s="18" t="s">
        <v>1256</v>
      </c>
      <c r="U8" s="41">
        <v>0.0</v>
      </c>
      <c r="V8" s="18"/>
      <c r="W8" s="18"/>
      <c r="X8" s="18" t="s">
        <v>1257</v>
      </c>
      <c r="Y8" s="41">
        <v>0.0</v>
      </c>
      <c r="Z8" s="18"/>
      <c r="AA8" s="18"/>
      <c r="AB8" s="18" t="s">
        <v>1258</v>
      </c>
      <c r="AC8" s="41">
        <v>0.0</v>
      </c>
      <c r="AD8" s="18"/>
      <c r="AE8" s="18"/>
      <c r="AF8" s="18" t="s">
        <v>1259</v>
      </c>
      <c r="AG8" s="41">
        <v>0.0</v>
      </c>
      <c r="AH8" s="18"/>
      <c r="AI8" s="18"/>
      <c r="AJ8" s="18" t="s">
        <v>1260</v>
      </c>
      <c r="AK8" s="41">
        <v>0.0</v>
      </c>
      <c r="AL8" s="18"/>
      <c r="AM8" s="18"/>
      <c r="AN8" s="18" t="s">
        <v>1261</v>
      </c>
      <c r="AO8" s="41">
        <v>0.0</v>
      </c>
      <c r="AP8" s="18"/>
      <c r="AQ8" s="18"/>
      <c r="AR8" s="18" t="s">
        <v>1262</v>
      </c>
      <c r="AS8" s="41">
        <v>0.0</v>
      </c>
      <c r="AT8" s="18"/>
      <c r="AU8" s="18"/>
      <c r="AV8" s="18" t="s">
        <v>1263</v>
      </c>
      <c r="AW8" s="41">
        <v>0.0</v>
      </c>
      <c r="AX8" s="18"/>
      <c r="AY8" s="18"/>
      <c r="AZ8" s="18" t="s">
        <v>1264</v>
      </c>
      <c r="BA8" s="41">
        <v>0.0</v>
      </c>
      <c r="BB8" s="18"/>
      <c r="BC8" s="18"/>
      <c r="BD8" s="18" t="s">
        <v>1265</v>
      </c>
      <c r="BE8" s="41">
        <v>0.0</v>
      </c>
      <c r="BF8" s="18"/>
      <c r="BG8" s="18"/>
      <c r="BH8" s="18" t="s">
        <v>1266</v>
      </c>
      <c r="BI8" s="31"/>
      <c r="BJ8" s="58"/>
      <c r="BK8" s="58"/>
      <c r="BL8" s="18" t="s">
        <v>1267</v>
      </c>
      <c r="BM8" s="41">
        <v>0.0</v>
      </c>
      <c r="BN8" s="18"/>
      <c r="BO8" s="18"/>
      <c r="BP8" s="18" t="s">
        <v>1268</v>
      </c>
      <c r="BQ8" s="41">
        <v>0.0</v>
      </c>
      <c r="BR8" s="18"/>
      <c r="BS8" s="18"/>
      <c r="BT8" s="18" t="s">
        <v>1269</v>
      </c>
      <c r="BU8" s="41">
        <v>0.0</v>
      </c>
      <c r="BV8" s="18"/>
      <c r="BW8" s="18"/>
      <c r="BX8" s="18" t="s">
        <v>1270</v>
      </c>
      <c r="BY8" s="41">
        <v>0.0</v>
      </c>
      <c r="BZ8" s="18"/>
      <c r="CA8" s="18"/>
      <c r="CB8" s="18" t="s">
        <v>1271</v>
      </c>
      <c r="CC8" s="41">
        <v>0.0</v>
      </c>
      <c r="CD8" s="9"/>
      <c r="CE8" s="9"/>
    </row>
    <row r="9">
      <c r="A9" s="7">
        <v>1334.0</v>
      </c>
      <c r="B9" s="8" t="s">
        <v>50</v>
      </c>
      <c r="C9" s="16" t="str">
        <f t="shared" si="1"/>
        <v>LP-8_BC-504B_BS VI HSD</v>
      </c>
      <c r="D9" s="16" t="s">
        <v>1272</v>
      </c>
      <c r="E9" s="16" t="s">
        <v>1135</v>
      </c>
      <c r="F9" s="20" t="s">
        <v>1273</v>
      </c>
      <c r="G9" s="20" t="s">
        <v>184</v>
      </c>
      <c r="H9" s="18" t="s">
        <v>1274</v>
      </c>
      <c r="I9" s="41">
        <v>0.0</v>
      </c>
      <c r="J9" s="18"/>
      <c r="K9" s="18"/>
      <c r="L9" s="18" t="s">
        <v>1275</v>
      </c>
      <c r="M9" s="41">
        <v>0.0</v>
      </c>
      <c r="N9" s="18"/>
      <c r="O9" s="18"/>
      <c r="P9" s="18" t="s">
        <v>1276</v>
      </c>
      <c r="Q9" s="41">
        <v>0.0</v>
      </c>
      <c r="R9" s="18"/>
      <c r="S9" s="18"/>
      <c r="T9" s="18" t="s">
        <v>1277</v>
      </c>
      <c r="U9" s="41">
        <v>0.0</v>
      </c>
      <c r="V9" s="18"/>
      <c r="W9" s="18"/>
      <c r="X9" s="18" t="s">
        <v>1278</v>
      </c>
      <c r="Y9" s="41">
        <v>0.0</v>
      </c>
      <c r="Z9" s="18"/>
      <c r="AA9" s="18"/>
      <c r="AB9" s="18" t="s">
        <v>1279</v>
      </c>
      <c r="AC9" s="41">
        <v>0.0</v>
      </c>
      <c r="AD9" s="18"/>
      <c r="AE9" s="18"/>
      <c r="AF9" s="18" t="s">
        <v>1280</v>
      </c>
      <c r="AG9" s="41">
        <v>0.0</v>
      </c>
      <c r="AH9" s="18"/>
      <c r="AI9" s="18"/>
      <c r="AJ9" s="18" t="s">
        <v>1281</v>
      </c>
      <c r="AK9" s="41">
        <v>0.0</v>
      </c>
      <c r="AL9" s="18"/>
      <c r="AM9" s="18"/>
      <c r="AN9" s="18" t="s">
        <v>1282</v>
      </c>
      <c r="AO9" s="41">
        <v>0.0</v>
      </c>
      <c r="AP9" s="18"/>
      <c r="AQ9" s="18"/>
      <c r="AR9" s="18" t="s">
        <v>1283</v>
      </c>
      <c r="AS9" s="41">
        <v>0.0</v>
      </c>
      <c r="AT9" s="18"/>
      <c r="AU9" s="18"/>
      <c r="AV9" s="18" t="s">
        <v>1284</v>
      </c>
      <c r="AW9" s="41">
        <v>0.0</v>
      </c>
      <c r="AX9" s="18"/>
      <c r="AY9" s="18"/>
      <c r="AZ9" s="18" t="s">
        <v>1285</v>
      </c>
      <c r="BA9" s="41">
        <v>0.0</v>
      </c>
      <c r="BB9" s="18"/>
      <c r="BC9" s="18"/>
      <c r="BD9" s="18" t="s">
        <v>1286</v>
      </c>
      <c r="BE9" s="41">
        <v>0.0</v>
      </c>
      <c r="BF9" s="18"/>
      <c r="BG9" s="18"/>
      <c r="BH9" s="18" t="s">
        <v>1287</v>
      </c>
      <c r="BI9" s="31"/>
      <c r="BJ9" s="58"/>
      <c r="BK9" s="58"/>
      <c r="BL9" s="18" t="s">
        <v>1288</v>
      </c>
      <c r="BM9" s="41">
        <v>0.0</v>
      </c>
      <c r="BN9" s="18"/>
      <c r="BO9" s="18"/>
      <c r="BP9" s="18" t="s">
        <v>1289</v>
      </c>
      <c r="BQ9" s="41">
        <v>0.0</v>
      </c>
      <c r="BR9" s="18"/>
      <c r="BS9" s="18"/>
      <c r="BT9" s="18" t="s">
        <v>1290</v>
      </c>
      <c r="BU9" s="41">
        <v>0.0</v>
      </c>
      <c r="BV9" s="18"/>
      <c r="BW9" s="18"/>
      <c r="BX9" s="18" t="s">
        <v>1291</v>
      </c>
      <c r="BY9" s="41">
        <v>0.0</v>
      </c>
      <c r="BZ9" s="18"/>
      <c r="CA9" s="18"/>
      <c r="CB9" s="18" t="s">
        <v>1292</v>
      </c>
      <c r="CC9" s="41">
        <v>0.0</v>
      </c>
      <c r="CD9" s="9"/>
      <c r="CE9" s="9"/>
    </row>
    <row r="10">
      <c r="A10" s="7">
        <v>1334.0</v>
      </c>
      <c r="B10" s="8" t="s">
        <v>50</v>
      </c>
      <c r="C10" s="16" t="str">
        <f t="shared" si="1"/>
        <v>LP-9_BC-505A_BS VI HSD</v>
      </c>
      <c r="D10" s="16" t="s">
        <v>1293</v>
      </c>
      <c r="E10" s="16" t="s">
        <v>1135</v>
      </c>
      <c r="F10" s="20" t="s">
        <v>1294</v>
      </c>
      <c r="G10" s="20" t="s">
        <v>184</v>
      </c>
      <c r="H10" s="18" t="s">
        <v>1295</v>
      </c>
      <c r="I10" s="41">
        <v>0.0</v>
      </c>
      <c r="J10" s="18"/>
      <c r="K10" s="18"/>
      <c r="L10" s="18" t="s">
        <v>1296</v>
      </c>
      <c r="M10" s="41">
        <v>0.0</v>
      </c>
      <c r="N10" s="18"/>
      <c r="O10" s="18"/>
      <c r="P10" s="18"/>
      <c r="Q10" s="18"/>
      <c r="R10" s="18"/>
      <c r="S10" s="18"/>
      <c r="T10" s="18" t="s">
        <v>1297</v>
      </c>
      <c r="U10" s="41">
        <v>0.0</v>
      </c>
      <c r="V10" s="18"/>
      <c r="W10" s="18"/>
      <c r="X10" s="18"/>
      <c r="Y10" s="18"/>
      <c r="Z10" s="18"/>
      <c r="AA10" s="18"/>
      <c r="AB10" s="18" t="s">
        <v>1298</v>
      </c>
      <c r="AC10" s="41">
        <v>0.0</v>
      </c>
      <c r="AD10" s="18"/>
      <c r="AE10" s="18"/>
      <c r="AF10" s="18"/>
      <c r="AG10" s="18"/>
      <c r="AH10" s="18"/>
      <c r="AI10" s="18"/>
      <c r="AJ10" s="18" t="s">
        <v>1299</v>
      </c>
      <c r="AK10" s="41">
        <v>0.0</v>
      </c>
      <c r="AL10" s="18"/>
      <c r="AM10" s="18"/>
      <c r="AN10" s="18" t="s">
        <v>1300</v>
      </c>
      <c r="AO10" s="41">
        <v>0.0</v>
      </c>
      <c r="AP10" s="18"/>
      <c r="AQ10" s="18"/>
      <c r="AR10" s="18" t="s">
        <v>1301</v>
      </c>
      <c r="AS10" s="41">
        <v>0.0</v>
      </c>
      <c r="AT10" s="18"/>
      <c r="AU10" s="18"/>
      <c r="AV10" s="18" t="s">
        <v>1302</v>
      </c>
      <c r="AW10" s="41">
        <v>0.0</v>
      </c>
      <c r="AX10" s="18"/>
      <c r="AY10" s="18"/>
      <c r="AZ10" s="18" t="s">
        <v>1303</v>
      </c>
      <c r="BA10" s="41">
        <v>0.0</v>
      </c>
      <c r="BB10" s="18"/>
      <c r="BC10" s="18"/>
      <c r="BD10" s="18" t="s">
        <v>1304</v>
      </c>
      <c r="BE10" s="41">
        <v>0.0</v>
      </c>
      <c r="BF10" s="18"/>
      <c r="BG10" s="18"/>
      <c r="BH10" s="18" t="s">
        <v>1305</v>
      </c>
      <c r="BI10" s="31"/>
      <c r="BJ10" s="58"/>
      <c r="BK10" s="58"/>
      <c r="BL10" s="18" t="s">
        <v>1306</v>
      </c>
      <c r="BM10" s="41">
        <v>0.0</v>
      </c>
      <c r="BN10" s="18"/>
      <c r="BO10" s="18"/>
      <c r="BP10" s="18"/>
      <c r="BQ10" s="18"/>
      <c r="BR10" s="18"/>
      <c r="BS10" s="18"/>
      <c r="BT10" s="18" t="s">
        <v>1307</v>
      </c>
      <c r="BU10" s="41">
        <v>0.0</v>
      </c>
      <c r="BV10" s="18"/>
      <c r="BW10" s="18"/>
      <c r="BX10" s="18" t="s">
        <v>1308</v>
      </c>
      <c r="BY10" s="41">
        <v>0.0</v>
      </c>
      <c r="BZ10" s="18"/>
      <c r="CA10" s="18"/>
      <c r="CB10" s="18"/>
      <c r="CC10" s="18"/>
      <c r="CD10" s="9"/>
      <c r="CE10" s="9"/>
    </row>
    <row r="11">
      <c r="A11" s="7">
        <v>1334.0</v>
      </c>
      <c r="B11" s="8" t="s">
        <v>50</v>
      </c>
      <c r="C11" s="16" t="str">
        <f t="shared" si="1"/>
        <v>LP-10_BC-505B_BS VI HSD</v>
      </c>
      <c r="D11" s="16" t="s">
        <v>1309</v>
      </c>
      <c r="E11" s="16" t="s">
        <v>1135</v>
      </c>
      <c r="F11" s="20" t="s">
        <v>1310</v>
      </c>
      <c r="G11" s="20" t="s">
        <v>184</v>
      </c>
      <c r="H11" s="18" t="s">
        <v>1311</v>
      </c>
      <c r="I11" s="41">
        <v>0.0</v>
      </c>
      <c r="J11" s="18"/>
      <c r="K11" s="18"/>
      <c r="L11" s="18" t="s">
        <v>1312</v>
      </c>
      <c r="M11" s="41">
        <v>0.0</v>
      </c>
      <c r="N11" s="18"/>
      <c r="O11" s="18"/>
      <c r="P11" s="18"/>
      <c r="Q11" s="18"/>
      <c r="R11" s="18"/>
      <c r="S11" s="18"/>
      <c r="T11" s="18" t="s">
        <v>1313</v>
      </c>
      <c r="U11" s="41">
        <v>0.0</v>
      </c>
      <c r="V11" s="18"/>
      <c r="W11" s="18"/>
      <c r="X11" s="18"/>
      <c r="Y11" s="18"/>
      <c r="Z11" s="18"/>
      <c r="AA11" s="18"/>
      <c r="AB11" s="18" t="s">
        <v>1314</v>
      </c>
      <c r="AC11" s="41">
        <v>0.0</v>
      </c>
      <c r="AD11" s="18"/>
      <c r="AE11" s="18"/>
      <c r="AF11" s="18"/>
      <c r="AG11" s="18"/>
      <c r="AH11" s="18"/>
      <c r="AI11" s="18"/>
      <c r="AJ11" s="18" t="s">
        <v>1315</v>
      </c>
      <c r="AK11" s="41">
        <v>0.0</v>
      </c>
      <c r="AL11" s="18"/>
      <c r="AM11" s="18"/>
      <c r="AN11" s="18" t="s">
        <v>1316</v>
      </c>
      <c r="AO11" s="41">
        <v>0.0</v>
      </c>
      <c r="AP11" s="18"/>
      <c r="AQ11" s="18"/>
      <c r="AR11" s="18" t="s">
        <v>1317</v>
      </c>
      <c r="AS11" s="41">
        <v>0.0</v>
      </c>
      <c r="AT11" s="18"/>
      <c r="AU11" s="18"/>
      <c r="AV11" s="18" t="s">
        <v>1318</v>
      </c>
      <c r="AW11" s="41">
        <v>0.0</v>
      </c>
      <c r="AX11" s="18"/>
      <c r="AY11" s="18"/>
      <c r="AZ11" s="18" t="s">
        <v>1319</v>
      </c>
      <c r="BA11" s="41">
        <v>0.0</v>
      </c>
      <c r="BB11" s="18"/>
      <c r="BC11" s="18"/>
      <c r="BD11" s="18" t="s">
        <v>1320</v>
      </c>
      <c r="BE11" s="41">
        <v>0.0</v>
      </c>
      <c r="BF11" s="18"/>
      <c r="BG11" s="18"/>
      <c r="BH11" s="18" t="s">
        <v>1321</v>
      </c>
      <c r="BI11" s="31"/>
      <c r="BJ11" s="58"/>
      <c r="BK11" s="58"/>
      <c r="BL11" s="18" t="s">
        <v>1322</v>
      </c>
      <c r="BM11" s="41">
        <v>0.0</v>
      </c>
      <c r="BN11" s="18"/>
      <c r="BO11" s="18"/>
      <c r="BP11" s="18"/>
      <c r="BQ11" s="18"/>
      <c r="BR11" s="18"/>
      <c r="BS11" s="18"/>
      <c r="BT11" s="18" t="s">
        <v>1323</v>
      </c>
      <c r="BU11" s="41">
        <v>0.0</v>
      </c>
      <c r="BV11" s="18"/>
      <c r="BW11" s="18"/>
      <c r="BX11" s="18" t="s">
        <v>1324</v>
      </c>
      <c r="BY11" s="41">
        <v>0.0</v>
      </c>
      <c r="BZ11" s="18"/>
      <c r="CA11" s="18"/>
      <c r="CB11" s="18"/>
      <c r="CC11" s="18"/>
      <c r="CD11" s="9"/>
      <c r="CE11" s="9"/>
    </row>
    <row r="12">
      <c r="A12" s="7">
        <v>1334.0</v>
      </c>
      <c r="B12" s="8" t="s">
        <v>50</v>
      </c>
      <c r="C12" s="16" t="str">
        <f t="shared" si="1"/>
        <v>LP-11_BC-506A_BS VI HSD</v>
      </c>
      <c r="D12" s="16" t="s">
        <v>1325</v>
      </c>
      <c r="E12" s="16" t="s">
        <v>1135</v>
      </c>
      <c r="F12" s="20" t="s">
        <v>1326</v>
      </c>
      <c r="G12" s="20" t="s">
        <v>184</v>
      </c>
      <c r="H12" s="18" t="s">
        <v>1327</v>
      </c>
      <c r="I12" s="41">
        <v>0.0</v>
      </c>
      <c r="J12" s="18"/>
      <c r="K12" s="18"/>
      <c r="L12" s="18" t="s">
        <v>1328</v>
      </c>
      <c r="M12" s="41">
        <v>0.0</v>
      </c>
      <c r="N12" s="18"/>
      <c r="O12" s="18"/>
      <c r="P12" s="18"/>
      <c r="Q12" s="18"/>
      <c r="R12" s="18"/>
      <c r="S12" s="18"/>
      <c r="T12" s="18" t="s">
        <v>1329</v>
      </c>
      <c r="U12" s="41">
        <v>0.0</v>
      </c>
      <c r="V12" s="18"/>
      <c r="W12" s="18"/>
      <c r="X12" s="18"/>
      <c r="Y12" s="18"/>
      <c r="Z12" s="18"/>
      <c r="AA12" s="18"/>
      <c r="AB12" s="18" t="s">
        <v>1330</v>
      </c>
      <c r="AC12" s="41">
        <v>0.0</v>
      </c>
      <c r="AD12" s="18"/>
      <c r="AE12" s="18"/>
      <c r="AF12" s="18"/>
      <c r="AG12" s="18"/>
      <c r="AH12" s="18"/>
      <c r="AI12" s="18"/>
      <c r="AJ12" s="18" t="s">
        <v>1331</v>
      </c>
      <c r="AK12" s="41">
        <v>0.0</v>
      </c>
      <c r="AL12" s="18"/>
      <c r="AM12" s="18"/>
      <c r="AN12" s="18" t="s">
        <v>1332</v>
      </c>
      <c r="AO12" s="41">
        <v>0.0</v>
      </c>
      <c r="AP12" s="18"/>
      <c r="AQ12" s="18"/>
      <c r="AR12" s="18" t="s">
        <v>1333</v>
      </c>
      <c r="AS12" s="41">
        <v>0.0</v>
      </c>
      <c r="AT12" s="18"/>
      <c r="AU12" s="18"/>
      <c r="AV12" s="18" t="s">
        <v>1334</v>
      </c>
      <c r="AW12" s="41">
        <v>0.0</v>
      </c>
      <c r="AX12" s="18"/>
      <c r="AY12" s="18"/>
      <c r="AZ12" s="18" t="s">
        <v>1335</v>
      </c>
      <c r="BA12" s="41">
        <v>0.0</v>
      </c>
      <c r="BB12" s="18"/>
      <c r="BC12" s="18"/>
      <c r="BD12" s="18" t="s">
        <v>1336</v>
      </c>
      <c r="BE12" s="41">
        <v>0.0</v>
      </c>
      <c r="BF12" s="18"/>
      <c r="BG12" s="18"/>
      <c r="BH12" s="18" t="s">
        <v>1337</v>
      </c>
      <c r="BI12" s="31"/>
      <c r="BJ12" s="58"/>
      <c r="BK12" s="58"/>
      <c r="BL12" s="18" t="s">
        <v>1338</v>
      </c>
      <c r="BM12" s="41">
        <v>0.0</v>
      </c>
      <c r="BN12" s="18"/>
      <c r="BO12" s="18"/>
      <c r="BP12" s="18"/>
      <c r="BQ12" s="18"/>
      <c r="BR12" s="18"/>
      <c r="BS12" s="18"/>
      <c r="BT12" s="18" t="s">
        <v>1339</v>
      </c>
      <c r="BU12" s="41">
        <v>0.0</v>
      </c>
      <c r="BV12" s="18"/>
      <c r="BW12" s="18"/>
      <c r="BX12" s="18" t="s">
        <v>1340</v>
      </c>
      <c r="BY12" s="41">
        <v>0.0</v>
      </c>
      <c r="BZ12" s="18"/>
      <c r="CA12" s="18"/>
      <c r="CB12" s="18"/>
      <c r="CC12" s="18"/>
      <c r="CD12" s="9"/>
      <c r="CE12" s="9"/>
    </row>
    <row r="13">
      <c r="A13" s="7">
        <v>1334.0</v>
      </c>
      <c r="B13" s="8" t="s">
        <v>50</v>
      </c>
      <c r="C13" s="16" t="str">
        <f t="shared" si="1"/>
        <v>LP-12_BC-506B_BS VI HSD</v>
      </c>
      <c r="D13" s="16" t="s">
        <v>1341</v>
      </c>
      <c r="E13" s="16" t="s">
        <v>1135</v>
      </c>
      <c r="F13" s="20" t="s">
        <v>1342</v>
      </c>
      <c r="G13" s="20" t="s">
        <v>184</v>
      </c>
      <c r="H13" s="18" t="s">
        <v>1343</v>
      </c>
      <c r="I13" s="41">
        <v>0.0</v>
      </c>
      <c r="J13" s="18"/>
      <c r="K13" s="18"/>
      <c r="L13" s="18" t="s">
        <v>1344</v>
      </c>
      <c r="M13" s="41">
        <v>0.0</v>
      </c>
      <c r="N13" s="18"/>
      <c r="O13" s="18"/>
      <c r="P13" s="18"/>
      <c r="Q13" s="18"/>
      <c r="R13" s="18"/>
      <c r="S13" s="18"/>
      <c r="T13" s="18" t="s">
        <v>1345</v>
      </c>
      <c r="U13" s="41">
        <v>0.0</v>
      </c>
      <c r="V13" s="18"/>
      <c r="W13" s="18"/>
      <c r="X13" s="18"/>
      <c r="Y13" s="18"/>
      <c r="Z13" s="18"/>
      <c r="AA13" s="18"/>
      <c r="AB13" s="18" t="s">
        <v>1346</v>
      </c>
      <c r="AC13" s="41">
        <v>0.0</v>
      </c>
      <c r="AD13" s="18"/>
      <c r="AE13" s="18"/>
      <c r="AF13" s="18"/>
      <c r="AG13" s="18"/>
      <c r="AH13" s="18"/>
      <c r="AI13" s="18"/>
      <c r="AJ13" s="18" t="s">
        <v>1347</v>
      </c>
      <c r="AK13" s="41">
        <v>0.0</v>
      </c>
      <c r="AL13" s="18"/>
      <c r="AM13" s="18"/>
      <c r="AN13" s="18" t="s">
        <v>1348</v>
      </c>
      <c r="AO13" s="41">
        <v>0.0</v>
      </c>
      <c r="AP13" s="18"/>
      <c r="AQ13" s="18"/>
      <c r="AR13" s="18" t="s">
        <v>1349</v>
      </c>
      <c r="AS13" s="41">
        <v>0.0</v>
      </c>
      <c r="AT13" s="18"/>
      <c r="AU13" s="18"/>
      <c r="AV13" s="18" t="s">
        <v>1350</v>
      </c>
      <c r="AW13" s="41">
        <v>0.0</v>
      </c>
      <c r="AX13" s="18"/>
      <c r="AY13" s="18"/>
      <c r="AZ13" s="18" t="s">
        <v>1351</v>
      </c>
      <c r="BA13" s="41">
        <v>0.0</v>
      </c>
      <c r="BB13" s="18"/>
      <c r="BC13" s="18"/>
      <c r="BD13" s="18" t="s">
        <v>1352</v>
      </c>
      <c r="BE13" s="41">
        <v>0.0</v>
      </c>
      <c r="BF13" s="18"/>
      <c r="BG13" s="18"/>
      <c r="BH13" s="18" t="s">
        <v>1353</v>
      </c>
      <c r="BI13" s="31"/>
      <c r="BJ13" s="58"/>
      <c r="BK13" s="58"/>
      <c r="BL13" s="18" t="s">
        <v>1354</v>
      </c>
      <c r="BM13" s="41">
        <v>0.0</v>
      </c>
      <c r="BN13" s="18"/>
      <c r="BO13" s="18"/>
      <c r="BP13" s="18"/>
      <c r="BQ13" s="18"/>
      <c r="BR13" s="18"/>
      <c r="BS13" s="18"/>
      <c r="BT13" s="18" t="s">
        <v>1355</v>
      </c>
      <c r="BU13" s="41">
        <v>0.0</v>
      </c>
      <c r="BV13" s="18"/>
      <c r="BW13" s="18"/>
      <c r="BX13" s="18" t="s">
        <v>1356</v>
      </c>
      <c r="BY13" s="41">
        <v>0.0</v>
      </c>
      <c r="BZ13" s="18"/>
      <c r="CA13" s="18"/>
      <c r="CB13" s="18"/>
      <c r="CC13" s="18"/>
      <c r="CD13" s="9"/>
      <c r="CE13" s="9"/>
    </row>
    <row r="14">
      <c r="A14" s="7">
        <v>1334.0</v>
      </c>
      <c r="B14" s="8" t="s">
        <v>50</v>
      </c>
      <c r="C14" s="16" t="str">
        <f t="shared" si="1"/>
        <v>LP-13_BC-507A_BS VI MS</v>
      </c>
      <c r="D14" s="16" t="s">
        <v>1357</v>
      </c>
      <c r="E14" s="16" t="s">
        <v>1135</v>
      </c>
      <c r="F14" s="20" t="s">
        <v>1358</v>
      </c>
      <c r="G14" s="20" t="s">
        <v>52</v>
      </c>
      <c r="H14" s="18" t="s">
        <v>1359</v>
      </c>
      <c r="I14" s="41">
        <v>0.0</v>
      </c>
      <c r="J14" s="18"/>
      <c r="K14" s="18"/>
      <c r="L14" s="18" t="s">
        <v>1360</v>
      </c>
      <c r="M14" s="41">
        <v>0.0</v>
      </c>
      <c r="N14" s="18"/>
      <c r="O14" s="18"/>
      <c r="P14" s="18" t="s">
        <v>1361</v>
      </c>
      <c r="Q14" s="41">
        <v>0.0</v>
      </c>
      <c r="R14" s="18"/>
      <c r="S14" s="18"/>
      <c r="T14" s="18" t="s">
        <v>1362</v>
      </c>
      <c r="U14" s="41">
        <v>0.0</v>
      </c>
      <c r="V14" s="18"/>
      <c r="W14" s="18"/>
      <c r="X14" s="18" t="s">
        <v>1363</v>
      </c>
      <c r="Y14" s="41">
        <v>0.0</v>
      </c>
      <c r="Z14" s="18"/>
      <c r="AA14" s="18"/>
      <c r="AB14" s="18" t="s">
        <v>1364</v>
      </c>
      <c r="AC14" s="41">
        <v>0.0</v>
      </c>
      <c r="AD14" s="18"/>
      <c r="AE14" s="18"/>
      <c r="AF14" s="18" t="s">
        <v>1365</v>
      </c>
      <c r="AG14" s="41">
        <v>0.0</v>
      </c>
      <c r="AH14" s="18"/>
      <c r="AI14" s="18"/>
      <c r="AJ14" s="18" t="s">
        <v>1366</v>
      </c>
      <c r="AK14" s="41">
        <v>0.0</v>
      </c>
      <c r="AL14" s="18"/>
      <c r="AM14" s="18"/>
      <c r="AN14" s="18" t="s">
        <v>1367</v>
      </c>
      <c r="AO14" s="41">
        <v>0.0</v>
      </c>
      <c r="AP14" s="18"/>
      <c r="AQ14" s="18"/>
      <c r="AR14" s="18" t="s">
        <v>1368</v>
      </c>
      <c r="AS14" s="41">
        <v>0.0</v>
      </c>
      <c r="AT14" s="18"/>
      <c r="AU14" s="18"/>
      <c r="AV14" s="18" t="s">
        <v>1369</v>
      </c>
      <c r="AW14" s="41">
        <v>0.0</v>
      </c>
      <c r="AX14" s="18"/>
      <c r="AY14" s="18"/>
      <c r="AZ14" s="18" t="s">
        <v>1370</v>
      </c>
      <c r="BA14" s="41">
        <v>0.0</v>
      </c>
      <c r="BB14" s="18"/>
      <c r="BC14" s="18"/>
      <c r="BD14" s="18" t="s">
        <v>1371</v>
      </c>
      <c r="BE14" s="41">
        <v>0.0</v>
      </c>
      <c r="BF14" s="18"/>
      <c r="BG14" s="18"/>
      <c r="BH14" s="18" t="s">
        <v>1372</v>
      </c>
      <c r="BI14" s="31"/>
      <c r="BJ14" s="58"/>
      <c r="BK14" s="58"/>
      <c r="BL14" s="18" t="s">
        <v>1373</v>
      </c>
      <c r="BM14" s="41">
        <v>0.0</v>
      </c>
      <c r="BN14" s="18"/>
      <c r="BO14" s="18"/>
      <c r="BP14" s="18" t="s">
        <v>1374</v>
      </c>
      <c r="BQ14" s="41">
        <v>0.0</v>
      </c>
      <c r="BR14" s="18"/>
      <c r="BS14" s="18"/>
      <c r="BT14" s="18" t="s">
        <v>1375</v>
      </c>
      <c r="BU14" s="41">
        <v>0.0</v>
      </c>
      <c r="BV14" s="18"/>
      <c r="BW14" s="18"/>
      <c r="BX14" s="18" t="s">
        <v>1376</v>
      </c>
      <c r="BY14" s="41">
        <v>0.0</v>
      </c>
      <c r="BZ14" s="18"/>
      <c r="CA14" s="18"/>
      <c r="CB14" s="18" t="s">
        <v>1377</v>
      </c>
      <c r="CC14" s="41">
        <v>0.0</v>
      </c>
      <c r="CD14" s="9"/>
      <c r="CE14" s="9"/>
    </row>
    <row r="15">
      <c r="A15" s="7">
        <v>1334.0</v>
      </c>
      <c r="B15" s="8" t="s">
        <v>50</v>
      </c>
      <c r="C15" s="16" t="str">
        <f t="shared" si="1"/>
        <v>LP-14_BC-507B_BS VI HSD</v>
      </c>
      <c r="D15" s="16" t="s">
        <v>1378</v>
      </c>
      <c r="E15" s="16" t="s">
        <v>1135</v>
      </c>
      <c r="F15" s="20" t="s">
        <v>1379</v>
      </c>
      <c r="G15" s="20" t="s">
        <v>184</v>
      </c>
      <c r="H15" s="18" t="s">
        <v>1380</v>
      </c>
      <c r="I15" s="41">
        <v>0.0</v>
      </c>
      <c r="J15" s="18"/>
      <c r="K15" s="18"/>
      <c r="L15" s="18" t="s">
        <v>1381</v>
      </c>
      <c r="M15" s="41">
        <v>0.0</v>
      </c>
      <c r="N15" s="18"/>
      <c r="O15" s="18"/>
      <c r="P15" s="18" t="s">
        <v>1382</v>
      </c>
      <c r="Q15" s="41">
        <v>0.0</v>
      </c>
      <c r="R15" s="18"/>
      <c r="S15" s="18"/>
      <c r="T15" s="18" t="s">
        <v>1383</v>
      </c>
      <c r="U15" s="41">
        <v>0.0</v>
      </c>
      <c r="V15" s="18"/>
      <c r="W15" s="18"/>
      <c r="X15" s="18" t="s">
        <v>1384</v>
      </c>
      <c r="Y15" s="41">
        <v>0.0</v>
      </c>
      <c r="Z15" s="18"/>
      <c r="AA15" s="18"/>
      <c r="AB15" s="18" t="s">
        <v>1385</v>
      </c>
      <c r="AC15" s="41">
        <v>0.0</v>
      </c>
      <c r="AD15" s="18"/>
      <c r="AE15" s="18"/>
      <c r="AF15" s="18" t="s">
        <v>1386</v>
      </c>
      <c r="AG15" s="41">
        <v>0.0</v>
      </c>
      <c r="AH15" s="18"/>
      <c r="AI15" s="18"/>
      <c r="AJ15" s="18" t="s">
        <v>1387</v>
      </c>
      <c r="AK15" s="41">
        <v>0.0</v>
      </c>
      <c r="AL15" s="18"/>
      <c r="AM15" s="18"/>
      <c r="AN15" s="18" t="s">
        <v>1388</v>
      </c>
      <c r="AO15" s="41">
        <v>0.0</v>
      </c>
      <c r="AP15" s="18"/>
      <c r="AQ15" s="18"/>
      <c r="AR15" s="18" t="s">
        <v>1389</v>
      </c>
      <c r="AS15" s="41">
        <v>0.0</v>
      </c>
      <c r="AT15" s="18"/>
      <c r="AU15" s="18"/>
      <c r="AV15" s="18" t="s">
        <v>1390</v>
      </c>
      <c r="AW15" s="41">
        <v>0.0</v>
      </c>
      <c r="AX15" s="18"/>
      <c r="AY15" s="18"/>
      <c r="AZ15" s="18" t="s">
        <v>1391</v>
      </c>
      <c r="BA15" s="41">
        <v>0.0</v>
      </c>
      <c r="BB15" s="18"/>
      <c r="BC15" s="18"/>
      <c r="BD15" s="18" t="s">
        <v>1392</v>
      </c>
      <c r="BE15" s="41">
        <v>0.0</v>
      </c>
      <c r="BF15" s="18"/>
      <c r="BG15" s="18"/>
      <c r="BH15" s="18" t="s">
        <v>1393</v>
      </c>
      <c r="BI15" s="31"/>
      <c r="BJ15" s="58"/>
      <c r="BK15" s="58"/>
      <c r="BL15" s="18" t="s">
        <v>1394</v>
      </c>
      <c r="BM15" s="41">
        <v>0.0</v>
      </c>
      <c r="BN15" s="18"/>
      <c r="BO15" s="18"/>
      <c r="BP15" s="18" t="s">
        <v>1395</v>
      </c>
      <c r="BQ15" s="41">
        <v>0.0</v>
      </c>
      <c r="BR15" s="18"/>
      <c r="BS15" s="18"/>
      <c r="BT15" s="18" t="s">
        <v>1396</v>
      </c>
      <c r="BU15" s="41">
        <v>0.0</v>
      </c>
      <c r="BV15" s="18"/>
      <c r="BW15" s="18"/>
      <c r="BX15" s="18" t="s">
        <v>1397</v>
      </c>
      <c r="BY15" s="41">
        <v>0.0</v>
      </c>
      <c r="BZ15" s="18"/>
      <c r="CA15" s="18"/>
      <c r="CB15" s="18" t="s">
        <v>1398</v>
      </c>
      <c r="CC15" s="41">
        <v>0.0</v>
      </c>
      <c r="CD15" s="9"/>
      <c r="CE15" s="9"/>
    </row>
    <row r="16">
      <c r="A16" s="7">
        <v>1334.0</v>
      </c>
      <c r="B16" s="8" t="s">
        <v>50</v>
      </c>
      <c r="C16" s="16" t="str">
        <f t="shared" si="1"/>
        <v>LP-15_BC-508A_BS VI HSD</v>
      </c>
      <c r="D16" s="16" t="s">
        <v>1399</v>
      </c>
      <c r="E16" s="16" t="s">
        <v>1135</v>
      </c>
      <c r="F16" s="20" t="s">
        <v>1400</v>
      </c>
      <c r="G16" s="20" t="s">
        <v>184</v>
      </c>
      <c r="H16" s="18" t="s">
        <v>1401</v>
      </c>
      <c r="I16" s="41">
        <v>0.0</v>
      </c>
      <c r="J16" s="18"/>
      <c r="K16" s="18"/>
      <c r="L16" s="18" t="s">
        <v>1402</v>
      </c>
      <c r="M16" s="41">
        <v>0.0</v>
      </c>
      <c r="N16" s="18"/>
      <c r="O16" s="18"/>
      <c r="P16" s="18"/>
      <c r="Q16" s="18"/>
      <c r="R16" s="18"/>
      <c r="S16" s="18"/>
      <c r="T16" s="18" t="s">
        <v>1403</v>
      </c>
      <c r="U16" s="41">
        <v>0.0</v>
      </c>
      <c r="V16" s="18"/>
      <c r="W16" s="18"/>
      <c r="X16" s="18"/>
      <c r="Y16" s="18"/>
      <c r="Z16" s="18"/>
      <c r="AA16" s="18"/>
      <c r="AB16" s="18" t="s">
        <v>1404</v>
      </c>
      <c r="AC16" s="41">
        <v>0.0</v>
      </c>
      <c r="AD16" s="18"/>
      <c r="AE16" s="18"/>
      <c r="AF16" s="18"/>
      <c r="AG16" s="18"/>
      <c r="AH16" s="18"/>
      <c r="AI16" s="18"/>
      <c r="AJ16" s="18" t="s">
        <v>1405</v>
      </c>
      <c r="AK16" s="41">
        <v>0.0</v>
      </c>
      <c r="AL16" s="18"/>
      <c r="AM16" s="18"/>
      <c r="AN16" s="18" t="s">
        <v>1406</v>
      </c>
      <c r="AO16" s="41">
        <v>0.0</v>
      </c>
      <c r="AP16" s="18"/>
      <c r="AQ16" s="18"/>
      <c r="AR16" s="18" t="s">
        <v>1407</v>
      </c>
      <c r="AS16" s="41">
        <v>0.0</v>
      </c>
      <c r="AT16" s="18"/>
      <c r="AU16" s="18"/>
      <c r="AV16" s="18" t="s">
        <v>1408</v>
      </c>
      <c r="AW16" s="41">
        <v>0.0</v>
      </c>
      <c r="AX16" s="18"/>
      <c r="AY16" s="18"/>
      <c r="AZ16" s="18" t="s">
        <v>1409</v>
      </c>
      <c r="BA16" s="41">
        <v>0.0</v>
      </c>
      <c r="BB16" s="18"/>
      <c r="BC16" s="18"/>
      <c r="BD16" s="18" t="s">
        <v>1410</v>
      </c>
      <c r="BE16" s="41">
        <v>0.0</v>
      </c>
      <c r="BF16" s="18"/>
      <c r="BG16" s="18"/>
      <c r="BH16" s="18" t="s">
        <v>1411</v>
      </c>
      <c r="BI16" s="31"/>
      <c r="BJ16" s="58"/>
      <c r="BK16" s="58"/>
      <c r="BL16" s="18" t="s">
        <v>1412</v>
      </c>
      <c r="BM16" s="41">
        <v>0.0</v>
      </c>
      <c r="BN16" s="18"/>
      <c r="BO16" s="18"/>
      <c r="BP16" s="18"/>
      <c r="BQ16" s="18"/>
      <c r="BR16" s="18"/>
      <c r="BS16" s="18"/>
      <c r="BT16" s="18" t="s">
        <v>1413</v>
      </c>
      <c r="BU16" s="41">
        <v>0.0</v>
      </c>
      <c r="BV16" s="18"/>
      <c r="BW16" s="18"/>
      <c r="BX16" s="18" t="s">
        <v>1414</v>
      </c>
      <c r="BY16" s="41">
        <v>0.0</v>
      </c>
      <c r="BZ16" s="18"/>
      <c r="CA16" s="18"/>
      <c r="CB16" s="18"/>
      <c r="CC16" s="18"/>
      <c r="CD16" s="9"/>
      <c r="CE16" s="9"/>
    </row>
    <row r="17">
      <c r="A17" s="7">
        <v>1334.0</v>
      </c>
      <c r="B17" s="8" t="s">
        <v>50</v>
      </c>
      <c r="C17" s="16" t="str">
        <f t="shared" si="1"/>
        <v>LP-16_BC-508B_BS VI HSD</v>
      </c>
      <c r="D17" s="16" t="s">
        <v>1415</v>
      </c>
      <c r="E17" s="16" t="s">
        <v>1135</v>
      </c>
      <c r="F17" s="20" t="s">
        <v>1416</v>
      </c>
      <c r="G17" s="20" t="s">
        <v>184</v>
      </c>
      <c r="H17" s="18" t="s">
        <v>1417</v>
      </c>
      <c r="I17" s="41">
        <v>0.0</v>
      </c>
      <c r="J17" s="18"/>
      <c r="K17" s="18"/>
      <c r="L17" s="18" t="s">
        <v>1418</v>
      </c>
      <c r="M17" s="41">
        <v>0.0</v>
      </c>
      <c r="N17" s="18"/>
      <c r="O17" s="18"/>
      <c r="P17" s="18"/>
      <c r="Q17" s="18"/>
      <c r="R17" s="18"/>
      <c r="S17" s="18"/>
      <c r="T17" s="18" t="s">
        <v>1419</v>
      </c>
      <c r="U17" s="41">
        <v>0.0</v>
      </c>
      <c r="V17" s="18"/>
      <c r="W17" s="18"/>
      <c r="X17" s="18"/>
      <c r="Y17" s="18"/>
      <c r="Z17" s="18"/>
      <c r="AA17" s="18"/>
      <c r="AB17" s="18" t="s">
        <v>1420</v>
      </c>
      <c r="AC17" s="41">
        <v>0.0</v>
      </c>
      <c r="AD17" s="18"/>
      <c r="AE17" s="18"/>
      <c r="AF17" s="18"/>
      <c r="AG17" s="18"/>
      <c r="AH17" s="18"/>
      <c r="AI17" s="18"/>
      <c r="AJ17" s="18" t="s">
        <v>1421</v>
      </c>
      <c r="AK17" s="41">
        <v>0.0</v>
      </c>
      <c r="AL17" s="18"/>
      <c r="AM17" s="18"/>
      <c r="AN17" s="18" t="s">
        <v>1422</v>
      </c>
      <c r="AO17" s="41">
        <v>0.0</v>
      </c>
      <c r="AP17" s="18"/>
      <c r="AQ17" s="18"/>
      <c r="AR17" s="18" t="s">
        <v>1423</v>
      </c>
      <c r="AS17" s="41">
        <v>0.0</v>
      </c>
      <c r="AT17" s="18"/>
      <c r="AU17" s="18"/>
      <c r="AV17" s="18" t="s">
        <v>1424</v>
      </c>
      <c r="AW17" s="41">
        <v>0.0</v>
      </c>
      <c r="AX17" s="18"/>
      <c r="AY17" s="18"/>
      <c r="AZ17" s="18" t="s">
        <v>1425</v>
      </c>
      <c r="BA17" s="41">
        <v>0.0</v>
      </c>
      <c r="BB17" s="18"/>
      <c r="BC17" s="18"/>
      <c r="BD17" s="18" t="s">
        <v>1426</v>
      </c>
      <c r="BE17" s="41">
        <v>0.0</v>
      </c>
      <c r="BF17" s="18"/>
      <c r="BG17" s="18"/>
      <c r="BH17" s="18" t="s">
        <v>1427</v>
      </c>
      <c r="BI17" s="31"/>
      <c r="BJ17" s="58"/>
      <c r="BK17" s="58"/>
      <c r="BL17" s="18" t="s">
        <v>1428</v>
      </c>
      <c r="BM17" s="41">
        <v>0.0</v>
      </c>
      <c r="BN17" s="18"/>
      <c r="BO17" s="18"/>
      <c r="BP17" s="18"/>
      <c r="BQ17" s="18"/>
      <c r="BR17" s="18"/>
      <c r="BS17" s="18"/>
      <c r="BT17" s="18" t="s">
        <v>1429</v>
      </c>
      <c r="BU17" s="41">
        <v>0.0</v>
      </c>
      <c r="BV17" s="18"/>
      <c r="BW17" s="18"/>
      <c r="BX17" s="18" t="s">
        <v>1430</v>
      </c>
      <c r="BY17" s="41">
        <v>0.0</v>
      </c>
      <c r="BZ17" s="18"/>
      <c r="CA17" s="18"/>
      <c r="CB17" s="18"/>
      <c r="CC17" s="18"/>
      <c r="CD17" s="9"/>
      <c r="CE17" s="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4" width="47.75"/>
    <col customWidth="1" min="7" max="7" width="11.38"/>
    <col customWidth="1" min="8" max="8" width="33.0"/>
  </cols>
  <sheetData>
    <row r="1">
      <c r="A1" s="1" t="s">
        <v>0</v>
      </c>
      <c r="B1" s="1" t="s">
        <v>1</v>
      </c>
      <c r="C1" s="1" t="s">
        <v>1431</v>
      </c>
      <c r="D1" s="1" t="s">
        <v>1432</v>
      </c>
      <c r="E1" s="1" t="s">
        <v>7</v>
      </c>
      <c r="F1" s="1" t="s">
        <v>8</v>
      </c>
      <c r="G1" s="1" t="s">
        <v>9</v>
      </c>
      <c r="H1" s="55" t="s">
        <v>1433</v>
      </c>
      <c r="I1" s="1" t="s">
        <v>7</v>
      </c>
      <c r="J1" s="1" t="s">
        <v>8</v>
      </c>
      <c r="K1" s="1" t="s">
        <v>9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7">
        <v>1334.0</v>
      </c>
      <c r="B2" s="8" t="s">
        <v>50</v>
      </c>
      <c r="C2" s="16" t="s">
        <v>1434</v>
      </c>
      <c r="D2" s="29" t="s">
        <v>1435</v>
      </c>
      <c r="E2" s="14">
        <v>0.0</v>
      </c>
      <c r="F2" s="9"/>
      <c r="G2" s="9"/>
      <c r="H2" s="12" t="s">
        <v>1030</v>
      </c>
      <c r="I2" s="7">
        <v>0.0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12" max="12" width="33.0"/>
    <col customWidth="1" min="20" max="20" width="24.63"/>
  </cols>
  <sheetData>
    <row r="1">
      <c r="A1" s="1" t="s">
        <v>0</v>
      </c>
      <c r="B1" s="1" t="s">
        <v>1</v>
      </c>
      <c r="C1" s="55" t="s">
        <v>1436</v>
      </c>
      <c r="D1" s="55" t="s">
        <v>1437</v>
      </c>
      <c r="E1" s="55" t="s">
        <v>1438</v>
      </c>
      <c r="F1" s="55" t="s">
        <v>8</v>
      </c>
      <c r="G1" s="55" t="s">
        <v>9</v>
      </c>
      <c r="H1" s="55" t="s">
        <v>1014</v>
      </c>
      <c r="I1" s="55" t="s">
        <v>1439</v>
      </c>
      <c r="J1" s="55" t="s">
        <v>8</v>
      </c>
      <c r="K1" s="55" t="s">
        <v>9</v>
      </c>
      <c r="L1" s="55" t="s">
        <v>1015</v>
      </c>
      <c r="M1" s="55" t="s">
        <v>1440</v>
      </c>
      <c r="N1" s="55" t="s">
        <v>8</v>
      </c>
      <c r="O1" s="55" t="s">
        <v>9</v>
      </c>
      <c r="P1" s="9" t="s">
        <v>1441</v>
      </c>
      <c r="Q1" s="9" t="s">
        <v>1442</v>
      </c>
      <c r="R1" s="55" t="s">
        <v>8</v>
      </c>
      <c r="S1" s="55" t="s">
        <v>9</v>
      </c>
      <c r="T1" s="9" t="s">
        <v>1443</v>
      </c>
      <c r="U1" s="9" t="s">
        <v>7</v>
      </c>
      <c r="V1" s="55" t="s">
        <v>8</v>
      </c>
      <c r="W1" s="55" t="s">
        <v>9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>
      <c r="A2" s="59">
        <v>1334.0</v>
      </c>
      <c r="B2" s="60" t="s">
        <v>50</v>
      </c>
      <c r="C2" s="61" t="s">
        <v>1444</v>
      </c>
      <c r="D2" s="12" t="s">
        <v>1445</v>
      </c>
      <c r="E2" s="60">
        <v>0.0</v>
      </c>
      <c r="F2" s="62"/>
      <c r="G2" s="62"/>
      <c r="H2" s="12" t="s">
        <v>1029</v>
      </c>
      <c r="I2" s="16">
        <v>0.0</v>
      </c>
      <c r="J2" s="51"/>
      <c r="K2" s="51"/>
      <c r="L2" s="12" t="s">
        <v>1030</v>
      </c>
      <c r="M2" s="16">
        <v>0.0</v>
      </c>
      <c r="N2" s="9"/>
      <c r="O2" s="9"/>
      <c r="P2" s="9"/>
      <c r="Q2" s="9"/>
      <c r="R2" s="9"/>
      <c r="S2" s="9"/>
      <c r="T2" s="9"/>
      <c r="U2" s="7">
        <v>0.0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59">
        <v>1334.0</v>
      </c>
      <c r="B3" s="60" t="s">
        <v>50</v>
      </c>
      <c r="C3" s="23" t="s">
        <v>1446</v>
      </c>
      <c r="D3" s="9"/>
      <c r="E3" s="9"/>
      <c r="F3" s="9"/>
      <c r="G3" s="9"/>
      <c r="H3" s="29" t="s">
        <v>1435</v>
      </c>
      <c r="I3" s="16">
        <v>0.0</v>
      </c>
      <c r="J3" s="51"/>
      <c r="K3" s="51"/>
      <c r="L3" s="12" t="s">
        <v>1030</v>
      </c>
      <c r="M3" s="16">
        <v>0.0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0"/>
  </cols>
  <sheetData>
    <row r="1">
      <c r="A1" s="1" t="s">
        <v>0</v>
      </c>
      <c r="B1" s="1" t="s">
        <v>1</v>
      </c>
      <c r="C1" s="1" t="s">
        <v>1447</v>
      </c>
      <c r="D1" s="50" t="s">
        <v>1448</v>
      </c>
      <c r="E1" s="50" t="s">
        <v>1449</v>
      </c>
      <c r="F1" s="55" t="s">
        <v>8</v>
      </c>
      <c r="G1" s="55" t="s">
        <v>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1450</v>
      </c>
      <c r="D1" s="23" t="s">
        <v>1451</v>
      </c>
      <c r="E1" s="23" t="s">
        <v>7</v>
      </c>
      <c r="F1" s="55" t="s">
        <v>8</v>
      </c>
      <c r="G1" s="55" t="s">
        <v>9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59">
        <v>1334.0</v>
      </c>
      <c r="B2" s="60" t="s">
        <v>50</v>
      </c>
      <c r="C2" s="23" t="s">
        <v>1452</v>
      </c>
      <c r="D2" s="29" t="s">
        <v>1453</v>
      </c>
      <c r="E2" s="63">
        <v>0.0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0.63"/>
    <col customWidth="1" min="8" max="8" width="27.0"/>
  </cols>
  <sheetData>
    <row r="1">
      <c r="A1" s="1" t="s">
        <v>0</v>
      </c>
      <c r="B1" s="1" t="s">
        <v>1</v>
      </c>
      <c r="C1" s="23" t="s">
        <v>1454</v>
      </c>
      <c r="D1" s="23" t="s">
        <v>1455</v>
      </c>
      <c r="E1" s="23" t="s">
        <v>13</v>
      </c>
      <c r="F1" s="55" t="s">
        <v>8</v>
      </c>
      <c r="G1" s="55" t="s">
        <v>9</v>
      </c>
      <c r="H1" s="23" t="s">
        <v>1456</v>
      </c>
      <c r="I1" s="23" t="s">
        <v>13</v>
      </c>
      <c r="J1" s="55" t="s">
        <v>8</v>
      </c>
      <c r="K1" s="55" t="s">
        <v>9</v>
      </c>
      <c r="L1" s="23" t="s">
        <v>1457</v>
      </c>
      <c r="M1" s="23" t="s">
        <v>13</v>
      </c>
      <c r="N1" s="55" t="s">
        <v>8</v>
      </c>
      <c r="O1" s="55" t="s">
        <v>9</v>
      </c>
      <c r="P1" s="23" t="s">
        <v>1458</v>
      </c>
      <c r="Q1" s="23" t="s">
        <v>13</v>
      </c>
      <c r="R1" s="55" t="s">
        <v>8</v>
      </c>
      <c r="S1" s="23" t="s">
        <v>9</v>
      </c>
      <c r="T1" s="23" t="s">
        <v>1459</v>
      </c>
      <c r="U1" s="23" t="s">
        <v>13</v>
      </c>
      <c r="V1" s="55" t="s">
        <v>8</v>
      </c>
      <c r="W1" s="55" t="s">
        <v>9</v>
      </c>
      <c r="X1" s="16" t="s">
        <v>1460</v>
      </c>
      <c r="Y1" s="16" t="s">
        <v>7</v>
      </c>
      <c r="Z1" s="55" t="s">
        <v>8</v>
      </c>
      <c r="AA1" s="55" t="s">
        <v>9</v>
      </c>
      <c r="AB1" s="16" t="s">
        <v>1461</v>
      </c>
      <c r="AC1" s="16" t="s">
        <v>7</v>
      </c>
      <c r="AD1" s="55" t="s">
        <v>8</v>
      </c>
      <c r="AE1" s="55" t="s">
        <v>9</v>
      </c>
      <c r="AF1" s="23" t="s">
        <v>1462</v>
      </c>
      <c r="AG1" s="16" t="s">
        <v>7</v>
      </c>
      <c r="AH1" s="55" t="s">
        <v>8</v>
      </c>
      <c r="AI1" s="55" t="s">
        <v>9</v>
      </c>
      <c r="AJ1" s="41" t="s">
        <v>1463</v>
      </c>
      <c r="AK1" s="41" t="s">
        <v>7</v>
      </c>
      <c r="AL1" s="55" t="s">
        <v>8</v>
      </c>
      <c r="AM1" s="55" t="s">
        <v>9</v>
      </c>
      <c r="AN1" s="9" t="s">
        <v>1464</v>
      </c>
      <c r="AO1" s="9" t="s">
        <v>7</v>
      </c>
      <c r="AP1" s="55" t="s">
        <v>8</v>
      </c>
      <c r="AQ1" s="55" t="s">
        <v>9</v>
      </c>
      <c r="AR1" s="9" t="s">
        <v>1465</v>
      </c>
      <c r="AS1" s="9" t="s">
        <v>7</v>
      </c>
      <c r="AT1" s="55" t="s">
        <v>8</v>
      </c>
      <c r="AU1" s="55" t="s">
        <v>9</v>
      </c>
      <c r="AV1" s="9" t="s">
        <v>1466</v>
      </c>
      <c r="AW1" s="9" t="s">
        <v>7</v>
      </c>
      <c r="AX1" s="55" t="s">
        <v>8</v>
      </c>
      <c r="AY1" s="55" t="s">
        <v>9</v>
      </c>
      <c r="AZ1" s="9" t="s">
        <v>1467</v>
      </c>
      <c r="BA1" s="9" t="s">
        <v>7</v>
      </c>
      <c r="BB1" s="55" t="s">
        <v>8</v>
      </c>
      <c r="BC1" s="55" t="s">
        <v>9</v>
      </c>
    </row>
    <row r="2">
      <c r="A2" s="59">
        <v>1334.0</v>
      </c>
      <c r="B2" s="60" t="s">
        <v>50</v>
      </c>
      <c r="C2" s="23" t="s">
        <v>1468</v>
      </c>
      <c r="D2" s="28" t="s">
        <v>1469</v>
      </c>
      <c r="E2" s="16">
        <v>0.0</v>
      </c>
      <c r="F2" s="18"/>
      <c r="G2" s="18"/>
      <c r="H2" s="28" t="s">
        <v>1470</v>
      </c>
      <c r="I2" s="16">
        <v>0.0</v>
      </c>
      <c r="J2" s="18"/>
      <c r="K2" s="18"/>
      <c r="L2" s="28" t="s">
        <v>1471</v>
      </c>
      <c r="M2" s="16">
        <v>0.0</v>
      </c>
      <c r="N2" s="18"/>
      <c r="O2" s="18"/>
      <c r="P2" s="28" t="s">
        <v>804</v>
      </c>
      <c r="Q2" s="16">
        <v>1.0</v>
      </c>
      <c r="R2" s="18"/>
      <c r="S2" s="18"/>
      <c r="T2" s="28" t="s">
        <v>809</v>
      </c>
      <c r="U2" s="16">
        <v>1.0</v>
      </c>
      <c r="V2" s="18"/>
      <c r="W2" s="18"/>
      <c r="X2" s="29" t="s">
        <v>1472</v>
      </c>
      <c r="Y2" s="23"/>
      <c r="Z2" s="18"/>
      <c r="AA2" s="18"/>
      <c r="AB2" s="29" t="s">
        <v>1473</v>
      </c>
      <c r="AC2" s="23"/>
      <c r="AD2" s="18"/>
      <c r="AE2" s="18"/>
      <c r="AF2" s="29" t="s">
        <v>1474</v>
      </c>
      <c r="AG2" s="23"/>
      <c r="AH2" s="23"/>
      <c r="AI2" s="23"/>
      <c r="AJ2" s="64"/>
      <c r="AK2" s="9"/>
      <c r="AL2" s="9"/>
      <c r="AM2" s="9"/>
      <c r="AN2" s="41" t="s">
        <v>1475</v>
      </c>
      <c r="AO2" s="7">
        <v>1.0</v>
      </c>
      <c r="AP2" s="9"/>
      <c r="AQ2" s="9"/>
      <c r="AR2" s="9"/>
      <c r="AS2" s="7">
        <v>1.0</v>
      </c>
      <c r="AT2" s="9"/>
      <c r="AU2" s="9"/>
      <c r="AV2" s="41" t="s">
        <v>1476</v>
      </c>
      <c r="AW2" s="7">
        <v>1.0</v>
      </c>
      <c r="AX2" s="9"/>
      <c r="AY2" s="9"/>
      <c r="AZ2" s="9"/>
      <c r="BA2" s="7">
        <v>1.0</v>
      </c>
      <c r="BB2" s="9"/>
      <c r="BC2" s="9"/>
    </row>
  </sheetData>
  <drawing r:id="rId1"/>
</worksheet>
</file>