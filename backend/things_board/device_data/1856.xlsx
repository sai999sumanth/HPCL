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Master'!$A$1:$CZ$959</definedName>
  </definedNames>
  <calcPr/>
  <extLst>
    <ext uri="GoogleSheetsCustomDataVersion2">
      <go:sheetsCustomData xmlns:go="http://customooxmlschemas.google.com/" r:id="rId21" roundtripDataChecksum="hqoBBvaPStkeDitRj2hr0nBGNZT/wvmVrlVu+fzcpUU="/>
    </ext>
  </extLst>
</workbook>
</file>

<file path=xl/sharedStrings.xml><?xml version="1.0" encoding="utf-8"?>
<sst xmlns="http://schemas.openxmlformats.org/spreadsheetml/2006/main" count="2609" uniqueCount="1425">
  <si>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</si>
  <si>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</si>
  <si>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</si>
  <si>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</si>
  <si>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</si>
  <si>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</si>
  <si>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</si>
  <si>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</si>
  <si>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</si>
  <si>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</si>
  <si>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</si>
  <si>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</si>
  <si>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 xml:space="preserve">TANK LEAKAGE STATUS </t>
  </si>
  <si>
    <t>Primary Gauge HIGH</t>
  </si>
  <si>
    <t>Normal Value</t>
  </si>
  <si>
    <t>Primary Gauge HIGH HIGH</t>
  </si>
  <si>
    <t>LEVEL SWITCH</t>
  </si>
  <si>
    <t xml:space="preserve">LEVEL SWITCH PROOF OK </t>
  </si>
  <si>
    <t>LEVEL SWITCH PROOF FAILED</t>
  </si>
  <si>
    <t>RADAR HHH</t>
  </si>
  <si>
    <t>RADAR PROOF OK</t>
  </si>
  <si>
    <t>RADAR PROOF FAILED</t>
  </si>
  <si>
    <t>ROSOV OPEN STATUS IL1</t>
  </si>
  <si>
    <t>ROSOV FAIL TO CLOSE STATUS IL1</t>
  </si>
  <si>
    <t>ROSOV OPEN STATUS IL2</t>
  </si>
  <si>
    <t>ROSOV FAIL TO CLOSE STATUS IL2</t>
  </si>
  <si>
    <t>ROSOV OPEN STATUS OL</t>
  </si>
  <si>
    <t>ROSOV FAIL TO CLOSE STATUS OL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</si>
  <si>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</si>
  <si>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</si>
  <si>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</si>
  <si>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</si>
  <si>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</si>
  <si>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</si>
  <si>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</si>
  <si>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</si>
  <si>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Coimbatore</t>
  </si>
  <si>
    <t>TK-01</t>
  </si>
  <si>
    <t>AG</t>
  </si>
  <si>
    <t>ATF</t>
  </si>
  <si>
    <t>PLC.SFTPLC.CAUSE_ANY_ESD_PB_ACTI</t>
  </si>
  <si>
    <t>TANK.TK-01.LEVEL</t>
  </si>
  <si>
    <t>Primary Radar</t>
  </si>
  <si>
    <t>TANK.TK-01.TANK_ALERT_ALARM</t>
  </si>
  <si>
    <t>TANK.TK-01.HIGH_LEVEL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</si>
  <si>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</si>
  <si>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</si>
  <si>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</si>
  <si>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</si>
  <si>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</si>
  <si>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</si>
  <si>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</si>
  <si>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</si>
  <si>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</si>
  <si>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</si>
  <si>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</si>
  <si>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</si>
  <si>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</si>
  <si>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</si>
  <si>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</si>
  <si>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MOV.ROSOV-02.FAILED_TO_CLOSE</t>
  </si>
  <si>
    <t>ROSOV FAILED OL</t>
  </si>
  <si>
    <t>MOV.MOV-001.OPEN_STATUS</t>
  </si>
  <si>
    <t>MOV IL1</t>
  </si>
  <si>
    <t>MOV.MOV-002.OPEN_STATUS</t>
  </si>
  <si>
    <t>MOV OL</t>
  </si>
  <si>
    <t>TK-02</t>
  </si>
  <si>
    <t>TANK.TK-02.LEVEL</t>
  </si>
  <si>
    <t>TANK.TK-02.TANK_ALERT_ALARM</t>
  </si>
  <si>
    <t>TANK.TK-02.HIGH_LEVEL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</si>
  <si>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</si>
  <si>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</si>
  <si>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</si>
  <si>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</si>
  <si>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</si>
  <si>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</si>
  <si>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</si>
  <si>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MOV.ROSOV-03.OPEN_STATUS</t>
  </si>
  <si>
    <t>MOV.ROSOV-03.FAILED_TO_CLOSE</t>
  </si>
  <si>
    <t>MOV.ROSOV-04.OPEN_STATUS</t>
  </si>
  <si>
    <t>MOV.ROSOV-04.FAILED_TO_CLOSE</t>
  </si>
  <si>
    <t>MOV.MOV-003.OPEN_STATUS</t>
  </si>
  <si>
    <t>MOV.MOV-004.OPEN_STATUS</t>
  </si>
  <si>
    <t>TK-03</t>
  </si>
  <si>
    <t>BS VI HSD</t>
  </si>
  <si>
    <t>TANK.TK-03.LEVEL</t>
  </si>
  <si>
    <t>TANK.TK-03.TANK_ALERT_ALARM</t>
  </si>
  <si>
    <t>TANK.TK-03.HIGH_LEVEL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</si>
  <si>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</si>
  <si>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</si>
  <si>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</si>
  <si>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</si>
  <si>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</si>
  <si>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</si>
  <si>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</si>
  <si>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MOV.ROSOV-05.OPEN_STATUS</t>
  </si>
  <si>
    <t>MOV.ROSOV-05.FAILED_TO_CLOSE</t>
  </si>
  <si>
    <t>MOV.ROSOV-06.OPEN_STATUS</t>
  </si>
  <si>
    <t>MOV.ROSOV-06.FAILED_TO_CLOSE</t>
  </si>
  <si>
    <t>MOV.MOV-005.OPEN_STATUS</t>
  </si>
  <si>
    <t>MOV.MOV-006.OPEN_STATUS</t>
  </si>
  <si>
    <t>TK-04</t>
  </si>
  <si>
    <t>BS VI MS</t>
  </si>
  <si>
    <t>TANK.TK-04.LEVEL</t>
  </si>
  <si>
    <t>TANK.TK-04.TANK_ALERT_ALARM</t>
  </si>
  <si>
    <t>TANK.TK-04.HIGH_LEVEL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</si>
  <si>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</si>
  <si>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</si>
  <si>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</si>
  <si>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</si>
  <si>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</si>
  <si>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</si>
  <si>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</si>
  <si>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MOV.ROSOV-07.OPEN_STATUS</t>
  </si>
  <si>
    <t>MOV.ROSOV-07.FAILED_TO_CLOSE</t>
  </si>
  <si>
    <t>MOV.ROSOV-08.OPEN_STATUS</t>
  </si>
  <si>
    <t>MOV.ROSOV-08.FAILED_TO_CLOSE</t>
  </si>
  <si>
    <t>MOV.MOV-007.OPEN_STATUS</t>
  </si>
  <si>
    <t>MOV.MOV-008.OPEN_STATUS</t>
  </si>
  <si>
    <t>TK-05</t>
  </si>
  <si>
    <t>TANK.TK-05.LEVEL</t>
  </si>
  <si>
    <t>TANK.TK-05.TANK_ALERT_ALARM</t>
  </si>
  <si>
    <t>TANK.TK-05.HIGH_LEVEL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</si>
  <si>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</si>
  <si>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</si>
  <si>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</si>
  <si>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</si>
  <si>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</si>
  <si>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</si>
  <si>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</si>
  <si>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MOV.ROSOV-09.OPEN_STATUS</t>
  </si>
  <si>
    <t>MOV.ROSOV-09.FAILED_TO_CLOSE</t>
  </si>
  <si>
    <t>MOV.ROSOV-10.OPEN_STATUS</t>
  </si>
  <si>
    <t>MOV.ROSOV-10.FAILED_TO_CLOSE</t>
  </si>
  <si>
    <t>MOV.MOV-009.OPEN_STATUS</t>
  </si>
  <si>
    <t>MOV.MOV-010.OPEN_STATUS</t>
  </si>
  <si>
    <t>TK-06</t>
  </si>
  <si>
    <t>ETHANOL</t>
  </si>
  <si>
    <t>TANK.TK-06.LEVEL</t>
  </si>
  <si>
    <t>TANK.TK-06.TANK_ALERT_ALARM</t>
  </si>
  <si>
    <t>TANK.TK-06.HIGH_LEVEL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</si>
  <si>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</si>
  <si>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</si>
  <si>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</si>
  <si>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</si>
  <si>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</si>
  <si>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</si>
  <si>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</si>
  <si>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MOV.ROSOV-11.OPEN_STATUS</t>
  </si>
  <si>
    <t>MOV.ROSOV-11.FAILED_TO_CLOSE</t>
  </si>
  <si>
    <t>MOV.ROSOV-12.OPEN_STATUS</t>
  </si>
  <si>
    <t>MOV.ROSOV-12.FAILED_TO_CLOSE</t>
  </si>
  <si>
    <t>MOV.MOV-011.OPEN_STATUS</t>
  </si>
  <si>
    <t>MOV.MOV-012.OPEN_STATUS</t>
  </si>
  <si>
    <t>TK-07</t>
  </si>
  <si>
    <t>UG</t>
  </si>
  <si>
    <t>TANK.TK-07.LEVEL</t>
  </si>
  <si>
    <t>TANK.TK-07.TANK_ALERT_ALARM</t>
  </si>
  <si>
    <t>TANK.TK-07.HIGH_LEVEL</t>
  </si>
  <si>
    <t>TANK.TK-07.HIGH_HIGH_LEVEL</t>
  </si>
  <si>
    <t>TK-08</t>
  </si>
  <si>
    <t>TANK.TK-08.LEVEL</t>
  </si>
  <si>
    <t>TANK.TK-08.TANK_ALERT_ALARM</t>
  </si>
  <si>
    <t>TANK.TK-08.HIGH_LEVEL</t>
  </si>
  <si>
    <t>TANK.TK-08.HIGH_HIGH_LEVEL</t>
  </si>
  <si>
    <t>TK-09</t>
  </si>
  <si>
    <t>TANK.TK-09.LEVEL</t>
  </si>
  <si>
    <t>TANK.TK-09.TANK_ALERT_ALARM</t>
  </si>
  <si>
    <t>TANK.TK-09.HIGH_LEVEL</t>
  </si>
  <si>
    <t>TANK.TK-09.HIGH_HIGH_LEVEL</t>
  </si>
  <si>
    <t>TK-10</t>
  </si>
  <si>
    <t>WATER</t>
  </si>
  <si>
    <t>TANK.TK-10.LEVEL</t>
  </si>
  <si>
    <t>TANK.TK-10.TANK_ALERT_ALARM</t>
  </si>
  <si>
    <t>TANK.TK-10.HIGH_LEVEL</t>
  </si>
  <si>
    <t>TANK.TK-10.HIGH_HIGH_LEVEL</t>
  </si>
  <si>
    <t>TK-11</t>
  </si>
  <si>
    <t>TANK.TK-11.LEVEL</t>
  </si>
  <si>
    <t>TANK.TK-11.TANK_ALERT_ALARM</t>
  </si>
  <si>
    <t>TANK.TK-11.HIGH_LEVEL</t>
  </si>
  <si>
    <t>TANK.TK-11.HIGH_HIGH_LEVEL</t>
  </si>
  <si>
    <t>TK-12</t>
  </si>
  <si>
    <t>TANK.TK-12.LEVEL</t>
  </si>
  <si>
    <t>TANK.TK-12.TANK_ALERT_ALARM</t>
  </si>
  <si>
    <t>TANK.TK-12.HIGH_LEVEL</t>
  </si>
  <si>
    <t>TANK.TK-12.HIGH_HIGH_LEVEL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</si>
  <si>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</si>
  <si>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</si>
  <si>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</si>
  <si>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</si>
  <si>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</si>
  <si>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</si>
  <si>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MOV.ROSOV-13.OPEN_STATUS</t>
  </si>
  <si>
    <t>MOV.ROSOV-13.FAILED_TO_CLOSE</t>
  </si>
  <si>
    <t>MOV.ROSOV-14.OPEN_STATUS</t>
  </si>
  <si>
    <t>MOV.ROSOV-14.FAILED_TO_CLOSE</t>
  </si>
  <si>
    <t>MOV.MOV-013.OPEN_STATUS</t>
  </si>
  <si>
    <t>MOV.MOV-014.OPEN_STATUS</t>
  </si>
  <si>
    <t>TK-13</t>
  </si>
  <si>
    <t>TANK.TK-13.LEVEL</t>
  </si>
  <si>
    <t>TANK.TK-13.TANK_ALERT_ALARM</t>
  </si>
  <si>
    <t>TANK.TK-13.HIGH_LEVEL</t>
  </si>
  <si>
    <t>TANK.TK-13.HIGH_HIGH_LEVEL</t>
  </si>
  <si>
    <t>LEVELSWITCH.LSW-11.SWITCH_STATUS</t>
  </si>
  <si>
    <t>LEVELSWITCH.LSW-11.PROOF_TEST_OK</t>
  </si>
  <si>
    <t>LEVELSWITCH.LSW-11.PROOF_TEST_FAILED</t>
  </si>
  <si>
    <t>LEVELSWITCH.RDR-11.SWITCH_STATUS</t>
  </si>
  <si>
    <t>LEVELSWITCH.RDR-11.PROOF_TEST_OK</t>
  </si>
  <si>
    <t>LEVELSWITCH.RDR-11.PROOF_TEST_FAILED</t>
  </si>
  <si>
    <t>MOV.ROSOV-39.OPEN_STATUS</t>
  </si>
  <si>
    <t>MOV.ROSOV-39.FAILED_TO_CLOSE</t>
  </si>
  <si>
    <t>MOV.ROSOV-40.OPEN_STATUS</t>
  </si>
  <si>
    <t>MOV.ROSOV-40.FAILED_TO_CLOSE</t>
  </si>
  <si>
    <t>MOV.MOV-032.OPEN_STATUS</t>
  </si>
  <si>
    <t>MOV.MOV-033.OPEN_STATUS</t>
  </si>
  <si>
    <t>TK-14</t>
  </si>
  <si>
    <t>TANK.TK-14.LEVEL</t>
  </si>
  <si>
    <t>TANK.TK-14.TANK_ALERT_ALARM</t>
  </si>
  <si>
    <t>TANK.TK-14.HIGH_LEVEL</t>
  </si>
  <si>
    <t>TANK.TK-14.HIGH_HIGH_LEVEL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</si>
  <si>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</si>
  <si>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</si>
  <si>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</si>
  <si>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</si>
  <si>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</si>
  <si>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</si>
  <si>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MOV.ROSOV-15.OPEN_STATUS</t>
  </si>
  <si>
    <t>MOV.ROSOV-15.FAILED_TO_CLOSE</t>
  </si>
  <si>
    <t>MOV.ROSOV-16.OPEN_STATUS</t>
  </si>
  <si>
    <t>MOV.ROSOV-16.FAILED_TO_CLOSE</t>
  </si>
  <si>
    <t>MOV.MOV-015.OPEN_STATUS</t>
  </si>
  <si>
    <t>MOV.MOV-016.OPEN_STATUS</t>
  </si>
  <si>
    <t>TK-15</t>
  </si>
  <si>
    <t>TANK.TK-15.LEVEL</t>
  </si>
  <si>
    <t>TANK.TK-15.TANK_ALERT_ALARM</t>
  </si>
  <si>
    <t>TANK.TK-15.HIGH_LEVEL</t>
  </si>
  <si>
    <t>TANK.TK-15.HIGH_HIGH_LEVEL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</si>
  <si>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</si>
  <si>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</si>
  <si>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</si>
  <si>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</si>
  <si>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</si>
  <si>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</si>
  <si>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MOV.ROSOV-17.OPEN_STATUS</t>
  </si>
  <si>
    <t>MOV.ROSOV-17.FAILED_TO_CLOSE</t>
  </si>
  <si>
    <t>MOV.ROSOV-18.OPEN_STATUS</t>
  </si>
  <si>
    <t>MOV.ROSOV-18.FAILED_TO_CLOSE</t>
  </si>
  <si>
    <t>MOV.MOV-017.OPEN_STATUS</t>
  </si>
  <si>
    <t>MOV.MOV-018.OPEN_STATUS</t>
  </si>
  <si>
    <t>TK-16</t>
  </si>
  <si>
    <t>TANK.TK-16.LEVEL</t>
  </si>
  <si>
    <t>TANK.TK-16.TANK_ALERT_ALARM</t>
  </si>
  <si>
    <t>TANK.TK-16.HIGH_LEVEL</t>
  </si>
  <si>
    <t>TANK.TK-16.HIGH_HIGH_LEVEL</t>
  </si>
  <si>
    <t>LEVELSWITCH.LSW-10.SWITCH_STATUS</t>
  </si>
  <si>
    <t>LEVELSWITCH.LSW-10.PROOF_TEST_OK</t>
  </si>
  <si>
    <t>LEVELSWITCH.LSW-10.PROOF_TEST_FAILED</t>
  </si>
  <si>
    <t>LEVELSWITCH.RDR-10.SWITCH_STATUS</t>
  </si>
  <si>
    <t>LEVELSWITCH.RDR-10.PROOF_TEST_OK</t>
  </si>
  <si>
    <t>LEVELSWITCH.RDR-10.PROOF_TEST_FAILED</t>
  </si>
  <si>
    <t>MOV.ROSOV-19.OPEN_STATUS</t>
  </si>
  <si>
    <t>MOV.ROSOV-19.FAILED_TO_CLOSE</t>
  </si>
  <si>
    <t>MOV.ROSOV-20.OPEN_STATUS</t>
  </si>
  <si>
    <t>MOV.ROSOV-20.FAILED_TO_CLOSE</t>
  </si>
  <si>
    <t>MOV.MOV-019.OPEN_STATUS</t>
  </si>
  <si>
    <t>MOV.MOV-020.OPEN_STATUS</t>
  </si>
  <si>
    <t>TK-18</t>
  </si>
  <si>
    <t>LDO</t>
  </si>
  <si>
    <t>TANK.TK-18.LEVEL</t>
  </si>
  <si>
    <t>TANK.TK-18.TANK_ALERT_ALARM</t>
  </si>
  <si>
    <t>TANK.TK-18.HIGH_LEVEL</t>
  </si>
  <si>
    <t>TANK.TK-18.HIGH_HIGH_LEVEL</t>
  </si>
  <si>
    <t>TK-19</t>
  </si>
  <si>
    <t>TANK.TK-19.LEVEL</t>
  </si>
  <si>
    <t>TANK.TK-19.TANK_ALERT_ALARM</t>
  </si>
  <si>
    <t>TANK.TK-19.HIGH_LEVEL</t>
  </si>
  <si>
    <t>TANK.TK-19.HIGH_HIGH_LEVEL</t>
  </si>
  <si>
    <t>TK-20</t>
  </si>
  <si>
    <t>TANK.TK-20.LEVEL</t>
  </si>
  <si>
    <t>TANK.TK-20.TANK_ALERT_ALARM</t>
  </si>
  <si>
    <t>TANK.TK-20.HIGH_LEVEL</t>
  </si>
  <si>
    <t>TANK.TK-20.HIGH_HIGH_LEVEL</t>
  </si>
  <si>
    <t>TK-21</t>
  </si>
  <si>
    <t>TANK.TK-21.LEVEL</t>
  </si>
  <si>
    <t>TANK.TK-21.TANK_ALERT_ALARM</t>
  </si>
  <si>
    <t>TANK.TK-21.HIGH_LEVEL</t>
  </si>
  <si>
    <t>TANK.TK-21.HIGH_HIGH_LEVEL</t>
  </si>
  <si>
    <t>TK-22</t>
  </si>
  <si>
    <t>TANK.TK-22.LEVEL</t>
  </si>
  <si>
    <t>TANK.TK-22.TANK_ALERT_ALARM</t>
  </si>
  <si>
    <t>TANK.TK-22.HIGH_LEVEL</t>
  </si>
  <si>
    <t>TANK.TK-22.HIGH_HIGH_LEVEL</t>
  </si>
  <si>
    <t>TK-23</t>
  </si>
  <si>
    <t>-</t>
  </si>
  <si>
    <t>TANK.TK-23.TANK_ALERT_ALARM</t>
  </si>
  <si>
    <t>TANK.TK-23.HIGH_LEVEL</t>
  </si>
  <si>
    <t>TANK.TK-23.HIGH_HIGH_LEVEL</t>
  </si>
  <si>
    <t>LEVELSWITCH.LSW-12.SWITCH_STATUS</t>
  </si>
  <si>
    <t>LEVELSWITCH.LSW-12.PROOF_TEST_OK</t>
  </si>
  <si>
    <t>LEVELSWITCH.LSW-12.PROOF_TEST_FAILED</t>
  </si>
  <si>
    <t>LEVELSWITCH.RDR-12.SWITCH_STATUS</t>
  </si>
  <si>
    <t>LEVELSWITCH.RDR-12.PROOF_TEST_OK</t>
  </si>
  <si>
    <t>LEVELSWITCH.RDR-12.PROOF_TEST_FAILED</t>
  </si>
  <si>
    <t>MOV.ROSOV-41.OPEN_STATUS</t>
  </si>
  <si>
    <t>MOV.ROSOV-41.FAILED_TO_CLOSE</t>
  </si>
  <si>
    <t>MOV.ROSOV-42.OPEN_STATUS</t>
  </si>
  <si>
    <t>MOV.ROSOV-42.FAILED_TO_CLOSE</t>
  </si>
  <si>
    <t>MOV.MOV-034.OPEN_STATUS</t>
  </si>
  <si>
    <t>MOV.MOV-035.OPEN_STATUS</t>
  </si>
  <si>
    <t>TK-24</t>
  </si>
  <si>
    <t>TANK.TK-24.TANK_ALERT_ALARM</t>
  </si>
  <si>
    <t>TANK.TK-24.HIGH_LEVEL</t>
  </si>
  <si>
    <t>TANK.TK-24.HIGH_HIGH_LEVEL</t>
  </si>
  <si>
    <t>LEVELSWITCH.LSW-13.SWITCH_STATUS</t>
  </si>
  <si>
    <t>LEVELSWITCH.LSW-13.PROOF_TEST_OK</t>
  </si>
  <si>
    <t>LEVELSWITCH.LSW-13.PROOF_TEST_FAILED</t>
  </si>
  <si>
    <t>LEVELSWITCH.RDR-13.SWITCH_STATUS</t>
  </si>
  <si>
    <t>LEVELSWITCH.RDR-13.PROOF_TEST_OK</t>
  </si>
  <si>
    <t>LEVELSWITCH.RDR-13.PROOF_TEST_FAILED</t>
  </si>
  <si>
    <t>MOV.ROSOV-43.OPEN_STATUS</t>
  </si>
  <si>
    <t>MOV.ROSOV-43.FAILED_TO_CLOSE</t>
  </si>
  <si>
    <t>MOV.ROSOV-44.OPEN_STATUS</t>
  </si>
  <si>
    <t>MOV.ROSOV-44.FAILED_TO_CLOSE</t>
  </si>
  <si>
    <t>MOV.MOV-036.OPEN_STATUS</t>
  </si>
  <si>
    <t>MOV.MOV-037.OPEN_STATUS</t>
  </si>
  <si>
    <t>TK-29</t>
  </si>
  <si>
    <t>BIO DIESEL</t>
  </si>
  <si>
    <t>TANK.TK-29.LEVEL</t>
  </si>
  <si>
    <t>TANK.TK-29.TANK_ALERT_ALARM</t>
  </si>
  <si>
    <t>TANK.TK-29.HIGH_LEVEL</t>
  </si>
  <si>
    <t>TANK.TK-29.HIGH_HIGH_LEVEL</t>
  </si>
  <si>
    <t>TK-30</t>
  </si>
  <si>
    <t>TANK.TK-30.LEVEL</t>
  </si>
  <si>
    <t>TANK.TK-30.TANK_ALERT_ALARM</t>
  </si>
  <si>
    <t>TANK.TK-30.HIGH_LEVEL</t>
  </si>
  <si>
    <t>TANK.TK-30.HIGH_HIGH_LEVEL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</si>
  <si>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</si>
  <si>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</si>
  <si>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</si>
  <si>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</si>
  <si>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</si>
  <si>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</si>
  <si>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</si>
  <si>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</si>
  <si>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</si>
  <si>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</si>
  <si>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</si>
  <si>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</si>
  <si>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</si>
  <si>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</si>
  <si>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Coimbatore_M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</si>
  <si>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</si>
  <si>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</si>
  <si>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</si>
  <si>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</si>
  <si>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</si>
  <si>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MOV.MOV-001.MAINTENANCE_STATUS</t>
  </si>
  <si>
    <t>MOV.MOV-002.MAINTENANCE_STATUS</t>
  </si>
  <si>
    <t>TANK.TK-02.MAINTENANCE_STATUS</t>
  </si>
  <si>
    <t>LEVELSWITCH.LSW-02.MAINTENANCE_STATUS</t>
  </si>
  <si>
    <t>LEVELSWITCH.RDR-02.MAINTENANCE_STATUS</t>
  </si>
  <si>
    <t>MOV.ROSOV-03.MAINTENANCE_STATUS</t>
  </si>
  <si>
    <t>MOV.ROSOV-04.MAINTENANCE_STATUS</t>
  </si>
  <si>
    <t>MOV.MOV-003.MAINTENANCE_STATUS</t>
  </si>
  <si>
    <t>MOV.MOV-004.MAINTENANCE_STATUS</t>
  </si>
  <si>
    <t>TANK.TK-03.MAINTENANCE_STATUS</t>
  </si>
  <si>
    <t>LEVELSWITCH.LSW-03.MAINTENANCE_STATUS</t>
  </si>
  <si>
    <t>LEVELSWITCH.RDR-03.MAINTENANCE_STATUS</t>
  </si>
  <si>
    <t>MOV.ROSOV-05.MAINTENANCE_STATUS</t>
  </si>
  <si>
    <t>MOV.ROSOV-06.MAINTENANCE_STATUS</t>
  </si>
  <si>
    <t>MOV.MOV-005.MAINTENANCE_STATUS</t>
  </si>
  <si>
    <t>MOV.MOV-006.MAINTENANCE_STATUS</t>
  </si>
  <si>
    <t>TANK.TK-04.MAINTENANCE_STATUS</t>
  </si>
  <si>
    <t>LEVELSWITCH.LSW-04.MAINTENANCE_STATUS</t>
  </si>
  <si>
    <t>LEVELSWITCH.RDR-04.MAINTENANCE_STATUS</t>
  </si>
  <si>
    <t>MOV.ROSOV-07.MAINTENANCE_STATUS</t>
  </si>
  <si>
    <t>MOV.ROSOV-08.MAINTENANCE_STATUS</t>
  </si>
  <si>
    <t>MOV.MOV-007.MAINTENANCE_STATUS</t>
  </si>
  <si>
    <t>MOV.MOV-008.MAINTENANCE_STATUS</t>
  </si>
  <si>
    <t>TANK.TK-05.MAINTENANCE_STATUS</t>
  </si>
  <si>
    <t>LEVELSWITCH.LSW-05.MAINTENANCE_STATUS</t>
  </si>
  <si>
    <t>LEVELSWITCH.RDR-05.MAINTENANCE_STATUS</t>
  </si>
  <si>
    <t>MOV.ROSOV-09.MAINTENANCE_STATUS</t>
  </si>
  <si>
    <t>MOV.ROSOV-10.MAINTENANCE_STATUS</t>
  </si>
  <si>
    <t>MOV.MOV-009.MAINTENANCE_STATUS</t>
  </si>
  <si>
    <t>MOV.MOV-010.MAINTENANCE_STATUS</t>
  </si>
  <si>
    <t>TANK.TK-06.MAINTENANCE_STATUS</t>
  </si>
  <si>
    <t>LEVELSWITCH.LSW-06.MAINTENANCE_STATUS</t>
  </si>
  <si>
    <t>LEVELSWITCH.RDR-06.MAINTENANCE_STATUS</t>
  </si>
  <si>
    <t>MOV.ROSOV-11.MAINTENANCE_STATUS</t>
  </si>
  <si>
    <t>MOV.ROSOV-12.MAINTENANCE_STATUS</t>
  </si>
  <si>
    <t>MOV.MOV-011.MAINTENANCE_STATUS</t>
  </si>
  <si>
    <t>MOV.MOV-012.MAINTENANCE_STATUS</t>
  </si>
  <si>
    <t>TANK.TK-12.MAINTENANCE_STATUS</t>
  </si>
  <si>
    <t>LEVELSWITCH.LSW-07.MAINTENANCE_STATUS</t>
  </si>
  <si>
    <t>LEVELSWITCH.RDR-07.MAINTENANCE_STATUS</t>
  </si>
  <si>
    <t>MOV.ROSOV-13.MAINTENANCE_STATUS</t>
  </si>
  <si>
    <t>MOV.ROSOV-14.MAINTENANCE_STATUS</t>
  </si>
  <si>
    <t>MOV.MOV-013.MAINTENANCE_STATUS</t>
  </si>
  <si>
    <t>MOV.MOV-014.MAINTENANCE_STATUS</t>
  </si>
  <si>
    <t>TANK.TK-13.MAINTENANCE_STATUS</t>
  </si>
  <si>
    <t>LEVELSWITCH.LSW-11.MAINTENANCE_STATUS</t>
  </si>
  <si>
    <t>LEVELSWITCH.RDR-11.MAINTENANCE_STATUS</t>
  </si>
  <si>
    <t>MOV.ROSOV-39.MAINTENANCE_STATUS</t>
  </si>
  <si>
    <t>MOV.ROSOV-40.MAINTENANCE_STATUS</t>
  </si>
  <si>
    <t>MOV.MOV-032.MAINTENANCE_STATUS</t>
  </si>
  <si>
    <t>MOV.MOV-033.MAINTENANCE_STATUS</t>
  </si>
  <si>
    <t>TANK.TK-14.MAINTENANCE_STATUS</t>
  </si>
  <si>
    <t>LEVELSWITCH.LSW-08.MAINTENANCE_STATUS</t>
  </si>
  <si>
    <t>LEVELSWITCH.RDR-08.MAINTENANCE_STATUS</t>
  </si>
  <si>
    <t>MOV.ROSOV-15.MAINTENANCE_STATUS</t>
  </si>
  <si>
    <t>MOV.ROSOV-16.MAINTENANCE_STATUS</t>
  </si>
  <si>
    <t>MOV.MOV-015.MAINTENANCE_STATUS</t>
  </si>
  <si>
    <t>MOV.MOV-016.MAINTENANCE_STATUS</t>
  </si>
  <si>
    <t>TANK.TK-15.MAINTENANCE_STATUS</t>
  </si>
  <si>
    <t>LEVELSWITCH.LSW-09.MAINTENANCE_STATUS</t>
  </si>
  <si>
    <t>LEVELSWITCH.RDR-09.MAINTENANCE_STATUS</t>
  </si>
  <si>
    <t>MOV.ROSOV-17.MAINTENANCE_STATUS</t>
  </si>
  <si>
    <t>MOV.ROSOV-18.MAINTENANCE_STATUS</t>
  </si>
  <si>
    <t>MOV.MOV-017.MAINTENANCE_STATUS</t>
  </si>
  <si>
    <t>MOV.MOV-018.MAINTENANCE_STATUS</t>
  </si>
  <si>
    <t>TANK.TK-16.MAINTENANCE_STATUS</t>
  </si>
  <si>
    <t>LEVELSWITCH.LSW-10.MAINTENANCE_STATUS</t>
  </si>
  <si>
    <t>LEVELSWITCH.RDR-10.MAINTENANCE_STATUS</t>
  </si>
  <si>
    <t>MOV.ROSOV-19.MAINTENANCE_STATUS</t>
  </si>
  <si>
    <t>MOV.ROSOV-20.MAINTENANCE_STATUS</t>
  </si>
  <si>
    <t>MOV.MOV-019.MAINTENANCE_STATUS</t>
  </si>
  <si>
    <t>MOV.MOV-020.MAINTENANCE_STATUS</t>
  </si>
  <si>
    <t>TANK.TK-23.MAINTENANCE_STATUS</t>
  </si>
  <si>
    <t>LEVELSWITCH.LSW-12.MAINTENANCE_STATUS</t>
  </si>
  <si>
    <t>LEVELSWITCH.RDR-12.MAINTENANCE_STATUS</t>
  </si>
  <si>
    <t>MOV.ROSOV-41.MAINTENANCE_STATUS</t>
  </si>
  <si>
    <t>MOV.ROSOV-42.MAINTENANCE_STATUS</t>
  </si>
  <si>
    <t>MOV.MOV-034.MAINTENANCE_STATUS</t>
  </si>
  <si>
    <t>MOV.MOV-035.MAINTENANCE_STATUS</t>
  </si>
  <si>
    <t>TANK.TK-24.MAINTENANCE_STATUS</t>
  </si>
  <si>
    <t>LEVELSWITCH.LSW-13.MAINTENANCE_STATUS</t>
  </si>
  <si>
    <t>LEVELSWITCH.RDR-13.MAINTENANCE_STATUS</t>
  </si>
  <si>
    <t>MOV.ROSOV-43.MAINTENANCE_STATUS</t>
  </si>
  <si>
    <t>MOV.ROSOV-44.MAINTENANCE_STATUS</t>
  </si>
  <si>
    <t>MOV.MOV-036.MAINTENANCE_STATUS</t>
  </si>
  <si>
    <t>MOV.MOV-037.MAINTENANCE_STATUS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</si>
  <si>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</si>
  <si>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</si>
  <si>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</si>
  <si>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</si>
  <si>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</si>
  <si>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</si>
  <si>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</si>
  <si>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</si>
  <si>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</si>
  <si>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PMP-01</t>
  </si>
  <si>
    <t>Truck Loading</t>
  </si>
  <si>
    <t>DISPATCH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</si>
  <si>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</si>
  <si>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</si>
  <si>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</si>
  <si>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</si>
  <si>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</si>
  <si>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</si>
  <si>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</si>
  <si>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</si>
  <si>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</si>
  <si>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</si>
  <si>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</si>
  <si>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</si>
  <si>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Wagon Loading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</si>
  <si>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</si>
  <si>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</si>
  <si>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</si>
  <si>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</si>
  <si>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</si>
  <si>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</si>
  <si>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</si>
  <si>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</si>
  <si>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</si>
  <si>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</si>
  <si>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</si>
  <si>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</si>
  <si>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</si>
  <si>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</si>
  <si>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</si>
  <si>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</si>
  <si>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</si>
  <si>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</si>
  <si>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</si>
  <si>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</si>
  <si>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</si>
  <si>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</si>
  <si>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</si>
  <si>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PMP-11</t>
  </si>
  <si>
    <t>SKO</t>
  </si>
  <si>
    <t>PUMP.PMP-11.ON</t>
  </si>
  <si>
    <t>PUMP.PMP-11.REMOTE_STATUS</t>
  </si>
  <si>
    <t>PUMP.PMP-11.MAINTENANCE_STATUS</t>
  </si>
  <si>
    <t>PMP-18</t>
  </si>
  <si>
    <t>PUMP.PMP-18.ON</t>
  </si>
  <si>
    <t>PUMP.PMP-18.REMOTE_STATUS</t>
  </si>
  <si>
    <t>PUMP.PMP-18.MAINTENANCE_STATUS</t>
  </si>
  <si>
    <t>PMP-19</t>
  </si>
  <si>
    <t>PUMP.PMP-19.ON</t>
  </si>
  <si>
    <t>PUMP.PMP-19.REMOTE_STATUS</t>
  </si>
  <si>
    <t>PUMP.PMP-19.MAINTENANCE_STATUS</t>
  </si>
  <si>
    <t>PMP-20</t>
  </si>
  <si>
    <t>POWERMS</t>
  </si>
  <si>
    <t>PUMP.PMP-20.ON</t>
  </si>
  <si>
    <t>PUMP.PMP-20.REMOTE_STATUS</t>
  </si>
  <si>
    <t>PUMP.PMP-20.MAINTENANCE_STATUS</t>
  </si>
  <si>
    <t>PMP-21</t>
  </si>
  <si>
    <t>TURBOHSD</t>
  </si>
  <si>
    <t>PUMP.PMP-21.ON</t>
  </si>
  <si>
    <t>PUMP.PMP-21.REMOTE_STATUS</t>
  </si>
  <si>
    <t>PUMP.PMP-21.MAINTENANCE_STATUS</t>
  </si>
  <si>
    <t>PMP-22</t>
  </si>
  <si>
    <t>PUMP.PMP-22.ON</t>
  </si>
  <si>
    <t>PUMP.PMP-22.REMOTE_STATUS</t>
  </si>
  <si>
    <t>PUMP.PMP-22.MAINTENANCE_STATUS</t>
  </si>
  <si>
    <t>PMP-23</t>
  </si>
  <si>
    <t>PUMP.PMP-23.ON</t>
  </si>
  <si>
    <t>PUMP.PMP-23.REMOTE_STATUS</t>
  </si>
  <si>
    <t>PUMP.PMP-23.MAINTENANCE_STATUS</t>
  </si>
  <si>
    <t>PMP-24</t>
  </si>
  <si>
    <t>PUMP.PMP-24.ON</t>
  </si>
  <si>
    <t>PUMP.PMP-24.REMOTE_STATUS</t>
  </si>
  <si>
    <t>PUMP.PMP-24.MAINTENANCE_STATUS</t>
  </si>
  <si>
    <t>PMP-25</t>
  </si>
  <si>
    <t>PUMP.PMP-25.ON</t>
  </si>
  <si>
    <t>PUMP.PMP-25.REMOTE_STATUS</t>
  </si>
  <si>
    <t>PUMP.PMP-25.MAINTENANCE_STATUS</t>
  </si>
  <si>
    <t>PMP-26</t>
  </si>
  <si>
    <t>PUMP.PMP-26.ON</t>
  </si>
  <si>
    <t>PUMP.PMP-26.REMOTE_STATUS</t>
  </si>
  <si>
    <t>PUMP.PMP-26.MAINTENANCE_STATUS</t>
  </si>
  <si>
    <t>PMP-27</t>
  </si>
  <si>
    <t>PUMP.PMP-27.ON</t>
  </si>
  <si>
    <t>PUMP.PMP-27.REMOTE_STATUS</t>
  </si>
  <si>
    <t>PUMP.PMP-27.MAINTENANCE_STATUS</t>
  </si>
  <si>
    <t>PMP-28</t>
  </si>
  <si>
    <t>PUMP.PMP-28.ON</t>
  </si>
  <si>
    <t>PUMP.PMP-28.REMOTE_STATUS</t>
  </si>
  <si>
    <t>PUMP.PMP-28.MAINTENANCE_STATUS</t>
  </si>
  <si>
    <t>PMP-29</t>
  </si>
  <si>
    <t>PUMP.PMP-29.ON</t>
  </si>
  <si>
    <t>PUMP.PMP-29.REMOTE_STATUS</t>
  </si>
  <si>
    <t>PUMP.PMP-29.MAINTENANCE_STATUS</t>
  </si>
  <si>
    <t>PMP-30</t>
  </si>
  <si>
    <t>PUMP.PMP-30.ON</t>
  </si>
  <si>
    <t>PUMP.PMP-30.REMOTE_STATUS</t>
  </si>
  <si>
    <t>PMP-31</t>
  </si>
  <si>
    <t>PUMP.PMP-31.ON</t>
  </si>
  <si>
    <t>PUMP.PMP-31.REMOTE_STATUS</t>
  </si>
  <si>
    <t>Pump Direction</t>
  </si>
  <si>
    <t>FIRE PUMP MAINTENANCE</t>
  </si>
  <si>
    <t>FIRE PUMP FAIL TO START 1</t>
  </si>
  <si>
    <t>FIRE PUMP FAIL TO START 2</t>
  </si>
  <si>
    <t>FIRE PUMP FAIL TO START 3</t>
  </si>
  <si>
    <t>FIRE PUMP FAIL TO START STANDBY</t>
  </si>
  <si>
    <t>FIRE PUMP TRIPPED FAULT</t>
  </si>
  <si>
    <t>FIRE PUMP LLOP ALARM</t>
  </si>
  <si>
    <t>FIRE PUMP HWT ALARM</t>
  </si>
  <si>
    <t>FWP-01</t>
  </si>
  <si>
    <t>Water</t>
  </si>
  <si>
    <t>PUMP HOUSE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</si>
  <si>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</si>
  <si>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</si>
  <si>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</si>
  <si>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</si>
  <si>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</si>
  <si>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PUMP.FWP-01.FAILED_TO_START_STANDBY1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</si>
  <si>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</si>
  <si>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</si>
  <si>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</si>
  <si>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</si>
  <si>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</si>
  <si>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</si>
  <si>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</si>
  <si>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</si>
  <si>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PUMP.FWP-02.FAILED_TO_START_STANDBY1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</si>
  <si>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</si>
  <si>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</si>
  <si>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</si>
  <si>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</si>
  <si>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</si>
  <si>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</si>
  <si>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</si>
  <si>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</si>
  <si>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PUMP.FWP-03.FAILED_TO_START_STANDBY1</t>
  </si>
  <si>
    <t>PUMP.FWP-03.PUMP_TRIPPED</t>
  </si>
  <si>
    <t>PUMP.FWP-03.HIGH_TEMPERATURE_ALARM</t>
  </si>
  <si>
    <t>JCY-01</t>
  </si>
  <si>
    <t>Jockey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</si>
  <si>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</si>
  <si>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</si>
  <si>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</si>
  <si>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</si>
  <si>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</si>
  <si>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</si>
  <si>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</si>
  <si>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</si>
  <si>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</si>
  <si>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</si>
  <si>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</si>
  <si>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</si>
  <si>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</si>
  <si>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Farthest Point PT</t>
  </si>
  <si>
    <t>WATER Pressure</t>
  </si>
  <si>
    <t>PT</t>
  </si>
  <si>
    <t>Near Tank no. 01</t>
  </si>
  <si>
    <t>PressureTransmitter.PT-01.MAINTENANCE_STATUS</t>
  </si>
  <si>
    <t>Nearest Point PT</t>
  </si>
  <si>
    <t>FWP pump house</t>
  </si>
  <si>
    <t>PressureTransmitter.PT-02.MAINTENANCE_STATUS</t>
  </si>
  <si>
    <t>UPS ID</t>
  </si>
  <si>
    <t>UPS FAIL</t>
  </si>
  <si>
    <t>LOW BATTERY</t>
  </si>
  <si>
    <t xml:space="preserve"> Normal Value</t>
  </si>
  <si>
    <t>UPS ON</t>
  </si>
  <si>
    <t>UPS MAIN AC FAIL</t>
  </si>
  <si>
    <t>UPS-01</t>
  </si>
  <si>
    <t>Control Room</t>
  </si>
  <si>
    <t>UPS.UPS-01.LOW_BATTERY</t>
  </si>
  <si>
    <t>UPS.UPS-01.LOAD_ON_UPS</t>
  </si>
  <si>
    <t>UPS.UPS-01.MAIN_AC_FAIL</t>
  </si>
  <si>
    <t>UPS-02</t>
  </si>
  <si>
    <t>UPS.UPS-02.LOW_BATTERY</t>
  </si>
  <si>
    <t>UPS.UPS-02.LOAD_ON_UPS</t>
  </si>
  <si>
    <t>UPS.UPS-02.MAIN_AC_FAIL</t>
  </si>
  <si>
    <t>UPS-03</t>
  </si>
  <si>
    <t>UPS.UPS-03.LOW_BATTERY</t>
  </si>
  <si>
    <t>UPS.UPS-03.UPS_ON</t>
  </si>
  <si>
    <t>UPS.UPS-03.MAIN_AC_FAIL</t>
  </si>
  <si>
    <t>UPS-04</t>
  </si>
  <si>
    <t>UPS.UPS-04.LOW_BATTERY</t>
  </si>
  <si>
    <t>UPS.UPS-04.UPS_ON</t>
  </si>
  <si>
    <t>UPS.UPS-04.MAIN_AC_FAIL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</si>
  <si>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</si>
  <si>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</si>
  <si>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</si>
  <si>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</si>
  <si>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</si>
  <si>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</si>
  <si>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</si>
  <si>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</si>
  <si>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</si>
  <si>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</si>
  <si>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</si>
  <si>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</si>
  <si>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</si>
  <si>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</si>
  <si>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</si>
  <si>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</si>
  <si>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</si>
  <si>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</si>
  <si>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</si>
  <si>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</si>
  <si>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PLC.SFTPLC.PLCA_FAIL_SAFE_STATUS</t>
  </si>
  <si>
    <t>PLC.SFTPLC.PLCB_FAIL_SAFE_STATUS</t>
  </si>
  <si>
    <t>PLC.SFTPLC.PLCA_COMM_OK</t>
  </si>
  <si>
    <t>PLC.SFTPLC.PLCB_COMM_OK</t>
  </si>
  <si>
    <t>HCD ID</t>
  </si>
  <si>
    <t>Type</t>
  </si>
  <si>
    <t>HCD 40 % ALARM</t>
  </si>
  <si>
    <t>HCD 20 % ALARM</t>
  </si>
  <si>
    <t>HCD FAULT</t>
  </si>
  <si>
    <t>MISALIGNMENT FAULT</t>
  </si>
  <si>
    <t>HCD MAINTENANCE</t>
  </si>
  <si>
    <t>HCD Hooter Activated</t>
  </si>
  <si>
    <t>HDS-01</t>
  </si>
  <si>
    <t>OPENPATH</t>
  </si>
  <si>
    <t>TANK - 05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</si>
  <si>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</si>
  <si>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</si>
  <si>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</si>
  <si>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</si>
  <si>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</si>
  <si>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PLC.SFTPLC.CAUSE_20_PCT_HCD_TF_AREA</t>
  </si>
  <si>
    <t>HDS-02</t>
  </si>
  <si>
    <t>TTL PUMP HOUSE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</si>
  <si>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</si>
  <si>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</si>
  <si>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</si>
  <si>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</si>
  <si>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</si>
  <si>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</si>
  <si>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TWL PUMP HOUSE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</si>
  <si>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</si>
  <si>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</si>
  <si>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</si>
  <si>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</si>
  <si>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</si>
  <si>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</si>
  <si>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TANK - 14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</si>
  <si>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</si>
  <si>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</si>
  <si>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</si>
  <si>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</si>
  <si>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</si>
  <si>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</si>
  <si>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TANK - 12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</si>
  <si>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</si>
  <si>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</si>
  <si>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</si>
  <si>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</si>
  <si>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</si>
  <si>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</si>
  <si>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TANK - 06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</si>
  <si>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</si>
  <si>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</si>
  <si>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</si>
  <si>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</si>
  <si>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</si>
  <si>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</si>
  <si>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FIXEDTYPE</t>
  </si>
  <si>
    <t>TANK - 05 / 06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</si>
  <si>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</si>
  <si>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</si>
  <si>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</si>
  <si>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</si>
  <si>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</si>
  <si>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</si>
  <si>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TANK - 12 / 14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</si>
  <si>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</si>
  <si>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</si>
  <si>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</si>
  <si>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</si>
  <si>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</si>
  <si>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</si>
  <si>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POINTTYPE</t>
  </si>
  <si>
    <t>TANK 12 MOV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</si>
  <si>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</si>
  <si>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</si>
  <si>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</si>
  <si>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</si>
  <si>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</si>
  <si>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</si>
  <si>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TANK 14 MOV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</si>
  <si>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</si>
  <si>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</si>
  <si>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</si>
  <si>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</si>
  <si>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</si>
  <si>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</si>
  <si>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TANK 05 MOV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</si>
  <si>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</si>
  <si>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</si>
  <si>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</si>
  <si>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</si>
  <si>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</si>
  <si>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</si>
  <si>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TANK 06 MOV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</si>
  <si>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</si>
  <si>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</si>
  <si>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</si>
  <si>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</si>
  <si>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</si>
  <si>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</si>
  <si>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TTL PH MOV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</si>
  <si>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</si>
  <si>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</si>
  <si>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</si>
  <si>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</si>
  <si>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</si>
  <si>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</si>
  <si>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TANK WAGON PH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</si>
  <si>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</si>
  <si>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</si>
  <si>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</si>
  <si>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</si>
  <si>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</si>
  <si>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HDS-15</t>
  </si>
  <si>
    <t>TW SIDING</t>
  </si>
  <si>
    <t>GDS.HDS-15.HYDROCARBON_40_PCT_LEL</t>
  </si>
  <si>
    <t>GDS.HDS-15.HYDROCARBON_20_PCT_LEL</t>
  </si>
  <si>
    <t>GDS.HDS-15.CRITICAL_FAULT_ALARM</t>
  </si>
  <si>
    <t>GDS.HDS-15.MISALIGNMENT_FAULT_ALARM</t>
  </si>
  <si>
    <t>GDS.HDS-15.MAINTENANCE_CALL</t>
  </si>
  <si>
    <t>HDS-16</t>
  </si>
  <si>
    <t>TANK - 03</t>
  </si>
  <si>
    <t>GDS.HDS-16.HYDROCARBON_40_PCT_LEL</t>
  </si>
  <si>
    <t>GDS.HDS-16.HYDROCARBON_20_PCT_LEL</t>
  </si>
  <si>
    <t>GDS.HDS-16.CRITICAL_FAULT_ALARM</t>
  </si>
  <si>
    <t>GDS.HDS-16.MISALIGNMENT_FAULT_ALARM</t>
  </si>
  <si>
    <t>GDS.HDS-16.MAINTENANCE_CALL</t>
  </si>
  <si>
    <t>HDS-17</t>
  </si>
  <si>
    <t>TANK - 04</t>
  </si>
  <si>
    <t>GDS.HDS-17.HYDROCARBON_40_PCT_LEL</t>
  </si>
  <si>
    <t>GDS.HDS-17.HYDROCARBON_20_PCT_LEL</t>
  </si>
  <si>
    <t>GDS.HDS-17.CRITICAL_FAULT_ALARM</t>
  </si>
  <si>
    <t>GDS.HDS-17.MISALIGNMENT_FAULT_ALARM</t>
  </si>
  <si>
    <t>GDS.HDS-17.MAINTENANCE_CALL</t>
  </si>
  <si>
    <t>HDS-18</t>
  </si>
  <si>
    <t>ETH PH MANIFOLD</t>
  </si>
  <si>
    <t>GDS.HDS-18.HYDROCARBON_40_PCT_LEL</t>
  </si>
  <si>
    <t>GDS.HDS-18.HYDROCARBON_20_PCT_LEL</t>
  </si>
  <si>
    <t>GDS.HDS-18.CRITICAL_FAULT_ALARM</t>
  </si>
  <si>
    <t>GDS.HDS-18.MISALIGNMENT_FAULT_ALARM</t>
  </si>
  <si>
    <t>GDS.HDS-18.MAINTENANCE_CALL</t>
  </si>
  <si>
    <t>HDS-19</t>
  </si>
  <si>
    <t>GDS.HDS-19.HYDROCARBON_40_PCT_LEL</t>
  </si>
  <si>
    <t>GDS.HDS-19.HYDROCARBON_20_PCT_LEL</t>
  </si>
  <si>
    <t>GDS.HDS-19.CRITICAL_FAULT_ALARM</t>
  </si>
  <si>
    <t>GDS.HDS-19.MISALIGNMENT_FAULT_ALARM</t>
  </si>
  <si>
    <t>GDS.HDS-19.MAINTENANCE_CALL</t>
  </si>
  <si>
    <t>Dyke ID</t>
  </si>
  <si>
    <t>DYKE VALVE STATUS</t>
  </si>
  <si>
    <t>Dyke Hooter Activated</t>
  </si>
  <si>
    <t>DYKE-01</t>
  </si>
  <si>
    <t>DRAINVALVE.DV-01.DRAIN_VALVE_STATUS</t>
  </si>
  <si>
    <t>DYKE-02</t>
  </si>
  <si>
    <t>DRAINVALVE.DV-02.DRAIN_VALVE_STATUS</t>
  </si>
  <si>
    <t>DYKE-03</t>
  </si>
  <si>
    <t>DRAINVALVE.DV-03.DRAIN_VALVE_STATUS</t>
  </si>
  <si>
    <t>DYKE-04</t>
  </si>
  <si>
    <t>DRAINVALVE.DV-04.DRAIN_VALVE_STATUS</t>
  </si>
  <si>
    <t>DYKE-05</t>
  </si>
  <si>
    <t>DRAINVALVE.DV-05.DRAIN_VALVE_STATUS</t>
  </si>
  <si>
    <t>DYKE-06</t>
  </si>
  <si>
    <t>DRAINVALVE.DV-06.DRAIN_VALVE_STATUS</t>
  </si>
  <si>
    <t>Barrier ID</t>
  </si>
  <si>
    <t>BARRIER GATE OPEN STATUS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</si>
  <si>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</si>
  <si>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</si>
  <si>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</si>
  <si>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</si>
  <si>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</si>
  <si>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</si>
  <si>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</si>
  <si>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</si>
  <si>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</si>
  <si>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</si>
  <si>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HOOTER_FIELD_1</t>
  </si>
  <si>
    <t>PLC.SFTPLC.HOOTER_FIELD_1</t>
  </si>
  <si>
    <t>HOOTER_FIELD_10</t>
  </si>
  <si>
    <t>PLC.SFTPLC.HOOTER_FIELD_10</t>
  </si>
  <si>
    <t>HOOTER_FIELD_11</t>
  </si>
  <si>
    <t>PLC.SFTPLC.HOOTER_FIELD_11</t>
  </si>
  <si>
    <t>HOOTER_FIELD_12</t>
  </si>
  <si>
    <t>PLC.SFTPLC.HOOTER_FIELD_12</t>
  </si>
  <si>
    <t>HOOTER_FIELD_13</t>
  </si>
  <si>
    <t>PLC.SFTPLC.HOOTER_FIELD_13</t>
  </si>
  <si>
    <t>HOOTER_FIELD_14</t>
  </si>
  <si>
    <t>PLC.SFTPLC.HOOTER_FIELD_14</t>
  </si>
  <si>
    <t>HOOTER_FIELD_15</t>
  </si>
  <si>
    <t>PLC.SFTPLC.HOOTER_FIELD_15</t>
  </si>
  <si>
    <t>HOOTER_FIELD_16</t>
  </si>
  <si>
    <t>PLC.SFTPLC.HOOTER_FIELD_16</t>
  </si>
  <si>
    <t>HOOTER_FIELD_2</t>
  </si>
  <si>
    <t>PLC.SFTPLC.HOOTER_FIELD_2</t>
  </si>
  <si>
    <t>HOOTER_FIELD_3</t>
  </si>
  <si>
    <t>PLC.SFTPLC.HOOTER_FIELD_3</t>
  </si>
  <si>
    <t>HOOTER_FIELD_4</t>
  </si>
  <si>
    <t>PLC.SFTPLC.HOOTER_FIELD_4</t>
  </si>
  <si>
    <t>HOOTER_FIELD_5</t>
  </si>
  <si>
    <t>PLC.SFTPLC.HOOTER_FIELD_5</t>
  </si>
  <si>
    <t>HOOTER_FIELD_6</t>
  </si>
  <si>
    <t>PLC.SFTPLC.HOOTER_FIELD_6</t>
  </si>
  <si>
    <t>HOOTER_FIELD_7</t>
  </si>
  <si>
    <t>PLC.SFTPLC.HOOTER_FIELD_7</t>
  </si>
  <si>
    <t>ANY_HOOTER_FOR_HCD_FIELD</t>
  </si>
  <si>
    <t>PLC.SFTPLC.ANY_HOOTER_FOR_HCD_FIELD</t>
  </si>
  <si>
    <t>ESD ID</t>
  </si>
  <si>
    <t>ESD Name</t>
  </si>
  <si>
    <t>ESD STATUS</t>
  </si>
  <si>
    <t>ESD MAINTENANCE STATUS</t>
  </si>
  <si>
    <t>All ROSOVs closed</t>
  </si>
  <si>
    <t>Barrier Gate opened</t>
  </si>
  <si>
    <t>TLF Gantry Permissive Power Off</t>
  </si>
  <si>
    <t>All TLF Product Pumps Stopped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</si>
  <si>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</si>
  <si>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</si>
  <si>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</si>
  <si>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</si>
  <si>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</si>
  <si>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</si>
  <si>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ESD-01</t>
  </si>
  <si>
    <t>ESDPB-01</t>
  </si>
  <si>
    <t>LOCATION INCHARGE</t>
  </si>
  <si>
    <t>ESD.ESD-01.ESD_STATUS</t>
  </si>
  <si>
    <t>ESD.ESD-01.MAINTENANCE_STATUS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</si>
  <si>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</si>
  <si>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</si>
  <si>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</si>
  <si>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</si>
  <si>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PLC.SFTPLC.EFFECT_ALL_TANKS_IN_DORMANT_EXCP_RECIEPT</t>
  </si>
  <si>
    <t>PLC.SFTPLC.EFFECT_ALL_MOV_CLOSED</t>
  </si>
  <si>
    <t>PLC.SFTPLC.EFFECT_ESD_RELAY_PCC_PANEL</t>
  </si>
  <si>
    <t>PLC.SFTPLC.EFFECT_SIREN_ACTIVATED</t>
  </si>
  <si>
    <t>PLC.SFTPLC.EFFECT_HOOTER_FOR_ESD_CR</t>
  </si>
  <si>
    <t>PLC.SFTPLC.EFFECT_POWER_ESD_ACTI</t>
  </si>
  <si>
    <t>ESD-02</t>
  </si>
  <si>
    <t>ESDPB-02</t>
  </si>
  <si>
    <t>CONTROL ROOM</t>
  </si>
  <si>
    <t>ESD.ESD-02.ESD_STATUS</t>
  </si>
  <si>
    <t>ESD.ESD-02.MAINTENANCE_STATUS</t>
  </si>
  <si>
    <t>ESD-03</t>
  </si>
  <si>
    <t>ESDPB-03</t>
  </si>
  <si>
    <t>TLF GANTRY AREA</t>
  </si>
  <si>
    <t>ESD.ESD-03.ESD_STATUS</t>
  </si>
  <si>
    <t>ESD.ESD-03.MAINTENANCE_STATUS</t>
  </si>
  <si>
    <t>ESD-04</t>
  </si>
  <si>
    <t>ESDPB-04</t>
  </si>
  <si>
    <t>MCC ROOM</t>
  </si>
  <si>
    <t>ESD.ESD-04.ESD_STATUS</t>
  </si>
  <si>
    <t>ESD.ESD-04.MAINTENANCE_STATUS</t>
  </si>
  <si>
    <t>ESD-05</t>
  </si>
  <si>
    <t>ESDPB-05</t>
  </si>
  <si>
    <t>LUBES</t>
  </si>
  <si>
    <t>ESD.ESD-05.ESD_STATUS</t>
  </si>
  <si>
    <t>ESD.ESD-05.MAINTENANCE_STATUS</t>
  </si>
  <si>
    <t>ESD-06</t>
  </si>
  <si>
    <t>ESDPB-06</t>
  </si>
  <si>
    <t>SECURITY ROOM</t>
  </si>
  <si>
    <t>ESD.ESD-06.ESD_STATUS</t>
  </si>
  <si>
    <t>ESD.ESD-06.MAINTENANCE_STATUS</t>
  </si>
  <si>
    <t>ESD-08</t>
  </si>
  <si>
    <t>ESDPB-07</t>
  </si>
  <si>
    <t>TLF PMP HOUSE</t>
  </si>
  <si>
    <t>ESD.ESD-08.ESD_STATUS</t>
  </si>
  <si>
    <t>ESD.ESD-08.MAINTENANCE_STATUS</t>
  </si>
  <si>
    <t>ESD-09</t>
  </si>
  <si>
    <t>ESDPB-08</t>
  </si>
  <si>
    <t>NEAR TK - 01</t>
  </si>
  <si>
    <t>ESD.ESD-09.ESD_STATUS</t>
  </si>
  <si>
    <t>ESD.ESD-09.MAINTENANCE_STATUS</t>
  </si>
  <si>
    <t>ESD-10</t>
  </si>
  <si>
    <t>ESDPB-09</t>
  </si>
  <si>
    <t>NEAR TK - 04</t>
  </si>
  <si>
    <t>ESD.ESD-10.ESD_STATUS</t>
  </si>
  <si>
    <t>ESD.ESD-10.MAINTENANCE_STATUS</t>
  </si>
  <si>
    <t>ESD-11</t>
  </si>
  <si>
    <t>ESDPB-10</t>
  </si>
  <si>
    <t>NEAR TK - 16</t>
  </si>
  <si>
    <t>ESD.ESD-11.ESD_STATUS</t>
  </si>
  <si>
    <t>ESD.ESD-11.MAINTENANCE_STATUS</t>
  </si>
  <si>
    <t>ESD-12</t>
  </si>
  <si>
    <t>ESDPB-11</t>
  </si>
  <si>
    <t>NEAR TK - 15</t>
  </si>
  <si>
    <t>ESD.ESD-12.ESD_STATUS</t>
  </si>
  <si>
    <t>ESD.ESD-12.MAINTENANCE_STATUS</t>
  </si>
  <si>
    <t>ESD-14</t>
  </si>
  <si>
    <t>ESD-SYSTEM</t>
  </si>
  <si>
    <t>CENTRAL ESD</t>
  </si>
  <si>
    <t>ESD.ESD-14.ESD_STATUS</t>
  </si>
  <si>
    <t>ESD-17</t>
  </si>
  <si>
    <t>WAGON SIDING - 1</t>
  </si>
  <si>
    <t>ESD.ESD-17.ESD_STATUS</t>
  </si>
  <si>
    <t>ESD-19</t>
  </si>
  <si>
    <t>WAGON SIDING - 2</t>
  </si>
  <si>
    <t>ESD.ESD-19.ESD_STATUS</t>
  </si>
  <si>
    <t>ESD.ESD-19.MAINTENANCE_STATUS</t>
  </si>
  <si>
    <t>ESD-20</t>
  </si>
  <si>
    <t>WAGON SIDING - 3</t>
  </si>
  <si>
    <t>ESD.ESD-20.ESD_STATUS</t>
  </si>
  <si>
    <t>ESD.ESD-20.MAINTENANCE_STATUS</t>
  </si>
  <si>
    <t>ESD-21</t>
  </si>
  <si>
    <t>TANK 13</t>
  </si>
  <si>
    <t>ESD.ESD-21.ESD_STATUS</t>
  </si>
  <si>
    <t>ESD.ESD-21.MAINTENANCE_STATUS</t>
  </si>
  <si>
    <t>ESD-22</t>
  </si>
  <si>
    <t>INFRONT AFS CR</t>
  </si>
  <si>
    <t>ESD.ESD-22.ESD_STATUS</t>
  </si>
  <si>
    <t>ESD.ESD-22.MAINTENANCE_STATUS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</si>
  <si>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</si>
  <si>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</si>
  <si>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</si>
  <si>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</si>
  <si>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</si>
  <si>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</si>
  <si>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</si>
  <si>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</si>
  <si>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</si>
  <si>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</si>
  <si>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</si>
  <si>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</si>
  <si>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</si>
  <si>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</si>
  <si>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</si>
  <si>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</si>
  <si>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</si>
  <si>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</si>
  <si>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</si>
  <si>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</si>
  <si>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</si>
  <si>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</si>
  <si>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</si>
  <si>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</si>
  <si>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</si>
  <si>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</si>
  <si>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</si>
  <si>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BC-501A</t>
  </si>
  <si>
    <t>SmartLoad-Dual.BC-501A.EARTH_ALARM_STATUS</t>
  </si>
  <si>
    <t>SmartLoad-Dual.BC-501A.NO_FLOW_ALARM_STATUS_M1</t>
  </si>
  <si>
    <t>SmartLoad-Dual.BC-501A.NO_FLOW_ALARM_STATUS_M2</t>
  </si>
  <si>
    <t>SmartLoad-Dual.BC-501A.LOW_FLOW_ALARM_STATUS_M1</t>
  </si>
  <si>
    <t>SmartLoad-Dual.BC-501A.LOW_FLOW_ALARM_STATUS_M2</t>
  </si>
  <si>
    <t>SmartLoad-Dual.BC-501A.HIGH_FLOW_ALARM_STATUS_M1</t>
  </si>
  <si>
    <t>SmartLoad-Dual.BC-501A.HIGH_FLOW_ALARM_STATUS_M2</t>
  </si>
  <si>
    <t>SmartLoad-Dual.BC-501A.UNAUTHORIZE_FLOW_ALARM_STATUS_M1</t>
  </si>
  <si>
    <t>SmartLoad-Dual.BC-501A.METER_OVERRUN_ALARM_STATUS_M1</t>
  </si>
  <si>
    <t>SmartLoad-Dual.BC-501A.BLEND_OVERDOSE_ALARM_STATUS</t>
  </si>
  <si>
    <t>SmartLoad-Dual.BC-501A.BLEND_UNDERDOSE_ALARM_STATUS</t>
  </si>
  <si>
    <t>SmartLoad-Dual.BC-501A.ADDITIVE_OVERDOSE_ALARM_STATUS</t>
  </si>
  <si>
    <t>SmartLoad-Dual.BC-501A.ADDITIVE_UNDERDOSE_ALARM_STATUS</t>
  </si>
  <si>
    <t>SmartLoad-Dual.BC-501A.BATCH_STATUS</t>
  </si>
  <si>
    <t>SmartLoad-Dual.BC-501A.NOMINAL_ARM1_COMP1_KFACTOR_CHANGED</t>
  </si>
  <si>
    <t>SmartLoad-Dual.BC-501A.NOMINAL_ARM1_COMP2_KFACTOR_CHANGED</t>
  </si>
  <si>
    <t>SmartLoad-Dual.BC-501A.MFM_BCU_QTY_BEYOND_TOLERANCE_LIMIT_STATUS</t>
  </si>
  <si>
    <t>SmartLoad-Dual.BC-501A.BCU_C1_TOTALIZER_MISMATCH_ALARM</t>
  </si>
  <si>
    <t>SmartLoad-Dual.BC-501A.BCU_C2_TOTALIZER_MISMATCH_ALARM</t>
  </si>
  <si>
    <t>LP 02</t>
  </si>
  <si>
    <t>BC-501B</t>
  </si>
  <si>
    <t>SmartLoad-Dual.BC-501B.EARTH_ALARM_STATUS</t>
  </si>
  <si>
    <t>SmartLoad-Dual.BC-501B.NO_FLOW_ALARM_STATUS_M3</t>
  </si>
  <si>
    <t>SmartLoad-Dual.BC-501B.LOW_FLOW_ALARM_STATUS_M3</t>
  </si>
  <si>
    <t>SmartLoad-Dual.BC-501B.HIGH_FLOW_ALARM_STATUS_M3</t>
  </si>
  <si>
    <t>SmartLoad-Dual.BC-501B.UNAUTHORIZE_FLOW_ALARM_STATUS_M3</t>
  </si>
  <si>
    <t>SmartLoad-Dual.BC-501B.METER_OVERRUN_ALARM_STATUS_M3</t>
  </si>
  <si>
    <t>SmartLoad-Dual.BC-501B.BLEND_OVERDOSE_ALARM_STATUS</t>
  </si>
  <si>
    <t>SmartLoad-Dual.BC-501B.BLEND_UNDERDOSE_ALARM_STATUS</t>
  </si>
  <si>
    <t>SmartLoad-Dual.BC-501B.ADDITIVE_OVERDOSE_ALARM_STATUS</t>
  </si>
  <si>
    <t>SmartLoad-Dual.BC-501B.ADDITIVE_UNDERDOSE_ALARM_STATUS</t>
  </si>
  <si>
    <t>SmartLoad-Dual.BC-501B.BATCH_STATUS</t>
  </si>
  <si>
    <t>SmartLoad-Dual.BC-501B.NOMINAL_ARM2_COMP1_KFACTOR_CHANGED</t>
  </si>
  <si>
    <t>SmartLoad-Dual.BC-501B.MFM_BCU_QTY_BEYOND_TOLERANCE_LIMIT_STATUS</t>
  </si>
  <si>
    <t>SmartLoad-Dual.BC-501B.BCU_C3_TOTALIZER_MISMATCH_ALARM</t>
  </si>
  <si>
    <t>LP 03</t>
  </si>
  <si>
    <t>BC-502A</t>
  </si>
  <si>
    <t>SmartLoad-Dual.BC-502A.EARTH_ALARM_STATUS</t>
  </si>
  <si>
    <t>SmartLoad-Dual.BC-502A.NO_FLOW_ALARM_STATUS_M1</t>
  </si>
  <si>
    <t>SmartLoad-Dual.BC-502A.NO_FLOW_ALARM_STATUS_M2</t>
  </si>
  <si>
    <t>SmartLoad-Dual.BC-502A.LOW_FLOW_ALARM_STATUS_M1</t>
  </si>
  <si>
    <t>SmartLoad-Dual.BC-502A.LOW_FLOW_ALARM_STATUS_M2</t>
  </si>
  <si>
    <t>SmartLoad-Dual.BC-502A.HIGH_FLOW_ALARM_STATUS_M1</t>
  </si>
  <si>
    <t>SmartLoad-Dual.BC-502A.HIGH_FLOW_ALARM_STATUS_M2</t>
  </si>
  <si>
    <t>SmartLoad-Dual.BC-502A.UNAUTHORIZE_FLOW_ALARM_STATUS_M1</t>
  </si>
  <si>
    <t>SmartLoad-Dual.BC-502A.METER_OVERRUN_ALARM_STATUS_M1</t>
  </si>
  <si>
    <t>SmartLoad-Dual.BC-502A.BLEND_OVERDOSE_ALARM_STATUS</t>
  </si>
  <si>
    <t>SmartLoad-Dual.BC-502A.BLEND_UNDERDOSE_ALARM_STATUS</t>
  </si>
  <si>
    <t>SmartLoad-Dual.BC-502A.ADDITIVE_OVERDOSE_ALARM_STATUS</t>
  </si>
  <si>
    <t>SmartLoad-Dual.BC-502A.ADDITIVE_UNDERDOSE_ALARM_STATUS</t>
  </si>
  <si>
    <t>SmartLoad-Dual.BC-502A.BATCH_STATUS</t>
  </si>
  <si>
    <t>SmartLoad-Dual.BC-502A.NOMINAL_ARM1_COMP1_KFACTOR_CHANGED</t>
  </si>
  <si>
    <t>SmartLoad-Dual.BC-502A.NOMINAL_ARM1_COMP2_KFACTOR_CHANGED</t>
  </si>
  <si>
    <t>SmartLoad-Dual.BC-502A.MFM_BCU_QTY_BEYOND_TOLERANCE_LIMIT_STATUS</t>
  </si>
  <si>
    <t>SmartLoad-Dual.BC-502A.BCU_C1_TOTALIZER_MISMATCH_ALARM</t>
  </si>
  <si>
    <t>SmartLoad-Dual.BC-502A.BCU_C2_TOTALIZER_MISMATCH_ALARM</t>
  </si>
  <si>
    <t>LP 04</t>
  </si>
  <si>
    <t>BC-502B</t>
  </si>
  <si>
    <t>SmartLoad-Dual.BC-502B.EARTH_ALARM_STATUS</t>
  </si>
  <si>
    <t>SmartLoad-Dual.BC-502B.NO_FLOW_ALARM_STATUS_M3</t>
  </si>
  <si>
    <t>SmartLoad-Dual.BC-502B.LOW_FLOW_ALARM_STATUS_M3</t>
  </si>
  <si>
    <t>SmartLoad-Dual.BC-502B.HIGH_FLOW_ALARM_STATUS_M3</t>
  </si>
  <si>
    <t>SmartLoad-Dual.BC-502B.UNAUTHORIZE_FLOW_ALARM_STATUS_M3</t>
  </si>
  <si>
    <t>SmartLoad-Dual.BC-502B.METER_OVERRUN_ALARM_STATUS_M3</t>
  </si>
  <si>
    <t>SmartLoad-Dual.BC-502B.BLEND_OVERDOSE_ALARM_STATUS</t>
  </si>
  <si>
    <t>SmartLoad-Dual.BC-502B.BLEND_UNDERDOSE_ALARM_STATUS</t>
  </si>
  <si>
    <t>SmartLoad-Dual.BC-502B.ADDITIVE_OVERDOSE_ALARM_STATUS</t>
  </si>
  <si>
    <t>SmartLoad-Dual.BC-502B.ADDITIVE_UNDERDOSE_ALARM_STATUS</t>
  </si>
  <si>
    <t>SmartLoad-Dual.BC-502B.BATCH_STATUS</t>
  </si>
  <si>
    <t>SmartLoad-Dual.BC-502B.NOMINAL_ARM2_COMP1_KFACTOR_CHANGED</t>
  </si>
  <si>
    <t>SmartLoad-Dual.BC-502B.MFM_BCU_QTY_BEYOND_TOLERANCE_LIMIT_STATUS</t>
  </si>
  <si>
    <t>SmartLoad-Dual.BC-502B.BCU_C3_TOTALIZER_MISMATCH_ALARM</t>
  </si>
  <si>
    <t>LP 05</t>
  </si>
  <si>
    <t>BC-503A</t>
  </si>
  <si>
    <t>SmartLoad-Dual.BC-503A.EARTH_ALARM_STATUS</t>
  </si>
  <si>
    <t>SmartLoad-Dual.BC-503A.NO_FLOW_ALARM_STATUS_M1</t>
  </si>
  <si>
    <t>SmartLoad-Dual.BC-503A.NO_FLOW_ALARM_STATUS_M2</t>
  </si>
  <si>
    <t>SmartLoad-Dual.BC-503A.LOW_FLOW_ALARM_STATUS_M1</t>
  </si>
  <si>
    <t>SmartLoad-Dual.BC-503A.LOW_FLOW_ALARM_STATUS_M2</t>
  </si>
  <si>
    <t>SmartLoad-Dual.BC-503A.HIGH_FLOW_ALARM_STATUS_M1</t>
  </si>
  <si>
    <t>SmartLoad-Dual.BC-503A.HIGH_FLOW_ALARM_STATUS_M2</t>
  </si>
  <si>
    <t>SmartLoad-Dual.BC-503A.UNAUTHORIZE_FLOW_ALARM_STATUS_M1</t>
  </si>
  <si>
    <t>SmartLoad-Dual.BC-503A.METER_OVERRUN_ALARM_STATUS_M1</t>
  </si>
  <si>
    <t>SmartLoad-Dual.BC-503A.BLEND_OVERDOSE_ALARM_STATUS</t>
  </si>
  <si>
    <t>SmartLoad-Dual.BC-503A.BLEND_UNDERDOSE_ALARM_STATUS</t>
  </si>
  <si>
    <t>SmartLoad-Dual.BC-503A.ADDITIVE_OVERDOSE_ALARM_STATUS</t>
  </si>
  <si>
    <t>SmartLoad-Dual.BC-503A.ADDITIVE_UNDERDOSE_ALARM_STATUS</t>
  </si>
  <si>
    <t>SmartLoad-Dual.BC-503A.BATCH_STATUS</t>
  </si>
  <si>
    <t>SmartLoad-Dual.BC-503A.NOMINAL_ARM1_COMP1_KFACTOR_CHANGED</t>
  </si>
  <si>
    <t>SmartLoad-Dual.BC-503A.NOMINAL_ARM1_COMP2_KFACTOR_CHANGED</t>
  </si>
  <si>
    <t>SmartLoad-Dual.BC-503A.MFM_BCU_QTY_BEYOND_TOLERANCE_LIMIT_STATUS</t>
  </si>
  <si>
    <t>SmartLoad-Dual.BC-503A.BCU_C1_TOTALIZER_MISMATCH_ALARM</t>
  </si>
  <si>
    <t>SmartLoad-Dual.BC-503A.BCU_C2_TOTALIZER_MISMATCH_ALARM</t>
  </si>
  <si>
    <t>LP 06</t>
  </si>
  <si>
    <t>BC-503B</t>
  </si>
  <si>
    <t>SmartLoad-Dual.BC-503B.EARTH_ALARM_STATUS</t>
  </si>
  <si>
    <t>SmartLoad-Dual.BC-503B.NO_FLOW_ALARM_STATUS_M3</t>
  </si>
  <si>
    <t>SmartLoad-Dual.BC-503B.LOW_FLOW_ALARM_STATUS_M3</t>
  </si>
  <si>
    <t>SmartLoad-Dual.BC-503B.HIGH_FLOW_ALARM_STATUS_M3</t>
  </si>
  <si>
    <t>SmartLoad-Dual.BC-503B.UNAUTHORIZE_FLOW_ALARM_STATUS_M3</t>
  </si>
  <si>
    <t>SmartLoad-Dual.BC-503B.METER_OVERRUN_ALARM_STATUS_M3</t>
  </si>
  <si>
    <t>SmartLoad-Dual.BC-503B.BLEND_OVERDOSE_ALARM_STATUS</t>
  </si>
  <si>
    <t>SmartLoad-Dual.BC-503B.BLEND_UNDERDOSE_ALARM_STATUS</t>
  </si>
  <si>
    <t>SmartLoad-Dual.BC-503B.ADDITIVE_OVERDOSE_ALARM_STATUS</t>
  </si>
  <si>
    <t>SmartLoad-Dual.BC-503B.ADDITIVE_UNDERDOSE_ALARM_STATUS</t>
  </si>
  <si>
    <t>SmartLoad-Dual.BC-503B.BATCH_STATUS</t>
  </si>
  <si>
    <t>SmartLoad-Dual.BC-503B.NOMINAL_ARM2_COMP1_KFACTOR_CHANGED</t>
  </si>
  <si>
    <t>SmartLoad-Dual.BC-503B.MFM_BCU_QTY_BEYOND_TOLERANCE_LIMIT_STATUS</t>
  </si>
  <si>
    <t>SmartLoad-Dual.BC-503B.BCU_C3_TOTALIZER_MISMATCH_ALARM</t>
  </si>
  <si>
    <t>LP 07</t>
  </si>
  <si>
    <t>BC-504A</t>
  </si>
  <si>
    <t>SmartLoad-Dual.BC-504A.EARTH_ALARM_STATUS</t>
  </si>
  <si>
    <t>SmartLoad-Dual.BC-504A.NO_FLOW_ALARM_STATUS_M1</t>
  </si>
  <si>
    <t>SmartLoad-Dual.BC-504A.NO_FLOW_ALARM_STATUS_M2</t>
  </si>
  <si>
    <t>SmartLoad-Dual.BC-504A.LOW_FLOW_ALARM_STATUS_M1</t>
  </si>
  <si>
    <t>SmartLoad-Dual.BC-504A.LOW_FLOW_ALARM_STATUS_M2</t>
  </si>
  <si>
    <t>SmartLoad-Dual.BC-504A.HIGH_FLOW_ALARM_STATUS_M1</t>
  </si>
  <si>
    <t>SmartLoad-Dual.BC-504A.HIGH_FLOW_ALARM_STATUS_M2</t>
  </si>
  <si>
    <t>SmartLoad-Dual.BC-504A.UNAUTHORIZE_FLOW_ALARM_STATUS_M1</t>
  </si>
  <si>
    <t>SmartLoad-Dual.BC-504A.METER_OVERRUN_ALARM_STATUS_M1</t>
  </si>
  <si>
    <t>SmartLoad-Dual.BC-504A.BLEND_OVERDOSE_ALARM_STATUS</t>
  </si>
  <si>
    <t>SmartLoad-Dual.BC-504A.BLEND_UNDERDOSE_ALARM_STATUS</t>
  </si>
  <si>
    <t>SmartLoad-Dual.BC-504A.ADDITIVE_OVERDOSE_ALARM_STATUS</t>
  </si>
  <si>
    <t>SmartLoad-Dual.BC-504A.ADDITIVE_UNDERDOSE_ALARM_STATUS</t>
  </si>
  <si>
    <t>SmartLoad-Dual.BC-504A.BATCH_STATUS</t>
  </si>
  <si>
    <t>SmartLoad-Dual.BC-504A.NOMINAL_ARM1_COMP1_KFACTOR_CHANGED</t>
  </si>
  <si>
    <t>SmartLoad-Dual.BC-504A.NOMINAL_ARM1_COMP2_KFACTOR_CHANGED</t>
  </si>
  <si>
    <t>SmartLoad-Dual.BC-504A.MFM_BCU_QTY_BEYOND_TOLERANCE_LIMIT_STATUS</t>
  </si>
  <si>
    <t>SmartLoad-Dual.BC-504A.BCU_C1_TOTALIZER_MISMATCH_ALARM</t>
  </si>
  <si>
    <t>SmartLoad-Dual.BC-504A.BCU_C2_TOTALIZER_MISMATCH_ALARM</t>
  </si>
  <si>
    <t>LP 08</t>
  </si>
  <si>
    <t>BC-504B</t>
  </si>
  <si>
    <t>SmartLoad-Dual.BC-504B.EARTH_ALARM_STATUS</t>
  </si>
  <si>
    <t>SmartLoad-Dual.BC-504B.NO_FLOW_ALARM_STATUS_M3</t>
  </si>
  <si>
    <t>SmartLoad-Dual.BC-504B.NO_FLOW_ALARM_STATUS_M4</t>
  </si>
  <si>
    <t>SmartLoad-Dual.BC-504B.LOW_FLOW_ALARM_STATUS_M3</t>
  </si>
  <si>
    <t>SmartLoad-Dual.BC-504B.LOW_FLOW_ALARM_STATUS_M4</t>
  </si>
  <si>
    <t>SmartLoad-Dual.BC-504B.HIGH_FLOW_ALARM_STATUS_M3</t>
  </si>
  <si>
    <t>SmartLoad-Dual.BC-504B.HIGH_FLOW_ALARM_STATUS_M4</t>
  </si>
  <si>
    <t>SmartLoad-Dual.BC-504B.UNAUTHORIZE_FLOW_ALARM_STATUS_M3</t>
  </si>
  <si>
    <t>SmartLoad-Dual.BC-504B.METER_OVERRUN_ALARM_STATUS_M3</t>
  </si>
  <si>
    <t>SmartLoad-Dual.BC-504B.BLEND_OVERDOSE_ALARM_STATUS</t>
  </si>
  <si>
    <t>SmartLoad-Dual.BC-504B.BLEND_UNDERDOSE_ALARM_STATUS</t>
  </si>
  <si>
    <t>SmartLoad-Dual.BC-504B.ADDITIVE_OVERDOSE_ALARM_STATUS</t>
  </si>
  <si>
    <t>SmartLoad-Dual.BC-504B.ADDITIVE_UNDERDOSE_ALARM_STATUS</t>
  </si>
  <si>
    <t>SmartLoad-Dual.BC-504B.BATCH_STATUS</t>
  </si>
  <si>
    <t>SmartLoad-Dual.BC-504B.NOMINAL_ARM2_COMP1_KFACTOR_CHANGED</t>
  </si>
  <si>
    <t>SmartLoad-Dual.BC-504B.NOMINAL_ARM2_COMP2_KFACTOR_CHANGED</t>
  </si>
  <si>
    <t>SmartLoad-Dual.BC-504B.MFM_BCU_QTY_BEYOND_TOLERANCE_LIMIT_STATUS</t>
  </si>
  <si>
    <t>SmartLoad-Dual.BC-504B.BCU_C3_TOTALIZER_MISMATCH_ALARM</t>
  </si>
  <si>
    <t>SmartLoad-Dual.BC-504B.BCU_C4_TOTALIZER_MISMATCH_ALARM</t>
  </si>
  <si>
    <t>LP 09</t>
  </si>
  <si>
    <t>BC-505A</t>
  </si>
  <si>
    <t>SmartLoad-Dual.BC-505A.EARTH_ALARM_STATUS</t>
  </si>
  <si>
    <t>SmartLoad-Dual.BC-505A.NO_FLOW_ALARM_STATUS_M1</t>
  </si>
  <si>
    <t>SmartLoad-Dual.BC-505A.NO_FLOW_ALARM_STATUS_M2</t>
  </si>
  <si>
    <t>SmartLoad-Dual.BC-505A.LOW_FLOW_ALARM_STATUS_M1</t>
  </si>
  <si>
    <t>SmartLoad-Dual.BC-505A.LOW_FLOW_ALARM_STATUS_M2</t>
  </si>
  <si>
    <t>SmartLoad-Dual.BC-505A.HIGH_FLOW_ALARM_STATUS_M1</t>
  </si>
  <si>
    <t>SmartLoad-Dual.BC-505A.HIGH_FLOW_ALARM_STATUS_M2</t>
  </si>
  <si>
    <t>SmartLoad-Dual.BC-505A.UNAUTHORIZE_FLOW_ALARM_STATUS_M1</t>
  </si>
  <si>
    <t>SmartLoad-Dual.BC-505A.METER_OVERRUN_ALARM_STATUS_M1</t>
  </si>
  <si>
    <t>SmartLoad-Dual.BC-505A.BLEND_OVERDOSE_ALARM_STATUS</t>
  </si>
  <si>
    <t>SmartLoad-Dual.BC-505A.BLEND_UNDERDOSE_ALARM_STATUS</t>
  </si>
  <si>
    <t>SmartLoad-Dual.BC-505A.ADDITIVE_OVERDOSE_ALARM_STATUS</t>
  </si>
  <si>
    <t>SmartLoad-Dual.BC-505A.ADDITIVE_UNDERDOSE_ALARM_STATUS</t>
  </si>
  <si>
    <t>SmartLoad-Dual.BC-505A.BATCH_STATUS</t>
  </si>
  <si>
    <t>SmartLoad-Dual.BC-505A.NOMINAL_ARM1_COMP1_KFACTOR_CHANGED</t>
  </si>
  <si>
    <t>SmartLoad-Dual.BC-505A.NOMINAL_ARM1_COMP2_KFACTOR_CHANGED</t>
  </si>
  <si>
    <t>SmartLoad-Dual.BC-505A.MFM_BCU_QTY_BEYOND_TOLERANCE_LIMIT_STATUS</t>
  </si>
  <si>
    <t>SmartLoad-Dual.BC-505A.BCU_C1_TOTALIZER_MISMATCH_ALARM</t>
  </si>
  <si>
    <t>SmartLoad-Dual.BC-505A.BCU_C2_TOTALIZER_MISMATCH_ALARM</t>
  </si>
  <si>
    <t>LP 10</t>
  </si>
  <si>
    <t>BC-505B</t>
  </si>
  <si>
    <t>SmartLoad-Dual.BC-505B.EARTH_ALARM_STATUS</t>
  </si>
  <si>
    <t>SmartLoad-Dual.BC-505B.NO_FLOW_ALARM_STATUS_M3</t>
  </si>
  <si>
    <t>SmartLoad-Dual.BC-505B.LOW_FLOW_ALARM_STATUS_M3</t>
  </si>
  <si>
    <t>SmartLoad-Dual.BC-505B.HIGH_FLOW_ALARM_STATUS_M3</t>
  </si>
  <si>
    <t>SmartLoad-Dual.BC-505B.UNAUTHORIZE_FLOW_ALARM_STATUS_M3</t>
  </si>
  <si>
    <t>SmartLoad-Dual.BC-505B.METER_OVERRUN_ALARM_STATUS_M3</t>
  </si>
  <si>
    <t>SmartLoad-Dual.BC-505B.BLEND_OVERDOSE_ALARM_STATUS</t>
  </si>
  <si>
    <t>SmartLoad-Dual.BC-505B.BLEND_UNDERDOSE_ALARM_STATUS</t>
  </si>
  <si>
    <t>SmartLoad-Dual.BC-505B.ADDITIVE_OVERDOSE_ALARM_STATUS</t>
  </si>
  <si>
    <t>SmartLoad-Dual.BC-505B.ADDITIVE_UNDERDOSE_ALARM_STATUS</t>
  </si>
  <si>
    <t>SmartLoad-Dual.BC-505B.BATCH_STATUS</t>
  </si>
  <si>
    <t>SmartLoad-Dual.BC-505B.NOMINAL_ARM2_COMP1_KFACTOR_CHANGED</t>
  </si>
  <si>
    <t>SmartLoad-Dual.BC-505B.MFM_BCU_QTY_BEYOND_TOLERANCE_LIMIT_STATUS</t>
  </si>
  <si>
    <t>SmartLoad-Dual.BC-505B.BCU_C3_TOTALIZER_MISMATCH_ALARM</t>
  </si>
  <si>
    <t>LP 11</t>
  </si>
  <si>
    <t>BC-506A</t>
  </si>
  <si>
    <t>SmartLoad-Dual.BC-506A.EARTH_ALARM_STATUS</t>
  </si>
  <si>
    <t>SmartLoad-Dual.BC-506A.NO_FLOW_ALARM_STATUS_M1</t>
  </si>
  <si>
    <t>SmartLoad-Dual.BC-506A.NO_FLOW_ALARM_STATUS_M2</t>
  </si>
  <si>
    <t>SmartLoad-Dual.BC-506A.LOW_FLOW_ALARM_STATUS_M1</t>
  </si>
  <si>
    <t>SmartLoad-Dual.BC-506A.LOW_FLOW_ALARM_STATUS_M2</t>
  </si>
  <si>
    <t>SmartLoad-Dual.BC-506A.HIGH_FLOW_ALARM_STATUS_M1</t>
  </si>
  <si>
    <t>SmartLoad-Dual.BC-506A.HIGH_FLOW_ALARM_STATUS_M2</t>
  </si>
  <si>
    <t>SmartLoad-Dual.BC-506A.UNAUTHORIZE_FLOW_ALARM_STATUS_M1</t>
  </si>
  <si>
    <t>SmartLoad-Dual.BC-506A.METER_OVERRUN_ALARM_STATUS_M1</t>
  </si>
  <si>
    <t>SmartLoad-Dual.BC-506A.BLEND_OVERDOSE_ALARM_STATUS</t>
  </si>
  <si>
    <t>SmartLoad-Dual.BC-506A.BLEND_UNDERDOSE_ALARM_STATUS</t>
  </si>
  <si>
    <t>SmartLoad-Dual.BC-506A.ADDITIVE_OVERDOSE_ALARM_STATUS</t>
  </si>
  <si>
    <t>SmartLoad-Dual.BC-506A.ADDITIVE_UNDERDOSE_ALARM_STATUS</t>
  </si>
  <si>
    <t>SmartLoad-Dual.BC-506A.BATCH_STATUS</t>
  </si>
  <si>
    <t>SmartLoad-Dual.BC-506A.NOMINAL_ARM1_COMP1_KFACTOR_CHANGED</t>
  </si>
  <si>
    <t>SmartLoad-Dual.BC-506A.NOMINAL_ARM1_COMP2_KFACTOR_CHANGED</t>
  </si>
  <si>
    <t>SmartLoad-Dual.BC-506A.MFM_BCU_QTY_BEYOND_TOLERANCE_LIMIT_STATUS</t>
  </si>
  <si>
    <t>SmartLoad-Dual.BC-506A.BCU_C1_TOTALIZER_MISMATCH_ALARM</t>
  </si>
  <si>
    <t>SmartLoad-Dual.BC-506A.BCU_C2_TOTALIZER_MISMATCH_ALARM</t>
  </si>
  <si>
    <t>LP 12</t>
  </si>
  <si>
    <t>BC-506B</t>
  </si>
  <si>
    <t>SmartLoad-Dual.BC-506B.EARTH_ALARM_STATUS</t>
  </si>
  <si>
    <t>SmartLoad-Dual.BC-506B.NO_FLOW_ALARM_STATUS_M3</t>
  </si>
  <si>
    <t>SmartLoad-Dual.BC-506B.NO_FLOW_ALARM_STATUS_M4</t>
  </si>
  <si>
    <t>SmartLoad-Dual.BC-506B.LOW_FLOW_ALARM_STATUS_M3</t>
  </si>
  <si>
    <t>SmartLoad-Dual.BC-506B.LOW_FLOW_ALARM_STATUS_M4</t>
  </si>
  <si>
    <t>SmartLoad-Dual.BC-506B.HIGH_FLOW_ALARM_STATUS_M3</t>
  </si>
  <si>
    <t>SmartLoad-Dual.BC-506B.HIGH_FLOW_ALARM_STATUS_M4</t>
  </si>
  <si>
    <t>SmartLoad-Dual.BC-506B.UNAUTHORIZE_FLOW_ALARM_STATUS_M3</t>
  </si>
  <si>
    <t>SmartLoad-Dual.BC-506B.METER_OVERRUN_ALARM_STATUS_M3</t>
  </si>
  <si>
    <t>SmartLoad-Dual.BC-506B.BLEND_OVERDOSE_ALARM_STATUS</t>
  </si>
  <si>
    <t>SmartLoad-Dual.BC-506B.BLEND_UNDERDOSE_ALARM_STATUS</t>
  </si>
  <si>
    <t>SmartLoad-Dual.BC-506B.ADDITIVE_OVERDOSE_ALARM_STATUS</t>
  </si>
  <si>
    <t>SmartLoad-Dual.BC-506B.ADDITIVE_UNDERDOSE_ALARM_STATUS</t>
  </si>
  <si>
    <t>SmartLoad-Dual.BC-506B.BATCH_STATUS</t>
  </si>
  <si>
    <t>SmartLoad-Dual.BC-506B.NOMINAL_ARM2_COMP1_KFACTOR_CHANGED</t>
  </si>
  <si>
    <t>SmartLoad-Dual.BC-506B.NOMINAL_ARM2_COMP2_KFACTOR_CHANGED</t>
  </si>
  <si>
    <t>SmartLoad-Dual.BC-506B.MFM_BCU_QTY_BEYOND_TOLERANCE_LIMIT_STATUS</t>
  </si>
  <si>
    <t>SmartLoad-Dual.BC-506B.BCU_C3_TOTALIZER_MISMATCH_ALARM</t>
  </si>
  <si>
    <t>SmartLoad-Dual.BC-506B.BCU_C4_TOTALIZER_MISMATCH_ALARM</t>
  </si>
  <si>
    <t>LP 13</t>
  </si>
  <si>
    <t>BC-507A</t>
  </si>
  <si>
    <t>SmartLoad-Dual.BC-507A.EARTH_ALARM_STATUS</t>
  </si>
  <si>
    <t>SmartLoad-Dual.BC-507A.NO_FLOW_ALARM_STATUS_M1</t>
  </si>
  <si>
    <t>SmartLoad-Dual.BC-507A.NO_FLOW_ALARM_STATUS_M2</t>
  </si>
  <si>
    <t>SmartLoad-Dual.BC-507A.LOW_FLOW_ALARM_STATUS_M1</t>
  </si>
  <si>
    <t>SmartLoad-Dual.BC-507A.LOW_FLOW_ALARM_STATUS_M2</t>
  </si>
  <si>
    <t>SmartLoad-Dual.BC-507A.HIGH_FLOW_ALARM_STATUS_M1</t>
  </si>
  <si>
    <t>SmartLoad-Dual.BC-507A.HIGH_FLOW_ALARM_STATUS_M2</t>
  </si>
  <si>
    <t>SmartLoad-Dual.BC-507A.UNAUTHORIZE_FLOW_ALARM_STATUS_M1</t>
  </si>
  <si>
    <t>SmartLoad-Dual.BC-507A.METER_OVERRUN_ALARM_STATUS_M1</t>
  </si>
  <si>
    <t>SmartLoad-Dual.BC-507A.BLEND_OVERDOSE_ALARM_STATUS</t>
  </si>
  <si>
    <t>SmartLoad-Dual.BC-507A.BLEND_UNDERDOSE_ALARM_STATUS</t>
  </si>
  <si>
    <t>SmartLoad-Dual.BC-507A.ADDITIVE_OVERDOSE_ALARM_STATUS</t>
  </si>
  <si>
    <t>SmartLoad-Dual.BC-507A.ADDITIVE_UNDERDOSE_ALARM_STATUS</t>
  </si>
  <si>
    <t>SmartLoad-Dual.BC-507A.BATCH_STATUS</t>
  </si>
  <si>
    <t>SmartLoad-Dual.BC-507A.NOMINAL_ARM1_COMP1_KFACTOR_CHANGED</t>
  </si>
  <si>
    <t>SmartLoad-Dual.BC-507A.NOMINAL_ARM1_COMP2_KFACTOR_CHANGED</t>
  </si>
  <si>
    <t>SmartLoad-Dual.BC-507A.MFM_BCU_QTY_BEYOND_TOLERANCE_LIMIT_STATUS</t>
  </si>
  <si>
    <t>SmartLoad-Dual.BC-507A.BCU_C1_TOTALIZER_MISMATCH_ALARM</t>
  </si>
  <si>
    <t>SmartLoad-Dual.BC-507A.BCU_C2_TOTALIZER_MISMATCH_ALARM</t>
  </si>
  <si>
    <t>LP 14</t>
  </si>
  <si>
    <t>BC-507B</t>
  </si>
  <si>
    <t>SmartLoad-Dual.BC-507B.EARTH_ALARM_STATUS</t>
  </si>
  <si>
    <t>SmartLoad-Dual.BC-507B.NO_FLOW_ALARM_STATUS_M3</t>
  </si>
  <si>
    <t>SmartLoad-Dual.BC-507B.NO_FLOW_ALARM_STATUS_M4</t>
  </si>
  <si>
    <t>SmartLoad-Dual.BC-507B.LOW_FLOW_ALARM_STATUS_M3</t>
  </si>
  <si>
    <t>SmartLoad-Dual.BC-507B.LOW_FLOW_ALARM_STATUS_M4</t>
  </si>
  <si>
    <t>SmartLoad-Dual.BC-507B.HIGH_FLOW_ALARM_STATUS_M3</t>
  </si>
  <si>
    <t>SmartLoad-Dual.BC-507B.HIGH_FLOW_ALARM_STATUS_M4</t>
  </si>
  <si>
    <t>SmartLoad-Dual.BC-507B.UNAUTHORIZE_FLOW_ALARM_STATUS_M3</t>
  </si>
  <si>
    <t>SmartLoad-Dual.BC-507B.METER_OVERRUN_ALARM_STATUS_M3</t>
  </si>
  <si>
    <t>SmartLoad-Dual.BC-507B.BLEND_OVERDOSE_ALARM_STATUS</t>
  </si>
  <si>
    <t>SmartLoad-Dual.BC-507B.BLEND_UNDERDOSE_ALARM_STATUS</t>
  </si>
  <si>
    <t>SmartLoad-Dual.BC-507B.ADDITIVE_OVERDOSE_ALARM_STATUS</t>
  </si>
  <si>
    <t>SmartLoad-Dual.BC-507B.ADDITIVE_UNDERDOSE_ALARM_STATUS</t>
  </si>
  <si>
    <t>SmartLoad-Dual.BC-507B.BATCH_STATUS</t>
  </si>
  <si>
    <t>SmartLoad-Dual.BC-507B.NOMINAL_ARM2_COMP1_KFACTOR_CHANGED</t>
  </si>
  <si>
    <t>SmartLoad-Dual.BC-507B.NOMINAL_ARM2_COMP2_KFACTOR_CHANGED</t>
  </si>
  <si>
    <t>SmartLoad-Dual.BC-507B.MFM_BCU_QTY_BEYOND_TOLERANCE_LIMIT_STATUS</t>
  </si>
  <si>
    <t>SmartLoad-Dual.BC-507B.BCU_C3_TOTALIZER_MISMATCH_ALARM</t>
  </si>
  <si>
    <t>SmartLoad-Dual.BC-507B.BCU_C4_TOTALIZER_MISMATCH_ALARM</t>
  </si>
  <si>
    <t>LP 15</t>
  </si>
  <si>
    <t>BC-508A</t>
  </si>
  <si>
    <t>SmartLoad-Dual.BC-508A.EARTH_ALARM_STATUS</t>
  </si>
  <si>
    <t>SmartLoad-Dual.BC-508A.NO_FLOW_ALARM_STATUS_M1</t>
  </si>
  <si>
    <t>SmartLoad-Dual.BC-508A.LOW_FLOW_ALARM_STATUS_M1</t>
  </si>
  <si>
    <t>SmartLoad-Dual.BC-508A.HIGH_FLOW_ALARM_STATUS_M1</t>
  </si>
  <si>
    <t>SmartLoad-Dual.BC-508A.UNAUTHORIZE_FLOW_ALARM_STATUS_M1</t>
  </si>
  <si>
    <t>SmartLoad-Dual.BC-508A.METER_OVERRUN_ALARM_STATUS_M1</t>
  </si>
  <si>
    <t>SmartLoad-Dual.BC-508A.BLEND_OVERDOSE_ALARM_STATUS</t>
  </si>
  <si>
    <t>SmartLoad-Dual.BC-508A.BLEND_UNDERDOSE_ALARM_STATUS</t>
  </si>
  <si>
    <t>SmartLoad-Dual.BC-508A.ADDITIVE_OVERDOSE_ALARM_STATUS</t>
  </si>
  <si>
    <t>SmartLoad-Dual.BC-508A.ADDITIVE_UNDERDOSE_ALARM_STATUS</t>
  </si>
  <si>
    <t>SmartLoad-Dual.BC-508A.BATCH_STATUS</t>
  </si>
  <si>
    <t>SmartLoad-Dual.BC-508A.NOMINAL_ARM1_COMP1_KFACTOR_CHANGED</t>
  </si>
  <si>
    <t>SmartLoad-Dual.BC-508A.MFM_BCU_QTY_BEYOND_TOLERANCE_LIMIT_STATUS</t>
  </si>
  <si>
    <t>SmartLoad-Dual.BC-508A.BCU_C1_TOTALIZER_MISMATCH_ALARM</t>
  </si>
  <si>
    <t>LP 16</t>
  </si>
  <si>
    <t>BC-508B</t>
  </si>
  <si>
    <t>SmartLoad-Dual.BC-508B.EARTH_ALARM_STATUS</t>
  </si>
  <si>
    <t>SmartLoad-Dual.BC-508B.NO_FLOW_ALARM_STATUS_M3</t>
  </si>
  <si>
    <t>SmartLoad-Dual.BC-508B.LOW_FLOW_ALARM_STATUS_M3</t>
  </si>
  <si>
    <t>SmartLoad-Dual.BC-508B.HIGH_FLOW_ALARM_STATUS_M3</t>
  </si>
  <si>
    <t>SmartLoad-Dual.BC-508B.UNAUTHORIZE_FLOW_ALARM_STATUS_M3</t>
  </si>
  <si>
    <t>SmartLoad-Dual.BC-508B.METER_OVERRUN_ALARM_STATUS_M3</t>
  </si>
  <si>
    <t>SmartLoad-Dual.BC-508B.BLEND_OVERDOSE_ALARM_STATUS</t>
  </si>
  <si>
    <t>SmartLoad-Dual.BC-508B.BLEND_UNDERDOSE_ALARM_STATUS</t>
  </si>
  <si>
    <t>SmartLoad-Dual.BC-508B.ADDITIVE_OVERDOSE_ALARM_STATUS</t>
  </si>
  <si>
    <t>SmartLoad-Dual.BC-508B.ADDITIVE_UNDERDOSE_ALARM_STATUS</t>
  </si>
  <si>
    <t>SmartLoad-Dual.BC-508B.BATCH_STATUS</t>
  </si>
  <si>
    <t>SmartLoad-Dual.BC-508B.NOMINAL_ARM2_COMP1_KFACTOR_CHANGED</t>
  </si>
  <si>
    <t>SmartLoad-Dual.BC-508B.MFM_BCU_QTY_BEYOND_TOLERANCE_LIMIT_STATUS</t>
  </si>
  <si>
    <t>SmartLoad-Dual.BC-508B.BCU_C3_TOTALIZER_MISMATCH_ALARM</t>
  </si>
  <si>
    <t>LP 17</t>
  </si>
  <si>
    <t>BC-509A</t>
  </si>
  <si>
    <t>SmartLoad-Dual.BC-509A.EARTH_ALARM_STATUS</t>
  </si>
  <si>
    <t>SmartLoad-Dual.BC-509A.NO_FLOW_ALARM_STATUS_M1</t>
  </si>
  <si>
    <t>SmartLoad-Dual.BC-509A.LOW_FLOW_ALARM_STATUS_M1</t>
  </si>
  <si>
    <t>SmartLoad-Dual.BC-509A.HIGH_FLOW_ALARM_STATUS_M1</t>
  </si>
  <si>
    <t>SmartLoad-Dual.BC-509A.UNAUTHORIZE_FLOW_ALARM_STATUS_M1</t>
  </si>
  <si>
    <t>SmartLoad-Dual.BC-509A.METER_OVERRUN_ALARM_STATUS_M1</t>
  </si>
  <si>
    <t>SmartLoad-Dual.BC-509A.BLEND_OVERDOSE_ALARM_STATUS</t>
  </si>
  <si>
    <t>SmartLoad-Dual.BC-509A.BLEND_UNDERDOSE_ALARM_STATUS</t>
  </si>
  <si>
    <t>SmartLoad-Dual.BC-509A.ADDITIVE_OVERDOSE_ALARM_STATUS</t>
  </si>
  <si>
    <t>SmartLoad-Dual.BC-509A.ADDITIVE_UNDERDOSE_ALARM_STATUS</t>
  </si>
  <si>
    <t>SmartLoad-Dual.BC-509A.BATCH_STATUS</t>
  </si>
  <si>
    <t>SmartLoad-Dual.BC-509A.NOMINAL_ARM1_COMP1_KFACTOR_CHANGED</t>
  </si>
  <si>
    <t>SmartLoad-Dual.BC-509A.MFM_BCU_QTY_BEYOND_TOLERANCE_LIMIT_STATUS</t>
  </si>
  <si>
    <t>SmartLoad-Dual.BC-509A.BCU_C1_TOTALIZER_MISMATCH_ALARM</t>
  </si>
  <si>
    <t>LP 18</t>
  </si>
  <si>
    <t>BC-509B</t>
  </si>
  <si>
    <t>SmartLoad-Dual.BC-509B.EARTH_ALARM_STATUS</t>
  </si>
  <si>
    <t>SmartLoad-Dual.BC-509B.NO_FLOW_ALARM_STATUS_M3</t>
  </si>
  <si>
    <t>SmartLoad-Dual.BC-509B.LOW_FLOW_ALARM_STATUS_M3</t>
  </si>
  <si>
    <t>SmartLoad-Dual.BC-509B.HIGH_FLOW_ALARM_STATUS_M3</t>
  </si>
  <si>
    <t>SmartLoad-Dual.BC-509B.UNAUTHORIZE_FLOW_ALARM_STATUS_M3</t>
  </si>
  <si>
    <t>SmartLoad-Dual.BC-509B.METER_OVERRUN_ALARM_STATUS_M3</t>
  </si>
  <si>
    <t>SmartLoad-Dual.BC-509B.BLEND_OVERDOSE_ALARM_STATUS</t>
  </si>
  <si>
    <t>SmartLoad-Dual.BC-509B.BLEND_UNDERDOSE_ALARM_STATUS</t>
  </si>
  <si>
    <t>SmartLoad-Dual.BC-509B.ADDITIVE_OVERDOSE_ALARM_STATUS</t>
  </si>
  <si>
    <t>SmartLoad-Dual.BC-509B.ADDITIVE_UNDERDOSE_ALARM_STATUS</t>
  </si>
  <si>
    <t>SmartLoad-Dual.BC-509B.BATCH_STATUS</t>
  </si>
  <si>
    <t>SmartLoad-Dual.BC-509B.NOMINAL_ARM2_COMP1_KFACTOR_CHANGED</t>
  </si>
  <si>
    <t>SmartLoad-Dual.BC-509B.MFM_BCU_QTY_BEYOND_TOLERANCE_LIMIT_STATUS</t>
  </si>
  <si>
    <t>SmartLoad-Dual.BC-509B.BCU_C3_TOTALIZER_MISMATCH_ALARM</t>
  </si>
  <si>
    <t>LP 19</t>
  </si>
  <si>
    <t>BC-510A</t>
  </si>
  <si>
    <t>SmartLoad-Dual.BC-510A.EARTH_ALARM_STATUS</t>
  </si>
  <si>
    <t>SmartLoad-Dual.BC-510A.NO_FLOW_ALARM_STATUS_M1</t>
  </si>
  <si>
    <t>SmartLoad-Dual.BC-510A.NO_FLOW_ALARM_STATUS_M2</t>
  </si>
  <si>
    <t>SmartLoad-Dual.BC-510A.LOW_FLOW_ALARM_STATUS_M1</t>
  </si>
  <si>
    <t>SmartLoad-Dual.BC-510A.LOW_FLOW_ALARM_STATUS_M2</t>
  </si>
  <si>
    <t>SmartLoad-Dual.BC-510A.HIGH_FLOW_ALARM_STATUS_M1</t>
  </si>
  <si>
    <t>SmartLoad-Dual.BC-510A.HIGH_FLOW_ALARM_STATUS_M2</t>
  </si>
  <si>
    <t>SmartLoad-Dual.BC-510A.UNAUTHORIZE_FLOW_ALARM_STATUS_M1</t>
  </si>
  <si>
    <t>SmartLoad-Dual.BC-510A.METER_OVERRUN_ALARM_STATUS_M1</t>
  </si>
  <si>
    <t>SmartLoad-Dual.BC-510A.BLEND_OVERDOSE_ALARM_STATUS</t>
  </si>
  <si>
    <t>SmartLoad-Dual.BC-510A.BLEND_UNDERDOSE_ALARM_STATUS</t>
  </si>
  <si>
    <t>SmartLoad-Dual.BC-510A.ADDITIVE_OVERDOSE_ALARM_STATUS</t>
  </si>
  <si>
    <t>SmartLoad-Dual.BC-510A.ADDITIVE_UNDERDOSE_ALARM_STATUS</t>
  </si>
  <si>
    <t>SmartLoad-Dual.BC-510A.BATCH_STATUS</t>
  </si>
  <si>
    <t>SmartLoad-Dual.BC-510A.NOMINAL_ARM1_COMP1_KFACTOR_CHANGED</t>
  </si>
  <si>
    <t>SmartLoad-Dual.BC-510A.NOMINAL_ARM1_COMP2_KFACTOR_CHANGED</t>
  </si>
  <si>
    <t>SmartLoad-Dual.BC-510A.MFM_BCU_QTY_BEYOND_TOLERANCE_LIMIT_STATUS</t>
  </si>
  <si>
    <t>SmartLoad-Dual.BC-510A.BCU_C1_TOTALIZER_MISMATCH_ALARM</t>
  </si>
  <si>
    <t>SmartLoad-Dual.BC-510A.BCU_C2_TOTALIZER_MISMATCH_ALARM</t>
  </si>
  <si>
    <t>LP 20</t>
  </si>
  <si>
    <t>BC-510B</t>
  </si>
  <si>
    <t>SmartLoad-Dual.BC-510B.EARTH_ALARM_STATUS</t>
  </si>
  <si>
    <t>SmartLoad-Dual.BC-510B.NO_FLOW_ALARM_STATUS_M3</t>
  </si>
  <si>
    <t>SmartLoad-Dual.BC-510B.LOW_FLOW_ALARM_STATUS_M3</t>
  </si>
  <si>
    <t>SmartLoad-Dual.BC-510B.HIGH_FLOW_ALARM_STATUS_M3</t>
  </si>
  <si>
    <t>SmartLoad-Dual.BC-510B.UNAUTHORIZE_FLOW_ALARM_STATUS_M3</t>
  </si>
  <si>
    <t>SmartLoad-Dual.BC-510B.METER_OVERRUN_ALARM_STATUS_M3</t>
  </si>
  <si>
    <t>SmartLoad-Dual.BC-510B.BLEND_OVERDOSE_ALARM_STATUS</t>
  </si>
  <si>
    <t>SmartLoad-Dual.BC-510B.BLEND_UNDERDOSE_ALARM_STATUS</t>
  </si>
  <si>
    <t>SmartLoad-Dual.BC-510B.ADDITIVE_OVERDOSE_ALARM_STATUS</t>
  </si>
  <si>
    <t>SmartLoad-Dual.BC-510B.ADDITIVE_UNDERDOSE_ALARM_STATUS</t>
  </si>
  <si>
    <t>SmartLoad-Dual.BC-510B.BATCH_STATUS</t>
  </si>
  <si>
    <t>SmartLoad-Dual.BC-510B.NOMINAL_ARM2_COMP1_KFACTOR_CHANGED</t>
  </si>
  <si>
    <t>SmartLoad-Dual.BC-510B.MFM_BCU_QTY_BEYOND_TOLERANCE_LIMIT_STATUS</t>
  </si>
  <si>
    <t>SmartLoad-Dual.BC-510B.BCU_C3_TOTALIZER_MISMATCH_ALARM</t>
  </si>
  <si>
    <t>LP 21</t>
  </si>
  <si>
    <t>BC-09C</t>
  </si>
  <si>
    <t>MTO</t>
  </si>
  <si>
    <t>SmartLoad-Single.BC-09C.EARTH_ALARM_STATUS</t>
  </si>
  <si>
    <t>SmartLoad-Single.BC-09C.NO_FLOW_ALARM_STATUS_M1</t>
  </si>
  <si>
    <t>SmartLoad-Single.BC-09C.LOW_FLOW_ALARM_STATUS_M1</t>
  </si>
  <si>
    <t>SmartLoad-Single.BC-09C.HIGH_FLOW_ALARM_STATUS_M1</t>
  </si>
  <si>
    <t>SmartLoad-Single.BC-09C.UNAUTHORIZE_FLOW_ALARM_STATUS_M1</t>
  </si>
  <si>
    <t>SmartLoad-Single.BC-09C.METER_OVERRUN_ALARM_STATUS_M1</t>
  </si>
  <si>
    <t>SmartLoad-Single.BC-09C.BLEND_OVERDOSE_ALARM_STATUS</t>
  </si>
  <si>
    <t>SmartLoad-Single.BC-09C.BLEND_UNDERDOSE_ALARM_STATUS</t>
  </si>
  <si>
    <t>SmartLoad-Single.BC-09C.ADDITIVE_OVERDOSE_ALARM_STATUS</t>
  </si>
  <si>
    <t>SmartLoad-Single.BC-09C.ADDITIVE_UNDERDOSE_ALARM_STATUS</t>
  </si>
  <si>
    <t>SmartLoad-Single.BC-09C.BATCH_STATUS</t>
  </si>
  <si>
    <t>SmartLoad-Single.BC-09C.NOMINAL_ARM1_COMP1_KFACTOR_CHANGED</t>
  </si>
  <si>
    <t>SmartLoad-Single.BC-09C.MFM_BCU_QTY_BEYOND_TOLERANCE_LIMIT_STATUS</t>
  </si>
  <si>
    <t>SmartLoad-Single.BC-09C.BCU_C1_TOTALIZER_MISMATCH_ALARM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</si>
  <si>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</si>
  <si>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</si>
  <si>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</si>
  <si>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</si>
  <si>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</si>
  <si>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SmartLoad-Dual.BC-501A.PERMISSIVE_FROM_DNC_STATUS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</si>
  <si>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</si>
  <si>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</si>
  <si>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</si>
  <si>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</si>
  <si>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</si>
  <si>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</si>
  <si>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</si>
  <si>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</si>
  <si>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PLC.SFTPLC.CAUSE_ANY_FWP_IS_RUNNING</t>
  </si>
  <si>
    <t>WATER Level below Ref. Volume</t>
  </si>
  <si>
    <t>PLC.SFTPLC.CAUSE_WATERTK_VOL_BELOW_90PCT</t>
  </si>
  <si>
    <t>Main Fire Engines not in REMOTE</t>
  </si>
  <si>
    <t>Gantry Permissive Off</t>
  </si>
  <si>
    <t>Air Compressor ID</t>
  </si>
  <si>
    <t>AIR COMPRESSOR FAULT STATUS</t>
  </si>
  <si>
    <t>LRC ID</t>
  </si>
  <si>
    <t>LRC SWITCHOVER 30 DAYS STATUS</t>
  </si>
  <si>
    <t>LRC Switch Over</t>
  </si>
  <si>
    <t>CLIENT.LRC1.HSB_COMMS_FAIL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</si>
  <si>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</si>
  <si>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</si>
  <si>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</si>
  <si>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</si>
  <si>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</si>
  <si>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</si>
  <si>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</si>
  <si>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</si>
  <si>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</si>
  <si>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</si>
  <si>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</si>
  <si>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</si>
  <si>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</si>
  <si>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</si>
  <si>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PressureTransmitter.PT-02.PRESSURE</t>
  </si>
  <si>
    <t>PressureTransmitter.PT-01.PRESSURE</t>
  </si>
  <si>
    <t>PLC.TASPLC.TOV_ON_SCREEN</t>
  </si>
  <si>
    <t>PLC.SFTPLC.CAUSE_ANY_MAIN_FWP_IN_REMOTE_MANUAL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</si>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</sst>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color theme="1"/>
      <name val="Arial"/>
    </font>
    <font>
      <sz val="11.0"/>
      <color rgb="FF000000"/>
      <name val="Calibri"/>
    </font>
    <font>
      <b/>
      <color theme="1"/>
      <name val="Arial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92D050"/>
        <bgColor rgb="FF92D050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4" fontId="5" numFmtId="0" xfId="0" applyAlignment="1" applyBorder="1" applyFill="1" applyFont="1">
      <alignment shrinkToFit="0" vertical="bottom" wrapText="1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vertical="top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shrinkToFit="0" vertical="bottom" wrapText="0"/>
    </xf>
    <xf borderId="1" fillId="3" fontId="2" numFmtId="0" xfId="0" applyAlignment="1" applyBorder="1" applyFont="1">
      <alignment horizontal="center"/>
    </xf>
    <xf borderId="1" fillId="0" fontId="5" numFmtId="0" xfId="0" applyAlignment="1" applyBorder="1" applyFont="1">
      <alignment shrinkToFit="0" vertical="top" wrapText="1"/>
    </xf>
    <xf borderId="1" fillId="4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/>
    </xf>
    <xf borderId="0" fillId="0" fontId="2" numFmtId="0" xfId="0" applyFont="1"/>
    <xf borderId="1" fillId="0" fontId="5" numFmtId="0" xfId="0" applyBorder="1" applyFont="1"/>
    <xf borderId="1" fillId="5" fontId="5" numFmtId="0" xfId="0" applyAlignment="1" applyBorder="1" applyFill="1" applyFont="1">
      <alignment vertical="top"/>
    </xf>
    <xf borderId="2" fillId="3" fontId="2" numFmtId="0" xfId="0" applyBorder="1" applyFont="1"/>
    <xf borderId="3" fillId="3" fontId="2" numFmtId="0" xfId="0" applyBorder="1" applyFont="1"/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3" numFmtId="0" xfId="0" applyBorder="1" applyFont="1"/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 readingOrder="0"/>
    </xf>
    <xf borderId="1" fillId="0" fontId="5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1" fillId="6" fontId="2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4" fontId="5" numFmtId="0" xfId="0" applyAlignment="1" applyBorder="1" applyFont="1">
      <alignment readingOrder="0" shrinkToFit="0" vertical="bottom" wrapText="1"/>
    </xf>
    <xf borderId="0" fillId="0" fontId="5" numFmtId="0" xfId="0" applyFont="1"/>
    <xf borderId="0" fillId="0" fontId="5" numFmtId="0" xfId="0" applyAlignment="1" applyFont="1">
      <alignment readingOrder="0"/>
    </xf>
    <xf borderId="4" fillId="0" fontId="4" numFmtId="0" xfId="0" applyAlignment="1" applyBorder="1" applyFont="1">
      <alignment horizontal="left" vertical="center"/>
    </xf>
    <xf borderId="0" fillId="0" fontId="5" numFmtId="0" xfId="0" applyFont="1"/>
    <xf borderId="1" fillId="7" fontId="9" numFmtId="0" xfId="0" applyBorder="1" applyFill="1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3" fillId="5" fontId="5" numFmtId="0" xfId="0" applyBorder="1" applyFont="1"/>
    <xf borderId="3" fillId="5" fontId="5" numFmtId="0" xfId="0" applyAlignment="1" applyBorder="1" applyFont="1">
      <alignment horizontal="center" readingOrder="0"/>
    </xf>
    <xf borderId="4" fillId="0" fontId="5" numFmtId="0" xfId="0" applyBorder="1" applyFont="1"/>
    <xf borderId="5" fillId="4" fontId="5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vertical="bottom"/>
    </xf>
    <xf borderId="1" fillId="0" fontId="5" numFmtId="0" xfId="0" applyBorder="1" applyFont="1"/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5" fontId="5" numFmtId="0" xfId="0" applyBorder="1" applyFont="1"/>
    <xf borderId="1" fillId="8" fontId="5" numFmtId="0" xfId="0" applyBorder="1" applyFill="1" applyFont="1"/>
    <xf borderId="1" fillId="3" fontId="4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center" vertical="top"/>
    </xf>
    <xf borderId="1" fillId="0" fontId="10" numFmtId="0" xfId="0" applyAlignment="1" applyBorder="1" applyFont="1">
      <alignment horizontal="left" vertical="top"/>
    </xf>
    <xf borderId="0" fillId="0" fontId="1" numFmtId="0" xfId="0" applyFont="1"/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15.75"/>
    <col customWidth="1" min="4" max="4" width="9.38"/>
    <col customWidth="1" min="5" max="5" width="11.5"/>
    <col customWidth="1" min="6" max="6" width="9.75"/>
    <col customWidth="1" min="7" max="7" width="33.88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8.0"/>
    <col customWidth="1" min="16" max="16" width="14.0"/>
    <col customWidth="1" min="17" max="17" width="20.0"/>
    <col customWidth="1" min="18" max="18" width="14.0"/>
    <col customWidth="1" min="19" max="19" width="11.5"/>
    <col customWidth="1" min="20" max="20" width="13.88"/>
    <col customWidth="1" min="21" max="21" width="24.63"/>
    <col customWidth="1" min="22" max="22" width="14.0"/>
    <col customWidth="1" min="23" max="23" width="11.5"/>
    <col customWidth="1" min="24" max="24" width="13.88"/>
    <col customWidth="1" min="25" max="25" width="15.88"/>
    <col customWidth="1" min="26" max="26" width="14.0"/>
    <col customWidth="1" min="27" max="27" width="11.5"/>
    <col customWidth="1" min="28" max="28" width="13.88"/>
    <col customWidth="1" min="29" max="29" width="25.25"/>
    <col customWidth="1" min="30" max="30" width="14.0"/>
    <col customWidth="1" min="31" max="31" width="11.5"/>
    <col customWidth="1" min="32" max="32" width="13.88"/>
    <col customWidth="1" min="33" max="33" width="28.63"/>
    <col customWidth="1" min="34" max="34" width="14.0"/>
    <col customWidth="1" min="35" max="35" width="11.5"/>
    <col customWidth="1" min="36" max="36" width="13.88"/>
    <col customWidth="1" min="37" max="37" width="19.5"/>
    <col customWidth="1" min="38" max="38" width="14.0"/>
    <col customWidth="1" min="39" max="39" width="11.5"/>
    <col customWidth="1" min="40" max="40" width="13.88"/>
    <col customWidth="1" min="41" max="41" width="18.88"/>
    <col customWidth="1" min="42" max="42" width="14.0"/>
    <col customWidth="1" min="43" max="43" width="11.5"/>
    <col customWidth="1" min="44" max="44" width="13.88"/>
    <col customWidth="1" min="45" max="45" width="37.5"/>
    <col customWidth="1" min="46" max="46" width="14.0"/>
    <col customWidth="1" min="47" max="47" width="11.5"/>
    <col customWidth="1" min="48" max="48" width="13.88"/>
    <col customWidth="1" min="49" max="49" width="24.5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3.88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14.0"/>
    <col customWidth="1" min="63" max="63" width="11.5"/>
    <col customWidth="1" min="64" max="64" width="13.88"/>
    <col customWidth="1" min="65" max="65" width="25.88"/>
    <col customWidth="1" min="66" max="66" width="14.0"/>
    <col customWidth="1" min="67" max="67" width="11.5"/>
    <col customWidth="1" min="68" max="68" width="13.88"/>
    <col customWidth="1" min="69" max="69" width="22.5"/>
    <col customWidth="1" min="70" max="70" width="14.0"/>
    <col customWidth="1" min="71" max="71" width="11.5"/>
    <col customWidth="1" min="72" max="72" width="13.88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3.88"/>
    <col customWidth="1" min="81" max="81" width="17.0"/>
    <col customWidth="1" min="82" max="82" width="14.0"/>
    <col customWidth="1" min="83" max="83" width="11.5"/>
    <col customWidth="1" min="84" max="84" width="13.88"/>
    <col customWidth="1" min="85" max="85" width="17.0"/>
    <col customWidth="1" min="86" max="86" width="14.0"/>
    <col customWidth="1" min="87" max="87" width="11.5"/>
    <col customWidth="1" min="88" max="88" width="13.88"/>
    <col customWidth="1" min="89" max="89" width="17.0"/>
    <col customWidth="1" min="90" max="90" width="14.0"/>
    <col customWidth="1" min="91" max="91" width="11.5"/>
    <col customWidth="1" min="92" max="92" width="13.88"/>
    <col customWidth="1" min="93" max="93" width="18.13"/>
    <col customWidth="1" min="94" max="94" width="14.0"/>
    <col customWidth="1" min="95" max="95" width="11.5"/>
    <col customWidth="1" min="96" max="96" width="13.88"/>
    <col customWidth="1" min="97" max="97" width="21.75"/>
    <col customWidth="1" min="98" max="98" width="14.0"/>
    <col customWidth="1" min="99" max="99" width="11.5"/>
    <col customWidth="1" min="100" max="100" width="13.88"/>
    <col customWidth="1" min="101" max="101" width="23.13"/>
    <col customWidth="1" min="102" max="102" width="14.0"/>
    <col customWidth="1" min="103" max="103" width="11.5"/>
    <col customWidth="1" min="104" max="104" width="13.88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7</v>
      </c>
      <c r="O1" s="3" t="s">
        <v>12</v>
      </c>
      <c r="P1" s="4" t="s">
        <v>7</v>
      </c>
      <c r="Q1" s="2" t="s">
        <v>13</v>
      </c>
      <c r="R1" s="2" t="s">
        <v>14</v>
      </c>
      <c r="S1" s="2" t="s">
        <v>9</v>
      </c>
      <c r="T1" s="2" t="s">
        <v>10</v>
      </c>
      <c r="U1" s="2" t="s">
        <v>15</v>
      </c>
      <c r="V1" s="2" t="s">
        <v>14</v>
      </c>
      <c r="W1" s="2" t="s">
        <v>9</v>
      </c>
      <c r="X1" s="2" t="s">
        <v>10</v>
      </c>
      <c r="Y1" s="2" t="s">
        <v>16</v>
      </c>
      <c r="Z1" s="2" t="s">
        <v>14</v>
      </c>
      <c r="AA1" s="2" t="s">
        <v>9</v>
      </c>
      <c r="AB1" s="2" t="s">
        <v>10</v>
      </c>
      <c r="AC1" s="2" t="s">
        <v>17</v>
      </c>
      <c r="AD1" s="2" t="s">
        <v>14</v>
      </c>
      <c r="AE1" s="2" t="s">
        <v>9</v>
      </c>
      <c r="AF1" s="2" t="s">
        <v>10</v>
      </c>
      <c r="AG1" s="2" t="s">
        <v>18</v>
      </c>
      <c r="AH1" s="2" t="s">
        <v>14</v>
      </c>
      <c r="AI1" s="2" t="s">
        <v>9</v>
      </c>
      <c r="AJ1" s="2" t="s">
        <v>10</v>
      </c>
      <c r="AK1" s="2" t="s">
        <v>19</v>
      </c>
      <c r="AL1" s="2" t="s">
        <v>14</v>
      </c>
      <c r="AM1" s="2" t="s">
        <v>9</v>
      </c>
      <c r="AN1" s="2" t="s">
        <v>10</v>
      </c>
      <c r="AO1" s="2" t="s">
        <v>20</v>
      </c>
      <c r="AP1" s="2" t="s">
        <v>14</v>
      </c>
      <c r="AQ1" s="2" t="s">
        <v>9</v>
      </c>
      <c r="AR1" s="2" t="s">
        <v>10</v>
      </c>
      <c r="AS1" s="2" t="s">
        <v>21</v>
      </c>
      <c r="AT1" s="2" t="s">
        <v>14</v>
      </c>
      <c r="AU1" s="2" t="s">
        <v>9</v>
      </c>
      <c r="AV1" s="2" t="s">
        <v>10</v>
      </c>
      <c r="AW1" s="2" t="s">
        <v>22</v>
      </c>
      <c r="AX1" s="2" t="s">
        <v>7</v>
      </c>
      <c r="AY1" s="2" t="s">
        <v>9</v>
      </c>
      <c r="AZ1" s="2" t="s">
        <v>10</v>
      </c>
      <c r="BA1" s="2" t="s">
        <v>23</v>
      </c>
      <c r="BB1" s="2" t="s">
        <v>14</v>
      </c>
      <c r="BC1" s="2" t="s">
        <v>9</v>
      </c>
      <c r="BD1" s="2" t="s">
        <v>10</v>
      </c>
      <c r="BE1" s="2" t="s">
        <v>24</v>
      </c>
      <c r="BF1" s="2" t="s">
        <v>7</v>
      </c>
      <c r="BG1" s="2" t="s">
        <v>9</v>
      </c>
      <c r="BH1" s="2" t="s">
        <v>10</v>
      </c>
      <c r="BI1" s="2" t="s">
        <v>25</v>
      </c>
      <c r="BJ1" s="2" t="s">
        <v>7</v>
      </c>
      <c r="BK1" s="2" t="s">
        <v>9</v>
      </c>
      <c r="BL1" s="2" t="s">
        <v>10</v>
      </c>
      <c r="BM1" s="2" t="s">
        <v>26</v>
      </c>
      <c r="BN1" s="2" t="s">
        <v>7</v>
      </c>
      <c r="BO1" s="2" t="s">
        <v>9</v>
      </c>
      <c r="BP1" s="2" t="s">
        <v>10</v>
      </c>
      <c r="BQ1" s="2" t="s">
        <v>27</v>
      </c>
      <c r="BR1" s="2" t="s">
        <v>7</v>
      </c>
      <c r="BS1" s="2" t="s">
        <v>9</v>
      </c>
      <c r="BT1" s="2" t="s">
        <v>10</v>
      </c>
      <c r="BU1" s="2" t="s">
        <v>28</v>
      </c>
      <c r="BV1" s="2" t="s">
        <v>7</v>
      </c>
      <c r="BW1" s="2" t="s">
        <v>9</v>
      </c>
      <c r="BX1" s="2" t="s">
        <v>10</v>
      </c>
      <c r="BY1" s="2" t="s">
        <v>29</v>
      </c>
      <c r="BZ1" s="2" t="s">
        <v>7</v>
      </c>
      <c r="CA1" s="2" t="s">
        <v>9</v>
      </c>
      <c r="CB1" s="2" t="s">
        <v>10</v>
      </c>
      <c r="CC1" s="2" t="s">
        <v>30</v>
      </c>
      <c r="CD1" s="2" t="s">
        <v>14</v>
      </c>
      <c r="CE1" s="2" t="s">
        <v>9</v>
      </c>
      <c r="CF1" s="2" t="s">
        <v>10</v>
      </c>
      <c r="CG1" s="2" t="s">
        <v>31</v>
      </c>
      <c r="CH1" s="2" t="s">
        <v>14</v>
      </c>
      <c r="CI1" s="2" t="s">
        <v>9</v>
      </c>
      <c r="CJ1" s="2" t="s">
        <v>10</v>
      </c>
      <c r="CK1" s="2" t="s">
        <v>32</v>
      </c>
      <c r="CL1" s="2" t="s">
        <v>14</v>
      </c>
      <c r="CM1" s="2" t="s">
        <v>9</v>
      </c>
      <c r="CN1" s="2" t="s">
        <v>10</v>
      </c>
      <c r="CO1" s="2" t="s">
        <v>33</v>
      </c>
      <c r="CP1" s="2" t="s">
        <v>14</v>
      </c>
      <c r="CQ1" s="2" t="s">
        <v>9</v>
      </c>
      <c r="CR1" s="2" t="s">
        <v>10</v>
      </c>
      <c r="CS1" s="2" t="s">
        <v>34</v>
      </c>
      <c r="CT1" s="2" t="s">
        <v>14</v>
      </c>
      <c r="CU1" s="2" t="s">
        <v>9</v>
      </c>
      <c r="CV1" s="2" t="s">
        <v>10</v>
      </c>
      <c r="CW1" s="2" t="s">
        <v>35</v>
      </c>
      <c r="CX1" s="2" t="s">
        <v>14</v>
      </c>
      <c r="CY1" s="2" t="s">
        <v>9</v>
      </c>
      <c r="CZ1" s="2" t="s">
        <v>10</v>
      </c>
    </row>
    <row r="2" ht="15.75" customHeight="1">
      <c r="A2" s="5">
        <v>1856.0</v>
      </c>
      <c r="B2" s="6" t="s">
        <v>36</v>
      </c>
      <c r="C2" s="7" t="str">
        <f t="shared" ref="C2:C26" si="1">CONCATENATE(D2,"_",F2)</f>
        <v>TK-01_ATF</v>
      </c>
      <c r="D2" s="8" t="s">
        <v>37</v>
      </c>
      <c r="E2" s="9" t="s">
        <v>38</v>
      </c>
      <c r="F2" s="8" t="s">
        <v>39</v>
      </c>
      <c r="G2" s="10" t="s">
        <v>40</v>
      </c>
      <c r="H2" s="11">
        <v>0.0</v>
      </c>
      <c r="I2" s="12" t="s">
        <v>41</v>
      </c>
      <c r="J2" s="7"/>
      <c r="K2" s="13" t="str">
        <f t="shared" ref="K2:K26" si="2">mid(I2,6,5)</f>
        <v>TK-01</v>
      </c>
      <c r="L2" s="14" t="s">
        <v>42</v>
      </c>
      <c r="M2" s="7"/>
      <c r="N2" s="7"/>
      <c r="O2" s="12" t="s">
        <v>43</v>
      </c>
      <c r="P2" s="15">
        <v>0.0</v>
      </c>
      <c r="Q2" s="12" t="s">
        <v>44</v>
      </c>
      <c r="R2" s="15">
        <v>0.0</v>
      </c>
      <c r="S2" s="13" t="str">
        <f t="shared" ref="S2:S26" si="3">mid(Q2,6,5)</f>
        <v>TK-01</v>
      </c>
      <c r="T2" s="14" t="s">
        <v>42</v>
      </c>
      <c r="U2" s="12" t="s">
        <v>45</v>
      </c>
      <c r="V2" s="15">
        <v>0.0</v>
      </c>
      <c r="W2" s="13" t="str">
        <f t="shared" ref="W2:W26" si="4">mid(U2,6,5)</f>
        <v>TK-01</v>
      </c>
      <c r="X2" s="14" t="s">
        <v>42</v>
      </c>
      <c r="Y2" s="12" t="s">
        <v>46</v>
      </c>
      <c r="Z2" s="15">
        <v>0.0</v>
      </c>
      <c r="AA2" s="13" t="str">
        <f t="shared" ref="AA2:AA7" si="5">mid(Y2,13,6)</f>
        <v>LSW-01</v>
      </c>
      <c r="AB2" s="14" t="s">
        <v>47</v>
      </c>
      <c r="AC2" s="12" t="s">
        <v>48</v>
      </c>
      <c r="AD2" s="15">
        <v>0.0</v>
      </c>
      <c r="AE2" s="13" t="str">
        <f t="shared" ref="AE2:AE24" si="6">mid(AC2,13,6)</f>
        <v>LSW-01</v>
      </c>
      <c r="AF2" s="14" t="s">
        <v>47</v>
      </c>
      <c r="AG2" s="12" t="s">
        <v>49</v>
      </c>
      <c r="AH2" s="15">
        <v>0.0</v>
      </c>
      <c r="AI2" s="13" t="str">
        <f t="shared" ref="AI2:AI24" si="7">mid(AG2,13,6)</f>
        <v>LSW-01</v>
      </c>
      <c r="AJ2" s="14" t="s">
        <v>47</v>
      </c>
      <c r="AK2" s="12" t="s">
        <v>50</v>
      </c>
      <c r="AL2" s="15">
        <v>0.0</v>
      </c>
      <c r="AM2" s="13" t="str">
        <f t="shared" ref="AM2:AM24" si="8">mid(AK2,13,6)</f>
        <v>RDR-01</v>
      </c>
      <c r="AN2" s="16" t="s">
        <v>51</v>
      </c>
      <c r="AO2" s="12" t="s">
        <v>52</v>
      </c>
      <c r="AP2" s="15">
        <v>0.0</v>
      </c>
      <c r="AQ2" s="13" t="str">
        <f t="shared" ref="AQ2:AQ24" si="9">mid(AO2,13,6)</f>
        <v>RDR-01</v>
      </c>
      <c r="AR2" s="16" t="s">
        <v>51</v>
      </c>
      <c r="AS2" s="12" t="s">
        <v>53</v>
      </c>
      <c r="AT2" s="15">
        <v>0.0</v>
      </c>
      <c r="AU2" s="13" t="str">
        <f t="shared" ref="AU2:AU24" si="10">mid(AS2,13,6)</f>
        <v>RDR-01</v>
      </c>
      <c r="AV2" s="16" t="s">
        <v>51</v>
      </c>
      <c r="AW2" s="12" t="s">
        <v>54</v>
      </c>
      <c r="AX2" s="15">
        <v>0.0</v>
      </c>
      <c r="AY2" s="13" t="str">
        <f t="shared" ref="AY2:AY24" si="11">MID(AW2,5,8)</f>
        <v>ROSOV-01</v>
      </c>
      <c r="AZ2" s="16" t="s">
        <v>55</v>
      </c>
      <c r="BA2" s="12" t="s">
        <v>56</v>
      </c>
      <c r="BB2" s="15">
        <v>0.0</v>
      </c>
      <c r="BC2" s="13" t="str">
        <f t="shared" ref="BC2:BC24" si="12">MID(BA2,5,8)</f>
        <v>ROSOV-01</v>
      </c>
      <c r="BD2" s="14" t="s">
        <v>57</v>
      </c>
      <c r="BE2" s="7"/>
      <c r="BF2" s="7"/>
      <c r="BG2" s="7"/>
      <c r="BH2" s="17"/>
      <c r="BI2" s="17"/>
      <c r="BJ2" s="17"/>
      <c r="BK2" s="7"/>
      <c r="BL2" s="17"/>
      <c r="BM2" s="12" t="s">
        <v>58</v>
      </c>
      <c r="BN2" s="15">
        <v>0.0</v>
      </c>
      <c r="BO2" s="13" t="str">
        <f t="shared" ref="BO2:BO24" si="13">MID(BM2,5,8)</f>
        <v>ROSOV-02</v>
      </c>
      <c r="BP2" s="16" t="s">
        <v>59</v>
      </c>
      <c r="BQ2" s="12" t="s">
        <v>60</v>
      </c>
      <c r="BR2" s="15">
        <v>0.0</v>
      </c>
      <c r="BS2" s="13" t="str">
        <f t="shared" ref="BS2:BS24" si="14">MID(BQ2,5,8)</f>
        <v>ROSOV-02</v>
      </c>
      <c r="BT2" s="16" t="s">
        <v>61</v>
      </c>
      <c r="BU2" s="17"/>
      <c r="BV2" s="17"/>
      <c r="BW2" s="17"/>
      <c r="BX2" s="17"/>
      <c r="BY2" s="7"/>
      <c r="BZ2" s="17"/>
      <c r="CA2" s="17"/>
      <c r="CB2" s="7"/>
      <c r="CC2" s="18" t="s">
        <v>62</v>
      </c>
      <c r="CD2" s="15">
        <v>0.0</v>
      </c>
      <c r="CE2" s="13" t="str">
        <f t="shared" ref="CE2:CE24" si="15">MID(CC2,5,7)</f>
        <v>MOV-001</v>
      </c>
      <c r="CF2" s="16" t="s">
        <v>63</v>
      </c>
      <c r="CG2" s="7"/>
      <c r="CH2" s="17"/>
      <c r="CI2" s="7"/>
      <c r="CJ2" s="7"/>
      <c r="CK2" s="18" t="s">
        <v>64</v>
      </c>
      <c r="CL2" s="15">
        <v>0.0</v>
      </c>
      <c r="CM2" s="13" t="str">
        <f t="shared" ref="CM2:CM26" si="16">MID(CK2,5,7)</f>
        <v>MOV-002</v>
      </c>
      <c r="CN2" s="16" t="s">
        <v>65</v>
      </c>
      <c r="CO2" s="7"/>
      <c r="CP2" s="17"/>
      <c r="CQ2" s="7"/>
      <c r="CR2" s="7"/>
      <c r="CS2" s="4"/>
      <c r="CT2" s="3"/>
      <c r="CU2" s="4"/>
      <c r="CV2" s="4"/>
      <c r="CW2" s="4"/>
      <c r="CX2" s="3"/>
      <c r="CY2" s="4"/>
      <c r="CZ2" s="4"/>
    </row>
    <row r="3" ht="15.75" customHeight="1">
      <c r="A3" s="5">
        <v>1856.0</v>
      </c>
      <c r="B3" s="6" t="s">
        <v>36</v>
      </c>
      <c r="C3" s="7" t="str">
        <f t="shared" si="1"/>
        <v>TK-02_ATF</v>
      </c>
      <c r="D3" s="19" t="s">
        <v>66</v>
      </c>
      <c r="E3" s="20" t="s">
        <v>38</v>
      </c>
      <c r="F3" s="19" t="s">
        <v>39</v>
      </c>
      <c r="G3" s="10" t="s">
        <v>40</v>
      </c>
      <c r="H3" s="11">
        <v>0.0</v>
      </c>
      <c r="I3" s="12" t="s">
        <v>67</v>
      </c>
      <c r="J3" s="4"/>
      <c r="K3" s="13" t="str">
        <f t="shared" si="2"/>
        <v>TK-02</v>
      </c>
      <c r="L3" s="14" t="s">
        <v>42</v>
      </c>
      <c r="M3" s="4"/>
      <c r="N3" s="4"/>
      <c r="O3" s="12" t="s">
        <v>68</v>
      </c>
      <c r="P3" s="15">
        <v>0.0</v>
      </c>
      <c r="Q3" s="12" t="s">
        <v>69</v>
      </c>
      <c r="R3" s="15">
        <v>0.0</v>
      </c>
      <c r="S3" s="13" t="str">
        <f t="shared" si="3"/>
        <v>TK-02</v>
      </c>
      <c r="T3" s="14" t="s">
        <v>42</v>
      </c>
      <c r="U3" s="12" t="s">
        <v>70</v>
      </c>
      <c r="V3" s="15">
        <v>0.0</v>
      </c>
      <c r="W3" s="13" t="str">
        <f t="shared" si="4"/>
        <v>TK-02</v>
      </c>
      <c r="X3" s="14" t="s">
        <v>42</v>
      </c>
      <c r="Y3" s="12" t="s">
        <v>71</v>
      </c>
      <c r="Z3" s="15">
        <v>0.0</v>
      </c>
      <c r="AA3" s="13" t="str">
        <f t="shared" si="5"/>
        <v>LSW-02</v>
      </c>
      <c r="AB3" s="14" t="s">
        <v>47</v>
      </c>
      <c r="AC3" s="12" t="s">
        <v>72</v>
      </c>
      <c r="AD3" s="15">
        <v>0.0</v>
      </c>
      <c r="AE3" s="13" t="str">
        <f t="shared" si="6"/>
        <v>LSW-02</v>
      </c>
      <c r="AF3" s="14" t="s">
        <v>47</v>
      </c>
      <c r="AG3" s="12" t="s">
        <v>73</v>
      </c>
      <c r="AH3" s="15">
        <v>0.0</v>
      </c>
      <c r="AI3" s="13" t="str">
        <f t="shared" si="7"/>
        <v>LSW-02</v>
      </c>
      <c r="AJ3" s="14" t="s">
        <v>47</v>
      </c>
      <c r="AK3" s="12" t="s">
        <v>74</v>
      </c>
      <c r="AL3" s="15">
        <v>0.0</v>
      </c>
      <c r="AM3" s="13" t="str">
        <f t="shared" si="8"/>
        <v>RDR-02</v>
      </c>
      <c r="AN3" s="16" t="s">
        <v>51</v>
      </c>
      <c r="AO3" s="12" t="s">
        <v>75</v>
      </c>
      <c r="AP3" s="15">
        <v>0.0</v>
      </c>
      <c r="AQ3" s="13" t="str">
        <f t="shared" si="9"/>
        <v>RDR-02</v>
      </c>
      <c r="AR3" s="16" t="s">
        <v>51</v>
      </c>
      <c r="AS3" s="12" t="s">
        <v>76</v>
      </c>
      <c r="AT3" s="15">
        <v>0.0</v>
      </c>
      <c r="AU3" s="13" t="str">
        <f t="shared" si="10"/>
        <v>RDR-02</v>
      </c>
      <c r="AV3" s="16" t="s">
        <v>51</v>
      </c>
      <c r="AW3" s="12" t="s">
        <v>77</v>
      </c>
      <c r="AX3" s="15">
        <v>0.0</v>
      </c>
      <c r="AY3" s="13" t="str">
        <f t="shared" si="11"/>
        <v>ROSOV-03</v>
      </c>
      <c r="AZ3" s="16" t="s">
        <v>55</v>
      </c>
      <c r="BA3" s="12" t="s">
        <v>78</v>
      </c>
      <c r="BB3" s="15">
        <v>0.0</v>
      </c>
      <c r="BC3" s="13" t="str">
        <f t="shared" si="12"/>
        <v>ROSOV-03</v>
      </c>
      <c r="BD3" s="14" t="s">
        <v>57</v>
      </c>
      <c r="BE3" s="4"/>
      <c r="BF3" s="4"/>
      <c r="BG3" s="4"/>
      <c r="BH3" s="4"/>
      <c r="BI3" s="4"/>
      <c r="BJ3" s="4"/>
      <c r="BK3" s="4"/>
      <c r="BL3" s="4"/>
      <c r="BM3" s="12" t="s">
        <v>79</v>
      </c>
      <c r="BN3" s="15">
        <v>0.0</v>
      </c>
      <c r="BO3" s="13" t="str">
        <f t="shared" si="13"/>
        <v>ROSOV-04</v>
      </c>
      <c r="BP3" s="16" t="s">
        <v>59</v>
      </c>
      <c r="BQ3" s="12" t="s">
        <v>80</v>
      </c>
      <c r="BR3" s="15">
        <v>0.0</v>
      </c>
      <c r="BS3" s="13" t="str">
        <f t="shared" si="14"/>
        <v>ROSOV-04</v>
      </c>
      <c r="BT3" s="16" t="s">
        <v>61</v>
      </c>
      <c r="BU3" s="4"/>
      <c r="BV3" s="4"/>
      <c r="BW3" s="4"/>
      <c r="BX3" s="4"/>
      <c r="BY3" s="4"/>
      <c r="BZ3" s="4"/>
      <c r="CA3" s="4"/>
      <c r="CB3" s="4"/>
      <c r="CC3" s="18" t="s">
        <v>81</v>
      </c>
      <c r="CD3" s="15">
        <v>0.0</v>
      </c>
      <c r="CE3" s="13" t="str">
        <f t="shared" si="15"/>
        <v>MOV-003</v>
      </c>
      <c r="CF3" s="16" t="s">
        <v>63</v>
      </c>
      <c r="CG3" s="4"/>
      <c r="CH3" s="4"/>
      <c r="CI3" s="4"/>
      <c r="CJ3" s="4"/>
      <c r="CK3" s="18" t="s">
        <v>82</v>
      </c>
      <c r="CL3" s="15">
        <v>0.0</v>
      </c>
      <c r="CM3" s="13" t="str">
        <f t="shared" si="16"/>
        <v>MOV-004</v>
      </c>
      <c r="CN3" s="16" t="s">
        <v>65</v>
      </c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</row>
    <row r="4" ht="15.75" customHeight="1">
      <c r="A4" s="5">
        <v>1856.0</v>
      </c>
      <c r="B4" s="6" t="s">
        <v>36</v>
      </c>
      <c r="C4" s="7" t="str">
        <f t="shared" si="1"/>
        <v>TK-03_BS VI HSD</v>
      </c>
      <c r="D4" s="19" t="s">
        <v>83</v>
      </c>
      <c r="E4" s="20" t="s">
        <v>38</v>
      </c>
      <c r="F4" s="19" t="s">
        <v>84</v>
      </c>
      <c r="G4" s="10" t="s">
        <v>40</v>
      </c>
      <c r="H4" s="11">
        <v>0.0</v>
      </c>
      <c r="I4" s="12" t="s">
        <v>85</v>
      </c>
      <c r="J4" s="4"/>
      <c r="K4" s="13" t="str">
        <f t="shared" si="2"/>
        <v>TK-03</v>
      </c>
      <c r="L4" s="14" t="s">
        <v>42</v>
      </c>
      <c r="M4" s="4"/>
      <c r="N4" s="4"/>
      <c r="O4" s="12" t="s">
        <v>86</v>
      </c>
      <c r="P4" s="15">
        <v>0.0</v>
      </c>
      <c r="Q4" s="12" t="s">
        <v>87</v>
      </c>
      <c r="R4" s="15">
        <v>0.0</v>
      </c>
      <c r="S4" s="13" t="str">
        <f t="shared" si="3"/>
        <v>TK-03</v>
      </c>
      <c r="T4" s="14" t="s">
        <v>42</v>
      </c>
      <c r="U4" s="12" t="s">
        <v>88</v>
      </c>
      <c r="V4" s="15">
        <v>0.0</v>
      </c>
      <c r="W4" s="13" t="str">
        <f t="shared" si="4"/>
        <v>TK-03</v>
      </c>
      <c r="X4" s="14" t="s">
        <v>42</v>
      </c>
      <c r="Y4" s="12" t="s">
        <v>89</v>
      </c>
      <c r="Z4" s="15">
        <v>0.0</v>
      </c>
      <c r="AA4" s="13" t="str">
        <f t="shared" si="5"/>
        <v>LSW-03</v>
      </c>
      <c r="AB4" s="14" t="s">
        <v>47</v>
      </c>
      <c r="AC4" s="12" t="s">
        <v>90</v>
      </c>
      <c r="AD4" s="15">
        <v>0.0</v>
      </c>
      <c r="AE4" s="13" t="str">
        <f t="shared" si="6"/>
        <v>LSW-03</v>
      </c>
      <c r="AF4" s="14" t="s">
        <v>47</v>
      </c>
      <c r="AG4" s="12" t="s">
        <v>91</v>
      </c>
      <c r="AH4" s="15">
        <v>0.0</v>
      </c>
      <c r="AI4" s="13" t="str">
        <f t="shared" si="7"/>
        <v>LSW-03</v>
      </c>
      <c r="AJ4" s="14" t="s">
        <v>47</v>
      </c>
      <c r="AK4" s="12" t="s">
        <v>92</v>
      </c>
      <c r="AL4" s="15">
        <v>0.0</v>
      </c>
      <c r="AM4" s="13" t="str">
        <f t="shared" si="8"/>
        <v>RDR-03</v>
      </c>
      <c r="AN4" s="16" t="s">
        <v>51</v>
      </c>
      <c r="AO4" s="12" t="s">
        <v>93</v>
      </c>
      <c r="AP4" s="15">
        <v>0.0</v>
      </c>
      <c r="AQ4" s="13" t="str">
        <f t="shared" si="9"/>
        <v>RDR-03</v>
      </c>
      <c r="AR4" s="16" t="s">
        <v>51</v>
      </c>
      <c r="AS4" s="12" t="s">
        <v>94</v>
      </c>
      <c r="AT4" s="15">
        <v>0.0</v>
      </c>
      <c r="AU4" s="13" t="str">
        <f t="shared" si="10"/>
        <v>RDR-03</v>
      </c>
      <c r="AV4" s="16" t="s">
        <v>51</v>
      </c>
      <c r="AW4" s="12" t="s">
        <v>95</v>
      </c>
      <c r="AX4" s="15">
        <v>0.0</v>
      </c>
      <c r="AY4" s="13" t="str">
        <f t="shared" si="11"/>
        <v>ROSOV-05</v>
      </c>
      <c r="AZ4" s="16" t="s">
        <v>55</v>
      </c>
      <c r="BA4" s="12" t="s">
        <v>96</v>
      </c>
      <c r="BB4" s="15">
        <v>0.0</v>
      </c>
      <c r="BC4" s="13" t="str">
        <f t="shared" si="12"/>
        <v>ROSOV-05</v>
      </c>
      <c r="BD4" s="14" t="s">
        <v>57</v>
      </c>
      <c r="BE4" s="4"/>
      <c r="BF4" s="4"/>
      <c r="BG4" s="4"/>
      <c r="BH4" s="4"/>
      <c r="BI4" s="4"/>
      <c r="BJ4" s="4"/>
      <c r="BK4" s="4"/>
      <c r="BL4" s="4"/>
      <c r="BM4" s="12" t="s">
        <v>97</v>
      </c>
      <c r="BN4" s="15">
        <v>0.0</v>
      </c>
      <c r="BO4" s="13" t="str">
        <f t="shared" si="13"/>
        <v>ROSOV-06</v>
      </c>
      <c r="BP4" s="16" t="s">
        <v>59</v>
      </c>
      <c r="BQ4" s="12" t="s">
        <v>98</v>
      </c>
      <c r="BR4" s="15">
        <v>0.0</v>
      </c>
      <c r="BS4" s="13" t="str">
        <f t="shared" si="14"/>
        <v>ROSOV-06</v>
      </c>
      <c r="BT4" s="16" t="s">
        <v>61</v>
      </c>
      <c r="BU4" s="4"/>
      <c r="BV4" s="4"/>
      <c r="BW4" s="4"/>
      <c r="BX4" s="4"/>
      <c r="BY4" s="4"/>
      <c r="BZ4" s="4"/>
      <c r="CA4" s="4"/>
      <c r="CB4" s="4"/>
      <c r="CC4" s="18" t="s">
        <v>99</v>
      </c>
      <c r="CD4" s="15">
        <v>0.0</v>
      </c>
      <c r="CE4" s="13" t="str">
        <f t="shared" si="15"/>
        <v>MOV-005</v>
      </c>
      <c r="CF4" s="16" t="s">
        <v>63</v>
      </c>
      <c r="CG4" s="4"/>
      <c r="CH4" s="4"/>
      <c r="CI4" s="4"/>
      <c r="CJ4" s="4"/>
      <c r="CK4" s="18" t="s">
        <v>100</v>
      </c>
      <c r="CL4" s="15">
        <v>0.0</v>
      </c>
      <c r="CM4" s="13" t="str">
        <f t="shared" si="16"/>
        <v>MOV-006</v>
      </c>
      <c r="CN4" s="16" t="s">
        <v>65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</row>
    <row r="5" ht="15.75" customHeight="1">
      <c r="A5" s="5">
        <v>1856.0</v>
      </c>
      <c r="B5" s="6" t="s">
        <v>36</v>
      </c>
      <c r="C5" s="7" t="str">
        <f t="shared" si="1"/>
        <v>TK-04_BS VI MS</v>
      </c>
      <c r="D5" s="19" t="s">
        <v>101</v>
      </c>
      <c r="E5" s="20" t="s">
        <v>38</v>
      </c>
      <c r="F5" s="19" t="s">
        <v>102</v>
      </c>
      <c r="G5" s="10" t="s">
        <v>40</v>
      </c>
      <c r="H5" s="11">
        <v>0.0</v>
      </c>
      <c r="I5" s="12" t="s">
        <v>103</v>
      </c>
      <c r="J5" s="4"/>
      <c r="K5" s="13" t="str">
        <f t="shared" si="2"/>
        <v>TK-04</v>
      </c>
      <c r="L5" s="14" t="s">
        <v>42</v>
      </c>
      <c r="M5" s="4"/>
      <c r="N5" s="4"/>
      <c r="O5" s="12" t="s">
        <v>104</v>
      </c>
      <c r="P5" s="15">
        <v>0.0</v>
      </c>
      <c r="Q5" s="12" t="s">
        <v>105</v>
      </c>
      <c r="R5" s="15">
        <v>0.0</v>
      </c>
      <c r="S5" s="13" t="str">
        <f t="shared" si="3"/>
        <v>TK-04</v>
      </c>
      <c r="T5" s="14" t="s">
        <v>42</v>
      </c>
      <c r="U5" s="12" t="s">
        <v>106</v>
      </c>
      <c r="V5" s="15">
        <v>0.0</v>
      </c>
      <c r="W5" s="13" t="str">
        <f t="shared" si="4"/>
        <v>TK-04</v>
      </c>
      <c r="X5" s="14" t="s">
        <v>42</v>
      </c>
      <c r="Y5" s="12" t="s">
        <v>107</v>
      </c>
      <c r="Z5" s="15">
        <v>0.0</v>
      </c>
      <c r="AA5" s="13" t="str">
        <f t="shared" si="5"/>
        <v>LSW-04</v>
      </c>
      <c r="AB5" s="14" t="s">
        <v>47</v>
      </c>
      <c r="AC5" s="12" t="s">
        <v>108</v>
      </c>
      <c r="AD5" s="15">
        <v>0.0</v>
      </c>
      <c r="AE5" s="13" t="str">
        <f t="shared" si="6"/>
        <v>LSW-04</v>
      </c>
      <c r="AF5" s="14" t="s">
        <v>47</v>
      </c>
      <c r="AG5" s="12" t="s">
        <v>109</v>
      </c>
      <c r="AH5" s="15">
        <v>0.0</v>
      </c>
      <c r="AI5" s="13" t="str">
        <f t="shared" si="7"/>
        <v>LSW-04</v>
      </c>
      <c r="AJ5" s="14" t="s">
        <v>47</v>
      </c>
      <c r="AK5" s="12" t="s">
        <v>110</v>
      </c>
      <c r="AL5" s="15">
        <v>0.0</v>
      </c>
      <c r="AM5" s="13" t="str">
        <f t="shared" si="8"/>
        <v>RDR-04</v>
      </c>
      <c r="AN5" s="16" t="s">
        <v>51</v>
      </c>
      <c r="AO5" s="12" t="s">
        <v>111</v>
      </c>
      <c r="AP5" s="15">
        <v>0.0</v>
      </c>
      <c r="AQ5" s="13" t="str">
        <f t="shared" si="9"/>
        <v>RDR-04</v>
      </c>
      <c r="AR5" s="16" t="s">
        <v>51</v>
      </c>
      <c r="AS5" s="12" t="s">
        <v>112</v>
      </c>
      <c r="AT5" s="15">
        <v>0.0</v>
      </c>
      <c r="AU5" s="13" t="str">
        <f t="shared" si="10"/>
        <v>RDR-04</v>
      </c>
      <c r="AV5" s="16" t="s">
        <v>51</v>
      </c>
      <c r="AW5" s="12" t="s">
        <v>113</v>
      </c>
      <c r="AX5" s="15">
        <v>0.0</v>
      </c>
      <c r="AY5" s="13" t="str">
        <f t="shared" si="11"/>
        <v>ROSOV-07</v>
      </c>
      <c r="AZ5" s="16" t="s">
        <v>55</v>
      </c>
      <c r="BA5" s="12" t="s">
        <v>114</v>
      </c>
      <c r="BB5" s="15">
        <v>0.0</v>
      </c>
      <c r="BC5" s="13" t="str">
        <f t="shared" si="12"/>
        <v>ROSOV-07</v>
      </c>
      <c r="BD5" s="14" t="s">
        <v>57</v>
      </c>
      <c r="BE5" s="4"/>
      <c r="BF5" s="4"/>
      <c r="BG5" s="4"/>
      <c r="BH5" s="4"/>
      <c r="BI5" s="4"/>
      <c r="BJ5" s="4"/>
      <c r="BK5" s="4"/>
      <c r="BL5" s="4"/>
      <c r="BM5" s="12" t="s">
        <v>115</v>
      </c>
      <c r="BN5" s="15">
        <v>0.0</v>
      </c>
      <c r="BO5" s="13" t="str">
        <f t="shared" si="13"/>
        <v>ROSOV-08</v>
      </c>
      <c r="BP5" s="16" t="s">
        <v>59</v>
      </c>
      <c r="BQ5" s="12" t="s">
        <v>116</v>
      </c>
      <c r="BR5" s="15">
        <v>0.0</v>
      </c>
      <c r="BS5" s="13" t="str">
        <f t="shared" si="14"/>
        <v>ROSOV-08</v>
      </c>
      <c r="BT5" s="16" t="s">
        <v>61</v>
      </c>
      <c r="BU5" s="4"/>
      <c r="BV5" s="4"/>
      <c r="BW5" s="4"/>
      <c r="BX5" s="4"/>
      <c r="BY5" s="4"/>
      <c r="BZ5" s="4"/>
      <c r="CA5" s="4"/>
      <c r="CB5" s="4"/>
      <c r="CC5" s="18" t="s">
        <v>117</v>
      </c>
      <c r="CD5" s="15">
        <v>0.0</v>
      </c>
      <c r="CE5" s="13" t="str">
        <f t="shared" si="15"/>
        <v>MOV-007</v>
      </c>
      <c r="CF5" s="16" t="s">
        <v>63</v>
      </c>
      <c r="CG5" s="4"/>
      <c r="CH5" s="4"/>
      <c r="CI5" s="4"/>
      <c r="CJ5" s="4"/>
      <c r="CK5" s="18" t="s">
        <v>118</v>
      </c>
      <c r="CL5" s="15">
        <v>0.0</v>
      </c>
      <c r="CM5" s="13" t="str">
        <f t="shared" si="16"/>
        <v>MOV-008</v>
      </c>
      <c r="CN5" s="16" t="s">
        <v>65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</row>
    <row r="6" ht="15.75" customHeight="1">
      <c r="A6" s="5">
        <v>1856.0</v>
      </c>
      <c r="B6" s="6" t="s">
        <v>36</v>
      </c>
      <c r="C6" s="7" t="str">
        <f t="shared" si="1"/>
        <v>TK-05_BS VI MS</v>
      </c>
      <c r="D6" s="19" t="s">
        <v>119</v>
      </c>
      <c r="E6" s="20" t="s">
        <v>38</v>
      </c>
      <c r="F6" s="19" t="s">
        <v>102</v>
      </c>
      <c r="G6" s="10" t="s">
        <v>40</v>
      </c>
      <c r="H6" s="11">
        <v>0.0</v>
      </c>
      <c r="I6" s="12" t="s">
        <v>120</v>
      </c>
      <c r="J6" s="4"/>
      <c r="K6" s="13" t="str">
        <f t="shared" si="2"/>
        <v>TK-05</v>
      </c>
      <c r="L6" s="14" t="s">
        <v>42</v>
      </c>
      <c r="M6" s="4"/>
      <c r="N6" s="4"/>
      <c r="O6" s="12" t="s">
        <v>121</v>
      </c>
      <c r="P6" s="15">
        <v>0.0</v>
      </c>
      <c r="Q6" s="12" t="s">
        <v>122</v>
      </c>
      <c r="R6" s="15">
        <v>0.0</v>
      </c>
      <c r="S6" s="13" t="str">
        <f t="shared" si="3"/>
        <v>TK-05</v>
      </c>
      <c r="T6" s="14" t="s">
        <v>42</v>
      </c>
      <c r="U6" s="12" t="s">
        <v>123</v>
      </c>
      <c r="V6" s="15">
        <v>0.0</v>
      </c>
      <c r="W6" s="13" t="str">
        <f t="shared" si="4"/>
        <v>TK-05</v>
      </c>
      <c r="X6" s="14" t="s">
        <v>42</v>
      </c>
      <c r="Y6" s="12" t="s">
        <v>124</v>
      </c>
      <c r="Z6" s="15">
        <v>0.0</v>
      </c>
      <c r="AA6" s="13" t="str">
        <f t="shared" si="5"/>
        <v>LSW-05</v>
      </c>
      <c r="AB6" s="14" t="s">
        <v>47</v>
      </c>
      <c r="AC6" s="12" t="s">
        <v>125</v>
      </c>
      <c r="AD6" s="15">
        <v>0.0</v>
      </c>
      <c r="AE6" s="13" t="str">
        <f t="shared" si="6"/>
        <v>LSW-05</v>
      </c>
      <c r="AF6" s="14" t="s">
        <v>47</v>
      </c>
      <c r="AG6" s="12" t="s">
        <v>126</v>
      </c>
      <c r="AH6" s="15">
        <v>0.0</v>
      </c>
      <c r="AI6" s="13" t="str">
        <f t="shared" si="7"/>
        <v>LSW-05</v>
      </c>
      <c r="AJ6" s="14" t="s">
        <v>47</v>
      </c>
      <c r="AK6" s="12" t="s">
        <v>127</v>
      </c>
      <c r="AL6" s="15">
        <v>0.0</v>
      </c>
      <c r="AM6" s="13" t="str">
        <f t="shared" si="8"/>
        <v>RDR-05</v>
      </c>
      <c r="AN6" s="16" t="s">
        <v>51</v>
      </c>
      <c r="AO6" s="12" t="s">
        <v>128</v>
      </c>
      <c r="AP6" s="15">
        <v>0.0</v>
      </c>
      <c r="AQ6" s="13" t="str">
        <f t="shared" si="9"/>
        <v>RDR-05</v>
      </c>
      <c r="AR6" s="16" t="s">
        <v>51</v>
      </c>
      <c r="AS6" s="12" t="s">
        <v>129</v>
      </c>
      <c r="AT6" s="15">
        <v>0.0</v>
      </c>
      <c r="AU6" s="13" t="str">
        <f t="shared" si="10"/>
        <v>RDR-05</v>
      </c>
      <c r="AV6" s="16" t="s">
        <v>51</v>
      </c>
      <c r="AW6" s="12" t="s">
        <v>130</v>
      </c>
      <c r="AX6" s="15">
        <v>0.0</v>
      </c>
      <c r="AY6" s="13" t="str">
        <f t="shared" si="11"/>
        <v>ROSOV-09</v>
      </c>
      <c r="AZ6" s="16" t="s">
        <v>55</v>
      </c>
      <c r="BA6" s="12" t="s">
        <v>131</v>
      </c>
      <c r="BB6" s="15">
        <v>0.0</v>
      </c>
      <c r="BC6" s="13" t="str">
        <f t="shared" si="12"/>
        <v>ROSOV-09</v>
      </c>
      <c r="BD6" s="14" t="s">
        <v>57</v>
      </c>
      <c r="BE6" s="4"/>
      <c r="BF6" s="4"/>
      <c r="BG6" s="4"/>
      <c r="BH6" s="4"/>
      <c r="BI6" s="4"/>
      <c r="BJ6" s="4"/>
      <c r="BK6" s="4"/>
      <c r="BL6" s="4"/>
      <c r="BM6" s="12" t="s">
        <v>132</v>
      </c>
      <c r="BN6" s="15">
        <v>0.0</v>
      </c>
      <c r="BO6" s="13" t="str">
        <f t="shared" si="13"/>
        <v>ROSOV-10</v>
      </c>
      <c r="BP6" s="16" t="s">
        <v>59</v>
      </c>
      <c r="BQ6" s="12" t="s">
        <v>133</v>
      </c>
      <c r="BR6" s="15">
        <v>0.0</v>
      </c>
      <c r="BS6" s="13" t="str">
        <f t="shared" si="14"/>
        <v>ROSOV-10</v>
      </c>
      <c r="BT6" s="16" t="s">
        <v>61</v>
      </c>
      <c r="BU6" s="4"/>
      <c r="BV6" s="4"/>
      <c r="BW6" s="4"/>
      <c r="BX6" s="4"/>
      <c r="BY6" s="4"/>
      <c r="BZ6" s="4"/>
      <c r="CA6" s="4"/>
      <c r="CB6" s="4"/>
      <c r="CC6" s="18" t="s">
        <v>134</v>
      </c>
      <c r="CD6" s="15">
        <v>0.0</v>
      </c>
      <c r="CE6" s="13" t="str">
        <f t="shared" si="15"/>
        <v>MOV-009</v>
      </c>
      <c r="CF6" s="16" t="s">
        <v>63</v>
      </c>
      <c r="CG6" s="4"/>
      <c r="CH6" s="4"/>
      <c r="CI6" s="4"/>
      <c r="CJ6" s="4"/>
      <c r="CK6" s="18" t="s">
        <v>135</v>
      </c>
      <c r="CL6" s="15">
        <v>0.0</v>
      </c>
      <c r="CM6" s="13" t="str">
        <f t="shared" si="16"/>
        <v>MOV-010</v>
      </c>
      <c r="CN6" s="16" t="s">
        <v>65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</row>
    <row r="7" ht="15.75" customHeight="1">
      <c r="A7" s="5">
        <v>1856.0</v>
      </c>
      <c r="B7" s="6" t="s">
        <v>36</v>
      </c>
      <c r="C7" s="7" t="str">
        <f t="shared" si="1"/>
        <v>TK-06_ETHANOL</v>
      </c>
      <c r="D7" s="19" t="s">
        <v>136</v>
      </c>
      <c r="E7" s="20" t="s">
        <v>38</v>
      </c>
      <c r="F7" s="19" t="s">
        <v>137</v>
      </c>
      <c r="G7" s="10" t="s">
        <v>40</v>
      </c>
      <c r="H7" s="11">
        <v>0.0</v>
      </c>
      <c r="I7" s="12" t="s">
        <v>138</v>
      </c>
      <c r="J7" s="4"/>
      <c r="K7" s="13" t="str">
        <f t="shared" si="2"/>
        <v>TK-06</v>
      </c>
      <c r="L7" s="14" t="s">
        <v>42</v>
      </c>
      <c r="M7" s="4"/>
      <c r="N7" s="4"/>
      <c r="O7" s="12" t="s">
        <v>139</v>
      </c>
      <c r="P7" s="15">
        <v>0.0</v>
      </c>
      <c r="Q7" s="12" t="s">
        <v>140</v>
      </c>
      <c r="R7" s="15">
        <v>0.0</v>
      </c>
      <c r="S7" s="13" t="str">
        <f t="shared" si="3"/>
        <v>TK-06</v>
      </c>
      <c r="T7" s="14" t="s">
        <v>42</v>
      </c>
      <c r="U7" s="12" t="s">
        <v>141</v>
      </c>
      <c r="V7" s="15">
        <v>0.0</v>
      </c>
      <c r="W7" s="13" t="str">
        <f t="shared" si="4"/>
        <v>TK-06</v>
      </c>
      <c r="X7" s="14" t="s">
        <v>42</v>
      </c>
      <c r="Y7" s="12" t="s">
        <v>142</v>
      </c>
      <c r="Z7" s="15">
        <v>0.0</v>
      </c>
      <c r="AA7" s="13" t="str">
        <f t="shared" si="5"/>
        <v>LSW-06</v>
      </c>
      <c r="AB7" s="14" t="s">
        <v>47</v>
      </c>
      <c r="AC7" s="12" t="s">
        <v>143</v>
      </c>
      <c r="AD7" s="15">
        <v>0.0</v>
      </c>
      <c r="AE7" s="13" t="str">
        <f t="shared" si="6"/>
        <v>LSW-06</v>
      </c>
      <c r="AF7" s="14" t="s">
        <v>47</v>
      </c>
      <c r="AG7" s="12" t="s">
        <v>144</v>
      </c>
      <c r="AH7" s="15">
        <v>0.0</v>
      </c>
      <c r="AI7" s="13" t="str">
        <f t="shared" si="7"/>
        <v>LSW-06</v>
      </c>
      <c r="AJ7" s="14" t="s">
        <v>47</v>
      </c>
      <c r="AK7" s="12" t="s">
        <v>145</v>
      </c>
      <c r="AL7" s="15">
        <v>0.0</v>
      </c>
      <c r="AM7" s="13" t="str">
        <f t="shared" si="8"/>
        <v>RDR-06</v>
      </c>
      <c r="AN7" s="16" t="s">
        <v>51</v>
      </c>
      <c r="AO7" s="12" t="s">
        <v>146</v>
      </c>
      <c r="AP7" s="15">
        <v>0.0</v>
      </c>
      <c r="AQ7" s="13" t="str">
        <f t="shared" si="9"/>
        <v>RDR-06</v>
      </c>
      <c r="AR7" s="16" t="s">
        <v>51</v>
      </c>
      <c r="AS7" s="12" t="s">
        <v>147</v>
      </c>
      <c r="AT7" s="15">
        <v>0.0</v>
      </c>
      <c r="AU7" s="13" t="str">
        <f t="shared" si="10"/>
        <v>RDR-06</v>
      </c>
      <c r="AV7" s="16" t="s">
        <v>51</v>
      </c>
      <c r="AW7" s="12" t="s">
        <v>148</v>
      </c>
      <c r="AX7" s="15">
        <v>0.0</v>
      </c>
      <c r="AY7" s="13" t="str">
        <f t="shared" si="11"/>
        <v>ROSOV-11</v>
      </c>
      <c r="AZ7" s="16" t="s">
        <v>55</v>
      </c>
      <c r="BA7" s="12" t="s">
        <v>149</v>
      </c>
      <c r="BB7" s="15">
        <v>0.0</v>
      </c>
      <c r="BC7" s="13" t="str">
        <f t="shared" si="12"/>
        <v>ROSOV-11</v>
      </c>
      <c r="BD7" s="14" t="s">
        <v>57</v>
      </c>
      <c r="BE7" s="4"/>
      <c r="BF7" s="4"/>
      <c r="BG7" s="4"/>
      <c r="BH7" s="4"/>
      <c r="BI7" s="4"/>
      <c r="BJ7" s="4"/>
      <c r="BK7" s="4"/>
      <c r="BL7" s="4"/>
      <c r="BM7" s="12" t="s">
        <v>150</v>
      </c>
      <c r="BN7" s="15">
        <v>0.0</v>
      </c>
      <c r="BO7" s="13" t="str">
        <f t="shared" si="13"/>
        <v>ROSOV-12</v>
      </c>
      <c r="BP7" s="16" t="s">
        <v>59</v>
      </c>
      <c r="BQ7" s="12" t="s">
        <v>151</v>
      </c>
      <c r="BR7" s="15">
        <v>0.0</v>
      </c>
      <c r="BS7" s="13" t="str">
        <f t="shared" si="14"/>
        <v>ROSOV-12</v>
      </c>
      <c r="BT7" s="16" t="s">
        <v>61</v>
      </c>
      <c r="BU7" s="4"/>
      <c r="BV7" s="4"/>
      <c r="BW7" s="4"/>
      <c r="BX7" s="4"/>
      <c r="BY7" s="4"/>
      <c r="BZ7" s="4"/>
      <c r="CA7" s="4"/>
      <c r="CB7" s="4"/>
      <c r="CC7" s="18" t="s">
        <v>152</v>
      </c>
      <c r="CD7" s="15">
        <v>0.0</v>
      </c>
      <c r="CE7" s="13" t="str">
        <f t="shared" si="15"/>
        <v>MOV-011</v>
      </c>
      <c r="CF7" s="16" t="s">
        <v>63</v>
      </c>
      <c r="CG7" s="4"/>
      <c r="CH7" s="4"/>
      <c r="CI7" s="4"/>
      <c r="CJ7" s="4"/>
      <c r="CK7" s="18" t="s">
        <v>153</v>
      </c>
      <c r="CL7" s="15">
        <v>0.0</v>
      </c>
      <c r="CM7" s="13" t="str">
        <f t="shared" si="16"/>
        <v>MOV-012</v>
      </c>
      <c r="CN7" s="16" t="s">
        <v>65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</row>
    <row r="8" ht="15.75" customHeight="1">
      <c r="A8" s="5">
        <v>1856.0</v>
      </c>
      <c r="B8" s="6" t="s">
        <v>36</v>
      </c>
      <c r="C8" s="7" t="str">
        <f t="shared" si="1"/>
        <v>TK-07_ETHANOL</v>
      </c>
      <c r="D8" s="19" t="s">
        <v>154</v>
      </c>
      <c r="E8" s="20" t="s">
        <v>155</v>
      </c>
      <c r="F8" s="19" t="s">
        <v>137</v>
      </c>
      <c r="G8" s="10" t="s">
        <v>40</v>
      </c>
      <c r="H8" s="11">
        <v>0.0</v>
      </c>
      <c r="I8" s="12" t="s">
        <v>156</v>
      </c>
      <c r="J8" s="4"/>
      <c r="K8" s="13" t="str">
        <f t="shared" si="2"/>
        <v>TK-07</v>
      </c>
      <c r="L8" s="14" t="s">
        <v>42</v>
      </c>
      <c r="M8" s="4"/>
      <c r="N8" s="4"/>
      <c r="O8" s="12" t="s">
        <v>157</v>
      </c>
      <c r="P8" s="15">
        <v>0.0</v>
      </c>
      <c r="Q8" s="12" t="s">
        <v>158</v>
      </c>
      <c r="R8" s="15">
        <v>0.0</v>
      </c>
      <c r="S8" s="13" t="str">
        <f t="shared" si="3"/>
        <v>TK-07</v>
      </c>
      <c r="T8" s="14" t="s">
        <v>42</v>
      </c>
      <c r="U8" s="12" t="s">
        <v>159</v>
      </c>
      <c r="V8" s="15">
        <v>0.0</v>
      </c>
      <c r="W8" s="13" t="str">
        <f t="shared" si="4"/>
        <v>TK-07</v>
      </c>
      <c r="X8" s="14" t="s">
        <v>42</v>
      </c>
      <c r="Y8" s="22"/>
      <c r="Z8" s="12"/>
      <c r="AA8" s="4"/>
      <c r="AB8" s="4"/>
      <c r="AC8" s="22"/>
      <c r="AD8" s="12"/>
      <c r="AE8" s="13" t="str">
        <f t="shared" si="6"/>
        <v/>
      </c>
      <c r="AF8" s="4"/>
      <c r="AG8" s="22"/>
      <c r="AH8" s="12"/>
      <c r="AI8" s="13" t="str">
        <f t="shared" si="7"/>
        <v/>
      </c>
      <c r="AJ8" s="4"/>
      <c r="AK8" s="22"/>
      <c r="AL8" s="12"/>
      <c r="AM8" s="13" t="str">
        <f t="shared" si="8"/>
        <v/>
      </c>
      <c r="AN8" s="4"/>
      <c r="AO8" s="22"/>
      <c r="AP8" s="12"/>
      <c r="AQ8" s="13" t="str">
        <f t="shared" si="9"/>
        <v/>
      </c>
      <c r="AR8" s="4"/>
      <c r="AS8" s="22"/>
      <c r="AT8" s="12"/>
      <c r="AU8" s="13" t="str">
        <f t="shared" si="10"/>
        <v/>
      </c>
      <c r="AV8" s="4"/>
      <c r="AW8" s="22"/>
      <c r="AX8" s="22"/>
      <c r="AY8" s="13" t="str">
        <f t="shared" si="11"/>
        <v/>
      </c>
      <c r="AZ8" s="4"/>
      <c r="BA8" s="22"/>
      <c r="BB8" s="22"/>
      <c r="BC8" s="13" t="str">
        <f t="shared" si="12"/>
        <v/>
      </c>
      <c r="BD8" s="4"/>
      <c r="BE8" s="4"/>
      <c r="BF8" s="4"/>
      <c r="BG8" s="4"/>
      <c r="BH8" s="4"/>
      <c r="BI8" s="4"/>
      <c r="BJ8" s="4"/>
      <c r="BK8" s="4"/>
      <c r="BL8" s="4"/>
      <c r="BM8" s="22"/>
      <c r="BN8" s="22"/>
      <c r="BO8" s="13" t="str">
        <f t="shared" si="13"/>
        <v/>
      </c>
      <c r="BP8" s="4"/>
      <c r="BQ8" s="22"/>
      <c r="BR8" s="22"/>
      <c r="BS8" s="13" t="str">
        <f t="shared" si="14"/>
        <v/>
      </c>
      <c r="BT8" s="4"/>
      <c r="BU8" s="4"/>
      <c r="BV8" s="4"/>
      <c r="BW8" s="4"/>
      <c r="BX8" s="4"/>
      <c r="BY8" s="4"/>
      <c r="BZ8" s="4"/>
      <c r="CA8" s="4"/>
      <c r="CB8" s="4"/>
      <c r="CC8" s="22"/>
      <c r="CD8" s="22"/>
      <c r="CE8" s="13" t="str">
        <f t="shared" si="15"/>
        <v/>
      </c>
      <c r="CF8" s="4"/>
      <c r="CG8" s="4"/>
      <c r="CH8" s="4"/>
      <c r="CI8" s="4"/>
      <c r="CJ8" s="4"/>
      <c r="CK8" s="22"/>
      <c r="CL8" s="22"/>
      <c r="CM8" s="13" t="str">
        <f t="shared" si="16"/>
        <v/>
      </c>
      <c r="CN8" s="4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</row>
    <row r="9" ht="15.75" customHeight="1">
      <c r="A9" s="5">
        <v>1856.0</v>
      </c>
      <c r="B9" s="6" t="s">
        <v>36</v>
      </c>
      <c r="C9" s="7" t="str">
        <f t="shared" si="1"/>
        <v>TK-08_ETHANOL</v>
      </c>
      <c r="D9" s="19" t="s">
        <v>160</v>
      </c>
      <c r="E9" s="20" t="s">
        <v>155</v>
      </c>
      <c r="F9" s="19" t="s">
        <v>137</v>
      </c>
      <c r="G9" s="10" t="s">
        <v>40</v>
      </c>
      <c r="H9" s="11">
        <v>0.0</v>
      </c>
      <c r="I9" s="12" t="s">
        <v>161</v>
      </c>
      <c r="J9" s="4"/>
      <c r="K9" s="13" t="str">
        <f t="shared" si="2"/>
        <v>TK-08</v>
      </c>
      <c r="L9" s="14" t="s">
        <v>42</v>
      </c>
      <c r="M9" s="4"/>
      <c r="N9" s="4"/>
      <c r="O9" s="12" t="s">
        <v>162</v>
      </c>
      <c r="P9" s="15">
        <v>0.0</v>
      </c>
      <c r="Q9" s="12" t="s">
        <v>163</v>
      </c>
      <c r="R9" s="15">
        <v>0.0</v>
      </c>
      <c r="S9" s="13" t="str">
        <f t="shared" si="3"/>
        <v>TK-08</v>
      </c>
      <c r="T9" s="14" t="s">
        <v>42</v>
      </c>
      <c r="U9" s="12" t="s">
        <v>164</v>
      </c>
      <c r="V9" s="15">
        <v>0.0</v>
      </c>
      <c r="W9" s="13" t="str">
        <f t="shared" si="4"/>
        <v>TK-08</v>
      </c>
      <c r="X9" s="14" t="s">
        <v>42</v>
      </c>
      <c r="Y9" s="22"/>
      <c r="Z9" s="12"/>
      <c r="AA9" s="4"/>
      <c r="AB9" s="4"/>
      <c r="AC9" s="22"/>
      <c r="AD9" s="12"/>
      <c r="AE9" s="13" t="str">
        <f t="shared" si="6"/>
        <v/>
      </c>
      <c r="AF9" s="4"/>
      <c r="AG9" s="22"/>
      <c r="AH9" s="12"/>
      <c r="AI9" s="13" t="str">
        <f t="shared" si="7"/>
        <v/>
      </c>
      <c r="AJ9" s="4"/>
      <c r="AK9" s="22"/>
      <c r="AL9" s="12"/>
      <c r="AM9" s="13" t="str">
        <f t="shared" si="8"/>
        <v/>
      </c>
      <c r="AN9" s="4"/>
      <c r="AO9" s="22"/>
      <c r="AP9" s="12"/>
      <c r="AQ9" s="13" t="str">
        <f t="shared" si="9"/>
        <v/>
      </c>
      <c r="AR9" s="4"/>
      <c r="AS9" s="22"/>
      <c r="AT9" s="12"/>
      <c r="AU9" s="13" t="str">
        <f t="shared" si="10"/>
        <v/>
      </c>
      <c r="AV9" s="4"/>
      <c r="AW9" s="22"/>
      <c r="AX9" s="22"/>
      <c r="AY9" s="13" t="str">
        <f t="shared" si="11"/>
        <v/>
      </c>
      <c r="AZ9" s="4"/>
      <c r="BA9" s="22"/>
      <c r="BB9" s="22"/>
      <c r="BC9" s="13" t="str">
        <f t="shared" si="12"/>
        <v/>
      </c>
      <c r="BD9" s="4"/>
      <c r="BE9" s="4"/>
      <c r="BF9" s="4"/>
      <c r="BG9" s="4"/>
      <c r="BH9" s="4"/>
      <c r="BI9" s="4"/>
      <c r="BJ9" s="4"/>
      <c r="BK9" s="4"/>
      <c r="BL9" s="4"/>
      <c r="BM9" s="22"/>
      <c r="BN9" s="22"/>
      <c r="BO9" s="13" t="str">
        <f t="shared" si="13"/>
        <v/>
      </c>
      <c r="BP9" s="4"/>
      <c r="BQ9" s="22"/>
      <c r="BR9" s="22"/>
      <c r="BS9" s="13" t="str">
        <f t="shared" si="14"/>
        <v/>
      </c>
      <c r="BT9" s="4"/>
      <c r="BU9" s="4"/>
      <c r="BV9" s="4"/>
      <c r="BW9" s="4"/>
      <c r="BX9" s="4"/>
      <c r="BY9" s="4"/>
      <c r="BZ9" s="4"/>
      <c r="CA9" s="4"/>
      <c r="CB9" s="4"/>
      <c r="CC9" s="22"/>
      <c r="CD9" s="22"/>
      <c r="CE9" s="13" t="str">
        <f t="shared" si="15"/>
        <v/>
      </c>
      <c r="CF9" s="4"/>
      <c r="CG9" s="4"/>
      <c r="CH9" s="4"/>
      <c r="CI9" s="4"/>
      <c r="CJ9" s="4"/>
      <c r="CK9" s="22"/>
      <c r="CL9" s="22"/>
      <c r="CM9" s="13" t="str">
        <f t="shared" si="16"/>
        <v/>
      </c>
      <c r="CN9" s="4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</row>
    <row r="10" ht="15.75" customHeight="1">
      <c r="A10" s="5">
        <v>1856.0</v>
      </c>
      <c r="B10" s="6" t="s">
        <v>36</v>
      </c>
      <c r="C10" s="7" t="str">
        <f t="shared" si="1"/>
        <v>TK-09_BS VI HSD</v>
      </c>
      <c r="D10" s="19" t="s">
        <v>165</v>
      </c>
      <c r="E10" s="20" t="s">
        <v>155</v>
      </c>
      <c r="F10" s="19" t="s">
        <v>84</v>
      </c>
      <c r="G10" s="10" t="s">
        <v>40</v>
      </c>
      <c r="H10" s="11">
        <v>0.0</v>
      </c>
      <c r="I10" s="12" t="s">
        <v>166</v>
      </c>
      <c r="J10" s="4"/>
      <c r="K10" s="13" t="str">
        <f t="shared" si="2"/>
        <v>TK-09</v>
      </c>
      <c r="L10" s="14" t="s">
        <v>42</v>
      </c>
      <c r="M10" s="4"/>
      <c r="N10" s="4"/>
      <c r="O10" s="12" t="s">
        <v>167</v>
      </c>
      <c r="P10" s="15">
        <v>0.0</v>
      </c>
      <c r="Q10" s="12" t="s">
        <v>168</v>
      </c>
      <c r="R10" s="15">
        <v>0.0</v>
      </c>
      <c r="S10" s="13" t="str">
        <f t="shared" si="3"/>
        <v>TK-09</v>
      </c>
      <c r="T10" s="14" t="s">
        <v>42</v>
      </c>
      <c r="U10" s="12" t="s">
        <v>169</v>
      </c>
      <c r="V10" s="15">
        <v>0.0</v>
      </c>
      <c r="W10" s="13" t="str">
        <f t="shared" si="4"/>
        <v>TK-09</v>
      </c>
      <c r="X10" s="14" t="s">
        <v>42</v>
      </c>
      <c r="Y10" s="22"/>
      <c r="Z10" s="12"/>
      <c r="AA10" s="4"/>
      <c r="AB10" s="4"/>
      <c r="AC10" s="22"/>
      <c r="AD10" s="12"/>
      <c r="AE10" s="13" t="str">
        <f t="shared" si="6"/>
        <v/>
      </c>
      <c r="AF10" s="4"/>
      <c r="AG10" s="22"/>
      <c r="AH10" s="12"/>
      <c r="AI10" s="13" t="str">
        <f t="shared" si="7"/>
        <v/>
      </c>
      <c r="AJ10" s="4"/>
      <c r="AK10" s="22"/>
      <c r="AL10" s="12"/>
      <c r="AM10" s="13" t="str">
        <f t="shared" si="8"/>
        <v/>
      </c>
      <c r="AN10" s="4"/>
      <c r="AO10" s="22"/>
      <c r="AP10" s="12"/>
      <c r="AQ10" s="13" t="str">
        <f t="shared" si="9"/>
        <v/>
      </c>
      <c r="AR10" s="4"/>
      <c r="AS10" s="22"/>
      <c r="AT10" s="12"/>
      <c r="AU10" s="13" t="str">
        <f t="shared" si="10"/>
        <v/>
      </c>
      <c r="AV10" s="4"/>
      <c r="AW10" s="22"/>
      <c r="AX10" s="22"/>
      <c r="AY10" s="13" t="str">
        <f t="shared" si="11"/>
        <v/>
      </c>
      <c r="AZ10" s="4"/>
      <c r="BA10" s="22"/>
      <c r="BB10" s="22"/>
      <c r="BC10" s="13" t="str">
        <f t="shared" si="12"/>
        <v/>
      </c>
      <c r="BD10" s="4"/>
      <c r="BE10" s="4"/>
      <c r="BF10" s="4"/>
      <c r="BG10" s="4"/>
      <c r="BH10" s="4"/>
      <c r="BI10" s="4"/>
      <c r="BJ10" s="4"/>
      <c r="BK10" s="4"/>
      <c r="BL10" s="4"/>
      <c r="BM10" s="22"/>
      <c r="BN10" s="22"/>
      <c r="BO10" s="13" t="str">
        <f t="shared" si="13"/>
        <v/>
      </c>
      <c r="BP10" s="4"/>
      <c r="BQ10" s="22"/>
      <c r="BR10" s="22"/>
      <c r="BS10" s="13" t="str">
        <f t="shared" si="14"/>
        <v/>
      </c>
      <c r="BT10" s="4"/>
      <c r="BU10" s="4"/>
      <c r="BV10" s="4"/>
      <c r="BW10" s="4"/>
      <c r="BX10" s="4"/>
      <c r="BY10" s="4"/>
      <c r="BZ10" s="4"/>
      <c r="CA10" s="4"/>
      <c r="CB10" s="4"/>
      <c r="CC10" s="22"/>
      <c r="CD10" s="22"/>
      <c r="CE10" s="13" t="str">
        <f t="shared" si="15"/>
        <v/>
      </c>
      <c r="CF10" s="4"/>
      <c r="CG10" s="4"/>
      <c r="CH10" s="4"/>
      <c r="CI10" s="4"/>
      <c r="CJ10" s="4"/>
      <c r="CK10" s="22"/>
      <c r="CL10" s="22"/>
      <c r="CM10" s="13" t="str">
        <f t="shared" si="16"/>
        <v/>
      </c>
      <c r="CN10" s="4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</row>
    <row r="11" ht="15.75" customHeight="1">
      <c r="A11" s="5">
        <v>1856.0</v>
      </c>
      <c r="B11" s="6" t="s">
        <v>36</v>
      </c>
      <c r="C11" s="7" t="str">
        <f t="shared" si="1"/>
        <v>TK-10_WATER</v>
      </c>
      <c r="D11" s="19" t="s">
        <v>170</v>
      </c>
      <c r="E11" s="20" t="s">
        <v>38</v>
      </c>
      <c r="F11" s="19" t="s">
        <v>171</v>
      </c>
      <c r="G11" s="10" t="s">
        <v>40</v>
      </c>
      <c r="H11" s="11">
        <v>0.0</v>
      </c>
      <c r="I11" s="12" t="s">
        <v>172</v>
      </c>
      <c r="J11" s="4"/>
      <c r="K11" s="13" t="str">
        <f t="shared" si="2"/>
        <v>TK-10</v>
      </c>
      <c r="L11" s="14" t="s">
        <v>42</v>
      </c>
      <c r="M11" s="4"/>
      <c r="N11" s="4"/>
      <c r="O11" s="12" t="s">
        <v>173</v>
      </c>
      <c r="P11" s="15">
        <v>0.0</v>
      </c>
      <c r="Q11" s="12" t="s">
        <v>174</v>
      </c>
      <c r="R11" s="15">
        <v>0.0</v>
      </c>
      <c r="S11" s="13" t="str">
        <f t="shared" si="3"/>
        <v>TK-10</v>
      </c>
      <c r="T11" s="14" t="s">
        <v>42</v>
      </c>
      <c r="U11" s="12" t="s">
        <v>175</v>
      </c>
      <c r="V11" s="15">
        <v>0.0</v>
      </c>
      <c r="W11" s="13" t="str">
        <f t="shared" si="4"/>
        <v>TK-10</v>
      </c>
      <c r="X11" s="14" t="s">
        <v>42</v>
      </c>
      <c r="Y11" s="22"/>
      <c r="Z11" s="12"/>
      <c r="AA11" s="4"/>
      <c r="AB11" s="4"/>
      <c r="AC11" s="22"/>
      <c r="AD11" s="12"/>
      <c r="AE11" s="13" t="str">
        <f t="shared" si="6"/>
        <v/>
      </c>
      <c r="AF11" s="4"/>
      <c r="AG11" s="22"/>
      <c r="AH11" s="12"/>
      <c r="AI11" s="13" t="str">
        <f t="shared" si="7"/>
        <v/>
      </c>
      <c r="AJ11" s="4"/>
      <c r="AK11" s="22"/>
      <c r="AL11" s="12"/>
      <c r="AM11" s="13" t="str">
        <f t="shared" si="8"/>
        <v/>
      </c>
      <c r="AN11" s="4"/>
      <c r="AO11" s="22"/>
      <c r="AP11" s="12"/>
      <c r="AQ11" s="13" t="str">
        <f t="shared" si="9"/>
        <v/>
      </c>
      <c r="AR11" s="4"/>
      <c r="AS11" s="22"/>
      <c r="AT11" s="12"/>
      <c r="AU11" s="13" t="str">
        <f t="shared" si="10"/>
        <v/>
      </c>
      <c r="AV11" s="4"/>
      <c r="AW11" s="22"/>
      <c r="AX11" s="22"/>
      <c r="AY11" s="13" t="str">
        <f t="shared" si="11"/>
        <v/>
      </c>
      <c r="AZ11" s="4"/>
      <c r="BA11" s="22"/>
      <c r="BB11" s="22"/>
      <c r="BC11" s="13" t="str">
        <f t="shared" si="12"/>
        <v/>
      </c>
      <c r="BD11" s="4"/>
      <c r="BE11" s="4"/>
      <c r="BF11" s="4"/>
      <c r="BG11" s="4"/>
      <c r="BH11" s="4"/>
      <c r="BI11" s="4"/>
      <c r="BJ11" s="4"/>
      <c r="BK11" s="4"/>
      <c r="BL11" s="4"/>
      <c r="BM11" s="22"/>
      <c r="BN11" s="22"/>
      <c r="BO11" s="13" t="str">
        <f t="shared" si="13"/>
        <v/>
      </c>
      <c r="BP11" s="4"/>
      <c r="BQ11" s="22"/>
      <c r="BR11" s="22"/>
      <c r="BS11" s="13" t="str">
        <f t="shared" si="14"/>
        <v/>
      </c>
      <c r="BT11" s="4"/>
      <c r="BU11" s="4"/>
      <c r="BV11" s="4"/>
      <c r="BW11" s="4"/>
      <c r="BX11" s="4"/>
      <c r="BY11" s="4"/>
      <c r="BZ11" s="4"/>
      <c r="CA11" s="4"/>
      <c r="CB11" s="4"/>
      <c r="CC11" s="22"/>
      <c r="CD11" s="22"/>
      <c r="CE11" s="13" t="str">
        <f t="shared" si="15"/>
        <v/>
      </c>
      <c r="CF11" s="4"/>
      <c r="CG11" s="4"/>
      <c r="CH11" s="4"/>
      <c r="CI11" s="4"/>
      <c r="CJ11" s="4"/>
      <c r="CK11" s="22"/>
      <c r="CL11" s="22"/>
      <c r="CM11" s="13" t="str">
        <f t="shared" si="16"/>
        <v/>
      </c>
      <c r="CN11" s="4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</row>
    <row r="12" ht="15.75" customHeight="1">
      <c r="A12" s="5">
        <v>1856.0</v>
      </c>
      <c r="B12" s="6" t="s">
        <v>36</v>
      </c>
      <c r="C12" s="7" t="str">
        <f t="shared" si="1"/>
        <v>TK-11_WATER</v>
      </c>
      <c r="D12" s="19" t="s">
        <v>176</v>
      </c>
      <c r="E12" s="20" t="s">
        <v>38</v>
      </c>
      <c r="F12" s="19" t="s">
        <v>171</v>
      </c>
      <c r="G12" s="10" t="s">
        <v>40</v>
      </c>
      <c r="H12" s="11">
        <v>0.0</v>
      </c>
      <c r="I12" s="12" t="s">
        <v>177</v>
      </c>
      <c r="J12" s="4"/>
      <c r="K12" s="13" t="str">
        <f t="shared" si="2"/>
        <v>TK-11</v>
      </c>
      <c r="L12" s="14" t="s">
        <v>42</v>
      </c>
      <c r="M12" s="4"/>
      <c r="N12" s="4"/>
      <c r="O12" s="12" t="s">
        <v>178</v>
      </c>
      <c r="P12" s="15">
        <v>0.0</v>
      </c>
      <c r="Q12" s="12" t="s">
        <v>179</v>
      </c>
      <c r="R12" s="15">
        <v>0.0</v>
      </c>
      <c r="S12" s="13" t="str">
        <f t="shared" si="3"/>
        <v>TK-11</v>
      </c>
      <c r="T12" s="14" t="s">
        <v>42</v>
      </c>
      <c r="U12" s="12" t="s">
        <v>180</v>
      </c>
      <c r="V12" s="15">
        <v>0.0</v>
      </c>
      <c r="W12" s="13" t="str">
        <f t="shared" si="4"/>
        <v>TK-11</v>
      </c>
      <c r="X12" s="14" t="s">
        <v>42</v>
      </c>
      <c r="Y12" s="22"/>
      <c r="Z12" s="12"/>
      <c r="AA12" s="4"/>
      <c r="AB12" s="4"/>
      <c r="AC12" s="22"/>
      <c r="AD12" s="12"/>
      <c r="AE12" s="13" t="str">
        <f t="shared" si="6"/>
        <v/>
      </c>
      <c r="AF12" s="4"/>
      <c r="AG12" s="22"/>
      <c r="AH12" s="12"/>
      <c r="AI12" s="13" t="str">
        <f t="shared" si="7"/>
        <v/>
      </c>
      <c r="AJ12" s="4"/>
      <c r="AK12" s="22"/>
      <c r="AL12" s="12"/>
      <c r="AM12" s="13" t="str">
        <f t="shared" si="8"/>
        <v/>
      </c>
      <c r="AN12" s="4"/>
      <c r="AO12" s="22"/>
      <c r="AP12" s="12"/>
      <c r="AQ12" s="13" t="str">
        <f t="shared" si="9"/>
        <v/>
      </c>
      <c r="AR12" s="4"/>
      <c r="AS12" s="22"/>
      <c r="AT12" s="12"/>
      <c r="AU12" s="13" t="str">
        <f t="shared" si="10"/>
        <v/>
      </c>
      <c r="AV12" s="4"/>
      <c r="AW12" s="22"/>
      <c r="AX12" s="22"/>
      <c r="AY12" s="13" t="str">
        <f t="shared" si="11"/>
        <v/>
      </c>
      <c r="AZ12" s="4"/>
      <c r="BA12" s="22"/>
      <c r="BB12" s="22"/>
      <c r="BC12" s="13" t="str">
        <f t="shared" si="12"/>
        <v/>
      </c>
      <c r="BD12" s="4"/>
      <c r="BE12" s="4"/>
      <c r="BF12" s="4"/>
      <c r="BG12" s="4"/>
      <c r="BH12" s="4"/>
      <c r="BI12" s="4"/>
      <c r="BJ12" s="4"/>
      <c r="BK12" s="4"/>
      <c r="BL12" s="4"/>
      <c r="BM12" s="22"/>
      <c r="BN12" s="22"/>
      <c r="BO12" s="13" t="str">
        <f t="shared" si="13"/>
        <v/>
      </c>
      <c r="BP12" s="4"/>
      <c r="BQ12" s="22"/>
      <c r="BR12" s="22"/>
      <c r="BS12" s="13" t="str">
        <f t="shared" si="14"/>
        <v/>
      </c>
      <c r="BT12" s="4"/>
      <c r="BU12" s="4"/>
      <c r="BV12" s="4"/>
      <c r="BW12" s="4"/>
      <c r="BX12" s="4"/>
      <c r="BY12" s="4"/>
      <c r="BZ12" s="4"/>
      <c r="CA12" s="4"/>
      <c r="CB12" s="4"/>
      <c r="CC12" s="22"/>
      <c r="CD12" s="22"/>
      <c r="CE12" s="13" t="str">
        <f t="shared" si="15"/>
        <v/>
      </c>
      <c r="CF12" s="4"/>
      <c r="CG12" s="4"/>
      <c r="CH12" s="4"/>
      <c r="CI12" s="4"/>
      <c r="CJ12" s="4"/>
      <c r="CK12" s="22"/>
      <c r="CL12" s="22"/>
      <c r="CM12" s="13" t="str">
        <f t="shared" si="16"/>
        <v/>
      </c>
      <c r="CN12" s="4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</row>
    <row r="13" ht="15.75" customHeight="1">
      <c r="A13" s="5">
        <v>1856.0</v>
      </c>
      <c r="B13" s="6" t="s">
        <v>36</v>
      </c>
      <c r="C13" s="7" t="str">
        <f t="shared" si="1"/>
        <v>TK-12_BS VI MS</v>
      </c>
      <c r="D13" s="19" t="s">
        <v>181</v>
      </c>
      <c r="E13" s="20" t="s">
        <v>38</v>
      </c>
      <c r="F13" s="19" t="s">
        <v>102</v>
      </c>
      <c r="G13" s="10" t="s">
        <v>40</v>
      </c>
      <c r="H13" s="11">
        <v>0.0</v>
      </c>
      <c r="I13" s="12" t="s">
        <v>182</v>
      </c>
      <c r="J13" s="4"/>
      <c r="K13" s="13" t="str">
        <f t="shared" si="2"/>
        <v>TK-12</v>
      </c>
      <c r="L13" s="14" t="s">
        <v>42</v>
      </c>
      <c r="M13" s="4"/>
      <c r="N13" s="4"/>
      <c r="O13" s="12" t="s">
        <v>183</v>
      </c>
      <c r="P13" s="15">
        <v>0.0</v>
      </c>
      <c r="Q13" s="12" t="s">
        <v>184</v>
      </c>
      <c r="R13" s="15">
        <v>0.0</v>
      </c>
      <c r="S13" s="13" t="str">
        <f t="shared" si="3"/>
        <v>TK-12</v>
      </c>
      <c r="T13" s="14" t="s">
        <v>42</v>
      </c>
      <c r="U13" s="12" t="s">
        <v>185</v>
      </c>
      <c r="V13" s="15">
        <v>0.0</v>
      </c>
      <c r="W13" s="13" t="str">
        <f t="shared" si="4"/>
        <v>TK-12</v>
      </c>
      <c r="X13" s="14" t="s">
        <v>42</v>
      </c>
      <c r="Y13" s="12" t="s">
        <v>186</v>
      </c>
      <c r="Z13" s="15">
        <v>0.0</v>
      </c>
      <c r="AA13" s="13" t="str">
        <f t="shared" ref="AA13:AA17" si="17">mid(Y13,13,6)</f>
        <v>LSW-07</v>
      </c>
      <c r="AB13" s="14" t="s">
        <v>47</v>
      </c>
      <c r="AC13" s="12" t="s">
        <v>187</v>
      </c>
      <c r="AD13" s="15">
        <v>0.0</v>
      </c>
      <c r="AE13" s="13" t="str">
        <f t="shared" si="6"/>
        <v>LSW-07</v>
      </c>
      <c r="AF13" s="14" t="s">
        <v>47</v>
      </c>
      <c r="AG13" s="12" t="s">
        <v>188</v>
      </c>
      <c r="AH13" s="15">
        <v>0.0</v>
      </c>
      <c r="AI13" s="13" t="str">
        <f t="shared" si="7"/>
        <v>LSW-07</v>
      </c>
      <c r="AJ13" s="14" t="s">
        <v>47</v>
      </c>
      <c r="AK13" s="12" t="s">
        <v>189</v>
      </c>
      <c r="AL13" s="15">
        <v>0.0</v>
      </c>
      <c r="AM13" s="13" t="str">
        <f t="shared" si="8"/>
        <v>RDR-07</v>
      </c>
      <c r="AN13" s="16" t="s">
        <v>51</v>
      </c>
      <c r="AO13" s="12" t="s">
        <v>190</v>
      </c>
      <c r="AP13" s="15">
        <v>0.0</v>
      </c>
      <c r="AQ13" s="13" t="str">
        <f t="shared" si="9"/>
        <v>RDR-07</v>
      </c>
      <c r="AR13" s="16" t="s">
        <v>51</v>
      </c>
      <c r="AS13" s="12" t="s">
        <v>191</v>
      </c>
      <c r="AT13" s="15">
        <v>0.0</v>
      </c>
      <c r="AU13" s="13" t="str">
        <f t="shared" si="10"/>
        <v>RDR-07</v>
      </c>
      <c r="AV13" s="16" t="s">
        <v>51</v>
      </c>
      <c r="AW13" s="12" t="s">
        <v>192</v>
      </c>
      <c r="AX13" s="15">
        <v>0.0</v>
      </c>
      <c r="AY13" s="13" t="str">
        <f t="shared" si="11"/>
        <v>ROSOV-13</v>
      </c>
      <c r="AZ13" s="16" t="s">
        <v>55</v>
      </c>
      <c r="BA13" s="12" t="s">
        <v>193</v>
      </c>
      <c r="BB13" s="15">
        <v>0.0</v>
      </c>
      <c r="BC13" s="13" t="str">
        <f t="shared" si="12"/>
        <v>ROSOV-13</v>
      </c>
      <c r="BD13" s="14" t="s">
        <v>57</v>
      </c>
      <c r="BE13" s="4"/>
      <c r="BF13" s="4"/>
      <c r="BG13" s="4"/>
      <c r="BH13" s="4"/>
      <c r="BI13" s="4"/>
      <c r="BJ13" s="4"/>
      <c r="BK13" s="4"/>
      <c r="BL13" s="4"/>
      <c r="BM13" s="12" t="s">
        <v>194</v>
      </c>
      <c r="BN13" s="15">
        <v>0.0</v>
      </c>
      <c r="BO13" s="13" t="str">
        <f t="shared" si="13"/>
        <v>ROSOV-14</v>
      </c>
      <c r="BP13" s="16" t="s">
        <v>59</v>
      </c>
      <c r="BQ13" s="12" t="s">
        <v>195</v>
      </c>
      <c r="BR13" s="15">
        <v>0.0</v>
      </c>
      <c r="BS13" s="13" t="str">
        <f t="shared" si="14"/>
        <v>ROSOV-14</v>
      </c>
      <c r="BT13" s="16" t="s">
        <v>61</v>
      </c>
      <c r="BU13" s="4"/>
      <c r="BV13" s="4"/>
      <c r="BW13" s="4"/>
      <c r="BX13" s="4"/>
      <c r="BY13" s="4"/>
      <c r="BZ13" s="4"/>
      <c r="CA13" s="4"/>
      <c r="CB13" s="4"/>
      <c r="CC13" s="18" t="s">
        <v>196</v>
      </c>
      <c r="CD13" s="15">
        <v>0.0</v>
      </c>
      <c r="CE13" s="13" t="str">
        <f t="shared" si="15"/>
        <v>MOV-013</v>
      </c>
      <c r="CF13" s="16" t="s">
        <v>63</v>
      </c>
      <c r="CG13" s="4"/>
      <c r="CH13" s="4"/>
      <c r="CI13" s="4"/>
      <c r="CJ13" s="4"/>
      <c r="CK13" s="18" t="s">
        <v>197</v>
      </c>
      <c r="CL13" s="15">
        <v>0.0</v>
      </c>
      <c r="CM13" s="13" t="str">
        <f t="shared" si="16"/>
        <v>MOV-014</v>
      </c>
      <c r="CN13" s="16" t="s">
        <v>65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</row>
    <row r="14" ht="15.75" customHeight="1">
      <c r="A14" s="5">
        <v>1856.0</v>
      </c>
      <c r="B14" s="6" t="s">
        <v>36</v>
      </c>
      <c r="C14" s="7" t="str">
        <f t="shared" si="1"/>
        <v>TK-13_ATF</v>
      </c>
      <c r="D14" s="19" t="s">
        <v>198</v>
      </c>
      <c r="E14" s="20" t="s">
        <v>38</v>
      </c>
      <c r="F14" s="19" t="s">
        <v>39</v>
      </c>
      <c r="G14" s="10" t="s">
        <v>40</v>
      </c>
      <c r="H14" s="11">
        <v>0.0</v>
      </c>
      <c r="I14" s="12" t="s">
        <v>199</v>
      </c>
      <c r="J14" s="4"/>
      <c r="K14" s="13" t="str">
        <f t="shared" si="2"/>
        <v>TK-13</v>
      </c>
      <c r="L14" s="14" t="s">
        <v>42</v>
      </c>
      <c r="M14" s="4"/>
      <c r="N14" s="4"/>
      <c r="O14" s="12" t="s">
        <v>200</v>
      </c>
      <c r="P14" s="15">
        <v>0.0</v>
      </c>
      <c r="Q14" s="12" t="s">
        <v>201</v>
      </c>
      <c r="R14" s="15">
        <v>0.0</v>
      </c>
      <c r="S14" s="13" t="str">
        <f t="shared" si="3"/>
        <v>TK-13</v>
      </c>
      <c r="T14" s="14" t="s">
        <v>42</v>
      </c>
      <c r="U14" s="12" t="s">
        <v>202</v>
      </c>
      <c r="V14" s="15">
        <v>0.0</v>
      </c>
      <c r="W14" s="13" t="str">
        <f t="shared" si="4"/>
        <v>TK-13</v>
      </c>
      <c r="X14" s="14" t="s">
        <v>42</v>
      </c>
      <c r="Y14" s="12" t="s">
        <v>203</v>
      </c>
      <c r="Z14" s="15">
        <v>0.0</v>
      </c>
      <c r="AA14" s="13" t="str">
        <f t="shared" si="17"/>
        <v>LSW-11</v>
      </c>
      <c r="AB14" s="14" t="s">
        <v>47</v>
      </c>
      <c r="AC14" s="12" t="s">
        <v>204</v>
      </c>
      <c r="AD14" s="15">
        <v>0.0</v>
      </c>
      <c r="AE14" s="13" t="str">
        <f t="shared" si="6"/>
        <v>LSW-11</v>
      </c>
      <c r="AF14" s="14" t="s">
        <v>47</v>
      </c>
      <c r="AG14" s="12" t="s">
        <v>205</v>
      </c>
      <c r="AH14" s="15">
        <v>0.0</v>
      </c>
      <c r="AI14" s="13" t="str">
        <f t="shared" si="7"/>
        <v>LSW-11</v>
      </c>
      <c r="AJ14" s="14" t="s">
        <v>47</v>
      </c>
      <c r="AK14" s="12" t="s">
        <v>206</v>
      </c>
      <c r="AL14" s="15">
        <v>0.0</v>
      </c>
      <c r="AM14" s="13" t="str">
        <f t="shared" si="8"/>
        <v>RDR-11</v>
      </c>
      <c r="AN14" s="16" t="s">
        <v>51</v>
      </c>
      <c r="AO14" s="12" t="s">
        <v>207</v>
      </c>
      <c r="AP14" s="15">
        <v>0.0</v>
      </c>
      <c r="AQ14" s="13" t="str">
        <f t="shared" si="9"/>
        <v>RDR-11</v>
      </c>
      <c r="AR14" s="16" t="s">
        <v>51</v>
      </c>
      <c r="AS14" s="12" t="s">
        <v>208</v>
      </c>
      <c r="AT14" s="15">
        <v>0.0</v>
      </c>
      <c r="AU14" s="13" t="str">
        <f t="shared" si="10"/>
        <v>RDR-11</v>
      </c>
      <c r="AV14" s="16" t="s">
        <v>51</v>
      </c>
      <c r="AW14" s="12" t="s">
        <v>209</v>
      </c>
      <c r="AX14" s="15">
        <v>0.0</v>
      </c>
      <c r="AY14" s="13" t="str">
        <f t="shared" si="11"/>
        <v>ROSOV-39</v>
      </c>
      <c r="AZ14" s="16" t="s">
        <v>55</v>
      </c>
      <c r="BA14" s="12" t="s">
        <v>210</v>
      </c>
      <c r="BB14" s="15">
        <v>0.0</v>
      </c>
      <c r="BC14" s="13" t="str">
        <f t="shared" si="12"/>
        <v>ROSOV-39</v>
      </c>
      <c r="BD14" s="14" t="s">
        <v>57</v>
      </c>
      <c r="BE14" s="4"/>
      <c r="BF14" s="4"/>
      <c r="BG14" s="4"/>
      <c r="BH14" s="4"/>
      <c r="BI14" s="4"/>
      <c r="BJ14" s="4"/>
      <c r="BK14" s="4"/>
      <c r="BL14" s="4"/>
      <c r="BM14" s="12" t="s">
        <v>211</v>
      </c>
      <c r="BN14" s="15">
        <v>0.0</v>
      </c>
      <c r="BO14" s="13" t="str">
        <f t="shared" si="13"/>
        <v>ROSOV-40</v>
      </c>
      <c r="BP14" s="16" t="s">
        <v>59</v>
      </c>
      <c r="BQ14" s="12" t="s">
        <v>212</v>
      </c>
      <c r="BR14" s="15">
        <v>0.0</v>
      </c>
      <c r="BS14" s="13" t="str">
        <f t="shared" si="14"/>
        <v>ROSOV-40</v>
      </c>
      <c r="BT14" s="16" t="s">
        <v>61</v>
      </c>
      <c r="BU14" s="4"/>
      <c r="BV14" s="4"/>
      <c r="BW14" s="4"/>
      <c r="BX14" s="4"/>
      <c r="BY14" s="4"/>
      <c r="BZ14" s="4"/>
      <c r="CA14" s="4"/>
      <c r="CB14" s="4"/>
      <c r="CC14" s="18" t="s">
        <v>213</v>
      </c>
      <c r="CD14" s="15">
        <v>0.0</v>
      </c>
      <c r="CE14" s="13" t="str">
        <f t="shared" si="15"/>
        <v>MOV-032</v>
      </c>
      <c r="CF14" s="16" t="s">
        <v>63</v>
      </c>
      <c r="CG14" s="4"/>
      <c r="CH14" s="4"/>
      <c r="CI14" s="4"/>
      <c r="CJ14" s="4"/>
      <c r="CK14" s="18" t="s">
        <v>214</v>
      </c>
      <c r="CL14" s="15">
        <v>0.0</v>
      </c>
      <c r="CM14" s="13" t="str">
        <f t="shared" si="16"/>
        <v>MOV-033</v>
      </c>
      <c r="CN14" s="16" t="s">
        <v>65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</row>
    <row r="15" ht="15.75" customHeight="1">
      <c r="A15" s="5">
        <v>1856.0</v>
      </c>
      <c r="B15" s="6" t="s">
        <v>36</v>
      </c>
      <c r="C15" s="7" t="str">
        <f t="shared" si="1"/>
        <v>TK-14_ETHANOL</v>
      </c>
      <c r="D15" s="19" t="s">
        <v>215</v>
      </c>
      <c r="E15" s="20" t="s">
        <v>38</v>
      </c>
      <c r="F15" s="19" t="s">
        <v>137</v>
      </c>
      <c r="G15" s="10" t="s">
        <v>40</v>
      </c>
      <c r="H15" s="11">
        <v>0.0</v>
      </c>
      <c r="I15" s="12" t="s">
        <v>216</v>
      </c>
      <c r="J15" s="4"/>
      <c r="K15" s="13" t="str">
        <f t="shared" si="2"/>
        <v>TK-14</v>
      </c>
      <c r="L15" s="14" t="s">
        <v>42</v>
      </c>
      <c r="M15" s="4"/>
      <c r="N15" s="4"/>
      <c r="O15" s="12" t="s">
        <v>217</v>
      </c>
      <c r="P15" s="15">
        <v>0.0</v>
      </c>
      <c r="Q15" s="12" t="s">
        <v>218</v>
      </c>
      <c r="R15" s="15">
        <v>0.0</v>
      </c>
      <c r="S15" s="13" t="str">
        <f t="shared" si="3"/>
        <v>TK-14</v>
      </c>
      <c r="T15" s="14" t="s">
        <v>42</v>
      </c>
      <c r="U15" s="12" t="s">
        <v>219</v>
      </c>
      <c r="V15" s="15">
        <v>0.0</v>
      </c>
      <c r="W15" s="13" t="str">
        <f t="shared" si="4"/>
        <v>TK-14</v>
      </c>
      <c r="X15" s="14" t="s">
        <v>42</v>
      </c>
      <c r="Y15" s="12" t="s">
        <v>220</v>
      </c>
      <c r="Z15" s="15">
        <v>0.0</v>
      </c>
      <c r="AA15" s="13" t="str">
        <f t="shared" si="17"/>
        <v>LSW-08</v>
      </c>
      <c r="AB15" s="14" t="s">
        <v>47</v>
      </c>
      <c r="AC15" s="12" t="s">
        <v>221</v>
      </c>
      <c r="AD15" s="15">
        <v>0.0</v>
      </c>
      <c r="AE15" s="13" t="str">
        <f t="shared" si="6"/>
        <v>LSW-08</v>
      </c>
      <c r="AF15" s="14" t="s">
        <v>47</v>
      </c>
      <c r="AG15" s="12" t="s">
        <v>222</v>
      </c>
      <c r="AH15" s="15">
        <v>0.0</v>
      </c>
      <c r="AI15" s="13" t="str">
        <f t="shared" si="7"/>
        <v>LSW-08</v>
      </c>
      <c r="AJ15" s="14" t="s">
        <v>47</v>
      </c>
      <c r="AK15" s="12" t="s">
        <v>223</v>
      </c>
      <c r="AL15" s="15">
        <v>0.0</v>
      </c>
      <c r="AM15" s="13" t="str">
        <f t="shared" si="8"/>
        <v>RDR-08</v>
      </c>
      <c r="AN15" s="16" t="s">
        <v>51</v>
      </c>
      <c r="AO15" s="12" t="s">
        <v>224</v>
      </c>
      <c r="AP15" s="15">
        <v>0.0</v>
      </c>
      <c r="AQ15" s="13" t="str">
        <f t="shared" si="9"/>
        <v>RDR-08</v>
      </c>
      <c r="AR15" s="16" t="s">
        <v>51</v>
      </c>
      <c r="AS15" s="12" t="s">
        <v>225</v>
      </c>
      <c r="AT15" s="15">
        <v>0.0</v>
      </c>
      <c r="AU15" s="13" t="str">
        <f t="shared" si="10"/>
        <v>RDR-08</v>
      </c>
      <c r="AV15" s="16" t="s">
        <v>51</v>
      </c>
      <c r="AW15" s="12" t="s">
        <v>226</v>
      </c>
      <c r="AX15" s="15">
        <v>0.0</v>
      </c>
      <c r="AY15" s="13" t="str">
        <f t="shared" si="11"/>
        <v>ROSOV-15</v>
      </c>
      <c r="AZ15" s="16" t="s">
        <v>55</v>
      </c>
      <c r="BA15" s="12" t="s">
        <v>227</v>
      </c>
      <c r="BB15" s="15">
        <v>0.0</v>
      </c>
      <c r="BC15" s="13" t="str">
        <f t="shared" si="12"/>
        <v>ROSOV-15</v>
      </c>
      <c r="BD15" s="14" t="s">
        <v>57</v>
      </c>
      <c r="BE15" s="4"/>
      <c r="BF15" s="4"/>
      <c r="BG15" s="4"/>
      <c r="BH15" s="4"/>
      <c r="BI15" s="4"/>
      <c r="BJ15" s="4"/>
      <c r="BK15" s="4"/>
      <c r="BL15" s="4"/>
      <c r="BM15" s="12" t="s">
        <v>228</v>
      </c>
      <c r="BN15" s="15">
        <v>0.0</v>
      </c>
      <c r="BO15" s="13" t="str">
        <f t="shared" si="13"/>
        <v>ROSOV-16</v>
      </c>
      <c r="BP15" s="16" t="s">
        <v>59</v>
      </c>
      <c r="BQ15" s="12" t="s">
        <v>229</v>
      </c>
      <c r="BR15" s="15">
        <v>0.0</v>
      </c>
      <c r="BS15" s="13" t="str">
        <f t="shared" si="14"/>
        <v>ROSOV-16</v>
      </c>
      <c r="BT15" s="16" t="s">
        <v>61</v>
      </c>
      <c r="BU15" s="4"/>
      <c r="BV15" s="4"/>
      <c r="BW15" s="4"/>
      <c r="BX15" s="4"/>
      <c r="BY15" s="4"/>
      <c r="BZ15" s="4"/>
      <c r="CA15" s="4"/>
      <c r="CB15" s="4"/>
      <c r="CC15" s="18" t="s">
        <v>230</v>
      </c>
      <c r="CD15" s="15">
        <v>0.0</v>
      </c>
      <c r="CE15" s="13" t="str">
        <f t="shared" si="15"/>
        <v>MOV-015</v>
      </c>
      <c r="CF15" s="16" t="s">
        <v>63</v>
      </c>
      <c r="CG15" s="4"/>
      <c r="CH15" s="4"/>
      <c r="CI15" s="4"/>
      <c r="CJ15" s="4"/>
      <c r="CK15" s="18" t="s">
        <v>231</v>
      </c>
      <c r="CL15" s="15">
        <v>0.0</v>
      </c>
      <c r="CM15" s="13" t="str">
        <f t="shared" si="16"/>
        <v>MOV-016</v>
      </c>
      <c r="CN15" s="16" t="s">
        <v>65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</row>
    <row r="16" ht="15.75" customHeight="1">
      <c r="A16" s="5">
        <v>1856.0</v>
      </c>
      <c r="B16" s="6" t="s">
        <v>36</v>
      </c>
      <c r="C16" s="7" t="str">
        <f t="shared" si="1"/>
        <v>TK-15_BS VI HSD</v>
      </c>
      <c r="D16" s="19" t="s">
        <v>232</v>
      </c>
      <c r="E16" s="20" t="s">
        <v>38</v>
      </c>
      <c r="F16" s="19" t="s">
        <v>84</v>
      </c>
      <c r="G16" s="10" t="s">
        <v>40</v>
      </c>
      <c r="H16" s="11">
        <v>0.0</v>
      </c>
      <c r="I16" s="12" t="s">
        <v>233</v>
      </c>
      <c r="J16" s="4"/>
      <c r="K16" s="13" t="str">
        <f t="shared" si="2"/>
        <v>TK-15</v>
      </c>
      <c r="L16" s="14" t="s">
        <v>42</v>
      </c>
      <c r="M16" s="4"/>
      <c r="N16" s="4"/>
      <c r="O16" s="12" t="s">
        <v>234</v>
      </c>
      <c r="P16" s="15">
        <v>0.0</v>
      </c>
      <c r="Q16" s="12" t="s">
        <v>235</v>
      </c>
      <c r="R16" s="15">
        <v>0.0</v>
      </c>
      <c r="S16" s="13" t="str">
        <f t="shared" si="3"/>
        <v>TK-15</v>
      </c>
      <c r="T16" s="14" t="s">
        <v>42</v>
      </c>
      <c r="U16" s="12" t="s">
        <v>236</v>
      </c>
      <c r="V16" s="15">
        <v>0.0</v>
      </c>
      <c r="W16" s="13" t="str">
        <f t="shared" si="4"/>
        <v>TK-15</v>
      </c>
      <c r="X16" s="14" t="s">
        <v>42</v>
      </c>
      <c r="Y16" s="12" t="s">
        <v>237</v>
      </c>
      <c r="Z16" s="15">
        <v>0.0</v>
      </c>
      <c r="AA16" s="13" t="str">
        <f t="shared" si="17"/>
        <v>LSW-09</v>
      </c>
      <c r="AB16" s="14" t="s">
        <v>47</v>
      </c>
      <c r="AC16" s="12" t="s">
        <v>238</v>
      </c>
      <c r="AD16" s="15">
        <v>0.0</v>
      </c>
      <c r="AE16" s="13" t="str">
        <f t="shared" si="6"/>
        <v>LSW-09</v>
      </c>
      <c r="AF16" s="14" t="s">
        <v>47</v>
      </c>
      <c r="AG16" s="12" t="s">
        <v>239</v>
      </c>
      <c r="AH16" s="15">
        <v>0.0</v>
      </c>
      <c r="AI16" s="13" t="str">
        <f t="shared" si="7"/>
        <v>LSW-09</v>
      </c>
      <c r="AJ16" s="14" t="s">
        <v>47</v>
      </c>
      <c r="AK16" s="12" t="s">
        <v>240</v>
      </c>
      <c r="AL16" s="15">
        <v>0.0</v>
      </c>
      <c r="AM16" s="13" t="str">
        <f t="shared" si="8"/>
        <v>RDR-09</v>
      </c>
      <c r="AN16" s="16" t="s">
        <v>51</v>
      </c>
      <c r="AO16" s="12" t="s">
        <v>241</v>
      </c>
      <c r="AP16" s="15">
        <v>0.0</v>
      </c>
      <c r="AQ16" s="13" t="str">
        <f t="shared" si="9"/>
        <v>RDR-09</v>
      </c>
      <c r="AR16" s="16" t="s">
        <v>51</v>
      </c>
      <c r="AS16" s="12" t="s">
        <v>242</v>
      </c>
      <c r="AT16" s="15">
        <v>0.0</v>
      </c>
      <c r="AU16" s="13" t="str">
        <f t="shared" si="10"/>
        <v>RDR-09</v>
      </c>
      <c r="AV16" s="16" t="s">
        <v>51</v>
      </c>
      <c r="AW16" s="12" t="s">
        <v>243</v>
      </c>
      <c r="AX16" s="15">
        <v>0.0</v>
      </c>
      <c r="AY16" s="13" t="str">
        <f t="shared" si="11"/>
        <v>ROSOV-17</v>
      </c>
      <c r="AZ16" s="16" t="s">
        <v>55</v>
      </c>
      <c r="BA16" s="12" t="s">
        <v>244</v>
      </c>
      <c r="BB16" s="15">
        <v>0.0</v>
      </c>
      <c r="BC16" s="13" t="str">
        <f t="shared" si="12"/>
        <v>ROSOV-17</v>
      </c>
      <c r="BD16" s="14" t="s">
        <v>57</v>
      </c>
      <c r="BE16" s="4"/>
      <c r="BF16" s="4"/>
      <c r="BG16" s="4"/>
      <c r="BH16" s="4"/>
      <c r="BI16" s="4"/>
      <c r="BJ16" s="4"/>
      <c r="BK16" s="4"/>
      <c r="BL16" s="4"/>
      <c r="BM16" s="12" t="s">
        <v>245</v>
      </c>
      <c r="BN16" s="15">
        <v>0.0</v>
      </c>
      <c r="BO16" s="13" t="str">
        <f t="shared" si="13"/>
        <v>ROSOV-18</v>
      </c>
      <c r="BP16" s="16" t="s">
        <v>59</v>
      </c>
      <c r="BQ16" s="12" t="s">
        <v>246</v>
      </c>
      <c r="BR16" s="15">
        <v>0.0</v>
      </c>
      <c r="BS16" s="13" t="str">
        <f t="shared" si="14"/>
        <v>ROSOV-18</v>
      </c>
      <c r="BT16" s="16" t="s">
        <v>61</v>
      </c>
      <c r="BU16" s="4"/>
      <c r="BV16" s="4"/>
      <c r="BW16" s="4"/>
      <c r="BX16" s="4"/>
      <c r="BY16" s="4"/>
      <c r="BZ16" s="4"/>
      <c r="CA16" s="4"/>
      <c r="CB16" s="4"/>
      <c r="CC16" s="18" t="s">
        <v>247</v>
      </c>
      <c r="CD16" s="15">
        <v>0.0</v>
      </c>
      <c r="CE16" s="13" t="str">
        <f t="shared" si="15"/>
        <v>MOV-017</v>
      </c>
      <c r="CF16" s="16" t="s">
        <v>63</v>
      </c>
      <c r="CG16" s="4"/>
      <c r="CH16" s="4"/>
      <c r="CI16" s="4"/>
      <c r="CJ16" s="4"/>
      <c r="CK16" s="18" t="s">
        <v>248</v>
      </c>
      <c r="CL16" s="15">
        <v>0.0</v>
      </c>
      <c r="CM16" s="13" t="str">
        <f t="shared" si="16"/>
        <v>MOV-018</v>
      </c>
      <c r="CN16" s="16" t="s">
        <v>65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</row>
    <row r="17" ht="15.75" customHeight="1">
      <c r="A17" s="5">
        <v>1856.0</v>
      </c>
      <c r="B17" s="6" t="s">
        <v>36</v>
      </c>
      <c r="C17" s="7" t="str">
        <f t="shared" si="1"/>
        <v>TK-16_BS VI HSD</v>
      </c>
      <c r="D17" s="19" t="s">
        <v>249</v>
      </c>
      <c r="E17" s="20" t="s">
        <v>38</v>
      </c>
      <c r="F17" s="19" t="s">
        <v>84</v>
      </c>
      <c r="G17" s="10" t="s">
        <v>40</v>
      </c>
      <c r="H17" s="11">
        <v>0.0</v>
      </c>
      <c r="I17" s="12" t="s">
        <v>250</v>
      </c>
      <c r="J17" s="4"/>
      <c r="K17" s="13" t="str">
        <f t="shared" si="2"/>
        <v>TK-16</v>
      </c>
      <c r="L17" s="14" t="s">
        <v>42</v>
      </c>
      <c r="M17" s="4"/>
      <c r="N17" s="4"/>
      <c r="O17" s="12" t="s">
        <v>251</v>
      </c>
      <c r="P17" s="15">
        <v>0.0</v>
      </c>
      <c r="Q17" s="12" t="s">
        <v>252</v>
      </c>
      <c r="R17" s="15">
        <v>0.0</v>
      </c>
      <c r="S17" s="13" t="str">
        <f t="shared" si="3"/>
        <v>TK-16</v>
      </c>
      <c r="T17" s="14" t="s">
        <v>42</v>
      </c>
      <c r="U17" s="12" t="s">
        <v>253</v>
      </c>
      <c r="V17" s="15">
        <v>0.0</v>
      </c>
      <c r="W17" s="13" t="str">
        <f t="shared" si="4"/>
        <v>TK-16</v>
      </c>
      <c r="X17" s="14" t="s">
        <v>42</v>
      </c>
      <c r="Y17" s="12" t="s">
        <v>254</v>
      </c>
      <c r="Z17" s="15">
        <v>0.0</v>
      </c>
      <c r="AA17" s="13" t="str">
        <f t="shared" si="17"/>
        <v>LSW-10</v>
      </c>
      <c r="AB17" s="14" t="s">
        <v>47</v>
      </c>
      <c r="AC17" s="12" t="s">
        <v>255</v>
      </c>
      <c r="AD17" s="15">
        <v>0.0</v>
      </c>
      <c r="AE17" s="13" t="str">
        <f t="shared" si="6"/>
        <v>LSW-10</v>
      </c>
      <c r="AF17" s="14" t="s">
        <v>47</v>
      </c>
      <c r="AG17" s="12" t="s">
        <v>256</v>
      </c>
      <c r="AH17" s="15">
        <v>0.0</v>
      </c>
      <c r="AI17" s="13" t="str">
        <f t="shared" si="7"/>
        <v>LSW-10</v>
      </c>
      <c r="AJ17" s="14" t="s">
        <v>47</v>
      </c>
      <c r="AK17" s="12" t="s">
        <v>257</v>
      </c>
      <c r="AL17" s="15">
        <v>0.0</v>
      </c>
      <c r="AM17" s="13" t="str">
        <f t="shared" si="8"/>
        <v>RDR-10</v>
      </c>
      <c r="AN17" s="16" t="s">
        <v>51</v>
      </c>
      <c r="AO17" s="12" t="s">
        <v>258</v>
      </c>
      <c r="AP17" s="15">
        <v>0.0</v>
      </c>
      <c r="AQ17" s="13" t="str">
        <f t="shared" si="9"/>
        <v>RDR-10</v>
      </c>
      <c r="AR17" s="16" t="s">
        <v>51</v>
      </c>
      <c r="AS17" s="12" t="s">
        <v>259</v>
      </c>
      <c r="AT17" s="15">
        <v>0.0</v>
      </c>
      <c r="AU17" s="13" t="str">
        <f t="shared" si="10"/>
        <v>RDR-10</v>
      </c>
      <c r="AV17" s="16" t="s">
        <v>51</v>
      </c>
      <c r="AW17" s="12" t="s">
        <v>260</v>
      </c>
      <c r="AX17" s="15">
        <v>0.0</v>
      </c>
      <c r="AY17" s="13" t="str">
        <f t="shared" si="11"/>
        <v>ROSOV-19</v>
      </c>
      <c r="AZ17" s="16" t="s">
        <v>55</v>
      </c>
      <c r="BA17" s="12" t="s">
        <v>261</v>
      </c>
      <c r="BB17" s="15">
        <v>0.0</v>
      </c>
      <c r="BC17" s="13" t="str">
        <f t="shared" si="12"/>
        <v>ROSOV-19</v>
      </c>
      <c r="BD17" s="14" t="s">
        <v>57</v>
      </c>
      <c r="BE17" s="4"/>
      <c r="BF17" s="4"/>
      <c r="BG17" s="4"/>
      <c r="BH17" s="4"/>
      <c r="BI17" s="4"/>
      <c r="BJ17" s="4"/>
      <c r="BK17" s="4"/>
      <c r="BL17" s="4"/>
      <c r="BM17" s="12" t="s">
        <v>262</v>
      </c>
      <c r="BN17" s="15">
        <v>0.0</v>
      </c>
      <c r="BO17" s="13" t="str">
        <f t="shared" si="13"/>
        <v>ROSOV-20</v>
      </c>
      <c r="BP17" s="16" t="s">
        <v>59</v>
      </c>
      <c r="BQ17" s="12" t="s">
        <v>263</v>
      </c>
      <c r="BR17" s="15">
        <v>0.0</v>
      </c>
      <c r="BS17" s="13" t="str">
        <f t="shared" si="14"/>
        <v>ROSOV-20</v>
      </c>
      <c r="BT17" s="16" t="s">
        <v>61</v>
      </c>
      <c r="BU17" s="4"/>
      <c r="BV17" s="4"/>
      <c r="BW17" s="4"/>
      <c r="BX17" s="4"/>
      <c r="BY17" s="4"/>
      <c r="BZ17" s="4"/>
      <c r="CA17" s="4"/>
      <c r="CB17" s="4"/>
      <c r="CC17" s="18" t="s">
        <v>264</v>
      </c>
      <c r="CD17" s="15">
        <v>0.0</v>
      </c>
      <c r="CE17" s="13" t="str">
        <f t="shared" si="15"/>
        <v>MOV-019</v>
      </c>
      <c r="CF17" s="16" t="s">
        <v>63</v>
      </c>
      <c r="CG17" s="4"/>
      <c r="CH17" s="4"/>
      <c r="CI17" s="4"/>
      <c r="CJ17" s="4"/>
      <c r="CK17" s="18" t="s">
        <v>265</v>
      </c>
      <c r="CL17" s="15">
        <v>0.0</v>
      </c>
      <c r="CM17" s="13" t="str">
        <f t="shared" si="16"/>
        <v>MOV-020</v>
      </c>
      <c r="CN17" s="16" t="s">
        <v>65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</row>
    <row r="18" ht="15.75" customHeight="1">
      <c r="A18" s="5">
        <v>1856.0</v>
      </c>
      <c r="B18" s="6" t="s">
        <v>36</v>
      </c>
      <c r="C18" s="7" t="str">
        <f t="shared" si="1"/>
        <v>TK-18_LDO</v>
      </c>
      <c r="D18" s="19" t="s">
        <v>266</v>
      </c>
      <c r="E18" s="20" t="s">
        <v>38</v>
      </c>
      <c r="F18" s="19" t="s">
        <v>267</v>
      </c>
      <c r="G18" s="10" t="s">
        <v>40</v>
      </c>
      <c r="H18" s="11">
        <v>0.0</v>
      </c>
      <c r="I18" s="12" t="s">
        <v>268</v>
      </c>
      <c r="J18" s="4"/>
      <c r="K18" s="13" t="str">
        <f t="shared" si="2"/>
        <v>TK-18</v>
      </c>
      <c r="L18" s="14" t="s">
        <v>42</v>
      </c>
      <c r="M18" s="4"/>
      <c r="N18" s="4"/>
      <c r="O18" s="12" t="s">
        <v>269</v>
      </c>
      <c r="P18" s="15">
        <v>0.0</v>
      </c>
      <c r="Q18" s="12" t="s">
        <v>270</v>
      </c>
      <c r="R18" s="15">
        <v>0.0</v>
      </c>
      <c r="S18" s="13" t="str">
        <f t="shared" si="3"/>
        <v>TK-18</v>
      </c>
      <c r="T18" s="14" t="s">
        <v>42</v>
      </c>
      <c r="U18" s="12" t="s">
        <v>271</v>
      </c>
      <c r="V18" s="15">
        <v>0.0</v>
      </c>
      <c r="W18" s="13" t="str">
        <f t="shared" si="4"/>
        <v>TK-18</v>
      </c>
      <c r="X18" s="14" t="s">
        <v>42</v>
      </c>
      <c r="Y18" s="22"/>
      <c r="Z18" s="12"/>
      <c r="AA18" s="4"/>
      <c r="AB18" s="4"/>
      <c r="AC18" s="22"/>
      <c r="AD18" s="12"/>
      <c r="AE18" s="13" t="str">
        <f t="shared" si="6"/>
        <v/>
      </c>
      <c r="AF18" s="4"/>
      <c r="AG18" s="22"/>
      <c r="AH18" s="12"/>
      <c r="AI18" s="13" t="str">
        <f t="shared" si="7"/>
        <v/>
      </c>
      <c r="AJ18" s="4"/>
      <c r="AK18" s="22"/>
      <c r="AL18" s="12"/>
      <c r="AM18" s="13" t="str">
        <f t="shared" si="8"/>
        <v/>
      </c>
      <c r="AN18" s="4"/>
      <c r="AO18" s="22"/>
      <c r="AP18" s="12"/>
      <c r="AQ18" s="13" t="str">
        <f t="shared" si="9"/>
        <v/>
      </c>
      <c r="AR18" s="4"/>
      <c r="AS18" s="22"/>
      <c r="AT18" s="12"/>
      <c r="AU18" s="13" t="str">
        <f t="shared" si="10"/>
        <v/>
      </c>
      <c r="AV18" s="4"/>
      <c r="AW18" s="22"/>
      <c r="AX18" s="22"/>
      <c r="AY18" s="13" t="str">
        <f t="shared" si="11"/>
        <v/>
      </c>
      <c r="AZ18" s="4"/>
      <c r="BA18" s="22"/>
      <c r="BB18" s="22"/>
      <c r="BC18" s="13" t="str">
        <f t="shared" si="12"/>
        <v/>
      </c>
      <c r="BD18" s="4"/>
      <c r="BE18" s="4"/>
      <c r="BF18" s="4"/>
      <c r="BG18" s="4"/>
      <c r="BH18" s="4"/>
      <c r="BI18" s="4"/>
      <c r="BJ18" s="4"/>
      <c r="BK18" s="4"/>
      <c r="BL18" s="4"/>
      <c r="BM18" s="22"/>
      <c r="BN18" s="22"/>
      <c r="BO18" s="13" t="str">
        <f t="shared" si="13"/>
        <v/>
      </c>
      <c r="BP18" s="4"/>
      <c r="BQ18" s="22"/>
      <c r="BR18" s="22"/>
      <c r="BS18" s="13" t="str">
        <f t="shared" si="14"/>
        <v/>
      </c>
      <c r="BT18" s="4"/>
      <c r="BU18" s="4"/>
      <c r="BV18" s="4"/>
      <c r="BW18" s="4"/>
      <c r="BX18" s="4"/>
      <c r="BY18" s="4"/>
      <c r="BZ18" s="4"/>
      <c r="CA18" s="4"/>
      <c r="CB18" s="4"/>
      <c r="CC18" s="22"/>
      <c r="CD18" s="22"/>
      <c r="CE18" s="13" t="str">
        <f t="shared" si="15"/>
        <v/>
      </c>
      <c r="CF18" s="4"/>
      <c r="CG18" s="4"/>
      <c r="CH18" s="4"/>
      <c r="CI18" s="4"/>
      <c r="CJ18" s="4"/>
      <c r="CK18" s="22"/>
      <c r="CL18" s="22"/>
      <c r="CM18" s="13" t="str">
        <f t="shared" si="16"/>
        <v/>
      </c>
      <c r="CN18" s="4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</row>
    <row r="19" ht="15.75" customHeight="1">
      <c r="A19" s="5">
        <v>1856.0</v>
      </c>
      <c r="B19" s="6" t="s">
        <v>36</v>
      </c>
      <c r="C19" s="7" t="str">
        <f t="shared" si="1"/>
        <v>TK-19_ETHANOL</v>
      </c>
      <c r="D19" s="19" t="s">
        <v>272</v>
      </c>
      <c r="E19" s="20" t="s">
        <v>155</v>
      </c>
      <c r="F19" s="19" t="s">
        <v>137</v>
      </c>
      <c r="G19" s="10" t="s">
        <v>40</v>
      </c>
      <c r="H19" s="11">
        <v>0.0</v>
      </c>
      <c r="I19" s="12" t="s">
        <v>273</v>
      </c>
      <c r="J19" s="4"/>
      <c r="K19" s="13" t="str">
        <f t="shared" si="2"/>
        <v>TK-19</v>
      </c>
      <c r="L19" s="14" t="s">
        <v>42</v>
      </c>
      <c r="M19" s="4"/>
      <c r="N19" s="4"/>
      <c r="O19" s="12" t="s">
        <v>274</v>
      </c>
      <c r="P19" s="15">
        <v>0.0</v>
      </c>
      <c r="Q19" s="12" t="s">
        <v>275</v>
      </c>
      <c r="R19" s="15">
        <v>0.0</v>
      </c>
      <c r="S19" s="13" t="str">
        <f t="shared" si="3"/>
        <v>TK-19</v>
      </c>
      <c r="T19" s="14" t="s">
        <v>42</v>
      </c>
      <c r="U19" s="12" t="s">
        <v>276</v>
      </c>
      <c r="V19" s="15">
        <v>0.0</v>
      </c>
      <c r="W19" s="13" t="str">
        <f t="shared" si="4"/>
        <v>TK-19</v>
      </c>
      <c r="X19" s="14" t="s">
        <v>42</v>
      </c>
      <c r="Y19" s="22"/>
      <c r="Z19" s="12"/>
      <c r="AA19" s="4"/>
      <c r="AB19" s="4"/>
      <c r="AC19" s="22"/>
      <c r="AD19" s="12"/>
      <c r="AE19" s="13" t="str">
        <f t="shared" si="6"/>
        <v/>
      </c>
      <c r="AF19" s="4"/>
      <c r="AG19" s="22"/>
      <c r="AH19" s="12"/>
      <c r="AI19" s="13" t="str">
        <f t="shared" si="7"/>
        <v/>
      </c>
      <c r="AJ19" s="4"/>
      <c r="AK19" s="22"/>
      <c r="AL19" s="12"/>
      <c r="AM19" s="13" t="str">
        <f t="shared" si="8"/>
        <v/>
      </c>
      <c r="AN19" s="4"/>
      <c r="AO19" s="22"/>
      <c r="AP19" s="12"/>
      <c r="AQ19" s="13" t="str">
        <f t="shared" si="9"/>
        <v/>
      </c>
      <c r="AR19" s="4"/>
      <c r="AS19" s="22"/>
      <c r="AT19" s="12"/>
      <c r="AU19" s="13" t="str">
        <f t="shared" si="10"/>
        <v/>
      </c>
      <c r="AV19" s="4"/>
      <c r="AW19" s="22"/>
      <c r="AX19" s="22"/>
      <c r="AY19" s="13" t="str">
        <f t="shared" si="11"/>
        <v/>
      </c>
      <c r="AZ19" s="4"/>
      <c r="BA19" s="22"/>
      <c r="BB19" s="22"/>
      <c r="BC19" s="13" t="str">
        <f t="shared" si="12"/>
        <v/>
      </c>
      <c r="BD19" s="4"/>
      <c r="BE19" s="4"/>
      <c r="BF19" s="4"/>
      <c r="BG19" s="4"/>
      <c r="BH19" s="4"/>
      <c r="BI19" s="4"/>
      <c r="BJ19" s="4"/>
      <c r="BK19" s="4"/>
      <c r="BL19" s="4"/>
      <c r="BM19" s="22"/>
      <c r="BN19" s="22"/>
      <c r="BO19" s="13" t="str">
        <f t="shared" si="13"/>
        <v/>
      </c>
      <c r="BP19" s="4"/>
      <c r="BQ19" s="22"/>
      <c r="BR19" s="22"/>
      <c r="BS19" s="13" t="str">
        <f t="shared" si="14"/>
        <v/>
      </c>
      <c r="BT19" s="4"/>
      <c r="BU19" s="4"/>
      <c r="BV19" s="4"/>
      <c r="BW19" s="4"/>
      <c r="BX19" s="4"/>
      <c r="BY19" s="4"/>
      <c r="BZ19" s="4"/>
      <c r="CA19" s="4"/>
      <c r="CB19" s="4"/>
      <c r="CC19" s="22"/>
      <c r="CD19" s="22"/>
      <c r="CE19" s="13" t="str">
        <f t="shared" si="15"/>
        <v/>
      </c>
      <c r="CF19" s="4"/>
      <c r="CG19" s="4"/>
      <c r="CH19" s="4"/>
      <c r="CI19" s="4"/>
      <c r="CJ19" s="4"/>
      <c r="CK19" s="22"/>
      <c r="CL19" s="22"/>
      <c r="CM19" s="13" t="str">
        <f t="shared" si="16"/>
        <v/>
      </c>
      <c r="CN19" s="4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</row>
    <row r="20" ht="15.75" customHeight="1">
      <c r="A20" s="5">
        <v>1856.0</v>
      </c>
      <c r="B20" s="6" t="s">
        <v>36</v>
      </c>
      <c r="C20" s="7" t="str">
        <f t="shared" si="1"/>
        <v>TK-20_BS VI HSD</v>
      </c>
      <c r="D20" s="19" t="s">
        <v>277</v>
      </c>
      <c r="E20" s="20" t="s">
        <v>155</v>
      </c>
      <c r="F20" s="19" t="s">
        <v>84</v>
      </c>
      <c r="G20" s="10" t="s">
        <v>40</v>
      </c>
      <c r="H20" s="11">
        <v>0.0</v>
      </c>
      <c r="I20" s="12" t="s">
        <v>278</v>
      </c>
      <c r="J20" s="4"/>
      <c r="K20" s="13" t="str">
        <f t="shared" si="2"/>
        <v>TK-20</v>
      </c>
      <c r="L20" s="14" t="s">
        <v>42</v>
      </c>
      <c r="M20" s="4"/>
      <c r="N20" s="4"/>
      <c r="O20" s="12" t="s">
        <v>279</v>
      </c>
      <c r="P20" s="15">
        <v>0.0</v>
      </c>
      <c r="Q20" s="12" t="s">
        <v>280</v>
      </c>
      <c r="R20" s="15">
        <v>0.0</v>
      </c>
      <c r="S20" s="13" t="str">
        <f t="shared" si="3"/>
        <v>TK-20</v>
      </c>
      <c r="T20" s="14" t="s">
        <v>42</v>
      </c>
      <c r="U20" s="12" t="s">
        <v>281</v>
      </c>
      <c r="V20" s="15">
        <v>0.0</v>
      </c>
      <c r="W20" s="13" t="str">
        <f t="shared" si="4"/>
        <v>TK-20</v>
      </c>
      <c r="X20" s="14" t="s">
        <v>42</v>
      </c>
      <c r="Y20" s="22"/>
      <c r="Z20" s="12"/>
      <c r="AA20" s="4"/>
      <c r="AB20" s="4"/>
      <c r="AC20" s="22"/>
      <c r="AD20" s="12"/>
      <c r="AE20" s="13" t="str">
        <f t="shared" si="6"/>
        <v/>
      </c>
      <c r="AF20" s="4"/>
      <c r="AG20" s="22"/>
      <c r="AH20" s="12"/>
      <c r="AI20" s="13" t="str">
        <f t="shared" si="7"/>
        <v/>
      </c>
      <c r="AJ20" s="4"/>
      <c r="AK20" s="22"/>
      <c r="AL20" s="12"/>
      <c r="AM20" s="13" t="str">
        <f t="shared" si="8"/>
        <v/>
      </c>
      <c r="AN20" s="4"/>
      <c r="AO20" s="22"/>
      <c r="AP20" s="12"/>
      <c r="AQ20" s="13" t="str">
        <f t="shared" si="9"/>
        <v/>
      </c>
      <c r="AR20" s="4"/>
      <c r="AS20" s="22"/>
      <c r="AT20" s="12"/>
      <c r="AU20" s="13" t="str">
        <f t="shared" si="10"/>
        <v/>
      </c>
      <c r="AV20" s="4"/>
      <c r="AW20" s="22"/>
      <c r="AX20" s="22"/>
      <c r="AY20" s="13" t="str">
        <f t="shared" si="11"/>
        <v/>
      </c>
      <c r="AZ20" s="4"/>
      <c r="BA20" s="22"/>
      <c r="BB20" s="22"/>
      <c r="BC20" s="13" t="str">
        <f t="shared" si="12"/>
        <v/>
      </c>
      <c r="BD20" s="4"/>
      <c r="BE20" s="4"/>
      <c r="BF20" s="4"/>
      <c r="BG20" s="4"/>
      <c r="BH20" s="4"/>
      <c r="BI20" s="4"/>
      <c r="BJ20" s="4"/>
      <c r="BK20" s="4"/>
      <c r="BL20" s="4"/>
      <c r="BM20" s="22"/>
      <c r="BN20" s="22"/>
      <c r="BO20" s="13" t="str">
        <f t="shared" si="13"/>
        <v/>
      </c>
      <c r="BP20" s="4"/>
      <c r="BQ20" s="22"/>
      <c r="BR20" s="22"/>
      <c r="BS20" s="13" t="str">
        <f t="shared" si="14"/>
        <v/>
      </c>
      <c r="BT20" s="4"/>
      <c r="BU20" s="4"/>
      <c r="BV20" s="4"/>
      <c r="BW20" s="4"/>
      <c r="BX20" s="4"/>
      <c r="BY20" s="4"/>
      <c r="BZ20" s="4"/>
      <c r="CA20" s="4"/>
      <c r="CB20" s="4"/>
      <c r="CC20" s="22"/>
      <c r="CD20" s="22"/>
      <c r="CE20" s="13" t="str">
        <f t="shared" si="15"/>
        <v/>
      </c>
      <c r="CF20" s="4"/>
      <c r="CG20" s="4"/>
      <c r="CH20" s="4"/>
      <c r="CI20" s="4"/>
      <c r="CJ20" s="4"/>
      <c r="CK20" s="22"/>
      <c r="CL20" s="22"/>
      <c r="CM20" s="13" t="str">
        <f t="shared" si="16"/>
        <v/>
      </c>
      <c r="CN20" s="4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</row>
    <row r="21" ht="15.75" customHeight="1">
      <c r="A21" s="5">
        <v>1856.0</v>
      </c>
      <c r="B21" s="6" t="s">
        <v>36</v>
      </c>
      <c r="C21" s="7" t="str">
        <f t="shared" si="1"/>
        <v>TK-21_BS VI HSD</v>
      </c>
      <c r="D21" s="19" t="s">
        <v>282</v>
      </c>
      <c r="E21" s="20" t="s">
        <v>155</v>
      </c>
      <c r="F21" s="19" t="s">
        <v>84</v>
      </c>
      <c r="G21" s="10" t="s">
        <v>40</v>
      </c>
      <c r="H21" s="11">
        <v>0.0</v>
      </c>
      <c r="I21" s="12" t="s">
        <v>283</v>
      </c>
      <c r="J21" s="4"/>
      <c r="K21" s="13" t="str">
        <f t="shared" si="2"/>
        <v>TK-21</v>
      </c>
      <c r="L21" s="14" t="s">
        <v>42</v>
      </c>
      <c r="M21" s="4"/>
      <c r="N21" s="4"/>
      <c r="O21" s="12" t="s">
        <v>284</v>
      </c>
      <c r="P21" s="15">
        <v>0.0</v>
      </c>
      <c r="Q21" s="12" t="s">
        <v>285</v>
      </c>
      <c r="R21" s="15">
        <v>0.0</v>
      </c>
      <c r="S21" s="13" t="str">
        <f t="shared" si="3"/>
        <v>TK-21</v>
      </c>
      <c r="T21" s="14" t="s">
        <v>42</v>
      </c>
      <c r="U21" s="12" t="s">
        <v>286</v>
      </c>
      <c r="V21" s="15">
        <v>0.0</v>
      </c>
      <c r="W21" s="13" t="str">
        <f t="shared" si="4"/>
        <v>TK-21</v>
      </c>
      <c r="X21" s="14" t="s">
        <v>42</v>
      </c>
      <c r="Y21" s="22"/>
      <c r="Z21" s="12"/>
      <c r="AA21" s="4"/>
      <c r="AB21" s="4"/>
      <c r="AC21" s="22"/>
      <c r="AD21" s="12"/>
      <c r="AE21" s="13" t="str">
        <f t="shared" si="6"/>
        <v/>
      </c>
      <c r="AF21" s="4"/>
      <c r="AG21" s="22"/>
      <c r="AH21" s="12"/>
      <c r="AI21" s="13" t="str">
        <f t="shared" si="7"/>
        <v/>
      </c>
      <c r="AJ21" s="4"/>
      <c r="AK21" s="22"/>
      <c r="AL21" s="12"/>
      <c r="AM21" s="13" t="str">
        <f t="shared" si="8"/>
        <v/>
      </c>
      <c r="AN21" s="4"/>
      <c r="AO21" s="22"/>
      <c r="AP21" s="12"/>
      <c r="AQ21" s="13" t="str">
        <f t="shared" si="9"/>
        <v/>
      </c>
      <c r="AR21" s="4"/>
      <c r="AS21" s="22"/>
      <c r="AT21" s="12"/>
      <c r="AU21" s="13" t="str">
        <f t="shared" si="10"/>
        <v/>
      </c>
      <c r="AV21" s="4"/>
      <c r="AW21" s="22"/>
      <c r="AX21" s="22"/>
      <c r="AY21" s="13" t="str">
        <f t="shared" si="11"/>
        <v/>
      </c>
      <c r="AZ21" s="4"/>
      <c r="BA21" s="22"/>
      <c r="BB21" s="22"/>
      <c r="BC21" s="13" t="str">
        <f t="shared" si="12"/>
        <v/>
      </c>
      <c r="BD21" s="4"/>
      <c r="BE21" s="4"/>
      <c r="BF21" s="4"/>
      <c r="BG21" s="4"/>
      <c r="BH21" s="4"/>
      <c r="BI21" s="4"/>
      <c r="BJ21" s="4"/>
      <c r="BK21" s="4"/>
      <c r="BL21" s="4"/>
      <c r="BM21" s="22"/>
      <c r="BN21" s="22"/>
      <c r="BO21" s="13" t="str">
        <f t="shared" si="13"/>
        <v/>
      </c>
      <c r="BP21" s="4"/>
      <c r="BQ21" s="22"/>
      <c r="BR21" s="22"/>
      <c r="BS21" s="13" t="str">
        <f t="shared" si="14"/>
        <v/>
      </c>
      <c r="BT21" s="4"/>
      <c r="BU21" s="4"/>
      <c r="BV21" s="4"/>
      <c r="BW21" s="4"/>
      <c r="BX21" s="4"/>
      <c r="BY21" s="4"/>
      <c r="BZ21" s="4"/>
      <c r="CA21" s="4"/>
      <c r="CB21" s="4"/>
      <c r="CC21" s="22"/>
      <c r="CD21" s="22"/>
      <c r="CE21" s="13" t="str">
        <f t="shared" si="15"/>
        <v/>
      </c>
      <c r="CF21" s="4"/>
      <c r="CG21" s="4"/>
      <c r="CH21" s="4"/>
      <c r="CI21" s="4"/>
      <c r="CJ21" s="4"/>
      <c r="CK21" s="22"/>
      <c r="CL21" s="22"/>
      <c r="CM21" s="13" t="str">
        <f t="shared" si="16"/>
        <v/>
      </c>
      <c r="CN21" s="4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</row>
    <row r="22" ht="15.75" customHeight="1">
      <c r="A22" s="5">
        <v>1856.0</v>
      </c>
      <c r="B22" s="6" t="s">
        <v>36</v>
      </c>
      <c r="C22" s="7" t="str">
        <f t="shared" si="1"/>
        <v>TK-22_BS VI MS</v>
      </c>
      <c r="D22" s="19" t="s">
        <v>287</v>
      </c>
      <c r="E22" s="20" t="s">
        <v>155</v>
      </c>
      <c r="F22" s="19" t="s">
        <v>102</v>
      </c>
      <c r="G22" s="10" t="s">
        <v>40</v>
      </c>
      <c r="H22" s="11">
        <v>0.0</v>
      </c>
      <c r="I22" s="12" t="s">
        <v>288</v>
      </c>
      <c r="J22" s="4"/>
      <c r="K22" s="13" t="str">
        <f t="shared" si="2"/>
        <v>TK-22</v>
      </c>
      <c r="L22" s="14" t="s">
        <v>42</v>
      </c>
      <c r="M22" s="4"/>
      <c r="N22" s="4"/>
      <c r="O22" s="12" t="s">
        <v>289</v>
      </c>
      <c r="P22" s="15">
        <v>0.0</v>
      </c>
      <c r="Q22" s="12" t="s">
        <v>290</v>
      </c>
      <c r="R22" s="15">
        <v>0.0</v>
      </c>
      <c r="S22" s="13" t="str">
        <f t="shared" si="3"/>
        <v>TK-22</v>
      </c>
      <c r="T22" s="14" t="s">
        <v>42</v>
      </c>
      <c r="U22" s="12" t="s">
        <v>291</v>
      </c>
      <c r="V22" s="15">
        <v>0.0</v>
      </c>
      <c r="W22" s="13" t="str">
        <f t="shared" si="4"/>
        <v>TK-22</v>
      </c>
      <c r="X22" s="14" t="s">
        <v>42</v>
      </c>
      <c r="Y22" s="22"/>
      <c r="Z22" s="12"/>
      <c r="AA22" s="4"/>
      <c r="AB22" s="4"/>
      <c r="AC22" s="22"/>
      <c r="AD22" s="12"/>
      <c r="AE22" s="13" t="str">
        <f t="shared" si="6"/>
        <v/>
      </c>
      <c r="AF22" s="4"/>
      <c r="AG22" s="22"/>
      <c r="AH22" s="12"/>
      <c r="AI22" s="13" t="str">
        <f t="shared" si="7"/>
        <v/>
      </c>
      <c r="AJ22" s="4"/>
      <c r="AK22" s="22"/>
      <c r="AL22" s="12"/>
      <c r="AM22" s="13" t="str">
        <f t="shared" si="8"/>
        <v/>
      </c>
      <c r="AN22" s="4"/>
      <c r="AO22" s="22"/>
      <c r="AP22" s="12"/>
      <c r="AQ22" s="13" t="str">
        <f t="shared" si="9"/>
        <v/>
      </c>
      <c r="AR22" s="4"/>
      <c r="AS22" s="22"/>
      <c r="AT22" s="12"/>
      <c r="AU22" s="13" t="str">
        <f t="shared" si="10"/>
        <v/>
      </c>
      <c r="AV22" s="4"/>
      <c r="AW22" s="22"/>
      <c r="AX22" s="22"/>
      <c r="AY22" s="13" t="str">
        <f t="shared" si="11"/>
        <v/>
      </c>
      <c r="AZ22" s="4"/>
      <c r="BA22" s="22"/>
      <c r="BB22" s="22"/>
      <c r="BC22" s="13" t="str">
        <f t="shared" si="12"/>
        <v/>
      </c>
      <c r="BD22" s="4"/>
      <c r="BE22" s="4"/>
      <c r="BF22" s="4"/>
      <c r="BG22" s="4"/>
      <c r="BH22" s="4"/>
      <c r="BI22" s="4"/>
      <c r="BJ22" s="4"/>
      <c r="BK22" s="4"/>
      <c r="BL22" s="4"/>
      <c r="BM22" s="22"/>
      <c r="BN22" s="22"/>
      <c r="BO22" s="13" t="str">
        <f t="shared" si="13"/>
        <v/>
      </c>
      <c r="BP22" s="4"/>
      <c r="BQ22" s="22"/>
      <c r="BR22" s="22"/>
      <c r="BS22" s="13" t="str">
        <f t="shared" si="14"/>
        <v/>
      </c>
      <c r="BT22" s="4"/>
      <c r="BU22" s="4"/>
      <c r="BV22" s="4"/>
      <c r="BW22" s="4"/>
      <c r="BX22" s="4"/>
      <c r="BY22" s="4"/>
      <c r="BZ22" s="4"/>
      <c r="CA22" s="4"/>
      <c r="CB22" s="4"/>
      <c r="CC22" s="22"/>
      <c r="CD22" s="22"/>
      <c r="CE22" s="13" t="str">
        <f t="shared" si="15"/>
        <v/>
      </c>
      <c r="CF22" s="4"/>
      <c r="CG22" s="4"/>
      <c r="CH22" s="4"/>
      <c r="CI22" s="4"/>
      <c r="CJ22" s="4"/>
      <c r="CK22" s="22"/>
      <c r="CL22" s="22"/>
      <c r="CM22" s="13" t="str">
        <f t="shared" si="16"/>
        <v/>
      </c>
      <c r="CN22" s="4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</row>
    <row r="23" ht="15.75" customHeight="1">
      <c r="A23" s="5">
        <v>1856.0</v>
      </c>
      <c r="B23" s="6" t="s">
        <v>36</v>
      </c>
      <c r="C23" s="7" t="str">
        <f t="shared" si="1"/>
        <v>TK-23_ATF</v>
      </c>
      <c r="D23" s="19" t="s">
        <v>292</v>
      </c>
      <c r="E23" s="20" t="s">
        <v>155</v>
      </c>
      <c r="F23" s="19" t="s">
        <v>39</v>
      </c>
      <c r="G23" s="10" t="s">
        <v>40</v>
      </c>
      <c r="H23" s="11">
        <v>0.0</v>
      </c>
      <c r="I23" s="23" t="s">
        <v>293</v>
      </c>
      <c r="J23" s="4"/>
      <c r="K23" s="13" t="str">
        <f t="shared" si="2"/>
        <v/>
      </c>
      <c r="L23" s="4"/>
      <c r="M23" s="4"/>
      <c r="N23" s="4"/>
      <c r="O23" s="12" t="s">
        <v>294</v>
      </c>
      <c r="P23" s="15">
        <v>0.0</v>
      </c>
      <c r="Q23" s="12" t="s">
        <v>295</v>
      </c>
      <c r="R23" s="15">
        <v>0.0</v>
      </c>
      <c r="S23" s="13" t="str">
        <f t="shared" si="3"/>
        <v>TK-23</v>
      </c>
      <c r="T23" s="14" t="s">
        <v>42</v>
      </c>
      <c r="U23" s="12" t="s">
        <v>296</v>
      </c>
      <c r="V23" s="15">
        <v>0.0</v>
      </c>
      <c r="W23" s="13" t="str">
        <f t="shared" si="4"/>
        <v>TK-23</v>
      </c>
      <c r="X23" s="14" t="s">
        <v>42</v>
      </c>
      <c r="Y23" s="12" t="s">
        <v>297</v>
      </c>
      <c r="Z23" s="15">
        <v>0.0</v>
      </c>
      <c r="AA23" s="13" t="str">
        <f t="shared" ref="AA23:AA24" si="18">mid(Y23,13,6)</f>
        <v>LSW-12</v>
      </c>
      <c r="AB23" s="14" t="s">
        <v>47</v>
      </c>
      <c r="AC23" s="12" t="s">
        <v>298</v>
      </c>
      <c r="AD23" s="15">
        <v>0.0</v>
      </c>
      <c r="AE23" s="13" t="str">
        <f t="shared" si="6"/>
        <v>LSW-12</v>
      </c>
      <c r="AF23" s="14" t="s">
        <v>47</v>
      </c>
      <c r="AG23" s="12" t="s">
        <v>299</v>
      </c>
      <c r="AH23" s="15">
        <v>0.0</v>
      </c>
      <c r="AI23" s="13" t="str">
        <f t="shared" si="7"/>
        <v>LSW-12</v>
      </c>
      <c r="AJ23" s="14" t="s">
        <v>47</v>
      </c>
      <c r="AK23" s="12" t="s">
        <v>300</v>
      </c>
      <c r="AL23" s="15">
        <v>0.0</v>
      </c>
      <c r="AM23" s="13" t="str">
        <f t="shared" si="8"/>
        <v>RDR-12</v>
      </c>
      <c r="AN23" s="16" t="s">
        <v>51</v>
      </c>
      <c r="AO23" s="12" t="s">
        <v>301</v>
      </c>
      <c r="AP23" s="15">
        <v>0.0</v>
      </c>
      <c r="AQ23" s="13" t="str">
        <f t="shared" si="9"/>
        <v>RDR-12</v>
      </c>
      <c r="AR23" s="16" t="s">
        <v>51</v>
      </c>
      <c r="AS23" s="12" t="s">
        <v>302</v>
      </c>
      <c r="AT23" s="15">
        <v>0.0</v>
      </c>
      <c r="AU23" s="13" t="str">
        <f t="shared" si="10"/>
        <v>RDR-12</v>
      </c>
      <c r="AV23" s="16" t="s">
        <v>51</v>
      </c>
      <c r="AW23" s="12" t="s">
        <v>303</v>
      </c>
      <c r="AX23" s="15">
        <v>0.0</v>
      </c>
      <c r="AY23" s="13" t="str">
        <f t="shared" si="11"/>
        <v>ROSOV-41</v>
      </c>
      <c r="AZ23" s="16" t="s">
        <v>55</v>
      </c>
      <c r="BA23" s="12" t="s">
        <v>304</v>
      </c>
      <c r="BB23" s="15">
        <v>0.0</v>
      </c>
      <c r="BC23" s="13" t="str">
        <f t="shared" si="12"/>
        <v>ROSOV-41</v>
      </c>
      <c r="BD23" s="14" t="s">
        <v>57</v>
      </c>
      <c r="BE23" s="4"/>
      <c r="BF23" s="4"/>
      <c r="BG23" s="4"/>
      <c r="BH23" s="4"/>
      <c r="BI23" s="4"/>
      <c r="BJ23" s="4"/>
      <c r="BK23" s="4"/>
      <c r="BL23" s="4"/>
      <c r="BM23" s="12" t="s">
        <v>305</v>
      </c>
      <c r="BN23" s="15">
        <v>0.0</v>
      </c>
      <c r="BO23" s="13" t="str">
        <f t="shared" si="13"/>
        <v>ROSOV-42</v>
      </c>
      <c r="BP23" s="16" t="s">
        <v>59</v>
      </c>
      <c r="BQ23" s="12" t="s">
        <v>306</v>
      </c>
      <c r="BR23" s="15">
        <v>0.0</v>
      </c>
      <c r="BS23" s="13" t="str">
        <f t="shared" si="14"/>
        <v>ROSOV-42</v>
      </c>
      <c r="BT23" s="16" t="s">
        <v>61</v>
      </c>
      <c r="BU23" s="4"/>
      <c r="BV23" s="4"/>
      <c r="BW23" s="4"/>
      <c r="BX23" s="4"/>
      <c r="BY23" s="4"/>
      <c r="BZ23" s="4"/>
      <c r="CA23" s="4"/>
      <c r="CB23" s="4"/>
      <c r="CC23" s="18" t="s">
        <v>307</v>
      </c>
      <c r="CD23" s="15">
        <v>0.0</v>
      </c>
      <c r="CE23" s="13" t="str">
        <f t="shared" si="15"/>
        <v>MOV-034</v>
      </c>
      <c r="CF23" s="16" t="s">
        <v>63</v>
      </c>
      <c r="CG23" s="4"/>
      <c r="CH23" s="4"/>
      <c r="CI23" s="4"/>
      <c r="CJ23" s="4"/>
      <c r="CK23" s="18" t="s">
        <v>308</v>
      </c>
      <c r="CL23" s="15">
        <v>0.0</v>
      </c>
      <c r="CM23" s="13" t="str">
        <f t="shared" si="16"/>
        <v>MOV-035</v>
      </c>
      <c r="CN23" s="16" t="s">
        <v>65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</row>
    <row r="24" ht="15.75" customHeight="1">
      <c r="A24" s="5">
        <v>1856.0</v>
      </c>
      <c r="B24" s="6" t="s">
        <v>36</v>
      </c>
      <c r="C24" s="7" t="str">
        <f t="shared" si="1"/>
        <v>TK-24_ATF</v>
      </c>
      <c r="D24" s="19" t="s">
        <v>309</v>
      </c>
      <c r="E24" s="20" t="s">
        <v>155</v>
      </c>
      <c r="F24" s="19" t="s">
        <v>39</v>
      </c>
      <c r="G24" s="10" t="s">
        <v>40</v>
      </c>
      <c r="H24" s="11">
        <v>0.0</v>
      </c>
      <c r="I24" s="23" t="s">
        <v>293</v>
      </c>
      <c r="J24" s="4"/>
      <c r="K24" s="13" t="str">
        <f t="shared" si="2"/>
        <v/>
      </c>
      <c r="L24" s="4"/>
      <c r="M24" s="4"/>
      <c r="N24" s="4"/>
      <c r="O24" s="12" t="s">
        <v>310</v>
      </c>
      <c r="P24" s="15">
        <v>0.0</v>
      </c>
      <c r="Q24" s="12" t="s">
        <v>311</v>
      </c>
      <c r="R24" s="15">
        <v>0.0</v>
      </c>
      <c r="S24" s="13" t="str">
        <f t="shared" si="3"/>
        <v>TK-24</v>
      </c>
      <c r="T24" s="14" t="s">
        <v>42</v>
      </c>
      <c r="U24" s="12" t="s">
        <v>312</v>
      </c>
      <c r="V24" s="15">
        <v>0.0</v>
      </c>
      <c r="W24" s="13" t="str">
        <f t="shared" si="4"/>
        <v>TK-24</v>
      </c>
      <c r="X24" s="14" t="s">
        <v>42</v>
      </c>
      <c r="Y24" s="12" t="s">
        <v>313</v>
      </c>
      <c r="Z24" s="15">
        <v>0.0</v>
      </c>
      <c r="AA24" s="13" t="str">
        <f t="shared" si="18"/>
        <v>LSW-13</v>
      </c>
      <c r="AB24" s="14" t="s">
        <v>47</v>
      </c>
      <c r="AC24" s="12" t="s">
        <v>314</v>
      </c>
      <c r="AD24" s="15">
        <v>0.0</v>
      </c>
      <c r="AE24" s="13" t="str">
        <f t="shared" si="6"/>
        <v>LSW-13</v>
      </c>
      <c r="AF24" s="14" t="s">
        <v>47</v>
      </c>
      <c r="AG24" s="12" t="s">
        <v>315</v>
      </c>
      <c r="AH24" s="15">
        <v>0.0</v>
      </c>
      <c r="AI24" s="13" t="str">
        <f t="shared" si="7"/>
        <v>LSW-13</v>
      </c>
      <c r="AJ24" s="14" t="s">
        <v>47</v>
      </c>
      <c r="AK24" s="12" t="s">
        <v>316</v>
      </c>
      <c r="AL24" s="15">
        <v>0.0</v>
      </c>
      <c r="AM24" s="13" t="str">
        <f t="shared" si="8"/>
        <v>RDR-13</v>
      </c>
      <c r="AN24" s="16" t="s">
        <v>51</v>
      </c>
      <c r="AO24" s="12" t="s">
        <v>317</v>
      </c>
      <c r="AP24" s="15">
        <v>0.0</v>
      </c>
      <c r="AQ24" s="13" t="str">
        <f t="shared" si="9"/>
        <v>RDR-13</v>
      </c>
      <c r="AR24" s="16" t="s">
        <v>51</v>
      </c>
      <c r="AS24" s="12" t="s">
        <v>318</v>
      </c>
      <c r="AT24" s="15">
        <v>0.0</v>
      </c>
      <c r="AU24" s="13" t="str">
        <f t="shared" si="10"/>
        <v>RDR-13</v>
      </c>
      <c r="AV24" s="16" t="s">
        <v>51</v>
      </c>
      <c r="AW24" s="12" t="s">
        <v>319</v>
      </c>
      <c r="AX24" s="15">
        <v>0.0</v>
      </c>
      <c r="AY24" s="13" t="str">
        <f t="shared" si="11"/>
        <v>ROSOV-43</v>
      </c>
      <c r="AZ24" s="16" t="s">
        <v>55</v>
      </c>
      <c r="BA24" s="12" t="s">
        <v>320</v>
      </c>
      <c r="BB24" s="15">
        <v>0.0</v>
      </c>
      <c r="BC24" s="13" t="str">
        <f t="shared" si="12"/>
        <v>ROSOV-43</v>
      </c>
      <c r="BD24" s="14" t="s">
        <v>57</v>
      </c>
      <c r="BE24" s="4"/>
      <c r="BF24" s="4"/>
      <c r="BG24" s="4"/>
      <c r="BH24" s="4"/>
      <c r="BI24" s="4"/>
      <c r="BJ24" s="4"/>
      <c r="BK24" s="4"/>
      <c r="BL24" s="4"/>
      <c r="BM24" s="12" t="s">
        <v>321</v>
      </c>
      <c r="BN24" s="15">
        <v>0.0</v>
      </c>
      <c r="BO24" s="13" t="str">
        <f t="shared" si="13"/>
        <v>ROSOV-44</v>
      </c>
      <c r="BP24" s="16" t="s">
        <v>59</v>
      </c>
      <c r="BQ24" s="12" t="s">
        <v>322</v>
      </c>
      <c r="BR24" s="15">
        <v>0.0</v>
      </c>
      <c r="BS24" s="13" t="str">
        <f t="shared" si="14"/>
        <v>ROSOV-44</v>
      </c>
      <c r="BT24" s="16" t="s">
        <v>61</v>
      </c>
      <c r="BU24" s="4"/>
      <c r="BV24" s="4"/>
      <c r="BW24" s="4"/>
      <c r="BX24" s="4"/>
      <c r="BY24" s="4"/>
      <c r="BZ24" s="4"/>
      <c r="CA24" s="4"/>
      <c r="CB24" s="4"/>
      <c r="CC24" s="18" t="s">
        <v>323</v>
      </c>
      <c r="CD24" s="15">
        <v>0.0</v>
      </c>
      <c r="CE24" s="13" t="str">
        <f t="shared" si="15"/>
        <v>MOV-036</v>
      </c>
      <c r="CF24" s="16" t="s">
        <v>63</v>
      </c>
      <c r="CG24" s="4"/>
      <c r="CH24" s="4"/>
      <c r="CI24" s="4"/>
      <c r="CJ24" s="4"/>
      <c r="CK24" s="18" t="s">
        <v>324</v>
      </c>
      <c r="CL24" s="15">
        <v>0.0</v>
      </c>
      <c r="CM24" s="13" t="str">
        <f t="shared" si="16"/>
        <v>MOV-037</v>
      </c>
      <c r="CN24" s="16" t="s">
        <v>65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</row>
    <row r="25" ht="15.75" customHeight="1">
      <c r="A25" s="5">
        <v>1856.0</v>
      </c>
      <c r="B25" s="6" t="s">
        <v>36</v>
      </c>
      <c r="C25" s="7" t="str">
        <f t="shared" si="1"/>
        <v>TK-29_BIO DIESEL</v>
      </c>
      <c r="D25" s="19" t="s">
        <v>325</v>
      </c>
      <c r="E25" s="20" t="s">
        <v>155</v>
      </c>
      <c r="F25" s="19" t="s">
        <v>326</v>
      </c>
      <c r="G25" s="10" t="s">
        <v>40</v>
      </c>
      <c r="H25" s="11">
        <v>0.0</v>
      </c>
      <c r="I25" s="12" t="s">
        <v>327</v>
      </c>
      <c r="J25" s="4"/>
      <c r="K25" s="13" t="str">
        <f t="shared" si="2"/>
        <v>TK-29</v>
      </c>
      <c r="L25" s="14" t="s">
        <v>42</v>
      </c>
      <c r="M25" s="4"/>
      <c r="N25" s="4"/>
      <c r="O25" s="12" t="s">
        <v>328</v>
      </c>
      <c r="P25" s="15">
        <v>0.0</v>
      </c>
      <c r="Q25" s="12" t="s">
        <v>329</v>
      </c>
      <c r="R25" s="15">
        <v>0.0</v>
      </c>
      <c r="S25" s="13" t="str">
        <f t="shared" si="3"/>
        <v>TK-29</v>
      </c>
      <c r="T25" s="14" t="s">
        <v>42</v>
      </c>
      <c r="U25" s="12" t="s">
        <v>330</v>
      </c>
      <c r="V25" s="15">
        <v>0.0</v>
      </c>
      <c r="W25" s="13" t="str">
        <f t="shared" si="4"/>
        <v>TK-29</v>
      </c>
      <c r="X25" s="14" t="s">
        <v>42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13" t="str">
        <f t="shared" si="16"/>
        <v/>
      </c>
      <c r="CN25" s="4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</row>
    <row r="26" ht="15.75" customHeight="1">
      <c r="A26" s="5">
        <v>1856.0</v>
      </c>
      <c r="B26" s="6" t="s">
        <v>36</v>
      </c>
      <c r="C26" s="7" t="str">
        <f t="shared" si="1"/>
        <v>TK-30_BIO DIESEL</v>
      </c>
      <c r="D26" s="19" t="s">
        <v>331</v>
      </c>
      <c r="E26" s="20" t="s">
        <v>155</v>
      </c>
      <c r="F26" s="19" t="s">
        <v>326</v>
      </c>
      <c r="G26" s="10" t="s">
        <v>40</v>
      </c>
      <c r="H26" s="11">
        <v>0.0</v>
      </c>
      <c r="I26" s="12" t="s">
        <v>332</v>
      </c>
      <c r="J26" s="4"/>
      <c r="K26" s="13" t="str">
        <f t="shared" si="2"/>
        <v>TK-30</v>
      </c>
      <c r="L26" s="14" t="s">
        <v>42</v>
      </c>
      <c r="M26" s="4"/>
      <c r="N26" s="4"/>
      <c r="O26" s="12" t="s">
        <v>333</v>
      </c>
      <c r="P26" s="15">
        <v>0.0</v>
      </c>
      <c r="Q26" s="12" t="s">
        <v>334</v>
      </c>
      <c r="R26" s="15">
        <v>0.0</v>
      </c>
      <c r="S26" s="13" t="str">
        <f t="shared" si="3"/>
        <v>TK-30</v>
      </c>
      <c r="T26" s="14" t="s">
        <v>42</v>
      </c>
      <c r="U26" s="12" t="s">
        <v>335</v>
      </c>
      <c r="V26" s="15">
        <v>0.0</v>
      </c>
      <c r="W26" s="13" t="str">
        <f t="shared" si="4"/>
        <v>TK-30</v>
      </c>
      <c r="X26" s="14" t="s">
        <v>42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13" t="str">
        <f t="shared" si="16"/>
        <v/>
      </c>
      <c r="CN26" s="4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</row>
    <row r="27" ht="15.75" customHeight="1">
      <c r="G27" s="21"/>
      <c r="H27" s="21"/>
      <c r="I27" s="21"/>
      <c r="J27" s="21"/>
      <c r="K27" s="21"/>
      <c r="L27" s="21"/>
      <c r="M27" s="21"/>
      <c r="N27" s="21"/>
      <c r="O27" s="24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</row>
    <row r="28" ht="15.75" customHeight="1">
      <c r="G28" s="21"/>
      <c r="H28" s="21"/>
      <c r="I28" s="21"/>
      <c r="J28" s="21"/>
      <c r="K28" s="21"/>
      <c r="L28" s="21"/>
      <c r="M28" s="21"/>
      <c r="N28" s="21"/>
      <c r="O28" s="25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</row>
    <row r="29" ht="15.75" customHeight="1">
      <c r="G29" s="21"/>
      <c r="H29" s="21"/>
      <c r="I29" s="21"/>
      <c r="J29" s="21"/>
      <c r="K29" s="21"/>
      <c r="L29" s="21"/>
      <c r="M29" s="21"/>
      <c r="N29" s="21"/>
      <c r="O29" s="25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</row>
    <row r="30" ht="15.75" customHeight="1">
      <c r="G30" s="21"/>
      <c r="H30" s="21"/>
      <c r="I30" s="21"/>
      <c r="J30" s="21"/>
      <c r="K30" s="21"/>
      <c r="L30" s="21"/>
      <c r="M30" s="21"/>
      <c r="N30" s="21"/>
      <c r="O30" s="25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</row>
    <row r="31" ht="15.75" customHeight="1">
      <c r="G31" s="21"/>
      <c r="H31" s="21"/>
      <c r="I31" s="21"/>
      <c r="J31" s="21"/>
      <c r="K31" s="21"/>
      <c r="L31" s="21"/>
      <c r="M31" s="21"/>
      <c r="N31" s="21"/>
      <c r="O31" s="25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</row>
    <row r="32" ht="15.75" customHeight="1">
      <c r="G32" s="21"/>
      <c r="H32" s="21"/>
      <c r="I32" s="21"/>
      <c r="J32" s="21"/>
      <c r="K32" s="21"/>
      <c r="L32" s="21"/>
      <c r="M32" s="21"/>
      <c r="N32" s="21"/>
      <c r="O32" s="25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</row>
    <row r="33" ht="15.75" customHeight="1">
      <c r="G33" s="21"/>
      <c r="H33" s="21"/>
      <c r="I33" s="21"/>
      <c r="J33" s="21"/>
      <c r="K33" s="21"/>
      <c r="L33" s="21"/>
      <c r="M33" s="21"/>
      <c r="N33" s="21"/>
      <c r="O33" s="25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</row>
    <row r="34" ht="15.75" customHeight="1">
      <c r="G34" s="21"/>
      <c r="H34" s="21"/>
      <c r="I34" s="21"/>
      <c r="J34" s="21"/>
      <c r="K34" s="21"/>
      <c r="L34" s="21"/>
      <c r="M34" s="21"/>
      <c r="N34" s="21"/>
      <c r="O34" s="25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</row>
    <row r="35" ht="15.75" customHeight="1">
      <c r="G35" s="21"/>
      <c r="H35" s="21"/>
      <c r="I35" s="21"/>
      <c r="J35" s="21"/>
      <c r="K35" s="21"/>
      <c r="L35" s="21"/>
      <c r="M35" s="21"/>
      <c r="N35" s="21"/>
      <c r="O35" s="25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</row>
    <row r="36" ht="15.75" customHeight="1">
      <c r="G36" s="21"/>
      <c r="H36" s="21"/>
      <c r="I36" s="21"/>
      <c r="J36" s="21"/>
      <c r="K36" s="21"/>
      <c r="L36" s="21"/>
      <c r="M36" s="21"/>
      <c r="N36" s="21"/>
      <c r="O36" s="25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</row>
    <row r="37" ht="15.75" customHeight="1">
      <c r="G37" s="21"/>
      <c r="H37" s="21"/>
      <c r="I37" s="21"/>
      <c r="J37" s="21"/>
      <c r="K37" s="21"/>
      <c r="L37" s="21"/>
      <c r="M37" s="21"/>
      <c r="N37" s="21"/>
      <c r="O37" s="25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</row>
    <row r="38" ht="15.75" customHeight="1">
      <c r="G38" s="21"/>
      <c r="H38" s="21"/>
      <c r="I38" s="21"/>
      <c r="J38" s="21"/>
      <c r="K38" s="21"/>
      <c r="L38" s="21"/>
      <c r="M38" s="21"/>
      <c r="N38" s="21"/>
      <c r="O38" s="25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</row>
    <row r="39" ht="15.75" customHeight="1">
      <c r="G39" s="21"/>
      <c r="H39" s="21"/>
      <c r="I39" s="21"/>
      <c r="J39" s="21"/>
      <c r="K39" s="21"/>
      <c r="L39" s="21"/>
      <c r="M39" s="21"/>
      <c r="N39" s="21"/>
      <c r="O39" s="25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</row>
    <row r="40" ht="15.75" customHeight="1">
      <c r="G40" s="21"/>
      <c r="H40" s="21"/>
      <c r="I40" s="21"/>
      <c r="J40" s="21"/>
      <c r="K40" s="21"/>
      <c r="L40" s="21"/>
      <c r="M40" s="21"/>
      <c r="N40" s="21"/>
      <c r="O40" s="25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</row>
    <row r="41" ht="15.75" customHeight="1">
      <c r="G41" s="21"/>
      <c r="H41" s="21"/>
      <c r="I41" s="21"/>
      <c r="J41" s="21"/>
      <c r="K41" s="21"/>
      <c r="L41" s="21"/>
      <c r="M41" s="21"/>
      <c r="N41" s="21"/>
      <c r="O41" s="25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</row>
    <row r="42" ht="15.75" customHeight="1">
      <c r="G42" s="21"/>
      <c r="H42" s="21"/>
      <c r="I42" s="21"/>
      <c r="J42" s="21"/>
      <c r="K42" s="21"/>
      <c r="L42" s="21"/>
      <c r="M42" s="21"/>
      <c r="N42" s="21"/>
      <c r="O42" s="25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</row>
    <row r="43" ht="15.75" customHeight="1">
      <c r="G43" s="21"/>
      <c r="H43" s="21"/>
      <c r="I43" s="21"/>
      <c r="J43" s="21"/>
      <c r="K43" s="21"/>
      <c r="L43" s="21"/>
      <c r="M43" s="21"/>
      <c r="N43" s="21"/>
      <c r="O43" s="25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</row>
    <row r="44" ht="15.75" customHeight="1">
      <c r="G44" s="21"/>
      <c r="H44" s="21"/>
      <c r="I44" s="21"/>
      <c r="J44" s="21"/>
      <c r="K44" s="21"/>
      <c r="L44" s="21"/>
      <c r="M44" s="21"/>
      <c r="N44" s="21"/>
      <c r="O44" s="25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</row>
    <row r="45" ht="15.75" customHeight="1">
      <c r="G45" s="21"/>
      <c r="H45" s="21"/>
      <c r="I45" s="21"/>
      <c r="J45" s="21"/>
      <c r="K45" s="21"/>
      <c r="L45" s="21"/>
      <c r="M45" s="21"/>
      <c r="N45" s="21"/>
      <c r="O45" s="25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</row>
    <row r="46" ht="15.75" customHeight="1">
      <c r="G46" s="21"/>
      <c r="H46" s="21"/>
      <c r="I46" s="21"/>
      <c r="J46" s="21"/>
      <c r="K46" s="21"/>
      <c r="L46" s="21"/>
      <c r="M46" s="21"/>
      <c r="N46" s="21"/>
      <c r="O46" s="25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</row>
    <row r="47" ht="15.75" customHeight="1">
      <c r="G47" s="21"/>
      <c r="H47" s="21"/>
      <c r="I47" s="21"/>
      <c r="J47" s="21"/>
      <c r="K47" s="21"/>
      <c r="L47" s="21"/>
      <c r="M47" s="21"/>
      <c r="N47" s="21"/>
      <c r="O47" s="25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</row>
    <row r="48" ht="15.75" customHeight="1">
      <c r="G48" s="21"/>
      <c r="H48" s="21"/>
      <c r="I48" s="21"/>
      <c r="J48" s="21"/>
      <c r="K48" s="21"/>
      <c r="L48" s="21"/>
      <c r="M48" s="21"/>
      <c r="N48" s="21"/>
      <c r="O48" s="25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</row>
    <row r="49" ht="15.75" customHeight="1">
      <c r="G49" s="21"/>
      <c r="H49" s="21"/>
      <c r="I49" s="21"/>
      <c r="J49" s="21"/>
      <c r="K49" s="21"/>
      <c r="L49" s="21"/>
      <c r="M49" s="21"/>
      <c r="N49" s="21"/>
      <c r="O49" s="25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</row>
    <row r="50" ht="15.75" customHeight="1">
      <c r="G50" s="21"/>
      <c r="H50" s="21"/>
      <c r="I50" s="21"/>
      <c r="J50" s="21"/>
      <c r="K50" s="21"/>
      <c r="L50" s="21"/>
      <c r="M50" s="21"/>
      <c r="N50" s="21"/>
      <c r="O50" s="25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</row>
    <row r="51" ht="15.75" customHeight="1">
      <c r="G51" s="21"/>
      <c r="H51" s="21"/>
      <c r="I51" s="21"/>
      <c r="J51" s="21"/>
      <c r="K51" s="21"/>
      <c r="L51" s="21"/>
      <c r="M51" s="21"/>
      <c r="N51" s="21"/>
      <c r="O51" s="25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</row>
    <row r="52" ht="15.75" customHeight="1">
      <c r="G52" s="21"/>
      <c r="H52" s="21"/>
      <c r="I52" s="21"/>
      <c r="J52" s="21"/>
      <c r="K52" s="21"/>
      <c r="L52" s="21"/>
      <c r="M52" s="21"/>
      <c r="N52" s="21"/>
      <c r="O52" s="25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</row>
    <row r="53" ht="15.75" customHeight="1">
      <c r="G53" s="21"/>
      <c r="H53" s="21"/>
      <c r="I53" s="21"/>
      <c r="J53" s="21"/>
      <c r="K53" s="21"/>
      <c r="L53" s="21"/>
      <c r="M53" s="21"/>
      <c r="N53" s="21"/>
      <c r="O53" s="25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</row>
    <row r="54" ht="15.75" customHeight="1">
      <c r="G54" s="21"/>
      <c r="H54" s="21"/>
      <c r="I54" s="21"/>
      <c r="J54" s="21"/>
      <c r="K54" s="21"/>
      <c r="L54" s="21"/>
      <c r="M54" s="21"/>
      <c r="N54" s="21"/>
      <c r="O54" s="25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</row>
    <row r="55" ht="15.75" customHeight="1">
      <c r="G55" s="21"/>
      <c r="H55" s="21"/>
      <c r="I55" s="21"/>
      <c r="J55" s="21"/>
      <c r="K55" s="21"/>
      <c r="L55" s="21"/>
      <c r="M55" s="21"/>
      <c r="N55" s="21"/>
      <c r="O55" s="25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</row>
    <row r="56" ht="15.75" customHeight="1">
      <c r="G56" s="21"/>
      <c r="H56" s="21"/>
      <c r="I56" s="21"/>
      <c r="J56" s="21"/>
      <c r="K56" s="21"/>
      <c r="L56" s="21"/>
      <c r="M56" s="21"/>
      <c r="N56" s="21"/>
      <c r="O56" s="25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</row>
    <row r="57" ht="15.75" customHeight="1">
      <c r="G57" s="21"/>
      <c r="H57" s="21"/>
      <c r="I57" s="21"/>
      <c r="J57" s="21"/>
      <c r="K57" s="21"/>
      <c r="L57" s="21"/>
      <c r="M57" s="21"/>
      <c r="N57" s="21"/>
      <c r="O57" s="25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</row>
    <row r="58" ht="15.75" customHeight="1">
      <c r="G58" s="21"/>
      <c r="H58" s="21"/>
      <c r="I58" s="21"/>
      <c r="J58" s="21"/>
      <c r="K58" s="21"/>
      <c r="L58" s="21"/>
      <c r="M58" s="21"/>
      <c r="N58" s="21"/>
      <c r="O58" s="25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</row>
    <row r="59" ht="15.75" customHeight="1">
      <c r="G59" s="21"/>
      <c r="H59" s="21"/>
      <c r="I59" s="21"/>
      <c r="J59" s="21"/>
      <c r="K59" s="21"/>
      <c r="L59" s="21"/>
      <c r="M59" s="21"/>
      <c r="N59" s="21"/>
      <c r="O59" s="25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</row>
    <row r="60" ht="15.75" customHeight="1">
      <c r="G60" s="21"/>
      <c r="H60" s="21"/>
      <c r="I60" s="21"/>
      <c r="J60" s="21"/>
      <c r="K60" s="21"/>
      <c r="L60" s="21"/>
      <c r="M60" s="21"/>
      <c r="N60" s="21"/>
      <c r="O60" s="25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</row>
    <row r="61" ht="15.75" customHeight="1">
      <c r="G61" s="21"/>
      <c r="H61" s="21"/>
      <c r="I61" s="21"/>
      <c r="J61" s="21"/>
      <c r="K61" s="21"/>
      <c r="L61" s="21"/>
      <c r="M61" s="21"/>
      <c r="N61" s="21"/>
      <c r="O61" s="25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</row>
    <row r="62" ht="15.75" customHeight="1">
      <c r="G62" s="21"/>
      <c r="H62" s="21"/>
      <c r="I62" s="21"/>
      <c r="J62" s="21"/>
      <c r="K62" s="21"/>
      <c r="L62" s="21"/>
      <c r="M62" s="21"/>
      <c r="N62" s="21"/>
      <c r="O62" s="25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</row>
    <row r="63" ht="15.75" customHeight="1">
      <c r="G63" s="21"/>
      <c r="H63" s="21"/>
      <c r="I63" s="21"/>
      <c r="J63" s="21"/>
      <c r="K63" s="21"/>
      <c r="L63" s="21"/>
      <c r="M63" s="21"/>
      <c r="N63" s="21"/>
      <c r="O63" s="25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</row>
    <row r="64" ht="15.75" customHeight="1">
      <c r="G64" s="21"/>
      <c r="H64" s="21"/>
      <c r="I64" s="21"/>
      <c r="J64" s="21"/>
      <c r="K64" s="21"/>
      <c r="L64" s="21"/>
      <c r="M64" s="21"/>
      <c r="N64" s="21"/>
      <c r="O64" s="25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</row>
    <row r="65" ht="15.75" customHeight="1">
      <c r="G65" s="21"/>
      <c r="H65" s="21"/>
      <c r="I65" s="21"/>
      <c r="J65" s="21"/>
      <c r="K65" s="21"/>
      <c r="L65" s="21"/>
      <c r="M65" s="21"/>
      <c r="N65" s="21"/>
      <c r="O65" s="25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</row>
    <row r="66" ht="15.75" customHeight="1">
      <c r="G66" s="21"/>
      <c r="H66" s="21"/>
      <c r="I66" s="21"/>
      <c r="J66" s="21"/>
      <c r="K66" s="21"/>
      <c r="L66" s="21"/>
      <c r="M66" s="21"/>
      <c r="N66" s="21"/>
      <c r="O66" s="25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</row>
    <row r="67" ht="15.75" customHeight="1">
      <c r="G67" s="21"/>
      <c r="H67" s="21"/>
      <c r="I67" s="21"/>
      <c r="J67" s="21"/>
      <c r="K67" s="21"/>
      <c r="L67" s="21"/>
      <c r="M67" s="21"/>
      <c r="N67" s="21"/>
      <c r="O67" s="25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</row>
    <row r="68" ht="15.75" customHeight="1">
      <c r="G68" s="21"/>
      <c r="H68" s="21"/>
      <c r="I68" s="21"/>
      <c r="J68" s="21"/>
      <c r="K68" s="21"/>
      <c r="L68" s="21"/>
      <c r="M68" s="21"/>
      <c r="N68" s="21"/>
      <c r="O68" s="25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</row>
    <row r="69" ht="15.75" customHeight="1">
      <c r="G69" s="21"/>
      <c r="H69" s="21"/>
      <c r="I69" s="21"/>
      <c r="J69" s="21"/>
      <c r="K69" s="21"/>
      <c r="L69" s="21"/>
      <c r="M69" s="21"/>
      <c r="N69" s="21"/>
      <c r="O69" s="25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</row>
    <row r="70" ht="15.75" customHeight="1">
      <c r="G70" s="21"/>
      <c r="H70" s="21"/>
      <c r="I70" s="21"/>
      <c r="J70" s="21"/>
      <c r="K70" s="21"/>
      <c r="L70" s="21"/>
      <c r="M70" s="21"/>
      <c r="N70" s="21"/>
      <c r="O70" s="25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</row>
    <row r="71" ht="15.75" customHeight="1">
      <c r="G71" s="21"/>
      <c r="H71" s="21"/>
      <c r="I71" s="21"/>
      <c r="J71" s="21"/>
      <c r="K71" s="21"/>
      <c r="L71" s="21"/>
      <c r="M71" s="21"/>
      <c r="N71" s="21"/>
      <c r="O71" s="25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</row>
    <row r="72" ht="15.75" customHeight="1">
      <c r="G72" s="21"/>
      <c r="H72" s="21"/>
      <c r="I72" s="21"/>
      <c r="J72" s="21"/>
      <c r="K72" s="21"/>
      <c r="L72" s="21"/>
      <c r="M72" s="21"/>
      <c r="N72" s="21"/>
      <c r="O72" s="25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</row>
    <row r="73" ht="15.75" customHeight="1">
      <c r="G73" s="21"/>
      <c r="H73" s="21"/>
      <c r="I73" s="21"/>
      <c r="J73" s="21"/>
      <c r="K73" s="21"/>
      <c r="L73" s="21"/>
      <c r="M73" s="21"/>
      <c r="N73" s="21"/>
      <c r="O73" s="25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</row>
    <row r="74" ht="15.75" customHeight="1">
      <c r="G74" s="21"/>
      <c r="H74" s="21"/>
      <c r="I74" s="21"/>
      <c r="J74" s="21"/>
      <c r="K74" s="21"/>
      <c r="L74" s="21"/>
      <c r="M74" s="21"/>
      <c r="N74" s="21"/>
      <c r="O74" s="25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</row>
    <row r="75" ht="15.75" customHeight="1">
      <c r="G75" s="21"/>
      <c r="H75" s="21"/>
      <c r="I75" s="21"/>
      <c r="J75" s="21"/>
      <c r="K75" s="21"/>
      <c r="L75" s="21"/>
      <c r="M75" s="21"/>
      <c r="N75" s="21"/>
      <c r="O75" s="25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</row>
    <row r="76" ht="15.75" customHeight="1">
      <c r="G76" s="21"/>
      <c r="H76" s="21"/>
      <c r="I76" s="21"/>
      <c r="J76" s="21"/>
      <c r="K76" s="21"/>
      <c r="L76" s="21"/>
      <c r="M76" s="21"/>
      <c r="N76" s="21"/>
      <c r="O76" s="25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</row>
    <row r="77" ht="15.75" customHeight="1">
      <c r="G77" s="21"/>
      <c r="H77" s="21"/>
      <c r="I77" s="21"/>
      <c r="J77" s="21"/>
      <c r="K77" s="21"/>
      <c r="L77" s="21"/>
      <c r="M77" s="21"/>
      <c r="N77" s="21"/>
      <c r="O77" s="25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</row>
    <row r="78" ht="15.75" customHeight="1">
      <c r="G78" s="21"/>
      <c r="H78" s="21"/>
      <c r="I78" s="21"/>
      <c r="J78" s="21"/>
      <c r="K78" s="21"/>
      <c r="L78" s="21"/>
      <c r="M78" s="21"/>
      <c r="N78" s="21"/>
      <c r="O78" s="25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</row>
    <row r="79" ht="15.75" customHeight="1">
      <c r="G79" s="21"/>
      <c r="H79" s="21"/>
      <c r="I79" s="21"/>
      <c r="J79" s="21"/>
      <c r="K79" s="21"/>
      <c r="L79" s="21"/>
      <c r="M79" s="21"/>
      <c r="N79" s="21"/>
      <c r="O79" s="25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</row>
    <row r="80" ht="15.75" customHeight="1">
      <c r="G80" s="21"/>
      <c r="H80" s="21"/>
      <c r="I80" s="21"/>
      <c r="J80" s="21"/>
      <c r="K80" s="21"/>
      <c r="L80" s="21"/>
      <c r="M80" s="21"/>
      <c r="N80" s="21"/>
      <c r="O80" s="25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</row>
    <row r="81" ht="15.75" customHeight="1">
      <c r="G81" s="21"/>
      <c r="H81" s="21"/>
      <c r="I81" s="21"/>
      <c r="J81" s="21"/>
      <c r="K81" s="21"/>
      <c r="L81" s="21"/>
      <c r="M81" s="21"/>
      <c r="N81" s="21"/>
      <c r="O81" s="25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</row>
    <row r="82" ht="15.75" customHeight="1">
      <c r="G82" s="21"/>
      <c r="H82" s="21"/>
      <c r="I82" s="21"/>
      <c r="J82" s="21"/>
      <c r="K82" s="21"/>
      <c r="L82" s="21"/>
      <c r="M82" s="21"/>
      <c r="N82" s="21"/>
      <c r="O82" s="25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</row>
    <row r="83" ht="15.75" customHeight="1">
      <c r="G83" s="21"/>
      <c r="H83" s="21"/>
      <c r="I83" s="21"/>
      <c r="J83" s="21"/>
      <c r="K83" s="21"/>
      <c r="L83" s="21"/>
      <c r="M83" s="21"/>
      <c r="N83" s="21"/>
      <c r="O83" s="25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</row>
    <row r="84" ht="15.75" customHeight="1">
      <c r="G84" s="21"/>
      <c r="H84" s="21"/>
      <c r="I84" s="21"/>
      <c r="J84" s="21"/>
      <c r="K84" s="21"/>
      <c r="L84" s="21"/>
      <c r="M84" s="21"/>
      <c r="N84" s="21"/>
      <c r="O84" s="25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</row>
    <row r="85" ht="15.75" customHeight="1">
      <c r="G85" s="21"/>
      <c r="H85" s="21"/>
      <c r="I85" s="21"/>
      <c r="J85" s="21"/>
      <c r="K85" s="21"/>
      <c r="L85" s="21"/>
      <c r="M85" s="21"/>
      <c r="N85" s="21"/>
      <c r="O85" s="25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</row>
    <row r="86" ht="15.75" customHeight="1">
      <c r="G86" s="21"/>
      <c r="H86" s="21"/>
      <c r="I86" s="21"/>
      <c r="J86" s="21"/>
      <c r="K86" s="21"/>
      <c r="L86" s="21"/>
      <c r="M86" s="21"/>
      <c r="N86" s="21"/>
      <c r="O86" s="25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</row>
    <row r="87" ht="15.75" customHeight="1">
      <c r="G87" s="21"/>
      <c r="H87" s="21"/>
      <c r="I87" s="21"/>
      <c r="J87" s="21"/>
      <c r="K87" s="21"/>
      <c r="L87" s="21"/>
      <c r="M87" s="21"/>
      <c r="N87" s="21"/>
      <c r="O87" s="25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</row>
    <row r="88" ht="15.75" customHeight="1">
      <c r="G88" s="21"/>
      <c r="H88" s="21"/>
      <c r="I88" s="21"/>
      <c r="J88" s="21"/>
      <c r="K88" s="21"/>
      <c r="L88" s="21"/>
      <c r="M88" s="21"/>
      <c r="N88" s="21"/>
      <c r="O88" s="25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</row>
    <row r="89" ht="15.75" customHeight="1">
      <c r="G89" s="21"/>
      <c r="H89" s="21"/>
      <c r="I89" s="21"/>
      <c r="J89" s="21"/>
      <c r="K89" s="21"/>
      <c r="L89" s="21"/>
      <c r="M89" s="21"/>
      <c r="N89" s="21"/>
      <c r="O89" s="25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</row>
    <row r="90" ht="15.75" customHeight="1">
      <c r="G90" s="21"/>
      <c r="H90" s="21"/>
      <c r="I90" s="21"/>
      <c r="J90" s="21"/>
      <c r="K90" s="21"/>
      <c r="L90" s="21"/>
      <c r="M90" s="21"/>
      <c r="N90" s="21"/>
      <c r="O90" s="25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</row>
    <row r="91" ht="15.75" customHeight="1">
      <c r="G91" s="21"/>
      <c r="H91" s="21"/>
      <c r="I91" s="21"/>
      <c r="J91" s="21"/>
      <c r="K91" s="21"/>
      <c r="L91" s="21"/>
      <c r="M91" s="21"/>
      <c r="N91" s="21"/>
      <c r="O91" s="25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</row>
    <row r="92" ht="15.75" customHeight="1">
      <c r="G92" s="21"/>
      <c r="H92" s="21"/>
      <c r="I92" s="21"/>
      <c r="J92" s="21"/>
      <c r="K92" s="21"/>
      <c r="L92" s="21"/>
      <c r="M92" s="21"/>
      <c r="N92" s="21"/>
      <c r="O92" s="25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</row>
    <row r="93" ht="15.75" customHeight="1">
      <c r="G93" s="21"/>
      <c r="H93" s="21"/>
      <c r="I93" s="21"/>
      <c r="J93" s="21"/>
      <c r="K93" s="21"/>
      <c r="L93" s="21"/>
      <c r="M93" s="21"/>
      <c r="N93" s="21"/>
      <c r="O93" s="25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</row>
    <row r="94" ht="15.75" customHeight="1">
      <c r="G94" s="21"/>
      <c r="H94" s="21"/>
      <c r="I94" s="21"/>
      <c r="J94" s="21"/>
      <c r="K94" s="21"/>
      <c r="L94" s="21"/>
      <c r="M94" s="21"/>
      <c r="N94" s="21"/>
      <c r="O94" s="25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</row>
    <row r="95" ht="15.75" customHeight="1">
      <c r="G95" s="21"/>
      <c r="H95" s="21"/>
      <c r="I95" s="21"/>
      <c r="J95" s="21"/>
      <c r="K95" s="21"/>
      <c r="L95" s="21"/>
      <c r="M95" s="21"/>
      <c r="N95" s="21"/>
      <c r="O95" s="25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</row>
    <row r="96" ht="15.75" customHeight="1">
      <c r="G96" s="21"/>
      <c r="H96" s="21"/>
      <c r="I96" s="21"/>
      <c r="J96" s="21"/>
      <c r="K96" s="21"/>
      <c r="L96" s="21"/>
      <c r="M96" s="21"/>
      <c r="N96" s="21"/>
      <c r="O96" s="25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</row>
    <row r="97" ht="15.75" customHeight="1">
      <c r="G97" s="21"/>
      <c r="H97" s="21"/>
      <c r="I97" s="21"/>
      <c r="J97" s="21"/>
      <c r="K97" s="21"/>
      <c r="L97" s="21"/>
      <c r="M97" s="21"/>
      <c r="N97" s="21"/>
      <c r="O97" s="25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</row>
    <row r="98" ht="15.75" customHeight="1">
      <c r="G98" s="21"/>
      <c r="H98" s="21"/>
      <c r="I98" s="21"/>
      <c r="J98" s="21"/>
      <c r="K98" s="21"/>
      <c r="L98" s="21"/>
      <c r="M98" s="21"/>
      <c r="N98" s="21"/>
      <c r="O98" s="25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</row>
    <row r="99" ht="15.75" customHeight="1">
      <c r="G99" s="21"/>
      <c r="H99" s="21"/>
      <c r="I99" s="21"/>
      <c r="J99" s="21"/>
      <c r="K99" s="21"/>
      <c r="L99" s="21"/>
      <c r="M99" s="21"/>
      <c r="N99" s="21"/>
      <c r="O99" s="25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</row>
    <row r="100" ht="15.75" customHeight="1">
      <c r="G100" s="21"/>
      <c r="H100" s="21"/>
      <c r="I100" s="21"/>
      <c r="J100" s="21"/>
      <c r="K100" s="21"/>
      <c r="L100" s="21"/>
      <c r="M100" s="21"/>
      <c r="N100" s="21"/>
      <c r="O100" s="25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</row>
    <row r="101" ht="15.75" customHeight="1">
      <c r="G101" s="21"/>
      <c r="H101" s="21"/>
      <c r="I101" s="21"/>
      <c r="J101" s="21"/>
      <c r="K101" s="21"/>
      <c r="L101" s="21"/>
      <c r="M101" s="21"/>
      <c r="N101" s="21"/>
      <c r="O101" s="25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</row>
    <row r="102" ht="15.75" customHeight="1">
      <c r="G102" s="21"/>
      <c r="H102" s="21"/>
      <c r="I102" s="21"/>
      <c r="J102" s="21"/>
      <c r="K102" s="21"/>
      <c r="L102" s="21"/>
      <c r="M102" s="21"/>
      <c r="N102" s="21"/>
      <c r="O102" s="25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</row>
    <row r="103" ht="15.75" customHeight="1">
      <c r="G103" s="21"/>
      <c r="H103" s="21"/>
      <c r="I103" s="21"/>
      <c r="J103" s="21"/>
      <c r="K103" s="21"/>
      <c r="L103" s="21"/>
      <c r="M103" s="21"/>
      <c r="N103" s="21"/>
      <c r="O103" s="25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</row>
    <row r="104" ht="15.75" customHeight="1">
      <c r="G104" s="21"/>
      <c r="H104" s="21"/>
      <c r="I104" s="21"/>
      <c r="J104" s="21"/>
      <c r="K104" s="21"/>
      <c r="L104" s="21"/>
      <c r="M104" s="21"/>
      <c r="N104" s="21"/>
      <c r="O104" s="25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</row>
    <row r="105" ht="15.75" customHeight="1">
      <c r="G105" s="21"/>
      <c r="H105" s="21"/>
      <c r="I105" s="21"/>
      <c r="J105" s="21"/>
      <c r="K105" s="21"/>
      <c r="L105" s="21"/>
      <c r="M105" s="21"/>
      <c r="N105" s="21"/>
      <c r="O105" s="25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</row>
    <row r="106" ht="15.75" customHeight="1">
      <c r="G106" s="21"/>
      <c r="H106" s="21"/>
      <c r="I106" s="21"/>
      <c r="J106" s="21"/>
      <c r="K106" s="21"/>
      <c r="L106" s="21"/>
      <c r="M106" s="21"/>
      <c r="N106" s="21"/>
      <c r="O106" s="25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</row>
    <row r="107" ht="15.75" customHeight="1">
      <c r="G107" s="21"/>
      <c r="H107" s="21"/>
      <c r="I107" s="21"/>
      <c r="J107" s="21"/>
      <c r="K107" s="21"/>
      <c r="L107" s="21"/>
      <c r="M107" s="21"/>
      <c r="N107" s="21"/>
      <c r="O107" s="25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</row>
    <row r="108" ht="15.75" customHeight="1">
      <c r="G108" s="21"/>
      <c r="H108" s="21"/>
      <c r="I108" s="21"/>
      <c r="J108" s="21"/>
      <c r="K108" s="21"/>
      <c r="L108" s="21"/>
      <c r="M108" s="21"/>
      <c r="N108" s="21"/>
      <c r="O108" s="25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</row>
    <row r="109" ht="15.75" customHeight="1">
      <c r="G109" s="21"/>
      <c r="H109" s="21"/>
      <c r="I109" s="21"/>
      <c r="J109" s="21"/>
      <c r="K109" s="21"/>
      <c r="L109" s="21"/>
      <c r="M109" s="21"/>
      <c r="N109" s="21"/>
      <c r="O109" s="25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</row>
    <row r="110" ht="15.75" customHeight="1">
      <c r="G110" s="21"/>
      <c r="H110" s="21"/>
      <c r="I110" s="21"/>
      <c r="J110" s="21"/>
      <c r="K110" s="21"/>
      <c r="L110" s="21"/>
      <c r="M110" s="21"/>
      <c r="N110" s="21"/>
      <c r="O110" s="25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</row>
    <row r="111" ht="15.75" customHeight="1">
      <c r="G111" s="21"/>
      <c r="H111" s="21"/>
      <c r="I111" s="21"/>
      <c r="J111" s="21"/>
      <c r="K111" s="21"/>
      <c r="L111" s="21"/>
      <c r="M111" s="21"/>
      <c r="N111" s="21"/>
      <c r="O111" s="25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</row>
    <row r="112" ht="15.75" customHeight="1">
      <c r="G112" s="21"/>
      <c r="H112" s="21"/>
      <c r="I112" s="21"/>
      <c r="J112" s="21"/>
      <c r="K112" s="21"/>
      <c r="L112" s="21"/>
      <c r="M112" s="21"/>
      <c r="N112" s="21"/>
      <c r="O112" s="25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</row>
    <row r="113" ht="15.75" customHeight="1">
      <c r="G113" s="21"/>
      <c r="H113" s="21"/>
      <c r="I113" s="21"/>
      <c r="J113" s="21"/>
      <c r="K113" s="21"/>
      <c r="L113" s="21"/>
      <c r="M113" s="21"/>
      <c r="N113" s="21"/>
      <c r="O113" s="25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</row>
    <row r="114" ht="15.75" customHeight="1">
      <c r="G114" s="21"/>
      <c r="H114" s="21"/>
      <c r="I114" s="21"/>
      <c r="J114" s="21"/>
      <c r="K114" s="21"/>
      <c r="L114" s="21"/>
      <c r="M114" s="21"/>
      <c r="N114" s="21"/>
      <c r="O114" s="25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</row>
    <row r="115" ht="15.75" customHeight="1">
      <c r="G115" s="21"/>
      <c r="H115" s="21"/>
      <c r="I115" s="21"/>
      <c r="J115" s="21"/>
      <c r="K115" s="21"/>
      <c r="L115" s="21"/>
      <c r="M115" s="21"/>
      <c r="N115" s="21"/>
      <c r="O115" s="25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</row>
    <row r="116" ht="15.75" customHeight="1">
      <c r="G116" s="21"/>
      <c r="H116" s="21"/>
      <c r="I116" s="21"/>
      <c r="J116" s="21"/>
      <c r="K116" s="21"/>
      <c r="L116" s="21"/>
      <c r="M116" s="21"/>
      <c r="N116" s="21"/>
      <c r="O116" s="25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</row>
    <row r="117" ht="15.75" customHeight="1">
      <c r="G117" s="21"/>
      <c r="H117" s="21"/>
      <c r="I117" s="21"/>
      <c r="J117" s="21"/>
      <c r="K117" s="21"/>
      <c r="L117" s="21"/>
      <c r="M117" s="21"/>
      <c r="N117" s="21"/>
      <c r="O117" s="25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</row>
    <row r="118" ht="15.75" customHeight="1">
      <c r="G118" s="21"/>
      <c r="H118" s="21"/>
      <c r="I118" s="21"/>
      <c r="J118" s="21"/>
      <c r="K118" s="21"/>
      <c r="L118" s="21"/>
      <c r="M118" s="21"/>
      <c r="N118" s="21"/>
      <c r="O118" s="25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</row>
    <row r="119" ht="15.75" customHeight="1">
      <c r="G119" s="21"/>
      <c r="H119" s="21"/>
      <c r="I119" s="21"/>
      <c r="J119" s="21"/>
      <c r="K119" s="21"/>
      <c r="L119" s="21"/>
      <c r="M119" s="21"/>
      <c r="N119" s="21"/>
      <c r="O119" s="25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</row>
    <row r="120" ht="15.75" customHeight="1">
      <c r="G120" s="21"/>
      <c r="H120" s="21"/>
      <c r="I120" s="21"/>
      <c r="J120" s="21"/>
      <c r="K120" s="21"/>
      <c r="L120" s="21"/>
      <c r="M120" s="21"/>
      <c r="N120" s="21"/>
      <c r="O120" s="25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</row>
    <row r="121" ht="15.75" customHeight="1">
      <c r="G121" s="21"/>
      <c r="H121" s="21"/>
      <c r="I121" s="21"/>
      <c r="J121" s="21"/>
      <c r="K121" s="21"/>
      <c r="L121" s="21"/>
      <c r="M121" s="21"/>
      <c r="N121" s="21"/>
      <c r="O121" s="25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</row>
    <row r="122" ht="15.75" customHeight="1">
      <c r="G122" s="21"/>
      <c r="H122" s="21"/>
      <c r="I122" s="21"/>
      <c r="J122" s="21"/>
      <c r="K122" s="21"/>
      <c r="L122" s="21"/>
      <c r="M122" s="21"/>
      <c r="N122" s="21"/>
      <c r="O122" s="25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</row>
    <row r="123" ht="15.75" customHeight="1">
      <c r="G123" s="21"/>
      <c r="H123" s="21"/>
      <c r="I123" s="21"/>
      <c r="J123" s="21"/>
      <c r="K123" s="21"/>
      <c r="L123" s="21"/>
      <c r="M123" s="21"/>
      <c r="N123" s="21"/>
      <c r="O123" s="25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</row>
    <row r="124" ht="15.75" customHeight="1">
      <c r="G124" s="21"/>
      <c r="H124" s="21"/>
      <c r="I124" s="21"/>
      <c r="J124" s="21"/>
      <c r="K124" s="21"/>
      <c r="L124" s="21"/>
      <c r="M124" s="21"/>
      <c r="N124" s="21"/>
      <c r="O124" s="25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</row>
    <row r="125" ht="15.75" customHeight="1">
      <c r="G125" s="21"/>
      <c r="H125" s="21"/>
      <c r="I125" s="21"/>
      <c r="J125" s="21"/>
      <c r="K125" s="21"/>
      <c r="L125" s="21"/>
      <c r="M125" s="21"/>
      <c r="N125" s="21"/>
      <c r="O125" s="25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</row>
    <row r="126" ht="15.75" customHeight="1">
      <c r="G126" s="21"/>
      <c r="H126" s="21"/>
      <c r="I126" s="21"/>
      <c r="J126" s="21"/>
      <c r="K126" s="21"/>
      <c r="L126" s="21"/>
      <c r="M126" s="21"/>
      <c r="N126" s="21"/>
      <c r="O126" s="25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</row>
    <row r="127" ht="15.75" customHeight="1">
      <c r="G127" s="21"/>
      <c r="H127" s="21"/>
      <c r="I127" s="21"/>
      <c r="J127" s="21"/>
      <c r="K127" s="21"/>
      <c r="L127" s="21"/>
      <c r="M127" s="21"/>
      <c r="N127" s="21"/>
      <c r="O127" s="25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</row>
    <row r="128" ht="15.75" customHeight="1">
      <c r="G128" s="21"/>
      <c r="H128" s="21"/>
      <c r="I128" s="21"/>
      <c r="J128" s="21"/>
      <c r="K128" s="21"/>
      <c r="L128" s="21"/>
      <c r="M128" s="21"/>
      <c r="N128" s="21"/>
      <c r="O128" s="25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</row>
    <row r="129" ht="15.75" customHeight="1">
      <c r="G129" s="21"/>
      <c r="H129" s="21"/>
      <c r="I129" s="21"/>
      <c r="J129" s="21"/>
      <c r="K129" s="21"/>
      <c r="L129" s="21"/>
      <c r="M129" s="21"/>
      <c r="N129" s="21"/>
      <c r="O129" s="25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</row>
    <row r="130" ht="15.75" customHeight="1">
      <c r="G130" s="21"/>
      <c r="H130" s="21"/>
      <c r="I130" s="21"/>
      <c r="J130" s="21"/>
      <c r="K130" s="21"/>
      <c r="L130" s="21"/>
      <c r="M130" s="21"/>
      <c r="N130" s="21"/>
      <c r="O130" s="25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</row>
    <row r="131" ht="15.75" customHeight="1">
      <c r="G131" s="21"/>
      <c r="H131" s="21"/>
      <c r="I131" s="21"/>
      <c r="J131" s="21"/>
      <c r="K131" s="21"/>
      <c r="L131" s="21"/>
      <c r="M131" s="21"/>
      <c r="N131" s="21"/>
      <c r="O131" s="25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</row>
    <row r="132" ht="15.75" customHeight="1">
      <c r="G132" s="21"/>
      <c r="H132" s="21"/>
      <c r="I132" s="21"/>
      <c r="J132" s="21"/>
      <c r="K132" s="21"/>
      <c r="L132" s="21"/>
      <c r="M132" s="21"/>
      <c r="N132" s="21"/>
      <c r="O132" s="25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</row>
    <row r="133" ht="15.75" customHeight="1">
      <c r="G133" s="21"/>
      <c r="H133" s="21"/>
      <c r="I133" s="21"/>
      <c r="J133" s="21"/>
      <c r="K133" s="21"/>
      <c r="L133" s="21"/>
      <c r="M133" s="21"/>
      <c r="N133" s="21"/>
      <c r="O133" s="25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</row>
    <row r="134" ht="15.75" customHeight="1">
      <c r="G134" s="21"/>
      <c r="H134" s="21"/>
      <c r="I134" s="21"/>
      <c r="J134" s="21"/>
      <c r="K134" s="21"/>
      <c r="L134" s="21"/>
      <c r="M134" s="21"/>
      <c r="N134" s="21"/>
      <c r="O134" s="25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</row>
    <row r="135" ht="15.75" customHeight="1">
      <c r="G135" s="21"/>
      <c r="H135" s="21"/>
      <c r="I135" s="21"/>
      <c r="J135" s="21"/>
      <c r="K135" s="21"/>
      <c r="L135" s="21"/>
      <c r="M135" s="21"/>
      <c r="N135" s="21"/>
      <c r="O135" s="25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</row>
    <row r="136" ht="15.75" customHeight="1">
      <c r="G136" s="21"/>
      <c r="H136" s="21"/>
      <c r="I136" s="21"/>
      <c r="J136" s="21"/>
      <c r="K136" s="21"/>
      <c r="L136" s="21"/>
      <c r="M136" s="21"/>
      <c r="N136" s="21"/>
      <c r="O136" s="25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</row>
    <row r="137" ht="15.75" customHeight="1">
      <c r="G137" s="21"/>
      <c r="H137" s="21"/>
      <c r="I137" s="21"/>
      <c r="J137" s="21"/>
      <c r="K137" s="21"/>
      <c r="L137" s="21"/>
      <c r="M137" s="21"/>
      <c r="N137" s="21"/>
      <c r="O137" s="25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</row>
    <row r="138" ht="15.75" customHeight="1">
      <c r="G138" s="21"/>
      <c r="H138" s="21"/>
      <c r="I138" s="21"/>
      <c r="J138" s="21"/>
      <c r="K138" s="21"/>
      <c r="L138" s="21"/>
      <c r="M138" s="21"/>
      <c r="N138" s="21"/>
      <c r="O138" s="25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</row>
    <row r="139" ht="15.75" customHeight="1">
      <c r="G139" s="21"/>
      <c r="H139" s="21"/>
      <c r="I139" s="21"/>
      <c r="J139" s="21"/>
      <c r="K139" s="21"/>
      <c r="L139" s="21"/>
      <c r="M139" s="21"/>
      <c r="N139" s="21"/>
      <c r="O139" s="25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</row>
    <row r="140" ht="15.75" customHeight="1">
      <c r="G140" s="21"/>
      <c r="H140" s="21"/>
      <c r="I140" s="21"/>
      <c r="J140" s="21"/>
      <c r="K140" s="21"/>
      <c r="L140" s="21"/>
      <c r="M140" s="21"/>
      <c r="N140" s="21"/>
      <c r="O140" s="25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</row>
    <row r="141" ht="15.75" customHeight="1">
      <c r="G141" s="21"/>
      <c r="H141" s="21"/>
      <c r="I141" s="21"/>
      <c r="J141" s="21"/>
      <c r="K141" s="21"/>
      <c r="L141" s="21"/>
      <c r="M141" s="21"/>
      <c r="N141" s="21"/>
      <c r="O141" s="25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</row>
    <row r="142" ht="15.75" customHeight="1">
      <c r="G142" s="21"/>
      <c r="H142" s="21"/>
      <c r="I142" s="21"/>
      <c r="J142" s="21"/>
      <c r="K142" s="21"/>
      <c r="L142" s="21"/>
      <c r="M142" s="21"/>
      <c r="N142" s="21"/>
      <c r="O142" s="25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</row>
    <row r="143" ht="15.75" customHeight="1">
      <c r="G143" s="21"/>
      <c r="H143" s="21"/>
      <c r="I143" s="21"/>
      <c r="J143" s="21"/>
      <c r="K143" s="21"/>
      <c r="L143" s="21"/>
      <c r="M143" s="21"/>
      <c r="N143" s="21"/>
      <c r="O143" s="25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</row>
    <row r="144" ht="15.75" customHeight="1">
      <c r="G144" s="21"/>
      <c r="H144" s="21"/>
      <c r="I144" s="21"/>
      <c r="J144" s="21"/>
      <c r="K144" s="21"/>
      <c r="L144" s="21"/>
      <c r="M144" s="21"/>
      <c r="N144" s="21"/>
      <c r="O144" s="25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</row>
    <row r="145" ht="15.75" customHeight="1">
      <c r="G145" s="21"/>
      <c r="H145" s="21"/>
      <c r="I145" s="21"/>
      <c r="J145" s="21"/>
      <c r="K145" s="21"/>
      <c r="L145" s="21"/>
      <c r="M145" s="21"/>
      <c r="N145" s="21"/>
      <c r="O145" s="25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</row>
    <row r="146" ht="15.75" customHeight="1">
      <c r="G146" s="21"/>
      <c r="H146" s="21"/>
      <c r="I146" s="21"/>
      <c r="J146" s="21"/>
      <c r="K146" s="21"/>
      <c r="L146" s="21"/>
      <c r="M146" s="21"/>
      <c r="N146" s="21"/>
      <c r="O146" s="25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</row>
    <row r="147" ht="15.75" customHeight="1">
      <c r="G147" s="21"/>
      <c r="H147" s="21"/>
      <c r="I147" s="21"/>
      <c r="J147" s="21"/>
      <c r="K147" s="21"/>
      <c r="L147" s="21"/>
      <c r="M147" s="21"/>
      <c r="N147" s="21"/>
      <c r="O147" s="25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</row>
    <row r="148" ht="15.75" customHeight="1">
      <c r="G148" s="21"/>
      <c r="H148" s="21"/>
      <c r="I148" s="21"/>
      <c r="J148" s="21"/>
      <c r="K148" s="21"/>
      <c r="L148" s="21"/>
      <c r="M148" s="21"/>
      <c r="N148" s="21"/>
      <c r="O148" s="25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</row>
    <row r="149" ht="15.75" customHeight="1">
      <c r="G149" s="21"/>
      <c r="H149" s="21"/>
      <c r="I149" s="21"/>
      <c r="J149" s="21"/>
      <c r="K149" s="21"/>
      <c r="L149" s="21"/>
      <c r="M149" s="21"/>
      <c r="N149" s="21"/>
      <c r="O149" s="25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</row>
    <row r="150" ht="15.75" customHeight="1">
      <c r="G150" s="21"/>
      <c r="H150" s="21"/>
      <c r="I150" s="21"/>
      <c r="J150" s="21"/>
      <c r="K150" s="21"/>
      <c r="L150" s="21"/>
      <c r="M150" s="21"/>
      <c r="N150" s="21"/>
      <c r="O150" s="25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</row>
    <row r="151" ht="15.75" customHeight="1">
      <c r="G151" s="21"/>
      <c r="H151" s="21"/>
      <c r="I151" s="21"/>
      <c r="J151" s="21"/>
      <c r="K151" s="21"/>
      <c r="L151" s="21"/>
      <c r="M151" s="21"/>
      <c r="N151" s="21"/>
      <c r="O151" s="25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</row>
    <row r="152" ht="15.75" customHeight="1">
      <c r="G152" s="21"/>
      <c r="H152" s="21"/>
      <c r="I152" s="21"/>
      <c r="J152" s="21"/>
      <c r="K152" s="21"/>
      <c r="L152" s="21"/>
      <c r="M152" s="21"/>
      <c r="N152" s="21"/>
      <c r="O152" s="25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</row>
    <row r="153" ht="15.75" customHeight="1">
      <c r="G153" s="21"/>
      <c r="H153" s="21"/>
      <c r="I153" s="21"/>
      <c r="J153" s="21"/>
      <c r="K153" s="21"/>
      <c r="L153" s="21"/>
      <c r="M153" s="21"/>
      <c r="N153" s="21"/>
      <c r="O153" s="25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</row>
    <row r="154" ht="15.75" customHeight="1">
      <c r="G154" s="21"/>
      <c r="H154" s="21"/>
      <c r="I154" s="21"/>
      <c r="J154" s="21"/>
      <c r="K154" s="21"/>
      <c r="L154" s="21"/>
      <c r="M154" s="21"/>
      <c r="N154" s="21"/>
      <c r="O154" s="25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</row>
    <row r="155" ht="15.75" customHeight="1">
      <c r="G155" s="21"/>
      <c r="H155" s="21"/>
      <c r="I155" s="21"/>
      <c r="J155" s="21"/>
      <c r="K155" s="21"/>
      <c r="L155" s="21"/>
      <c r="M155" s="21"/>
      <c r="N155" s="21"/>
      <c r="O155" s="25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</row>
    <row r="156" ht="15.75" customHeight="1">
      <c r="G156" s="21"/>
      <c r="H156" s="21"/>
      <c r="I156" s="21"/>
      <c r="J156" s="21"/>
      <c r="K156" s="21"/>
      <c r="L156" s="21"/>
      <c r="M156" s="21"/>
      <c r="N156" s="21"/>
      <c r="O156" s="25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</row>
    <row r="157" ht="15.75" customHeight="1">
      <c r="G157" s="21"/>
      <c r="H157" s="21"/>
      <c r="I157" s="21"/>
      <c r="J157" s="21"/>
      <c r="K157" s="21"/>
      <c r="L157" s="21"/>
      <c r="M157" s="21"/>
      <c r="N157" s="21"/>
      <c r="O157" s="25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</row>
    <row r="158" ht="15.75" customHeight="1">
      <c r="G158" s="21"/>
      <c r="H158" s="21"/>
      <c r="I158" s="21"/>
      <c r="J158" s="21"/>
      <c r="K158" s="21"/>
      <c r="L158" s="21"/>
      <c r="M158" s="21"/>
      <c r="N158" s="21"/>
      <c r="O158" s="25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</row>
    <row r="159" ht="15.75" customHeight="1">
      <c r="G159" s="21"/>
      <c r="H159" s="21"/>
      <c r="I159" s="21"/>
      <c r="J159" s="21"/>
      <c r="K159" s="21"/>
      <c r="L159" s="21"/>
      <c r="M159" s="21"/>
      <c r="N159" s="21"/>
      <c r="O159" s="25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</row>
    <row r="160" ht="15.75" customHeight="1">
      <c r="G160" s="21"/>
      <c r="H160" s="21"/>
      <c r="I160" s="21"/>
      <c r="J160" s="21"/>
      <c r="K160" s="21"/>
      <c r="L160" s="21"/>
      <c r="M160" s="21"/>
      <c r="N160" s="21"/>
      <c r="O160" s="25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</row>
    <row r="161" ht="15.75" customHeight="1">
      <c r="G161" s="21"/>
      <c r="H161" s="21"/>
      <c r="I161" s="21"/>
      <c r="J161" s="21"/>
      <c r="K161" s="21"/>
      <c r="L161" s="21"/>
      <c r="M161" s="21"/>
      <c r="N161" s="21"/>
      <c r="O161" s="25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</row>
    <row r="162" ht="15.75" customHeight="1">
      <c r="G162" s="21"/>
      <c r="H162" s="21"/>
      <c r="I162" s="21"/>
      <c r="J162" s="21"/>
      <c r="K162" s="21"/>
      <c r="L162" s="21"/>
      <c r="M162" s="21"/>
      <c r="N162" s="21"/>
      <c r="O162" s="25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</row>
    <row r="163" ht="15.75" customHeight="1">
      <c r="G163" s="21"/>
      <c r="H163" s="21"/>
      <c r="I163" s="21"/>
      <c r="J163" s="21"/>
      <c r="K163" s="21"/>
      <c r="L163" s="21"/>
      <c r="M163" s="21"/>
      <c r="N163" s="21"/>
      <c r="O163" s="25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</row>
    <row r="164" ht="15.75" customHeight="1">
      <c r="G164" s="21"/>
      <c r="H164" s="21"/>
      <c r="I164" s="21"/>
      <c r="J164" s="21"/>
      <c r="K164" s="21"/>
      <c r="L164" s="21"/>
      <c r="M164" s="21"/>
      <c r="N164" s="21"/>
      <c r="O164" s="25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</row>
    <row r="165" ht="15.75" customHeight="1">
      <c r="G165" s="21"/>
      <c r="H165" s="21"/>
      <c r="I165" s="21"/>
      <c r="J165" s="21"/>
      <c r="K165" s="21"/>
      <c r="L165" s="21"/>
      <c r="M165" s="21"/>
      <c r="N165" s="21"/>
      <c r="O165" s="25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</row>
    <row r="166" ht="15.75" customHeight="1">
      <c r="G166" s="21"/>
      <c r="H166" s="21"/>
      <c r="I166" s="21"/>
      <c r="J166" s="21"/>
      <c r="K166" s="21"/>
      <c r="L166" s="21"/>
      <c r="M166" s="21"/>
      <c r="N166" s="21"/>
      <c r="O166" s="25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</row>
    <row r="167" ht="15.75" customHeight="1">
      <c r="G167" s="21"/>
      <c r="H167" s="21"/>
      <c r="I167" s="21"/>
      <c r="J167" s="21"/>
      <c r="K167" s="21"/>
      <c r="L167" s="21"/>
      <c r="M167" s="21"/>
      <c r="N167" s="21"/>
      <c r="O167" s="25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</row>
    <row r="168" ht="15.75" customHeight="1">
      <c r="G168" s="21"/>
      <c r="H168" s="21"/>
      <c r="I168" s="21"/>
      <c r="J168" s="21"/>
      <c r="K168" s="21"/>
      <c r="L168" s="21"/>
      <c r="M168" s="21"/>
      <c r="N168" s="21"/>
      <c r="O168" s="25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</row>
    <row r="169" ht="15.75" customHeight="1">
      <c r="G169" s="21"/>
      <c r="H169" s="21"/>
      <c r="I169" s="21"/>
      <c r="J169" s="21"/>
      <c r="K169" s="21"/>
      <c r="L169" s="21"/>
      <c r="M169" s="21"/>
      <c r="N169" s="21"/>
      <c r="O169" s="25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</row>
    <row r="170" ht="15.75" customHeight="1">
      <c r="G170" s="21"/>
      <c r="H170" s="21"/>
      <c r="I170" s="21"/>
      <c r="J170" s="21"/>
      <c r="K170" s="21"/>
      <c r="L170" s="21"/>
      <c r="M170" s="21"/>
      <c r="N170" s="21"/>
      <c r="O170" s="25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</row>
    <row r="171" ht="15.75" customHeight="1">
      <c r="G171" s="21"/>
      <c r="H171" s="21"/>
      <c r="I171" s="21"/>
      <c r="J171" s="21"/>
      <c r="K171" s="21"/>
      <c r="L171" s="21"/>
      <c r="M171" s="21"/>
      <c r="N171" s="21"/>
      <c r="O171" s="25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</row>
    <row r="172" ht="15.75" customHeight="1">
      <c r="G172" s="21"/>
      <c r="H172" s="21"/>
      <c r="I172" s="21"/>
      <c r="J172" s="21"/>
      <c r="K172" s="21"/>
      <c r="L172" s="21"/>
      <c r="M172" s="21"/>
      <c r="N172" s="21"/>
      <c r="O172" s="25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</row>
    <row r="173" ht="15.75" customHeight="1">
      <c r="G173" s="21"/>
      <c r="H173" s="21"/>
      <c r="I173" s="21"/>
      <c r="J173" s="21"/>
      <c r="K173" s="21"/>
      <c r="L173" s="21"/>
      <c r="M173" s="21"/>
      <c r="N173" s="21"/>
      <c r="O173" s="25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</row>
    <row r="174" ht="15.75" customHeight="1">
      <c r="G174" s="21"/>
      <c r="H174" s="21"/>
      <c r="I174" s="21"/>
      <c r="J174" s="21"/>
      <c r="K174" s="21"/>
      <c r="L174" s="21"/>
      <c r="M174" s="21"/>
      <c r="N174" s="21"/>
      <c r="O174" s="25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</row>
    <row r="175" ht="15.75" customHeight="1">
      <c r="G175" s="21"/>
      <c r="H175" s="21"/>
      <c r="I175" s="21"/>
      <c r="J175" s="21"/>
      <c r="K175" s="21"/>
      <c r="L175" s="21"/>
      <c r="M175" s="21"/>
      <c r="N175" s="21"/>
      <c r="O175" s="25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</row>
    <row r="176" ht="15.75" customHeight="1">
      <c r="G176" s="21"/>
      <c r="H176" s="21"/>
      <c r="I176" s="21"/>
      <c r="J176" s="21"/>
      <c r="K176" s="21"/>
      <c r="L176" s="21"/>
      <c r="M176" s="21"/>
      <c r="N176" s="21"/>
      <c r="O176" s="25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</row>
    <row r="177" ht="15.75" customHeight="1">
      <c r="G177" s="21"/>
      <c r="H177" s="21"/>
      <c r="I177" s="21"/>
      <c r="J177" s="21"/>
      <c r="K177" s="21"/>
      <c r="L177" s="21"/>
      <c r="M177" s="21"/>
      <c r="N177" s="21"/>
      <c r="O177" s="25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</row>
    <row r="178" ht="15.75" customHeight="1">
      <c r="G178" s="21"/>
      <c r="H178" s="21"/>
      <c r="I178" s="21"/>
      <c r="J178" s="21"/>
      <c r="K178" s="21"/>
      <c r="L178" s="21"/>
      <c r="M178" s="21"/>
      <c r="N178" s="21"/>
      <c r="O178" s="25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</row>
    <row r="179" ht="15.75" customHeight="1">
      <c r="G179" s="21"/>
      <c r="H179" s="21"/>
      <c r="I179" s="21"/>
      <c r="J179" s="21"/>
      <c r="K179" s="21"/>
      <c r="L179" s="21"/>
      <c r="M179" s="21"/>
      <c r="N179" s="21"/>
      <c r="O179" s="25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</row>
    <row r="180" ht="15.75" customHeight="1">
      <c r="G180" s="21"/>
      <c r="H180" s="21"/>
      <c r="I180" s="21"/>
      <c r="J180" s="21"/>
      <c r="K180" s="21"/>
      <c r="L180" s="21"/>
      <c r="M180" s="21"/>
      <c r="N180" s="21"/>
      <c r="O180" s="25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</row>
    <row r="181" ht="15.75" customHeight="1">
      <c r="G181" s="21"/>
      <c r="H181" s="21"/>
      <c r="I181" s="21"/>
      <c r="J181" s="21"/>
      <c r="K181" s="21"/>
      <c r="L181" s="21"/>
      <c r="M181" s="21"/>
      <c r="N181" s="21"/>
      <c r="O181" s="25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</row>
    <row r="182" ht="15.75" customHeight="1">
      <c r="G182" s="21"/>
      <c r="H182" s="21"/>
      <c r="I182" s="21"/>
      <c r="J182" s="21"/>
      <c r="K182" s="21"/>
      <c r="L182" s="21"/>
      <c r="M182" s="21"/>
      <c r="N182" s="21"/>
      <c r="O182" s="25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</row>
    <row r="183" ht="15.75" customHeight="1">
      <c r="G183" s="21"/>
      <c r="H183" s="21"/>
      <c r="I183" s="21"/>
      <c r="J183" s="21"/>
      <c r="K183" s="21"/>
      <c r="L183" s="21"/>
      <c r="M183" s="21"/>
      <c r="N183" s="21"/>
      <c r="O183" s="25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</row>
    <row r="184" ht="15.75" customHeight="1">
      <c r="G184" s="21"/>
      <c r="H184" s="21"/>
      <c r="I184" s="21"/>
      <c r="J184" s="21"/>
      <c r="K184" s="21"/>
      <c r="L184" s="21"/>
      <c r="M184" s="21"/>
      <c r="N184" s="21"/>
      <c r="O184" s="25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</row>
    <row r="185" ht="15.75" customHeight="1">
      <c r="G185" s="21"/>
      <c r="H185" s="21"/>
      <c r="I185" s="21"/>
      <c r="J185" s="21"/>
      <c r="K185" s="21"/>
      <c r="L185" s="21"/>
      <c r="M185" s="21"/>
      <c r="N185" s="21"/>
      <c r="O185" s="25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</row>
    <row r="186" ht="15.75" customHeight="1">
      <c r="G186" s="21"/>
      <c r="H186" s="21"/>
      <c r="I186" s="21"/>
      <c r="J186" s="21"/>
      <c r="K186" s="21"/>
      <c r="L186" s="21"/>
      <c r="M186" s="21"/>
      <c r="N186" s="21"/>
      <c r="O186" s="25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</row>
    <row r="187" ht="15.75" customHeight="1">
      <c r="O187" s="25"/>
    </row>
    <row r="188" ht="15.75" customHeight="1">
      <c r="O188" s="25"/>
    </row>
    <row r="189" ht="15.75" customHeight="1">
      <c r="O189" s="25"/>
    </row>
    <row r="190" ht="15.75" customHeight="1">
      <c r="O190" s="25"/>
    </row>
    <row r="191" ht="15.75" customHeight="1">
      <c r="O191" s="25"/>
    </row>
    <row r="192" ht="15.75" customHeight="1">
      <c r="O192" s="25"/>
    </row>
    <row r="193" ht="15.75" customHeight="1">
      <c r="O193" s="25"/>
    </row>
    <row r="194" ht="15.75" customHeight="1">
      <c r="O194" s="25"/>
    </row>
    <row r="195" ht="15.75" customHeight="1">
      <c r="O195" s="25"/>
    </row>
    <row r="196" ht="15.75" customHeight="1">
      <c r="O196" s="25"/>
    </row>
    <row r="197" ht="15.75" customHeight="1">
      <c r="O197" s="25"/>
    </row>
    <row r="198" ht="15.75" customHeight="1">
      <c r="O198" s="25"/>
    </row>
    <row r="199" ht="15.75" customHeight="1">
      <c r="O199" s="25"/>
    </row>
    <row r="200" ht="15.75" customHeight="1">
      <c r="O200" s="25"/>
    </row>
    <row r="201" ht="15.75" customHeight="1">
      <c r="O201" s="25"/>
    </row>
    <row r="202" ht="15.75" customHeight="1">
      <c r="O202" s="25"/>
    </row>
    <row r="203" ht="15.75" customHeight="1">
      <c r="O203" s="25"/>
    </row>
    <row r="204" ht="15.75" customHeight="1">
      <c r="O204" s="25"/>
    </row>
    <row r="205" ht="15.75" customHeight="1">
      <c r="O205" s="25"/>
    </row>
    <row r="206" ht="15.75" customHeight="1">
      <c r="O206" s="25"/>
    </row>
    <row r="207" ht="15.75" customHeight="1">
      <c r="O207" s="25"/>
    </row>
    <row r="208" ht="15.75" customHeight="1">
      <c r="O208" s="25"/>
    </row>
    <row r="209" ht="15.75" customHeight="1">
      <c r="O209" s="25"/>
    </row>
    <row r="210" ht="15.75" customHeight="1">
      <c r="O210" s="25"/>
    </row>
    <row r="211" ht="15.75" customHeight="1">
      <c r="O211" s="25"/>
    </row>
    <row r="212" ht="15.75" customHeight="1">
      <c r="O212" s="25"/>
    </row>
    <row r="213" ht="15.75" customHeight="1">
      <c r="O213" s="25"/>
    </row>
    <row r="214" ht="15.75" customHeight="1">
      <c r="O214" s="25"/>
    </row>
    <row r="215" ht="15.75" customHeight="1">
      <c r="O215" s="25"/>
    </row>
    <row r="216" ht="15.75" customHeight="1">
      <c r="O216" s="25"/>
    </row>
    <row r="217" ht="15.75" customHeight="1">
      <c r="O217" s="25"/>
    </row>
    <row r="218" ht="15.75" customHeight="1">
      <c r="O218" s="25"/>
    </row>
    <row r="219" ht="15.75" customHeight="1">
      <c r="O219" s="25"/>
    </row>
    <row r="220" ht="15.75" customHeight="1">
      <c r="O220" s="25"/>
    </row>
    <row r="221" ht="15.75" customHeight="1">
      <c r="O221" s="25"/>
    </row>
    <row r="222" ht="15.75" customHeight="1">
      <c r="O222" s="25"/>
    </row>
    <row r="223" ht="15.75" customHeight="1">
      <c r="O223" s="25"/>
    </row>
    <row r="224" ht="15.75" customHeight="1">
      <c r="O224" s="25"/>
    </row>
    <row r="225" ht="15.75" customHeight="1">
      <c r="O225" s="25"/>
    </row>
    <row r="226" ht="15.75" customHeight="1">
      <c r="O226" s="25"/>
    </row>
    <row r="227" ht="15.75" customHeight="1">
      <c r="O227" s="25"/>
    </row>
    <row r="228" ht="15.75" customHeight="1">
      <c r="O228" s="25"/>
    </row>
    <row r="229" ht="15.75" customHeight="1">
      <c r="O229" s="25"/>
    </row>
    <row r="230" ht="15.75" customHeight="1">
      <c r="O230" s="25"/>
    </row>
    <row r="231" ht="15.75" customHeight="1">
      <c r="O231" s="25"/>
    </row>
    <row r="232" ht="15.75" customHeight="1">
      <c r="O232" s="25"/>
    </row>
    <row r="233" ht="15.75" customHeight="1">
      <c r="O233" s="25"/>
    </row>
    <row r="234" ht="15.75" customHeight="1">
      <c r="O234" s="25"/>
    </row>
    <row r="235" ht="15.75" customHeight="1">
      <c r="O235" s="25"/>
    </row>
    <row r="236" ht="15.75" customHeight="1">
      <c r="O236" s="25"/>
    </row>
    <row r="237" ht="15.75" customHeight="1">
      <c r="O237" s="25"/>
    </row>
    <row r="238" ht="15.75" customHeight="1">
      <c r="O238" s="25"/>
    </row>
    <row r="239" ht="15.75" customHeight="1">
      <c r="O239" s="25"/>
    </row>
    <row r="240" ht="15.75" customHeight="1">
      <c r="O240" s="25"/>
    </row>
    <row r="241" ht="15.75" customHeight="1">
      <c r="O241" s="25"/>
    </row>
    <row r="242" ht="15.75" customHeight="1">
      <c r="O242" s="25"/>
    </row>
    <row r="243" ht="15.75" customHeight="1">
      <c r="O243" s="25"/>
    </row>
    <row r="244" ht="15.75" customHeight="1">
      <c r="O244" s="25"/>
    </row>
    <row r="245" ht="15.75" customHeight="1">
      <c r="O245" s="25"/>
    </row>
    <row r="246" ht="15.75" customHeight="1">
      <c r="O246" s="25"/>
    </row>
    <row r="247" ht="15.75" customHeight="1">
      <c r="O247" s="25"/>
    </row>
    <row r="248" ht="15.75" customHeight="1">
      <c r="O248" s="25"/>
    </row>
    <row r="249" ht="15.75" customHeight="1">
      <c r="O249" s="25"/>
    </row>
    <row r="250" ht="15.75" customHeight="1">
      <c r="O250" s="25"/>
    </row>
    <row r="251" ht="15.75" customHeight="1">
      <c r="O251" s="25"/>
    </row>
    <row r="252" ht="15.75" customHeight="1">
      <c r="O252" s="25"/>
    </row>
    <row r="253" ht="15.75" customHeight="1">
      <c r="O253" s="25"/>
    </row>
    <row r="254" ht="15.75" customHeight="1">
      <c r="O254" s="25"/>
    </row>
    <row r="255" ht="15.75" customHeight="1">
      <c r="O255" s="25"/>
    </row>
    <row r="256" ht="15.75" customHeight="1">
      <c r="O256" s="25"/>
    </row>
    <row r="257" ht="15.75" customHeight="1">
      <c r="O257" s="25"/>
    </row>
    <row r="258" ht="15.75" customHeight="1">
      <c r="O258" s="25"/>
    </row>
    <row r="259" ht="15.75" customHeight="1">
      <c r="O259" s="25"/>
    </row>
    <row r="260" ht="15.75" customHeight="1">
      <c r="O260" s="25"/>
    </row>
    <row r="261" ht="15.75" customHeight="1">
      <c r="O261" s="25"/>
    </row>
    <row r="262" ht="15.75" customHeight="1">
      <c r="O262" s="25"/>
    </row>
    <row r="263" ht="15.75" customHeight="1">
      <c r="O263" s="25"/>
    </row>
    <row r="264" ht="15.75" customHeight="1">
      <c r="O264" s="25"/>
    </row>
    <row r="265" ht="15.75" customHeight="1">
      <c r="O265" s="25"/>
    </row>
    <row r="266" ht="15.75" customHeight="1">
      <c r="O266" s="25"/>
    </row>
    <row r="267" ht="15.75" customHeight="1">
      <c r="O267" s="25"/>
    </row>
    <row r="268" ht="15.75" customHeight="1">
      <c r="O268" s="25"/>
    </row>
    <row r="269" ht="15.75" customHeight="1">
      <c r="O269" s="25"/>
    </row>
    <row r="270" ht="15.75" customHeight="1">
      <c r="O270" s="25"/>
    </row>
    <row r="271" ht="15.75" customHeight="1">
      <c r="O271" s="25"/>
    </row>
    <row r="272" ht="15.75" customHeight="1">
      <c r="O272" s="25"/>
    </row>
    <row r="273" ht="15.75" customHeight="1">
      <c r="O273" s="25"/>
    </row>
    <row r="274" ht="15.75" customHeight="1">
      <c r="O274" s="25"/>
    </row>
    <row r="275" ht="15.75" customHeight="1">
      <c r="O275" s="25"/>
    </row>
    <row r="276" ht="15.75" customHeight="1">
      <c r="O276" s="25"/>
    </row>
    <row r="277" ht="15.75" customHeight="1">
      <c r="O277" s="25"/>
    </row>
    <row r="278" ht="15.75" customHeight="1">
      <c r="O278" s="25"/>
    </row>
    <row r="279" ht="15.75" customHeight="1">
      <c r="O279" s="25"/>
    </row>
    <row r="280" ht="15.75" customHeight="1">
      <c r="O280" s="25"/>
    </row>
    <row r="281" ht="15.75" customHeight="1">
      <c r="O281" s="25"/>
    </row>
    <row r="282" ht="15.75" customHeight="1">
      <c r="O282" s="25"/>
    </row>
    <row r="283" ht="15.75" customHeight="1">
      <c r="O283" s="25"/>
    </row>
    <row r="284" ht="15.75" customHeight="1">
      <c r="O284" s="25"/>
    </row>
    <row r="285" ht="15.75" customHeight="1">
      <c r="O285" s="25"/>
    </row>
    <row r="286" ht="15.75" customHeight="1">
      <c r="O286" s="25"/>
    </row>
    <row r="287" ht="15.75" customHeight="1">
      <c r="O287" s="25"/>
    </row>
    <row r="288" ht="15.75" customHeight="1">
      <c r="O288" s="25"/>
    </row>
    <row r="289" ht="15.75" customHeight="1">
      <c r="O289" s="25"/>
    </row>
    <row r="290" ht="15.75" customHeight="1">
      <c r="O290" s="25"/>
    </row>
    <row r="291" ht="15.75" customHeight="1">
      <c r="O291" s="25"/>
    </row>
    <row r="292" ht="15.75" customHeight="1">
      <c r="O292" s="25"/>
    </row>
    <row r="293" ht="15.75" customHeight="1">
      <c r="O293" s="25"/>
    </row>
    <row r="294" ht="15.75" customHeight="1">
      <c r="O294" s="25"/>
    </row>
    <row r="295" ht="15.75" customHeight="1">
      <c r="O295" s="25"/>
    </row>
    <row r="296" ht="15.75" customHeight="1">
      <c r="O296" s="25"/>
    </row>
    <row r="297" ht="15.75" customHeight="1">
      <c r="O297" s="25"/>
    </row>
    <row r="298" ht="15.75" customHeight="1">
      <c r="O298" s="25"/>
    </row>
    <row r="299" ht="15.75" customHeight="1">
      <c r="O299" s="25"/>
    </row>
    <row r="300" ht="15.75" customHeight="1">
      <c r="O300" s="25"/>
    </row>
    <row r="301" ht="15.75" customHeight="1">
      <c r="O301" s="25"/>
    </row>
    <row r="302" ht="15.75" customHeight="1">
      <c r="O302" s="25"/>
    </row>
    <row r="303" ht="15.75" customHeight="1">
      <c r="O303" s="25"/>
    </row>
    <row r="304" ht="15.75" customHeight="1">
      <c r="O304" s="25"/>
    </row>
    <row r="305" ht="15.75" customHeight="1">
      <c r="O305" s="25"/>
    </row>
    <row r="306" ht="15.75" customHeight="1">
      <c r="O306" s="25"/>
    </row>
    <row r="307" ht="15.75" customHeight="1">
      <c r="O307" s="25"/>
    </row>
    <row r="308" ht="15.75" customHeight="1">
      <c r="O308" s="25"/>
    </row>
    <row r="309" ht="15.75" customHeight="1">
      <c r="O309" s="25"/>
    </row>
    <row r="310" ht="15.75" customHeight="1">
      <c r="O310" s="25"/>
    </row>
    <row r="311" ht="15.75" customHeight="1">
      <c r="O311" s="25"/>
    </row>
    <row r="312" ht="15.75" customHeight="1">
      <c r="O312" s="25"/>
    </row>
    <row r="313" ht="15.75" customHeight="1">
      <c r="O313" s="25"/>
    </row>
    <row r="314" ht="15.75" customHeight="1">
      <c r="O314" s="25"/>
    </row>
    <row r="315" ht="15.75" customHeight="1">
      <c r="O315" s="25"/>
    </row>
    <row r="316" ht="15.75" customHeight="1">
      <c r="O316" s="25"/>
    </row>
    <row r="317" ht="15.75" customHeight="1">
      <c r="O317" s="25"/>
    </row>
    <row r="318" ht="15.75" customHeight="1">
      <c r="O318" s="25"/>
    </row>
    <row r="319" ht="15.75" customHeight="1">
      <c r="O319" s="25"/>
    </row>
    <row r="320" ht="15.75" customHeight="1">
      <c r="O320" s="25"/>
    </row>
    <row r="321" ht="15.75" customHeight="1">
      <c r="O321" s="25"/>
    </row>
    <row r="322" ht="15.75" customHeight="1">
      <c r="O322" s="25"/>
    </row>
    <row r="323" ht="15.75" customHeight="1">
      <c r="O323" s="25"/>
    </row>
    <row r="324" ht="15.75" customHeight="1">
      <c r="O324" s="25"/>
    </row>
    <row r="325" ht="15.75" customHeight="1">
      <c r="O325" s="25"/>
    </row>
    <row r="326" ht="15.75" customHeight="1">
      <c r="O326" s="25"/>
    </row>
    <row r="327" ht="15.75" customHeight="1">
      <c r="O327" s="25"/>
    </row>
    <row r="328" ht="15.75" customHeight="1">
      <c r="O328" s="25"/>
    </row>
    <row r="329" ht="15.75" customHeight="1">
      <c r="O329" s="25"/>
    </row>
    <row r="330" ht="15.75" customHeight="1">
      <c r="O330" s="25"/>
    </row>
    <row r="331" ht="15.75" customHeight="1">
      <c r="O331" s="25"/>
    </row>
    <row r="332" ht="15.75" customHeight="1">
      <c r="O332" s="25"/>
    </row>
    <row r="333" ht="15.75" customHeight="1">
      <c r="O333" s="25"/>
    </row>
    <row r="334" ht="15.75" customHeight="1">
      <c r="O334" s="25"/>
    </row>
    <row r="335" ht="15.75" customHeight="1">
      <c r="O335" s="25"/>
    </row>
    <row r="336" ht="15.75" customHeight="1">
      <c r="O336" s="25"/>
    </row>
    <row r="337" ht="15.75" customHeight="1">
      <c r="O337" s="25"/>
    </row>
    <row r="338" ht="15.75" customHeight="1">
      <c r="O338" s="25"/>
    </row>
    <row r="339" ht="15.75" customHeight="1">
      <c r="O339" s="25"/>
    </row>
    <row r="340" ht="15.75" customHeight="1">
      <c r="O340" s="25"/>
    </row>
    <row r="341" ht="15.75" customHeight="1">
      <c r="O341" s="25"/>
    </row>
    <row r="342" ht="15.75" customHeight="1">
      <c r="O342" s="25"/>
    </row>
    <row r="343" ht="15.75" customHeight="1">
      <c r="O343" s="25"/>
    </row>
    <row r="344" ht="15.75" customHeight="1">
      <c r="O344" s="25"/>
    </row>
    <row r="345" ht="15.75" customHeight="1">
      <c r="O345" s="25"/>
    </row>
    <row r="346" ht="15.75" customHeight="1">
      <c r="O346" s="25"/>
    </row>
    <row r="347" ht="15.75" customHeight="1">
      <c r="O347" s="25"/>
    </row>
    <row r="348" ht="15.75" customHeight="1">
      <c r="O348" s="25"/>
    </row>
    <row r="349" ht="15.75" customHeight="1">
      <c r="O349" s="25"/>
    </row>
    <row r="350" ht="15.75" customHeight="1">
      <c r="O350" s="25"/>
    </row>
    <row r="351" ht="15.75" customHeight="1">
      <c r="O351" s="25"/>
    </row>
    <row r="352" ht="15.75" customHeight="1">
      <c r="O352" s="25"/>
    </row>
    <row r="353" ht="15.75" customHeight="1">
      <c r="O353" s="25"/>
    </row>
    <row r="354" ht="15.75" customHeight="1">
      <c r="O354" s="25"/>
    </row>
    <row r="355" ht="15.75" customHeight="1">
      <c r="O355" s="25"/>
    </row>
    <row r="356" ht="15.75" customHeight="1">
      <c r="O356" s="25"/>
    </row>
    <row r="357" ht="15.75" customHeight="1">
      <c r="O357" s="25"/>
    </row>
    <row r="358" ht="15.75" customHeight="1">
      <c r="O358" s="25"/>
    </row>
    <row r="359" ht="15.75" customHeight="1">
      <c r="O359" s="25"/>
    </row>
    <row r="360" ht="15.75" customHeight="1">
      <c r="O360" s="25"/>
    </row>
    <row r="361" ht="15.75" customHeight="1">
      <c r="O361" s="25"/>
    </row>
    <row r="362" ht="15.75" customHeight="1">
      <c r="O362" s="25"/>
    </row>
    <row r="363" ht="15.75" customHeight="1">
      <c r="O363" s="25"/>
    </row>
    <row r="364" ht="15.75" customHeight="1">
      <c r="O364" s="25"/>
    </row>
    <row r="365" ht="15.75" customHeight="1">
      <c r="O365" s="25"/>
    </row>
    <row r="366" ht="15.75" customHeight="1">
      <c r="O366" s="25"/>
    </row>
    <row r="367" ht="15.75" customHeight="1">
      <c r="O367" s="25"/>
    </row>
    <row r="368" ht="15.75" customHeight="1">
      <c r="O368" s="25"/>
    </row>
    <row r="369" ht="15.75" customHeight="1">
      <c r="O369" s="25"/>
    </row>
    <row r="370" ht="15.75" customHeight="1">
      <c r="O370" s="25"/>
    </row>
    <row r="371" ht="15.75" customHeight="1">
      <c r="O371" s="25"/>
    </row>
    <row r="372" ht="15.75" customHeight="1">
      <c r="O372" s="25"/>
    </row>
    <row r="373" ht="15.75" customHeight="1">
      <c r="O373" s="25"/>
    </row>
    <row r="374" ht="15.75" customHeight="1">
      <c r="O374" s="25"/>
    </row>
    <row r="375" ht="15.75" customHeight="1">
      <c r="O375" s="25"/>
    </row>
    <row r="376" ht="15.75" customHeight="1">
      <c r="O376" s="25"/>
    </row>
    <row r="377" ht="15.75" customHeight="1">
      <c r="O377" s="25"/>
    </row>
    <row r="378" ht="15.75" customHeight="1">
      <c r="O378" s="25"/>
    </row>
    <row r="379" ht="15.75" customHeight="1">
      <c r="O379" s="25"/>
    </row>
    <row r="380" ht="15.75" customHeight="1">
      <c r="O380" s="25"/>
    </row>
    <row r="381" ht="15.75" customHeight="1">
      <c r="O381" s="25"/>
    </row>
    <row r="382" ht="15.75" customHeight="1">
      <c r="O382" s="25"/>
    </row>
    <row r="383" ht="15.75" customHeight="1">
      <c r="O383" s="25"/>
    </row>
    <row r="384" ht="15.75" customHeight="1">
      <c r="O384" s="25"/>
    </row>
    <row r="385" ht="15.75" customHeight="1">
      <c r="O385" s="25"/>
    </row>
    <row r="386" ht="15.75" customHeight="1">
      <c r="O386" s="25"/>
    </row>
    <row r="387" ht="15.75" customHeight="1">
      <c r="O387" s="25"/>
    </row>
    <row r="388" ht="15.75" customHeight="1">
      <c r="O388" s="25"/>
    </row>
    <row r="389" ht="15.75" customHeight="1">
      <c r="O389" s="25"/>
    </row>
    <row r="390" ht="15.75" customHeight="1">
      <c r="O390" s="25"/>
    </row>
    <row r="391" ht="15.75" customHeight="1">
      <c r="O391" s="25"/>
    </row>
    <row r="392" ht="15.75" customHeight="1">
      <c r="O392" s="25"/>
    </row>
    <row r="393" ht="15.75" customHeight="1">
      <c r="O393" s="25"/>
    </row>
    <row r="394" ht="15.75" customHeight="1">
      <c r="O394" s="25"/>
    </row>
    <row r="395" ht="15.75" customHeight="1">
      <c r="O395" s="25"/>
    </row>
    <row r="396" ht="15.75" customHeight="1">
      <c r="O396" s="25"/>
    </row>
    <row r="397" ht="15.75" customHeight="1">
      <c r="O397" s="25"/>
    </row>
    <row r="398" ht="15.75" customHeight="1">
      <c r="O398" s="25"/>
    </row>
    <row r="399" ht="15.75" customHeight="1">
      <c r="O399" s="25"/>
    </row>
    <row r="400" ht="15.75" customHeight="1">
      <c r="O400" s="25"/>
    </row>
    <row r="401" ht="15.75" customHeight="1">
      <c r="O401" s="25"/>
    </row>
    <row r="402" ht="15.75" customHeight="1">
      <c r="O402" s="25"/>
    </row>
    <row r="403" ht="15.75" customHeight="1">
      <c r="O403" s="25"/>
    </row>
    <row r="404" ht="15.75" customHeight="1">
      <c r="O404" s="25"/>
    </row>
    <row r="405" ht="15.75" customHeight="1">
      <c r="O405" s="25"/>
    </row>
    <row r="406" ht="15.75" customHeight="1">
      <c r="O406" s="25"/>
    </row>
    <row r="407" ht="15.75" customHeight="1">
      <c r="O407" s="25"/>
    </row>
    <row r="408" ht="15.75" customHeight="1">
      <c r="O408" s="25"/>
    </row>
    <row r="409" ht="15.75" customHeight="1">
      <c r="O409" s="25"/>
    </row>
    <row r="410" ht="15.75" customHeight="1">
      <c r="O410" s="25"/>
    </row>
    <row r="411" ht="15.75" customHeight="1">
      <c r="O411" s="25"/>
    </row>
    <row r="412" ht="15.75" customHeight="1">
      <c r="O412" s="25"/>
    </row>
    <row r="413" ht="15.75" customHeight="1">
      <c r="O413" s="25"/>
    </row>
    <row r="414" ht="15.75" customHeight="1">
      <c r="O414" s="25"/>
    </row>
    <row r="415" ht="15.75" customHeight="1">
      <c r="O415" s="25"/>
    </row>
    <row r="416" ht="15.75" customHeight="1">
      <c r="O416" s="25"/>
    </row>
    <row r="417" ht="15.75" customHeight="1">
      <c r="O417" s="25"/>
    </row>
    <row r="418" ht="15.75" customHeight="1">
      <c r="O418" s="25"/>
    </row>
    <row r="419" ht="15.75" customHeight="1">
      <c r="O419" s="25"/>
    </row>
    <row r="420" ht="15.75" customHeight="1">
      <c r="O420" s="25"/>
    </row>
    <row r="421" ht="15.75" customHeight="1">
      <c r="O421" s="25"/>
    </row>
    <row r="422" ht="15.75" customHeight="1">
      <c r="O422" s="25"/>
    </row>
    <row r="423" ht="15.75" customHeight="1">
      <c r="O423" s="25"/>
    </row>
    <row r="424" ht="15.75" customHeight="1">
      <c r="O424" s="25"/>
    </row>
    <row r="425" ht="15.75" customHeight="1">
      <c r="O425" s="25"/>
    </row>
    <row r="426" ht="15.75" customHeight="1">
      <c r="O426" s="25"/>
    </row>
    <row r="427" ht="15.75" customHeight="1">
      <c r="O427" s="25"/>
    </row>
    <row r="428" ht="15.75" customHeight="1">
      <c r="O428" s="25"/>
    </row>
    <row r="429" ht="15.75" customHeight="1">
      <c r="O429" s="25"/>
    </row>
    <row r="430" ht="15.75" customHeight="1">
      <c r="O430" s="25"/>
    </row>
    <row r="431" ht="15.75" customHeight="1">
      <c r="O431" s="25"/>
    </row>
    <row r="432" ht="15.75" customHeight="1">
      <c r="O432" s="25"/>
    </row>
    <row r="433" ht="15.75" customHeight="1">
      <c r="O433" s="25"/>
    </row>
    <row r="434" ht="15.75" customHeight="1">
      <c r="O434" s="25"/>
    </row>
    <row r="435" ht="15.75" customHeight="1">
      <c r="O435" s="25"/>
    </row>
    <row r="436" ht="15.75" customHeight="1">
      <c r="O436" s="25"/>
    </row>
    <row r="437" ht="15.75" customHeight="1">
      <c r="O437" s="25"/>
    </row>
    <row r="438" ht="15.75" customHeight="1">
      <c r="O438" s="25"/>
    </row>
    <row r="439" ht="15.75" customHeight="1">
      <c r="O439" s="25"/>
    </row>
    <row r="440" ht="15.75" customHeight="1">
      <c r="O440" s="25"/>
    </row>
    <row r="441" ht="15.75" customHeight="1">
      <c r="O441" s="25"/>
    </row>
    <row r="442" ht="15.75" customHeight="1">
      <c r="O442" s="25"/>
    </row>
    <row r="443" ht="15.75" customHeight="1">
      <c r="O443" s="25"/>
    </row>
    <row r="444" ht="15.75" customHeight="1">
      <c r="O444" s="25"/>
    </row>
    <row r="445" ht="15.75" customHeight="1">
      <c r="O445" s="25"/>
    </row>
    <row r="446" ht="15.75" customHeight="1">
      <c r="O446" s="25"/>
    </row>
    <row r="447" ht="15.75" customHeight="1">
      <c r="O447" s="25"/>
    </row>
    <row r="448" ht="15.75" customHeight="1">
      <c r="O448" s="25"/>
    </row>
    <row r="449" ht="15.75" customHeight="1">
      <c r="O449" s="25"/>
    </row>
    <row r="450" ht="15.75" customHeight="1">
      <c r="O450" s="25"/>
    </row>
    <row r="451" ht="15.75" customHeight="1">
      <c r="O451" s="25"/>
    </row>
    <row r="452" ht="15.75" customHeight="1">
      <c r="O452" s="25"/>
    </row>
    <row r="453" ht="15.75" customHeight="1">
      <c r="O453" s="25"/>
    </row>
    <row r="454" ht="15.75" customHeight="1">
      <c r="O454" s="25"/>
    </row>
    <row r="455" ht="15.75" customHeight="1">
      <c r="O455" s="25"/>
    </row>
    <row r="456" ht="15.75" customHeight="1">
      <c r="O456" s="25"/>
    </row>
    <row r="457" ht="15.75" customHeight="1">
      <c r="O457" s="25"/>
    </row>
    <row r="458" ht="15.75" customHeight="1">
      <c r="O458" s="25"/>
    </row>
    <row r="459" ht="15.75" customHeight="1">
      <c r="O459" s="25"/>
    </row>
    <row r="460" ht="15.75" customHeight="1">
      <c r="O460" s="25"/>
    </row>
    <row r="461" ht="15.75" customHeight="1">
      <c r="O461" s="25"/>
    </row>
    <row r="462" ht="15.75" customHeight="1">
      <c r="O462" s="25"/>
    </row>
    <row r="463" ht="15.75" customHeight="1">
      <c r="O463" s="25"/>
    </row>
    <row r="464" ht="15.75" customHeight="1">
      <c r="O464" s="25"/>
    </row>
    <row r="465" ht="15.75" customHeight="1">
      <c r="O465" s="25"/>
    </row>
    <row r="466" ht="15.75" customHeight="1">
      <c r="O466" s="25"/>
    </row>
    <row r="467" ht="15.75" customHeight="1">
      <c r="O467" s="25"/>
    </row>
    <row r="468" ht="15.75" customHeight="1">
      <c r="O468" s="25"/>
    </row>
    <row r="469" ht="15.75" customHeight="1">
      <c r="O469" s="25"/>
    </row>
    <row r="470" ht="15.75" customHeight="1">
      <c r="O470" s="25"/>
    </row>
    <row r="471" ht="15.75" customHeight="1">
      <c r="O471" s="25"/>
    </row>
    <row r="472" ht="15.75" customHeight="1">
      <c r="O472" s="25"/>
    </row>
    <row r="473" ht="15.75" customHeight="1">
      <c r="O473" s="25"/>
    </row>
    <row r="474" ht="15.75" customHeight="1">
      <c r="O474" s="25"/>
    </row>
    <row r="475" ht="15.75" customHeight="1">
      <c r="O475" s="25"/>
    </row>
    <row r="476" ht="15.75" customHeight="1">
      <c r="O476" s="25"/>
    </row>
    <row r="477" ht="15.75" customHeight="1">
      <c r="O477" s="25"/>
    </row>
    <row r="478" ht="15.75" customHeight="1">
      <c r="O478" s="25"/>
    </row>
    <row r="479" ht="15.75" customHeight="1">
      <c r="O479" s="25"/>
    </row>
    <row r="480" ht="15.75" customHeight="1">
      <c r="O480" s="25"/>
    </row>
    <row r="481" ht="15.75" customHeight="1">
      <c r="O481" s="25"/>
    </row>
    <row r="482" ht="15.75" customHeight="1">
      <c r="O482" s="25"/>
    </row>
    <row r="483" ht="15.75" customHeight="1">
      <c r="O483" s="25"/>
    </row>
    <row r="484" ht="15.75" customHeight="1">
      <c r="O484" s="25"/>
    </row>
    <row r="485" ht="15.75" customHeight="1">
      <c r="O485" s="25"/>
    </row>
    <row r="486" ht="15.75" customHeight="1">
      <c r="O486" s="25"/>
    </row>
    <row r="487" ht="15.75" customHeight="1">
      <c r="O487" s="25"/>
    </row>
    <row r="488" ht="15.75" customHeight="1">
      <c r="O488" s="25"/>
    </row>
    <row r="489" ht="15.75" customHeight="1">
      <c r="O489" s="25"/>
    </row>
    <row r="490" ht="15.75" customHeight="1">
      <c r="O490" s="25"/>
    </row>
    <row r="491" ht="15.75" customHeight="1">
      <c r="O491" s="25"/>
    </row>
    <row r="492" ht="15.75" customHeight="1">
      <c r="O492" s="25"/>
    </row>
    <row r="493" ht="15.75" customHeight="1">
      <c r="O493" s="25"/>
    </row>
    <row r="494" ht="15.75" customHeight="1">
      <c r="O494" s="25"/>
    </row>
    <row r="495" ht="15.75" customHeight="1">
      <c r="O495" s="25"/>
    </row>
    <row r="496" ht="15.75" customHeight="1">
      <c r="O496" s="25"/>
    </row>
    <row r="497" ht="15.75" customHeight="1">
      <c r="O497" s="25"/>
    </row>
    <row r="498" ht="15.75" customHeight="1">
      <c r="O498" s="25"/>
    </row>
    <row r="499" ht="15.75" customHeight="1">
      <c r="O499" s="25"/>
    </row>
    <row r="500" ht="15.75" customHeight="1">
      <c r="O500" s="25"/>
    </row>
    <row r="501" ht="15.75" customHeight="1">
      <c r="O501" s="25"/>
    </row>
    <row r="502" ht="15.75" customHeight="1">
      <c r="O502" s="25"/>
    </row>
    <row r="503" ht="15.75" customHeight="1">
      <c r="O503" s="25"/>
    </row>
    <row r="504" ht="15.75" customHeight="1">
      <c r="O504" s="25"/>
    </row>
    <row r="505" ht="15.75" customHeight="1">
      <c r="O505" s="25"/>
    </row>
    <row r="506" ht="15.75" customHeight="1">
      <c r="O506" s="25"/>
    </row>
    <row r="507" ht="15.75" customHeight="1">
      <c r="O507" s="25"/>
    </row>
    <row r="508" ht="15.75" customHeight="1">
      <c r="O508" s="25"/>
    </row>
    <row r="509" ht="15.75" customHeight="1">
      <c r="O509" s="25"/>
    </row>
    <row r="510" ht="15.75" customHeight="1">
      <c r="O510" s="25"/>
    </row>
    <row r="511" ht="15.75" customHeight="1">
      <c r="O511" s="25"/>
    </row>
    <row r="512" ht="15.75" customHeight="1">
      <c r="O512" s="25"/>
    </row>
    <row r="513" ht="15.75" customHeight="1">
      <c r="O513" s="25"/>
    </row>
    <row r="514" ht="15.75" customHeight="1">
      <c r="O514" s="25"/>
    </row>
    <row r="515" ht="15.75" customHeight="1">
      <c r="O515" s="25"/>
    </row>
    <row r="516" ht="15.75" customHeight="1">
      <c r="O516" s="25"/>
    </row>
    <row r="517" ht="15.75" customHeight="1">
      <c r="O517" s="25"/>
    </row>
    <row r="518" ht="15.75" customHeight="1">
      <c r="O518" s="25"/>
    </row>
    <row r="519" ht="15.75" customHeight="1">
      <c r="O519" s="25"/>
    </row>
    <row r="520" ht="15.75" customHeight="1">
      <c r="O520" s="25"/>
    </row>
    <row r="521" ht="15.75" customHeight="1">
      <c r="O521" s="25"/>
    </row>
    <row r="522" ht="15.75" customHeight="1">
      <c r="O522" s="25"/>
    </row>
    <row r="523" ht="15.75" customHeight="1">
      <c r="O523" s="25"/>
    </row>
    <row r="524" ht="15.75" customHeight="1">
      <c r="O524" s="25"/>
    </row>
    <row r="525" ht="15.75" customHeight="1">
      <c r="O525" s="25"/>
    </row>
    <row r="526" ht="15.75" customHeight="1">
      <c r="O526" s="25"/>
    </row>
    <row r="527" ht="15.75" customHeight="1">
      <c r="O527" s="25"/>
    </row>
    <row r="528" ht="15.75" customHeight="1">
      <c r="O528" s="25"/>
    </row>
    <row r="529" ht="15.75" customHeight="1">
      <c r="O529" s="25"/>
    </row>
    <row r="530" ht="15.75" customHeight="1">
      <c r="O530" s="25"/>
    </row>
    <row r="531" ht="15.75" customHeight="1">
      <c r="O531" s="25"/>
    </row>
    <row r="532" ht="15.75" customHeight="1">
      <c r="O532" s="25"/>
    </row>
    <row r="533" ht="15.75" customHeight="1">
      <c r="O533" s="25"/>
    </row>
    <row r="534" ht="15.75" customHeight="1">
      <c r="O534" s="25"/>
    </row>
    <row r="535" ht="15.75" customHeight="1">
      <c r="O535" s="25"/>
    </row>
    <row r="536" ht="15.75" customHeight="1">
      <c r="O536" s="25"/>
    </row>
    <row r="537" ht="15.75" customHeight="1">
      <c r="O537" s="25"/>
    </row>
    <row r="538" ht="15.75" customHeight="1">
      <c r="O538" s="25"/>
    </row>
    <row r="539" ht="15.75" customHeight="1">
      <c r="O539" s="25"/>
    </row>
    <row r="540" ht="15.75" customHeight="1">
      <c r="O540" s="25"/>
    </row>
    <row r="541" ht="15.75" customHeight="1">
      <c r="O541" s="25"/>
    </row>
    <row r="542" ht="15.75" customHeight="1">
      <c r="O542" s="25"/>
    </row>
    <row r="543" ht="15.75" customHeight="1">
      <c r="O543" s="25"/>
    </row>
    <row r="544" ht="15.75" customHeight="1">
      <c r="O544" s="25"/>
    </row>
    <row r="545" ht="15.75" customHeight="1">
      <c r="O545" s="25"/>
    </row>
    <row r="546" ht="15.75" customHeight="1">
      <c r="O546" s="25"/>
    </row>
    <row r="547" ht="15.75" customHeight="1">
      <c r="O547" s="25"/>
    </row>
    <row r="548" ht="15.75" customHeight="1">
      <c r="O548" s="25"/>
    </row>
    <row r="549" ht="15.75" customHeight="1">
      <c r="O549" s="25"/>
    </row>
    <row r="550" ht="15.75" customHeight="1">
      <c r="O550" s="25"/>
    </row>
    <row r="551" ht="15.75" customHeight="1">
      <c r="O551" s="25"/>
    </row>
    <row r="552" ht="15.75" customHeight="1">
      <c r="O552" s="25"/>
    </row>
    <row r="553" ht="15.75" customHeight="1">
      <c r="O553" s="25"/>
    </row>
    <row r="554" ht="15.75" customHeight="1">
      <c r="O554" s="25"/>
    </row>
    <row r="555" ht="15.75" customHeight="1">
      <c r="O555" s="25"/>
    </row>
    <row r="556" ht="15.75" customHeight="1">
      <c r="O556" s="25"/>
    </row>
    <row r="557" ht="15.75" customHeight="1">
      <c r="O557" s="25"/>
    </row>
    <row r="558" ht="15.75" customHeight="1">
      <c r="O558" s="25"/>
    </row>
    <row r="559" ht="15.75" customHeight="1">
      <c r="O559" s="25"/>
    </row>
    <row r="560" ht="15.75" customHeight="1">
      <c r="O560" s="25"/>
    </row>
    <row r="561" ht="15.75" customHeight="1">
      <c r="O561" s="25"/>
    </row>
    <row r="562" ht="15.75" customHeight="1">
      <c r="O562" s="25"/>
    </row>
    <row r="563" ht="15.75" customHeight="1">
      <c r="O563" s="25"/>
    </row>
    <row r="564" ht="15.75" customHeight="1">
      <c r="O564" s="25"/>
    </row>
    <row r="565" ht="15.75" customHeight="1">
      <c r="O565" s="25"/>
    </row>
    <row r="566" ht="15.75" customHeight="1">
      <c r="O566" s="25"/>
    </row>
    <row r="567" ht="15.75" customHeight="1">
      <c r="O567" s="25"/>
    </row>
    <row r="568" ht="15.75" customHeight="1">
      <c r="O568" s="25"/>
    </row>
    <row r="569" ht="15.75" customHeight="1">
      <c r="O569" s="25"/>
    </row>
    <row r="570" ht="15.75" customHeight="1">
      <c r="O570" s="25"/>
    </row>
    <row r="571" ht="15.75" customHeight="1">
      <c r="O571" s="25"/>
    </row>
    <row r="572" ht="15.75" customHeight="1">
      <c r="O572" s="25"/>
    </row>
    <row r="573" ht="15.75" customHeight="1">
      <c r="O573" s="25"/>
    </row>
    <row r="574" ht="15.75" customHeight="1">
      <c r="O574" s="25"/>
    </row>
    <row r="575" ht="15.75" customHeight="1">
      <c r="O575" s="25"/>
    </row>
    <row r="576" ht="15.75" customHeight="1">
      <c r="O576" s="25"/>
    </row>
    <row r="577" ht="15.75" customHeight="1">
      <c r="O577" s="25"/>
    </row>
    <row r="578" ht="15.75" customHeight="1">
      <c r="O578" s="25"/>
    </row>
    <row r="579" ht="15.75" customHeight="1">
      <c r="O579" s="25"/>
    </row>
    <row r="580" ht="15.75" customHeight="1">
      <c r="O580" s="25"/>
    </row>
    <row r="581" ht="15.75" customHeight="1">
      <c r="O581" s="25"/>
    </row>
    <row r="582" ht="15.75" customHeight="1">
      <c r="O582" s="25"/>
    </row>
    <row r="583" ht="15.75" customHeight="1">
      <c r="O583" s="25"/>
    </row>
    <row r="584" ht="15.75" customHeight="1">
      <c r="O584" s="25"/>
    </row>
    <row r="585" ht="15.75" customHeight="1">
      <c r="O585" s="25"/>
    </row>
    <row r="586" ht="15.75" customHeight="1">
      <c r="O586" s="25"/>
    </row>
    <row r="587" ht="15.75" customHeight="1">
      <c r="O587" s="25"/>
    </row>
    <row r="588" ht="15.75" customHeight="1">
      <c r="O588" s="25"/>
    </row>
    <row r="589" ht="15.75" customHeight="1">
      <c r="O589" s="25"/>
    </row>
    <row r="590" ht="15.75" customHeight="1">
      <c r="O590" s="25"/>
    </row>
    <row r="591" ht="15.75" customHeight="1">
      <c r="O591" s="25"/>
    </row>
    <row r="592" ht="15.75" customHeight="1">
      <c r="O592" s="25"/>
    </row>
    <row r="593" ht="15.75" customHeight="1">
      <c r="O593" s="25"/>
    </row>
    <row r="594" ht="15.75" customHeight="1">
      <c r="O594" s="25"/>
    </row>
    <row r="595" ht="15.75" customHeight="1">
      <c r="O595" s="25"/>
    </row>
    <row r="596" ht="15.75" customHeight="1">
      <c r="O596" s="25"/>
    </row>
    <row r="597" ht="15.75" customHeight="1">
      <c r="O597" s="25"/>
    </row>
    <row r="598" ht="15.75" customHeight="1">
      <c r="O598" s="25"/>
    </row>
    <row r="599" ht="15.75" customHeight="1">
      <c r="O599" s="25"/>
    </row>
    <row r="600" ht="15.75" customHeight="1">
      <c r="O600" s="25"/>
    </row>
    <row r="601" ht="15.75" customHeight="1">
      <c r="O601" s="25"/>
    </row>
    <row r="602" ht="15.75" customHeight="1">
      <c r="O602" s="25"/>
    </row>
    <row r="603" ht="15.75" customHeight="1">
      <c r="O603" s="25"/>
    </row>
    <row r="604" ht="15.75" customHeight="1">
      <c r="O604" s="25"/>
    </row>
    <row r="605" ht="15.75" customHeight="1">
      <c r="O605" s="25"/>
    </row>
    <row r="606" ht="15.75" customHeight="1">
      <c r="O606" s="25"/>
    </row>
    <row r="607" ht="15.75" customHeight="1">
      <c r="O607" s="25"/>
    </row>
    <row r="608" ht="15.75" customHeight="1">
      <c r="O608" s="25"/>
    </row>
    <row r="609" ht="15.75" customHeight="1">
      <c r="O609" s="25"/>
    </row>
    <row r="610" ht="15.75" customHeight="1">
      <c r="O610" s="25"/>
    </row>
    <row r="611" ht="15.75" customHeight="1">
      <c r="O611" s="25"/>
    </row>
    <row r="612" ht="15.75" customHeight="1">
      <c r="O612" s="25"/>
    </row>
    <row r="613" ht="15.75" customHeight="1">
      <c r="O613" s="25"/>
    </row>
    <row r="614" ht="15.75" customHeight="1">
      <c r="O614" s="25"/>
    </row>
    <row r="615" ht="15.75" customHeight="1">
      <c r="O615" s="25"/>
    </row>
    <row r="616" ht="15.75" customHeight="1">
      <c r="O616" s="25"/>
    </row>
    <row r="617" ht="15.75" customHeight="1">
      <c r="O617" s="25"/>
    </row>
    <row r="618" ht="15.75" customHeight="1">
      <c r="O618" s="25"/>
    </row>
    <row r="619" ht="15.75" customHeight="1">
      <c r="O619" s="25"/>
    </row>
    <row r="620" ht="15.75" customHeight="1">
      <c r="O620" s="25"/>
    </row>
    <row r="621" ht="15.75" customHeight="1">
      <c r="O621" s="25"/>
    </row>
    <row r="622" ht="15.75" customHeight="1">
      <c r="O622" s="25"/>
    </row>
    <row r="623" ht="15.75" customHeight="1">
      <c r="O623" s="25"/>
    </row>
    <row r="624" ht="15.75" customHeight="1">
      <c r="O624" s="25"/>
    </row>
    <row r="625" ht="15.75" customHeight="1">
      <c r="O625" s="25"/>
    </row>
    <row r="626" ht="15.75" customHeight="1">
      <c r="O626" s="25"/>
    </row>
    <row r="627" ht="15.75" customHeight="1">
      <c r="O627" s="25"/>
    </row>
    <row r="628" ht="15.75" customHeight="1">
      <c r="O628" s="25"/>
    </row>
    <row r="629" ht="15.75" customHeight="1">
      <c r="O629" s="25"/>
    </row>
    <row r="630" ht="15.75" customHeight="1">
      <c r="O630" s="25"/>
    </row>
    <row r="631" ht="15.75" customHeight="1">
      <c r="O631" s="25"/>
    </row>
    <row r="632" ht="15.75" customHeight="1">
      <c r="O632" s="25"/>
    </row>
    <row r="633" ht="15.75" customHeight="1">
      <c r="O633" s="25"/>
    </row>
    <row r="634" ht="15.75" customHeight="1">
      <c r="O634" s="25"/>
    </row>
    <row r="635" ht="15.75" customHeight="1">
      <c r="O635" s="25"/>
    </row>
    <row r="636" ht="15.75" customHeight="1">
      <c r="O636" s="25"/>
    </row>
    <row r="637" ht="15.75" customHeight="1">
      <c r="O637" s="25"/>
    </row>
    <row r="638" ht="15.75" customHeight="1">
      <c r="O638" s="25"/>
    </row>
    <row r="639" ht="15.75" customHeight="1">
      <c r="O639" s="25"/>
    </row>
    <row r="640" ht="15.75" customHeight="1">
      <c r="O640" s="25"/>
    </row>
    <row r="641" ht="15.75" customHeight="1">
      <c r="O641" s="25"/>
    </row>
    <row r="642" ht="15.75" customHeight="1">
      <c r="O642" s="25"/>
    </row>
    <row r="643" ht="15.75" customHeight="1">
      <c r="O643" s="25"/>
    </row>
    <row r="644" ht="15.75" customHeight="1">
      <c r="O644" s="25"/>
    </row>
    <row r="645" ht="15.75" customHeight="1">
      <c r="O645" s="25"/>
    </row>
    <row r="646" ht="15.75" customHeight="1">
      <c r="O646" s="25"/>
    </row>
    <row r="647" ht="15.75" customHeight="1">
      <c r="O647" s="25"/>
    </row>
    <row r="648" ht="15.75" customHeight="1">
      <c r="O648" s="25"/>
    </row>
    <row r="649" ht="15.75" customHeight="1">
      <c r="O649" s="25"/>
    </row>
    <row r="650" ht="15.75" customHeight="1">
      <c r="O650" s="25"/>
    </row>
    <row r="651" ht="15.75" customHeight="1">
      <c r="O651" s="25"/>
    </row>
    <row r="652" ht="15.75" customHeight="1">
      <c r="O652" s="25"/>
    </row>
    <row r="653" ht="15.75" customHeight="1">
      <c r="O653" s="25"/>
    </row>
    <row r="654" ht="15.75" customHeight="1">
      <c r="O654" s="25"/>
    </row>
    <row r="655" ht="15.75" customHeight="1">
      <c r="O655" s="25"/>
    </row>
    <row r="656" ht="15.75" customHeight="1">
      <c r="O656" s="25"/>
    </row>
    <row r="657" ht="15.75" customHeight="1">
      <c r="O657" s="25"/>
    </row>
    <row r="658" ht="15.75" customHeight="1">
      <c r="O658" s="25"/>
    </row>
    <row r="659" ht="15.75" customHeight="1">
      <c r="O659" s="25"/>
    </row>
    <row r="660" ht="15.75" customHeight="1">
      <c r="O660" s="25"/>
    </row>
    <row r="661" ht="15.75" customHeight="1">
      <c r="O661" s="25"/>
    </row>
    <row r="662" ht="15.75" customHeight="1">
      <c r="O662" s="25"/>
    </row>
    <row r="663" ht="15.75" customHeight="1">
      <c r="O663" s="25"/>
    </row>
    <row r="664" ht="15.75" customHeight="1">
      <c r="O664" s="25"/>
    </row>
    <row r="665" ht="15.75" customHeight="1">
      <c r="O665" s="25"/>
    </row>
    <row r="666" ht="15.75" customHeight="1">
      <c r="O666" s="25"/>
    </row>
    <row r="667" ht="15.75" customHeight="1">
      <c r="O667" s="25"/>
    </row>
    <row r="668" ht="15.75" customHeight="1">
      <c r="O668" s="25"/>
    </row>
    <row r="669" ht="15.75" customHeight="1">
      <c r="O669" s="25"/>
    </row>
    <row r="670" ht="15.75" customHeight="1">
      <c r="O670" s="25"/>
    </row>
    <row r="671" ht="15.75" customHeight="1">
      <c r="O671" s="25"/>
    </row>
    <row r="672" ht="15.75" customHeight="1">
      <c r="O672" s="25"/>
    </row>
    <row r="673" ht="15.75" customHeight="1">
      <c r="O673" s="25"/>
    </row>
    <row r="674" ht="15.75" customHeight="1">
      <c r="O674" s="25"/>
    </row>
    <row r="675" ht="15.75" customHeight="1">
      <c r="O675" s="25"/>
    </row>
    <row r="676" ht="15.75" customHeight="1">
      <c r="O676" s="25"/>
    </row>
    <row r="677" ht="15.75" customHeight="1">
      <c r="O677" s="25"/>
    </row>
    <row r="678" ht="15.75" customHeight="1">
      <c r="O678" s="25"/>
    </row>
    <row r="679" ht="15.75" customHeight="1">
      <c r="O679" s="25"/>
    </row>
    <row r="680" ht="15.75" customHeight="1">
      <c r="O680" s="25"/>
    </row>
    <row r="681" ht="15.75" customHeight="1">
      <c r="O681" s="25"/>
    </row>
    <row r="682" ht="15.75" customHeight="1">
      <c r="O682" s="25"/>
    </row>
    <row r="683" ht="15.75" customHeight="1">
      <c r="O683" s="25"/>
    </row>
    <row r="684" ht="15.75" customHeight="1">
      <c r="O684" s="25"/>
    </row>
    <row r="685" ht="15.75" customHeight="1">
      <c r="O685" s="25"/>
    </row>
    <row r="686" ht="15.75" customHeight="1">
      <c r="O686" s="25"/>
    </row>
    <row r="687" ht="15.75" customHeight="1">
      <c r="O687" s="25"/>
    </row>
    <row r="688" ht="15.75" customHeight="1">
      <c r="O688" s="25"/>
    </row>
    <row r="689" ht="15.75" customHeight="1">
      <c r="O689" s="25"/>
    </row>
    <row r="690" ht="15.75" customHeight="1">
      <c r="O690" s="25"/>
    </row>
    <row r="691" ht="15.75" customHeight="1">
      <c r="O691" s="25"/>
    </row>
    <row r="692" ht="15.75" customHeight="1">
      <c r="O692" s="25"/>
    </row>
    <row r="693" ht="15.75" customHeight="1">
      <c r="O693" s="25"/>
    </row>
    <row r="694" ht="15.75" customHeight="1">
      <c r="O694" s="25"/>
    </row>
    <row r="695" ht="15.75" customHeight="1">
      <c r="O695" s="25"/>
    </row>
    <row r="696" ht="15.75" customHeight="1">
      <c r="O696" s="25"/>
    </row>
    <row r="697" ht="15.75" customHeight="1">
      <c r="O697" s="25"/>
    </row>
    <row r="698" ht="15.75" customHeight="1">
      <c r="O698" s="25"/>
    </row>
    <row r="699" ht="15.75" customHeight="1">
      <c r="O699" s="25"/>
    </row>
    <row r="700" ht="15.75" customHeight="1">
      <c r="O700" s="25"/>
    </row>
    <row r="701" ht="15.75" customHeight="1">
      <c r="O701" s="25"/>
    </row>
    <row r="702" ht="15.75" customHeight="1">
      <c r="O702" s="25"/>
    </row>
    <row r="703" ht="15.75" customHeight="1">
      <c r="O703" s="25"/>
    </row>
    <row r="704" ht="15.75" customHeight="1">
      <c r="O704" s="25"/>
    </row>
    <row r="705" ht="15.75" customHeight="1">
      <c r="O705" s="25"/>
    </row>
    <row r="706" ht="15.75" customHeight="1">
      <c r="O706" s="25"/>
    </row>
    <row r="707" ht="15.75" customHeight="1">
      <c r="O707" s="25"/>
    </row>
    <row r="708" ht="15.75" customHeight="1">
      <c r="O708" s="25"/>
    </row>
    <row r="709" ht="15.75" customHeight="1">
      <c r="O709" s="25"/>
    </row>
    <row r="710" ht="15.75" customHeight="1">
      <c r="O710" s="25"/>
    </row>
    <row r="711" ht="15.75" customHeight="1">
      <c r="O711" s="25"/>
    </row>
    <row r="712" ht="15.75" customHeight="1">
      <c r="O712" s="25"/>
    </row>
    <row r="713" ht="15.75" customHeight="1">
      <c r="O713" s="25"/>
    </row>
    <row r="714" ht="15.75" customHeight="1">
      <c r="O714" s="25"/>
    </row>
    <row r="715" ht="15.75" customHeight="1">
      <c r="O715" s="25"/>
    </row>
    <row r="716" ht="15.75" customHeight="1">
      <c r="O716" s="25"/>
    </row>
    <row r="717" ht="15.75" customHeight="1">
      <c r="O717" s="25"/>
    </row>
    <row r="718" ht="15.75" customHeight="1">
      <c r="O718" s="25"/>
    </row>
    <row r="719" ht="15.75" customHeight="1">
      <c r="O719" s="25"/>
    </row>
    <row r="720" ht="15.75" customHeight="1">
      <c r="O720" s="25"/>
    </row>
    <row r="721" ht="15.75" customHeight="1">
      <c r="O721" s="25"/>
    </row>
    <row r="722" ht="15.75" customHeight="1">
      <c r="O722" s="25"/>
    </row>
    <row r="723" ht="15.75" customHeight="1">
      <c r="O723" s="25"/>
    </row>
    <row r="724" ht="15.75" customHeight="1">
      <c r="O724" s="25"/>
    </row>
    <row r="725" ht="15.75" customHeight="1">
      <c r="O725" s="25"/>
    </row>
    <row r="726" ht="15.75" customHeight="1">
      <c r="O726" s="25"/>
    </row>
    <row r="727" ht="15.75" customHeight="1">
      <c r="O727" s="25"/>
    </row>
    <row r="728" ht="15.75" customHeight="1">
      <c r="O728" s="25"/>
    </row>
    <row r="729" ht="15.75" customHeight="1">
      <c r="O729" s="25"/>
    </row>
    <row r="730" ht="15.75" customHeight="1">
      <c r="O730" s="25"/>
    </row>
    <row r="731" ht="15.75" customHeight="1">
      <c r="O731" s="25"/>
    </row>
    <row r="732" ht="15.75" customHeight="1">
      <c r="O732" s="25"/>
    </row>
    <row r="733" ht="15.75" customHeight="1">
      <c r="O733" s="25"/>
    </row>
    <row r="734" ht="15.75" customHeight="1">
      <c r="O734" s="25"/>
    </row>
    <row r="735" ht="15.75" customHeight="1">
      <c r="O735" s="25"/>
    </row>
    <row r="736" ht="15.75" customHeight="1">
      <c r="O736" s="25"/>
    </row>
    <row r="737" ht="15.75" customHeight="1">
      <c r="O737" s="25"/>
    </row>
    <row r="738" ht="15.75" customHeight="1">
      <c r="O738" s="25"/>
    </row>
    <row r="739" ht="15.75" customHeight="1">
      <c r="O739" s="25"/>
    </row>
    <row r="740" ht="15.75" customHeight="1">
      <c r="O740" s="25"/>
    </row>
    <row r="741" ht="15.75" customHeight="1">
      <c r="O741" s="25"/>
    </row>
    <row r="742" ht="15.75" customHeight="1">
      <c r="O742" s="25"/>
    </row>
    <row r="743" ht="15.75" customHeight="1">
      <c r="O743" s="25"/>
    </row>
    <row r="744" ht="15.75" customHeight="1">
      <c r="O744" s="25"/>
    </row>
    <row r="745" ht="15.75" customHeight="1">
      <c r="O745" s="25"/>
    </row>
    <row r="746" ht="15.75" customHeight="1">
      <c r="O746" s="25"/>
    </row>
    <row r="747" ht="15.75" customHeight="1">
      <c r="O747" s="25"/>
    </row>
    <row r="748" ht="15.75" customHeight="1">
      <c r="O748" s="25"/>
    </row>
    <row r="749" ht="15.75" customHeight="1">
      <c r="O749" s="25"/>
    </row>
    <row r="750" ht="15.75" customHeight="1">
      <c r="O750" s="25"/>
    </row>
    <row r="751" ht="15.75" customHeight="1">
      <c r="O751" s="25"/>
    </row>
    <row r="752" ht="15.75" customHeight="1">
      <c r="O752" s="25"/>
    </row>
    <row r="753" ht="15.75" customHeight="1">
      <c r="O753" s="25"/>
    </row>
    <row r="754" ht="15.75" customHeight="1">
      <c r="O754" s="25"/>
    </row>
    <row r="755" ht="15.75" customHeight="1">
      <c r="O755" s="25"/>
    </row>
    <row r="756" ht="15.75" customHeight="1">
      <c r="O756" s="25"/>
    </row>
    <row r="757" ht="15.75" customHeight="1">
      <c r="O757" s="25"/>
    </row>
    <row r="758" ht="15.75" customHeight="1">
      <c r="O758" s="25"/>
    </row>
    <row r="759" ht="15.75" customHeight="1">
      <c r="O759" s="25"/>
    </row>
    <row r="760" ht="15.75" customHeight="1">
      <c r="O760" s="25"/>
    </row>
    <row r="761" ht="15.75" customHeight="1">
      <c r="O761" s="25"/>
    </row>
    <row r="762" ht="15.75" customHeight="1">
      <c r="O762" s="25"/>
    </row>
    <row r="763" ht="15.75" customHeight="1">
      <c r="O763" s="25"/>
    </row>
    <row r="764" ht="15.75" customHeight="1">
      <c r="O764" s="25"/>
    </row>
    <row r="765" ht="15.75" customHeight="1">
      <c r="O765" s="25"/>
    </row>
    <row r="766" ht="15.75" customHeight="1">
      <c r="O766" s="25"/>
    </row>
    <row r="767" ht="15.75" customHeight="1">
      <c r="O767" s="25"/>
    </row>
    <row r="768" ht="15.75" customHeight="1">
      <c r="O768" s="25"/>
    </row>
    <row r="769" ht="15.75" customHeight="1">
      <c r="O769" s="25"/>
    </row>
    <row r="770" ht="15.75" customHeight="1">
      <c r="O770" s="25"/>
    </row>
    <row r="771" ht="15.75" customHeight="1">
      <c r="O771" s="25"/>
    </row>
    <row r="772" ht="15.75" customHeight="1">
      <c r="O772" s="25"/>
    </row>
    <row r="773" ht="15.75" customHeight="1">
      <c r="O773" s="25"/>
    </row>
    <row r="774" ht="15.75" customHeight="1">
      <c r="O774" s="25"/>
    </row>
    <row r="775" ht="15.75" customHeight="1">
      <c r="O775" s="25"/>
    </row>
    <row r="776" ht="15.75" customHeight="1">
      <c r="O776" s="25"/>
    </row>
    <row r="777" ht="15.75" customHeight="1">
      <c r="O777" s="25"/>
    </row>
    <row r="778" ht="15.75" customHeight="1">
      <c r="O778" s="25"/>
    </row>
    <row r="779" ht="15.75" customHeight="1">
      <c r="O779" s="25"/>
    </row>
    <row r="780" ht="15.75" customHeight="1">
      <c r="O780" s="25"/>
    </row>
    <row r="781" ht="15.75" customHeight="1">
      <c r="O781" s="25"/>
    </row>
    <row r="782" ht="15.75" customHeight="1">
      <c r="O782" s="25"/>
    </row>
    <row r="783" ht="15.75" customHeight="1">
      <c r="O783" s="25"/>
    </row>
    <row r="784" ht="15.75" customHeight="1">
      <c r="O784" s="25"/>
    </row>
    <row r="785" ht="15.75" customHeight="1">
      <c r="O785" s="25"/>
    </row>
    <row r="786" ht="15.75" customHeight="1">
      <c r="O786" s="25"/>
    </row>
    <row r="787" ht="15.75" customHeight="1">
      <c r="O787" s="25"/>
    </row>
    <row r="788" ht="15.75" customHeight="1">
      <c r="O788" s="25"/>
    </row>
    <row r="789" ht="15.75" customHeight="1">
      <c r="O789" s="25"/>
    </row>
    <row r="790" ht="15.75" customHeight="1">
      <c r="O790" s="25"/>
    </row>
    <row r="791" ht="15.75" customHeight="1">
      <c r="O791" s="25"/>
    </row>
    <row r="792" ht="15.75" customHeight="1">
      <c r="O792" s="25"/>
    </row>
    <row r="793" ht="15.75" customHeight="1">
      <c r="O793" s="25"/>
    </row>
    <row r="794" ht="15.75" customHeight="1">
      <c r="O794" s="25"/>
    </row>
    <row r="795" ht="15.75" customHeight="1">
      <c r="O795" s="25"/>
    </row>
    <row r="796" ht="15.75" customHeight="1">
      <c r="O796" s="25"/>
    </row>
    <row r="797" ht="15.75" customHeight="1">
      <c r="O797" s="25"/>
    </row>
    <row r="798" ht="15.75" customHeight="1">
      <c r="O798" s="25"/>
    </row>
    <row r="799" ht="15.75" customHeight="1">
      <c r="O799" s="25"/>
    </row>
    <row r="800" ht="15.75" customHeight="1">
      <c r="O800" s="25"/>
    </row>
    <row r="801" ht="15.75" customHeight="1">
      <c r="O801" s="25"/>
    </row>
    <row r="802" ht="15.75" customHeight="1">
      <c r="O802" s="25"/>
    </row>
    <row r="803" ht="15.75" customHeight="1">
      <c r="O803" s="25"/>
    </row>
    <row r="804" ht="15.75" customHeight="1">
      <c r="O804" s="25"/>
    </row>
    <row r="805" ht="15.75" customHeight="1">
      <c r="O805" s="25"/>
    </row>
    <row r="806" ht="15.75" customHeight="1">
      <c r="O806" s="25"/>
    </row>
    <row r="807" ht="15.75" customHeight="1">
      <c r="O807" s="25"/>
    </row>
    <row r="808" ht="15.75" customHeight="1">
      <c r="O808" s="25"/>
    </row>
    <row r="809" ht="15.75" customHeight="1">
      <c r="O809" s="25"/>
    </row>
    <row r="810" ht="15.75" customHeight="1">
      <c r="O810" s="25"/>
    </row>
    <row r="811" ht="15.75" customHeight="1">
      <c r="O811" s="25"/>
    </row>
    <row r="812" ht="15.75" customHeight="1">
      <c r="O812" s="25"/>
    </row>
    <row r="813" ht="15.75" customHeight="1">
      <c r="O813" s="25"/>
    </row>
    <row r="814" ht="15.75" customHeight="1">
      <c r="O814" s="25"/>
    </row>
    <row r="815" ht="15.75" customHeight="1">
      <c r="O815" s="25"/>
    </row>
    <row r="816" ht="15.75" customHeight="1">
      <c r="O816" s="25"/>
    </row>
    <row r="817" ht="15.75" customHeight="1">
      <c r="O817" s="25"/>
    </row>
    <row r="818" ht="15.75" customHeight="1">
      <c r="O818" s="25"/>
    </row>
    <row r="819" ht="15.75" customHeight="1">
      <c r="O819" s="25"/>
    </row>
    <row r="820" ht="15.75" customHeight="1">
      <c r="O820" s="25"/>
    </row>
    <row r="821" ht="15.75" customHeight="1">
      <c r="O821" s="25"/>
    </row>
    <row r="822" ht="15.75" customHeight="1">
      <c r="O822" s="25"/>
    </row>
    <row r="823" ht="15.75" customHeight="1">
      <c r="O823" s="25"/>
    </row>
    <row r="824" ht="15.75" customHeight="1">
      <c r="O824" s="25"/>
    </row>
    <row r="825" ht="15.75" customHeight="1">
      <c r="O825" s="25"/>
    </row>
    <row r="826" ht="15.75" customHeight="1">
      <c r="O826" s="25"/>
    </row>
    <row r="827" ht="15.75" customHeight="1">
      <c r="O827" s="25"/>
    </row>
    <row r="828" ht="15.75" customHeight="1">
      <c r="O828" s="25"/>
    </row>
    <row r="829" ht="15.75" customHeight="1">
      <c r="O829" s="25"/>
    </row>
    <row r="830" ht="15.75" customHeight="1">
      <c r="O830" s="25"/>
    </row>
    <row r="831" ht="15.75" customHeight="1">
      <c r="O831" s="25"/>
    </row>
    <row r="832" ht="15.75" customHeight="1">
      <c r="O832" s="25"/>
    </row>
    <row r="833" ht="15.75" customHeight="1">
      <c r="O833" s="25"/>
    </row>
    <row r="834" ht="15.75" customHeight="1">
      <c r="O834" s="25"/>
    </row>
    <row r="835" ht="15.75" customHeight="1">
      <c r="O835" s="25"/>
    </row>
    <row r="836" ht="15.75" customHeight="1">
      <c r="O836" s="25"/>
    </row>
    <row r="837" ht="15.75" customHeight="1">
      <c r="O837" s="25"/>
    </row>
    <row r="838" ht="15.75" customHeight="1">
      <c r="O838" s="25"/>
    </row>
    <row r="839" ht="15.75" customHeight="1">
      <c r="O839" s="25"/>
    </row>
    <row r="840" ht="15.75" customHeight="1">
      <c r="O840" s="25"/>
    </row>
    <row r="841" ht="15.75" customHeight="1">
      <c r="O841" s="25"/>
    </row>
    <row r="842" ht="15.75" customHeight="1">
      <c r="O842" s="25"/>
    </row>
    <row r="843" ht="15.75" customHeight="1">
      <c r="O843" s="25"/>
    </row>
    <row r="844" ht="15.75" customHeight="1">
      <c r="O844" s="25"/>
    </row>
    <row r="845" ht="15.75" customHeight="1">
      <c r="O845" s="25"/>
    </row>
    <row r="846" ht="15.75" customHeight="1">
      <c r="O846" s="25"/>
    </row>
    <row r="847" ht="15.75" customHeight="1">
      <c r="O847" s="25"/>
    </row>
    <row r="848" ht="15.75" customHeight="1">
      <c r="O848" s="25"/>
    </row>
    <row r="849" ht="15.75" customHeight="1">
      <c r="O849" s="25"/>
    </row>
    <row r="850" ht="15.75" customHeight="1">
      <c r="O850" s="25"/>
    </row>
    <row r="851" ht="15.75" customHeight="1">
      <c r="O851" s="25"/>
    </row>
    <row r="852" ht="15.75" customHeight="1">
      <c r="O852" s="25"/>
    </row>
    <row r="853" ht="15.75" customHeight="1">
      <c r="O853" s="25"/>
    </row>
    <row r="854" ht="15.75" customHeight="1">
      <c r="O854" s="25"/>
    </row>
    <row r="855" ht="15.75" customHeight="1">
      <c r="O855" s="25"/>
    </row>
    <row r="856" ht="15.75" customHeight="1">
      <c r="O856" s="25"/>
    </row>
    <row r="857" ht="15.75" customHeight="1">
      <c r="O857" s="25"/>
    </row>
    <row r="858" ht="15.75" customHeight="1">
      <c r="O858" s="25"/>
    </row>
    <row r="859" ht="15.75" customHeight="1">
      <c r="O859" s="25"/>
    </row>
    <row r="860" ht="15.75" customHeight="1">
      <c r="O860" s="25"/>
    </row>
    <row r="861" ht="15.75" customHeight="1">
      <c r="O861" s="25"/>
    </row>
    <row r="862" ht="15.75" customHeight="1">
      <c r="O862" s="25"/>
    </row>
    <row r="863" ht="15.75" customHeight="1">
      <c r="O863" s="25"/>
    </row>
    <row r="864" ht="15.75" customHeight="1">
      <c r="O864" s="25"/>
    </row>
    <row r="865" ht="15.75" customHeight="1">
      <c r="O865" s="25"/>
    </row>
    <row r="866" ht="15.75" customHeight="1">
      <c r="O866" s="25"/>
    </row>
    <row r="867" ht="15.75" customHeight="1">
      <c r="O867" s="25"/>
    </row>
    <row r="868" ht="15.75" customHeight="1">
      <c r="O868" s="25"/>
    </row>
    <row r="869" ht="15.75" customHeight="1">
      <c r="O869" s="25"/>
    </row>
    <row r="870" ht="15.75" customHeight="1">
      <c r="O870" s="25"/>
    </row>
    <row r="871" ht="15.75" customHeight="1">
      <c r="O871" s="25"/>
    </row>
    <row r="872" ht="15.75" customHeight="1">
      <c r="O872" s="25"/>
    </row>
    <row r="873" ht="15.75" customHeight="1">
      <c r="O873" s="25"/>
    </row>
    <row r="874" ht="15.75" customHeight="1">
      <c r="O874" s="25"/>
    </row>
    <row r="875" ht="15.75" customHeight="1">
      <c r="O875" s="25"/>
    </row>
    <row r="876" ht="15.75" customHeight="1">
      <c r="O876" s="25"/>
    </row>
    <row r="877" ht="15.75" customHeight="1">
      <c r="O877" s="25"/>
    </row>
    <row r="878" ht="15.75" customHeight="1">
      <c r="O878" s="25"/>
    </row>
    <row r="879" ht="15.75" customHeight="1">
      <c r="O879" s="25"/>
    </row>
    <row r="880" ht="15.75" customHeight="1">
      <c r="O880" s="25"/>
    </row>
    <row r="881" ht="15.75" customHeight="1">
      <c r="O881" s="25"/>
    </row>
    <row r="882" ht="15.75" customHeight="1">
      <c r="O882" s="25"/>
    </row>
    <row r="883" ht="15.75" customHeight="1">
      <c r="O883" s="25"/>
    </row>
    <row r="884" ht="15.75" customHeight="1">
      <c r="O884" s="25"/>
    </row>
    <row r="885" ht="15.75" customHeight="1">
      <c r="O885" s="25"/>
    </row>
    <row r="886" ht="15.75" customHeight="1">
      <c r="O886" s="25"/>
    </row>
    <row r="887" ht="15.75" customHeight="1">
      <c r="O887" s="25"/>
    </row>
    <row r="888" ht="15.75" customHeight="1">
      <c r="O888" s="25"/>
    </row>
    <row r="889" ht="15.75" customHeight="1">
      <c r="O889" s="25"/>
    </row>
    <row r="890" ht="15.75" customHeight="1">
      <c r="O890" s="25"/>
    </row>
    <row r="891" ht="15.75" customHeight="1">
      <c r="O891" s="25"/>
    </row>
    <row r="892" ht="15.75" customHeight="1">
      <c r="O892" s="25"/>
    </row>
    <row r="893" ht="15.75" customHeight="1">
      <c r="O893" s="25"/>
    </row>
    <row r="894" ht="15.75" customHeight="1">
      <c r="O894" s="25"/>
    </row>
    <row r="895" ht="15.75" customHeight="1">
      <c r="O895" s="25"/>
    </row>
    <row r="896" ht="15.75" customHeight="1">
      <c r="O896" s="25"/>
    </row>
    <row r="897" ht="15.75" customHeight="1">
      <c r="O897" s="25"/>
    </row>
    <row r="898" ht="15.75" customHeight="1">
      <c r="O898" s="25"/>
    </row>
    <row r="899" ht="15.75" customHeight="1">
      <c r="O899" s="25"/>
    </row>
    <row r="900" ht="15.75" customHeight="1">
      <c r="O900" s="25"/>
    </row>
    <row r="901" ht="15.75" customHeight="1">
      <c r="O901" s="25"/>
    </row>
    <row r="902" ht="15.75" customHeight="1">
      <c r="O902" s="25"/>
    </row>
    <row r="903" ht="15.75" customHeight="1">
      <c r="O903" s="25"/>
    </row>
    <row r="904" ht="15.75" customHeight="1">
      <c r="O904" s="25"/>
    </row>
    <row r="905" ht="15.75" customHeight="1">
      <c r="O905" s="25"/>
    </row>
    <row r="906" ht="15.75" customHeight="1">
      <c r="O906" s="25"/>
    </row>
    <row r="907" ht="15.75" customHeight="1">
      <c r="O907" s="25"/>
    </row>
    <row r="908" ht="15.75" customHeight="1">
      <c r="O908" s="25"/>
    </row>
    <row r="909" ht="15.75" customHeight="1">
      <c r="O909" s="25"/>
    </row>
    <row r="910" ht="15.75" customHeight="1">
      <c r="O910" s="25"/>
    </row>
    <row r="911" ht="15.75" customHeight="1">
      <c r="O911" s="25"/>
    </row>
    <row r="912" ht="15.75" customHeight="1">
      <c r="O912" s="25"/>
    </row>
    <row r="913" ht="15.75" customHeight="1">
      <c r="O913" s="25"/>
    </row>
    <row r="914" ht="15.75" customHeight="1">
      <c r="O914" s="25"/>
    </row>
    <row r="915" ht="15.75" customHeight="1">
      <c r="O915" s="25"/>
    </row>
    <row r="916" ht="15.75" customHeight="1">
      <c r="O916" s="25"/>
    </row>
    <row r="917" ht="15.75" customHeight="1">
      <c r="O917" s="25"/>
    </row>
    <row r="918" ht="15.75" customHeight="1">
      <c r="O918" s="25"/>
    </row>
    <row r="919" ht="15.75" customHeight="1">
      <c r="O919" s="25"/>
    </row>
    <row r="920" ht="15.75" customHeight="1">
      <c r="O920" s="25"/>
    </row>
    <row r="921" ht="15.75" customHeight="1">
      <c r="O921" s="25"/>
    </row>
    <row r="922" ht="15.75" customHeight="1">
      <c r="O922" s="25"/>
    </row>
    <row r="923" ht="15.75" customHeight="1">
      <c r="O923" s="25"/>
    </row>
    <row r="924" ht="15.75" customHeight="1">
      <c r="O924" s="25"/>
    </row>
    <row r="925" ht="15.75" customHeight="1">
      <c r="O925" s="25"/>
    </row>
    <row r="926" ht="15.75" customHeight="1">
      <c r="O926" s="25"/>
    </row>
    <row r="927" ht="15.75" customHeight="1">
      <c r="O927" s="25"/>
    </row>
    <row r="928" ht="15.75" customHeight="1">
      <c r="O928" s="25"/>
    </row>
    <row r="929" ht="15.75" customHeight="1">
      <c r="O929" s="25"/>
    </row>
    <row r="930" ht="15.75" customHeight="1">
      <c r="O930" s="25"/>
    </row>
    <row r="931" ht="15.75" customHeight="1">
      <c r="O931" s="25"/>
    </row>
    <row r="932" ht="15.75" customHeight="1">
      <c r="O932" s="25"/>
    </row>
    <row r="933" ht="15.75" customHeight="1">
      <c r="O933" s="25"/>
    </row>
    <row r="934" ht="15.75" customHeight="1">
      <c r="O934" s="25"/>
    </row>
    <row r="935" ht="15.75" customHeight="1">
      <c r="O935" s="25"/>
    </row>
    <row r="936" ht="15.75" customHeight="1">
      <c r="O936" s="25"/>
    </row>
    <row r="937" ht="15.75" customHeight="1">
      <c r="O937" s="25"/>
    </row>
    <row r="938" ht="15.75" customHeight="1">
      <c r="O938" s="25"/>
    </row>
    <row r="939" ht="15.75" customHeight="1">
      <c r="O939" s="25"/>
    </row>
    <row r="940" ht="15.75" customHeight="1">
      <c r="O940" s="25"/>
    </row>
    <row r="941" ht="15.75" customHeight="1">
      <c r="O941" s="25"/>
    </row>
    <row r="942" ht="15.75" customHeight="1">
      <c r="O942" s="25"/>
    </row>
    <row r="943" ht="15.75" customHeight="1">
      <c r="O943" s="25"/>
    </row>
    <row r="944" ht="15.75" customHeight="1">
      <c r="O944" s="25"/>
    </row>
    <row r="945" ht="15.75" customHeight="1">
      <c r="O945" s="25"/>
    </row>
    <row r="946" ht="15.75" customHeight="1">
      <c r="O946" s="25"/>
    </row>
    <row r="947" ht="15.75" customHeight="1">
      <c r="O947" s="25"/>
    </row>
    <row r="948" ht="15.75" customHeight="1">
      <c r="O948" s="25"/>
    </row>
    <row r="949" ht="15.75" customHeight="1">
      <c r="O949" s="25"/>
    </row>
    <row r="950" ht="15.75" customHeight="1">
      <c r="O950" s="25"/>
    </row>
    <row r="951" ht="15.75" customHeight="1">
      <c r="O951" s="25"/>
    </row>
    <row r="952" ht="15.75" customHeight="1">
      <c r="O952" s="25"/>
    </row>
    <row r="953" ht="15.75" customHeight="1">
      <c r="O953" s="25"/>
    </row>
    <row r="954" ht="15.75" customHeight="1">
      <c r="O954" s="25"/>
    </row>
    <row r="955" ht="15.75" customHeight="1">
      <c r="O955" s="25"/>
    </row>
    <row r="956" ht="15.75" customHeight="1">
      <c r="O956" s="25"/>
    </row>
    <row r="957" ht="15.75" customHeight="1">
      <c r="O957" s="25"/>
    </row>
    <row r="958" ht="15.75" customHeight="1">
      <c r="O958" s="25"/>
    </row>
    <row r="959" ht="15.75" customHeight="1">
      <c r="O959" s="25"/>
    </row>
  </sheetData>
  <autoFilter ref="$A$1:$CZ$95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1.88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336</v>
      </c>
      <c r="H1" s="2" t="s">
        <v>7</v>
      </c>
      <c r="I1" s="2" t="s">
        <v>337</v>
      </c>
      <c r="J1" s="2" t="s">
        <v>14</v>
      </c>
      <c r="K1" s="2" t="s">
        <v>9</v>
      </c>
      <c r="L1" s="2" t="s">
        <v>10</v>
      </c>
      <c r="M1" s="2" t="s">
        <v>338</v>
      </c>
      <c r="N1" s="2" t="s">
        <v>7</v>
      </c>
      <c r="O1" s="2" t="s">
        <v>9</v>
      </c>
      <c r="P1" s="2" t="s">
        <v>10</v>
      </c>
      <c r="Q1" s="2" t="s">
        <v>339</v>
      </c>
      <c r="R1" s="2" t="s">
        <v>14</v>
      </c>
      <c r="S1" s="2" t="s">
        <v>9</v>
      </c>
      <c r="T1" s="2" t="s">
        <v>10</v>
      </c>
      <c r="U1" s="2" t="s">
        <v>340</v>
      </c>
      <c r="V1" s="2" t="s">
        <v>14</v>
      </c>
      <c r="W1" s="2" t="s">
        <v>341</v>
      </c>
      <c r="X1" s="2" t="s">
        <v>342</v>
      </c>
      <c r="Y1" s="2" t="s">
        <v>343</v>
      </c>
      <c r="Z1" s="2" t="s">
        <v>14</v>
      </c>
      <c r="AA1" s="2" t="s">
        <v>341</v>
      </c>
      <c r="AB1" s="2" t="s">
        <v>10</v>
      </c>
      <c r="AC1" s="2" t="s">
        <v>344</v>
      </c>
      <c r="AD1" s="2" t="s">
        <v>14</v>
      </c>
      <c r="AE1" s="2" t="s">
        <v>9</v>
      </c>
      <c r="AF1" s="2" t="s">
        <v>342</v>
      </c>
      <c r="AG1" s="2" t="s">
        <v>345</v>
      </c>
      <c r="AH1" s="2" t="s">
        <v>14</v>
      </c>
      <c r="AI1" s="2" t="s">
        <v>9</v>
      </c>
      <c r="AJ1" s="2" t="s">
        <v>10</v>
      </c>
      <c r="AK1" s="2" t="s">
        <v>346</v>
      </c>
      <c r="AL1" s="2" t="s">
        <v>14</v>
      </c>
      <c r="AM1" s="2" t="s">
        <v>9</v>
      </c>
      <c r="AN1" s="2" t="s">
        <v>10</v>
      </c>
      <c r="AO1" s="2" t="s">
        <v>347</v>
      </c>
      <c r="AP1" s="2" t="s">
        <v>14</v>
      </c>
      <c r="AQ1" s="2" t="s">
        <v>9</v>
      </c>
      <c r="AR1" s="2" t="s">
        <v>10</v>
      </c>
      <c r="AS1" s="2" t="s">
        <v>348</v>
      </c>
      <c r="AT1" s="2" t="s">
        <v>14</v>
      </c>
      <c r="AU1" s="2" t="s">
        <v>341</v>
      </c>
      <c r="AV1" s="2" t="s">
        <v>10</v>
      </c>
      <c r="AW1" s="26" t="s">
        <v>349</v>
      </c>
      <c r="AX1" s="26" t="s">
        <v>14</v>
      </c>
      <c r="AY1" s="27"/>
      <c r="AZ1" s="27"/>
      <c r="BA1" s="27"/>
      <c r="BB1" s="27"/>
      <c r="BC1" s="27"/>
      <c r="BD1" s="27"/>
      <c r="BE1" s="27"/>
    </row>
    <row r="2" ht="15.75" customHeight="1">
      <c r="A2" s="5">
        <v>1856.0</v>
      </c>
      <c r="B2" s="11" t="s">
        <v>350</v>
      </c>
      <c r="C2" s="7" t="str">
        <f t="shared" ref="C2:C14" si="1">CONCATENATE(D2,"_",F2)</f>
        <v>TK-01_ATF</v>
      </c>
      <c r="D2" s="8" t="s">
        <v>37</v>
      </c>
      <c r="E2" s="9" t="s">
        <v>38</v>
      </c>
      <c r="F2" s="8" t="s">
        <v>39</v>
      </c>
      <c r="G2" s="12" t="s">
        <v>351</v>
      </c>
      <c r="H2" s="15">
        <v>0.0</v>
      </c>
      <c r="I2" s="12" t="s">
        <v>352</v>
      </c>
      <c r="J2" s="15">
        <v>0.0</v>
      </c>
      <c r="K2" s="13" t="str">
        <f t="shared" ref="K2:K14" si="2">MID(I2,13,6)</f>
        <v>LSW-01</v>
      </c>
      <c r="L2" s="16" t="s">
        <v>47</v>
      </c>
      <c r="M2" s="12" t="s">
        <v>353</v>
      </c>
      <c r="N2" s="15">
        <v>0.0</v>
      </c>
      <c r="O2" s="13" t="str">
        <f t="shared" ref="O2:O14" si="3">MID(M2,13,6)</f>
        <v>RDR-01</v>
      </c>
      <c r="P2" s="16" t="s">
        <v>51</v>
      </c>
      <c r="Q2" s="12" t="s">
        <v>354</v>
      </c>
      <c r="R2" s="15">
        <v>0.0</v>
      </c>
      <c r="S2" s="13" t="str">
        <f t="shared" ref="S2:S14" si="4">MID(Q2,5,8)</f>
        <v>ROSOV-01</v>
      </c>
      <c r="T2" s="16" t="s">
        <v>55</v>
      </c>
      <c r="U2" s="17"/>
      <c r="V2" s="17"/>
      <c r="W2" s="17"/>
      <c r="X2" s="17"/>
      <c r="Y2" s="12" t="s">
        <v>355</v>
      </c>
      <c r="Z2" s="15">
        <v>0.0</v>
      </c>
      <c r="AA2" s="13" t="str">
        <f t="shared" ref="AA2:AA14" si="5">MID(Y2,5,8)</f>
        <v>ROSOV-02</v>
      </c>
      <c r="AB2" s="16" t="s">
        <v>59</v>
      </c>
      <c r="AC2" s="17"/>
      <c r="AD2" s="17"/>
      <c r="AE2" s="17"/>
      <c r="AF2" s="17"/>
      <c r="AG2" s="18" t="s">
        <v>356</v>
      </c>
      <c r="AH2" s="15">
        <v>0.0</v>
      </c>
      <c r="AI2" s="13" t="str">
        <f t="shared" ref="AI2:AI14" si="6">MID(AG2,5,7)</f>
        <v>MOV-001</v>
      </c>
      <c r="AJ2" s="16" t="s">
        <v>63</v>
      </c>
      <c r="AK2" s="17"/>
      <c r="AL2" s="17"/>
      <c r="AM2" s="17"/>
      <c r="AN2" s="17"/>
      <c r="AO2" s="17"/>
      <c r="AP2" s="17"/>
      <c r="AQ2" s="17"/>
      <c r="AR2" s="17"/>
      <c r="AS2" s="18" t="s">
        <v>357</v>
      </c>
      <c r="AT2" s="15">
        <v>0.0</v>
      </c>
      <c r="AU2" s="13" t="str">
        <f t="shared" ref="AU2:AU14" si="7">MID(AS2,5,7)</f>
        <v>MOV-002</v>
      </c>
      <c r="AV2" s="16" t="s">
        <v>65</v>
      </c>
      <c r="AW2" s="4"/>
      <c r="AX2" s="4"/>
    </row>
    <row r="3" ht="15.75" customHeight="1">
      <c r="A3" s="5">
        <v>1856.0</v>
      </c>
      <c r="B3" s="11" t="s">
        <v>350</v>
      </c>
      <c r="C3" s="7" t="str">
        <f t="shared" si="1"/>
        <v>TK-02_ATF</v>
      </c>
      <c r="D3" s="19" t="s">
        <v>66</v>
      </c>
      <c r="E3" s="20" t="s">
        <v>38</v>
      </c>
      <c r="F3" s="19" t="s">
        <v>39</v>
      </c>
      <c r="G3" s="12" t="s">
        <v>358</v>
      </c>
      <c r="H3" s="15">
        <v>0.0</v>
      </c>
      <c r="I3" s="12" t="s">
        <v>359</v>
      </c>
      <c r="J3" s="15">
        <v>0.0</v>
      </c>
      <c r="K3" s="13" t="str">
        <f t="shared" si="2"/>
        <v>LSW-02</v>
      </c>
      <c r="L3" s="16" t="s">
        <v>47</v>
      </c>
      <c r="M3" s="12" t="s">
        <v>360</v>
      </c>
      <c r="N3" s="15">
        <v>0.0</v>
      </c>
      <c r="O3" s="13" t="str">
        <f t="shared" si="3"/>
        <v>RDR-02</v>
      </c>
      <c r="P3" s="16" t="s">
        <v>51</v>
      </c>
      <c r="Q3" s="12" t="s">
        <v>361</v>
      </c>
      <c r="R3" s="15">
        <v>0.0</v>
      </c>
      <c r="S3" s="13" t="str">
        <f t="shared" si="4"/>
        <v>ROSOV-03</v>
      </c>
      <c r="T3" s="16" t="s">
        <v>55</v>
      </c>
      <c r="U3" s="3"/>
      <c r="V3" s="3"/>
      <c r="W3" s="3"/>
      <c r="X3" s="3"/>
      <c r="Y3" s="12" t="s">
        <v>362</v>
      </c>
      <c r="Z3" s="15">
        <v>0.0</v>
      </c>
      <c r="AA3" s="13" t="str">
        <f t="shared" si="5"/>
        <v>ROSOV-04</v>
      </c>
      <c r="AB3" s="16" t="s">
        <v>59</v>
      </c>
      <c r="AC3" s="3"/>
      <c r="AD3" s="3"/>
      <c r="AE3" s="3"/>
      <c r="AF3" s="3"/>
      <c r="AG3" s="18" t="s">
        <v>363</v>
      </c>
      <c r="AH3" s="15">
        <v>0.0</v>
      </c>
      <c r="AI3" s="13" t="str">
        <f t="shared" si="6"/>
        <v>MOV-003</v>
      </c>
      <c r="AJ3" s="16" t="s">
        <v>63</v>
      </c>
      <c r="AK3" s="3"/>
      <c r="AL3" s="3"/>
      <c r="AM3" s="3"/>
      <c r="AN3" s="3"/>
      <c r="AO3" s="3"/>
      <c r="AP3" s="3"/>
      <c r="AQ3" s="3"/>
      <c r="AR3" s="3"/>
      <c r="AS3" s="18" t="s">
        <v>364</v>
      </c>
      <c r="AT3" s="15">
        <v>0.0</v>
      </c>
      <c r="AU3" s="13" t="str">
        <f t="shared" si="7"/>
        <v>MOV-004</v>
      </c>
      <c r="AV3" s="16" t="s">
        <v>65</v>
      </c>
      <c r="AW3" s="28"/>
      <c r="AX3" s="28"/>
    </row>
    <row r="4" ht="15.75" customHeight="1">
      <c r="A4" s="5">
        <v>1856.0</v>
      </c>
      <c r="B4" s="11" t="s">
        <v>350</v>
      </c>
      <c r="C4" s="7" t="str">
        <f t="shared" si="1"/>
        <v>TK-03_BS VI HSD</v>
      </c>
      <c r="D4" s="19" t="s">
        <v>83</v>
      </c>
      <c r="E4" s="20" t="s">
        <v>38</v>
      </c>
      <c r="F4" s="19" t="s">
        <v>84</v>
      </c>
      <c r="G4" s="12" t="s">
        <v>365</v>
      </c>
      <c r="H4" s="15">
        <v>0.0</v>
      </c>
      <c r="I4" s="12" t="s">
        <v>366</v>
      </c>
      <c r="J4" s="15">
        <v>0.0</v>
      </c>
      <c r="K4" s="13" t="str">
        <f t="shared" si="2"/>
        <v>LSW-03</v>
      </c>
      <c r="L4" s="16" t="s">
        <v>47</v>
      </c>
      <c r="M4" s="12" t="s">
        <v>367</v>
      </c>
      <c r="N4" s="15">
        <v>0.0</v>
      </c>
      <c r="O4" s="13" t="str">
        <f t="shared" si="3"/>
        <v>RDR-03</v>
      </c>
      <c r="P4" s="16" t="s">
        <v>51</v>
      </c>
      <c r="Q4" s="12" t="s">
        <v>368</v>
      </c>
      <c r="R4" s="15">
        <v>0.0</v>
      </c>
      <c r="S4" s="13" t="str">
        <f t="shared" si="4"/>
        <v>ROSOV-05</v>
      </c>
      <c r="T4" s="16" t="s">
        <v>55</v>
      </c>
      <c r="U4" s="3"/>
      <c r="V4" s="3"/>
      <c r="W4" s="3"/>
      <c r="X4" s="3"/>
      <c r="Y4" s="12" t="s">
        <v>369</v>
      </c>
      <c r="Z4" s="15">
        <v>0.0</v>
      </c>
      <c r="AA4" s="13" t="str">
        <f t="shared" si="5"/>
        <v>ROSOV-06</v>
      </c>
      <c r="AB4" s="16" t="s">
        <v>59</v>
      </c>
      <c r="AC4" s="3"/>
      <c r="AD4" s="3"/>
      <c r="AE4" s="3"/>
      <c r="AF4" s="3"/>
      <c r="AG4" s="18" t="s">
        <v>370</v>
      </c>
      <c r="AH4" s="15">
        <v>0.0</v>
      </c>
      <c r="AI4" s="13" t="str">
        <f t="shared" si="6"/>
        <v>MOV-005</v>
      </c>
      <c r="AJ4" s="16" t="s">
        <v>63</v>
      </c>
      <c r="AK4" s="3"/>
      <c r="AL4" s="3"/>
      <c r="AM4" s="3"/>
      <c r="AN4" s="3"/>
      <c r="AO4" s="3"/>
      <c r="AP4" s="3"/>
      <c r="AQ4" s="3"/>
      <c r="AR4" s="3"/>
      <c r="AS4" s="18" t="s">
        <v>371</v>
      </c>
      <c r="AT4" s="15">
        <v>0.0</v>
      </c>
      <c r="AU4" s="13" t="str">
        <f t="shared" si="7"/>
        <v>MOV-006</v>
      </c>
      <c r="AV4" s="16" t="s">
        <v>65</v>
      </c>
      <c r="AW4" s="28"/>
      <c r="AX4" s="28"/>
    </row>
    <row r="5" ht="15.75" customHeight="1">
      <c r="A5" s="5">
        <v>1856.0</v>
      </c>
      <c r="B5" s="11" t="s">
        <v>350</v>
      </c>
      <c r="C5" s="7" t="str">
        <f t="shared" si="1"/>
        <v>TK-04_BS VI MS</v>
      </c>
      <c r="D5" s="19" t="s">
        <v>101</v>
      </c>
      <c r="E5" s="20" t="s">
        <v>38</v>
      </c>
      <c r="F5" s="19" t="s">
        <v>102</v>
      </c>
      <c r="G5" s="12" t="s">
        <v>372</v>
      </c>
      <c r="H5" s="15">
        <v>0.0</v>
      </c>
      <c r="I5" s="12" t="s">
        <v>373</v>
      </c>
      <c r="J5" s="15">
        <v>0.0</v>
      </c>
      <c r="K5" s="13" t="str">
        <f t="shared" si="2"/>
        <v>LSW-04</v>
      </c>
      <c r="L5" s="16" t="s">
        <v>47</v>
      </c>
      <c r="M5" s="12" t="s">
        <v>374</v>
      </c>
      <c r="N5" s="15">
        <v>0.0</v>
      </c>
      <c r="O5" s="13" t="str">
        <f t="shared" si="3"/>
        <v>RDR-04</v>
      </c>
      <c r="P5" s="16" t="s">
        <v>51</v>
      </c>
      <c r="Q5" s="12" t="s">
        <v>375</v>
      </c>
      <c r="R5" s="15">
        <v>0.0</v>
      </c>
      <c r="S5" s="13" t="str">
        <f t="shared" si="4"/>
        <v>ROSOV-07</v>
      </c>
      <c r="T5" s="16" t="s">
        <v>55</v>
      </c>
      <c r="U5" s="3"/>
      <c r="V5" s="3"/>
      <c r="W5" s="3"/>
      <c r="X5" s="3"/>
      <c r="Y5" s="12" t="s">
        <v>376</v>
      </c>
      <c r="Z5" s="15">
        <v>0.0</v>
      </c>
      <c r="AA5" s="13" t="str">
        <f t="shared" si="5"/>
        <v>ROSOV-08</v>
      </c>
      <c r="AB5" s="16" t="s">
        <v>59</v>
      </c>
      <c r="AC5" s="3"/>
      <c r="AD5" s="3"/>
      <c r="AE5" s="3"/>
      <c r="AF5" s="3"/>
      <c r="AG5" s="18" t="s">
        <v>377</v>
      </c>
      <c r="AH5" s="15">
        <v>0.0</v>
      </c>
      <c r="AI5" s="13" t="str">
        <f t="shared" si="6"/>
        <v>MOV-007</v>
      </c>
      <c r="AJ5" s="16" t="s">
        <v>63</v>
      </c>
      <c r="AK5" s="3"/>
      <c r="AL5" s="3"/>
      <c r="AM5" s="3"/>
      <c r="AN5" s="3"/>
      <c r="AO5" s="3"/>
      <c r="AP5" s="3"/>
      <c r="AQ5" s="3"/>
      <c r="AR5" s="3"/>
      <c r="AS5" s="18" t="s">
        <v>378</v>
      </c>
      <c r="AT5" s="15">
        <v>0.0</v>
      </c>
      <c r="AU5" s="13" t="str">
        <f t="shared" si="7"/>
        <v>MOV-008</v>
      </c>
      <c r="AV5" s="16" t="s">
        <v>65</v>
      </c>
      <c r="AW5" s="28"/>
      <c r="AX5" s="28"/>
    </row>
    <row r="6" ht="15.75" customHeight="1">
      <c r="A6" s="5">
        <v>1856.0</v>
      </c>
      <c r="B6" s="11" t="s">
        <v>350</v>
      </c>
      <c r="C6" s="7" t="str">
        <f t="shared" si="1"/>
        <v>TK-05_BS VI MS</v>
      </c>
      <c r="D6" s="19" t="s">
        <v>119</v>
      </c>
      <c r="E6" s="20" t="s">
        <v>38</v>
      </c>
      <c r="F6" s="19" t="s">
        <v>102</v>
      </c>
      <c r="G6" s="12" t="s">
        <v>379</v>
      </c>
      <c r="H6" s="15">
        <v>0.0</v>
      </c>
      <c r="I6" s="12" t="s">
        <v>380</v>
      </c>
      <c r="J6" s="15">
        <v>0.0</v>
      </c>
      <c r="K6" s="13" t="str">
        <f t="shared" si="2"/>
        <v>LSW-05</v>
      </c>
      <c r="L6" s="16" t="s">
        <v>47</v>
      </c>
      <c r="M6" s="12" t="s">
        <v>381</v>
      </c>
      <c r="N6" s="15">
        <v>0.0</v>
      </c>
      <c r="O6" s="13" t="str">
        <f t="shared" si="3"/>
        <v>RDR-05</v>
      </c>
      <c r="P6" s="16" t="s">
        <v>51</v>
      </c>
      <c r="Q6" s="12" t="s">
        <v>382</v>
      </c>
      <c r="R6" s="15">
        <v>0.0</v>
      </c>
      <c r="S6" s="13" t="str">
        <f t="shared" si="4"/>
        <v>ROSOV-09</v>
      </c>
      <c r="T6" s="16" t="s">
        <v>55</v>
      </c>
      <c r="U6" s="3"/>
      <c r="V6" s="3"/>
      <c r="W6" s="3"/>
      <c r="X6" s="3"/>
      <c r="Y6" s="12" t="s">
        <v>383</v>
      </c>
      <c r="Z6" s="15">
        <v>0.0</v>
      </c>
      <c r="AA6" s="13" t="str">
        <f t="shared" si="5"/>
        <v>ROSOV-10</v>
      </c>
      <c r="AB6" s="16" t="s">
        <v>59</v>
      </c>
      <c r="AC6" s="3"/>
      <c r="AD6" s="3"/>
      <c r="AE6" s="3"/>
      <c r="AF6" s="3"/>
      <c r="AG6" s="18" t="s">
        <v>384</v>
      </c>
      <c r="AH6" s="15">
        <v>0.0</v>
      </c>
      <c r="AI6" s="13" t="str">
        <f t="shared" si="6"/>
        <v>MOV-009</v>
      </c>
      <c r="AJ6" s="16" t="s">
        <v>63</v>
      </c>
      <c r="AK6" s="3"/>
      <c r="AL6" s="3"/>
      <c r="AM6" s="3"/>
      <c r="AN6" s="3"/>
      <c r="AO6" s="3"/>
      <c r="AP6" s="3"/>
      <c r="AQ6" s="3"/>
      <c r="AR6" s="3"/>
      <c r="AS6" s="18" t="s">
        <v>385</v>
      </c>
      <c r="AT6" s="15">
        <v>0.0</v>
      </c>
      <c r="AU6" s="13" t="str">
        <f t="shared" si="7"/>
        <v>MOV-010</v>
      </c>
      <c r="AV6" s="16" t="s">
        <v>65</v>
      </c>
      <c r="AW6" s="28"/>
      <c r="AX6" s="28"/>
    </row>
    <row r="7" ht="15.75" customHeight="1">
      <c r="A7" s="5">
        <v>1856.0</v>
      </c>
      <c r="B7" s="11" t="s">
        <v>350</v>
      </c>
      <c r="C7" s="7" t="str">
        <f t="shared" si="1"/>
        <v>TK-06_ETHANOL</v>
      </c>
      <c r="D7" s="19" t="s">
        <v>136</v>
      </c>
      <c r="E7" s="20" t="s">
        <v>38</v>
      </c>
      <c r="F7" s="19" t="s">
        <v>137</v>
      </c>
      <c r="G7" s="12" t="s">
        <v>386</v>
      </c>
      <c r="H7" s="15">
        <v>0.0</v>
      </c>
      <c r="I7" s="12" t="s">
        <v>387</v>
      </c>
      <c r="J7" s="15">
        <v>0.0</v>
      </c>
      <c r="K7" s="13" t="str">
        <f t="shared" si="2"/>
        <v>LSW-06</v>
      </c>
      <c r="L7" s="16" t="s">
        <v>47</v>
      </c>
      <c r="M7" s="12" t="s">
        <v>388</v>
      </c>
      <c r="N7" s="15">
        <v>0.0</v>
      </c>
      <c r="O7" s="13" t="str">
        <f t="shared" si="3"/>
        <v>RDR-06</v>
      </c>
      <c r="P7" s="16" t="s">
        <v>51</v>
      </c>
      <c r="Q7" s="12" t="s">
        <v>389</v>
      </c>
      <c r="R7" s="15">
        <v>0.0</v>
      </c>
      <c r="S7" s="13" t="str">
        <f t="shared" si="4"/>
        <v>ROSOV-11</v>
      </c>
      <c r="T7" s="16" t="s">
        <v>55</v>
      </c>
      <c r="U7" s="3"/>
      <c r="V7" s="3"/>
      <c r="W7" s="3"/>
      <c r="X7" s="3"/>
      <c r="Y7" s="12" t="s">
        <v>390</v>
      </c>
      <c r="Z7" s="15">
        <v>0.0</v>
      </c>
      <c r="AA7" s="13" t="str">
        <f t="shared" si="5"/>
        <v>ROSOV-12</v>
      </c>
      <c r="AB7" s="16" t="s">
        <v>59</v>
      </c>
      <c r="AC7" s="3"/>
      <c r="AD7" s="3"/>
      <c r="AE7" s="3"/>
      <c r="AF7" s="3"/>
      <c r="AG7" s="18" t="s">
        <v>391</v>
      </c>
      <c r="AH7" s="15">
        <v>0.0</v>
      </c>
      <c r="AI7" s="13" t="str">
        <f t="shared" si="6"/>
        <v>MOV-011</v>
      </c>
      <c r="AJ7" s="16" t="s">
        <v>63</v>
      </c>
      <c r="AK7" s="3"/>
      <c r="AL7" s="3"/>
      <c r="AM7" s="3"/>
      <c r="AN7" s="3"/>
      <c r="AO7" s="3"/>
      <c r="AP7" s="3"/>
      <c r="AQ7" s="3"/>
      <c r="AR7" s="3"/>
      <c r="AS7" s="18" t="s">
        <v>392</v>
      </c>
      <c r="AT7" s="15">
        <v>0.0</v>
      </c>
      <c r="AU7" s="13" t="str">
        <f t="shared" si="7"/>
        <v>MOV-012</v>
      </c>
      <c r="AV7" s="16" t="s">
        <v>65</v>
      </c>
      <c r="AW7" s="28"/>
      <c r="AX7" s="28"/>
    </row>
    <row r="8" ht="15.75" customHeight="1">
      <c r="A8" s="5">
        <v>1856.0</v>
      </c>
      <c r="B8" s="11" t="s">
        <v>350</v>
      </c>
      <c r="C8" s="7" t="str">
        <f t="shared" si="1"/>
        <v>TK-12_BS VI MS</v>
      </c>
      <c r="D8" s="19" t="s">
        <v>181</v>
      </c>
      <c r="E8" s="20" t="s">
        <v>38</v>
      </c>
      <c r="F8" s="19" t="s">
        <v>102</v>
      </c>
      <c r="G8" s="12" t="s">
        <v>393</v>
      </c>
      <c r="H8" s="15">
        <v>0.0</v>
      </c>
      <c r="I8" s="12" t="s">
        <v>394</v>
      </c>
      <c r="J8" s="15">
        <v>0.0</v>
      </c>
      <c r="K8" s="13" t="str">
        <f t="shared" si="2"/>
        <v>LSW-07</v>
      </c>
      <c r="L8" s="16" t="s">
        <v>47</v>
      </c>
      <c r="M8" s="12" t="s">
        <v>395</v>
      </c>
      <c r="N8" s="15">
        <v>0.0</v>
      </c>
      <c r="O8" s="13" t="str">
        <f t="shared" si="3"/>
        <v>RDR-07</v>
      </c>
      <c r="P8" s="16" t="s">
        <v>51</v>
      </c>
      <c r="Q8" s="12" t="s">
        <v>396</v>
      </c>
      <c r="R8" s="15">
        <v>0.0</v>
      </c>
      <c r="S8" s="13" t="str">
        <f t="shared" si="4"/>
        <v>ROSOV-13</v>
      </c>
      <c r="T8" s="16" t="s">
        <v>55</v>
      </c>
      <c r="U8" s="3"/>
      <c r="V8" s="3"/>
      <c r="W8" s="3"/>
      <c r="X8" s="3"/>
      <c r="Y8" s="12" t="s">
        <v>397</v>
      </c>
      <c r="Z8" s="15">
        <v>0.0</v>
      </c>
      <c r="AA8" s="13" t="str">
        <f t="shared" si="5"/>
        <v>ROSOV-14</v>
      </c>
      <c r="AB8" s="16" t="s">
        <v>59</v>
      </c>
      <c r="AC8" s="3"/>
      <c r="AD8" s="3"/>
      <c r="AE8" s="3"/>
      <c r="AF8" s="3"/>
      <c r="AG8" s="18" t="s">
        <v>398</v>
      </c>
      <c r="AH8" s="15">
        <v>0.0</v>
      </c>
      <c r="AI8" s="13" t="str">
        <f t="shared" si="6"/>
        <v>MOV-013</v>
      </c>
      <c r="AJ8" s="16" t="s">
        <v>63</v>
      </c>
      <c r="AK8" s="3"/>
      <c r="AL8" s="3"/>
      <c r="AM8" s="3"/>
      <c r="AN8" s="3"/>
      <c r="AO8" s="3"/>
      <c r="AP8" s="3"/>
      <c r="AQ8" s="3"/>
      <c r="AR8" s="3"/>
      <c r="AS8" s="18" t="s">
        <v>399</v>
      </c>
      <c r="AT8" s="15">
        <v>0.0</v>
      </c>
      <c r="AU8" s="13" t="str">
        <f t="shared" si="7"/>
        <v>MOV-014</v>
      </c>
      <c r="AV8" s="16" t="s">
        <v>65</v>
      </c>
      <c r="AW8" s="28"/>
      <c r="AX8" s="28"/>
    </row>
    <row r="9" ht="15.75" customHeight="1">
      <c r="A9" s="5">
        <v>1856.0</v>
      </c>
      <c r="B9" s="11" t="s">
        <v>350</v>
      </c>
      <c r="C9" s="7" t="str">
        <f t="shared" si="1"/>
        <v>TK-13_ATF</v>
      </c>
      <c r="D9" s="19" t="s">
        <v>198</v>
      </c>
      <c r="E9" s="20" t="s">
        <v>38</v>
      </c>
      <c r="F9" s="19" t="s">
        <v>39</v>
      </c>
      <c r="G9" s="12" t="s">
        <v>400</v>
      </c>
      <c r="H9" s="15">
        <v>0.0</v>
      </c>
      <c r="I9" s="12" t="s">
        <v>401</v>
      </c>
      <c r="J9" s="15">
        <v>0.0</v>
      </c>
      <c r="K9" s="13" t="str">
        <f t="shared" si="2"/>
        <v>LSW-11</v>
      </c>
      <c r="L9" s="16" t="s">
        <v>47</v>
      </c>
      <c r="M9" s="12" t="s">
        <v>402</v>
      </c>
      <c r="N9" s="15">
        <v>0.0</v>
      </c>
      <c r="O9" s="13" t="str">
        <f t="shared" si="3"/>
        <v>RDR-11</v>
      </c>
      <c r="P9" s="16" t="s">
        <v>51</v>
      </c>
      <c r="Q9" s="12" t="s">
        <v>403</v>
      </c>
      <c r="R9" s="15">
        <v>0.0</v>
      </c>
      <c r="S9" s="13" t="str">
        <f t="shared" si="4"/>
        <v>ROSOV-39</v>
      </c>
      <c r="T9" s="16" t="s">
        <v>55</v>
      </c>
      <c r="U9" s="3"/>
      <c r="V9" s="3"/>
      <c r="W9" s="3"/>
      <c r="X9" s="3"/>
      <c r="Y9" s="12" t="s">
        <v>404</v>
      </c>
      <c r="Z9" s="15">
        <v>0.0</v>
      </c>
      <c r="AA9" s="13" t="str">
        <f t="shared" si="5"/>
        <v>ROSOV-40</v>
      </c>
      <c r="AB9" s="16" t="s">
        <v>59</v>
      </c>
      <c r="AC9" s="3"/>
      <c r="AD9" s="3"/>
      <c r="AE9" s="3"/>
      <c r="AF9" s="3"/>
      <c r="AG9" s="18" t="s">
        <v>405</v>
      </c>
      <c r="AH9" s="15">
        <v>0.0</v>
      </c>
      <c r="AI9" s="13" t="str">
        <f t="shared" si="6"/>
        <v>MOV-032</v>
      </c>
      <c r="AJ9" s="16" t="s">
        <v>63</v>
      </c>
      <c r="AK9" s="3"/>
      <c r="AL9" s="3"/>
      <c r="AM9" s="3"/>
      <c r="AN9" s="3"/>
      <c r="AO9" s="3"/>
      <c r="AP9" s="3"/>
      <c r="AQ9" s="3"/>
      <c r="AR9" s="3"/>
      <c r="AS9" s="18" t="s">
        <v>406</v>
      </c>
      <c r="AT9" s="15">
        <v>0.0</v>
      </c>
      <c r="AU9" s="13" t="str">
        <f t="shared" si="7"/>
        <v>MOV-033</v>
      </c>
      <c r="AV9" s="16" t="s">
        <v>65</v>
      </c>
      <c r="AW9" s="28"/>
      <c r="AX9" s="28"/>
    </row>
    <row r="10" ht="15.75" customHeight="1">
      <c r="A10" s="5">
        <v>1856.0</v>
      </c>
      <c r="B10" s="11" t="s">
        <v>350</v>
      </c>
      <c r="C10" s="7" t="str">
        <f t="shared" si="1"/>
        <v>TK-14_ETHANOL</v>
      </c>
      <c r="D10" s="19" t="s">
        <v>215</v>
      </c>
      <c r="E10" s="20" t="s">
        <v>38</v>
      </c>
      <c r="F10" s="19" t="s">
        <v>137</v>
      </c>
      <c r="G10" s="12" t="s">
        <v>407</v>
      </c>
      <c r="H10" s="15">
        <v>0.0</v>
      </c>
      <c r="I10" s="12" t="s">
        <v>408</v>
      </c>
      <c r="J10" s="15">
        <v>0.0</v>
      </c>
      <c r="K10" s="13" t="str">
        <f t="shared" si="2"/>
        <v>LSW-08</v>
      </c>
      <c r="L10" s="16" t="s">
        <v>47</v>
      </c>
      <c r="M10" s="12" t="s">
        <v>409</v>
      </c>
      <c r="N10" s="15">
        <v>0.0</v>
      </c>
      <c r="O10" s="13" t="str">
        <f t="shared" si="3"/>
        <v>RDR-08</v>
      </c>
      <c r="P10" s="16" t="s">
        <v>51</v>
      </c>
      <c r="Q10" s="12" t="s">
        <v>410</v>
      </c>
      <c r="R10" s="15">
        <v>0.0</v>
      </c>
      <c r="S10" s="13" t="str">
        <f t="shared" si="4"/>
        <v>ROSOV-15</v>
      </c>
      <c r="T10" s="16" t="s">
        <v>55</v>
      </c>
      <c r="U10" s="3"/>
      <c r="V10" s="3"/>
      <c r="W10" s="3"/>
      <c r="X10" s="3"/>
      <c r="Y10" s="12" t="s">
        <v>411</v>
      </c>
      <c r="Z10" s="15">
        <v>0.0</v>
      </c>
      <c r="AA10" s="13" t="str">
        <f t="shared" si="5"/>
        <v>ROSOV-16</v>
      </c>
      <c r="AB10" s="16" t="s">
        <v>59</v>
      </c>
      <c r="AC10" s="3"/>
      <c r="AD10" s="3"/>
      <c r="AE10" s="3"/>
      <c r="AF10" s="3"/>
      <c r="AG10" s="18" t="s">
        <v>412</v>
      </c>
      <c r="AH10" s="15">
        <v>0.0</v>
      </c>
      <c r="AI10" s="13" t="str">
        <f t="shared" si="6"/>
        <v>MOV-015</v>
      </c>
      <c r="AJ10" s="16" t="s">
        <v>63</v>
      </c>
      <c r="AK10" s="3"/>
      <c r="AL10" s="3"/>
      <c r="AM10" s="3"/>
      <c r="AN10" s="3"/>
      <c r="AO10" s="3"/>
      <c r="AP10" s="3"/>
      <c r="AQ10" s="3"/>
      <c r="AR10" s="3"/>
      <c r="AS10" s="18" t="s">
        <v>413</v>
      </c>
      <c r="AT10" s="15">
        <v>0.0</v>
      </c>
      <c r="AU10" s="13" t="str">
        <f t="shared" si="7"/>
        <v>MOV-016</v>
      </c>
      <c r="AV10" s="16" t="s">
        <v>65</v>
      </c>
      <c r="AW10" s="28"/>
      <c r="AX10" s="28"/>
    </row>
    <row r="11" ht="15.75" customHeight="1">
      <c r="A11" s="5">
        <v>1856.0</v>
      </c>
      <c r="B11" s="11" t="s">
        <v>350</v>
      </c>
      <c r="C11" s="7" t="str">
        <f t="shared" si="1"/>
        <v>TK-15_BS VI HSD</v>
      </c>
      <c r="D11" s="19" t="s">
        <v>232</v>
      </c>
      <c r="E11" s="20" t="s">
        <v>38</v>
      </c>
      <c r="F11" s="19" t="s">
        <v>84</v>
      </c>
      <c r="G11" s="12" t="s">
        <v>414</v>
      </c>
      <c r="H11" s="15">
        <v>0.0</v>
      </c>
      <c r="I11" s="12" t="s">
        <v>415</v>
      </c>
      <c r="J11" s="15">
        <v>0.0</v>
      </c>
      <c r="K11" s="13" t="str">
        <f t="shared" si="2"/>
        <v>LSW-09</v>
      </c>
      <c r="L11" s="16" t="s">
        <v>47</v>
      </c>
      <c r="M11" s="12" t="s">
        <v>416</v>
      </c>
      <c r="N11" s="15">
        <v>0.0</v>
      </c>
      <c r="O11" s="13" t="str">
        <f t="shared" si="3"/>
        <v>RDR-09</v>
      </c>
      <c r="P11" s="16" t="s">
        <v>51</v>
      </c>
      <c r="Q11" s="12" t="s">
        <v>417</v>
      </c>
      <c r="R11" s="15">
        <v>0.0</v>
      </c>
      <c r="S11" s="13" t="str">
        <f t="shared" si="4"/>
        <v>ROSOV-17</v>
      </c>
      <c r="T11" s="16" t="s">
        <v>55</v>
      </c>
      <c r="U11" s="3"/>
      <c r="V11" s="3"/>
      <c r="W11" s="3"/>
      <c r="X11" s="3"/>
      <c r="Y11" s="12" t="s">
        <v>418</v>
      </c>
      <c r="Z11" s="15">
        <v>0.0</v>
      </c>
      <c r="AA11" s="13" t="str">
        <f t="shared" si="5"/>
        <v>ROSOV-18</v>
      </c>
      <c r="AB11" s="16" t="s">
        <v>59</v>
      </c>
      <c r="AC11" s="3"/>
      <c r="AD11" s="3"/>
      <c r="AE11" s="3"/>
      <c r="AF11" s="3"/>
      <c r="AG11" s="18" t="s">
        <v>419</v>
      </c>
      <c r="AH11" s="15">
        <v>0.0</v>
      </c>
      <c r="AI11" s="13" t="str">
        <f t="shared" si="6"/>
        <v>MOV-017</v>
      </c>
      <c r="AJ11" s="16" t="s">
        <v>63</v>
      </c>
      <c r="AK11" s="3"/>
      <c r="AL11" s="3"/>
      <c r="AM11" s="3"/>
      <c r="AN11" s="3"/>
      <c r="AO11" s="3"/>
      <c r="AP11" s="3"/>
      <c r="AQ11" s="3"/>
      <c r="AR11" s="3"/>
      <c r="AS11" s="18" t="s">
        <v>420</v>
      </c>
      <c r="AT11" s="15">
        <v>0.0</v>
      </c>
      <c r="AU11" s="13" t="str">
        <f t="shared" si="7"/>
        <v>MOV-018</v>
      </c>
      <c r="AV11" s="16" t="s">
        <v>65</v>
      </c>
      <c r="AW11" s="28"/>
      <c r="AX11" s="28"/>
    </row>
    <row r="12" ht="15.75" customHeight="1">
      <c r="A12" s="5">
        <v>1856.0</v>
      </c>
      <c r="B12" s="11" t="s">
        <v>350</v>
      </c>
      <c r="C12" s="7" t="str">
        <f t="shared" si="1"/>
        <v>TK-16_BS VI HSD</v>
      </c>
      <c r="D12" s="19" t="s">
        <v>249</v>
      </c>
      <c r="E12" s="20" t="s">
        <v>38</v>
      </c>
      <c r="F12" s="19" t="s">
        <v>84</v>
      </c>
      <c r="G12" s="12" t="s">
        <v>421</v>
      </c>
      <c r="H12" s="15">
        <v>0.0</v>
      </c>
      <c r="I12" s="12" t="s">
        <v>422</v>
      </c>
      <c r="J12" s="15">
        <v>0.0</v>
      </c>
      <c r="K12" s="13" t="str">
        <f t="shared" si="2"/>
        <v>LSW-10</v>
      </c>
      <c r="L12" s="16" t="s">
        <v>47</v>
      </c>
      <c r="M12" s="12" t="s">
        <v>423</v>
      </c>
      <c r="N12" s="15">
        <v>0.0</v>
      </c>
      <c r="O12" s="13" t="str">
        <f t="shared" si="3"/>
        <v>RDR-10</v>
      </c>
      <c r="P12" s="16" t="s">
        <v>51</v>
      </c>
      <c r="Q12" s="12" t="s">
        <v>424</v>
      </c>
      <c r="R12" s="15">
        <v>0.0</v>
      </c>
      <c r="S12" s="13" t="str">
        <f t="shared" si="4"/>
        <v>ROSOV-19</v>
      </c>
      <c r="T12" s="16" t="s">
        <v>55</v>
      </c>
      <c r="U12" s="3"/>
      <c r="V12" s="3"/>
      <c r="W12" s="3"/>
      <c r="X12" s="3"/>
      <c r="Y12" s="12" t="s">
        <v>425</v>
      </c>
      <c r="Z12" s="15">
        <v>0.0</v>
      </c>
      <c r="AA12" s="13" t="str">
        <f t="shared" si="5"/>
        <v>ROSOV-20</v>
      </c>
      <c r="AB12" s="16" t="s">
        <v>59</v>
      </c>
      <c r="AC12" s="3"/>
      <c r="AD12" s="3"/>
      <c r="AE12" s="3"/>
      <c r="AF12" s="3"/>
      <c r="AG12" s="18" t="s">
        <v>426</v>
      </c>
      <c r="AH12" s="15">
        <v>0.0</v>
      </c>
      <c r="AI12" s="13" t="str">
        <f t="shared" si="6"/>
        <v>MOV-019</v>
      </c>
      <c r="AJ12" s="16" t="s">
        <v>63</v>
      </c>
      <c r="AK12" s="3"/>
      <c r="AL12" s="3"/>
      <c r="AM12" s="3"/>
      <c r="AN12" s="3"/>
      <c r="AO12" s="3"/>
      <c r="AP12" s="3"/>
      <c r="AQ12" s="3"/>
      <c r="AR12" s="3"/>
      <c r="AS12" s="18" t="s">
        <v>427</v>
      </c>
      <c r="AT12" s="15">
        <v>0.0</v>
      </c>
      <c r="AU12" s="13" t="str">
        <f t="shared" si="7"/>
        <v>MOV-020</v>
      </c>
      <c r="AV12" s="16" t="s">
        <v>65</v>
      </c>
      <c r="AW12" s="28"/>
      <c r="AX12" s="28"/>
    </row>
    <row r="13" ht="15.75" customHeight="1">
      <c r="A13" s="5">
        <v>1856.0</v>
      </c>
      <c r="B13" s="11" t="s">
        <v>350</v>
      </c>
      <c r="C13" s="7" t="str">
        <f t="shared" si="1"/>
        <v>TK-23_ATF</v>
      </c>
      <c r="D13" s="19" t="s">
        <v>292</v>
      </c>
      <c r="E13" s="20" t="s">
        <v>155</v>
      </c>
      <c r="F13" s="19" t="s">
        <v>39</v>
      </c>
      <c r="G13" s="12" t="s">
        <v>428</v>
      </c>
      <c r="H13" s="15">
        <v>0.0</v>
      </c>
      <c r="I13" s="12" t="s">
        <v>429</v>
      </c>
      <c r="J13" s="15">
        <v>0.0</v>
      </c>
      <c r="K13" s="13" t="str">
        <f t="shared" si="2"/>
        <v>LSW-12</v>
      </c>
      <c r="L13" s="16" t="s">
        <v>47</v>
      </c>
      <c r="M13" s="12" t="s">
        <v>430</v>
      </c>
      <c r="N13" s="15">
        <v>0.0</v>
      </c>
      <c r="O13" s="13" t="str">
        <f t="shared" si="3"/>
        <v>RDR-12</v>
      </c>
      <c r="P13" s="16" t="s">
        <v>51</v>
      </c>
      <c r="Q13" s="12" t="s">
        <v>431</v>
      </c>
      <c r="R13" s="15">
        <v>0.0</v>
      </c>
      <c r="S13" s="13" t="str">
        <f t="shared" si="4"/>
        <v>ROSOV-41</v>
      </c>
      <c r="T13" s="16" t="s">
        <v>55</v>
      </c>
      <c r="U13" s="3"/>
      <c r="V13" s="3"/>
      <c r="W13" s="3"/>
      <c r="X13" s="3"/>
      <c r="Y13" s="12" t="s">
        <v>432</v>
      </c>
      <c r="Z13" s="15">
        <v>0.0</v>
      </c>
      <c r="AA13" s="13" t="str">
        <f t="shared" si="5"/>
        <v>ROSOV-42</v>
      </c>
      <c r="AB13" s="16" t="s">
        <v>59</v>
      </c>
      <c r="AC13" s="3"/>
      <c r="AD13" s="3"/>
      <c r="AE13" s="3"/>
      <c r="AF13" s="3"/>
      <c r="AG13" s="18" t="s">
        <v>433</v>
      </c>
      <c r="AH13" s="15">
        <v>0.0</v>
      </c>
      <c r="AI13" s="13" t="str">
        <f t="shared" si="6"/>
        <v>MOV-034</v>
      </c>
      <c r="AJ13" s="16" t="s">
        <v>63</v>
      </c>
      <c r="AK13" s="3"/>
      <c r="AL13" s="3"/>
      <c r="AM13" s="3"/>
      <c r="AN13" s="3"/>
      <c r="AO13" s="3"/>
      <c r="AP13" s="3"/>
      <c r="AQ13" s="3"/>
      <c r="AR13" s="3"/>
      <c r="AS13" s="18" t="s">
        <v>434</v>
      </c>
      <c r="AT13" s="15">
        <v>0.0</v>
      </c>
      <c r="AU13" s="13" t="str">
        <f t="shared" si="7"/>
        <v>MOV-035</v>
      </c>
      <c r="AV13" s="16" t="s">
        <v>65</v>
      </c>
      <c r="AW13" s="28"/>
      <c r="AX13" s="28"/>
    </row>
    <row r="14" ht="15.75" customHeight="1">
      <c r="A14" s="5">
        <v>1856.0</v>
      </c>
      <c r="B14" s="11" t="s">
        <v>350</v>
      </c>
      <c r="C14" s="7" t="str">
        <f t="shared" si="1"/>
        <v>TK-24_ATF</v>
      </c>
      <c r="D14" s="19" t="s">
        <v>309</v>
      </c>
      <c r="E14" s="20" t="s">
        <v>155</v>
      </c>
      <c r="F14" s="19" t="s">
        <v>39</v>
      </c>
      <c r="G14" s="12" t="s">
        <v>435</v>
      </c>
      <c r="H14" s="15">
        <v>0.0</v>
      </c>
      <c r="I14" s="12" t="s">
        <v>436</v>
      </c>
      <c r="J14" s="15">
        <v>0.0</v>
      </c>
      <c r="K14" s="13" t="str">
        <f t="shared" si="2"/>
        <v>LSW-13</v>
      </c>
      <c r="L14" s="16" t="s">
        <v>47</v>
      </c>
      <c r="M14" s="12" t="s">
        <v>437</v>
      </c>
      <c r="N14" s="15">
        <v>0.0</v>
      </c>
      <c r="O14" s="13" t="str">
        <f t="shared" si="3"/>
        <v>RDR-13</v>
      </c>
      <c r="P14" s="16" t="s">
        <v>51</v>
      </c>
      <c r="Q14" s="12" t="s">
        <v>438</v>
      </c>
      <c r="R14" s="15">
        <v>0.0</v>
      </c>
      <c r="S14" s="13" t="str">
        <f t="shared" si="4"/>
        <v>ROSOV-43</v>
      </c>
      <c r="T14" s="16" t="s">
        <v>55</v>
      </c>
      <c r="U14" s="3"/>
      <c r="V14" s="3"/>
      <c r="W14" s="3"/>
      <c r="X14" s="3"/>
      <c r="Y14" s="12" t="s">
        <v>439</v>
      </c>
      <c r="Z14" s="15">
        <v>0.0</v>
      </c>
      <c r="AA14" s="13" t="str">
        <f t="shared" si="5"/>
        <v>ROSOV-44</v>
      </c>
      <c r="AB14" s="16" t="s">
        <v>59</v>
      </c>
      <c r="AC14" s="3"/>
      <c r="AD14" s="3"/>
      <c r="AE14" s="3"/>
      <c r="AF14" s="3"/>
      <c r="AG14" s="18" t="s">
        <v>440</v>
      </c>
      <c r="AH14" s="15">
        <v>0.0</v>
      </c>
      <c r="AI14" s="13" t="str">
        <f t="shared" si="6"/>
        <v>MOV-036</v>
      </c>
      <c r="AJ14" s="16" t="s">
        <v>63</v>
      </c>
      <c r="AK14" s="3"/>
      <c r="AL14" s="3"/>
      <c r="AM14" s="3"/>
      <c r="AN14" s="3"/>
      <c r="AO14" s="3"/>
      <c r="AP14" s="3"/>
      <c r="AQ14" s="3"/>
      <c r="AR14" s="3"/>
      <c r="AS14" s="18" t="s">
        <v>441</v>
      </c>
      <c r="AT14" s="15">
        <v>0.0</v>
      </c>
      <c r="AU14" s="13" t="str">
        <f t="shared" si="7"/>
        <v>MOV-037</v>
      </c>
      <c r="AV14" s="16" t="s">
        <v>65</v>
      </c>
      <c r="AW14" s="28"/>
      <c r="AX14" s="28"/>
    </row>
    <row r="15" ht="15.75" customHeight="1">
      <c r="G15" s="24"/>
      <c r="H15" s="24"/>
      <c r="I15" s="21"/>
      <c r="J15" s="21"/>
      <c r="K15" s="21"/>
      <c r="L15" s="21"/>
      <c r="M15" s="21"/>
      <c r="N15" s="21"/>
      <c r="O15" s="21"/>
      <c r="P15" s="21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</row>
    <row r="16" ht="15.75" customHeight="1">
      <c r="G16" s="25"/>
      <c r="H16" s="25"/>
      <c r="I16" s="21"/>
      <c r="J16" s="21"/>
      <c r="K16" s="21"/>
      <c r="L16" s="21"/>
      <c r="M16" s="21"/>
      <c r="N16" s="21"/>
      <c r="O16" s="21"/>
      <c r="P16" s="21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</row>
    <row r="17" ht="15.75" customHeight="1">
      <c r="G17" s="25"/>
      <c r="H17" s="25"/>
      <c r="I17" s="21"/>
      <c r="J17" s="21"/>
      <c r="K17" s="21"/>
      <c r="L17" s="21"/>
      <c r="M17" s="21"/>
      <c r="N17" s="21"/>
      <c r="O17" s="21"/>
      <c r="P17" s="21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</row>
    <row r="18" ht="15.75" customHeight="1">
      <c r="G18" s="25"/>
      <c r="H18" s="25"/>
      <c r="I18" s="21"/>
      <c r="J18" s="21"/>
      <c r="K18" s="21"/>
      <c r="L18" s="21"/>
      <c r="M18" s="21"/>
      <c r="N18" s="21"/>
      <c r="O18" s="21"/>
      <c r="P18" s="21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</row>
    <row r="19" ht="15.75" customHeight="1">
      <c r="G19" s="25"/>
      <c r="H19" s="25"/>
      <c r="I19" s="21"/>
      <c r="J19" s="21"/>
      <c r="K19" s="21"/>
      <c r="L19" s="21"/>
      <c r="M19" s="21"/>
      <c r="N19" s="21"/>
      <c r="O19" s="21"/>
      <c r="P19" s="21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</row>
    <row r="20" ht="15.75" customHeight="1">
      <c r="G20" s="25"/>
      <c r="H20" s="25"/>
      <c r="I20" s="21"/>
      <c r="J20" s="21"/>
      <c r="K20" s="21"/>
      <c r="L20" s="21"/>
      <c r="M20" s="21"/>
      <c r="N20" s="21"/>
      <c r="O20" s="21"/>
      <c r="P20" s="21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</row>
    <row r="21" ht="15.75" customHeight="1">
      <c r="G21" s="25"/>
      <c r="H21" s="25"/>
      <c r="I21" s="21"/>
      <c r="J21" s="21"/>
      <c r="K21" s="21"/>
      <c r="L21" s="21"/>
      <c r="M21" s="21"/>
      <c r="N21" s="21"/>
      <c r="O21" s="21"/>
      <c r="P21" s="21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</row>
    <row r="22" ht="15.75" customHeight="1">
      <c r="G22" s="25"/>
      <c r="H22" s="25"/>
      <c r="I22" s="21"/>
      <c r="J22" s="21"/>
      <c r="K22" s="21"/>
      <c r="L22" s="21"/>
      <c r="M22" s="21"/>
      <c r="N22" s="21"/>
      <c r="O22" s="21"/>
      <c r="P22" s="21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</row>
    <row r="23" ht="15.75" customHeight="1">
      <c r="G23" s="25"/>
      <c r="H23" s="25"/>
      <c r="I23" s="21"/>
      <c r="J23" s="21"/>
      <c r="K23" s="21"/>
      <c r="L23" s="21"/>
      <c r="M23" s="21"/>
      <c r="N23" s="21"/>
      <c r="O23" s="21"/>
      <c r="P23" s="21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</row>
    <row r="24" ht="15.75" customHeight="1">
      <c r="G24" s="25"/>
      <c r="H24" s="25"/>
      <c r="I24" s="21"/>
      <c r="J24" s="21"/>
      <c r="K24" s="21"/>
      <c r="L24" s="21"/>
      <c r="M24" s="21"/>
      <c r="N24" s="21"/>
      <c r="O24" s="21"/>
      <c r="P24" s="21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</row>
    <row r="25" ht="15.75" customHeight="1">
      <c r="G25" s="25"/>
      <c r="H25" s="25"/>
      <c r="I25" s="21"/>
      <c r="J25" s="21"/>
      <c r="K25" s="21"/>
      <c r="L25" s="21"/>
      <c r="M25" s="21"/>
      <c r="N25" s="21"/>
      <c r="O25" s="21"/>
      <c r="P25" s="21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</row>
    <row r="26" ht="15.75" customHeight="1">
      <c r="G26" s="25"/>
      <c r="H26" s="25"/>
      <c r="I26" s="21"/>
      <c r="J26" s="21"/>
      <c r="K26" s="21"/>
      <c r="L26" s="21"/>
      <c r="M26" s="21"/>
      <c r="N26" s="21"/>
      <c r="O26" s="21"/>
      <c r="P26" s="21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</row>
    <row r="27" ht="15.75" customHeight="1">
      <c r="G27" s="25"/>
      <c r="H27" s="25"/>
      <c r="I27" s="21"/>
      <c r="J27" s="21"/>
      <c r="K27" s="21"/>
      <c r="L27" s="21"/>
      <c r="M27" s="21"/>
      <c r="N27" s="21"/>
      <c r="O27" s="21"/>
      <c r="P27" s="21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</row>
    <row r="28" ht="15.75" customHeight="1">
      <c r="G28" s="25"/>
      <c r="H28" s="25"/>
      <c r="I28" s="21"/>
      <c r="J28" s="21"/>
      <c r="K28" s="21"/>
      <c r="L28" s="21"/>
      <c r="M28" s="21"/>
      <c r="N28" s="21"/>
      <c r="O28" s="21"/>
      <c r="P28" s="21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</row>
    <row r="29" ht="15.75" customHeight="1">
      <c r="G29" s="25"/>
      <c r="H29" s="25"/>
      <c r="I29" s="21"/>
      <c r="J29" s="21"/>
      <c r="K29" s="21"/>
      <c r="L29" s="21"/>
      <c r="M29" s="21"/>
      <c r="N29" s="21"/>
      <c r="O29" s="21"/>
      <c r="P29" s="21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</row>
    <row r="30" ht="15.75" customHeight="1">
      <c r="G30" s="25"/>
      <c r="H30" s="25"/>
      <c r="I30" s="21"/>
      <c r="J30" s="21"/>
      <c r="K30" s="21"/>
      <c r="L30" s="21"/>
      <c r="M30" s="21"/>
      <c r="N30" s="21"/>
      <c r="O30" s="21"/>
      <c r="P30" s="21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</row>
    <row r="31" ht="15.75" customHeight="1">
      <c r="G31" s="25"/>
      <c r="H31" s="25"/>
      <c r="I31" s="21"/>
      <c r="J31" s="21"/>
      <c r="K31" s="21"/>
      <c r="L31" s="21"/>
      <c r="M31" s="21"/>
      <c r="N31" s="21"/>
      <c r="O31" s="21"/>
      <c r="P31" s="21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</row>
    <row r="32" ht="15.75" customHeight="1">
      <c r="G32" s="25"/>
      <c r="H32" s="25"/>
      <c r="I32" s="21"/>
      <c r="J32" s="21"/>
      <c r="K32" s="21"/>
      <c r="L32" s="21"/>
      <c r="M32" s="21"/>
      <c r="N32" s="21"/>
      <c r="O32" s="21"/>
      <c r="P32" s="21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</row>
    <row r="33" ht="15.75" customHeight="1">
      <c r="G33" s="25"/>
      <c r="H33" s="25"/>
      <c r="I33" s="21"/>
      <c r="J33" s="21"/>
      <c r="K33" s="21"/>
      <c r="L33" s="21"/>
      <c r="M33" s="21"/>
      <c r="N33" s="21"/>
      <c r="O33" s="21"/>
      <c r="P33" s="21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</row>
    <row r="34" ht="15.75" customHeight="1">
      <c r="G34" s="25"/>
      <c r="H34" s="25"/>
      <c r="I34" s="21"/>
      <c r="J34" s="21"/>
      <c r="K34" s="21"/>
      <c r="L34" s="21"/>
      <c r="M34" s="21"/>
      <c r="N34" s="21"/>
      <c r="O34" s="21"/>
      <c r="P34" s="21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</row>
    <row r="35" ht="15.75" customHeight="1">
      <c r="G35" s="25"/>
      <c r="H35" s="25"/>
      <c r="I35" s="21"/>
      <c r="J35" s="21"/>
      <c r="K35" s="21"/>
      <c r="L35" s="21"/>
      <c r="M35" s="21"/>
      <c r="N35" s="21"/>
      <c r="O35" s="21"/>
      <c r="P35" s="21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</row>
    <row r="36" ht="15.75" customHeight="1">
      <c r="G36" s="25"/>
      <c r="H36" s="25"/>
      <c r="I36" s="21"/>
      <c r="J36" s="21"/>
      <c r="K36" s="21"/>
      <c r="L36" s="21"/>
      <c r="M36" s="21"/>
      <c r="N36" s="21"/>
      <c r="O36" s="21"/>
      <c r="P36" s="21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</row>
    <row r="37" ht="15.75" customHeight="1">
      <c r="G37" s="25"/>
      <c r="H37" s="25"/>
      <c r="I37" s="21"/>
      <c r="J37" s="21"/>
      <c r="K37" s="21"/>
      <c r="L37" s="21"/>
      <c r="M37" s="21"/>
      <c r="N37" s="21"/>
      <c r="O37" s="21"/>
      <c r="P37" s="21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</row>
    <row r="38" ht="15.75" customHeight="1">
      <c r="G38" s="25"/>
      <c r="H38" s="25"/>
      <c r="I38" s="21"/>
      <c r="J38" s="21"/>
      <c r="K38" s="21"/>
      <c r="L38" s="21"/>
      <c r="M38" s="21"/>
      <c r="N38" s="21"/>
      <c r="O38" s="21"/>
      <c r="P38" s="21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</row>
    <row r="39" ht="15.75" customHeight="1">
      <c r="G39" s="25"/>
      <c r="H39" s="25"/>
      <c r="I39" s="21"/>
      <c r="J39" s="21"/>
      <c r="K39" s="21"/>
      <c r="L39" s="21"/>
      <c r="M39" s="21"/>
      <c r="N39" s="21"/>
      <c r="O39" s="21"/>
      <c r="P39" s="21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</row>
    <row r="40" ht="15.75" customHeight="1">
      <c r="G40" s="25"/>
      <c r="H40" s="25"/>
      <c r="I40" s="21"/>
      <c r="J40" s="21"/>
      <c r="K40" s="21"/>
      <c r="L40" s="21"/>
      <c r="M40" s="21"/>
      <c r="N40" s="21"/>
      <c r="O40" s="21"/>
      <c r="P40" s="21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</row>
    <row r="41" ht="15.75" customHeight="1">
      <c r="G41" s="25"/>
      <c r="H41" s="25"/>
      <c r="I41" s="21"/>
      <c r="J41" s="21"/>
      <c r="K41" s="21"/>
      <c r="L41" s="21"/>
      <c r="M41" s="21"/>
      <c r="N41" s="21"/>
      <c r="O41" s="21"/>
      <c r="P41" s="21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</row>
    <row r="42" ht="15.75" customHeight="1">
      <c r="G42" s="25"/>
      <c r="H42" s="25"/>
      <c r="I42" s="21"/>
      <c r="J42" s="21"/>
      <c r="K42" s="21"/>
      <c r="L42" s="21"/>
      <c r="M42" s="21"/>
      <c r="N42" s="21"/>
      <c r="O42" s="21"/>
      <c r="P42" s="21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</row>
    <row r="43" ht="15.75" customHeight="1">
      <c r="G43" s="25"/>
      <c r="H43" s="25"/>
      <c r="I43" s="21"/>
      <c r="J43" s="21"/>
      <c r="K43" s="21"/>
      <c r="L43" s="21"/>
      <c r="M43" s="21"/>
      <c r="N43" s="21"/>
      <c r="O43" s="21"/>
      <c r="P43" s="21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</row>
    <row r="44" ht="15.75" customHeight="1">
      <c r="G44" s="25"/>
      <c r="H44" s="25"/>
      <c r="I44" s="21"/>
      <c r="J44" s="21"/>
      <c r="K44" s="21"/>
      <c r="L44" s="21"/>
      <c r="M44" s="21"/>
      <c r="N44" s="21"/>
      <c r="O44" s="21"/>
      <c r="P44" s="21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</row>
    <row r="45" ht="15.75" customHeight="1">
      <c r="G45" s="25"/>
      <c r="H45" s="25"/>
      <c r="I45" s="21"/>
      <c r="J45" s="21"/>
      <c r="K45" s="21"/>
      <c r="L45" s="21"/>
      <c r="M45" s="21"/>
      <c r="N45" s="21"/>
      <c r="O45" s="21"/>
      <c r="P45" s="21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</row>
    <row r="46" ht="15.75" customHeight="1">
      <c r="G46" s="25"/>
      <c r="H46" s="25"/>
      <c r="I46" s="21"/>
      <c r="J46" s="21"/>
      <c r="K46" s="21"/>
      <c r="L46" s="21"/>
      <c r="M46" s="21"/>
      <c r="N46" s="21"/>
      <c r="O46" s="21"/>
      <c r="P46" s="21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</row>
    <row r="47" ht="15.75" customHeight="1">
      <c r="G47" s="25"/>
      <c r="H47" s="25"/>
      <c r="I47" s="21"/>
      <c r="J47" s="21"/>
      <c r="K47" s="21"/>
      <c r="L47" s="21"/>
      <c r="M47" s="21"/>
      <c r="N47" s="21"/>
      <c r="O47" s="21"/>
      <c r="P47" s="21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</row>
    <row r="48" ht="15.75" customHeight="1">
      <c r="G48" s="25"/>
      <c r="H48" s="25"/>
      <c r="I48" s="21"/>
      <c r="J48" s="21"/>
      <c r="K48" s="21"/>
      <c r="L48" s="21"/>
      <c r="M48" s="21"/>
      <c r="N48" s="21"/>
      <c r="O48" s="21"/>
      <c r="P48" s="21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</row>
    <row r="49" ht="15.75" customHeight="1">
      <c r="G49" s="25"/>
      <c r="H49" s="25"/>
      <c r="I49" s="21"/>
      <c r="J49" s="21"/>
      <c r="K49" s="21"/>
      <c r="L49" s="21"/>
      <c r="M49" s="21"/>
      <c r="N49" s="21"/>
      <c r="O49" s="21"/>
      <c r="P49" s="21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</row>
    <row r="50" ht="15.75" customHeight="1">
      <c r="G50" s="25"/>
      <c r="H50" s="25"/>
      <c r="I50" s="21"/>
      <c r="J50" s="21"/>
      <c r="K50" s="21"/>
      <c r="L50" s="21"/>
      <c r="M50" s="21"/>
      <c r="N50" s="21"/>
      <c r="O50" s="21"/>
      <c r="P50" s="21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</row>
    <row r="51" ht="15.75" customHeight="1">
      <c r="G51" s="25"/>
      <c r="H51" s="25"/>
      <c r="I51" s="21"/>
      <c r="J51" s="21"/>
      <c r="K51" s="21"/>
      <c r="L51" s="21"/>
      <c r="M51" s="21"/>
      <c r="N51" s="21"/>
      <c r="O51" s="21"/>
      <c r="P51" s="21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</row>
    <row r="52" ht="15.75" customHeight="1">
      <c r="G52" s="25"/>
      <c r="H52" s="25"/>
      <c r="I52" s="21"/>
      <c r="J52" s="21"/>
      <c r="K52" s="21"/>
      <c r="L52" s="21"/>
      <c r="M52" s="21"/>
      <c r="N52" s="21"/>
      <c r="O52" s="21"/>
      <c r="P52" s="21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</row>
    <row r="53" ht="15.75" customHeight="1">
      <c r="G53" s="25"/>
      <c r="H53" s="25"/>
      <c r="I53" s="21"/>
      <c r="J53" s="21"/>
      <c r="K53" s="21"/>
      <c r="L53" s="21"/>
      <c r="M53" s="21"/>
      <c r="N53" s="21"/>
      <c r="O53" s="21"/>
      <c r="P53" s="21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</row>
    <row r="54" ht="15.75" customHeight="1">
      <c r="G54" s="25"/>
      <c r="H54" s="25"/>
      <c r="I54" s="21"/>
      <c r="J54" s="21"/>
      <c r="K54" s="21"/>
      <c r="L54" s="21"/>
      <c r="M54" s="21"/>
      <c r="N54" s="21"/>
      <c r="O54" s="21"/>
      <c r="P54" s="21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</row>
    <row r="55" ht="15.75" customHeight="1">
      <c r="G55" s="25"/>
      <c r="H55" s="25"/>
      <c r="I55" s="21"/>
      <c r="J55" s="21"/>
      <c r="K55" s="21"/>
      <c r="L55" s="21"/>
      <c r="M55" s="21"/>
      <c r="N55" s="21"/>
      <c r="O55" s="21"/>
      <c r="P55" s="21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</row>
    <row r="56" ht="15.75" customHeight="1">
      <c r="G56" s="25"/>
      <c r="H56" s="25"/>
      <c r="I56" s="21"/>
      <c r="J56" s="21"/>
      <c r="K56" s="21"/>
      <c r="L56" s="21"/>
      <c r="M56" s="21"/>
      <c r="N56" s="21"/>
      <c r="O56" s="21"/>
      <c r="P56" s="21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</row>
    <row r="57" ht="15.75" customHeight="1">
      <c r="G57" s="25"/>
      <c r="H57" s="25"/>
      <c r="I57" s="21"/>
      <c r="J57" s="21"/>
      <c r="K57" s="21"/>
      <c r="L57" s="21"/>
      <c r="M57" s="21"/>
      <c r="N57" s="21"/>
      <c r="O57" s="21"/>
      <c r="P57" s="21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</row>
    <row r="58" ht="15.75" customHeight="1">
      <c r="G58" s="25"/>
      <c r="H58" s="25"/>
      <c r="I58" s="21"/>
      <c r="J58" s="21"/>
      <c r="K58" s="21"/>
      <c r="L58" s="21"/>
      <c r="M58" s="21"/>
      <c r="N58" s="21"/>
      <c r="O58" s="21"/>
      <c r="P58" s="21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</row>
    <row r="59" ht="15.75" customHeight="1">
      <c r="G59" s="25"/>
      <c r="H59" s="25"/>
      <c r="I59" s="21"/>
      <c r="J59" s="21"/>
      <c r="K59" s="21"/>
      <c r="L59" s="21"/>
      <c r="M59" s="21"/>
      <c r="N59" s="21"/>
      <c r="O59" s="21"/>
      <c r="P59" s="21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</row>
    <row r="60" ht="15.75" customHeight="1">
      <c r="G60" s="25"/>
      <c r="H60" s="25"/>
      <c r="I60" s="21"/>
      <c r="J60" s="21"/>
      <c r="K60" s="21"/>
      <c r="L60" s="21"/>
      <c r="M60" s="21"/>
      <c r="N60" s="21"/>
      <c r="O60" s="21"/>
      <c r="P60" s="21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</row>
    <row r="61" ht="15.75" customHeight="1">
      <c r="G61" s="25"/>
      <c r="H61" s="25"/>
      <c r="I61" s="21"/>
      <c r="J61" s="21"/>
      <c r="K61" s="21"/>
      <c r="L61" s="21"/>
      <c r="M61" s="21"/>
      <c r="N61" s="21"/>
      <c r="O61" s="21"/>
      <c r="P61" s="21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</row>
    <row r="62" ht="15.75" customHeight="1">
      <c r="G62" s="25"/>
      <c r="H62" s="25"/>
      <c r="I62" s="21"/>
      <c r="J62" s="21"/>
      <c r="K62" s="21"/>
      <c r="L62" s="21"/>
      <c r="M62" s="21"/>
      <c r="N62" s="21"/>
      <c r="O62" s="21"/>
      <c r="P62" s="21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</row>
    <row r="63" ht="15.75" customHeight="1">
      <c r="G63" s="25"/>
      <c r="H63" s="25"/>
      <c r="I63" s="21"/>
      <c r="J63" s="21"/>
      <c r="K63" s="21"/>
      <c r="L63" s="21"/>
      <c r="M63" s="21"/>
      <c r="N63" s="21"/>
      <c r="O63" s="21"/>
      <c r="P63" s="21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</row>
    <row r="64" ht="15.75" customHeight="1">
      <c r="G64" s="25"/>
      <c r="H64" s="25"/>
      <c r="I64" s="21"/>
      <c r="J64" s="21"/>
      <c r="K64" s="21"/>
      <c r="L64" s="21"/>
      <c r="M64" s="21"/>
      <c r="N64" s="21"/>
      <c r="O64" s="21"/>
      <c r="P64" s="21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</row>
    <row r="65" ht="15.75" customHeight="1">
      <c r="G65" s="25"/>
      <c r="H65" s="25"/>
      <c r="I65" s="21"/>
      <c r="J65" s="21"/>
      <c r="K65" s="21"/>
      <c r="L65" s="21"/>
      <c r="M65" s="21"/>
      <c r="N65" s="21"/>
      <c r="O65" s="21"/>
      <c r="P65" s="21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</row>
    <row r="66" ht="15.75" customHeight="1">
      <c r="G66" s="25"/>
      <c r="H66" s="25"/>
      <c r="I66" s="21"/>
      <c r="J66" s="21"/>
      <c r="K66" s="21"/>
      <c r="L66" s="21"/>
      <c r="M66" s="21"/>
      <c r="N66" s="21"/>
      <c r="O66" s="21"/>
      <c r="P66" s="21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</row>
    <row r="67" ht="15.75" customHeight="1">
      <c r="G67" s="25"/>
      <c r="H67" s="25"/>
      <c r="I67" s="21"/>
      <c r="J67" s="21"/>
      <c r="K67" s="21"/>
      <c r="L67" s="21"/>
      <c r="M67" s="21"/>
      <c r="N67" s="21"/>
      <c r="O67" s="21"/>
      <c r="P67" s="21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</row>
    <row r="68" ht="15.75" customHeight="1">
      <c r="G68" s="25"/>
      <c r="H68" s="25"/>
      <c r="I68" s="21"/>
      <c r="J68" s="21"/>
      <c r="K68" s="21"/>
      <c r="L68" s="21"/>
      <c r="M68" s="21"/>
      <c r="N68" s="21"/>
      <c r="O68" s="21"/>
      <c r="P68" s="21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</row>
    <row r="69" ht="15.75" customHeight="1">
      <c r="G69" s="25"/>
      <c r="H69" s="25"/>
      <c r="I69" s="21"/>
      <c r="J69" s="21"/>
      <c r="K69" s="21"/>
      <c r="L69" s="21"/>
      <c r="M69" s="21"/>
      <c r="N69" s="21"/>
      <c r="O69" s="21"/>
      <c r="P69" s="21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</row>
    <row r="70" ht="15.75" customHeight="1">
      <c r="G70" s="25"/>
      <c r="H70" s="25"/>
      <c r="I70" s="21"/>
      <c r="J70" s="21"/>
      <c r="K70" s="21"/>
      <c r="L70" s="21"/>
      <c r="M70" s="21"/>
      <c r="N70" s="21"/>
      <c r="O70" s="21"/>
      <c r="P70" s="21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</row>
    <row r="71" ht="15.75" customHeight="1">
      <c r="G71" s="25"/>
      <c r="H71" s="25"/>
      <c r="I71" s="21"/>
      <c r="J71" s="21"/>
      <c r="K71" s="21"/>
      <c r="L71" s="21"/>
      <c r="M71" s="21"/>
      <c r="N71" s="21"/>
      <c r="O71" s="21"/>
      <c r="P71" s="21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</row>
    <row r="72" ht="15.75" customHeight="1">
      <c r="G72" s="25"/>
      <c r="H72" s="25"/>
      <c r="I72" s="21"/>
      <c r="J72" s="21"/>
      <c r="K72" s="21"/>
      <c r="L72" s="21"/>
      <c r="M72" s="21"/>
      <c r="N72" s="21"/>
      <c r="O72" s="21"/>
      <c r="P72" s="21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</row>
    <row r="73" ht="15.75" customHeight="1">
      <c r="G73" s="25"/>
      <c r="H73" s="25"/>
      <c r="I73" s="21"/>
      <c r="J73" s="21"/>
      <c r="K73" s="21"/>
      <c r="L73" s="21"/>
      <c r="M73" s="21"/>
      <c r="N73" s="21"/>
      <c r="O73" s="21"/>
      <c r="P73" s="21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</row>
    <row r="74" ht="15.75" customHeight="1">
      <c r="G74" s="25"/>
      <c r="H74" s="25"/>
      <c r="I74" s="21"/>
      <c r="J74" s="21"/>
      <c r="K74" s="21"/>
      <c r="L74" s="21"/>
      <c r="M74" s="21"/>
      <c r="N74" s="21"/>
      <c r="O74" s="21"/>
      <c r="P74" s="21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</row>
    <row r="75" ht="15.75" customHeight="1">
      <c r="G75" s="25"/>
      <c r="H75" s="25"/>
      <c r="I75" s="21"/>
      <c r="J75" s="21"/>
      <c r="K75" s="21"/>
      <c r="L75" s="21"/>
      <c r="M75" s="21"/>
      <c r="N75" s="21"/>
      <c r="O75" s="21"/>
      <c r="P75" s="21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</row>
    <row r="76" ht="15.75" customHeight="1">
      <c r="G76" s="25"/>
      <c r="H76" s="25"/>
      <c r="I76" s="21"/>
      <c r="J76" s="21"/>
      <c r="K76" s="21"/>
      <c r="L76" s="21"/>
      <c r="M76" s="21"/>
      <c r="N76" s="21"/>
      <c r="O76" s="21"/>
      <c r="P76" s="21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</row>
    <row r="77" ht="15.75" customHeight="1">
      <c r="G77" s="25"/>
      <c r="H77" s="25"/>
      <c r="I77" s="21"/>
      <c r="J77" s="21"/>
      <c r="K77" s="21"/>
      <c r="L77" s="21"/>
      <c r="M77" s="21"/>
      <c r="N77" s="21"/>
      <c r="O77" s="21"/>
      <c r="P77" s="21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</row>
    <row r="78" ht="15.75" customHeight="1">
      <c r="G78" s="25"/>
      <c r="H78" s="25"/>
      <c r="I78" s="21"/>
      <c r="J78" s="21"/>
      <c r="K78" s="21"/>
      <c r="L78" s="21"/>
      <c r="M78" s="21"/>
      <c r="N78" s="21"/>
      <c r="O78" s="21"/>
      <c r="P78" s="21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</row>
    <row r="79" ht="15.75" customHeight="1">
      <c r="G79" s="25"/>
      <c r="H79" s="25"/>
      <c r="I79" s="21"/>
      <c r="J79" s="21"/>
      <c r="K79" s="21"/>
      <c r="L79" s="21"/>
      <c r="M79" s="21"/>
      <c r="N79" s="21"/>
      <c r="O79" s="21"/>
      <c r="P79" s="21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</row>
    <row r="80" ht="15.75" customHeight="1">
      <c r="G80" s="25"/>
      <c r="H80" s="25"/>
      <c r="I80" s="21"/>
      <c r="J80" s="21"/>
      <c r="K80" s="21"/>
      <c r="L80" s="21"/>
      <c r="M80" s="21"/>
      <c r="N80" s="21"/>
      <c r="O80" s="21"/>
      <c r="P80" s="21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</row>
    <row r="81" ht="15.75" customHeight="1">
      <c r="G81" s="25"/>
      <c r="H81" s="25"/>
      <c r="I81" s="21"/>
      <c r="J81" s="21"/>
      <c r="K81" s="21"/>
      <c r="L81" s="21"/>
      <c r="M81" s="21"/>
      <c r="N81" s="21"/>
      <c r="O81" s="21"/>
      <c r="P81" s="21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</row>
    <row r="82" ht="15.75" customHeight="1">
      <c r="G82" s="25"/>
      <c r="H82" s="25"/>
      <c r="I82" s="21"/>
      <c r="J82" s="21"/>
      <c r="K82" s="21"/>
      <c r="L82" s="21"/>
      <c r="M82" s="21"/>
      <c r="N82" s="21"/>
      <c r="O82" s="21"/>
      <c r="P82" s="21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</row>
    <row r="83" ht="15.75" customHeight="1">
      <c r="G83" s="25"/>
      <c r="H83" s="25"/>
      <c r="I83" s="21"/>
      <c r="J83" s="21"/>
      <c r="K83" s="21"/>
      <c r="L83" s="21"/>
      <c r="M83" s="21"/>
      <c r="N83" s="21"/>
      <c r="O83" s="21"/>
      <c r="P83" s="21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</row>
    <row r="84" ht="15.75" customHeight="1">
      <c r="G84" s="25"/>
      <c r="H84" s="25"/>
      <c r="I84" s="21"/>
      <c r="J84" s="21"/>
      <c r="K84" s="21"/>
      <c r="L84" s="21"/>
      <c r="M84" s="21"/>
      <c r="N84" s="21"/>
      <c r="O84" s="21"/>
      <c r="P84" s="21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</row>
    <row r="85" ht="15.75" customHeight="1">
      <c r="G85" s="25"/>
      <c r="H85" s="25"/>
      <c r="I85" s="21"/>
      <c r="J85" s="21"/>
      <c r="K85" s="21"/>
      <c r="L85" s="21"/>
      <c r="M85" s="21"/>
      <c r="N85" s="21"/>
      <c r="O85" s="21"/>
      <c r="P85" s="21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</row>
    <row r="86" ht="15.75" customHeight="1">
      <c r="G86" s="25"/>
      <c r="H86" s="25"/>
      <c r="I86" s="21"/>
      <c r="J86" s="21"/>
      <c r="K86" s="21"/>
      <c r="L86" s="21"/>
      <c r="M86" s="21"/>
      <c r="N86" s="21"/>
      <c r="O86" s="21"/>
      <c r="P86" s="21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</row>
    <row r="87" ht="15.75" customHeight="1">
      <c r="G87" s="25"/>
      <c r="H87" s="25"/>
      <c r="I87" s="21"/>
      <c r="J87" s="21"/>
      <c r="K87" s="21"/>
      <c r="L87" s="21"/>
      <c r="M87" s="21"/>
      <c r="N87" s="21"/>
      <c r="O87" s="21"/>
      <c r="P87" s="21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</row>
    <row r="88" ht="15.75" customHeight="1">
      <c r="G88" s="25"/>
      <c r="H88" s="25"/>
      <c r="I88" s="21"/>
      <c r="J88" s="21"/>
      <c r="K88" s="21"/>
      <c r="L88" s="21"/>
      <c r="M88" s="21"/>
      <c r="N88" s="21"/>
      <c r="O88" s="21"/>
      <c r="P88" s="21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</row>
    <row r="89" ht="15.75" customHeight="1">
      <c r="G89" s="25"/>
      <c r="H89" s="25"/>
      <c r="I89" s="21"/>
      <c r="J89" s="21"/>
      <c r="K89" s="21"/>
      <c r="L89" s="21"/>
      <c r="M89" s="21"/>
      <c r="N89" s="21"/>
      <c r="O89" s="21"/>
      <c r="P89" s="21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</row>
    <row r="90" ht="15.75" customHeight="1">
      <c r="G90" s="25"/>
      <c r="H90" s="25"/>
      <c r="I90" s="21"/>
      <c r="J90" s="21"/>
      <c r="K90" s="21"/>
      <c r="L90" s="21"/>
      <c r="M90" s="21"/>
      <c r="N90" s="21"/>
      <c r="O90" s="21"/>
      <c r="P90" s="21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</row>
    <row r="91" ht="15.75" customHeight="1">
      <c r="G91" s="25"/>
      <c r="H91" s="25"/>
      <c r="I91" s="21"/>
      <c r="J91" s="21"/>
      <c r="K91" s="21"/>
      <c r="L91" s="21"/>
      <c r="M91" s="21"/>
      <c r="N91" s="21"/>
      <c r="O91" s="21"/>
      <c r="P91" s="21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</row>
    <row r="92" ht="15.75" customHeight="1">
      <c r="G92" s="25"/>
      <c r="H92" s="25"/>
      <c r="I92" s="21"/>
      <c r="J92" s="21"/>
      <c r="K92" s="21"/>
      <c r="L92" s="21"/>
      <c r="M92" s="21"/>
      <c r="N92" s="21"/>
      <c r="O92" s="21"/>
      <c r="P92" s="21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</row>
    <row r="93" ht="15.75" customHeight="1">
      <c r="G93" s="25"/>
      <c r="H93" s="25"/>
      <c r="I93" s="21"/>
      <c r="J93" s="21"/>
      <c r="K93" s="21"/>
      <c r="L93" s="21"/>
      <c r="M93" s="21"/>
      <c r="N93" s="21"/>
      <c r="O93" s="21"/>
      <c r="P93" s="21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</row>
    <row r="94" ht="15.75" customHeight="1">
      <c r="G94" s="25"/>
      <c r="H94" s="25"/>
      <c r="I94" s="21"/>
      <c r="J94" s="21"/>
      <c r="K94" s="21"/>
      <c r="L94" s="21"/>
      <c r="M94" s="21"/>
      <c r="N94" s="21"/>
      <c r="O94" s="21"/>
      <c r="P94" s="21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</row>
    <row r="95" ht="15.75" customHeight="1">
      <c r="G95" s="25"/>
      <c r="H95" s="25"/>
      <c r="I95" s="21"/>
      <c r="J95" s="21"/>
      <c r="K95" s="21"/>
      <c r="L95" s="21"/>
      <c r="M95" s="21"/>
      <c r="N95" s="21"/>
      <c r="O95" s="21"/>
      <c r="P95" s="21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</row>
    <row r="96" ht="15.75" customHeight="1">
      <c r="G96" s="25"/>
      <c r="H96" s="25"/>
      <c r="I96" s="21"/>
      <c r="J96" s="21"/>
      <c r="K96" s="21"/>
      <c r="L96" s="21"/>
      <c r="M96" s="21"/>
      <c r="N96" s="21"/>
      <c r="O96" s="21"/>
      <c r="P96" s="21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</row>
    <row r="97" ht="15.75" customHeight="1">
      <c r="G97" s="25"/>
      <c r="H97" s="25"/>
      <c r="I97" s="21"/>
      <c r="J97" s="21"/>
      <c r="K97" s="21"/>
      <c r="L97" s="21"/>
      <c r="M97" s="21"/>
      <c r="N97" s="21"/>
      <c r="O97" s="21"/>
      <c r="P97" s="21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</row>
    <row r="98" ht="15.75" customHeight="1">
      <c r="G98" s="25"/>
      <c r="H98" s="25"/>
      <c r="I98" s="21"/>
      <c r="J98" s="21"/>
      <c r="K98" s="21"/>
      <c r="L98" s="21"/>
      <c r="M98" s="21"/>
      <c r="N98" s="21"/>
      <c r="O98" s="21"/>
      <c r="P98" s="21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</row>
    <row r="99" ht="15.75" customHeight="1">
      <c r="G99" s="25"/>
      <c r="H99" s="25"/>
      <c r="I99" s="21"/>
      <c r="J99" s="21"/>
      <c r="K99" s="21"/>
      <c r="L99" s="21"/>
      <c r="M99" s="21"/>
      <c r="N99" s="21"/>
      <c r="O99" s="21"/>
      <c r="P99" s="21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</row>
    <row r="100" ht="15.75" customHeight="1">
      <c r="G100" s="25"/>
      <c r="H100" s="25"/>
      <c r="I100" s="21"/>
      <c r="J100" s="21"/>
      <c r="K100" s="21"/>
      <c r="L100" s="21"/>
      <c r="M100" s="21"/>
      <c r="N100" s="21"/>
      <c r="O100" s="21"/>
      <c r="P100" s="21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</row>
    <row r="101" ht="15.75" customHeight="1">
      <c r="G101" s="25"/>
      <c r="H101" s="25"/>
      <c r="I101" s="21"/>
      <c r="J101" s="21"/>
      <c r="K101" s="21"/>
      <c r="L101" s="21"/>
      <c r="M101" s="21"/>
      <c r="N101" s="21"/>
      <c r="O101" s="21"/>
      <c r="P101" s="21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</row>
    <row r="102" ht="15.75" customHeight="1">
      <c r="G102" s="25"/>
      <c r="H102" s="25"/>
      <c r="I102" s="21"/>
      <c r="J102" s="21"/>
      <c r="K102" s="21"/>
      <c r="L102" s="21"/>
      <c r="M102" s="21"/>
      <c r="N102" s="21"/>
      <c r="O102" s="21"/>
      <c r="P102" s="21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</row>
    <row r="103" ht="15.75" customHeight="1">
      <c r="G103" s="25"/>
      <c r="H103" s="25"/>
      <c r="I103" s="21"/>
      <c r="J103" s="21"/>
      <c r="K103" s="21"/>
      <c r="L103" s="21"/>
      <c r="M103" s="21"/>
      <c r="N103" s="21"/>
      <c r="O103" s="21"/>
      <c r="P103" s="21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</row>
    <row r="104" ht="15.75" customHeight="1">
      <c r="G104" s="25"/>
      <c r="H104" s="25"/>
      <c r="I104" s="21"/>
      <c r="J104" s="21"/>
      <c r="K104" s="21"/>
      <c r="L104" s="21"/>
      <c r="M104" s="21"/>
      <c r="N104" s="21"/>
      <c r="O104" s="21"/>
      <c r="P104" s="21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</row>
    <row r="105" ht="15.75" customHeight="1">
      <c r="G105" s="25"/>
      <c r="H105" s="25"/>
      <c r="I105" s="21"/>
      <c r="J105" s="21"/>
      <c r="K105" s="21"/>
      <c r="L105" s="21"/>
      <c r="M105" s="21"/>
      <c r="N105" s="21"/>
      <c r="O105" s="21"/>
      <c r="P105" s="21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</row>
    <row r="106" ht="15.75" customHeight="1">
      <c r="G106" s="25"/>
      <c r="H106" s="25"/>
      <c r="I106" s="21"/>
      <c r="J106" s="21"/>
      <c r="K106" s="21"/>
      <c r="L106" s="21"/>
      <c r="M106" s="21"/>
      <c r="N106" s="21"/>
      <c r="O106" s="21"/>
      <c r="P106" s="21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</row>
    <row r="107" ht="15.75" customHeight="1">
      <c r="G107" s="25"/>
      <c r="H107" s="25"/>
      <c r="I107" s="21"/>
      <c r="J107" s="21"/>
      <c r="K107" s="21"/>
      <c r="L107" s="21"/>
      <c r="M107" s="21"/>
      <c r="N107" s="21"/>
      <c r="O107" s="21"/>
      <c r="P107" s="21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</row>
    <row r="108" ht="15.75" customHeight="1">
      <c r="G108" s="25"/>
      <c r="H108" s="25"/>
      <c r="I108" s="21"/>
      <c r="J108" s="21"/>
      <c r="K108" s="21"/>
      <c r="L108" s="21"/>
      <c r="M108" s="21"/>
      <c r="N108" s="21"/>
      <c r="O108" s="21"/>
      <c r="P108" s="21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</row>
    <row r="109" ht="15.75" customHeight="1">
      <c r="G109" s="25"/>
      <c r="H109" s="25"/>
      <c r="I109" s="21"/>
      <c r="J109" s="21"/>
      <c r="K109" s="21"/>
      <c r="L109" s="21"/>
      <c r="M109" s="21"/>
      <c r="N109" s="21"/>
      <c r="O109" s="21"/>
      <c r="P109" s="21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</row>
    <row r="110" ht="15.75" customHeight="1">
      <c r="G110" s="25"/>
      <c r="H110" s="25"/>
      <c r="I110" s="21"/>
      <c r="J110" s="21"/>
      <c r="K110" s="21"/>
      <c r="L110" s="21"/>
      <c r="M110" s="21"/>
      <c r="N110" s="21"/>
      <c r="O110" s="21"/>
      <c r="P110" s="21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</row>
    <row r="111" ht="15.75" customHeight="1">
      <c r="G111" s="25"/>
      <c r="H111" s="25"/>
      <c r="I111" s="21"/>
      <c r="J111" s="21"/>
      <c r="K111" s="21"/>
      <c r="L111" s="21"/>
      <c r="M111" s="21"/>
      <c r="N111" s="21"/>
      <c r="O111" s="21"/>
      <c r="P111" s="21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</row>
    <row r="112" ht="15.75" customHeight="1">
      <c r="G112" s="25"/>
      <c r="H112" s="25"/>
      <c r="I112" s="21"/>
      <c r="J112" s="21"/>
      <c r="K112" s="21"/>
      <c r="L112" s="21"/>
      <c r="M112" s="21"/>
      <c r="N112" s="21"/>
      <c r="O112" s="21"/>
      <c r="P112" s="21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</row>
    <row r="113" ht="15.75" customHeight="1">
      <c r="G113" s="25"/>
      <c r="H113" s="25"/>
      <c r="I113" s="21"/>
      <c r="J113" s="21"/>
      <c r="K113" s="21"/>
      <c r="L113" s="21"/>
      <c r="M113" s="21"/>
      <c r="N113" s="21"/>
      <c r="O113" s="21"/>
      <c r="P113" s="21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</row>
    <row r="114" ht="15.75" customHeight="1">
      <c r="G114" s="25"/>
      <c r="H114" s="25"/>
      <c r="I114" s="21"/>
      <c r="J114" s="21"/>
      <c r="K114" s="21"/>
      <c r="L114" s="21"/>
      <c r="M114" s="21"/>
      <c r="N114" s="21"/>
      <c r="O114" s="21"/>
      <c r="P114" s="21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</row>
    <row r="115" ht="15.75" customHeight="1">
      <c r="G115" s="25"/>
      <c r="H115" s="25"/>
      <c r="I115" s="21"/>
      <c r="J115" s="21"/>
      <c r="K115" s="21"/>
      <c r="L115" s="21"/>
      <c r="M115" s="21"/>
      <c r="N115" s="21"/>
      <c r="O115" s="21"/>
      <c r="P115" s="21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</row>
    <row r="116" ht="15.75" customHeight="1">
      <c r="G116" s="25"/>
      <c r="H116" s="25"/>
      <c r="I116" s="21"/>
      <c r="J116" s="21"/>
      <c r="K116" s="21"/>
      <c r="L116" s="21"/>
      <c r="M116" s="21"/>
      <c r="N116" s="21"/>
      <c r="O116" s="21"/>
      <c r="P116" s="21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</row>
    <row r="117" ht="15.75" customHeight="1">
      <c r="G117" s="25"/>
      <c r="H117" s="25"/>
      <c r="I117" s="21"/>
      <c r="J117" s="21"/>
      <c r="K117" s="21"/>
      <c r="L117" s="21"/>
      <c r="M117" s="21"/>
      <c r="N117" s="21"/>
      <c r="O117" s="21"/>
      <c r="P117" s="21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</row>
    <row r="118" ht="15.75" customHeight="1">
      <c r="G118" s="25"/>
      <c r="H118" s="25"/>
      <c r="I118" s="21"/>
      <c r="J118" s="21"/>
      <c r="K118" s="21"/>
      <c r="L118" s="21"/>
      <c r="M118" s="21"/>
      <c r="N118" s="21"/>
      <c r="O118" s="21"/>
      <c r="P118" s="21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</row>
    <row r="119" ht="15.75" customHeight="1">
      <c r="G119" s="25"/>
      <c r="H119" s="25"/>
      <c r="I119" s="21"/>
      <c r="J119" s="21"/>
      <c r="K119" s="21"/>
      <c r="L119" s="21"/>
      <c r="M119" s="21"/>
      <c r="N119" s="21"/>
      <c r="O119" s="21"/>
      <c r="P119" s="21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</row>
    <row r="120" ht="15.75" customHeight="1">
      <c r="G120" s="25"/>
      <c r="H120" s="25"/>
      <c r="I120" s="21"/>
      <c r="J120" s="21"/>
      <c r="K120" s="21"/>
      <c r="L120" s="21"/>
      <c r="M120" s="21"/>
      <c r="N120" s="21"/>
      <c r="O120" s="21"/>
      <c r="P120" s="21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</row>
    <row r="121" ht="15.75" customHeight="1">
      <c r="G121" s="25"/>
      <c r="H121" s="25"/>
      <c r="I121" s="21"/>
      <c r="J121" s="21"/>
      <c r="K121" s="21"/>
      <c r="L121" s="21"/>
      <c r="M121" s="21"/>
      <c r="N121" s="21"/>
      <c r="O121" s="21"/>
      <c r="P121" s="21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</row>
    <row r="122" ht="15.75" customHeight="1">
      <c r="G122" s="25"/>
      <c r="H122" s="25"/>
      <c r="I122" s="21"/>
      <c r="J122" s="21"/>
      <c r="K122" s="21"/>
      <c r="L122" s="21"/>
      <c r="M122" s="21"/>
      <c r="N122" s="21"/>
      <c r="O122" s="21"/>
      <c r="P122" s="21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</row>
    <row r="123" ht="15.75" customHeight="1">
      <c r="G123" s="25"/>
      <c r="H123" s="25"/>
      <c r="I123" s="21"/>
      <c r="J123" s="21"/>
      <c r="K123" s="21"/>
      <c r="L123" s="21"/>
      <c r="M123" s="21"/>
      <c r="N123" s="21"/>
      <c r="O123" s="21"/>
      <c r="P123" s="21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</row>
    <row r="124" ht="15.75" customHeight="1">
      <c r="G124" s="25"/>
      <c r="H124" s="25"/>
      <c r="I124" s="21"/>
      <c r="J124" s="21"/>
      <c r="K124" s="21"/>
      <c r="L124" s="21"/>
      <c r="M124" s="21"/>
      <c r="N124" s="21"/>
      <c r="O124" s="21"/>
      <c r="P124" s="21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</row>
    <row r="125" ht="15.75" customHeight="1">
      <c r="G125" s="25"/>
      <c r="H125" s="25"/>
      <c r="I125" s="21"/>
      <c r="J125" s="21"/>
      <c r="K125" s="21"/>
      <c r="L125" s="21"/>
      <c r="M125" s="21"/>
      <c r="N125" s="21"/>
      <c r="O125" s="21"/>
      <c r="P125" s="21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</row>
    <row r="126" ht="15.75" customHeight="1">
      <c r="G126" s="25"/>
      <c r="H126" s="25"/>
      <c r="I126" s="21"/>
      <c r="J126" s="21"/>
      <c r="K126" s="21"/>
      <c r="L126" s="21"/>
      <c r="M126" s="21"/>
      <c r="N126" s="21"/>
      <c r="O126" s="21"/>
      <c r="P126" s="21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</row>
    <row r="127" ht="15.75" customHeight="1">
      <c r="G127" s="25"/>
      <c r="H127" s="25"/>
      <c r="I127" s="21"/>
      <c r="J127" s="21"/>
      <c r="K127" s="21"/>
      <c r="L127" s="21"/>
      <c r="M127" s="21"/>
      <c r="N127" s="21"/>
      <c r="O127" s="21"/>
      <c r="P127" s="21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</row>
    <row r="128" ht="15.75" customHeight="1">
      <c r="G128" s="25"/>
      <c r="H128" s="25"/>
      <c r="I128" s="21"/>
      <c r="J128" s="21"/>
      <c r="K128" s="21"/>
      <c r="L128" s="21"/>
      <c r="M128" s="21"/>
      <c r="N128" s="21"/>
      <c r="O128" s="21"/>
      <c r="P128" s="21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</row>
    <row r="129" ht="15.75" customHeight="1">
      <c r="G129" s="25"/>
      <c r="H129" s="25"/>
      <c r="I129" s="21"/>
      <c r="J129" s="21"/>
      <c r="K129" s="21"/>
      <c r="L129" s="21"/>
      <c r="M129" s="21"/>
      <c r="N129" s="21"/>
      <c r="O129" s="21"/>
      <c r="P129" s="21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</row>
    <row r="130" ht="15.75" customHeight="1">
      <c r="G130" s="25"/>
      <c r="H130" s="25"/>
      <c r="I130" s="21"/>
      <c r="J130" s="21"/>
      <c r="K130" s="21"/>
      <c r="L130" s="21"/>
      <c r="M130" s="21"/>
      <c r="N130" s="21"/>
      <c r="O130" s="21"/>
      <c r="P130" s="21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</row>
    <row r="131" ht="15.75" customHeight="1">
      <c r="G131" s="25"/>
      <c r="H131" s="25"/>
      <c r="I131" s="21"/>
      <c r="J131" s="21"/>
      <c r="K131" s="21"/>
      <c r="L131" s="21"/>
      <c r="M131" s="21"/>
      <c r="N131" s="21"/>
      <c r="O131" s="21"/>
      <c r="P131" s="21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</row>
    <row r="132" ht="15.75" customHeight="1">
      <c r="G132" s="25"/>
      <c r="H132" s="25"/>
      <c r="I132" s="21"/>
      <c r="J132" s="21"/>
      <c r="K132" s="21"/>
      <c r="L132" s="21"/>
      <c r="M132" s="21"/>
      <c r="N132" s="21"/>
      <c r="O132" s="21"/>
      <c r="P132" s="21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</row>
    <row r="133" ht="15.75" customHeight="1">
      <c r="G133" s="25"/>
      <c r="H133" s="25"/>
      <c r="I133" s="21"/>
      <c r="J133" s="21"/>
      <c r="K133" s="21"/>
      <c r="L133" s="21"/>
      <c r="M133" s="21"/>
      <c r="N133" s="21"/>
      <c r="O133" s="21"/>
      <c r="P133" s="21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</row>
    <row r="134" ht="15.75" customHeight="1">
      <c r="G134" s="25"/>
      <c r="H134" s="25"/>
      <c r="I134" s="21"/>
      <c r="J134" s="21"/>
      <c r="K134" s="21"/>
      <c r="L134" s="21"/>
      <c r="M134" s="21"/>
      <c r="N134" s="21"/>
      <c r="O134" s="21"/>
      <c r="P134" s="21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</row>
    <row r="135" ht="15.75" customHeight="1">
      <c r="G135" s="25"/>
      <c r="H135" s="25"/>
      <c r="I135" s="21"/>
      <c r="J135" s="21"/>
      <c r="K135" s="21"/>
      <c r="L135" s="21"/>
      <c r="M135" s="21"/>
      <c r="N135" s="21"/>
      <c r="O135" s="21"/>
      <c r="P135" s="21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</row>
    <row r="136" ht="15.75" customHeight="1">
      <c r="G136" s="25"/>
      <c r="H136" s="25"/>
      <c r="I136" s="21"/>
      <c r="J136" s="21"/>
      <c r="K136" s="21"/>
      <c r="L136" s="21"/>
      <c r="M136" s="21"/>
      <c r="N136" s="21"/>
      <c r="O136" s="21"/>
      <c r="P136" s="21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</row>
    <row r="137" ht="15.75" customHeight="1">
      <c r="G137" s="25"/>
      <c r="H137" s="25"/>
      <c r="I137" s="21"/>
      <c r="J137" s="21"/>
      <c r="K137" s="21"/>
      <c r="L137" s="21"/>
      <c r="M137" s="21"/>
      <c r="N137" s="21"/>
      <c r="O137" s="21"/>
      <c r="P137" s="21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</row>
    <row r="138" ht="15.75" customHeight="1">
      <c r="G138" s="25"/>
      <c r="H138" s="25"/>
      <c r="I138" s="21"/>
      <c r="J138" s="21"/>
      <c r="K138" s="21"/>
      <c r="L138" s="21"/>
      <c r="M138" s="21"/>
      <c r="N138" s="21"/>
      <c r="O138" s="21"/>
      <c r="P138" s="21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</row>
    <row r="139" ht="15.75" customHeight="1">
      <c r="G139" s="25"/>
      <c r="H139" s="25"/>
      <c r="I139" s="21"/>
      <c r="J139" s="21"/>
      <c r="K139" s="21"/>
      <c r="L139" s="21"/>
      <c r="M139" s="21"/>
      <c r="N139" s="21"/>
      <c r="O139" s="21"/>
      <c r="P139" s="21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</row>
    <row r="140" ht="15.75" customHeight="1">
      <c r="G140" s="25"/>
      <c r="H140" s="25"/>
      <c r="I140" s="21"/>
      <c r="J140" s="21"/>
      <c r="K140" s="21"/>
      <c r="L140" s="21"/>
      <c r="M140" s="21"/>
      <c r="N140" s="21"/>
      <c r="O140" s="21"/>
      <c r="P140" s="21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</row>
    <row r="141" ht="15.75" customHeight="1">
      <c r="G141" s="25"/>
      <c r="H141" s="25"/>
      <c r="I141" s="21"/>
      <c r="J141" s="21"/>
      <c r="K141" s="21"/>
      <c r="L141" s="21"/>
      <c r="M141" s="21"/>
      <c r="N141" s="21"/>
      <c r="O141" s="21"/>
      <c r="P141" s="21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</row>
    <row r="142" ht="15.75" customHeight="1">
      <c r="G142" s="25"/>
      <c r="H142" s="25"/>
      <c r="I142" s="21"/>
      <c r="J142" s="21"/>
      <c r="K142" s="21"/>
      <c r="L142" s="21"/>
      <c r="M142" s="21"/>
      <c r="N142" s="21"/>
      <c r="O142" s="21"/>
      <c r="P142" s="21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</row>
    <row r="143" ht="15.75" customHeight="1">
      <c r="G143" s="25"/>
      <c r="H143" s="25"/>
      <c r="I143" s="21"/>
      <c r="J143" s="21"/>
      <c r="K143" s="21"/>
      <c r="L143" s="21"/>
      <c r="M143" s="21"/>
      <c r="N143" s="21"/>
      <c r="O143" s="21"/>
      <c r="P143" s="21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</row>
    <row r="144" ht="15.75" customHeight="1">
      <c r="G144" s="25"/>
      <c r="H144" s="25"/>
      <c r="I144" s="21"/>
      <c r="J144" s="21"/>
      <c r="K144" s="21"/>
      <c r="L144" s="21"/>
      <c r="M144" s="21"/>
      <c r="N144" s="21"/>
      <c r="O144" s="21"/>
      <c r="P144" s="21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</row>
    <row r="145" ht="15.75" customHeight="1">
      <c r="G145" s="25"/>
      <c r="H145" s="25"/>
      <c r="I145" s="21"/>
      <c r="J145" s="21"/>
      <c r="K145" s="21"/>
      <c r="L145" s="21"/>
      <c r="M145" s="21"/>
      <c r="N145" s="21"/>
      <c r="O145" s="21"/>
      <c r="P145" s="21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</row>
    <row r="146" ht="15.75" customHeight="1">
      <c r="G146" s="25"/>
      <c r="H146" s="25"/>
      <c r="I146" s="21"/>
      <c r="J146" s="21"/>
      <c r="K146" s="21"/>
      <c r="L146" s="21"/>
      <c r="M146" s="21"/>
      <c r="N146" s="21"/>
      <c r="O146" s="21"/>
      <c r="P146" s="21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</row>
    <row r="147" ht="15.75" customHeight="1">
      <c r="G147" s="25"/>
      <c r="H147" s="25"/>
      <c r="I147" s="21"/>
      <c r="J147" s="21"/>
      <c r="K147" s="21"/>
      <c r="L147" s="21"/>
      <c r="M147" s="21"/>
      <c r="N147" s="21"/>
      <c r="O147" s="21"/>
      <c r="P147" s="21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</row>
    <row r="148" ht="15.75" customHeight="1">
      <c r="G148" s="25"/>
      <c r="H148" s="25"/>
      <c r="I148" s="21"/>
      <c r="J148" s="21"/>
      <c r="K148" s="21"/>
      <c r="L148" s="21"/>
      <c r="M148" s="21"/>
      <c r="N148" s="21"/>
      <c r="O148" s="21"/>
      <c r="P148" s="21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</row>
    <row r="149" ht="15.75" customHeight="1">
      <c r="G149" s="25"/>
      <c r="H149" s="25"/>
      <c r="I149" s="21"/>
      <c r="J149" s="21"/>
      <c r="K149" s="21"/>
      <c r="L149" s="21"/>
      <c r="M149" s="21"/>
      <c r="N149" s="21"/>
      <c r="O149" s="21"/>
      <c r="P149" s="21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</row>
    <row r="150" ht="15.75" customHeight="1">
      <c r="G150" s="25"/>
      <c r="H150" s="25"/>
      <c r="I150" s="21"/>
      <c r="J150" s="21"/>
      <c r="K150" s="21"/>
      <c r="L150" s="21"/>
      <c r="M150" s="21"/>
      <c r="N150" s="21"/>
      <c r="O150" s="21"/>
      <c r="P150" s="21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</row>
    <row r="151" ht="15.75" customHeight="1">
      <c r="G151" s="25"/>
      <c r="H151" s="25"/>
      <c r="I151" s="21"/>
      <c r="J151" s="21"/>
      <c r="K151" s="21"/>
      <c r="L151" s="21"/>
      <c r="M151" s="21"/>
      <c r="N151" s="21"/>
      <c r="O151" s="21"/>
      <c r="P151" s="21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29" t="s">
        <v>0</v>
      </c>
      <c r="B1" s="29" t="s">
        <v>1</v>
      </c>
      <c r="C1" s="29" t="s">
        <v>2</v>
      </c>
      <c r="D1" s="29" t="s">
        <v>442</v>
      </c>
      <c r="E1" s="29" t="s">
        <v>443</v>
      </c>
      <c r="F1" s="29" t="s">
        <v>444</v>
      </c>
      <c r="G1" s="1" t="s">
        <v>445</v>
      </c>
      <c r="H1" s="30" t="s">
        <v>446</v>
      </c>
      <c r="I1" s="31" t="s">
        <v>447</v>
      </c>
      <c r="J1" s="30" t="s">
        <v>448</v>
      </c>
      <c r="K1" s="31" t="s">
        <v>449</v>
      </c>
      <c r="L1" s="32" t="s">
        <v>450</v>
      </c>
      <c r="M1" s="33" t="s">
        <v>14</v>
      </c>
    </row>
    <row r="2" ht="15.75" customHeight="1">
      <c r="A2" s="5">
        <v>1856.0</v>
      </c>
      <c r="B2" s="6" t="s">
        <v>36</v>
      </c>
      <c r="C2" s="7" t="str">
        <f t="shared" ref="C2:C25" si="1">CONCATENATE(D2,"_",E2,"_",G2)</f>
        <v>PMP-01_BS VI HSD_DISPATCH</v>
      </c>
      <c r="D2" s="34" t="s">
        <v>451</v>
      </c>
      <c r="E2" s="34" t="s">
        <v>84</v>
      </c>
      <c r="F2" s="34" t="s">
        <v>452</v>
      </c>
      <c r="G2" s="9" t="s">
        <v>453</v>
      </c>
      <c r="H2" s="22" t="s">
        <v>454</v>
      </c>
      <c r="I2" s="35">
        <v>0.0</v>
      </c>
      <c r="J2" s="22" t="s">
        <v>455</v>
      </c>
      <c r="K2" s="35">
        <v>1.0</v>
      </c>
      <c r="L2" s="22" t="s">
        <v>456</v>
      </c>
      <c r="M2" s="35">
        <v>0.0</v>
      </c>
    </row>
    <row r="3" ht="15.75" customHeight="1">
      <c r="A3" s="5">
        <v>1856.0</v>
      </c>
      <c r="B3" s="6" t="s">
        <v>36</v>
      </c>
      <c r="C3" s="7" t="str">
        <f t="shared" si="1"/>
        <v>PMP-02_BS VI HSD_DISPATCH</v>
      </c>
      <c r="D3" s="34" t="s">
        <v>457</v>
      </c>
      <c r="E3" s="34" t="s">
        <v>84</v>
      </c>
      <c r="F3" s="34" t="s">
        <v>452</v>
      </c>
      <c r="G3" s="9" t="s">
        <v>453</v>
      </c>
      <c r="H3" s="22" t="s">
        <v>458</v>
      </c>
      <c r="I3" s="35">
        <v>0.0</v>
      </c>
      <c r="J3" s="22" t="s">
        <v>459</v>
      </c>
      <c r="K3" s="35">
        <v>1.0</v>
      </c>
      <c r="L3" s="36" t="s">
        <v>460</v>
      </c>
      <c r="M3" s="35">
        <v>0.0</v>
      </c>
    </row>
    <row r="4" ht="15.75" customHeight="1">
      <c r="A4" s="5">
        <v>1856.0</v>
      </c>
      <c r="B4" s="6" t="s">
        <v>36</v>
      </c>
      <c r="C4" s="7" t="str">
        <f t="shared" si="1"/>
        <v>PMP-03_BS VI HSD_DISPATCH</v>
      </c>
      <c r="D4" s="34" t="s">
        <v>461</v>
      </c>
      <c r="E4" s="34" t="s">
        <v>84</v>
      </c>
      <c r="F4" s="34" t="s">
        <v>452</v>
      </c>
      <c r="G4" s="9" t="s">
        <v>453</v>
      </c>
      <c r="H4" s="22" t="s">
        <v>462</v>
      </c>
      <c r="I4" s="35">
        <v>0.0</v>
      </c>
      <c r="J4" s="22" t="s">
        <v>463</v>
      </c>
      <c r="K4" s="35">
        <v>1.0</v>
      </c>
      <c r="L4" s="36" t="s">
        <v>464</v>
      </c>
      <c r="M4" s="35">
        <v>0.0</v>
      </c>
    </row>
    <row r="5" ht="15.75" customHeight="1">
      <c r="A5" s="5">
        <v>1856.0</v>
      </c>
      <c r="B5" s="6" t="s">
        <v>36</v>
      </c>
      <c r="C5" s="7" t="str">
        <f t="shared" si="1"/>
        <v>PMP-04_BS VI HSD_DISPATCH</v>
      </c>
      <c r="D5" s="34" t="s">
        <v>465</v>
      </c>
      <c r="E5" s="34" t="s">
        <v>84</v>
      </c>
      <c r="F5" s="34" t="s">
        <v>466</v>
      </c>
      <c r="G5" s="9" t="s">
        <v>453</v>
      </c>
      <c r="H5" s="22" t="s">
        <v>467</v>
      </c>
      <c r="I5" s="35">
        <v>0.0</v>
      </c>
      <c r="J5" s="22" t="s">
        <v>468</v>
      </c>
      <c r="K5" s="35">
        <v>1.0</v>
      </c>
      <c r="L5" s="36" t="s">
        <v>469</v>
      </c>
      <c r="M5" s="35">
        <v>0.0</v>
      </c>
    </row>
    <row r="6" ht="15.75" customHeight="1">
      <c r="A6" s="5">
        <v>1856.0</v>
      </c>
      <c r="B6" s="6" t="s">
        <v>36</v>
      </c>
      <c r="C6" s="7" t="str">
        <f t="shared" si="1"/>
        <v>PMP-05_BS VI MS_DISPATCH</v>
      </c>
      <c r="D6" s="34" t="s">
        <v>470</v>
      </c>
      <c r="E6" s="34" t="s">
        <v>102</v>
      </c>
      <c r="F6" s="34" t="s">
        <v>452</v>
      </c>
      <c r="G6" s="9" t="s">
        <v>453</v>
      </c>
      <c r="H6" s="22" t="s">
        <v>471</v>
      </c>
      <c r="I6" s="35">
        <v>0.0</v>
      </c>
      <c r="J6" s="22" t="s">
        <v>472</v>
      </c>
      <c r="K6" s="35">
        <v>1.0</v>
      </c>
      <c r="L6" s="36" t="s">
        <v>473</v>
      </c>
      <c r="M6" s="35">
        <v>0.0</v>
      </c>
    </row>
    <row r="7" ht="15.75" customHeight="1">
      <c r="A7" s="5">
        <v>1856.0</v>
      </c>
      <c r="B7" s="6" t="s">
        <v>36</v>
      </c>
      <c r="C7" s="7" t="str">
        <f t="shared" si="1"/>
        <v>PMP-06_BS VI MS_DISPATCH</v>
      </c>
      <c r="D7" s="34" t="s">
        <v>474</v>
      </c>
      <c r="E7" s="34" t="s">
        <v>102</v>
      </c>
      <c r="F7" s="34" t="s">
        <v>452</v>
      </c>
      <c r="G7" s="9" t="s">
        <v>453</v>
      </c>
      <c r="H7" s="22" t="s">
        <v>475</v>
      </c>
      <c r="I7" s="35">
        <v>0.0</v>
      </c>
      <c r="J7" s="22" t="s">
        <v>476</v>
      </c>
      <c r="K7" s="35">
        <v>1.0</v>
      </c>
      <c r="L7" s="36" t="s">
        <v>477</v>
      </c>
      <c r="M7" s="35">
        <v>0.0</v>
      </c>
    </row>
    <row r="8" ht="15.75" customHeight="1">
      <c r="A8" s="5">
        <v>1856.0</v>
      </c>
      <c r="B8" s="6" t="s">
        <v>36</v>
      </c>
      <c r="C8" s="7" t="str">
        <f t="shared" si="1"/>
        <v>PMP-07_BS VI MS_DISPATCH</v>
      </c>
      <c r="D8" s="34" t="s">
        <v>478</v>
      </c>
      <c r="E8" s="34" t="s">
        <v>102</v>
      </c>
      <c r="F8" s="34" t="s">
        <v>452</v>
      </c>
      <c r="G8" s="9" t="s">
        <v>453</v>
      </c>
      <c r="H8" s="22" t="s">
        <v>479</v>
      </c>
      <c r="I8" s="35">
        <v>0.0</v>
      </c>
      <c r="J8" s="22" t="s">
        <v>480</v>
      </c>
      <c r="K8" s="35">
        <v>1.0</v>
      </c>
      <c r="L8" s="36" t="s">
        <v>481</v>
      </c>
      <c r="M8" s="35">
        <v>0.0</v>
      </c>
    </row>
    <row r="9" ht="15.75" customHeight="1">
      <c r="A9" s="5">
        <v>1856.0</v>
      </c>
      <c r="B9" s="6" t="s">
        <v>36</v>
      </c>
      <c r="C9" s="7" t="str">
        <f t="shared" si="1"/>
        <v>PMP-08_BS VI MS_DISPATCH</v>
      </c>
      <c r="D9" s="34" t="s">
        <v>482</v>
      </c>
      <c r="E9" s="34" t="s">
        <v>102</v>
      </c>
      <c r="F9" s="34" t="s">
        <v>466</v>
      </c>
      <c r="G9" s="9" t="s">
        <v>453</v>
      </c>
      <c r="H9" s="22" t="s">
        <v>483</v>
      </c>
      <c r="I9" s="35">
        <v>0.0</v>
      </c>
      <c r="J9" s="22" t="s">
        <v>484</v>
      </c>
      <c r="K9" s="35">
        <v>1.0</v>
      </c>
      <c r="L9" s="36" t="s">
        <v>485</v>
      </c>
      <c r="M9" s="35">
        <v>0.0</v>
      </c>
    </row>
    <row r="10" ht="15.75" customHeight="1">
      <c r="A10" s="5">
        <v>1856.0</v>
      </c>
      <c r="B10" s="6" t="s">
        <v>36</v>
      </c>
      <c r="C10" s="7" t="str">
        <f t="shared" si="1"/>
        <v>PMP-09_BS VI MS_DISPATCH</v>
      </c>
      <c r="D10" s="34" t="s">
        <v>486</v>
      </c>
      <c r="E10" s="34" t="s">
        <v>102</v>
      </c>
      <c r="F10" s="34" t="s">
        <v>452</v>
      </c>
      <c r="G10" s="9" t="s">
        <v>453</v>
      </c>
      <c r="H10" s="22" t="s">
        <v>487</v>
      </c>
      <c r="I10" s="35">
        <v>0.0</v>
      </c>
      <c r="J10" s="22" t="s">
        <v>488</v>
      </c>
      <c r="K10" s="35">
        <v>1.0</v>
      </c>
      <c r="L10" s="36" t="s">
        <v>489</v>
      </c>
      <c r="M10" s="35">
        <v>0.0</v>
      </c>
    </row>
    <row r="11" ht="15.75" customHeight="1">
      <c r="A11" s="5">
        <v>1856.0</v>
      </c>
      <c r="B11" s="6" t="s">
        <v>36</v>
      </c>
      <c r="C11" s="7" t="str">
        <f t="shared" si="1"/>
        <v>PMP-11_SKO_DISPATCH</v>
      </c>
      <c r="D11" s="34" t="s">
        <v>490</v>
      </c>
      <c r="E11" s="34" t="s">
        <v>491</v>
      </c>
      <c r="F11" s="34" t="s">
        <v>466</v>
      </c>
      <c r="G11" s="9" t="s">
        <v>453</v>
      </c>
      <c r="H11" s="22" t="s">
        <v>492</v>
      </c>
      <c r="I11" s="35">
        <v>0.0</v>
      </c>
      <c r="J11" s="22" t="s">
        <v>493</v>
      </c>
      <c r="K11" s="35">
        <v>1.0</v>
      </c>
      <c r="L11" s="36" t="s">
        <v>494</v>
      </c>
      <c r="M11" s="35">
        <v>0.0</v>
      </c>
    </row>
    <row r="12" ht="15.75" customHeight="1">
      <c r="A12" s="5">
        <v>1856.0</v>
      </c>
      <c r="B12" s="6" t="s">
        <v>36</v>
      </c>
      <c r="C12" s="7" t="str">
        <f t="shared" si="1"/>
        <v>PMP-18_ETHANOL_DISPATCH</v>
      </c>
      <c r="D12" s="34" t="s">
        <v>495</v>
      </c>
      <c r="E12" s="34" t="s">
        <v>137</v>
      </c>
      <c r="F12" s="34" t="s">
        <v>452</v>
      </c>
      <c r="G12" s="9" t="s">
        <v>453</v>
      </c>
      <c r="H12" s="22" t="s">
        <v>496</v>
      </c>
      <c r="I12" s="35">
        <v>0.0</v>
      </c>
      <c r="J12" s="22" t="s">
        <v>497</v>
      </c>
      <c r="K12" s="35">
        <v>1.0</v>
      </c>
      <c r="L12" s="36" t="s">
        <v>498</v>
      </c>
      <c r="M12" s="35">
        <v>0.0</v>
      </c>
    </row>
    <row r="13" ht="15.75" customHeight="1">
      <c r="A13" s="5">
        <v>1856.0</v>
      </c>
      <c r="B13" s="6" t="s">
        <v>36</v>
      </c>
      <c r="C13" s="7" t="str">
        <f t="shared" si="1"/>
        <v>PMP-19_ETHANOL_DISPATCH</v>
      </c>
      <c r="D13" s="34" t="s">
        <v>499</v>
      </c>
      <c r="E13" s="34" t="s">
        <v>137</v>
      </c>
      <c r="F13" s="34" t="s">
        <v>452</v>
      </c>
      <c r="G13" s="9" t="s">
        <v>453</v>
      </c>
      <c r="H13" s="22" t="s">
        <v>500</v>
      </c>
      <c r="I13" s="35">
        <v>0.0</v>
      </c>
      <c r="J13" s="22" t="s">
        <v>501</v>
      </c>
      <c r="K13" s="35">
        <v>1.0</v>
      </c>
      <c r="L13" s="36" t="s">
        <v>502</v>
      </c>
      <c r="M13" s="35">
        <v>0.0</v>
      </c>
    </row>
    <row r="14" ht="15.75" customHeight="1">
      <c r="A14" s="5">
        <v>1856.0</v>
      </c>
      <c r="B14" s="6" t="s">
        <v>36</v>
      </c>
      <c r="C14" s="7" t="str">
        <f t="shared" si="1"/>
        <v>PMP-20_POWERMS_DISPATCH</v>
      </c>
      <c r="D14" s="34" t="s">
        <v>503</v>
      </c>
      <c r="E14" s="34" t="s">
        <v>504</v>
      </c>
      <c r="F14" s="34" t="s">
        <v>452</v>
      </c>
      <c r="G14" s="9" t="s">
        <v>453</v>
      </c>
      <c r="H14" s="22" t="s">
        <v>505</v>
      </c>
      <c r="I14" s="35">
        <v>0.0</v>
      </c>
      <c r="J14" s="22" t="s">
        <v>506</v>
      </c>
      <c r="K14" s="35">
        <v>1.0</v>
      </c>
      <c r="L14" s="36" t="s">
        <v>507</v>
      </c>
      <c r="M14" s="35">
        <v>0.0</v>
      </c>
    </row>
    <row r="15" ht="15.75" customHeight="1">
      <c r="A15" s="5">
        <v>1856.0</v>
      </c>
      <c r="B15" s="6" t="s">
        <v>36</v>
      </c>
      <c r="C15" s="7" t="str">
        <f t="shared" si="1"/>
        <v>PMP-21_TURBOHSD_DISPATCH</v>
      </c>
      <c r="D15" s="34" t="s">
        <v>508</v>
      </c>
      <c r="E15" s="34" t="s">
        <v>509</v>
      </c>
      <c r="F15" s="34" t="s">
        <v>452</v>
      </c>
      <c r="G15" s="9" t="s">
        <v>453</v>
      </c>
      <c r="H15" s="22" t="s">
        <v>510</v>
      </c>
      <c r="I15" s="35">
        <v>0.0</v>
      </c>
      <c r="J15" s="22" t="s">
        <v>511</v>
      </c>
      <c r="K15" s="35">
        <v>1.0</v>
      </c>
      <c r="L15" s="36" t="s">
        <v>512</v>
      </c>
      <c r="M15" s="35">
        <v>0.0</v>
      </c>
    </row>
    <row r="16" ht="15.75" customHeight="1">
      <c r="A16" s="5">
        <v>1856.0</v>
      </c>
      <c r="B16" s="6" t="s">
        <v>36</v>
      </c>
      <c r="C16" s="7" t="str">
        <f t="shared" si="1"/>
        <v>PMP-22_POWERMS_DISPATCH</v>
      </c>
      <c r="D16" s="34" t="s">
        <v>513</v>
      </c>
      <c r="E16" s="34" t="s">
        <v>504</v>
      </c>
      <c r="F16" s="34" t="s">
        <v>452</v>
      </c>
      <c r="G16" s="9" t="s">
        <v>453</v>
      </c>
      <c r="H16" s="22" t="s">
        <v>514</v>
      </c>
      <c r="I16" s="35">
        <v>0.0</v>
      </c>
      <c r="J16" s="22" t="s">
        <v>515</v>
      </c>
      <c r="K16" s="35">
        <v>1.0</v>
      </c>
      <c r="L16" s="36" t="s">
        <v>516</v>
      </c>
      <c r="M16" s="35">
        <v>0.0</v>
      </c>
    </row>
    <row r="17" ht="15.75" customHeight="1">
      <c r="A17" s="5">
        <v>1856.0</v>
      </c>
      <c r="B17" s="6" t="s">
        <v>36</v>
      </c>
      <c r="C17" s="7" t="str">
        <f t="shared" si="1"/>
        <v>PMP-23_TURBOHSD_DISPATCH</v>
      </c>
      <c r="D17" s="34" t="s">
        <v>517</v>
      </c>
      <c r="E17" s="34" t="s">
        <v>509</v>
      </c>
      <c r="F17" s="34" t="s">
        <v>452</v>
      </c>
      <c r="G17" s="9" t="s">
        <v>453</v>
      </c>
      <c r="H17" s="22" t="s">
        <v>518</v>
      </c>
      <c r="I17" s="35">
        <v>0.0</v>
      </c>
      <c r="J17" s="22" t="s">
        <v>519</v>
      </c>
      <c r="K17" s="35">
        <v>1.0</v>
      </c>
      <c r="L17" s="36" t="s">
        <v>520</v>
      </c>
      <c r="M17" s="35">
        <v>0.0</v>
      </c>
    </row>
    <row r="18" ht="15.75" customHeight="1">
      <c r="A18" s="5">
        <v>1856.0</v>
      </c>
      <c r="B18" s="6" t="s">
        <v>36</v>
      </c>
      <c r="C18" s="7" t="str">
        <f t="shared" si="1"/>
        <v>PMP-24_BS VI HSD_DISPATCH</v>
      </c>
      <c r="D18" s="34" t="s">
        <v>521</v>
      </c>
      <c r="E18" s="34" t="s">
        <v>84</v>
      </c>
      <c r="F18" s="34" t="s">
        <v>466</v>
      </c>
      <c r="G18" s="9" t="s">
        <v>453</v>
      </c>
      <c r="H18" s="22" t="s">
        <v>522</v>
      </c>
      <c r="I18" s="35">
        <v>0.0</v>
      </c>
      <c r="J18" s="22" t="s">
        <v>523</v>
      </c>
      <c r="K18" s="35">
        <v>1.0</v>
      </c>
      <c r="L18" s="36" t="s">
        <v>524</v>
      </c>
      <c r="M18" s="35">
        <v>0.0</v>
      </c>
    </row>
    <row r="19" ht="15.75" customHeight="1">
      <c r="A19" s="5">
        <v>1856.0</v>
      </c>
      <c r="B19" s="6" t="s">
        <v>36</v>
      </c>
      <c r="C19" s="7" t="str">
        <f t="shared" si="1"/>
        <v>PMP-25_BS VI MS_DISPATCH</v>
      </c>
      <c r="D19" s="34" t="s">
        <v>525</v>
      </c>
      <c r="E19" s="34" t="s">
        <v>102</v>
      </c>
      <c r="F19" s="34" t="s">
        <v>466</v>
      </c>
      <c r="G19" s="9" t="s">
        <v>453</v>
      </c>
      <c r="H19" s="22" t="s">
        <v>526</v>
      </c>
      <c r="I19" s="35">
        <v>0.0</v>
      </c>
      <c r="J19" s="22" t="s">
        <v>527</v>
      </c>
      <c r="K19" s="35">
        <v>1.0</v>
      </c>
      <c r="L19" s="36" t="s">
        <v>528</v>
      </c>
      <c r="M19" s="35">
        <v>0.0</v>
      </c>
    </row>
    <row r="20" ht="15.75" customHeight="1">
      <c r="A20" s="5">
        <v>1856.0</v>
      </c>
      <c r="B20" s="6" t="s">
        <v>36</v>
      </c>
      <c r="C20" s="7" t="str">
        <f t="shared" si="1"/>
        <v>PMP-26_ETHANOL_DISPATCH</v>
      </c>
      <c r="D20" s="34" t="s">
        <v>529</v>
      </c>
      <c r="E20" s="34" t="s">
        <v>137</v>
      </c>
      <c r="F20" s="34" t="s">
        <v>452</v>
      </c>
      <c r="G20" s="9" t="s">
        <v>453</v>
      </c>
      <c r="H20" s="22" t="s">
        <v>530</v>
      </c>
      <c r="I20" s="35">
        <v>0.0</v>
      </c>
      <c r="J20" s="22" t="s">
        <v>531</v>
      </c>
      <c r="K20" s="35">
        <v>1.0</v>
      </c>
      <c r="L20" s="36" t="s">
        <v>532</v>
      </c>
      <c r="M20" s="35">
        <v>0.0</v>
      </c>
    </row>
    <row r="21" ht="15.75" customHeight="1">
      <c r="A21" s="5">
        <v>1856.0</v>
      </c>
      <c r="B21" s="6" t="s">
        <v>36</v>
      </c>
      <c r="C21" s="7" t="str">
        <f t="shared" si="1"/>
        <v>PMP-27_BS VI HSD_DISPATCH</v>
      </c>
      <c r="D21" s="34" t="s">
        <v>533</v>
      </c>
      <c r="E21" s="34" t="s">
        <v>84</v>
      </c>
      <c r="F21" s="34" t="s">
        <v>452</v>
      </c>
      <c r="G21" s="9" t="s">
        <v>453</v>
      </c>
      <c r="H21" s="22" t="s">
        <v>534</v>
      </c>
      <c r="I21" s="35">
        <v>0.0</v>
      </c>
      <c r="J21" s="22" t="s">
        <v>535</v>
      </c>
      <c r="K21" s="35">
        <v>1.0</v>
      </c>
      <c r="L21" s="36" t="s">
        <v>536</v>
      </c>
      <c r="M21" s="35">
        <v>0.0</v>
      </c>
    </row>
    <row r="22" ht="15.75" customHeight="1">
      <c r="A22" s="5">
        <v>1856.0</v>
      </c>
      <c r="B22" s="6" t="s">
        <v>36</v>
      </c>
      <c r="C22" s="7" t="str">
        <f t="shared" si="1"/>
        <v>PMP-28_ATF_DISPATCH</v>
      </c>
      <c r="D22" s="34" t="s">
        <v>537</v>
      </c>
      <c r="E22" s="34" t="s">
        <v>39</v>
      </c>
      <c r="F22" s="34" t="s">
        <v>452</v>
      </c>
      <c r="G22" s="9" t="s">
        <v>453</v>
      </c>
      <c r="H22" s="22" t="s">
        <v>538</v>
      </c>
      <c r="I22" s="35">
        <v>0.0</v>
      </c>
      <c r="J22" s="22" t="s">
        <v>539</v>
      </c>
      <c r="K22" s="35">
        <v>1.0</v>
      </c>
      <c r="L22" s="36" t="s">
        <v>540</v>
      </c>
      <c r="M22" s="35">
        <v>0.0</v>
      </c>
    </row>
    <row r="23" ht="15.75" customHeight="1">
      <c r="A23" s="5">
        <v>1856.0</v>
      </c>
      <c r="B23" s="6" t="s">
        <v>36</v>
      </c>
      <c r="C23" s="7" t="str">
        <f t="shared" si="1"/>
        <v>PMP-29_ATF_DISPATCH</v>
      </c>
      <c r="D23" s="34" t="s">
        <v>541</v>
      </c>
      <c r="E23" s="34" t="s">
        <v>39</v>
      </c>
      <c r="F23" s="34" t="s">
        <v>452</v>
      </c>
      <c r="G23" s="9" t="s">
        <v>453</v>
      </c>
      <c r="H23" s="22" t="s">
        <v>542</v>
      </c>
      <c r="I23" s="35">
        <v>0.0</v>
      </c>
      <c r="J23" s="22" t="s">
        <v>543</v>
      </c>
      <c r="K23" s="35">
        <v>1.0</v>
      </c>
      <c r="L23" s="36" t="s">
        <v>544</v>
      </c>
      <c r="M23" s="35">
        <v>0.0</v>
      </c>
    </row>
    <row r="24" ht="15.75" customHeight="1">
      <c r="A24" s="5">
        <v>1856.0</v>
      </c>
      <c r="B24" s="6" t="s">
        <v>36</v>
      </c>
      <c r="C24" s="7" t="str">
        <f t="shared" si="1"/>
        <v>PMP-30_ATF_DISPATCH</v>
      </c>
      <c r="D24" s="34" t="s">
        <v>545</v>
      </c>
      <c r="E24" s="34" t="s">
        <v>39</v>
      </c>
      <c r="F24" s="34" t="s">
        <v>452</v>
      </c>
      <c r="G24" s="9" t="s">
        <v>453</v>
      </c>
      <c r="H24" s="22" t="s">
        <v>546</v>
      </c>
      <c r="I24" s="35">
        <v>0.0</v>
      </c>
      <c r="J24" s="22" t="s">
        <v>547</v>
      </c>
      <c r="K24" s="35">
        <v>1.0</v>
      </c>
      <c r="L24" s="28"/>
      <c r="M24" s="28"/>
    </row>
    <row r="25" ht="15.75" customHeight="1">
      <c r="A25" s="5">
        <v>1856.0</v>
      </c>
      <c r="B25" s="6" t="s">
        <v>36</v>
      </c>
      <c r="C25" s="7" t="str">
        <f t="shared" si="1"/>
        <v>PMP-31_ATF_DISPATCH</v>
      </c>
      <c r="D25" s="34" t="s">
        <v>548</v>
      </c>
      <c r="E25" s="34" t="s">
        <v>39</v>
      </c>
      <c r="F25" s="34" t="s">
        <v>452</v>
      </c>
      <c r="G25" s="9" t="s">
        <v>453</v>
      </c>
      <c r="H25" s="22" t="s">
        <v>549</v>
      </c>
      <c r="I25" s="35">
        <v>0.0</v>
      </c>
      <c r="J25" s="22" t="s">
        <v>550</v>
      </c>
      <c r="K25" s="35">
        <v>1.0</v>
      </c>
      <c r="L25" s="28"/>
      <c r="M25" s="28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21.63"/>
    <col customWidth="1" min="4" max="4" width="7.75"/>
    <col customWidth="1" min="5" max="5" width="8.63"/>
    <col customWidth="1" min="6" max="6" width="9.88"/>
    <col customWidth="1" min="7" max="7" width="13.38"/>
    <col customWidth="1" min="8" max="8" width="15.63"/>
    <col customWidth="1" min="9" max="9" width="11.5"/>
    <col customWidth="1" min="10" max="10" width="27.0"/>
    <col customWidth="1" min="11" max="11" width="11.5"/>
    <col customWidth="1" min="12" max="12" width="40.75"/>
    <col customWidth="1" min="13" max="13" width="11.5"/>
    <col customWidth="1" min="14" max="14" width="33.88"/>
    <col customWidth="1" min="15" max="15" width="11.5"/>
    <col customWidth="1" min="16" max="16" width="16.88"/>
    <col customWidth="1" min="17" max="17" width="11.5"/>
    <col customWidth="1" min="18" max="18" width="16.88"/>
    <col customWidth="1" min="19" max="19" width="11.5"/>
    <col customWidth="1" min="20" max="20" width="37.38"/>
    <col customWidth="1" min="21" max="21" width="11.5"/>
    <col customWidth="1" min="22" max="22" width="17.75"/>
    <col customWidth="1" min="23" max="23" width="11.5"/>
    <col customWidth="1" min="24" max="24" width="21.5"/>
    <col customWidth="1" min="25" max="25" width="11.5"/>
    <col customWidth="1" min="26" max="26" width="36.88"/>
    <col customWidth="1" min="27" max="27" width="11.5"/>
  </cols>
  <sheetData>
    <row r="1">
      <c r="A1" s="37" t="s">
        <v>0</v>
      </c>
      <c r="B1" s="37" t="s">
        <v>1</v>
      </c>
      <c r="C1" s="37" t="s">
        <v>2</v>
      </c>
      <c r="D1" s="37" t="s">
        <v>442</v>
      </c>
      <c r="E1" s="37" t="s">
        <v>443</v>
      </c>
      <c r="F1" s="37" t="s">
        <v>444</v>
      </c>
      <c r="G1" s="37" t="s">
        <v>551</v>
      </c>
      <c r="H1" s="38" t="s">
        <v>446</v>
      </c>
      <c r="I1" s="38" t="s">
        <v>7</v>
      </c>
      <c r="J1" s="38" t="s">
        <v>448</v>
      </c>
      <c r="K1" s="38" t="s">
        <v>7</v>
      </c>
      <c r="L1" s="38" t="s">
        <v>552</v>
      </c>
      <c r="M1" s="38" t="s">
        <v>7</v>
      </c>
      <c r="N1" s="38" t="s">
        <v>553</v>
      </c>
      <c r="O1" s="38" t="s">
        <v>7</v>
      </c>
      <c r="P1" s="38" t="s">
        <v>554</v>
      </c>
      <c r="Q1" s="38" t="s">
        <v>7</v>
      </c>
      <c r="R1" s="38" t="s">
        <v>555</v>
      </c>
      <c r="S1" s="38" t="s">
        <v>7</v>
      </c>
      <c r="T1" s="38" t="s">
        <v>556</v>
      </c>
      <c r="U1" s="38" t="s">
        <v>7</v>
      </c>
      <c r="V1" s="38" t="s">
        <v>557</v>
      </c>
      <c r="W1" s="38" t="s">
        <v>7</v>
      </c>
      <c r="X1" s="38" t="s">
        <v>558</v>
      </c>
      <c r="Y1" s="38" t="s">
        <v>7</v>
      </c>
      <c r="Z1" s="38" t="s">
        <v>559</v>
      </c>
      <c r="AA1" s="38" t="s">
        <v>7</v>
      </c>
    </row>
    <row r="2" ht="15.75" customHeight="1">
      <c r="A2" s="5">
        <v>1856.0</v>
      </c>
      <c r="B2" s="6" t="s">
        <v>36</v>
      </c>
      <c r="C2" s="7" t="str">
        <f t="shared" ref="C2:C8" si="1">CONCATENATE(D2,"_",E2,"_",G2)</f>
        <v>FWP-01_Water_DISPATCH</v>
      </c>
      <c r="D2" s="34" t="s">
        <v>560</v>
      </c>
      <c r="E2" s="34" t="s">
        <v>561</v>
      </c>
      <c r="F2" s="34" t="s">
        <v>562</v>
      </c>
      <c r="G2" s="9" t="s">
        <v>453</v>
      </c>
      <c r="H2" s="22" t="s">
        <v>563</v>
      </c>
      <c r="I2" s="35">
        <v>0.0</v>
      </c>
      <c r="J2" s="22" t="s">
        <v>564</v>
      </c>
      <c r="K2" s="35">
        <v>1.0</v>
      </c>
      <c r="L2" s="9" t="s">
        <v>565</v>
      </c>
      <c r="M2" s="35">
        <v>0.0</v>
      </c>
      <c r="N2" s="9" t="s">
        <v>566</v>
      </c>
      <c r="O2" s="35">
        <v>0.0</v>
      </c>
      <c r="P2" s="9" t="s">
        <v>567</v>
      </c>
      <c r="Q2" s="35">
        <v>0.0</v>
      </c>
      <c r="R2" s="7"/>
      <c r="S2" s="7"/>
      <c r="T2" s="9" t="s">
        <v>568</v>
      </c>
      <c r="U2" s="35">
        <v>0.0</v>
      </c>
      <c r="V2" s="9" t="s">
        <v>569</v>
      </c>
      <c r="W2" s="35">
        <v>0.0</v>
      </c>
      <c r="X2" s="7"/>
      <c r="Y2" s="7"/>
      <c r="Z2" s="9" t="s">
        <v>570</v>
      </c>
      <c r="AA2" s="35">
        <v>0.0</v>
      </c>
    </row>
    <row r="3" ht="15.75" customHeight="1">
      <c r="A3" s="5">
        <v>1856.0</v>
      </c>
      <c r="B3" s="6" t="s">
        <v>36</v>
      </c>
      <c r="C3" s="7" t="str">
        <f t="shared" si="1"/>
        <v>FWP-02_Water_DISPATCH</v>
      </c>
      <c r="D3" s="39" t="s">
        <v>571</v>
      </c>
      <c r="E3" s="39" t="s">
        <v>561</v>
      </c>
      <c r="F3" s="34" t="s">
        <v>562</v>
      </c>
      <c r="G3" s="20" t="s">
        <v>453</v>
      </c>
      <c r="H3" s="36" t="s">
        <v>572</v>
      </c>
      <c r="I3" s="35">
        <v>0.0</v>
      </c>
      <c r="J3" s="36" t="s">
        <v>573</v>
      </c>
      <c r="K3" s="35">
        <v>1.0</v>
      </c>
      <c r="L3" s="20" t="s">
        <v>574</v>
      </c>
      <c r="M3" s="35">
        <v>0.0</v>
      </c>
      <c r="N3" s="20" t="s">
        <v>575</v>
      </c>
      <c r="O3" s="35">
        <v>0.0</v>
      </c>
      <c r="P3" s="20" t="s">
        <v>576</v>
      </c>
      <c r="Q3" s="35">
        <v>0.0</v>
      </c>
      <c r="R3" s="28"/>
      <c r="S3" s="28"/>
      <c r="T3" s="20" t="s">
        <v>577</v>
      </c>
      <c r="U3" s="35">
        <v>0.0</v>
      </c>
      <c r="V3" s="20" t="s">
        <v>578</v>
      </c>
      <c r="W3" s="35">
        <v>0.0</v>
      </c>
      <c r="X3" s="28"/>
      <c r="Y3" s="28"/>
      <c r="Z3" s="20" t="s">
        <v>579</v>
      </c>
      <c r="AA3" s="35">
        <v>0.0</v>
      </c>
    </row>
    <row r="4" ht="15.75" customHeight="1">
      <c r="A4" s="5">
        <v>1856.0</v>
      </c>
      <c r="B4" s="6" t="s">
        <v>36</v>
      </c>
      <c r="C4" s="7" t="str">
        <f t="shared" si="1"/>
        <v>FWP-03_Water_DISPATCH</v>
      </c>
      <c r="D4" s="39" t="s">
        <v>580</v>
      </c>
      <c r="E4" s="39" t="s">
        <v>561</v>
      </c>
      <c r="F4" s="34" t="s">
        <v>562</v>
      </c>
      <c r="G4" s="20" t="s">
        <v>453</v>
      </c>
      <c r="H4" s="36" t="s">
        <v>581</v>
      </c>
      <c r="I4" s="35">
        <v>0.0</v>
      </c>
      <c r="J4" s="36" t="s">
        <v>582</v>
      </c>
      <c r="K4" s="35">
        <v>1.0</v>
      </c>
      <c r="L4" s="20" t="s">
        <v>583</v>
      </c>
      <c r="M4" s="35">
        <v>0.0</v>
      </c>
      <c r="N4" s="20" t="s">
        <v>584</v>
      </c>
      <c r="O4" s="35">
        <v>0.0</v>
      </c>
      <c r="P4" s="20" t="s">
        <v>585</v>
      </c>
      <c r="Q4" s="35">
        <v>0.0</v>
      </c>
      <c r="R4" s="28"/>
      <c r="S4" s="28"/>
      <c r="T4" s="20" t="s">
        <v>586</v>
      </c>
      <c r="U4" s="35">
        <v>0.0</v>
      </c>
      <c r="V4" s="20" t="s">
        <v>587</v>
      </c>
      <c r="W4" s="35">
        <v>0.0</v>
      </c>
      <c r="X4" s="28"/>
      <c r="Y4" s="28"/>
      <c r="Z4" s="20" t="s">
        <v>588</v>
      </c>
      <c r="AA4" s="35">
        <v>0.0</v>
      </c>
    </row>
    <row r="5" ht="15.75" customHeight="1">
      <c r="A5" s="5">
        <v>1856.0</v>
      </c>
      <c r="B5" s="6" t="s">
        <v>36</v>
      </c>
      <c r="C5" s="7" t="str">
        <f t="shared" si="1"/>
        <v>JCY-01_Jockey_DISPATCH</v>
      </c>
      <c r="D5" s="39" t="s">
        <v>589</v>
      </c>
      <c r="E5" s="39" t="s">
        <v>590</v>
      </c>
      <c r="F5" s="34" t="s">
        <v>562</v>
      </c>
      <c r="G5" s="20" t="s">
        <v>453</v>
      </c>
      <c r="H5" s="36" t="s">
        <v>591</v>
      </c>
      <c r="I5" s="35">
        <v>0.0</v>
      </c>
      <c r="J5" s="36" t="s">
        <v>592</v>
      </c>
      <c r="K5" s="35">
        <v>1.0</v>
      </c>
      <c r="L5" s="20" t="s">
        <v>593</v>
      </c>
      <c r="M5" s="35">
        <v>0.0</v>
      </c>
      <c r="N5" s="20" t="s">
        <v>594</v>
      </c>
      <c r="O5" s="35">
        <v>0.0</v>
      </c>
      <c r="P5" s="28"/>
      <c r="Q5" s="28"/>
      <c r="R5" s="28"/>
      <c r="S5" s="28"/>
      <c r="T5" s="20" t="s">
        <v>595</v>
      </c>
      <c r="U5" s="35">
        <v>0.0</v>
      </c>
      <c r="V5" s="20" t="s">
        <v>596</v>
      </c>
      <c r="W5" s="35">
        <v>0.0</v>
      </c>
      <c r="X5" s="28"/>
      <c r="Y5" s="28"/>
      <c r="Z5" s="28"/>
      <c r="AA5" s="28"/>
    </row>
    <row r="6" ht="15.75" customHeight="1">
      <c r="A6" s="5">
        <v>1856.0</v>
      </c>
      <c r="B6" s="6" t="s">
        <v>36</v>
      </c>
      <c r="C6" s="7" t="str">
        <f t="shared" si="1"/>
        <v>JCY-02_Jockey_DISPATCH</v>
      </c>
      <c r="D6" s="39" t="s">
        <v>597</v>
      </c>
      <c r="E6" s="39" t="s">
        <v>590</v>
      </c>
      <c r="F6" s="34" t="s">
        <v>562</v>
      </c>
      <c r="G6" s="20" t="s">
        <v>453</v>
      </c>
      <c r="H6" s="36" t="s">
        <v>598</v>
      </c>
      <c r="I6" s="35">
        <v>0.0</v>
      </c>
      <c r="J6" s="36" t="s">
        <v>599</v>
      </c>
      <c r="K6" s="35">
        <v>1.0</v>
      </c>
      <c r="L6" s="20" t="s">
        <v>600</v>
      </c>
      <c r="M6" s="35">
        <v>0.0</v>
      </c>
      <c r="N6" s="20" t="s">
        <v>601</v>
      </c>
      <c r="O6" s="35">
        <v>0.0</v>
      </c>
      <c r="P6" s="28"/>
      <c r="Q6" s="28"/>
      <c r="R6" s="28"/>
      <c r="S6" s="28"/>
      <c r="T6" s="20" t="s">
        <v>602</v>
      </c>
      <c r="U6" s="35">
        <v>0.0</v>
      </c>
      <c r="V6" s="20" t="s">
        <v>603</v>
      </c>
      <c r="W6" s="35">
        <v>0.0</v>
      </c>
      <c r="X6" s="28"/>
      <c r="Y6" s="28"/>
      <c r="Z6" s="28"/>
      <c r="AA6" s="28"/>
    </row>
    <row r="7" ht="15.75" customHeight="1">
      <c r="A7" s="5">
        <v>1856.0</v>
      </c>
      <c r="B7" s="6" t="s">
        <v>36</v>
      </c>
      <c r="C7" s="7" t="str">
        <f t="shared" si="1"/>
        <v>Farthest Point PT_WATER Pressure_Near Tank no. 01</v>
      </c>
      <c r="D7" s="40" t="s">
        <v>604</v>
      </c>
      <c r="E7" s="40" t="s">
        <v>605</v>
      </c>
      <c r="F7" s="41" t="s">
        <v>606</v>
      </c>
      <c r="G7" s="40" t="s">
        <v>607</v>
      </c>
      <c r="H7" s="28"/>
      <c r="I7" s="28"/>
      <c r="J7" s="28"/>
      <c r="K7" s="28"/>
      <c r="L7" s="36" t="s">
        <v>608</v>
      </c>
      <c r="M7" s="35">
        <v>0.0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5">
        <v>1856.0</v>
      </c>
      <c r="B8" s="6" t="s">
        <v>36</v>
      </c>
      <c r="C8" s="7" t="str">
        <f t="shared" si="1"/>
        <v>Nearest Point PT_WATER Pressure_FWP pump house</v>
      </c>
      <c r="D8" s="40" t="s">
        <v>609</v>
      </c>
      <c r="E8" s="40" t="s">
        <v>605</v>
      </c>
      <c r="F8" s="41" t="s">
        <v>606</v>
      </c>
      <c r="G8" s="40" t="s">
        <v>610</v>
      </c>
      <c r="H8" s="28"/>
      <c r="I8" s="28"/>
      <c r="J8" s="28"/>
      <c r="K8" s="28"/>
      <c r="L8" s="36" t="s">
        <v>611</v>
      </c>
      <c r="M8" s="35">
        <v>0.0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15.75" customHeight="1">
      <c r="F9" s="42"/>
    </row>
    <row r="10" ht="15.75" customHeight="1">
      <c r="F10" s="42"/>
    </row>
    <row r="11" ht="15.75" customHeight="1">
      <c r="F11" s="42"/>
    </row>
    <row r="12" ht="15.75" customHeight="1">
      <c r="F12" s="42"/>
    </row>
    <row r="13" ht="15.75" customHeight="1">
      <c r="F13" s="42"/>
    </row>
    <row r="14" ht="15.75" customHeight="1">
      <c r="F14" s="42"/>
    </row>
    <row r="15" ht="15.75" customHeight="1">
      <c r="F15" s="42"/>
    </row>
    <row r="16" ht="15.75" customHeight="1">
      <c r="F16" s="42"/>
    </row>
    <row r="17" ht="15.75" customHeight="1">
      <c r="F17" s="42"/>
    </row>
    <row r="18" ht="15.75" customHeight="1">
      <c r="F18" s="42"/>
    </row>
    <row r="19" ht="15.75" customHeight="1">
      <c r="F19" s="42"/>
    </row>
    <row r="20" ht="15.75" customHeight="1">
      <c r="F20" s="42"/>
    </row>
    <row r="21" ht="15.75" customHeight="1">
      <c r="F21" s="42"/>
    </row>
    <row r="22" ht="15.75" customHeight="1">
      <c r="F22" s="42"/>
    </row>
    <row r="23" ht="15.75" customHeight="1">
      <c r="F23" s="42"/>
    </row>
    <row r="24" ht="15.75" customHeight="1">
      <c r="F24" s="42"/>
    </row>
    <row r="25" ht="15.75" customHeight="1">
      <c r="F25" s="42"/>
    </row>
    <row r="26" ht="15.75" customHeight="1">
      <c r="F26" s="42"/>
    </row>
    <row r="27" ht="15.75" customHeight="1">
      <c r="F27" s="42"/>
    </row>
    <row r="28" ht="15.75" customHeight="1">
      <c r="F28" s="42"/>
    </row>
    <row r="29" ht="15.75" customHeight="1">
      <c r="F29" s="42"/>
    </row>
    <row r="30" ht="15.75" customHeight="1">
      <c r="F30" s="42"/>
    </row>
    <row r="31" ht="15.75" customHeight="1">
      <c r="F31" s="42"/>
    </row>
    <row r="32" ht="15.75" customHeight="1">
      <c r="F32" s="42"/>
    </row>
    <row r="33" ht="15.75" customHeight="1">
      <c r="F33" s="42"/>
    </row>
    <row r="34" ht="15.75" customHeight="1">
      <c r="F34" s="42"/>
    </row>
    <row r="35" ht="15.75" customHeight="1">
      <c r="F35" s="42"/>
    </row>
    <row r="36" ht="15.75" customHeight="1">
      <c r="F36" s="42"/>
    </row>
    <row r="37" ht="15.75" customHeight="1">
      <c r="F37" s="42"/>
    </row>
    <row r="38" ht="15.75" customHeight="1">
      <c r="F38" s="42"/>
    </row>
    <row r="39" ht="15.75" customHeight="1">
      <c r="F39" s="42"/>
    </row>
    <row r="40" ht="15.75" customHeight="1">
      <c r="F40" s="42"/>
    </row>
    <row r="41" ht="15.75" customHeight="1">
      <c r="F41" s="42"/>
    </row>
    <row r="42" ht="15.75" customHeight="1">
      <c r="F42" s="42"/>
    </row>
    <row r="43" ht="15.75" customHeight="1">
      <c r="F43" s="42"/>
    </row>
    <row r="44" ht="15.75" customHeight="1">
      <c r="F44" s="42"/>
    </row>
    <row r="45" ht="15.75" customHeight="1">
      <c r="F45" s="42"/>
    </row>
    <row r="46" ht="15.75" customHeight="1">
      <c r="F46" s="42"/>
    </row>
    <row r="47" ht="15.75" customHeight="1">
      <c r="F47" s="42"/>
    </row>
    <row r="48" ht="15.75" customHeight="1">
      <c r="F48" s="42"/>
    </row>
    <row r="49" ht="15.75" customHeight="1">
      <c r="F49" s="42"/>
    </row>
    <row r="50" ht="15.75" customHeight="1">
      <c r="F50" s="42"/>
    </row>
    <row r="51" ht="15.75" customHeight="1">
      <c r="F51" s="42"/>
    </row>
    <row r="52" ht="15.75" customHeight="1">
      <c r="F52" s="42"/>
    </row>
    <row r="53" ht="15.75" customHeight="1">
      <c r="F53" s="42"/>
    </row>
    <row r="54" ht="15.75" customHeight="1">
      <c r="F54" s="42"/>
    </row>
    <row r="55" ht="15.75" customHeight="1">
      <c r="F55" s="42"/>
    </row>
    <row r="56" ht="15.75" customHeight="1">
      <c r="F56" s="42"/>
    </row>
    <row r="57" ht="15.75" customHeight="1">
      <c r="F57" s="42"/>
    </row>
    <row r="58" ht="15.75" customHeight="1">
      <c r="F58" s="42"/>
    </row>
    <row r="59" ht="15.75" customHeight="1">
      <c r="F59" s="42"/>
    </row>
    <row r="60" ht="15.75" customHeight="1">
      <c r="F60" s="42"/>
    </row>
    <row r="61" ht="15.75" customHeight="1">
      <c r="F61" s="42"/>
    </row>
    <row r="62" ht="15.75" customHeight="1">
      <c r="F62" s="42"/>
    </row>
    <row r="63" ht="15.75" customHeight="1">
      <c r="F63" s="42"/>
    </row>
    <row r="64" ht="15.75" customHeight="1">
      <c r="F64" s="42"/>
    </row>
    <row r="65" ht="15.75" customHeight="1">
      <c r="F65" s="42"/>
    </row>
    <row r="66" ht="15.75" customHeight="1">
      <c r="F66" s="42"/>
    </row>
    <row r="67" ht="15.75" customHeight="1">
      <c r="F67" s="42"/>
    </row>
    <row r="68" ht="15.75" customHeight="1">
      <c r="F68" s="42"/>
    </row>
    <row r="69" ht="15.75" customHeight="1">
      <c r="F69" s="42"/>
    </row>
    <row r="70" ht="15.75" customHeight="1">
      <c r="F70" s="42"/>
    </row>
    <row r="71" ht="15.75" customHeight="1">
      <c r="F71" s="42"/>
    </row>
    <row r="72" ht="15.75" customHeight="1">
      <c r="F72" s="42"/>
    </row>
    <row r="73" ht="15.75" customHeight="1">
      <c r="F73" s="42"/>
    </row>
    <row r="74" ht="15.75" customHeight="1">
      <c r="F74" s="42"/>
    </row>
    <row r="75" ht="15.75" customHeight="1">
      <c r="F75" s="42"/>
    </row>
    <row r="76" ht="15.75" customHeight="1">
      <c r="F76" s="42"/>
    </row>
    <row r="77" ht="15.75" customHeight="1">
      <c r="F77" s="42"/>
    </row>
    <row r="78" ht="15.75" customHeight="1">
      <c r="F78" s="42"/>
    </row>
    <row r="79" ht="15.75" customHeight="1">
      <c r="F79" s="42"/>
    </row>
    <row r="80" ht="15.75" customHeight="1">
      <c r="F80" s="42"/>
    </row>
    <row r="81" ht="15.75" customHeight="1">
      <c r="F81" s="42"/>
    </row>
    <row r="82" ht="15.75" customHeight="1">
      <c r="F82" s="42"/>
    </row>
    <row r="83" ht="15.75" customHeight="1">
      <c r="F83" s="42"/>
    </row>
    <row r="84" ht="15.75" customHeight="1">
      <c r="F84" s="42"/>
    </row>
    <row r="85" ht="15.75" customHeight="1">
      <c r="F85" s="42"/>
    </row>
    <row r="86" ht="15.75" customHeight="1">
      <c r="F86" s="42"/>
    </row>
    <row r="87" ht="15.75" customHeight="1">
      <c r="F87" s="42"/>
    </row>
    <row r="88" ht="15.75" customHeight="1">
      <c r="F88" s="42"/>
    </row>
    <row r="89" ht="15.75" customHeight="1">
      <c r="F89" s="42"/>
    </row>
    <row r="90" ht="15.75" customHeight="1">
      <c r="F90" s="42"/>
    </row>
    <row r="91" ht="15.75" customHeight="1">
      <c r="F91" s="42"/>
    </row>
    <row r="92" ht="15.75" customHeight="1">
      <c r="F92" s="42"/>
    </row>
    <row r="93" ht="15.75" customHeight="1">
      <c r="F93" s="42"/>
    </row>
    <row r="94" ht="15.75" customHeight="1">
      <c r="F94" s="42"/>
    </row>
    <row r="95" ht="15.75" customHeight="1">
      <c r="F95" s="42"/>
    </row>
    <row r="96" ht="15.75" customHeight="1">
      <c r="F96" s="42"/>
    </row>
    <row r="97" ht="15.75" customHeight="1">
      <c r="F97" s="42"/>
    </row>
    <row r="98" ht="15.75" customHeight="1">
      <c r="F98" s="42"/>
    </row>
    <row r="99" ht="15.75" customHeight="1">
      <c r="F99" s="42"/>
    </row>
    <row r="100" ht="15.75" customHeight="1">
      <c r="F100" s="42"/>
    </row>
    <row r="101" ht="15.75" customHeight="1">
      <c r="F101" s="42"/>
    </row>
    <row r="102" ht="15.75" customHeight="1">
      <c r="F102" s="42"/>
    </row>
    <row r="103" ht="15.75" customHeight="1">
      <c r="F103" s="42"/>
    </row>
    <row r="104" ht="15.75" customHeight="1">
      <c r="F104" s="42"/>
    </row>
    <row r="105" ht="15.75" customHeight="1">
      <c r="F105" s="42"/>
    </row>
    <row r="106" ht="15.75" customHeight="1">
      <c r="F106" s="42"/>
    </row>
    <row r="107" ht="15.75" customHeight="1">
      <c r="F107" s="42"/>
    </row>
    <row r="108" ht="15.75" customHeight="1">
      <c r="F108" s="42"/>
    </row>
    <row r="109" ht="15.75" customHeight="1">
      <c r="F109" s="42"/>
    </row>
    <row r="110" ht="15.75" customHeight="1">
      <c r="F110" s="42"/>
    </row>
    <row r="111" ht="15.75" customHeight="1">
      <c r="F111" s="42"/>
    </row>
    <row r="112" ht="15.75" customHeight="1">
      <c r="F112" s="42"/>
    </row>
    <row r="113" ht="15.75" customHeight="1">
      <c r="F113" s="42"/>
    </row>
    <row r="114" ht="15.75" customHeight="1">
      <c r="F114" s="42"/>
    </row>
    <row r="115" ht="15.75" customHeight="1">
      <c r="F115" s="42"/>
    </row>
    <row r="116" ht="15.75" customHeight="1">
      <c r="F116" s="42"/>
    </row>
    <row r="117" ht="15.75" customHeight="1">
      <c r="F117" s="42"/>
    </row>
    <row r="118" ht="15.75" customHeight="1">
      <c r="F118" s="42"/>
    </row>
    <row r="119" ht="15.75" customHeight="1">
      <c r="F119" s="42"/>
    </row>
    <row r="120" ht="15.75" customHeight="1">
      <c r="F120" s="42"/>
    </row>
    <row r="121" ht="15.75" customHeight="1">
      <c r="F121" s="42"/>
    </row>
    <row r="122" ht="15.75" customHeight="1">
      <c r="F122" s="42"/>
    </row>
    <row r="123" ht="15.75" customHeight="1">
      <c r="F123" s="42"/>
    </row>
    <row r="124" ht="15.75" customHeight="1">
      <c r="F124" s="42"/>
    </row>
    <row r="125" ht="15.75" customHeight="1">
      <c r="F125" s="42"/>
    </row>
    <row r="126" ht="15.75" customHeight="1">
      <c r="F126" s="42"/>
    </row>
    <row r="127" ht="15.75" customHeight="1">
      <c r="F127" s="42"/>
    </row>
    <row r="128" ht="15.75" customHeight="1">
      <c r="F128" s="42"/>
    </row>
    <row r="129" ht="15.75" customHeight="1">
      <c r="F129" s="42"/>
    </row>
    <row r="130" ht="15.75" customHeight="1">
      <c r="F130" s="42"/>
    </row>
    <row r="131" ht="15.75" customHeight="1">
      <c r="F131" s="42"/>
    </row>
    <row r="132" ht="15.75" customHeight="1">
      <c r="F132" s="42"/>
    </row>
    <row r="133" ht="15.75" customHeight="1">
      <c r="F133" s="42"/>
    </row>
    <row r="134" ht="15.75" customHeight="1">
      <c r="F134" s="42"/>
    </row>
    <row r="135" ht="15.75" customHeight="1">
      <c r="F135" s="42"/>
    </row>
    <row r="136" ht="15.75" customHeight="1">
      <c r="F136" s="42"/>
    </row>
    <row r="137" ht="15.75" customHeight="1">
      <c r="F137" s="42"/>
    </row>
    <row r="138" ht="15.75" customHeight="1">
      <c r="F138" s="42"/>
    </row>
    <row r="139" ht="15.75" customHeight="1">
      <c r="F139" s="42"/>
    </row>
    <row r="140" ht="15.75" customHeight="1">
      <c r="F140" s="42"/>
    </row>
    <row r="141" ht="15.75" customHeight="1">
      <c r="F141" s="42"/>
    </row>
    <row r="142" ht="15.75" customHeight="1">
      <c r="F142" s="42"/>
    </row>
    <row r="143" ht="15.75" customHeight="1">
      <c r="F143" s="42"/>
    </row>
    <row r="144" ht="15.75" customHeight="1">
      <c r="F144" s="42"/>
    </row>
    <row r="145" ht="15.75" customHeight="1">
      <c r="F145" s="42"/>
    </row>
    <row r="146" ht="15.75" customHeight="1">
      <c r="F146" s="42"/>
    </row>
    <row r="147" ht="15.75" customHeight="1">
      <c r="F147" s="42"/>
    </row>
    <row r="148" ht="15.75" customHeight="1">
      <c r="F148" s="42"/>
    </row>
    <row r="149" ht="15.75" customHeight="1">
      <c r="F149" s="42"/>
    </row>
    <row r="150" ht="15.75" customHeight="1">
      <c r="F150" s="42"/>
    </row>
    <row r="151" ht="15.75" customHeight="1">
      <c r="F151" s="42"/>
    </row>
    <row r="152" ht="15.75" customHeight="1">
      <c r="F152" s="42"/>
    </row>
    <row r="153" ht="15.75" customHeight="1">
      <c r="F153" s="42"/>
    </row>
    <row r="154" ht="15.75" customHeight="1">
      <c r="F154" s="42"/>
    </row>
    <row r="155" ht="15.75" customHeight="1">
      <c r="F155" s="42"/>
    </row>
    <row r="156" ht="15.75" customHeight="1">
      <c r="F156" s="42"/>
    </row>
    <row r="157" ht="15.75" customHeight="1">
      <c r="F157" s="42"/>
    </row>
    <row r="158" ht="15.75" customHeight="1">
      <c r="F158" s="42"/>
    </row>
    <row r="159" ht="15.75" customHeight="1">
      <c r="F159" s="42"/>
    </row>
    <row r="160" ht="15.75" customHeight="1">
      <c r="F160" s="42"/>
    </row>
    <row r="161" ht="15.75" customHeight="1">
      <c r="F161" s="42"/>
    </row>
    <row r="162" ht="15.75" customHeight="1">
      <c r="F162" s="42"/>
    </row>
    <row r="163" ht="15.75" customHeight="1">
      <c r="F163" s="42"/>
    </row>
    <row r="164" ht="15.75" customHeight="1">
      <c r="F164" s="42"/>
    </row>
    <row r="165" ht="15.75" customHeight="1">
      <c r="F165" s="42"/>
    </row>
    <row r="166" ht="15.75" customHeight="1">
      <c r="F166" s="42"/>
    </row>
    <row r="167" ht="15.75" customHeight="1">
      <c r="F167" s="42"/>
    </row>
    <row r="168" ht="15.75" customHeight="1">
      <c r="F168" s="42"/>
    </row>
    <row r="169" ht="15.75" customHeight="1">
      <c r="F169" s="42"/>
    </row>
    <row r="170" ht="15.75" customHeight="1">
      <c r="F170" s="42"/>
    </row>
    <row r="171" ht="15.75" customHeight="1">
      <c r="F171" s="42"/>
    </row>
    <row r="172" ht="15.75" customHeight="1">
      <c r="F172" s="42"/>
    </row>
    <row r="173" ht="15.75" customHeight="1">
      <c r="F173" s="42"/>
    </row>
    <row r="174" ht="15.75" customHeight="1">
      <c r="F174" s="42"/>
    </row>
    <row r="175" ht="15.75" customHeight="1">
      <c r="F175" s="42"/>
    </row>
    <row r="176" ht="15.75" customHeight="1">
      <c r="F176" s="42"/>
    </row>
    <row r="177" ht="15.75" customHeight="1">
      <c r="F177" s="42"/>
    </row>
    <row r="178" ht="15.75" customHeight="1">
      <c r="F178" s="42"/>
    </row>
    <row r="179" ht="15.75" customHeight="1">
      <c r="F179" s="42"/>
    </row>
    <row r="180" ht="15.75" customHeight="1">
      <c r="F180" s="42"/>
    </row>
    <row r="181" ht="15.75" customHeight="1">
      <c r="F181" s="42"/>
    </row>
    <row r="182" ht="15.75" customHeight="1">
      <c r="F182" s="42"/>
    </row>
    <row r="183" ht="15.75" customHeight="1">
      <c r="F183" s="42"/>
    </row>
    <row r="184" ht="15.75" customHeight="1">
      <c r="F184" s="42"/>
    </row>
    <row r="185" ht="15.75" customHeight="1">
      <c r="F185" s="42"/>
    </row>
    <row r="186" ht="15.75" customHeight="1">
      <c r="F186" s="42"/>
    </row>
    <row r="187" ht="15.75" customHeight="1">
      <c r="F187" s="42"/>
    </row>
    <row r="188" ht="15.75" customHeight="1">
      <c r="F188" s="42"/>
    </row>
    <row r="189" ht="15.75" customHeight="1">
      <c r="F189" s="42"/>
    </row>
    <row r="190" ht="15.75" customHeight="1">
      <c r="F190" s="42"/>
    </row>
    <row r="191" ht="15.75" customHeight="1">
      <c r="F191" s="42"/>
    </row>
    <row r="192" ht="15.75" customHeight="1">
      <c r="F192" s="42"/>
    </row>
    <row r="193" ht="15.75" customHeight="1">
      <c r="F193" s="42"/>
    </row>
    <row r="194" ht="15.75" customHeight="1">
      <c r="F194" s="42"/>
    </row>
    <row r="195" ht="15.75" customHeight="1">
      <c r="F195" s="42"/>
    </row>
    <row r="196" ht="15.75" customHeight="1">
      <c r="F196" s="42"/>
    </row>
    <row r="197" ht="15.75" customHeight="1">
      <c r="F197" s="42"/>
    </row>
    <row r="198" ht="15.75" customHeight="1">
      <c r="F198" s="42"/>
    </row>
    <row r="199" ht="15.75" customHeight="1">
      <c r="F199" s="42"/>
    </row>
    <row r="200" ht="15.75" customHeight="1">
      <c r="F200" s="42"/>
    </row>
    <row r="201" ht="15.75" customHeight="1">
      <c r="F201" s="42"/>
    </row>
    <row r="202" ht="15.75" customHeight="1">
      <c r="F202" s="42"/>
    </row>
    <row r="203" ht="15.75" customHeight="1">
      <c r="F203" s="42"/>
    </row>
    <row r="204" ht="15.75" customHeight="1">
      <c r="F204" s="42"/>
    </row>
    <row r="205" ht="15.75" customHeight="1">
      <c r="F205" s="42"/>
    </row>
    <row r="206" ht="15.75" customHeight="1">
      <c r="F206" s="42"/>
    </row>
    <row r="207" ht="15.75" customHeight="1">
      <c r="F207" s="42"/>
    </row>
    <row r="208" ht="15.75" customHeight="1">
      <c r="F208" s="42"/>
    </row>
    <row r="209" ht="15.75" customHeight="1">
      <c r="F209" s="42"/>
    </row>
    <row r="210" ht="15.75" customHeight="1">
      <c r="F210" s="42"/>
    </row>
    <row r="211" ht="15.75" customHeight="1">
      <c r="F211" s="42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43" t="s">
        <v>0</v>
      </c>
      <c r="B1" s="43" t="s">
        <v>1</v>
      </c>
      <c r="C1" s="29" t="s">
        <v>2</v>
      </c>
      <c r="D1" s="29" t="s">
        <v>612</v>
      </c>
      <c r="E1" s="29" t="s">
        <v>1</v>
      </c>
      <c r="F1" s="30" t="s">
        <v>613</v>
      </c>
      <c r="G1" s="31" t="s">
        <v>14</v>
      </c>
      <c r="H1" s="30" t="s">
        <v>614</v>
      </c>
      <c r="I1" s="31" t="s">
        <v>615</v>
      </c>
      <c r="J1" s="30" t="s">
        <v>616</v>
      </c>
      <c r="K1" s="31" t="s">
        <v>14</v>
      </c>
      <c r="L1" s="30" t="s">
        <v>617</v>
      </c>
      <c r="M1" s="31" t="s">
        <v>14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ht="15.75" customHeight="1">
      <c r="A2" s="5">
        <v>1856.0</v>
      </c>
      <c r="B2" s="6" t="s">
        <v>36</v>
      </c>
      <c r="C2" s="7" t="str">
        <f t="shared" ref="C2:C5" si="1">CONCATENATE(D2,"_",E2)</f>
        <v>UPS-01_Control Room</v>
      </c>
      <c r="D2" s="34" t="s">
        <v>618</v>
      </c>
      <c r="E2" s="44" t="s">
        <v>619</v>
      </c>
      <c r="F2" s="7"/>
      <c r="G2" s="7"/>
      <c r="H2" s="9" t="s">
        <v>620</v>
      </c>
      <c r="I2" s="35">
        <v>0.0</v>
      </c>
      <c r="J2" s="9" t="s">
        <v>621</v>
      </c>
      <c r="K2" s="35">
        <v>0.0</v>
      </c>
      <c r="L2" s="9" t="s">
        <v>622</v>
      </c>
      <c r="M2" s="35">
        <v>0.0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ht="15.75" customHeight="1">
      <c r="A3" s="5">
        <v>1856.0</v>
      </c>
      <c r="B3" s="6" t="s">
        <v>36</v>
      </c>
      <c r="C3" s="7" t="str">
        <f t="shared" si="1"/>
        <v>UPS-02_Control Room</v>
      </c>
      <c r="D3" s="34" t="s">
        <v>623</v>
      </c>
      <c r="E3" s="44" t="s">
        <v>619</v>
      </c>
      <c r="F3" s="4"/>
      <c r="G3" s="4"/>
      <c r="H3" s="9" t="s">
        <v>624</v>
      </c>
      <c r="I3" s="35">
        <v>0.0</v>
      </c>
      <c r="J3" s="9" t="s">
        <v>625</v>
      </c>
      <c r="K3" s="35">
        <v>0.0</v>
      </c>
      <c r="L3" s="9" t="s">
        <v>626</v>
      </c>
      <c r="M3" s="35">
        <v>0.0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ht="15.75" customHeight="1">
      <c r="A4" s="5">
        <v>1856.0</v>
      </c>
      <c r="B4" s="6" t="s">
        <v>36</v>
      </c>
      <c r="C4" s="7" t="str">
        <f t="shared" si="1"/>
        <v>UPS-03_Control Room</v>
      </c>
      <c r="D4" s="34" t="s">
        <v>627</v>
      </c>
      <c r="E4" s="44" t="s">
        <v>619</v>
      </c>
      <c r="F4" s="4"/>
      <c r="G4" s="4"/>
      <c r="H4" s="9" t="s">
        <v>628</v>
      </c>
      <c r="I4" s="35">
        <v>0.0</v>
      </c>
      <c r="J4" s="9" t="s">
        <v>629</v>
      </c>
      <c r="K4" s="35">
        <v>0.0</v>
      </c>
      <c r="L4" s="9" t="s">
        <v>630</v>
      </c>
      <c r="M4" s="35">
        <v>0.0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ht="15.75" customHeight="1">
      <c r="A5" s="5">
        <v>1856.0</v>
      </c>
      <c r="B5" s="6" t="s">
        <v>36</v>
      </c>
      <c r="C5" s="7" t="str">
        <f t="shared" si="1"/>
        <v>UPS-04_Control Room</v>
      </c>
      <c r="D5" s="34" t="s">
        <v>631</v>
      </c>
      <c r="E5" s="44" t="s">
        <v>619</v>
      </c>
      <c r="F5" s="4"/>
      <c r="G5" s="4"/>
      <c r="H5" s="9" t="s">
        <v>632</v>
      </c>
      <c r="I5" s="35">
        <v>0.0</v>
      </c>
      <c r="J5" s="9" t="s">
        <v>633</v>
      </c>
      <c r="K5" s="35">
        <v>0.0</v>
      </c>
      <c r="L5" s="9" t="s">
        <v>634</v>
      </c>
      <c r="M5" s="35">
        <v>0.0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ht="15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ht="15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9.63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32.75"/>
    <col customWidth="1" min="19" max="19" width="11.63"/>
    <col customWidth="1" min="20" max="20" width="9.0"/>
    <col customWidth="1" min="21" max="21" width="11.38"/>
    <col customWidth="1" min="22" max="22" width="25.5"/>
    <col customWidth="1" min="23" max="23" width="12.38"/>
    <col customWidth="1" min="24" max="24" width="9.0"/>
    <col customWidth="1" min="25" max="25" width="11.38"/>
    <col customWidth="1" min="26" max="26" width="25.5"/>
    <col customWidth="1" min="27" max="27" width="12.38"/>
    <col customWidth="1" min="28" max="28" width="9.0"/>
    <col customWidth="1" min="29" max="29" width="11.38"/>
  </cols>
  <sheetData>
    <row r="1">
      <c r="A1" s="43" t="s">
        <v>0</v>
      </c>
      <c r="B1" s="43" t="s">
        <v>1</v>
      </c>
      <c r="C1" s="29" t="s">
        <v>2</v>
      </c>
      <c r="D1" s="29" t="s">
        <v>635</v>
      </c>
      <c r="E1" s="29" t="s">
        <v>1</v>
      </c>
      <c r="F1" s="30" t="s">
        <v>636</v>
      </c>
      <c r="G1" s="31" t="s">
        <v>14</v>
      </c>
      <c r="H1" s="30" t="s">
        <v>9</v>
      </c>
      <c r="I1" s="30" t="s">
        <v>342</v>
      </c>
      <c r="J1" s="30" t="s">
        <v>637</v>
      </c>
      <c r="K1" s="31" t="s">
        <v>14</v>
      </c>
      <c r="L1" s="30" t="s">
        <v>9</v>
      </c>
      <c r="M1" s="30" t="s">
        <v>10</v>
      </c>
      <c r="N1" s="30" t="s">
        <v>638</v>
      </c>
      <c r="O1" s="31" t="s">
        <v>14</v>
      </c>
      <c r="P1" s="30" t="s">
        <v>341</v>
      </c>
      <c r="Q1" s="30" t="s">
        <v>10</v>
      </c>
      <c r="R1" s="30" t="s">
        <v>639</v>
      </c>
      <c r="S1" s="31" t="s">
        <v>14</v>
      </c>
      <c r="T1" s="30" t="s">
        <v>9</v>
      </c>
      <c r="U1" s="30" t="s">
        <v>640</v>
      </c>
      <c r="V1" s="30" t="s">
        <v>641</v>
      </c>
      <c r="W1" s="31" t="s">
        <v>14</v>
      </c>
      <c r="X1" s="30" t="s">
        <v>341</v>
      </c>
      <c r="Y1" s="30" t="s">
        <v>10</v>
      </c>
      <c r="Z1" s="30" t="s">
        <v>642</v>
      </c>
      <c r="AA1" s="31" t="s">
        <v>14</v>
      </c>
      <c r="AB1" s="30" t="s">
        <v>9</v>
      </c>
      <c r="AC1" s="30" t="s">
        <v>10</v>
      </c>
    </row>
    <row r="2" ht="15.75" customHeight="1">
      <c r="A2" s="45">
        <v>1856.0</v>
      </c>
      <c r="B2" s="46" t="s">
        <v>36</v>
      </c>
      <c r="C2" s="7" t="str">
        <f t="shared" ref="C2:C3" si="1">CONCATENATE(D2,"_",E2)</f>
        <v>GEPLC_Process PLC</v>
      </c>
      <c r="D2" s="7" t="s">
        <v>643</v>
      </c>
      <c r="E2" s="44" t="s">
        <v>644</v>
      </c>
      <c r="F2" s="9" t="s">
        <v>645</v>
      </c>
      <c r="G2" s="35">
        <v>1.0</v>
      </c>
      <c r="H2" s="41" t="s">
        <v>646</v>
      </c>
      <c r="I2" s="41" t="s">
        <v>647</v>
      </c>
      <c r="J2" s="9" t="s">
        <v>648</v>
      </c>
      <c r="K2" s="35">
        <v>1.0</v>
      </c>
      <c r="L2" s="41" t="s">
        <v>646</v>
      </c>
      <c r="M2" s="47" t="s">
        <v>649</v>
      </c>
      <c r="N2" s="9"/>
      <c r="O2" s="9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45">
        <v>1856.0</v>
      </c>
      <c r="B3" s="46" t="s">
        <v>36</v>
      </c>
      <c r="C3" s="7" t="str">
        <f t="shared" si="1"/>
        <v>SFT PLC_Safety PLC</v>
      </c>
      <c r="D3" s="41" t="s">
        <v>650</v>
      </c>
      <c r="E3" s="48" t="s">
        <v>651</v>
      </c>
      <c r="F3" s="9" t="s">
        <v>652</v>
      </c>
      <c r="G3" s="35">
        <v>1.0</v>
      </c>
      <c r="H3" s="41" t="s">
        <v>653</v>
      </c>
      <c r="I3" s="41" t="s">
        <v>647</v>
      </c>
      <c r="J3" s="9" t="s">
        <v>654</v>
      </c>
      <c r="K3" s="35">
        <v>1.0</v>
      </c>
      <c r="L3" s="41" t="s">
        <v>653</v>
      </c>
      <c r="M3" s="47" t="s">
        <v>649</v>
      </c>
      <c r="N3" s="9" t="s">
        <v>655</v>
      </c>
      <c r="O3" s="35">
        <v>0.0</v>
      </c>
      <c r="P3" s="41" t="s">
        <v>653</v>
      </c>
      <c r="Q3" s="41" t="s">
        <v>647</v>
      </c>
      <c r="R3" s="9" t="s">
        <v>656</v>
      </c>
      <c r="S3" s="35">
        <v>0.0</v>
      </c>
      <c r="T3" s="41" t="s">
        <v>653</v>
      </c>
      <c r="U3" s="47" t="s">
        <v>649</v>
      </c>
      <c r="V3" s="9" t="s">
        <v>657</v>
      </c>
      <c r="W3" s="35">
        <v>0.0</v>
      </c>
      <c r="X3" s="41" t="s">
        <v>653</v>
      </c>
      <c r="Y3" s="41" t="s">
        <v>647</v>
      </c>
      <c r="Z3" s="9" t="s">
        <v>658</v>
      </c>
      <c r="AA3" s="35">
        <v>0.0</v>
      </c>
      <c r="AB3" s="41" t="s">
        <v>653</v>
      </c>
      <c r="AC3" s="47" t="s">
        <v>649</v>
      </c>
    </row>
    <row r="4" ht="15.7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ht="15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ht="15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ht="15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9.63"/>
    <col customWidth="1" min="3" max="3" width="37.75"/>
    <col customWidth="1" min="5" max="5" width="10.5"/>
    <col customWidth="1" min="7" max="7" width="35.63"/>
    <col customWidth="1" min="9" max="9" width="35.63"/>
    <col customWidth="1" min="11" max="11" width="31.75"/>
    <col customWidth="1" min="13" max="13" width="36.75"/>
    <col customWidth="1" min="15" max="15" width="28.75"/>
    <col customWidth="1" min="17" max="17" width="29.75"/>
  </cols>
  <sheetData>
    <row r="1">
      <c r="A1" s="43" t="s">
        <v>0</v>
      </c>
      <c r="B1" s="43" t="s">
        <v>1</v>
      </c>
      <c r="C1" s="29" t="s">
        <v>2</v>
      </c>
      <c r="D1" s="29" t="s">
        <v>659</v>
      </c>
      <c r="E1" s="29" t="s">
        <v>660</v>
      </c>
      <c r="F1" s="29" t="s">
        <v>1</v>
      </c>
      <c r="G1" s="30" t="s">
        <v>661</v>
      </c>
      <c r="H1" s="31" t="s">
        <v>14</v>
      </c>
      <c r="I1" s="30" t="s">
        <v>662</v>
      </c>
      <c r="J1" s="31" t="s">
        <v>14</v>
      </c>
      <c r="K1" s="30" t="s">
        <v>663</v>
      </c>
      <c r="L1" s="31" t="s">
        <v>14</v>
      </c>
      <c r="M1" s="30" t="s">
        <v>664</v>
      </c>
      <c r="N1" s="31" t="s">
        <v>14</v>
      </c>
      <c r="O1" s="30" t="s">
        <v>665</v>
      </c>
      <c r="P1" s="31" t="s">
        <v>14</v>
      </c>
      <c r="Q1" s="49" t="s">
        <v>666</v>
      </c>
      <c r="R1" s="41" t="s">
        <v>7</v>
      </c>
    </row>
    <row r="2">
      <c r="A2" s="45">
        <v>1856.0</v>
      </c>
      <c r="B2" s="46" t="s">
        <v>36</v>
      </c>
      <c r="C2" s="22" t="str">
        <f t="shared" ref="C2:C20" si="1">CONCATENATE(D2,"_",E2,"_",F2)</f>
        <v>HDS-01_OPENPATH_TANK - 05</v>
      </c>
      <c r="D2" s="8" t="s">
        <v>667</v>
      </c>
      <c r="E2" s="50" t="s">
        <v>668</v>
      </c>
      <c r="F2" s="8" t="s">
        <v>669</v>
      </c>
      <c r="G2" s="51" t="s">
        <v>670</v>
      </c>
      <c r="H2" s="52">
        <v>0.0</v>
      </c>
      <c r="I2" s="51" t="s">
        <v>671</v>
      </c>
      <c r="J2" s="52">
        <v>0.0</v>
      </c>
      <c r="K2" s="51" t="s">
        <v>672</v>
      </c>
      <c r="L2" s="52">
        <v>0.0</v>
      </c>
      <c r="M2" s="51" t="s">
        <v>673</v>
      </c>
      <c r="N2" s="52">
        <v>0.0</v>
      </c>
      <c r="O2" s="51" t="s">
        <v>674</v>
      </c>
      <c r="P2" s="52">
        <v>0.0</v>
      </c>
      <c r="Q2" s="53" t="s">
        <v>675</v>
      </c>
      <c r="R2" s="52">
        <v>0.0</v>
      </c>
    </row>
    <row r="3">
      <c r="A3" s="45">
        <v>1856.0</v>
      </c>
      <c r="B3" s="46" t="s">
        <v>36</v>
      </c>
      <c r="C3" s="22" t="str">
        <f t="shared" si="1"/>
        <v>HDS-02_OPENPATH_TTL PUMP HOUSE</v>
      </c>
      <c r="D3" s="19" t="s">
        <v>676</v>
      </c>
      <c r="E3" s="50" t="s">
        <v>668</v>
      </c>
      <c r="F3" s="19" t="s">
        <v>677</v>
      </c>
      <c r="G3" s="54" t="s">
        <v>678</v>
      </c>
      <c r="H3" s="52">
        <v>0.0</v>
      </c>
      <c r="I3" s="54" t="s">
        <v>679</v>
      </c>
      <c r="J3" s="52">
        <v>0.0</v>
      </c>
      <c r="K3" s="54" t="s">
        <v>680</v>
      </c>
      <c r="L3" s="52">
        <v>0.0</v>
      </c>
      <c r="M3" s="54" t="s">
        <v>681</v>
      </c>
      <c r="N3" s="52">
        <v>0.0</v>
      </c>
      <c r="O3" s="54" t="s">
        <v>682</v>
      </c>
      <c r="P3" s="52">
        <v>0.0</v>
      </c>
      <c r="Q3" s="53" t="s">
        <v>675</v>
      </c>
      <c r="R3" s="52">
        <v>0.0</v>
      </c>
    </row>
    <row r="4">
      <c r="A4" s="45">
        <v>1856.0</v>
      </c>
      <c r="B4" s="46" t="s">
        <v>36</v>
      </c>
      <c r="C4" s="22" t="str">
        <f t="shared" si="1"/>
        <v>HDS-03_OPENPATH_TWL PUMP HOUSE</v>
      </c>
      <c r="D4" s="19" t="s">
        <v>683</v>
      </c>
      <c r="E4" s="50" t="s">
        <v>668</v>
      </c>
      <c r="F4" s="19" t="s">
        <v>684</v>
      </c>
      <c r="G4" s="54" t="s">
        <v>685</v>
      </c>
      <c r="H4" s="52">
        <v>0.0</v>
      </c>
      <c r="I4" s="54" t="s">
        <v>686</v>
      </c>
      <c r="J4" s="52">
        <v>0.0</v>
      </c>
      <c r="K4" s="54" t="s">
        <v>687</v>
      </c>
      <c r="L4" s="52">
        <v>0.0</v>
      </c>
      <c r="M4" s="54" t="s">
        <v>688</v>
      </c>
      <c r="N4" s="52">
        <v>0.0</v>
      </c>
      <c r="O4" s="54" t="s">
        <v>689</v>
      </c>
      <c r="P4" s="52">
        <v>0.0</v>
      </c>
      <c r="Q4" s="53" t="s">
        <v>675</v>
      </c>
      <c r="R4" s="52">
        <v>0.0</v>
      </c>
    </row>
    <row r="5">
      <c r="A5" s="45">
        <v>1856.0</v>
      </c>
      <c r="B5" s="46" t="s">
        <v>36</v>
      </c>
      <c r="C5" s="22" t="str">
        <f t="shared" si="1"/>
        <v>HDS-04_OPENPATH_TANK - 14</v>
      </c>
      <c r="D5" s="19" t="s">
        <v>690</v>
      </c>
      <c r="E5" s="50" t="s">
        <v>668</v>
      </c>
      <c r="F5" s="19" t="s">
        <v>691</v>
      </c>
      <c r="G5" s="54" t="s">
        <v>692</v>
      </c>
      <c r="H5" s="52">
        <v>0.0</v>
      </c>
      <c r="I5" s="54" t="s">
        <v>693</v>
      </c>
      <c r="J5" s="52">
        <v>0.0</v>
      </c>
      <c r="K5" s="54" t="s">
        <v>694</v>
      </c>
      <c r="L5" s="52">
        <v>0.0</v>
      </c>
      <c r="M5" s="54" t="s">
        <v>695</v>
      </c>
      <c r="N5" s="52">
        <v>0.0</v>
      </c>
      <c r="O5" s="54" t="s">
        <v>696</v>
      </c>
      <c r="P5" s="52">
        <v>0.0</v>
      </c>
      <c r="Q5" s="53" t="s">
        <v>675</v>
      </c>
      <c r="R5" s="52">
        <v>0.0</v>
      </c>
    </row>
    <row r="6">
      <c r="A6" s="45">
        <v>1856.0</v>
      </c>
      <c r="B6" s="46" t="s">
        <v>36</v>
      </c>
      <c r="C6" s="22" t="str">
        <f t="shared" si="1"/>
        <v>HDS-05_OPENPATH_TANK - 12</v>
      </c>
      <c r="D6" s="19" t="s">
        <v>697</v>
      </c>
      <c r="E6" s="50" t="s">
        <v>668</v>
      </c>
      <c r="F6" s="19" t="s">
        <v>698</v>
      </c>
      <c r="G6" s="54" t="s">
        <v>699</v>
      </c>
      <c r="H6" s="52">
        <v>0.0</v>
      </c>
      <c r="I6" s="54" t="s">
        <v>700</v>
      </c>
      <c r="J6" s="52">
        <v>0.0</v>
      </c>
      <c r="K6" s="54" t="s">
        <v>701</v>
      </c>
      <c r="L6" s="52">
        <v>0.0</v>
      </c>
      <c r="M6" s="54" t="s">
        <v>702</v>
      </c>
      <c r="N6" s="52">
        <v>0.0</v>
      </c>
      <c r="O6" s="54" t="s">
        <v>703</v>
      </c>
      <c r="P6" s="52">
        <v>0.0</v>
      </c>
      <c r="Q6" s="53" t="s">
        <v>675</v>
      </c>
      <c r="R6" s="52">
        <v>0.0</v>
      </c>
    </row>
    <row r="7">
      <c r="A7" s="45">
        <v>1856.0</v>
      </c>
      <c r="B7" s="46" t="s">
        <v>36</v>
      </c>
      <c r="C7" s="22" t="str">
        <f t="shared" si="1"/>
        <v>HDS-06_OPENPATH_TANK - 06</v>
      </c>
      <c r="D7" s="19" t="s">
        <v>704</v>
      </c>
      <c r="E7" s="50" t="s">
        <v>668</v>
      </c>
      <c r="F7" s="19" t="s">
        <v>705</v>
      </c>
      <c r="G7" s="54" t="s">
        <v>706</v>
      </c>
      <c r="H7" s="52">
        <v>0.0</v>
      </c>
      <c r="I7" s="54" t="s">
        <v>707</v>
      </c>
      <c r="J7" s="52">
        <v>0.0</v>
      </c>
      <c r="K7" s="54" t="s">
        <v>708</v>
      </c>
      <c r="L7" s="52">
        <v>0.0</v>
      </c>
      <c r="M7" s="54" t="s">
        <v>709</v>
      </c>
      <c r="N7" s="52">
        <v>0.0</v>
      </c>
      <c r="O7" s="54" t="s">
        <v>710</v>
      </c>
      <c r="P7" s="52">
        <v>0.0</v>
      </c>
      <c r="Q7" s="53" t="s">
        <v>675</v>
      </c>
      <c r="R7" s="52">
        <v>0.0</v>
      </c>
    </row>
    <row r="8">
      <c r="A8" s="45">
        <v>1856.0</v>
      </c>
      <c r="B8" s="46" t="s">
        <v>36</v>
      </c>
      <c r="C8" s="22" t="str">
        <f t="shared" si="1"/>
        <v>HDS-07_FIXEDTYPE_TANK - 05 / 06</v>
      </c>
      <c r="D8" s="19" t="s">
        <v>711</v>
      </c>
      <c r="E8" s="50" t="s">
        <v>712</v>
      </c>
      <c r="F8" s="19" t="s">
        <v>713</v>
      </c>
      <c r="G8" s="54" t="s">
        <v>714</v>
      </c>
      <c r="H8" s="52">
        <v>0.0</v>
      </c>
      <c r="I8" s="54" t="s">
        <v>715</v>
      </c>
      <c r="J8" s="52">
        <v>0.0</v>
      </c>
      <c r="K8" s="54" t="s">
        <v>716</v>
      </c>
      <c r="L8" s="52">
        <v>0.0</v>
      </c>
      <c r="M8" s="54" t="s">
        <v>717</v>
      </c>
      <c r="N8" s="52">
        <v>0.0</v>
      </c>
      <c r="O8" s="54" t="s">
        <v>718</v>
      </c>
      <c r="P8" s="52">
        <v>0.0</v>
      </c>
      <c r="Q8" s="53" t="s">
        <v>675</v>
      </c>
      <c r="R8" s="52">
        <v>0.0</v>
      </c>
    </row>
    <row r="9">
      <c r="A9" s="45">
        <v>1856.0</v>
      </c>
      <c r="B9" s="46" t="s">
        <v>36</v>
      </c>
      <c r="C9" s="22" t="str">
        <f t="shared" si="1"/>
        <v>HDS-08_FIXEDTYPE_TANK - 12 / 14</v>
      </c>
      <c r="D9" s="19" t="s">
        <v>719</v>
      </c>
      <c r="E9" s="50" t="s">
        <v>712</v>
      </c>
      <c r="F9" s="19" t="s">
        <v>720</v>
      </c>
      <c r="G9" s="54" t="s">
        <v>721</v>
      </c>
      <c r="H9" s="52">
        <v>0.0</v>
      </c>
      <c r="I9" s="54" t="s">
        <v>722</v>
      </c>
      <c r="J9" s="52">
        <v>0.0</v>
      </c>
      <c r="K9" s="54" t="s">
        <v>723</v>
      </c>
      <c r="L9" s="52">
        <v>0.0</v>
      </c>
      <c r="M9" s="54" t="s">
        <v>724</v>
      </c>
      <c r="N9" s="52">
        <v>0.0</v>
      </c>
      <c r="O9" s="54" t="s">
        <v>725</v>
      </c>
      <c r="P9" s="52">
        <v>0.0</v>
      </c>
      <c r="Q9" s="53" t="s">
        <v>675</v>
      </c>
      <c r="R9" s="52">
        <v>0.0</v>
      </c>
    </row>
    <row r="10">
      <c r="A10" s="45">
        <v>1856.0</v>
      </c>
      <c r="B10" s="46" t="s">
        <v>36</v>
      </c>
      <c r="C10" s="22" t="str">
        <f t="shared" si="1"/>
        <v>HDS-09_POINTTYPE_TANK 12 MOV</v>
      </c>
      <c r="D10" s="19" t="s">
        <v>726</v>
      </c>
      <c r="E10" s="50" t="s">
        <v>727</v>
      </c>
      <c r="F10" s="19" t="s">
        <v>728</v>
      </c>
      <c r="G10" s="54" t="s">
        <v>729</v>
      </c>
      <c r="H10" s="52">
        <v>0.0</v>
      </c>
      <c r="I10" s="54" t="s">
        <v>730</v>
      </c>
      <c r="J10" s="52">
        <v>0.0</v>
      </c>
      <c r="K10" s="54" t="s">
        <v>731</v>
      </c>
      <c r="L10" s="52">
        <v>0.0</v>
      </c>
      <c r="M10" s="54" t="s">
        <v>732</v>
      </c>
      <c r="N10" s="52">
        <v>0.0</v>
      </c>
      <c r="O10" s="54" t="s">
        <v>733</v>
      </c>
      <c r="P10" s="52">
        <v>0.0</v>
      </c>
      <c r="Q10" s="53" t="s">
        <v>675</v>
      </c>
      <c r="R10" s="52">
        <v>0.0</v>
      </c>
    </row>
    <row r="11">
      <c r="A11" s="45">
        <v>1856.0</v>
      </c>
      <c r="B11" s="46" t="s">
        <v>36</v>
      </c>
      <c r="C11" s="22" t="str">
        <f t="shared" si="1"/>
        <v>HDS-10_POINTTYPE_TANK 14 MOV</v>
      </c>
      <c r="D11" s="19" t="s">
        <v>734</v>
      </c>
      <c r="E11" s="50" t="s">
        <v>727</v>
      </c>
      <c r="F11" s="19" t="s">
        <v>735</v>
      </c>
      <c r="G11" s="54" t="s">
        <v>736</v>
      </c>
      <c r="H11" s="52">
        <v>0.0</v>
      </c>
      <c r="I11" s="54" t="s">
        <v>737</v>
      </c>
      <c r="J11" s="52">
        <v>0.0</v>
      </c>
      <c r="K11" s="54" t="s">
        <v>738</v>
      </c>
      <c r="L11" s="52">
        <v>0.0</v>
      </c>
      <c r="M11" s="54" t="s">
        <v>739</v>
      </c>
      <c r="N11" s="52">
        <v>0.0</v>
      </c>
      <c r="O11" s="54" t="s">
        <v>740</v>
      </c>
      <c r="P11" s="52">
        <v>0.0</v>
      </c>
      <c r="Q11" s="53" t="s">
        <v>675</v>
      </c>
      <c r="R11" s="52">
        <v>0.0</v>
      </c>
    </row>
    <row r="12">
      <c r="A12" s="45">
        <v>1856.0</v>
      </c>
      <c r="B12" s="46" t="s">
        <v>36</v>
      </c>
      <c r="C12" s="22" t="str">
        <f t="shared" si="1"/>
        <v>HDS-11_POINTTYPE_TANK 05 MOV</v>
      </c>
      <c r="D12" s="19" t="s">
        <v>741</v>
      </c>
      <c r="E12" s="50" t="s">
        <v>727</v>
      </c>
      <c r="F12" s="19" t="s">
        <v>742</v>
      </c>
      <c r="G12" s="54" t="s">
        <v>743</v>
      </c>
      <c r="H12" s="52">
        <v>0.0</v>
      </c>
      <c r="I12" s="54" t="s">
        <v>744</v>
      </c>
      <c r="J12" s="52">
        <v>0.0</v>
      </c>
      <c r="K12" s="54" t="s">
        <v>745</v>
      </c>
      <c r="L12" s="52">
        <v>0.0</v>
      </c>
      <c r="M12" s="54" t="s">
        <v>746</v>
      </c>
      <c r="N12" s="52">
        <v>0.0</v>
      </c>
      <c r="O12" s="54" t="s">
        <v>747</v>
      </c>
      <c r="P12" s="52">
        <v>0.0</v>
      </c>
      <c r="Q12" s="53" t="s">
        <v>675</v>
      </c>
      <c r="R12" s="52">
        <v>0.0</v>
      </c>
    </row>
    <row r="13">
      <c r="A13" s="45">
        <v>1856.0</v>
      </c>
      <c r="B13" s="46" t="s">
        <v>36</v>
      </c>
      <c r="C13" s="22" t="str">
        <f t="shared" si="1"/>
        <v>HDS-12_POINTTYPE_TANK 06 MOV</v>
      </c>
      <c r="D13" s="19" t="s">
        <v>748</v>
      </c>
      <c r="E13" s="50" t="s">
        <v>727</v>
      </c>
      <c r="F13" s="19" t="s">
        <v>749</v>
      </c>
      <c r="G13" s="54" t="s">
        <v>750</v>
      </c>
      <c r="H13" s="52">
        <v>0.0</v>
      </c>
      <c r="I13" s="54" t="s">
        <v>751</v>
      </c>
      <c r="J13" s="52">
        <v>0.0</v>
      </c>
      <c r="K13" s="54" t="s">
        <v>752</v>
      </c>
      <c r="L13" s="52">
        <v>0.0</v>
      </c>
      <c r="M13" s="54" t="s">
        <v>753</v>
      </c>
      <c r="N13" s="52">
        <v>0.0</v>
      </c>
      <c r="O13" s="54" t="s">
        <v>754</v>
      </c>
      <c r="P13" s="52">
        <v>0.0</v>
      </c>
      <c r="Q13" s="53" t="s">
        <v>675</v>
      </c>
      <c r="R13" s="52">
        <v>0.0</v>
      </c>
    </row>
    <row r="14">
      <c r="A14" s="45">
        <v>1856.0</v>
      </c>
      <c r="B14" s="46" t="s">
        <v>36</v>
      </c>
      <c r="C14" s="22" t="str">
        <f t="shared" si="1"/>
        <v>HDS-13_POINTTYPE_TTL PH MOV</v>
      </c>
      <c r="D14" s="19" t="s">
        <v>755</v>
      </c>
      <c r="E14" s="50" t="s">
        <v>727</v>
      </c>
      <c r="F14" s="19" t="s">
        <v>756</v>
      </c>
      <c r="G14" s="54" t="s">
        <v>757</v>
      </c>
      <c r="H14" s="52">
        <v>0.0</v>
      </c>
      <c r="I14" s="54" t="s">
        <v>758</v>
      </c>
      <c r="J14" s="52">
        <v>0.0</v>
      </c>
      <c r="K14" s="54" t="s">
        <v>759</v>
      </c>
      <c r="L14" s="52">
        <v>0.0</v>
      </c>
      <c r="M14" s="54" t="s">
        <v>760</v>
      </c>
      <c r="N14" s="52">
        <v>0.0</v>
      </c>
      <c r="O14" s="54" t="s">
        <v>761</v>
      </c>
      <c r="P14" s="52">
        <v>0.0</v>
      </c>
      <c r="Q14" s="53" t="s">
        <v>675</v>
      </c>
      <c r="R14" s="52">
        <v>0.0</v>
      </c>
    </row>
    <row r="15">
      <c r="A15" s="45">
        <v>1856.0</v>
      </c>
      <c r="B15" s="46" t="s">
        <v>36</v>
      </c>
      <c r="C15" s="22" t="str">
        <f t="shared" si="1"/>
        <v>HDS-14_POINTTYPE_TANK WAGON PH</v>
      </c>
      <c r="D15" s="19" t="s">
        <v>762</v>
      </c>
      <c r="E15" s="50" t="s">
        <v>727</v>
      </c>
      <c r="F15" s="19" t="s">
        <v>763</v>
      </c>
      <c r="G15" s="54" t="s">
        <v>764</v>
      </c>
      <c r="H15" s="52">
        <v>0.0</v>
      </c>
      <c r="I15" s="54" t="s">
        <v>765</v>
      </c>
      <c r="J15" s="52">
        <v>0.0</v>
      </c>
      <c r="K15" s="54" t="s">
        <v>766</v>
      </c>
      <c r="L15" s="52">
        <v>0.0</v>
      </c>
      <c r="M15" s="54" t="s">
        <v>767</v>
      </c>
      <c r="N15" s="52">
        <v>0.0</v>
      </c>
      <c r="O15" s="54" t="s">
        <v>768</v>
      </c>
      <c r="P15" s="52">
        <v>0.0</v>
      </c>
      <c r="Q15" s="53" t="s">
        <v>675</v>
      </c>
      <c r="R15" s="52">
        <v>0.0</v>
      </c>
    </row>
    <row r="16">
      <c r="A16" s="45">
        <v>1856.0</v>
      </c>
      <c r="B16" s="46" t="s">
        <v>36</v>
      </c>
      <c r="C16" s="22" t="str">
        <f t="shared" si="1"/>
        <v>HDS-15_POINTTYPE_TW SIDING</v>
      </c>
      <c r="D16" s="19" t="s">
        <v>769</v>
      </c>
      <c r="E16" s="50" t="s">
        <v>727</v>
      </c>
      <c r="F16" s="19" t="s">
        <v>770</v>
      </c>
      <c r="G16" s="54" t="s">
        <v>771</v>
      </c>
      <c r="H16" s="52">
        <v>0.0</v>
      </c>
      <c r="I16" s="54" t="s">
        <v>772</v>
      </c>
      <c r="J16" s="52">
        <v>0.0</v>
      </c>
      <c r="K16" s="54" t="s">
        <v>773</v>
      </c>
      <c r="L16" s="52">
        <v>0.0</v>
      </c>
      <c r="M16" s="54" t="s">
        <v>774</v>
      </c>
      <c r="N16" s="52">
        <v>0.0</v>
      </c>
      <c r="O16" s="54" t="s">
        <v>775</v>
      </c>
      <c r="P16" s="52">
        <v>0.0</v>
      </c>
      <c r="Q16" s="53" t="s">
        <v>675</v>
      </c>
      <c r="R16" s="52">
        <v>0.0</v>
      </c>
    </row>
    <row r="17">
      <c r="A17" s="45">
        <v>1856.0</v>
      </c>
      <c r="B17" s="46" t="s">
        <v>36</v>
      </c>
      <c r="C17" s="22" t="str">
        <f t="shared" si="1"/>
        <v>HDS-16_OPENPATH_TANK - 03</v>
      </c>
      <c r="D17" s="19" t="s">
        <v>776</v>
      </c>
      <c r="E17" s="50" t="s">
        <v>668</v>
      </c>
      <c r="F17" s="19" t="s">
        <v>777</v>
      </c>
      <c r="G17" s="54" t="s">
        <v>778</v>
      </c>
      <c r="H17" s="52">
        <v>0.0</v>
      </c>
      <c r="I17" s="54" t="s">
        <v>779</v>
      </c>
      <c r="J17" s="52">
        <v>0.0</v>
      </c>
      <c r="K17" s="54" t="s">
        <v>780</v>
      </c>
      <c r="L17" s="52">
        <v>0.0</v>
      </c>
      <c r="M17" s="54" t="s">
        <v>781</v>
      </c>
      <c r="N17" s="52">
        <v>0.0</v>
      </c>
      <c r="O17" s="54" t="s">
        <v>782</v>
      </c>
      <c r="P17" s="52">
        <v>0.0</v>
      </c>
      <c r="Q17" s="53" t="s">
        <v>675</v>
      </c>
      <c r="R17" s="52">
        <v>0.0</v>
      </c>
    </row>
    <row r="18">
      <c r="A18" s="45">
        <v>1856.0</v>
      </c>
      <c r="B18" s="46" t="s">
        <v>36</v>
      </c>
      <c r="C18" s="22" t="str">
        <f t="shared" si="1"/>
        <v>HDS-17_POINTTYPE_TANK - 04</v>
      </c>
      <c r="D18" s="19" t="s">
        <v>783</v>
      </c>
      <c r="E18" s="50" t="s">
        <v>727</v>
      </c>
      <c r="F18" s="19" t="s">
        <v>784</v>
      </c>
      <c r="G18" s="54" t="s">
        <v>785</v>
      </c>
      <c r="H18" s="52">
        <v>0.0</v>
      </c>
      <c r="I18" s="54" t="s">
        <v>786</v>
      </c>
      <c r="J18" s="52">
        <v>0.0</v>
      </c>
      <c r="K18" s="54" t="s">
        <v>787</v>
      </c>
      <c r="L18" s="52">
        <v>0.0</v>
      </c>
      <c r="M18" s="54" t="s">
        <v>788</v>
      </c>
      <c r="N18" s="52">
        <v>0.0</v>
      </c>
      <c r="O18" s="54" t="s">
        <v>789</v>
      </c>
      <c r="P18" s="52">
        <v>0.0</v>
      </c>
      <c r="Q18" s="53" t="s">
        <v>675</v>
      </c>
      <c r="R18" s="52">
        <v>0.0</v>
      </c>
    </row>
    <row r="19">
      <c r="A19" s="45">
        <v>1856.0</v>
      </c>
      <c r="B19" s="46" t="s">
        <v>36</v>
      </c>
      <c r="C19" s="22" t="str">
        <f t="shared" si="1"/>
        <v>HDS-18_OPENPATH_ETH PH MANIFOLD</v>
      </c>
      <c r="D19" s="19" t="s">
        <v>790</v>
      </c>
      <c r="E19" s="50" t="s">
        <v>668</v>
      </c>
      <c r="F19" s="19" t="s">
        <v>791</v>
      </c>
      <c r="G19" s="54" t="s">
        <v>792</v>
      </c>
      <c r="H19" s="52">
        <v>0.0</v>
      </c>
      <c r="I19" s="54" t="s">
        <v>793</v>
      </c>
      <c r="J19" s="52">
        <v>0.0</v>
      </c>
      <c r="K19" s="54" t="s">
        <v>794</v>
      </c>
      <c r="L19" s="52">
        <v>0.0</v>
      </c>
      <c r="M19" s="54" t="s">
        <v>795</v>
      </c>
      <c r="N19" s="52">
        <v>0.0</v>
      </c>
      <c r="O19" s="54" t="s">
        <v>796</v>
      </c>
      <c r="P19" s="52">
        <v>0.0</v>
      </c>
      <c r="Q19" s="53" t="s">
        <v>675</v>
      </c>
      <c r="R19" s="52">
        <v>0.0</v>
      </c>
    </row>
    <row r="20">
      <c r="A20" s="45">
        <v>1856.0</v>
      </c>
      <c r="B20" s="46" t="s">
        <v>36</v>
      </c>
      <c r="C20" s="22" t="str">
        <f t="shared" si="1"/>
        <v>HDS-19_OPENPATH_ETH PH MANIFOLD</v>
      </c>
      <c r="D20" s="19" t="s">
        <v>797</v>
      </c>
      <c r="E20" s="50" t="s">
        <v>668</v>
      </c>
      <c r="F20" s="19" t="s">
        <v>791</v>
      </c>
      <c r="G20" s="54" t="s">
        <v>798</v>
      </c>
      <c r="H20" s="52">
        <v>0.0</v>
      </c>
      <c r="I20" s="54" t="s">
        <v>799</v>
      </c>
      <c r="J20" s="52">
        <v>0.0</v>
      </c>
      <c r="K20" s="54" t="s">
        <v>800</v>
      </c>
      <c r="L20" s="52">
        <v>0.0</v>
      </c>
      <c r="M20" s="54" t="s">
        <v>801</v>
      </c>
      <c r="N20" s="52">
        <v>0.0</v>
      </c>
      <c r="O20" s="54" t="s">
        <v>802</v>
      </c>
      <c r="P20" s="52">
        <v>0.0</v>
      </c>
      <c r="Q20" s="53" t="s">
        <v>675</v>
      </c>
      <c r="R20" s="52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29.75"/>
  </cols>
  <sheetData>
    <row r="1" ht="15.75" customHeight="1">
      <c r="A1" s="29" t="s">
        <v>0</v>
      </c>
      <c r="B1" s="29" t="s">
        <v>1</v>
      </c>
      <c r="C1" s="29" t="s">
        <v>803</v>
      </c>
      <c r="D1" s="30" t="s">
        <v>804</v>
      </c>
      <c r="E1" s="31" t="s">
        <v>14</v>
      </c>
      <c r="F1" s="55" t="s">
        <v>805</v>
      </c>
      <c r="G1" s="4" t="s">
        <v>7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45">
        <v>1856.0</v>
      </c>
      <c r="B2" s="46" t="s">
        <v>36</v>
      </c>
      <c r="C2" s="8" t="s">
        <v>806</v>
      </c>
      <c r="D2" s="56" t="s">
        <v>807</v>
      </c>
      <c r="E2" s="57">
        <v>0.0</v>
      </c>
      <c r="F2" s="53" t="s">
        <v>675</v>
      </c>
      <c r="G2" s="57">
        <v>0.0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45">
        <v>1856.0</v>
      </c>
      <c r="B3" s="46" t="s">
        <v>36</v>
      </c>
      <c r="C3" s="8" t="s">
        <v>808</v>
      </c>
      <c r="D3" s="56" t="s">
        <v>809</v>
      </c>
      <c r="E3" s="57">
        <v>0.0</v>
      </c>
      <c r="F3" s="53" t="s">
        <v>675</v>
      </c>
      <c r="G3" s="57">
        <v>0.0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45">
        <v>1856.0</v>
      </c>
      <c r="B4" s="46" t="s">
        <v>36</v>
      </c>
      <c r="C4" s="8" t="s">
        <v>810</v>
      </c>
      <c r="D4" s="56" t="s">
        <v>811</v>
      </c>
      <c r="E4" s="57">
        <v>0.0</v>
      </c>
      <c r="F4" s="53" t="s">
        <v>675</v>
      </c>
      <c r="G4" s="57">
        <v>0.0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45">
        <v>1856.0</v>
      </c>
      <c r="B5" s="46" t="s">
        <v>36</v>
      </c>
      <c r="C5" s="8" t="s">
        <v>812</v>
      </c>
      <c r="D5" s="56" t="s">
        <v>813</v>
      </c>
      <c r="E5" s="57">
        <v>0.0</v>
      </c>
      <c r="F5" s="53" t="s">
        <v>675</v>
      </c>
      <c r="G5" s="57">
        <v>0.0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45">
        <v>1856.0</v>
      </c>
      <c r="B6" s="46" t="s">
        <v>36</v>
      </c>
      <c r="C6" s="8" t="s">
        <v>814</v>
      </c>
      <c r="D6" s="56" t="s">
        <v>815</v>
      </c>
      <c r="E6" s="57">
        <v>0.0</v>
      </c>
      <c r="F6" s="53" t="s">
        <v>675</v>
      </c>
      <c r="G6" s="57">
        <v>0.0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45">
        <v>1856.0</v>
      </c>
      <c r="B7" s="46" t="s">
        <v>36</v>
      </c>
      <c r="C7" s="8" t="s">
        <v>816</v>
      </c>
      <c r="D7" s="56" t="s">
        <v>817</v>
      </c>
      <c r="E7" s="57">
        <v>0.0</v>
      </c>
      <c r="F7" s="53" t="s">
        <v>675</v>
      </c>
      <c r="G7" s="57">
        <v>0.0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29" t="s">
        <v>0</v>
      </c>
      <c r="B1" s="29" t="s">
        <v>1</v>
      </c>
      <c r="C1" s="29" t="s">
        <v>818</v>
      </c>
      <c r="D1" s="30" t="s">
        <v>819</v>
      </c>
      <c r="E1" s="31" t="s">
        <v>7</v>
      </c>
      <c r="F1" s="30" t="s">
        <v>820</v>
      </c>
      <c r="G1" s="31" t="s">
        <v>7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ht="15.75" customHeight="1">
      <c r="A2" s="45">
        <v>1856.0</v>
      </c>
      <c r="B2" s="46" t="s">
        <v>36</v>
      </c>
      <c r="C2" s="9" t="s">
        <v>821</v>
      </c>
      <c r="D2" s="58" t="s">
        <v>822</v>
      </c>
      <c r="E2" s="59">
        <v>0.0</v>
      </c>
      <c r="F2" s="58" t="s">
        <v>823</v>
      </c>
      <c r="G2" s="59">
        <v>1.0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ht="15.75" customHeight="1">
      <c r="A3" s="45">
        <v>1856.0</v>
      </c>
      <c r="B3" s="46" t="s">
        <v>36</v>
      </c>
      <c r="C3" s="9" t="s">
        <v>824</v>
      </c>
      <c r="D3" s="58" t="s">
        <v>825</v>
      </c>
      <c r="E3" s="59">
        <v>0.0</v>
      </c>
      <c r="F3" s="58" t="s">
        <v>826</v>
      </c>
      <c r="G3" s="59">
        <v>1.0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 ht="15.7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</row>
    <row r="5" ht="15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</row>
    <row r="6" ht="15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ht="15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29" t="s">
        <v>0</v>
      </c>
      <c r="B1" s="29" t="s">
        <v>1</v>
      </c>
      <c r="C1" s="29" t="s">
        <v>2</v>
      </c>
      <c r="D1" s="29" t="s">
        <v>827</v>
      </c>
      <c r="E1" s="29" t="s">
        <v>828</v>
      </c>
      <c r="F1" s="30" t="s">
        <v>829</v>
      </c>
      <c r="G1" s="31" t="s">
        <v>14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ht="15.75" customHeight="1">
      <c r="A2" s="45">
        <v>1856.0</v>
      </c>
      <c r="B2" s="46" t="s">
        <v>36</v>
      </c>
      <c r="C2" s="7" t="str">
        <f t="shared" ref="C2:C16" si="1">CONCATENATE(D2,"_",E2)</f>
        <v>1_HOOTER_FIELD_1</v>
      </c>
      <c r="D2" s="9">
        <v>1.0</v>
      </c>
      <c r="E2" s="8" t="s">
        <v>830</v>
      </c>
      <c r="F2" s="60" t="s">
        <v>831</v>
      </c>
      <c r="G2" s="57">
        <v>0.0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ht="15.75" customHeight="1">
      <c r="A3" s="45">
        <v>1856.0</v>
      </c>
      <c r="B3" s="46" t="s">
        <v>36</v>
      </c>
      <c r="C3" s="7" t="str">
        <f t="shared" si="1"/>
        <v>2_HOOTER_FIELD_10</v>
      </c>
      <c r="D3" s="9">
        <v>2.0</v>
      </c>
      <c r="E3" s="8" t="s">
        <v>832</v>
      </c>
      <c r="F3" s="60" t="s">
        <v>833</v>
      </c>
      <c r="G3" s="57">
        <v>0.0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ht="15.75" customHeight="1">
      <c r="A4" s="45">
        <v>1856.0</v>
      </c>
      <c r="B4" s="46" t="s">
        <v>36</v>
      </c>
      <c r="C4" s="7" t="str">
        <f t="shared" si="1"/>
        <v>3_HOOTER_FIELD_11</v>
      </c>
      <c r="D4" s="9">
        <v>3.0</v>
      </c>
      <c r="E4" s="8" t="s">
        <v>834</v>
      </c>
      <c r="F4" s="60" t="s">
        <v>835</v>
      </c>
      <c r="G4" s="57">
        <v>0.0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ht="15.75" customHeight="1">
      <c r="A5" s="45">
        <v>1856.0</v>
      </c>
      <c r="B5" s="46" t="s">
        <v>36</v>
      </c>
      <c r="C5" s="7" t="str">
        <f t="shared" si="1"/>
        <v>4_HOOTER_FIELD_12</v>
      </c>
      <c r="D5" s="9">
        <v>4.0</v>
      </c>
      <c r="E5" s="8" t="s">
        <v>836</v>
      </c>
      <c r="F5" s="60" t="s">
        <v>837</v>
      </c>
      <c r="G5" s="57">
        <v>0.0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ht="15.75" customHeight="1">
      <c r="A6" s="45">
        <v>1856.0</v>
      </c>
      <c r="B6" s="46" t="s">
        <v>36</v>
      </c>
      <c r="C6" s="7" t="str">
        <f t="shared" si="1"/>
        <v>5_HOOTER_FIELD_13</v>
      </c>
      <c r="D6" s="9">
        <v>5.0</v>
      </c>
      <c r="E6" s="8" t="s">
        <v>838</v>
      </c>
      <c r="F6" s="60" t="s">
        <v>839</v>
      </c>
      <c r="G6" s="57">
        <v>0.0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ht="15.75" customHeight="1">
      <c r="A7" s="45">
        <v>1856.0</v>
      </c>
      <c r="B7" s="46" t="s">
        <v>36</v>
      </c>
      <c r="C7" s="7" t="str">
        <f t="shared" si="1"/>
        <v>6_HOOTER_FIELD_14</v>
      </c>
      <c r="D7" s="9">
        <v>6.0</v>
      </c>
      <c r="E7" s="8" t="s">
        <v>840</v>
      </c>
      <c r="F7" s="60" t="s">
        <v>841</v>
      </c>
      <c r="G7" s="57">
        <v>0.0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ht="15.75" customHeight="1">
      <c r="A8" s="45">
        <v>1856.0</v>
      </c>
      <c r="B8" s="46" t="s">
        <v>36</v>
      </c>
      <c r="C8" s="7" t="str">
        <f t="shared" si="1"/>
        <v>7_HOOTER_FIELD_15</v>
      </c>
      <c r="D8" s="9">
        <v>7.0</v>
      </c>
      <c r="E8" s="8" t="s">
        <v>842</v>
      </c>
      <c r="F8" s="60" t="s">
        <v>843</v>
      </c>
      <c r="G8" s="57">
        <v>0.0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ht="15.75" customHeight="1">
      <c r="A9" s="45">
        <v>1856.0</v>
      </c>
      <c r="B9" s="46" t="s">
        <v>36</v>
      </c>
      <c r="C9" s="7" t="str">
        <f t="shared" si="1"/>
        <v>8_HOOTER_FIELD_16</v>
      </c>
      <c r="D9" s="9">
        <v>8.0</v>
      </c>
      <c r="E9" s="8" t="s">
        <v>844</v>
      </c>
      <c r="F9" s="60" t="s">
        <v>845</v>
      </c>
      <c r="G9" s="57">
        <v>0.0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ht="15.75" customHeight="1">
      <c r="A10" s="45">
        <v>1856.0</v>
      </c>
      <c r="B10" s="46" t="s">
        <v>36</v>
      </c>
      <c r="C10" s="7" t="str">
        <f t="shared" si="1"/>
        <v>9_HOOTER_FIELD_2</v>
      </c>
      <c r="D10" s="9">
        <v>9.0</v>
      </c>
      <c r="E10" s="61" t="s">
        <v>846</v>
      </c>
      <c r="F10" s="60" t="s">
        <v>847</v>
      </c>
      <c r="G10" s="57">
        <v>0.0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ht="15.75" customHeight="1">
      <c r="A11" s="45">
        <v>1856.0</v>
      </c>
      <c r="B11" s="46" t="s">
        <v>36</v>
      </c>
      <c r="C11" s="7" t="str">
        <f t="shared" si="1"/>
        <v>10_HOOTER_FIELD_3</v>
      </c>
      <c r="D11" s="9">
        <v>10.0</v>
      </c>
      <c r="E11" s="61" t="s">
        <v>848</v>
      </c>
      <c r="F11" s="60" t="s">
        <v>849</v>
      </c>
      <c r="G11" s="57">
        <v>0.0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ht="15.75" customHeight="1">
      <c r="A12" s="45">
        <v>1856.0</v>
      </c>
      <c r="B12" s="46" t="s">
        <v>36</v>
      </c>
      <c r="C12" s="7" t="str">
        <f t="shared" si="1"/>
        <v>11_HOOTER_FIELD_4</v>
      </c>
      <c r="D12" s="9">
        <v>11.0</v>
      </c>
      <c r="E12" s="61" t="s">
        <v>850</v>
      </c>
      <c r="F12" s="60" t="s">
        <v>851</v>
      </c>
      <c r="G12" s="57">
        <v>0.0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ht="15.75" customHeight="1">
      <c r="A13" s="45">
        <v>1856.0</v>
      </c>
      <c r="B13" s="46" t="s">
        <v>36</v>
      </c>
      <c r="C13" s="7" t="str">
        <f t="shared" si="1"/>
        <v>12_HOOTER_FIELD_5</v>
      </c>
      <c r="D13" s="9">
        <v>12.0</v>
      </c>
      <c r="E13" s="61" t="s">
        <v>852</v>
      </c>
      <c r="F13" s="60" t="s">
        <v>853</v>
      </c>
      <c r="G13" s="57">
        <v>0.0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ht="15.75" customHeight="1">
      <c r="A14" s="45">
        <v>1856.0</v>
      </c>
      <c r="B14" s="46" t="s">
        <v>36</v>
      </c>
      <c r="C14" s="7" t="str">
        <f t="shared" si="1"/>
        <v>13_HOOTER_FIELD_6</v>
      </c>
      <c r="D14" s="9">
        <v>13.0</v>
      </c>
      <c r="E14" s="61" t="s">
        <v>854</v>
      </c>
      <c r="F14" s="60" t="s">
        <v>855</v>
      </c>
      <c r="G14" s="57">
        <v>0.0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ht="15.75" customHeight="1">
      <c r="A15" s="45">
        <v>1856.0</v>
      </c>
      <c r="B15" s="46" t="s">
        <v>36</v>
      </c>
      <c r="C15" s="7" t="str">
        <f t="shared" si="1"/>
        <v>14_HOOTER_FIELD_7</v>
      </c>
      <c r="D15" s="9">
        <v>14.0</v>
      </c>
      <c r="E15" s="61" t="s">
        <v>856</v>
      </c>
      <c r="F15" s="60" t="s">
        <v>857</v>
      </c>
      <c r="G15" s="57">
        <v>0.0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ht="15.75" customHeight="1">
      <c r="A16" s="45">
        <v>1856.0</v>
      </c>
      <c r="B16" s="46" t="s">
        <v>36</v>
      </c>
      <c r="C16" s="7" t="str">
        <f t="shared" si="1"/>
        <v>15_ANY_HOOTER_FOR_HCD_FIELD</v>
      </c>
      <c r="D16" s="9">
        <v>15.0</v>
      </c>
      <c r="E16" s="61" t="s">
        <v>858</v>
      </c>
      <c r="F16" s="60" t="s">
        <v>859</v>
      </c>
      <c r="G16" s="57">
        <v>0.0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25.38"/>
    <col customWidth="1" min="4" max="4" width="6.88"/>
    <col customWidth="1" min="5" max="5" width="10.5"/>
    <col customWidth="1" min="6" max="6" width="9.0"/>
    <col customWidth="1" min="7" max="7" width="11.25"/>
    <col customWidth="1" min="8" max="8" width="11.5"/>
    <col customWidth="1" min="9" max="9" width="24.13"/>
    <col customWidth="1" min="10" max="10" width="11.5"/>
    <col customWidth="1" min="11" max="11" width="36.63"/>
    <col customWidth="1" min="12" max="12" width="11.5"/>
    <col customWidth="1" min="13" max="13" width="16.5"/>
    <col customWidth="1" min="14" max="14" width="11.5"/>
    <col customWidth="1" min="15" max="15" width="25.75"/>
    <col customWidth="1" min="16" max="16" width="11.5"/>
    <col customWidth="1" min="17" max="17" width="24.63"/>
    <col customWidth="1" min="18" max="18" width="11.5"/>
    <col customWidth="1" min="19" max="19" width="21.63"/>
    <col customWidth="1" min="20" max="20" width="11.5"/>
    <col customWidth="1" min="21" max="21" width="13.75"/>
    <col customWidth="1" min="22" max="22" width="11.5"/>
    <col customWidth="1" min="23" max="23" width="23.5"/>
    <col customWidth="1" min="24" max="24" width="11.5"/>
    <col customWidth="1" min="25" max="25" width="12.5"/>
    <col customWidth="1" min="26" max="26" width="11.5"/>
    <col customWidth="1" min="27" max="27" width="29.25"/>
    <col customWidth="1" min="28" max="28" width="11.5"/>
    <col customWidth="1" min="29" max="29" width="27.63"/>
    <col customWidth="1" min="30" max="30" width="11.5"/>
  </cols>
  <sheetData>
    <row r="1">
      <c r="A1" s="62" t="s">
        <v>0</v>
      </c>
      <c r="B1" s="62" t="s">
        <v>1</v>
      </c>
      <c r="C1" s="62" t="s">
        <v>2</v>
      </c>
      <c r="D1" s="62" t="s">
        <v>860</v>
      </c>
      <c r="E1" s="62" t="s">
        <v>861</v>
      </c>
      <c r="F1" s="62" t="s">
        <v>1</v>
      </c>
      <c r="G1" s="63" t="s">
        <v>862</v>
      </c>
      <c r="H1" s="64" t="s">
        <v>14</v>
      </c>
      <c r="I1" s="63" t="s">
        <v>863</v>
      </c>
      <c r="J1" s="64" t="s">
        <v>14</v>
      </c>
      <c r="K1" s="65" t="s">
        <v>864</v>
      </c>
      <c r="L1" s="64" t="s">
        <v>14</v>
      </c>
      <c r="M1" s="65" t="s">
        <v>865</v>
      </c>
      <c r="N1" s="64" t="s">
        <v>14</v>
      </c>
      <c r="O1" s="65" t="s">
        <v>866</v>
      </c>
      <c r="P1" s="64" t="s">
        <v>14</v>
      </c>
      <c r="Q1" s="65" t="s">
        <v>867</v>
      </c>
      <c r="R1" s="64" t="s">
        <v>14</v>
      </c>
      <c r="S1" s="65" t="s">
        <v>868</v>
      </c>
      <c r="T1" s="64" t="s">
        <v>14</v>
      </c>
      <c r="U1" s="65" t="s">
        <v>869</v>
      </c>
      <c r="V1" s="64" t="s">
        <v>14</v>
      </c>
      <c r="W1" s="65" t="s">
        <v>870</v>
      </c>
      <c r="X1" s="64" t="s">
        <v>14</v>
      </c>
      <c r="Y1" s="65" t="s">
        <v>871</v>
      </c>
      <c r="Z1" s="64" t="s">
        <v>14</v>
      </c>
      <c r="AA1" s="65" t="s">
        <v>872</v>
      </c>
      <c r="AB1" s="64" t="s">
        <v>14</v>
      </c>
      <c r="AC1" s="65" t="s">
        <v>873</v>
      </c>
      <c r="AD1" s="64" t="s">
        <v>14</v>
      </c>
    </row>
    <row r="2" ht="15.75" customHeight="1">
      <c r="A2" s="5">
        <v>1856.0</v>
      </c>
      <c r="B2" s="6" t="s">
        <v>36</v>
      </c>
      <c r="C2" s="7" t="str">
        <f t="shared" ref="C2:C19" si="1">CONCATENATE(D2,"_",F2)</f>
        <v>ESD-01_LOCATION INCHARGE</v>
      </c>
      <c r="D2" s="8" t="s">
        <v>874</v>
      </c>
      <c r="E2" s="8" t="s">
        <v>875</v>
      </c>
      <c r="F2" s="8" t="s">
        <v>876</v>
      </c>
      <c r="G2" s="22" t="s">
        <v>877</v>
      </c>
      <c r="H2" s="35">
        <v>0.0</v>
      </c>
      <c r="I2" s="66" t="s">
        <v>878</v>
      </c>
      <c r="J2" s="35">
        <v>0.0</v>
      </c>
      <c r="K2" s="22" t="s">
        <v>879</v>
      </c>
      <c r="L2" s="35">
        <v>0.0</v>
      </c>
      <c r="M2" s="22" t="s">
        <v>880</v>
      </c>
      <c r="N2" s="35">
        <v>0.0</v>
      </c>
      <c r="O2" s="22" t="s">
        <v>881</v>
      </c>
      <c r="P2" s="35">
        <v>0.0</v>
      </c>
      <c r="Q2" s="22" t="s">
        <v>882</v>
      </c>
      <c r="R2" s="35">
        <v>0.0</v>
      </c>
      <c r="S2" s="22" t="s">
        <v>883</v>
      </c>
      <c r="T2" s="35">
        <v>0.0</v>
      </c>
      <c r="U2" s="22" t="s">
        <v>884</v>
      </c>
      <c r="V2" s="35">
        <v>0.0</v>
      </c>
      <c r="W2" s="22" t="s">
        <v>885</v>
      </c>
      <c r="X2" s="35">
        <v>0.0</v>
      </c>
      <c r="Y2" s="22" t="s">
        <v>886</v>
      </c>
      <c r="Z2" s="35">
        <v>0.0</v>
      </c>
      <c r="AA2" s="22" t="s">
        <v>887</v>
      </c>
      <c r="AB2" s="35">
        <v>0.0</v>
      </c>
      <c r="AC2" s="22" t="s">
        <v>888</v>
      </c>
      <c r="AD2" s="35">
        <v>0.0</v>
      </c>
    </row>
    <row r="3" ht="15.75" customHeight="1">
      <c r="A3" s="5">
        <v>1856.0</v>
      </c>
      <c r="B3" s="6" t="s">
        <v>36</v>
      </c>
      <c r="C3" s="7" t="str">
        <f t="shared" si="1"/>
        <v>ESD-02_CONTROL ROOM</v>
      </c>
      <c r="D3" s="8" t="s">
        <v>889</v>
      </c>
      <c r="E3" s="8" t="s">
        <v>890</v>
      </c>
      <c r="F3" s="8" t="s">
        <v>891</v>
      </c>
      <c r="G3" s="22" t="s">
        <v>892</v>
      </c>
      <c r="H3" s="35">
        <v>0.0</v>
      </c>
      <c r="I3" s="22" t="s">
        <v>893</v>
      </c>
      <c r="J3" s="35">
        <v>0.0</v>
      </c>
      <c r="K3" s="22" t="s">
        <v>879</v>
      </c>
      <c r="L3" s="35">
        <v>0.0</v>
      </c>
      <c r="M3" s="22" t="s">
        <v>880</v>
      </c>
      <c r="N3" s="35">
        <v>0.0</v>
      </c>
      <c r="O3" s="22" t="s">
        <v>881</v>
      </c>
      <c r="P3" s="35">
        <v>0.0</v>
      </c>
      <c r="Q3" s="22" t="s">
        <v>882</v>
      </c>
      <c r="R3" s="35">
        <v>0.0</v>
      </c>
      <c r="S3" s="22" t="s">
        <v>883</v>
      </c>
      <c r="T3" s="35">
        <v>0.0</v>
      </c>
      <c r="U3" s="22" t="s">
        <v>884</v>
      </c>
      <c r="V3" s="35">
        <v>0.0</v>
      </c>
      <c r="W3" s="22" t="s">
        <v>885</v>
      </c>
      <c r="X3" s="35">
        <v>0.0</v>
      </c>
      <c r="Y3" s="22" t="s">
        <v>886</v>
      </c>
      <c r="Z3" s="35">
        <v>0.0</v>
      </c>
      <c r="AA3" s="22" t="s">
        <v>887</v>
      </c>
      <c r="AB3" s="35">
        <v>0.0</v>
      </c>
      <c r="AC3" s="22" t="s">
        <v>888</v>
      </c>
      <c r="AD3" s="35">
        <v>0.0</v>
      </c>
    </row>
    <row r="4" ht="15.75" customHeight="1">
      <c r="A4" s="5">
        <v>1856.0</v>
      </c>
      <c r="B4" s="6" t="s">
        <v>36</v>
      </c>
      <c r="C4" s="7" t="str">
        <f t="shared" si="1"/>
        <v>ESD-03_TLF GANTRY AREA</v>
      </c>
      <c r="D4" s="8" t="s">
        <v>894</v>
      </c>
      <c r="E4" s="8" t="s">
        <v>895</v>
      </c>
      <c r="F4" s="8" t="s">
        <v>896</v>
      </c>
      <c r="G4" s="22" t="s">
        <v>897</v>
      </c>
      <c r="H4" s="35">
        <v>0.0</v>
      </c>
      <c r="I4" s="22" t="s">
        <v>898</v>
      </c>
      <c r="J4" s="35">
        <v>0.0</v>
      </c>
      <c r="K4" s="22" t="s">
        <v>879</v>
      </c>
      <c r="L4" s="35">
        <v>0.0</v>
      </c>
      <c r="M4" s="22" t="s">
        <v>880</v>
      </c>
      <c r="N4" s="35">
        <v>0.0</v>
      </c>
      <c r="O4" s="22" t="s">
        <v>881</v>
      </c>
      <c r="P4" s="35">
        <v>0.0</v>
      </c>
      <c r="Q4" s="22" t="s">
        <v>882</v>
      </c>
      <c r="R4" s="35">
        <v>0.0</v>
      </c>
      <c r="S4" s="22" t="s">
        <v>883</v>
      </c>
      <c r="T4" s="35">
        <v>0.0</v>
      </c>
      <c r="U4" s="22" t="s">
        <v>884</v>
      </c>
      <c r="V4" s="35">
        <v>0.0</v>
      </c>
      <c r="W4" s="22" t="s">
        <v>885</v>
      </c>
      <c r="X4" s="35">
        <v>0.0</v>
      </c>
      <c r="Y4" s="22" t="s">
        <v>886</v>
      </c>
      <c r="Z4" s="35">
        <v>0.0</v>
      </c>
      <c r="AA4" s="22" t="s">
        <v>887</v>
      </c>
      <c r="AB4" s="35">
        <v>0.0</v>
      </c>
      <c r="AC4" s="22" t="s">
        <v>888</v>
      </c>
      <c r="AD4" s="35">
        <v>0.0</v>
      </c>
    </row>
    <row r="5" ht="15.75" customHeight="1">
      <c r="A5" s="5">
        <v>1856.0</v>
      </c>
      <c r="B5" s="6" t="s">
        <v>36</v>
      </c>
      <c r="C5" s="7" t="str">
        <f t="shared" si="1"/>
        <v>ESD-04_MCC ROOM</v>
      </c>
      <c r="D5" s="8" t="s">
        <v>899</v>
      </c>
      <c r="E5" s="8" t="s">
        <v>900</v>
      </c>
      <c r="F5" s="8" t="s">
        <v>901</v>
      </c>
      <c r="G5" s="22" t="s">
        <v>902</v>
      </c>
      <c r="H5" s="35">
        <v>0.0</v>
      </c>
      <c r="I5" s="22" t="s">
        <v>903</v>
      </c>
      <c r="J5" s="35">
        <v>0.0</v>
      </c>
      <c r="K5" s="22" t="s">
        <v>879</v>
      </c>
      <c r="L5" s="35">
        <v>0.0</v>
      </c>
      <c r="M5" s="22" t="s">
        <v>880</v>
      </c>
      <c r="N5" s="35">
        <v>0.0</v>
      </c>
      <c r="O5" s="22" t="s">
        <v>881</v>
      </c>
      <c r="P5" s="35">
        <v>0.0</v>
      </c>
      <c r="Q5" s="22" t="s">
        <v>882</v>
      </c>
      <c r="R5" s="35">
        <v>0.0</v>
      </c>
      <c r="S5" s="22" t="s">
        <v>883</v>
      </c>
      <c r="T5" s="35">
        <v>0.0</v>
      </c>
      <c r="U5" s="22" t="s">
        <v>884</v>
      </c>
      <c r="V5" s="35">
        <v>0.0</v>
      </c>
      <c r="W5" s="22" t="s">
        <v>885</v>
      </c>
      <c r="X5" s="35">
        <v>0.0</v>
      </c>
      <c r="Y5" s="22" t="s">
        <v>886</v>
      </c>
      <c r="Z5" s="35">
        <v>0.0</v>
      </c>
      <c r="AA5" s="22" t="s">
        <v>887</v>
      </c>
      <c r="AB5" s="35">
        <v>0.0</v>
      </c>
      <c r="AC5" s="22" t="s">
        <v>888</v>
      </c>
      <c r="AD5" s="35">
        <v>0.0</v>
      </c>
    </row>
    <row r="6" ht="15.75" customHeight="1">
      <c r="A6" s="5">
        <v>1856.0</v>
      </c>
      <c r="B6" s="6" t="s">
        <v>36</v>
      </c>
      <c r="C6" s="7" t="str">
        <f t="shared" si="1"/>
        <v>ESD-05_LUBES</v>
      </c>
      <c r="D6" s="8" t="s">
        <v>904</v>
      </c>
      <c r="E6" s="8" t="s">
        <v>905</v>
      </c>
      <c r="F6" s="8" t="s">
        <v>906</v>
      </c>
      <c r="G6" s="22" t="s">
        <v>907</v>
      </c>
      <c r="H6" s="35">
        <v>0.0</v>
      </c>
      <c r="I6" s="22" t="s">
        <v>908</v>
      </c>
      <c r="J6" s="35">
        <v>0.0</v>
      </c>
      <c r="K6" s="22" t="s">
        <v>879</v>
      </c>
      <c r="L6" s="35">
        <v>0.0</v>
      </c>
      <c r="M6" s="22" t="s">
        <v>880</v>
      </c>
      <c r="N6" s="35">
        <v>0.0</v>
      </c>
      <c r="O6" s="22" t="s">
        <v>881</v>
      </c>
      <c r="P6" s="35">
        <v>0.0</v>
      </c>
      <c r="Q6" s="22" t="s">
        <v>882</v>
      </c>
      <c r="R6" s="35">
        <v>0.0</v>
      </c>
      <c r="S6" s="22" t="s">
        <v>883</v>
      </c>
      <c r="T6" s="35">
        <v>0.0</v>
      </c>
      <c r="U6" s="22" t="s">
        <v>884</v>
      </c>
      <c r="V6" s="35">
        <v>0.0</v>
      </c>
      <c r="W6" s="22" t="s">
        <v>885</v>
      </c>
      <c r="X6" s="35">
        <v>0.0</v>
      </c>
      <c r="Y6" s="22" t="s">
        <v>886</v>
      </c>
      <c r="Z6" s="35">
        <v>0.0</v>
      </c>
      <c r="AA6" s="22" t="s">
        <v>887</v>
      </c>
      <c r="AB6" s="35">
        <v>0.0</v>
      </c>
      <c r="AC6" s="22" t="s">
        <v>888</v>
      </c>
      <c r="AD6" s="35">
        <v>0.0</v>
      </c>
    </row>
    <row r="7" ht="15.75" customHeight="1">
      <c r="A7" s="5">
        <v>1856.0</v>
      </c>
      <c r="B7" s="6" t="s">
        <v>36</v>
      </c>
      <c r="C7" s="7" t="str">
        <f t="shared" si="1"/>
        <v>ESD-06_SECURITY ROOM</v>
      </c>
      <c r="D7" s="8" t="s">
        <v>909</v>
      </c>
      <c r="E7" s="8" t="s">
        <v>910</v>
      </c>
      <c r="F7" s="8" t="s">
        <v>911</v>
      </c>
      <c r="G7" s="22" t="s">
        <v>912</v>
      </c>
      <c r="H7" s="35">
        <v>0.0</v>
      </c>
      <c r="I7" s="22" t="s">
        <v>913</v>
      </c>
      <c r="J7" s="35">
        <v>0.0</v>
      </c>
      <c r="K7" s="22" t="s">
        <v>879</v>
      </c>
      <c r="L7" s="35">
        <v>0.0</v>
      </c>
      <c r="M7" s="22" t="s">
        <v>880</v>
      </c>
      <c r="N7" s="35">
        <v>0.0</v>
      </c>
      <c r="O7" s="22" t="s">
        <v>881</v>
      </c>
      <c r="P7" s="35">
        <v>0.0</v>
      </c>
      <c r="Q7" s="22" t="s">
        <v>882</v>
      </c>
      <c r="R7" s="35">
        <v>0.0</v>
      </c>
      <c r="S7" s="22" t="s">
        <v>883</v>
      </c>
      <c r="T7" s="35">
        <v>0.0</v>
      </c>
      <c r="U7" s="22" t="s">
        <v>884</v>
      </c>
      <c r="V7" s="35">
        <v>0.0</v>
      </c>
      <c r="W7" s="22" t="s">
        <v>885</v>
      </c>
      <c r="X7" s="35">
        <v>0.0</v>
      </c>
      <c r="Y7" s="22" t="s">
        <v>886</v>
      </c>
      <c r="Z7" s="35">
        <v>0.0</v>
      </c>
      <c r="AA7" s="22" t="s">
        <v>887</v>
      </c>
      <c r="AB7" s="35">
        <v>0.0</v>
      </c>
      <c r="AC7" s="22" t="s">
        <v>888</v>
      </c>
      <c r="AD7" s="35">
        <v>0.0</v>
      </c>
    </row>
    <row r="8" ht="15.75" customHeight="1">
      <c r="A8" s="5">
        <v>1856.0</v>
      </c>
      <c r="B8" s="6" t="s">
        <v>36</v>
      </c>
      <c r="C8" s="7" t="str">
        <f t="shared" si="1"/>
        <v>ESD-08_TLF PMP HOUSE</v>
      </c>
      <c r="D8" s="8" t="s">
        <v>914</v>
      </c>
      <c r="E8" s="8" t="s">
        <v>915</v>
      </c>
      <c r="F8" s="8" t="s">
        <v>916</v>
      </c>
      <c r="G8" s="22" t="s">
        <v>917</v>
      </c>
      <c r="H8" s="35">
        <v>0.0</v>
      </c>
      <c r="I8" s="22" t="s">
        <v>918</v>
      </c>
      <c r="J8" s="35">
        <v>0.0</v>
      </c>
      <c r="K8" s="22" t="s">
        <v>879</v>
      </c>
      <c r="L8" s="35">
        <v>0.0</v>
      </c>
      <c r="M8" s="22" t="s">
        <v>880</v>
      </c>
      <c r="N8" s="35">
        <v>0.0</v>
      </c>
      <c r="O8" s="22" t="s">
        <v>881</v>
      </c>
      <c r="P8" s="35">
        <v>0.0</v>
      </c>
      <c r="Q8" s="22" t="s">
        <v>882</v>
      </c>
      <c r="R8" s="35">
        <v>0.0</v>
      </c>
      <c r="S8" s="22" t="s">
        <v>883</v>
      </c>
      <c r="T8" s="35">
        <v>0.0</v>
      </c>
      <c r="U8" s="22" t="s">
        <v>884</v>
      </c>
      <c r="V8" s="35">
        <v>0.0</v>
      </c>
      <c r="W8" s="22" t="s">
        <v>885</v>
      </c>
      <c r="X8" s="35">
        <v>0.0</v>
      </c>
      <c r="Y8" s="22" t="s">
        <v>886</v>
      </c>
      <c r="Z8" s="35">
        <v>0.0</v>
      </c>
      <c r="AA8" s="22" t="s">
        <v>887</v>
      </c>
      <c r="AB8" s="35">
        <v>0.0</v>
      </c>
      <c r="AC8" s="22" t="s">
        <v>888</v>
      </c>
      <c r="AD8" s="35">
        <v>0.0</v>
      </c>
    </row>
    <row r="9" ht="15.75" customHeight="1">
      <c r="A9" s="5">
        <v>1856.0</v>
      </c>
      <c r="B9" s="6" t="s">
        <v>36</v>
      </c>
      <c r="C9" s="7" t="str">
        <f t="shared" si="1"/>
        <v>ESD-09_NEAR TK - 01</v>
      </c>
      <c r="D9" s="8" t="s">
        <v>919</v>
      </c>
      <c r="E9" s="8" t="s">
        <v>920</v>
      </c>
      <c r="F9" s="8" t="s">
        <v>921</v>
      </c>
      <c r="G9" s="22" t="s">
        <v>922</v>
      </c>
      <c r="H9" s="35">
        <v>0.0</v>
      </c>
      <c r="I9" s="22" t="s">
        <v>923</v>
      </c>
      <c r="J9" s="35">
        <v>0.0</v>
      </c>
      <c r="K9" s="22" t="s">
        <v>879</v>
      </c>
      <c r="L9" s="35">
        <v>0.0</v>
      </c>
      <c r="M9" s="22" t="s">
        <v>880</v>
      </c>
      <c r="N9" s="35">
        <v>0.0</v>
      </c>
      <c r="O9" s="22" t="s">
        <v>881</v>
      </c>
      <c r="P9" s="35">
        <v>0.0</v>
      </c>
      <c r="Q9" s="22" t="s">
        <v>882</v>
      </c>
      <c r="R9" s="35">
        <v>0.0</v>
      </c>
      <c r="S9" s="22" t="s">
        <v>883</v>
      </c>
      <c r="T9" s="35">
        <v>0.0</v>
      </c>
      <c r="U9" s="22" t="s">
        <v>884</v>
      </c>
      <c r="V9" s="35">
        <v>0.0</v>
      </c>
      <c r="W9" s="22" t="s">
        <v>885</v>
      </c>
      <c r="X9" s="35">
        <v>0.0</v>
      </c>
      <c r="Y9" s="22" t="s">
        <v>886</v>
      </c>
      <c r="Z9" s="35">
        <v>0.0</v>
      </c>
      <c r="AA9" s="22" t="s">
        <v>887</v>
      </c>
      <c r="AB9" s="35">
        <v>0.0</v>
      </c>
      <c r="AC9" s="22" t="s">
        <v>888</v>
      </c>
      <c r="AD9" s="35">
        <v>0.0</v>
      </c>
    </row>
    <row r="10" ht="15.75" customHeight="1">
      <c r="A10" s="5">
        <v>1856.0</v>
      </c>
      <c r="B10" s="6" t="s">
        <v>36</v>
      </c>
      <c r="C10" s="7" t="str">
        <f t="shared" si="1"/>
        <v>ESD-10_NEAR TK - 04</v>
      </c>
      <c r="D10" s="8" t="s">
        <v>924</v>
      </c>
      <c r="E10" s="8" t="s">
        <v>925</v>
      </c>
      <c r="F10" s="8" t="s">
        <v>926</v>
      </c>
      <c r="G10" s="22" t="s">
        <v>927</v>
      </c>
      <c r="H10" s="35">
        <v>0.0</v>
      </c>
      <c r="I10" s="22" t="s">
        <v>928</v>
      </c>
      <c r="J10" s="35">
        <v>0.0</v>
      </c>
      <c r="K10" s="22" t="s">
        <v>879</v>
      </c>
      <c r="L10" s="35">
        <v>0.0</v>
      </c>
      <c r="M10" s="22" t="s">
        <v>880</v>
      </c>
      <c r="N10" s="35">
        <v>0.0</v>
      </c>
      <c r="O10" s="22" t="s">
        <v>881</v>
      </c>
      <c r="P10" s="35">
        <v>0.0</v>
      </c>
      <c r="Q10" s="22" t="s">
        <v>882</v>
      </c>
      <c r="R10" s="35">
        <v>0.0</v>
      </c>
      <c r="S10" s="22" t="s">
        <v>883</v>
      </c>
      <c r="T10" s="35">
        <v>0.0</v>
      </c>
      <c r="U10" s="22" t="s">
        <v>884</v>
      </c>
      <c r="V10" s="35">
        <v>0.0</v>
      </c>
      <c r="W10" s="22" t="s">
        <v>885</v>
      </c>
      <c r="X10" s="35">
        <v>0.0</v>
      </c>
      <c r="Y10" s="22" t="s">
        <v>886</v>
      </c>
      <c r="Z10" s="35">
        <v>0.0</v>
      </c>
      <c r="AA10" s="22" t="s">
        <v>887</v>
      </c>
      <c r="AB10" s="35">
        <v>0.0</v>
      </c>
      <c r="AC10" s="22" t="s">
        <v>888</v>
      </c>
      <c r="AD10" s="35">
        <v>0.0</v>
      </c>
    </row>
    <row r="11" ht="15.75" customHeight="1">
      <c r="A11" s="5">
        <v>1856.0</v>
      </c>
      <c r="B11" s="6" t="s">
        <v>36</v>
      </c>
      <c r="C11" s="7" t="str">
        <f t="shared" si="1"/>
        <v>ESD-11_NEAR TK - 16</v>
      </c>
      <c r="D11" s="8" t="s">
        <v>929</v>
      </c>
      <c r="E11" s="8" t="s">
        <v>930</v>
      </c>
      <c r="F11" s="8" t="s">
        <v>931</v>
      </c>
      <c r="G11" s="22" t="s">
        <v>932</v>
      </c>
      <c r="H11" s="35">
        <v>0.0</v>
      </c>
      <c r="I11" s="22" t="s">
        <v>933</v>
      </c>
      <c r="J11" s="35">
        <v>0.0</v>
      </c>
      <c r="K11" s="22" t="s">
        <v>879</v>
      </c>
      <c r="L11" s="35">
        <v>0.0</v>
      </c>
      <c r="M11" s="22" t="s">
        <v>880</v>
      </c>
      <c r="N11" s="35">
        <v>0.0</v>
      </c>
      <c r="O11" s="22" t="s">
        <v>881</v>
      </c>
      <c r="P11" s="35">
        <v>0.0</v>
      </c>
      <c r="Q11" s="22" t="s">
        <v>882</v>
      </c>
      <c r="R11" s="35">
        <v>0.0</v>
      </c>
      <c r="S11" s="22" t="s">
        <v>883</v>
      </c>
      <c r="T11" s="35">
        <v>0.0</v>
      </c>
      <c r="U11" s="22" t="s">
        <v>884</v>
      </c>
      <c r="V11" s="35">
        <v>0.0</v>
      </c>
      <c r="W11" s="22" t="s">
        <v>885</v>
      </c>
      <c r="X11" s="35">
        <v>0.0</v>
      </c>
      <c r="Y11" s="22" t="s">
        <v>886</v>
      </c>
      <c r="Z11" s="35">
        <v>0.0</v>
      </c>
      <c r="AA11" s="22" t="s">
        <v>887</v>
      </c>
      <c r="AB11" s="35">
        <v>0.0</v>
      </c>
      <c r="AC11" s="22" t="s">
        <v>888</v>
      </c>
      <c r="AD11" s="35">
        <v>0.0</v>
      </c>
    </row>
    <row r="12" ht="15.75" customHeight="1">
      <c r="A12" s="5">
        <v>1856.0</v>
      </c>
      <c r="B12" s="6" t="s">
        <v>36</v>
      </c>
      <c r="C12" s="7" t="str">
        <f t="shared" si="1"/>
        <v>ESD-12_NEAR TK - 15</v>
      </c>
      <c r="D12" s="8" t="s">
        <v>934</v>
      </c>
      <c r="E12" s="8" t="s">
        <v>935</v>
      </c>
      <c r="F12" s="8" t="s">
        <v>936</v>
      </c>
      <c r="G12" s="22" t="s">
        <v>937</v>
      </c>
      <c r="H12" s="35">
        <v>0.0</v>
      </c>
      <c r="I12" s="22" t="s">
        <v>938</v>
      </c>
      <c r="J12" s="35">
        <v>0.0</v>
      </c>
      <c r="K12" s="22" t="s">
        <v>879</v>
      </c>
      <c r="L12" s="35">
        <v>0.0</v>
      </c>
      <c r="M12" s="22" t="s">
        <v>880</v>
      </c>
      <c r="N12" s="35">
        <v>0.0</v>
      </c>
      <c r="O12" s="22" t="s">
        <v>881</v>
      </c>
      <c r="P12" s="35">
        <v>0.0</v>
      </c>
      <c r="Q12" s="22" t="s">
        <v>882</v>
      </c>
      <c r="R12" s="35">
        <v>0.0</v>
      </c>
      <c r="S12" s="22" t="s">
        <v>883</v>
      </c>
      <c r="T12" s="35">
        <v>0.0</v>
      </c>
      <c r="U12" s="22" t="s">
        <v>884</v>
      </c>
      <c r="V12" s="35">
        <v>0.0</v>
      </c>
      <c r="W12" s="22" t="s">
        <v>885</v>
      </c>
      <c r="X12" s="35">
        <v>0.0</v>
      </c>
      <c r="Y12" s="22" t="s">
        <v>886</v>
      </c>
      <c r="Z12" s="35">
        <v>0.0</v>
      </c>
      <c r="AA12" s="22" t="s">
        <v>887</v>
      </c>
      <c r="AB12" s="35">
        <v>0.0</v>
      </c>
      <c r="AC12" s="22" t="s">
        <v>888</v>
      </c>
      <c r="AD12" s="35">
        <v>0.0</v>
      </c>
    </row>
    <row r="13" ht="15.75" customHeight="1">
      <c r="A13" s="5">
        <v>1856.0</v>
      </c>
      <c r="B13" s="6" t="s">
        <v>36</v>
      </c>
      <c r="C13" s="7" t="str">
        <f t="shared" si="1"/>
        <v>ESD-14_CENTRAL ESD</v>
      </c>
      <c r="D13" s="8" t="s">
        <v>939</v>
      </c>
      <c r="E13" s="8" t="s">
        <v>940</v>
      </c>
      <c r="F13" s="8" t="s">
        <v>941</v>
      </c>
      <c r="G13" s="22" t="s">
        <v>942</v>
      </c>
      <c r="H13" s="35">
        <v>0.0</v>
      </c>
      <c r="I13" s="22"/>
      <c r="J13" s="22"/>
      <c r="K13" s="22" t="s">
        <v>879</v>
      </c>
      <c r="L13" s="35">
        <v>0.0</v>
      </c>
      <c r="M13" s="22" t="s">
        <v>880</v>
      </c>
      <c r="N13" s="35">
        <v>0.0</v>
      </c>
      <c r="O13" s="22" t="s">
        <v>881</v>
      </c>
      <c r="P13" s="35">
        <v>0.0</v>
      </c>
      <c r="Q13" s="22" t="s">
        <v>882</v>
      </c>
      <c r="R13" s="35">
        <v>0.0</v>
      </c>
      <c r="S13" s="22" t="s">
        <v>883</v>
      </c>
      <c r="T13" s="35">
        <v>0.0</v>
      </c>
      <c r="U13" s="22" t="s">
        <v>884</v>
      </c>
      <c r="V13" s="35">
        <v>0.0</v>
      </c>
      <c r="W13" s="22" t="s">
        <v>885</v>
      </c>
      <c r="X13" s="35">
        <v>0.0</v>
      </c>
      <c r="Y13" s="22" t="s">
        <v>886</v>
      </c>
      <c r="Z13" s="35">
        <v>0.0</v>
      </c>
      <c r="AA13" s="22" t="s">
        <v>887</v>
      </c>
      <c r="AB13" s="35">
        <v>0.0</v>
      </c>
      <c r="AC13" s="22" t="s">
        <v>888</v>
      </c>
      <c r="AD13" s="35">
        <v>0.0</v>
      </c>
    </row>
    <row r="14" ht="15.75" customHeight="1">
      <c r="A14" s="5">
        <v>1856.0</v>
      </c>
      <c r="B14" s="6" t="s">
        <v>36</v>
      </c>
      <c r="C14" s="7" t="str">
        <f t="shared" si="1"/>
        <v>ESD-17_WAGON SIDING - 1</v>
      </c>
      <c r="D14" s="8" t="s">
        <v>943</v>
      </c>
      <c r="E14" s="8" t="s">
        <v>943</v>
      </c>
      <c r="F14" s="8" t="s">
        <v>944</v>
      </c>
      <c r="G14" s="22" t="s">
        <v>945</v>
      </c>
      <c r="H14" s="35">
        <v>0.0</v>
      </c>
      <c r="I14" s="22"/>
      <c r="J14" s="22"/>
      <c r="K14" s="22" t="s">
        <v>879</v>
      </c>
      <c r="L14" s="35">
        <v>0.0</v>
      </c>
      <c r="M14" s="22" t="s">
        <v>880</v>
      </c>
      <c r="N14" s="35">
        <v>0.0</v>
      </c>
      <c r="O14" s="22" t="s">
        <v>881</v>
      </c>
      <c r="P14" s="35">
        <v>0.0</v>
      </c>
      <c r="Q14" s="22" t="s">
        <v>882</v>
      </c>
      <c r="R14" s="35">
        <v>0.0</v>
      </c>
      <c r="S14" s="22" t="s">
        <v>883</v>
      </c>
      <c r="T14" s="35">
        <v>0.0</v>
      </c>
      <c r="U14" s="22" t="s">
        <v>884</v>
      </c>
      <c r="V14" s="35">
        <v>0.0</v>
      </c>
      <c r="W14" s="22" t="s">
        <v>885</v>
      </c>
      <c r="X14" s="35">
        <v>0.0</v>
      </c>
      <c r="Y14" s="22" t="s">
        <v>886</v>
      </c>
      <c r="Z14" s="35">
        <v>0.0</v>
      </c>
      <c r="AA14" s="22" t="s">
        <v>887</v>
      </c>
      <c r="AB14" s="35">
        <v>0.0</v>
      </c>
      <c r="AC14" s="22" t="s">
        <v>888</v>
      </c>
      <c r="AD14" s="35">
        <v>0.0</v>
      </c>
    </row>
    <row r="15" ht="15.75" customHeight="1">
      <c r="A15" s="5">
        <v>1856.0</v>
      </c>
      <c r="B15" s="6" t="s">
        <v>36</v>
      </c>
      <c r="C15" s="7" t="str">
        <f t="shared" si="1"/>
        <v>ESD-19_WAGON SIDING - 2</v>
      </c>
      <c r="D15" s="8" t="s">
        <v>946</v>
      </c>
      <c r="E15" s="8" t="s">
        <v>946</v>
      </c>
      <c r="F15" s="8" t="s">
        <v>947</v>
      </c>
      <c r="G15" s="22" t="s">
        <v>948</v>
      </c>
      <c r="H15" s="35">
        <v>0.0</v>
      </c>
      <c r="I15" s="22" t="s">
        <v>949</v>
      </c>
      <c r="J15" s="35">
        <v>0.0</v>
      </c>
      <c r="K15" s="22" t="s">
        <v>879</v>
      </c>
      <c r="L15" s="35">
        <v>0.0</v>
      </c>
      <c r="M15" s="22" t="s">
        <v>880</v>
      </c>
      <c r="N15" s="35">
        <v>0.0</v>
      </c>
      <c r="O15" s="22" t="s">
        <v>881</v>
      </c>
      <c r="P15" s="35">
        <v>0.0</v>
      </c>
      <c r="Q15" s="22" t="s">
        <v>882</v>
      </c>
      <c r="R15" s="35">
        <v>0.0</v>
      </c>
      <c r="S15" s="22" t="s">
        <v>883</v>
      </c>
      <c r="T15" s="35">
        <v>0.0</v>
      </c>
      <c r="U15" s="22" t="s">
        <v>884</v>
      </c>
      <c r="V15" s="35">
        <v>0.0</v>
      </c>
      <c r="W15" s="22" t="s">
        <v>885</v>
      </c>
      <c r="X15" s="35">
        <v>0.0</v>
      </c>
      <c r="Y15" s="22" t="s">
        <v>886</v>
      </c>
      <c r="Z15" s="35">
        <v>0.0</v>
      </c>
      <c r="AA15" s="22" t="s">
        <v>887</v>
      </c>
      <c r="AB15" s="35">
        <v>0.0</v>
      </c>
      <c r="AC15" s="22" t="s">
        <v>888</v>
      </c>
      <c r="AD15" s="35">
        <v>0.0</v>
      </c>
    </row>
    <row r="16" ht="15.75" customHeight="1">
      <c r="A16" s="5">
        <v>1856.0</v>
      </c>
      <c r="B16" s="6" t="s">
        <v>36</v>
      </c>
      <c r="C16" s="7" t="str">
        <f t="shared" si="1"/>
        <v>ESD-20_WAGON SIDING - 3</v>
      </c>
      <c r="D16" s="8" t="s">
        <v>950</v>
      </c>
      <c r="E16" s="8" t="s">
        <v>950</v>
      </c>
      <c r="F16" s="8" t="s">
        <v>951</v>
      </c>
      <c r="G16" s="22" t="s">
        <v>952</v>
      </c>
      <c r="H16" s="35">
        <v>0.0</v>
      </c>
      <c r="I16" s="22" t="s">
        <v>953</v>
      </c>
      <c r="J16" s="35">
        <v>0.0</v>
      </c>
      <c r="K16" s="22" t="s">
        <v>879</v>
      </c>
      <c r="L16" s="35">
        <v>0.0</v>
      </c>
      <c r="M16" s="22" t="s">
        <v>880</v>
      </c>
      <c r="N16" s="35">
        <v>0.0</v>
      </c>
      <c r="O16" s="22" t="s">
        <v>881</v>
      </c>
      <c r="P16" s="35">
        <v>0.0</v>
      </c>
      <c r="Q16" s="22" t="s">
        <v>882</v>
      </c>
      <c r="R16" s="35">
        <v>0.0</v>
      </c>
      <c r="S16" s="22" t="s">
        <v>883</v>
      </c>
      <c r="T16" s="35">
        <v>0.0</v>
      </c>
      <c r="U16" s="22" t="s">
        <v>884</v>
      </c>
      <c r="V16" s="35">
        <v>0.0</v>
      </c>
      <c r="W16" s="22" t="s">
        <v>885</v>
      </c>
      <c r="X16" s="35">
        <v>0.0</v>
      </c>
      <c r="Y16" s="22" t="s">
        <v>886</v>
      </c>
      <c r="Z16" s="35">
        <v>0.0</v>
      </c>
      <c r="AA16" s="22" t="s">
        <v>887</v>
      </c>
      <c r="AB16" s="35">
        <v>0.0</v>
      </c>
      <c r="AC16" s="22" t="s">
        <v>888</v>
      </c>
      <c r="AD16" s="35">
        <v>0.0</v>
      </c>
    </row>
    <row r="17" ht="15.75" customHeight="1">
      <c r="A17" s="5">
        <v>1856.0</v>
      </c>
      <c r="B17" s="6" t="s">
        <v>36</v>
      </c>
      <c r="C17" s="7" t="str">
        <f t="shared" si="1"/>
        <v>ESD-21_TANK 13</v>
      </c>
      <c r="D17" s="8" t="s">
        <v>954</v>
      </c>
      <c r="E17" s="8" t="s">
        <v>954</v>
      </c>
      <c r="F17" s="8" t="s">
        <v>955</v>
      </c>
      <c r="G17" s="22" t="s">
        <v>956</v>
      </c>
      <c r="H17" s="35">
        <v>0.0</v>
      </c>
      <c r="I17" s="22" t="s">
        <v>957</v>
      </c>
      <c r="J17" s="35">
        <v>0.0</v>
      </c>
      <c r="K17" s="22" t="s">
        <v>879</v>
      </c>
      <c r="L17" s="35">
        <v>0.0</v>
      </c>
      <c r="M17" s="22" t="s">
        <v>880</v>
      </c>
      <c r="N17" s="35">
        <v>0.0</v>
      </c>
      <c r="O17" s="22" t="s">
        <v>881</v>
      </c>
      <c r="P17" s="35">
        <v>0.0</v>
      </c>
      <c r="Q17" s="22" t="s">
        <v>882</v>
      </c>
      <c r="R17" s="35">
        <v>0.0</v>
      </c>
      <c r="S17" s="22" t="s">
        <v>883</v>
      </c>
      <c r="T17" s="35">
        <v>0.0</v>
      </c>
      <c r="U17" s="22" t="s">
        <v>884</v>
      </c>
      <c r="V17" s="35">
        <v>0.0</v>
      </c>
      <c r="W17" s="22" t="s">
        <v>885</v>
      </c>
      <c r="X17" s="35">
        <v>0.0</v>
      </c>
      <c r="Y17" s="22" t="s">
        <v>886</v>
      </c>
      <c r="Z17" s="35">
        <v>0.0</v>
      </c>
      <c r="AA17" s="22" t="s">
        <v>887</v>
      </c>
      <c r="AB17" s="35">
        <v>0.0</v>
      </c>
      <c r="AC17" s="22" t="s">
        <v>888</v>
      </c>
      <c r="AD17" s="35">
        <v>0.0</v>
      </c>
    </row>
    <row r="18" ht="15.75" customHeight="1">
      <c r="A18" s="5">
        <v>1856.0</v>
      </c>
      <c r="B18" s="6" t="s">
        <v>36</v>
      </c>
      <c r="C18" s="7" t="str">
        <f t="shared" si="1"/>
        <v>ESD-22_INFRONT AFS CR</v>
      </c>
      <c r="D18" s="8" t="s">
        <v>958</v>
      </c>
      <c r="E18" s="8" t="s">
        <v>958</v>
      </c>
      <c r="F18" s="8" t="s">
        <v>959</v>
      </c>
      <c r="G18" s="22" t="s">
        <v>960</v>
      </c>
      <c r="H18" s="35">
        <v>0.0</v>
      </c>
      <c r="I18" s="22" t="s">
        <v>961</v>
      </c>
      <c r="J18" s="35">
        <v>0.0</v>
      </c>
      <c r="K18" s="22" t="s">
        <v>879</v>
      </c>
      <c r="L18" s="35">
        <v>0.0</v>
      </c>
      <c r="M18" s="22" t="s">
        <v>880</v>
      </c>
      <c r="N18" s="35">
        <v>0.0</v>
      </c>
      <c r="O18" s="22" t="s">
        <v>881</v>
      </c>
      <c r="P18" s="35">
        <v>0.0</v>
      </c>
      <c r="Q18" s="22" t="s">
        <v>882</v>
      </c>
      <c r="R18" s="35">
        <v>0.0</v>
      </c>
      <c r="S18" s="22" t="s">
        <v>883</v>
      </c>
      <c r="T18" s="35">
        <v>0.0</v>
      </c>
      <c r="U18" s="22" t="s">
        <v>884</v>
      </c>
      <c r="V18" s="35">
        <v>0.0</v>
      </c>
      <c r="W18" s="22" t="s">
        <v>885</v>
      </c>
      <c r="X18" s="35">
        <v>0.0</v>
      </c>
      <c r="Y18" s="22" t="s">
        <v>886</v>
      </c>
      <c r="Z18" s="35">
        <v>0.0</v>
      </c>
      <c r="AA18" s="22" t="s">
        <v>887</v>
      </c>
      <c r="AB18" s="35">
        <v>0.0</v>
      </c>
      <c r="AC18" s="22" t="s">
        <v>888</v>
      </c>
      <c r="AD18" s="35">
        <v>0.0</v>
      </c>
    </row>
    <row r="19" ht="15.75" customHeight="1">
      <c r="A19" s="5">
        <v>1856.0</v>
      </c>
      <c r="B19" s="6" t="s">
        <v>36</v>
      </c>
      <c r="C19" s="7" t="str">
        <f t="shared" si="1"/>
        <v>ESD-SOFT_SOFT FROM OIC</v>
      </c>
      <c r="D19" s="8" t="s">
        <v>962</v>
      </c>
      <c r="E19" s="8" t="s">
        <v>962</v>
      </c>
      <c r="F19" s="8" t="s">
        <v>963</v>
      </c>
      <c r="G19" s="22" t="s">
        <v>964</v>
      </c>
      <c r="H19" s="35">
        <v>0.0</v>
      </c>
      <c r="I19" s="4"/>
      <c r="J19" s="4"/>
      <c r="K19" s="22" t="s">
        <v>879</v>
      </c>
      <c r="L19" s="35">
        <v>0.0</v>
      </c>
      <c r="M19" s="22" t="s">
        <v>880</v>
      </c>
      <c r="N19" s="35">
        <v>0.0</v>
      </c>
      <c r="O19" s="22" t="s">
        <v>881</v>
      </c>
      <c r="P19" s="35">
        <v>0.0</v>
      </c>
      <c r="Q19" s="22" t="s">
        <v>882</v>
      </c>
      <c r="R19" s="35">
        <v>0.0</v>
      </c>
      <c r="S19" s="22" t="s">
        <v>883</v>
      </c>
      <c r="T19" s="35">
        <v>0.0</v>
      </c>
      <c r="U19" s="22" t="s">
        <v>884</v>
      </c>
      <c r="V19" s="35">
        <v>0.0</v>
      </c>
      <c r="W19" s="22" t="s">
        <v>885</v>
      </c>
      <c r="X19" s="35">
        <v>0.0</v>
      </c>
      <c r="Y19" s="22" t="s">
        <v>886</v>
      </c>
      <c r="Z19" s="35">
        <v>0.0</v>
      </c>
      <c r="AA19" s="22" t="s">
        <v>887</v>
      </c>
      <c r="AB19" s="35">
        <v>0.0</v>
      </c>
      <c r="AC19" s="22" t="s">
        <v>888</v>
      </c>
      <c r="AD19" s="35">
        <v>0.0</v>
      </c>
    </row>
    <row r="20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965</v>
      </c>
      <c r="E1" s="1" t="s">
        <v>966</v>
      </c>
      <c r="F1" s="1" t="s">
        <v>967</v>
      </c>
      <c r="G1" s="1" t="s">
        <v>5</v>
      </c>
      <c r="H1" s="30" t="s">
        <v>968</v>
      </c>
      <c r="I1" s="30" t="s">
        <v>7</v>
      </c>
      <c r="J1" s="30" t="s">
        <v>969</v>
      </c>
      <c r="K1" s="30" t="s">
        <v>7</v>
      </c>
      <c r="L1" s="32" t="s">
        <v>970</v>
      </c>
      <c r="M1" s="32" t="s">
        <v>7</v>
      </c>
      <c r="N1" s="30" t="s">
        <v>971</v>
      </c>
      <c r="O1" s="30" t="s">
        <v>7</v>
      </c>
      <c r="P1" s="32" t="s">
        <v>972</v>
      </c>
      <c r="Q1" s="32" t="s">
        <v>7</v>
      </c>
      <c r="R1" s="30" t="s">
        <v>973</v>
      </c>
      <c r="S1" s="30" t="s">
        <v>7</v>
      </c>
      <c r="T1" s="32" t="s">
        <v>974</v>
      </c>
      <c r="U1" s="32" t="s">
        <v>7</v>
      </c>
      <c r="V1" s="30" t="s">
        <v>975</v>
      </c>
      <c r="W1" s="30" t="s">
        <v>7</v>
      </c>
      <c r="X1" s="30" t="s">
        <v>976</v>
      </c>
      <c r="Y1" s="30" t="s">
        <v>7</v>
      </c>
      <c r="Z1" s="30" t="s">
        <v>977</v>
      </c>
      <c r="AA1" s="30" t="s">
        <v>7</v>
      </c>
      <c r="AB1" s="30" t="s">
        <v>978</v>
      </c>
      <c r="AC1" s="30" t="s">
        <v>7</v>
      </c>
      <c r="AD1" s="30" t="s">
        <v>979</v>
      </c>
      <c r="AE1" s="30" t="s">
        <v>7</v>
      </c>
      <c r="AF1" s="30" t="s">
        <v>980</v>
      </c>
      <c r="AG1" s="30" t="s">
        <v>7</v>
      </c>
      <c r="AH1" s="67" t="s">
        <v>981</v>
      </c>
      <c r="AI1" s="68" t="s">
        <v>7</v>
      </c>
      <c r="AJ1" s="31" t="s">
        <v>982</v>
      </c>
      <c r="AK1" s="31" t="s">
        <v>7</v>
      </c>
      <c r="AL1" s="33" t="s">
        <v>983</v>
      </c>
      <c r="AM1" s="33" t="s">
        <v>7</v>
      </c>
      <c r="AN1" s="30" t="s">
        <v>984</v>
      </c>
      <c r="AO1" s="30" t="s">
        <v>14</v>
      </c>
      <c r="AP1" s="30" t="s">
        <v>985</v>
      </c>
      <c r="AQ1" s="30" t="s">
        <v>7</v>
      </c>
      <c r="AR1" s="32" t="s">
        <v>986</v>
      </c>
      <c r="AS1" s="32" t="s">
        <v>7</v>
      </c>
    </row>
    <row r="2" ht="15.75" customHeight="1">
      <c r="A2" s="5">
        <v>1856.0</v>
      </c>
      <c r="B2" s="6" t="s">
        <v>36</v>
      </c>
      <c r="C2" s="7" t="str">
        <f t="shared" ref="C2:C22" si="1">CONCATENATE(D2,"_",F2,"_",G2)</f>
        <v>LP 01_BC-501A_BS VI MS</v>
      </c>
      <c r="D2" s="9" t="s">
        <v>987</v>
      </c>
      <c r="E2" s="9" t="s">
        <v>988</v>
      </c>
      <c r="F2" s="8" t="s">
        <v>989</v>
      </c>
      <c r="G2" s="8" t="s">
        <v>102</v>
      </c>
      <c r="H2" s="22" t="s">
        <v>990</v>
      </c>
      <c r="I2" s="35">
        <v>0.0</v>
      </c>
      <c r="J2" s="22" t="s">
        <v>991</v>
      </c>
      <c r="K2" s="35">
        <v>0.0</v>
      </c>
      <c r="L2" s="22" t="s">
        <v>992</v>
      </c>
      <c r="M2" s="35">
        <v>0.0</v>
      </c>
      <c r="N2" s="22" t="s">
        <v>993</v>
      </c>
      <c r="O2" s="35">
        <v>0.0</v>
      </c>
      <c r="P2" s="22" t="s">
        <v>994</v>
      </c>
      <c r="Q2" s="35">
        <v>0.0</v>
      </c>
      <c r="R2" s="22" t="s">
        <v>995</v>
      </c>
      <c r="S2" s="35">
        <v>0.0</v>
      </c>
      <c r="T2" s="22" t="s">
        <v>996</v>
      </c>
      <c r="U2" s="35">
        <v>0.0</v>
      </c>
      <c r="V2" s="22" t="s">
        <v>997</v>
      </c>
      <c r="W2" s="35">
        <v>0.0</v>
      </c>
      <c r="X2" s="69" t="s">
        <v>998</v>
      </c>
      <c r="Y2" s="35">
        <v>0.0</v>
      </c>
      <c r="Z2" s="22" t="s">
        <v>999</v>
      </c>
      <c r="AA2" s="35">
        <v>0.0</v>
      </c>
      <c r="AB2" s="22" t="s">
        <v>1000</v>
      </c>
      <c r="AC2" s="35">
        <v>0.0</v>
      </c>
      <c r="AD2" s="22" t="s">
        <v>1001</v>
      </c>
      <c r="AE2" s="35">
        <v>0.0</v>
      </c>
      <c r="AF2" s="22" t="s">
        <v>1002</v>
      </c>
      <c r="AG2" s="35">
        <v>0.0</v>
      </c>
      <c r="AH2" s="22" t="s">
        <v>1003</v>
      </c>
      <c r="AI2" s="35">
        <v>0.0</v>
      </c>
      <c r="AJ2" s="22" t="s">
        <v>1004</v>
      </c>
      <c r="AK2" s="35">
        <v>0.0</v>
      </c>
      <c r="AL2" s="22" t="s">
        <v>1005</v>
      </c>
      <c r="AM2" s="35">
        <v>0.0</v>
      </c>
      <c r="AN2" s="22" t="s">
        <v>1006</v>
      </c>
      <c r="AO2" s="35">
        <v>0.0</v>
      </c>
      <c r="AP2" s="22" t="s">
        <v>1007</v>
      </c>
      <c r="AQ2" s="35">
        <v>0.0</v>
      </c>
      <c r="AR2" s="22" t="s">
        <v>1008</v>
      </c>
      <c r="AS2" s="35">
        <v>0.0</v>
      </c>
    </row>
    <row r="3" ht="15.75" customHeight="1">
      <c r="A3" s="5">
        <v>1856.0</v>
      </c>
      <c r="B3" s="6" t="s">
        <v>36</v>
      </c>
      <c r="C3" s="7" t="str">
        <f t="shared" si="1"/>
        <v>LP 02_BC-501B_BS VI HSD</v>
      </c>
      <c r="D3" s="9" t="s">
        <v>1009</v>
      </c>
      <c r="E3" s="9" t="s">
        <v>988</v>
      </c>
      <c r="F3" s="8" t="s">
        <v>1010</v>
      </c>
      <c r="G3" s="8" t="s">
        <v>84</v>
      </c>
      <c r="H3" s="22" t="s">
        <v>1011</v>
      </c>
      <c r="I3" s="35">
        <v>0.0</v>
      </c>
      <c r="J3" s="22" t="s">
        <v>1012</v>
      </c>
      <c r="K3" s="35">
        <v>0.0</v>
      </c>
      <c r="L3" s="22"/>
      <c r="M3" s="22"/>
      <c r="N3" s="22" t="s">
        <v>1013</v>
      </c>
      <c r="O3" s="35">
        <v>0.0</v>
      </c>
      <c r="P3" s="22"/>
      <c r="Q3" s="22"/>
      <c r="R3" s="22" t="s">
        <v>1014</v>
      </c>
      <c r="S3" s="35">
        <v>0.0</v>
      </c>
      <c r="T3" s="22"/>
      <c r="U3" s="22"/>
      <c r="V3" s="22" t="s">
        <v>1015</v>
      </c>
      <c r="W3" s="35">
        <v>0.0</v>
      </c>
      <c r="X3" s="69" t="s">
        <v>1016</v>
      </c>
      <c r="Y3" s="35">
        <v>0.0</v>
      </c>
      <c r="Z3" s="22" t="s">
        <v>1017</v>
      </c>
      <c r="AA3" s="35">
        <v>0.0</v>
      </c>
      <c r="AB3" s="22" t="s">
        <v>1018</v>
      </c>
      <c r="AC3" s="35">
        <v>0.0</v>
      </c>
      <c r="AD3" s="22" t="s">
        <v>1019</v>
      </c>
      <c r="AE3" s="35">
        <v>0.0</v>
      </c>
      <c r="AF3" s="22" t="s">
        <v>1020</v>
      </c>
      <c r="AG3" s="35">
        <v>0.0</v>
      </c>
      <c r="AH3" s="22" t="s">
        <v>1021</v>
      </c>
      <c r="AI3" s="35">
        <v>0.0</v>
      </c>
      <c r="AJ3" s="22" t="s">
        <v>1022</v>
      </c>
      <c r="AK3" s="35">
        <v>0.0</v>
      </c>
      <c r="AL3" s="22"/>
      <c r="AM3" s="22"/>
      <c r="AN3" s="22" t="s">
        <v>1023</v>
      </c>
      <c r="AO3" s="35">
        <v>0.0</v>
      </c>
      <c r="AP3" s="22" t="s">
        <v>1024</v>
      </c>
      <c r="AQ3" s="35">
        <v>0.0</v>
      </c>
      <c r="AR3" s="22"/>
      <c r="AS3" s="22"/>
    </row>
    <row r="4" ht="15.75" customHeight="1">
      <c r="A4" s="5">
        <v>1856.0</v>
      </c>
      <c r="B4" s="6" t="s">
        <v>36</v>
      </c>
      <c r="C4" s="7" t="str">
        <f t="shared" si="1"/>
        <v>LP 03_BC-502A_BS VI MS</v>
      </c>
      <c r="D4" s="9" t="s">
        <v>1025</v>
      </c>
      <c r="E4" s="9" t="s">
        <v>988</v>
      </c>
      <c r="F4" s="8" t="s">
        <v>1026</v>
      </c>
      <c r="G4" s="8" t="s">
        <v>102</v>
      </c>
      <c r="H4" s="22" t="s">
        <v>1027</v>
      </c>
      <c r="I4" s="35">
        <v>0.0</v>
      </c>
      <c r="J4" s="22" t="s">
        <v>1028</v>
      </c>
      <c r="K4" s="35">
        <v>0.0</v>
      </c>
      <c r="L4" s="22" t="s">
        <v>1029</v>
      </c>
      <c r="M4" s="35">
        <v>0.0</v>
      </c>
      <c r="N4" s="22" t="s">
        <v>1030</v>
      </c>
      <c r="O4" s="35">
        <v>0.0</v>
      </c>
      <c r="P4" s="22" t="s">
        <v>1031</v>
      </c>
      <c r="Q4" s="35">
        <v>0.0</v>
      </c>
      <c r="R4" s="22" t="s">
        <v>1032</v>
      </c>
      <c r="S4" s="35">
        <v>0.0</v>
      </c>
      <c r="T4" s="22" t="s">
        <v>1033</v>
      </c>
      <c r="U4" s="35">
        <v>0.0</v>
      </c>
      <c r="V4" s="22" t="s">
        <v>1034</v>
      </c>
      <c r="W4" s="35">
        <v>0.0</v>
      </c>
      <c r="X4" s="69" t="s">
        <v>1035</v>
      </c>
      <c r="Y4" s="35">
        <v>0.0</v>
      </c>
      <c r="Z4" s="22" t="s">
        <v>1036</v>
      </c>
      <c r="AA4" s="35">
        <v>0.0</v>
      </c>
      <c r="AB4" s="22" t="s">
        <v>1037</v>
      </c>
      <c r="AC4" s="35">
        <v>0.0</v>
      </c>
      <c r="AD4" s="22" t="s">
        <v>1038</v>
      </c>
      <c r="AE4" s="35">
        <v>0.0</v>
      </c>
      <c r="AF4" s="22" t="s">
        <v>1039</v>
      </c>
      <c r="AG4" s="35">
        <v>0.0</v>
      </c>
      <c r="AH4" s="22" t="s">
        <v>1040</v>
      </c>
      <c r="AI4" s="35">
        <v>0.0</v>
      </c>
      <c r="AJ4" s="22" t="s">
        <v>1041</v>
      </c>
      <c r="AK4" s="35">
        <v>0.0</v>
      </c>
      <c r="AL4" s="22" t="s">
        <v>1042</v>
      </c>
      <c r="AM4" s="35">
        <v>0.0</v>
      </c>
      <c r="AN4" s="22" t="s">
        <v>1043</v>
      </c>
      <c r="AO4" s="35">
        <v>0.0</v>
      </c>
      <c r="AP4" s="22" t="s">
        <v>1044</v>
      </c>
      <c r="AQ4" s="35">
        <v>0.0</v>
      </c>
      <c r="AR4" s="22" t="s">
        <v>1045</v>
      </c>
      <c r="AS4" s="35">
        <v>0.0</v>
      </c>
    </row>
    <row r="5" ht="15.75" customHeight="1">
      <c r="A5" s="5">
        <v>1856.0</v>
      </c>
      <c r="B5" s="6" t="s">
        <v>36</v>
      </c>
      <c r="C5" s="7" t="str">
        <f t="shared" si="1"/>
        <v>LP 04_BC-502B_BS VI HSD</v>
      </c>
      <c r="D5" s="9" t="s">
        <v>1046</v>
      </c>
      <c r="E5" s="9" t="s">
        <v>988</v>
      </c>
      <c r="F5" s="8" t="s">
        <v>1047</v>
      </c>
      <c r="G5" s="8" t="s">
        <v>84</v>
      </c>
      <c r="H5" s="22" t="s">
        <v>1048</v>
      </c>
      <c r="I5" s="35">
        <v>0.0</v>
      </c>
      <c r="J5" s="22" t="s">
        <v>1049</v>
      </c>
      <c r="K5" s="35">
        <v>0.0</v>
      </c>
      <c r="L5" s="22"/>
      <c r="M5" s="22"/>
      <c r="N5" s="22" t="s">
        <v>1050</v>
      </c>
      <c r="O5" s="35">
        <v>0.0</v>
      </c>
      <c r="P5" s="22"/>
      <c r="Q5" s="22"/>
      <c r="R5" s="22" t="s">
        <v>1051</v>
      </c>
      <c r="S5" s="35">
        <v>0.0</v>
      </c>
      <c r="T5" s="22"/>
      <c r="U5" s="22"/>
      <c r="V5" s="22" t="s">
        <v>1052</v>
      </c>
      <c r="W5" s="35">
        <v>0.0</v>
      </c>
      <c r="X5" s="69" t="s">
        <v>1053</v>
      </c>
      <c r="Y5" s="35">
        <v>0.0</v>
      </c>
      <c r="Z5" s="22" t="s">
        <v>1054</v>
      </c>
      <c r="AA5" s="35">
        <v>0.0</v>
      </c>
      <c r="AB5" s="22" t="s">
        <v>1055</v>
      </c>
      <c r="AC5" s="35">
        <v>0.0</v>
      </c>
      <c r="AD5" s="22" t="s">
        <v>1056</v>
      </c>
      <c r="AE5" s="35">
        <v>0.0</v>
      </c>
      <c r="AF5" s="22" t="s">
        <v>1057</v>
      </c>
      <c r="AG5" s="35">
        <v>0.0</v>
      </c>
      <c r="AH5" s="22" t="s">
        <v>1058</v>
      </c>
      <c r="AI5" s="35">
        <v>0.0</v>
      </c>
      <c r="AJ5" s="22" t="s">
        <v>1059</v>
      </c>
      <c r="AK5" s="35">
        <v>0.0</v>
      </c>
      <c r="AL5" s="22"/>
      <c r="AM5" s="22"/>
      <c r="AN5" s="22" t="s">
        <v>1060</v>
      </c>
      <c r="AO5" s="35">
        <v>0.0</v>
      </c>
      <c r="AP5" s="22" t="s">
        <v>1061</v>
      </c>
      <c r="AQ5" s="35">
        <v>0.0</v>
      </c>
      <c r="AR5" s="22"/>
      <c r="AS5" s="22"/>
    </row>
    <row r="6" ht="15.75" customHeight="1">
      <c r="A6" s="5">
        <v>1856.0</v>
      </c>
      <c r="B6" s="6" t="s">
        <v>36</v>
      </c>
      <c r="C6" s="7" t="str">
        <f t="shared" si="1"/>
        <v>LP 05_BC-503A_BS VI MS</v>
      </c>
      <c r="D6" s="9" t="s">
        <v>1062</v>
      </c>
      <c r="E6" s="9" t="s">
        <v>988</v>
      </c>
      <c r="F6" s="8" t="s">
        <v>1063</v>
      </c>
      <c r="G6" s="8" t="s">
        <v>102</v>
      </c>
      <c r="H6" s="22" t="s">
        <v>1064</v>
      </c>
      <c r="I6" s="35">
        <v>0.0</v>
      </c>
      <c r="J6" s="22" t="s">
        <v>1065</v>
      </c>
      <c r="K6" s="35">
        <v>0.0</v>
      </c>
      <c r="L6" s="22" t="s">
        <v>1066</v>
      </c>
      <c r="M6" s="35">
        <v>0.0</v>
      </c>
      <c r="N6" s="22" t="s">
        <v>1067</v>
      </c>
      <c r="O6" s="35">
        <v>0.0</v>
      </c>
      <c r="P6" s="22" t="s">
        <v>1068</v>
      </c>
      <c r="Q6" s="35">
        <v>0.0</v>
      </c>
      <c r="R6" s="22" t="s">
        <v>1069</v>
      </c>
      <c r="S6" s="35">
        <v>0.0</v>
      </c>
      <c r="T6" s="22" t="s">
        <v>1070</v>
      </c>
      <c r="U6" s="35">
        <v>0.0</v>
      </c>
      <c r="V6" s="22" t="s">
        <v>1071</v>
      </c>
      <c r="W6" s="35">
        <v>0.0</v>
      </c>
      <c r="X6" s="69" t="s">
        <v>1072</v>
      </c>
      <c r="Y6" s="35">
        <v>0.0</v>
      </c>
      <c r="Z6" s="22" t="s">
        <v>1073</v>
      </c>
      <c r="AA6" s="35">
        <v>0.0</v>
      </c>
      <c r="AB6" s="22" t="s">
        <v>1074</v>
      </c>
      <c r="AC6" s="35">
        <v>0.0</v>
      </c>
      <c r="AD6" s="22" t="s">
        <v>1075</v>
      </c>
      <c r="AE6" s="35">
        <v>0.0</v>
      </c>
      <c r="AF6" s="22" t="s">
        <v>1076</v>
      </c>
      <c r="AG6" s="35">
        <v>0.0</v>
      </c>
      <c r="AH6" s="22" t="s">
        <v>1077</v>
      </c>
      <c r="AI6" s="35">
        <v>0.0</v>
      </c>
      <c r="AJ6" s="22" t="s">
        <v>1078</v>
      </c>
      <c r="AK6" s="35">
        <v>0.0</v>
      </c>
      <c r="AL6" s="22" t="s">
        <v>1079</v>
      </c>
      <c r="AM6" s="35">
        <v>0.0</v>
      </c>
      <c r="AN6" s="22" t="s">
        <v>1080</v>
      </c>
      <c r="AO6" s="35">
        <v>0.0</v>
      </c>
      <c r="AP6" s="22" t="s">
        <v>1081</v>
      </c>
      <c r="AQ6" s="35">
        <v>0.0</v>
      </c>
      <c r="AR6" s="22" t="s">
        <v>1082</v>
      </c>
      <c r="AS6" s="35">
        <v>0.0</v>
      </c>
    </row>
    <row r="7" ht="15.75" customHeight="1">
      <c r="A7" s="5">
        <v>1856.0</v>
      </c>
      <c r="B7" s="6" t="s">
        <v>36</v>
      </c>
      <c r="C7" s="7" t="str">
        <f t="shared" si="1"/>
        <v>LP 06_BC-503B_BS VI HSD</v>
      </c>
      <c r="D7" s="9" t="s">
        <v>1083</v>
      </c>
      <c r="E7" s="9" t="s">
        <v>988</v>
      </c>
      <c r="F7" s="8" t="s">
        <v>1084</v>
      </c>
      <c r="G7" s="8" t="s">
        <v>84</v>
      </c>
      <c r="H7" s="22" t="s">
        <v>1085</v>
      </c>
      <c r="I7" s="35">
        <v>0.0</v>
      </c>
      <c r="J7" s="22" t="s">
        <v>1086</v>
      </c>
      <c r="K7" s="35">
        <v>0.0</v>
      </c>
      <c r="L7" s="22"/>
      <c r="M7" s="22"/>
      <c r="N7" s="22" t="s">
        <v>1087</v>
      </c>
      <c r="O7" s="35">
        <v>0.0</v>
      </c>
      <c r="P7" s="22"/>
      <c r="Q7" s="22"/>
      <c r="R7" s="22" t="s">
        <v>1088</v>
      </c>
      <c r="S7" s="35">
        <v>0.0</v>
      </c>
      <c r="T7" s="22"/>
      <c r="U7" s="22"/>
      <c r="V7" s="22" t="s">
        <v>1089</v>
      </c>
      <c r="W7" s="35">
        <v>0.0</v>
      </c>
      <c r="X7" s="69" t="s">
        <v>1090</v>
      </c>
      <c r="Y7" s="35">
        <v>0.0</v>
      </c>
      <c r="Z7" s="22" t="s">
        <v>1091</v>
      </c>
      <c r="AA7" s="35">
        <v>0.0</v>
      </c>
      <c r="AB7" s="22" t="s">
        <v>1092</v>
      </c>
      <c r="AC7" s="35">
        <v>0.0</v>
      </c>
      <c r="AD7" s="22" t="s">
        <v>1093</v>
      </c>
      <c r="AE7" s="35">
        <v>0.0</v>
      </c>
      <c r="AF7" s="22" t="s">
        <v>1094</v>
      </c>
      <c r="AG7" s="35">
        <v>0.0</v>
      </c>
      <c r="AH7" s="22" t="s">
        <v>1095</v>
      </c>
      <c r="AI7" s="35">
        <v>0.0</v>
      </c>
      <c r="AJ7" s="22" t="s">
        <v>1096</v>
      </c>
      <c r="AK7" s="35">
        <v>0.0</v>
      </c>
      <c r="AL7" s="22"/>
      <c r="AM7" s="22"/>
      <c r="AN7" s="22" t="s">
        <v>1097</v>
      </c>
      <c r="AO7" s="35">
        <v>0.0</v>
      </c>
      <c r="AP7" s="22" t="s">
        <v>1098</v>
      </c>
      <c r="AQ7" s="35">
        <v>0.0</v>
      </c>
      <c r="AR7" s="22"/>
      <c r="AS7" s="22"/>
    </row>
    <row r="8" ht="15.75" customHeight="1">
      <c r="A8" s="5">
        <v>1856.0</v>
      </c>
      <c r="B8" s="6" t="s">
        <v>36</v>
      </c>
      <c r="C8" s="7" t="str">
        <f t="shared" si="1"/>
        <v>LP 07_BC-504A_BS VI MS</v>
      </c>
      <c r="D8" s="9" t="s">
        <v>1099</v>
      </c>
      <c r="E8" s="9" t="s">
        <v>988</v>
      </c>
      <c r="F8" s="8" t="s">
        <v>1100</v>
      </c>
      <c r="G8" s="8" t="s">
        <v>102</v>
      </c>
      <c r="H8" s="22" t="s">
        <v>1101</v>
      </c>
      <c r="I8" s="35">
        <v>0.0</v>
      </c>
      <c r="J8" s="22" t="s">
        <v>1102</v>
      </c>
      <c r="K8" s="35">
        <v>0.0</v>
      </c>
      <c r="L8" s="22" t="s">
        <v>1103</v>
      </c>
      <c r="M8" s="35">
        <v>0.0</v>
      </c>
      <c r="N8" s="22" t="s">
        <v>1104</v>
      </c>
      <c r="O8" s="35">
        <v>0.0</v>
      </c>
      <c r="P8" s="22" t="s">
        <v>1105</v>
      </c>
      <c r="Q8" s="35">
        <v>0.0</v>
      </c>
      <c r="R8" s="22" t="s">
        <v>1106</v>
      </c>
      <c r="S8" s="35">
        <v>0.0</v>
      </c>
      <c r="T8" s="22" t="s">
        <v>1107</v>
      </c>
      <c r="U8" s="35">
        <v>0.0</v>
      </c>
      <c r="V8" s="22" t="s">
        <v>1108</v>
      </c>
      <c r="W8" s="35">
        <v>0.0</v>
      </c>
      <c r="X8" s="69" t="s">
        <v>1109</v>
      </c>
      <c r="Y8" s="35">
        <v>0.0</v>
      </c>
      <c r="Z8" s="22" t="s">
        <v>1110</v>
      </c>
      <c r="AA8" s="35">
        <v>0.0</v>
      </c>
      <c r="AB8" s="22" t="s">
        <v>1111</v>
      </c>
      <c r="AC8" s="35">
        <v>0.0</v>
      </c>
      <c r="AD8" s="22" t="s">
        <v>1112</v>
      </c>
      <c r="AE8" s="35">
        <v>0.0</v>
      </c>
      <c r="AF8" s="22" t="s">
        <v>1113</v>
      </c>
      <c r="AG8" s="35">
        <v>0.0</v>
      </c>
      <c r="AH8" s="22" t="s">
        <v>1114</v>
      </c>
      <c r="AI8" s="35">
        <v>0.0</v>
      </c>
      <c r="AJ8" s="22" t="s">
        <v>1115</v>
      </c>
      <c r="AK8" s="35">
        <v>0.0</v>
      </c>
      <c r="AL8" s="22" t="s">
        <v>1116</v>
      </c>
      <c r="AM8" s="35">
        <v>0.0</v>
      </c>
      <c r="AN8" s="22" t="s">
        <v>1117</v>
      </c>
      <c r="AO8" s="35">
        <v>0.0</v>
      </c>
      <c r="AP8" s="22" t="s">
        <v>1118</v>
      </c>
      <c r="AQ8" s="35">
        <v>0.0</v>
      </c>
      <c r="AR8" s="22" t="s">
        <v>1119</v>
      </c>
      <c r="AS8" s="35">
        <v>0.0</v>
      </c>
    </row>
    <row r="9" ht="15.75" customHeight="1">
      <c r="A9" s="5">
        <v>1856.0</v>
      </c>
      <c r="B9" s="6" t="s">
        <v>36</v>
      </c>
      <c r="C9" s="7" t="str">
        <f t="shared" si="1"/>
        <v>LP 08_BC-504B_BS VI HSD</v>
      </c>
      <c r="D9" s="9" t="s">
        <v>1120</v>
      </c>
      <c r="E9" s="9" t="s">
        <v>988</v>
      </c>
      <c r="F9" s="8" t="s">
        <v>1121</v>
      </c>
      <c r="G9" s="8" t="s">
        <v>84</v>
      </c>
      <c r="H9" s="22" t="s">
        <v>1122</v>
      </c>
      <c r="I9" s="35">
        <v>0.0</v>
      </c>
      <c r="J9" s="22" t="s">
        <v>1123</v>
      </c>
      <c r="K9" s="35">
        <v>0.0</v>
      </c>
      <c r="L9" s="22" t="s">
        <v>1124</v>
      </c>
      <c r="M9" s="35">
        <v>0.0</v>
      </c>
      <c r="N9" s="22" t="s">
        <v>1125</v>
      </c>
      <c r="O9" s="35">
        <v>0.0</v>
      </c>
      <c r="P9" s="22" t="s">
        <v>1126</v>
      </c>
      <c r="Q9" s="35">
        <v>0.0</v>
      </c>
      <c r="R9" s="22" t="s">
        <v>1127</v>
      </c>
      <c r="S9" s="35">
        <v>0.0</v>
      </c>
      <c r="T9" s="22" t="s">
        <v>1128</v>
      </c>
      <c r="U9" s="35">
        <v>0.0</v>
      </c>
      <c r="V9" s="22" t="s">
        <v>1129</v>
      </c>
      <c r="W9" s="35">
        <v>0.0</v>
      </c>
      <c r="X9" s="69" t="s">
        <v>1130</v>
      </c>
      <c r="Y9" s="35">
        <v>0.0</v>
      </c>
      <c r="Z9" s="22" t="s">
        <v>1131</v>
      </c>
      <c r="AA9" s="35">
        <v>0.0</v>
      </c>
      <c r="AB9" s="22" t="s">
        <v>1132</v>
      </c>
      <c r="AC9" s="35">
        <v>0.0</v>
      </c>
      <c r="AD9" s="22" t="s">
        <v>1133</v>
      </c>
      <c r="AE9" s="35">
        <v>0.0</v>
      </c>
      <c r="AF9" s="22" t="s">
        <v>1134</v>
      </c>
      <c r="AG9" s="35">
        <v>0.0</v>
      </c>
      <c r="AH9" s="22" t="s">
        <v>1135</v>
      </c>
      <c r="AI9" s="35">
        <v>0.0</v>
      </c>
      <c r="AJ9" s="22" t="s">
        <v>1136</v>
      </c>
      <c r="AK9" s="35">
        <v>0.0</v>
      </c>
      <c r="AL9" s="70" t="s">
        <v>1137</v>
      </c>
      <c r="AM9" s="35">
        <v>0.0</v>
      </c>
      <c r="AN9" s="22" t="s">
        <v>1138</v>
      </c>
      <c r="AO9" s="35">
        <v>0.0</v>
      </c>
      <c r="AP9" s="22" t="s">
        <v>1139</v>
      </c>
      <c r="AQ9" s="35">
        <v>0.0</v>
      </c>
      <c r="AR9" s="22" t="s">
        <v>1140</v>
      </c>
      <c r="AS9" s="35">
        <v>0.0</v>
      </c>
    </row>
    <row r="10" ht="15.75" customHeight="1">
      <c r="A10" s="5">
        <v>1856.0</v>
      </c>
      <c r="B10" s="6" t="s">
        <v>36</v>
      </c>
      <c r="C10" s="7" t="str">
        <f t="shared" si="1"/>
        <v>LP 09_BC-505A_BS VI MS</v>
      </c>
      <c r="D10" s="9" t="s">
        <v>1141</v>
      </c>
      <c r="E10" s="9" t="s">
        <v>988</v>
      </c>
      <c r="F10" s="8" t="s">
        <v>1142</v>
      </c>
      <c r="G10" s="8" t="s">
        <v>102</v>
      </c>
      <c r="H10" s="22" t="s">
        <v>1143</v>
      </c>
      <c r="I10" s="35">
        <v>0.0</v>
      </c>
      <c r="J10" s="22" t="s">
        <v>1144</v>
      </c>
      <c r="K10" s="35">
        <v>0.0</v>
      </c>
      <c r="L10" s="22" t="s">
        <v>1145</v>
      </c>
      <c r="M10" s="35">
        <v>0.0</v>
      </c>
      <c r="N10" s="22" t="s">
        <v>1146</v>
      </c>
      <c r="O10" s="35">
        <v>0.0</v>
      </c>
      <c r="P10" s="22" t="s">
        <v>1147</v>
      </c>
      <c r="Q10" s="35">
        <v>0.0</v>
      </c>
      <c r="R10" s="22" t="s">
        <v>1148</v>
      </c>
      <c r="S10" s="35">
        <v>0.0</v>
      </c>
      <c r="T10" s="22" t="s">
        <v>1149</v>
      </c>
      <c r="U10" s="35">
        <v>0.0</v>
      </c>
      <c r="V10" s="22" t="s">
        <v>1150</v>
      </c>
      <c r="W10" s="35">
        <v>0.0</v>
      </c>
      <c r="X10" s="69" t="s">
        <v>1151</v>
      </c>
      <c r="Y10" s="35">
        <v>0.0</v>
      </c>
      <c r="Z10" s="22" t="s">
        <v>1152</v>
      </c>
      <c r="AA10" s="35">
        <v>0.0</v>
      </c>
      <c r="AB10" s="22" t="s">
        <v>1153</v>
      </c>
      <c r="AC10" s="35">
        <v>0.0</v>
      </c>
      <c r="AD10" s="22" t="s">
        <v>1154</v>
      </c>
      <c r="AE10" s="35">
        <v>0.0</v>
      </c>
      <c r="AF10" s="22" t="s">
        <v>1155</v>
      </c>
      <c r="AG10" s="35">
        <v>0.0</v>
      </c>
      <c r="AH10" s="22" t="s">
        <v>1156</v>
      </c>
      <c r="AI10" s="35">
        <v>0.0</v>
      </c>
      <c r="AJ10" s="22" t="s">
        <v>1157</v>
      </c>
      <c r="AK10" s="35">
        <v>0.0</v>
      </c>
      <c r="AL10" s="22" t="s">
        <v>1158</v>
      </c>
      <c r="AM10" s="35">
        <v>0.0</v>
      </c>
      <c r="AN10" s="22" t="s">
        <v>1159</v>
      </c>
      <c r="AO10" s="35">
        <v>0.0</v>
      </c>
      <c r="AP10" s="22" t="s">
        <v>1160</v>
      </c>
      <c r="AQ10" s="35">
        <v>0.0</v>
      </c>
      <c r="AR10" s="22" t="s">
        <v>1161</v>
      </c>
      <c r="AS10" s="35">
        <v>0.0</v>
      </c>
    </row>
    <row r="11" ht="15.75" customHeight="1">
      <c r="A11" s="5">
        <v>1856.0</v>
      </c>
      <c r="B11" s="6" t="s">
        <v>36</v>
      </c>
      <c r="C11" s="7" t="str">
        <f t="shared" si="1"/>
        <v>LP 10_BC-505B_BS VI HSD</v>
      </c>
      <c r="D11" s="9" t="s">
        <v>1162</v>
      </c>
      <c r="E11" s="9" t="s">
        <v>988</v>
      </c>
      <c r="F11" s="8" t="s">
        <v>1163</v>
      </c>
      <c r="G11" s="8" t="s">
        <v>84</v>
      </c>
      <c r="H11" s="22" t="s">
        <v>1164</v>
      </c>
      <c r="I11" s="35">
        <v>0.0</v>
      </c>
      <c r="J11" s="22" t="s">
        <v>1165</v>
      </c>
      <c r="K11" s="35">
        <v>0.0</v>
      </c>
      <c r="L11" s="22"/>
      <c r="M11" s="22"/>
      <c r="N11" s="22" t="s">
        <v>1166</v>
      </c>
      <c r="O11" s="35">
        <v>0.0</v>
      </c>
      <c r="P11" s="22"/>
      <c r="Q11" s="22"/>
      <c r="R11" s="22" t="s">
        <v>1167</v>
      </c>
      <c r="S11" s="35">
        <v>0.0</v>
      </c>
      <c r="T11" s="22"/>
      <c r="U11" s="22"/>
      <c r="V11" s="22" t="s">
        <v>1168</v>
      </c>
      <c r="W11" s="35">
        <v>0.0</v>
      </c>
      <c r="X11" s="69" t="s">
        <v>1169</v>
      </c>
      <c r="Y11" s="35">
        <v>0.0</v>
      </c>
      <c r="Z11" s="22" t="s">
        <v>1170</v>
      </c>
      <c r="AA11" s="35">
        <v>0.0</v>
      </c>
      <c r="AB11" s="22" t="s">
        <v>1171</v>
      </c>
      <c r="AC11" s="35">
        <v>0.0</v>
      </c>
      <c r="AD11" s="22" t="s">
        <v>1172</v>
      </c>
      <c r="AE11" s="35">
        <v>0.0</v>
      </c>
      <c r="AF11" s="22" t="s">
        <v>1173</v>
      </c>
      <c r="AG11" s="35">
        <v>0.0</v>
      </c>
      <c r="AH11" s="22" t="s">
        <v>1174</v>
      </c>
      <c r="AI11" s="35">
        <v>0.0</v>
      </c>
      <c r="AJ11" s="22" t="s">
        <v>1175</v>
      </c>
      <c r="AK11" s="35">
        <v>0.0</v>
      </c>
      <c r="AL11" s="22"/>
      <c r="AM11" s="22"/>
      <c r="AN11" s="22" t="s">
        <v>1176</v>
      </c>
      <c r="AO11" s="35">
        <v>0.0</v>
      </c>
      <c r="AP11" s="22" t="s">
        <v>1177</v>
      </c>
      <c r="AQ11" s="35">
        <v>0.0</v>
      </c>
      <c r="AR11" s="22"/>
      <c r="AS11" s="22"/>
    </row>
    <row r="12" ht="15.75" customHeight="1">
      <c r="A12" s="5">
        <v>1856.0</v>
      </c>
      <c r="B12" s="6" t="s">
        <v>36</v>
      </c>
      <c r="C12" s="7" t="str">
        <f t="shared" si="1"/>
        <v>LP 11_BC-506A_BS VI MS</v>
      </c>
      <c r="D12" s="9" t="s">
        <v>1178</v>
      </c>
      <c r="E12" s="9" t="s">
        <v>988</v>
      </c>
      <c r="F12" s="8" t="s">
        <v>1179</v>
      </c>
      <c r="G12" s="8" t="s">
        <v>102</v>
      </c>
      <c r="H12" s="22" t="s">
        <v>1180</v>
      </c>
      <c r="I12" s="35">
        <v>0.0</v>
      </c>
      <c r="J12" s="22" t="s">
        <v>1181</v>
      </c>
      <c r="K12" s="35">
        <v>0.0</v>
      </c>
      <c r="L12" s="22" t="s">
        <v>1182</v>
      </c>
      <c r="M12" s="35">
        <v>0.0</v>
      </c>
      <c r="N12" s="22" t="s">
        <v>1183</v>
      </c>
      <c r="O12" s="35">
        <v>0.0</v>
      </c>
      <c r="P12" s="22" t="s">
        <v>1184</v>
      </c>
      <c r="Q12" s="35">
        <v>0.0</v>
      </c>
      <c r="R12" s="22" t="s">
        <v>1185</v>
      </c>
      <c r="S12" s="35">
        <v>0.0</v>
      </c>
      <c r="T12" s="22" t="s">
        <v>1186</v>
      </c>
      <c r="U12" s="35">
        <v>0.0</v>
      </c>
      <c r="V12" s="22" t="s">
        <v>1187</v>
      </c>
      <c r="W12" s="35">
        <v>0.0</v>
      </c>
      <c r="X12" s="69" t="s">
        <v>1188</v>
      </c>
      <c r="Y12" s="35">
        <v>0.0</v>
      </c>
      <c r="Z12" s="22" t="s">
        <v>1189</v>
      </c>
      <c r="AA12" s="35">
        <v>0.0</v>
      </c>
      <c r="AB12" s="22" t="s">
        <v>1190</v>
      </c>
      <c r="AC12" s="35">
        <v>0.0</v>
      </c>
      <c r="AD12" s="22" t="s">
        <v>1191</v>
      </c>
      <c r="AE12" s="35">
        <v>0.0</v>
      </c>
      <c r="AF12" s="22" t="s">
        <v>1192</v>
      </c>
      <c r="AG12" s="35">
        <v>0.0</v>
      </c>
      <c r="AH12" s="22" t="s">
        <v>1193</v>
      </c>
      <c r="AI12" s="35">
        <v>0.0</v>
      </c>
      <c r="AJ12" s="22" t="s">
        <v>1194</v>
      </c>
      <c r="AK12" s="35">
        <v>0.0</v>
      </c>
      <c r="AL12" s="22" t="s">
        <v>1195</v>
      </c>
      <c r="AM12" s="35">
        <v>0.0</v>
      </c>
      <c r="AN12" s="22" t="s">
        <v>1196</v>
      </c>
      <c r="AO12" s="35">
        <v>0.0</v>
      </c>
      <c r="AP12" s="22" t="s">
        <v>1197</v>
      </c>
      <c r="AQ12" s="35">
        <v>0.0</v>
      </c>
      <c r="AR12" s="22" t="s">
        <v>1198</v>
      </c>
      <c r="AS12" s="35">
        <v>0.0</v>
      </c>
    </row>
    <row r="13" ht="15.75" customHeight="1">
      <c r="A13" s="5">
        <v>1856.0</v>
      </c>
      <c r="B13" s="6" t="s">
        <v>36</v>
      </c>
      <c r="C13" s="7" t="str">
        <f t="shared" si="1"/>
        <v>LP 12_BC-506B_BS VI HSD</v>
      </c>
      <c r="D13" s="9" t="s">
        <v>1199</v>
      </c>
      <c r="E13" s="9" t="s">
        <v>988</v>
      </c>
      <c r="F13" s="8" t="s">
        <v>1200</v>
      </c>
      <c r="G13" s="8" t="s">
        <v>84</v>
      </c>
      <c r="H13" s="22" t="s">
        <v>1201</v>
      </c>
      <c r="I13" s="35">
        <v>0.0</v>
      </c>
      <c r="J13" s="22" t="s">
        <v>1202</v>
      </c>
      <c r="K13" s="35">
        <v>0.0</v>
      </c>
      <c r="L13" s="22" t="s">
        <v>1203</v>
      </c>
      <c r="M13" s="35">
        <v>0.0</v>
      </c>
      <c r="N13" s="22" t="s">
        <v>1204</v>
      </c>
      <c r="O13" s="35">
        <v>0.0</v>
      </c>
      <c r="P13" s="22" t="s">
        <v>1205</v>
      </c>
      <c r="Q13" s="35">
        <v>0.0</v>
      </c>
      <c r="R13" s="22" t="s">
        <v>1206</v>
      </c>
      <c r="S13" s="35">
        <v>0.0</v>
      </c>
      <c r="T13" s="22" t="s">
        <v>1207</v>
      </c>
      <c r="U13" s="35">
        <v>0.0</v>
      </c>
      <c r="V13" s="22" t="s">
        <v>1208</v>
      </c>
      <c r="W13" s="35">
        <v>0.0</v>
      </c>
      <c r="X13" s="69" t="s">
        <v>1209</v>
      </c>
      <c r="Y13" s="35">
        <v>0.0</v>
      </c>
      <c r="Z13" s="22" t="s">
        <v>1210</v>
      </c>
      <c r="AA13" s="35">
        <v>0.0</v>
      </c>
      <c r="AB13" s="22" t="s">
        <v>1211</v>
      </c>
      <c r="AC13" s="35">
        <v>0.0</v>
      </c>
      <c r="AD13" s="22" t="s">
        <v>1212</v>
      </c>
      <c r="AE13" s="35">
        <v>0.0</v>
      </c>
      <c r="AF13" s="22" t="s">
        <v>1213</v>
      </c>
      <c r="AG13" s="35">
        <v>0.0</v>
      </c>
      <c r="AH13" s="22" t="s">
        <v>1214</v>
      </c>
      <c r="AI13" s="35">
        <v>0.0</v>
      </c>
      <c r="AJ13" s="22" t="s">
        <v>1215</v>
      </c>
      <c r="AK13" s="35">
        <v>0.0</v>
      </c>
      <c r="AL13" s="70" t="s">
        <v>1216</v>
      </c>
      <c r="AM13" s="35">
        <v>0.0</v>
      </c>
      <c r="AN13" s="22" t="s">
        <v>1217</v>
      </c>
      <c r="AO13" s="35">
        <v>0.0</v>
      </c>
      <c r="AP13" s="22" t="s">
        <v>1218</v>
      </c>
      <c r="AQ13" s="35">
        <v>0.0</v>
      </c>
      <c r="AR13" s="22" t="s">
        <v>1219</v>
      </c>
      <c r="AS13" s="35">
        <v>0.0</v>
      </c>
    </row>
    <row r="14" ht="15.75" customHeight="1">
      <c r="A14" s="5">
        <v>1856.0</v>
      </c>
      <c r="B14" s="6" t="s">
        <v>36</v>
      </c>
      <c r="C14" s="7" t="str">
        <f t="shared" si="1"/>
        <v>LP 13_BC-507A_BS VI MS</v>
      </c>
      <c r="D14" s="9" t="s">
        <v>1220</v>
      </c>
      <c r="E14" s="9" t="s">
        <v>988</v>
      </c>
      <c r="F14" s="8" t="s">
        <v>1221</v>
      </c>
      <c r="G14" s="8" t="s">
        <v>102</v>
      </c>
      <c r="H14" s="22" t="s">
        <v>1222</v>
      </c>
      <c r="I14" s="35">
        <v>0.0</v>
      </c>
      <c r="J14" s="22" t="s">
        <v>1223</v>
      </c>
      <c r="K14" s="35">
        <v>0.0</v>
      </c>
      <c r="L14" s="22" t="s">
        <v>1224</v>
      </c>
      <c r="M14" s="35">
        <v>0.0</v>
      </c>
      <c r="N14" s="22" t="s">
        <v>1225</v>
      </c>
      <c r="O14" s="35">
        <v>0.0</v>
      </c>
      <c r="P14" s="22" t="s">
        <v>1226</v>
      </c>
      <c r="Q14" s="35">
        <v>0.0</v>
      </c>
      <c r="R14" s="22" t="s">
        <v>1227</v>
      </c>
      <c r="S14" s="35">
        <v>0.0</v>
      </c>
      <c r="T14" s="22" t="s">
        <v>1228</v>
      </c>
      <c r="U14" s="35">
        <v>0.0</v>
      </c>
      <c r="V14" s="22" t="s">
        <v>1229</v>
      </c>
      <c r="W14" s="35">
        <v>0.0</v>
      </c>
      <c r="X14" s="69" t="s">
        <v>1230</v>
      </c>
      <c r="Y14" s="35">
        <v>0.0</v>
      </c>
      <c r="Z14" s="22" t="s">
        <v>1231</v>
      </c>
      <c r="AA14" s="35">
        <v>0.0</v>
      </c>
      <c r="AB14" s="22" t="s">
        <v>1232</v>
      </c>
      <c r="AC14" s="35">
        <v>0.0</v>
      </c>
      <c r="AD14" s="22" t="s">
        <v>1233</v>
      </c>
      <c r="AE14" s="35">
        <v>0.0</v>
      </c>
      <c r="AF14" s="22" t="s">
        <v>1234</v>
      </c>
      <c r="AG14" s="35">
        <v>0.0</v>
      </c>
      <c r="AH14" s="22" t="s">
        <v>1235</v>
      </c>
      <c r="AI14" s="35">
        <v>0.0</v>
      </c>
      <c r="AJ14" s="22" t="s">
        <v>1236</v>
      </c>
      <c r="AK14" s="35">
        <v>0.0</v>
      </c>
      <c r="AL14" s="22" t="s">
        <v>1237</v>
      </c>
      <c r="AM14" s="35">
        <v>0.0</v>
      </c>
      <c r="AN14" s="22" t="s">
        <v>1238</v>
      </c>
      <c r="AO14" s="35">
        <v>0.0</v>
      </c>
      <c r="AP14" s="22" t="s">
        <v>1239</v>
      </c>
      <c r="AQ14" s="35">
        <v>0.0</v>
      </c>
      <c r="AR14" s="22" t="s">
        <v>1240</v>
      </c>
      <c r="AS14" s="35">
        <v>0.0</v>
      </c>
    </row>
    <row r="15" ht="15.75" customHeight="1">
      <c r="A15" s="5">
        <v>1856.0</v>
      </c>
      <c r="B15" s="6" t="s">
        <v>36</v>
      </c>
      <c r="C15" s="7" t="str">
        <f t="shared" si="1"/>
        <v>LP 14_BC-507B_BS VI HSD</v>
      </c>
      <c r="D15" s="9" t="s">
        <v>1241</v>
      </c>
      <c r="E15" s="9" t="s">
        <v>988</v>
      </c>
      <c r="F15" s="8" t="s">
        <v>1242</v>
      </c>
      <c r="G15" s="8" t="s">
        <v>84</v>
      </c>
      <c r="H15" s="22" t="s">
        <v>1243</v>
      </c>
      <c r="I15" s="35">
        <v>0.0</v>
      </c>
      <c r="J15" s="22" t="s">
        <v>1244</v>
      </c>
      <c r="K15" s="35">
        <v>0.0</v>
      </c>
      <c r="L15" s="22" t="s">
        <v>1245</v>
      </c>
      <c r="M15" s="35">
        <v>0.0</v>
      </c>
      <c r="N15" s="22" t="s">
        <v>1246</v>
      </c>
      <c r="O15" s="35">
        <v>0.0</v>
      </c>
      <c r="P15" s="22" t="s">
        <v>1247</v>
      </c>
      <c r="Q15" s="35">
        <v>0.0</v>
      </c>
      <c r="R15" s="22" t="s">
        <v>1248</v>
      </c>
      <c r="S15" s="35">
        <v>0.0</v>
      </c>
      <c r="T15" s="22" t="s">
        <v>1249</v>
      </c>
      <c r="U15" s="35">
        <v>0.0</v>
      </c>
      <c r="V15" s="22" t="s">
        <v>1250</v>
      </c>
      <c r="W15" s="35">
        <v>0.0</v>
      </c>
      <c r="X15" s="69" t="s">
        <v>1251</v>
      </c>
      <c r="Y15" s="35">
        <v>0.0</v>
      </c>
      <c r="Z15" s="22" t="s">
        <v>1252</v>
      </c>
      <c r="AA15" s="35">
        <v>0.0</v>
      </c>
      <c r="AB15" s="22" t="s">
        <v>1253</v>
      </c>
      <c r="AC15" s="35">
        <v>0.0</v>
      </c>
      <c r="AD15" s="22" t="s">
        <v>1254</v>
      </c>
      <c r="AE15" s="35">
        <v>0.0</v>
      </c>
      <c r="AF15" s="22" t="s">
        <v>1255</v>
      </c>
      <c r="AG15" s="35">
        <v>0.0</v>
      </c>
      <c r="AH15" s="22" t="s">
        <v>1256</v>
      </c>
      <c r="AI15" s="35">
        <v>0.0</v>
      </c>
      <c r="AJ15" s="22" t="s">
        <v>1257</v>
      </c>
      <c r="AK15" s="35">
        <v>0.0</v>
      </c>
      <c r="AL15" s="70" t="s">
        <v>1258</v>
      </c>
      <c r="AM15" s="35">
        <v>0.0</v>
      </c>
      <c r="AN15" s="22" t="s">
        <v>1259</v>
      </c>
      <c r="AO15" s="35">
        <v>0.0</v>
      </c>
      <c r="AP15" s="22" t="s">
        <v>1260</v>
      </c>
      <c r="AQ15" s="35">
        <v>0.0</v>
      </c>
      <c r="AR15" s="22" t="s">
        <v>1261</v>
      </c>
      <c r="AS15" s="35">
        <v>0.0</v>
      </c>
    </row>
    <row r="16" ht="15.75" customHeight="1">
      <c r="A16" s="5">
        <v>1856.0</v>
      </c>
      <c r="B16" s="6" t="s">
        <v>36</v>
      </c>
      <c r="C16" s="7" t="str">
        <f t="shared" si="1"/>
        <v>LP 15_BC-508A_ATF</v>
      </c>
      <c r="D16" s="9" t="s">
        <v>1262</v>
      </c>
      <c r="E16" s="9" t="s">
        <v>988</v>
      </c>
      <c r="F16" s="8" t="s">
        <v>1263</v>
      </c>
      <c r="G16" s="8" t="s">
        <v>39</v>
      </c>
      <c r="H16" s="22" t="s">
        <v>1264</v>
      </c>
      <c r="I16" s="35">
        <v>0.0</v>
      </c>
      <c r="J16" s="22" t="s">
        <v>1265</v>
      </c>
      <c r="K16" s="35">
        <v>0.0</v>
      </c>
      <c r="L16" s="22"/>
      <c r="M16" s="22"/>
      <c r="N16" s="22" t="s">
        <v>1266</v>
      </c>
      <c r="O16" s="35">
        <v>0.0</v>
      </c>
      <c r="P16" s="22"/>
      <c r="Q16" s="22"/>
      <c r="R16" s="22" t="s">
        <v>1267</v>
      </c>
      <c r="S16" s="35">
        <v>0.0</v>
      </c>
      <c r="T16" s="22"/>
      <c r="U16" s="22"/>
      <c r="V16" s="22" t="s">
        <v>1268</v>
      </c>
      <c r="W16" s="35">
        <v>0.0</v>
      </c>
      <c r="X16" s="69" t="s">
        <v>1269</v>
      </c>
      <c r="Y16" s="35">
        <v>0.0</v>
      </c>
      <c r="Z16" s="22" t="s">
        <v>1270</v>
      </c>
      <c r="AA16" s="35">
        <v>0.0</v>
      </c>
      <c r="AB16" s="22" t="s">
        <v>1271</v>
      </c>
      <c r="AC16" s="35">
        <v>0.0</v>
      </c>
      <c r="AD16" s="22" t="s">
        <v>1272</v>
      </c>
      <c r="AE16" s="35">
        <v>0.0</v>
      </c>
      <c r="AF16" s="22" t="s">
        <v>1273</v>
      </c>
      <c r="AG16" s="35">
        <v>0.0</v>
      </c>
      <c r="AH16" s="22" t="s">
        <v>1274</v>
      </c>
      <c r="AI16" s="35">
        <v>0.0</v>
      </c>
      <c r="AJ16" s="22" t="s">
        <v>1275</v>
      </c>
      <c r="AK16" s="35">
        <v>0.0</v>
      </c>
      <c r="AL16" s="22"/>
      <c r="AM16" s="22"/>
      <c r="AN16" s="22" t="s">
        <v>1276</v>
      </c>
      <c r="AO16" s="35">
        <v>0.0</v>
      </c>
      <c r="AP16" s="22" t="s">
        <v>1277</v>
      </c>
      <c r="AQ16" s="35">
        <v>0.0</v>
      </c>
      <c r="AR16" s="22"/>
      <c r="AS16" s="22"/>
    </row>
    <row r="17" ht="15.75" customHeight="1">
      <c r="A17" s="5">
        <v>1856.0</v>
      </c>
      <c r="B17" s="6" t="s">
        <v>36</v>
      </c>
      <c r="C17" s="7" t="str">
        <f t="shared" si="1"/>
        <v>LP 16_BC-508B_ATF</v>
      </c>
      <c r="D17" s="9" t="s">
        <v>1278</v>
      </c>
      <c r="E17" s="9" t="s">
        <v>988</v>
      </c>
      <c r="F17" s="8" t="s">
        <v>1279</v>
      </c>
      <c r="G17" s="8" t="s">
        <v>39</v>
      </c>
      <c r="H17" s="22" t="s">
        <v>1280</v>
      </c>
      <c r="I17" s="35">
        <v>0.0</v>
      </c>
      <c r="J17" s="22" t="s">
        <v>1281</v>
      </c>
      <c r="K17" s="35">
        <v>0.0</v>
      </c>
      <c r="L17" s="22"/>
      <c r="M17" s="22"/>
      <c r="N17" s="22" t="s">
        <v>1282</v>
      </c>
      <c r="O17" s="35">
        <v>0.0</v>
      </c>
      <c r="P17" s="22"/>
      <c r="Q17" s="22"/>
      <c r="R17" s="22" t="s">
        <v>1283</v>
      </c>
      <c r="S17" s="35">
        <v>0.0</v>
      </c>
      <c r="T17" s="22"/>
      <c r="U17" s="22"/>
      <c r="V17" s="22" t="s">
        <v>1284</v>
      </c>
      <c r="W17" s="35">
        <v>0.0</v>
      </c>
      <c r="X17" s="69" t="s">
        <v>1285</v>
      </c>
      <c r="Y17" s="35">
        <v>0.0</v>
      </c>
      <c r="Z17" s="22" t="s">
        <v>1286</v>
      </c>
      <c r="AA17" s="35">
        <v>0.0</v>
      </c>
      <c r="AB17" s="22" t="s">
        <v>1287</v>
      </c>
      <c r="AC17" s="35">
        <v>0.0</v>
      </c>
      <c r="AD17" s="22" t="s">
        <v>1288</v>
      </c>
      <c r="AE17" s="35">
        <v>0.0</v>
      </c>
      <c r="AF17" s="22" t="s">
        <v>1289</v>
      </c>
      <c r="AG17" s="35">
        <v>0.0</v>
      </c>
      <c r="AH17" s="22" t="s">
        <v>1290</v>
      </c>
      <c r="AI17" s="35">
        <v>0.0</v>
      </c>
      <c r="AJ17" s="22" t="s">
        <v>1291</v>
      </c>
      <c r="AK17" s="35">
        <v>0.0</v>
      </c>
      <c r="AL17" s="22"/>
      <c r="AM17" s="22"/>
      <c r="AN17" s="22" t="s">
        <v>1292</v>
      </c>
      <c r="AO17" s="35">
        <v>0.0</v>
      </c>
      <c r="AP17" s="22" t="s">
        <v>1293</v>
      </c>
      <c r="AQ17" s="35">
        <v>0.0</v>
      </c>
      <c r="AR17" s="22"/>
      <c r="AS17" s="22"/>
    </row>
    <row r="18" ht="15.75" customHeight="1">
      <c r="A18" s="5">
        <v>1856.0</v>
      </c>
      <c r="B18" s="6" t="s">
        <v>36</v>
      </c>
      <c r="C18" s="7" t="str">
        <f t="shared" si="1"/>
        <v>LP 17_BC-509A_BS VI HSD</v>
      </c>
      <c r="D18" s="9" t="s">
        <v>1294</v>
      </c>
      <c r="E18" s="9" t="s">
        <v>988</v>
      </c>
      <c r="F18" s="8" t="s">
        <v>1295</v>
      </c>
      <c r="G18" s="8" t="s">
        <v>84</v>
      </c>
      <c r="H18" s="22" t="s">
        <v>1296</v>
      </c>
      <c r="I18" s="35">
        <v>0.0</v>
      </c>
      <c r="J18" s="22" t="s">
        <v>1297</v>
      </c>
      <c r="K18" s="35">
        <v>0.0</v>
      </c>
      <c r="L18" s="22"/>
      <c r="M18" s="22"/>
      <c r="N18" s="22" t="s">
        <v>1298</v>
      </c>
      <c r="O18" s="35">
        <v>0.0</v>
      </c>
      <c r="P18" s="22"/>
      <c r="Q18" s="22"/>
      <c r="R18" s="22" t="s">
        <v>1299</v>
      </c>
      <c r="S18" s="35">
        <v>0.0</v>
      </c>
      <c r="T18" s="22"/>
      <c r="U18" s="22"/>
      <c r="V18" s="22" t="s">
        <v>1300</v>
      </c>
      <c r="W18" s="35">
        <v>0.0</v>
      </c>
      <c r="X18" s="69" t="s">
        <v>1301</v>
      </c>
      <c r="Y18" s="35">
        <v>0.0</v>
      </c>
      <c r="Z18" s="22" t="s">
        <v>1302</v>
      </c>
      <c r="AA18" s="35">
        <v>0.0</v>
      </c>
      <c r="AB18" s="22" t="s">
        <v>1303</v>
      </c>
      <c r="AC18" s="35">
        <v>0.0</v>
      </c>
      <c r="AD18" s="22" t="s">
        <v>1304</v>
      </c>
      <c r="AE18" s="35">
        <v>0.0</v>
      </c>
      <c r="AF18" s="22" t="s">
        <v>1305</v>
      </c>
      <c r="AG18" s="35">
        <v>0.0</v>
      </c>
      <c r="AH18" s="22" t="s">
        <v>1306</v>
      </c>
      <c r="AI18" s="35">
        <v>0.0</v>
      </c>
      <c r="AJ18" s="22" t="s">
        <v>1307</v>
      </c>
      <c r="AK18" s="35">
        <v>0.0</v>
      </c>
      <c r="AL18" s="22"/>
      <c r="AM18" s="22"/>
      <c r="AN18" s="22" t="s">
        <v>1308</v>
      </c>
      <c r="AO18" s="35">
        <v>0.0</v>
      </c>
      <c r="AP18" s="22" t="s">
        <v>1309</v>
      </c>
      <c r="AQ18" s="35">
        <v>0.0</v>
      </c>
      <c r="AR18" s="22"/>
      <c r="AS18" s="22"/>
    </row>
    <row r="19" ht="15.75" customHeight="1">
      <c r="A19" s="5">
        <v>1856.0</v>
      </c>
      <c r="B19" s="6" t="s">
        <v>36</v>
      </c>
      <c r="C19" s="7" t="str">
        <f t="shared" si="1"/>
        <v>LP 18_BC-509B_BS VI HSD</v>
      </c>
      <c r="D19" s="9" t="s">
        <v>1310</v>
      </c>
      <c r="E19" s="9" t="s">
        <v>988</v>
      </c>
      <c r="F19" s="8" t="s">
        <v>1311</v>
      </c>
      <c r="G19" s="8" t="s">
        <v>84</v>
      </c>
      <c r="H19" s="22" t="s">
        <v>1312</v>
      </c>
      <c r="I19" s="35">
        <v>0.0</v>
      </c>
      <c r="J19" s="22" t="s">
        <v>1313</v>
      </c>
      <c r="K19" s="35">
        <v>0.0</v>
      </c>
      <c r="L19" s="22"/>
      <c r="M19" s="22"/>
      <c r="N19" s="22" t="s">
        <v>1314</v>
      </c>
      <c r="O19" s="35">
        <v>0.0</v>
      </c>
      <c r="P19" s="22"/>
      <c r="Q19" s="22"/>
      <c r="R19" s="22" t="s">
        <v>1315</v>
      </c>
      <c r="S19" s="35">
        <v>0.0</v>
      </c>
      <c r="T19" s="22"/>
      <c r="U19" s="22"/>
      <c r="V19" s="22" t="s">
        <v>1316</v>
      </c>
      <c r="W19" s="35">
        <v>0.0</v>
      </c>
      <c r="X19" s="69" t="s">
        <v>1317</v>
      </c>
      <c r="Y19" s="35">
        <v>0.0</v>
      </c>
      <c r="Z19" s="22" t="s">
        <v>1318</v>
      </c>
      <c r="AA19" s="35">
        <v>0.0</v>
      </c>
      <c r="AB19" s="22" t="s">
        <v>1319</v>
      </c>
      <c r="AC19" s="35">
        <v>0.0</v>
      </c>
      <c r="AD19" s="22" t="s">
        <v>1320</v>
      </c>
      <c r="AE19" s="35">
        <v>0.0</v>
      </c>
      <c r="AF19" s="22" t="s">
        <v>1321</v>
      </c>
      <c r="AG19" s="35">
        <v>0.0</v>
      </c>
      <c r="AH19" s="22" t="s">
        <v>1322</v>
      </c>
      <c r="AI19" s="35">
        <v>0.0</v>
      </c>
      <c r="AJ19" s="22" t="s">
        <v>1323</v>
      </c>
      <c r="AK19" s="35">
        <v>0.0</v>
      </c>
      <c r="AL19" s="22"/>
      <c r="AM19" s="22"/>
      <c r="AN19" s="22" t="s">
        <v>1324</v>
      </c>
      <c r="AO19" s="35">
        <v>0.0</v>
      </c>
      <c r="AP19" s="22" t="s">
        <v>1325</v>
      </c>
      <c r="AQ19" s="35">
        <v>0.0</v>
      </c>
      <c r="AR19" s="22"/>
      <c r="AS19" s="22"/>
    </row>
    <row r="20" ht="15.75" customHeight="1">
      <c r="A20" s="5">
        <v>1856.0</v>
      </c>
      <c r="B20" s="6" t="s">
        <v>36</v>
      </c>
      <c r="C20" s="7" t="str">
        <f t="shared" si="1"/>
        <v>LP 19_BC-510A_BS VI MS</v>
      </c>
      <c r="D20" s="9" t="s">
        <v>1326</v>
      </c>
      <c r="E20" s="9" t="s">
        <v>988</v>
      </c>
      <c r="F20" s="8" t="s">
        <v>1327</v>
      </c>
      <c r="G20" s="8" t="s">
        <v>102</v>
      </c>
      <c r="H20" s="22" t="s">
        <v>1328</v>
      </c>
      <c r="I20" s="35">
        <v>0.0</v>
      </c>
      <c r="J20" s="22" t="s">
        <v>1329</v>
      </c>
      <c r="K20" s="35">
        <v>0.0</v>
      </c>
      <c r="L20" s="22" t="s">
        <v>1330</v>
      </c>
      <c r="M20" s="35">
        <v>0.0</v>
      </c>
      <c r="N20" s="22" t="s">
        <v>1331</v>
      </c>
      <c r="O20" s="35">
        <v>0.0</v>
      </c>
      <c r="P20" s="22" t="s">
        <v>1332</v>
      </c>
      <c r="Q20" s="35">
        <v>0.0</v>
      </c>
      <c r="R20" s="22" t="s">
        <v>1333</v>
      </c>
      <c r="S20" s="35">
        <v>0.0</v>
      </c>
      <c r="T20" s="22" t="s">
        <v>1334</v>
      </c>
      <c r="U20" s="35">
        <v>0.0</v>
      </c>
      <c r="V20" s="22" t="s">
        <v>1335</v>
      </c>
      <c r="W20" s="35">
        <v>0.0</v>
      </c>
      <c r="X20" s="69" t="s">
        <v>1336</v>
      </c>
      <c r="Y20" s="35">
        <v>0.0</v>
      </c>
      <c r="Z20" s="22" t="s">
        <v>1337</v>
      </c>
      <c r="AA20" s="35">
        <v>0.0</v>
      </c>
      <c r="AB20" s="22" t="s">
        <v>1338</v>
      </c>
      <c r="AC20" s="35">
        <v>0.0</v>
      </c>
      <c r="AD20" s="22" t="s">
        <v>1339</v>
      </c>
      <c r="AE20" s="35">
        <v>0.0</v>
      </c>
      <c r="AF20" s="22" t="s">
        <v>1340</v>
      </c>
      <c r="AG20" s="35">
        <v>0.0</v>
      </c>
      <c r="AH20" s="22" t="s">
        <v>1341</v>
      </c>
      <c r="AI20" s="35">
        <v>0.0</v>
      </c>
      <c r="AJ20" s="22" t="s">
        <v>1342</v>
      </c>
      <c r="AK20" s="35">
        <v>0.0</v>
      </c>
      <c r="AL20" s="22" t="s">
        <v>1343</v>
      </c>
      <c r="AM20" s="35">
        <v>0.0</v>
      </c>
      <c r="AN20" s="22" t="s">
        <v>1344</v>
      </c>
      <c r="AO20" s="35">
        <v>0.0</v>
      </c>
      <c r="AP20" s="22" t="s">
        <v>1345</v>
      </c>
      <c r="AQ20" s="35">
        <v>0.0</v>
      </c>
      <c r="AR20" s="22" t="s">
        <v>1346</v>
      </c>
      <c r="AS20" s="35">
        <v>0.0</v>
      </c>
    </row>
    <row r="21" ht="15.75" customHeight="1">
      <c r="A21" s="5">
        <v>1856.0</v>
      </c>
      <c r="B21" s="6" t="s">
        <v>36</v>
      </c>
      <c r="C21" s="7" t="str">
        <f t="shared" si="1"/>
        <v>LP 20_BC-510B_BS VI HSD</v>
      </c>
      <c r="D21" s="9" t="s">
        <v>1347</v>
      </c>
      <c r="E21" s="9" t="s">
        <v>988</v>
      </c>
      <c r="F21" s="8" t="s">
        <v>1348</v>
      </c>
      <c r="G21" s="8" t="s">
        <v>84</v>
      </c>
      <c r="H21" s="22" t="s">
        <v>1349</v>
      </c>
      <c r="I21" s="35">
        <v>0.0</v>
      </c>
      <c r="J21" s="22" t="s">
        <v>1350</v>
      </c>
      <c r="K21" s="35">
        <v>0.0</v>
      </c>
      <c r="L21" s="22"/>
      <c r="M21" s="22"/>
      <c r="N21" s="22" t="s">
        <v>1351</v>
      </c>
      <c r="O21" s="35">
        <v>0.0</v>
      </c>
      <c r="P21" s="22"/>
      <c r="Q21" s="22"/>
      <c r="R21" s="22" t="s">
        <v>1352</v>
      </c>
      <c r="S21" s="35">
        <v>0.0</v>
      </c>
      <c r="T21" s="22"/>
      <c r="U21" s="22"/>
      <c r="V21" s="22" t="s">
        <v>1353</v>
      </c>
      <c r="W21" s="35">
        <v>0.0</v>
      </c>
      <c r="X21" s="69" t="s">
        <v>1354</v>
      </c>
      <c r="Y21" s="35">
        <v>0.0</v>
      </c>
      <c r="Z21" s="22" t="s">
        <v>1355</v>
      </c>
      <c r="AA21" s="35">
        <v>0.0</v>
      </c>
      <c r="AB21" s="22" t="s">
        <v>1356</v>
      </c>
      <c r="AC21" s="35">
        <v>0.0</v>
      </c>
      <c r="AD21" s="22" t="s">
        <v>1357</v>
      </c>
      <c r="AE21" s="35">
        <v>0.0</v>
      </c>
      <c r="AF21" s="22" t="s">
        <v>1358</v>
      </c>
      <c r="AG21" s="35">
        <v>0.0</v>
      </c>
      <c r="AH21" s="22" t="s">
        <v>1359</v>
      </c>
      <c r="AI21" s="35">
        <v>0.0</v>
      </c>
      <c r="AJ21" s="22" t="s">
        <v>1360</v>
      </c>
      <c r="AK21" s="35">
        <v>0.0</v>
      </c>
      <c r="AL21" s="4"/>
      <c r="AM21" s="4"/>
      <c r="AN21" s="22" t="s">
        <v>1361</v>
      </c>
      <c r="AO21" s="35">
        <v>0.0</v>
      </c>
      <c r="AP21" s="22" t="s">
        <v>1362</v>
      </c>
      <c r="AQ21" s="35">
        <v>0.0</v>
      </c>
      <c r="AR21" s="22"/>
      <c r="AS21" s="9"/>
    </row>
    <row r="22" ht="15.75" customHeight="1">
      <c r="A22" s="5">
        <v>1856.0</v>
      </c>
      <c r="B22" s="6" t="s">
        <v>36</v>
      </c>
      <c r="C22" s="7" t="str">
        <f t="shared" si="1"/>
        <v>LP 21_BC-09C_MTO</v>
      </c>
      <c r="D22" s="9" t="s">
        <v>1363</v>
      </c>
      <c r="E22" s="9" t="s">
        <v>988</v>
      </c>
      <c r="F22" s="8" t="s">
        <v>1364</v>
      </c>
      <c r="G22" s="8" t="s">
        <v>1365</v>
      </c>
      <c r="H22" s="22" t="s">
        <v>1366</v>
      </c>
      <c r="I22" s="35">
        <v>0.0</v>
      </c>
      <c r="J22" s="22" t="s">
        <v>1367</v>
      </c>
      <c r="K22" s="35">
        <v>0.0</v>
      </c>
      <c r="L22" s="22"/>
      <c r="M22" s="22"/>
      <c r="N22" s="22" t="s">
        <v>1368</v>
      </c>
      <c r="O22" s="35">
        <v>0.0</v>
      </c>
      <c r="P22" s="22"/>
      <c r="Q22" s="22"/>
      <c r="R22" s="22" t="s">
        <v>1369</v>
      </c>
      <c r="S22" s="35">
        <v>0.0</v>
      </c>
      <c r="T22" s="22"/>
      <c r="U22" s="22"/>
      <c r="V22" s="22" t="s">
        <v>1370</v>
      </c>
      <c r="W22" s="35">
        <v>0.0</v>
      </c>
      <c r="X22" s="69" t="s">
        <v>1371</v>
      </c>
      <c r="Y22" s="35">
        <v>0.0</v>
      </c>
      <c r="Z22" s="22" t="s">
        <v>1372</v>
      </c>
      <c r="AA22" s="35">
        <v>0.0</v>
      </c>
      <c r="AB22" s="22" t="s">
        <v>1373</v>
      </c>
      <c r="AC22" s="35">
        <v>0.0</v>
      </c>
      <c r="AD22" s="22" t="s">
        <v>1374</v>
      </c>
      <c r="AE22" s="35">
        <v>0.0</v>
      </c>
      <c r="AF22" s="22" t="s">
        <v>1375</v>
      </c>
      <c r="AG22" s="35">
        <v>0.0</v>
      </c>
      <c r="AH22" s="22" t="s">
        <v>1376</v>
      </c>
      <c r="AI22" s="35">
        <v>0.0</v>
      </c>
      <c r="AJ22" s="22" t="s">
        <v>1377</v>
      </c>
      <c r="AK22" s="35">
        <v>0.0</v>
      </c>
      <c r="AL22" s="4"/>
      <c r="AM22" s="4"/>
      <c r="AN22" s="22" t="s">
        <v>1378</v>
      </c>
      <c r="AO22" s="35">
        <v>0.0</v>
      </c>
      <c r="AP22" s="22" t="s">
        <v>1379</v>
      </c>
      <c r="AQ22" s="35">
        <v>0.0</v>
      </c>
      <c r="AR22" s="22"/>
      <c r="AS22" s="9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4"/>
      <c r="AI23" s="24"/>
      <c r="AJ23" s="21"/>
      <c r="AK23" s="21"/>
      <c r="AL23" s="21"/>
      <c r="AM23" s="21"/>
      <c r="AN23" s="21"/>
      <c r="AO23" s="21"/>
      <c r="AP23" s="21"/>
      <c r="AQ23" s="21"/>
      <c r="AR23" s="21"/>
      <c r="AS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5"/>
      <c r="AI24" s="25"/>
      <c r="AJ24" s="21"/>
      <c r="AK24" s="21"/>
      <c r="AL24" s="21"/>
      <c r="AM24" s="21"/>
      <c r="AN24" s="21"/>
      <c r="AO24" s="21"/>
      <c r="AP24" s="21"/>
      <c r="AQ24" s="21"/>
      <c r="AR24" s="21"/>
      <c r="AS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5"/>
      <c r="AI25" s="25"/>
      <c r="AJ25" s="21"/>
      <c r="AK25" s="21"/>
      <c r="AL25" s="21"/>
      <c r="AM25" s="21"/>
      <c r="AN25" s="21"/>
      <c r="AO25" s="21"/>
      <c r="AP25" s="21"/>
      <c r="AQ25" s="21"/>
      <c r="AR25" s="21"/>
      <c r="AS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5"/>
      <c r="AI26" s="25"/>
      <c r="AJ26" s="21"/>
      <c r="AK26" s="21"/>
      <c r="AL26" s="21"/>
      <c r="AM26" s="21"/>
      <c r="AN26" s="21"/>
      <c r="AO26" s="21"/>
      <c r="AP26" s="21"/>
      <c r="AQ26" s="21"/>
      <c r="AR26" s="21"/>
      <c r="AS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5"/>
      <c r="AI27" s="25"/>
      <c r="AJ27" s="21"/>
      <c r="AK27" s="21"/>
      <c r="AL27" s="21"/>
      <c r="AM27" s="21"/>
      <c r="AN27" s="21"/>
      <c r="AO27" s="21"/>
      <c r="AP27" s="21"/>
      <c r="AQ27" s="21"/>
      <c r="AR27" s="21"/>
      <c r="AS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5"/>
      <c r="AI28" s="25"/>
      <c r="AJ28" s="21"/>
      <c r="AK28" s="21"/>
      <c r="AL28" s="21"/>
      <c r="AM28" s="21"/>
      <c r="AN28" s="21"/>
      <c r="AO28" s="21"/>
      <c r="AP28" s="21"/>
      <c r="AQ28" s="21"/>
      <c r="AR28" s="21"/>
      <c r="AS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5"/>
      <c r="AI29" s="25"/>
      <c r="AJ29" s="21"/>
      <c r="AK29" s="21"/>
      <c r="AL29" s="21"/>
      <c r="AM29" s="21"/>
      <c r="AN29" s="21"/>
      <c r="AO29" s="21"/>
      <c r="AP29" s="21"/>
      <c r="AQ29" s="21"/>
      <c r="AR29" s="21"/>
      <c r="AS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5"/>
      <c r="AI30" s="25"/>
      <c r="AJ30" s="21"/>
      <c r="AK30" s="21"/>
      <c r="AL30" s="21"/>
      <c r="AM30" s="21"/>
      <c r="AN30" s="21"/>
      <c r="AO30" s="21"/>
      <c r="AP30" s="21"/>
      <c r="AQ30" s="21"/>
      <c r="AR30" s="21"/>
      <c r="AS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5"/>
      <c r="AI31" s="25"/>
      <c r="AJ31" s="21"/>
      <c r="AK31" s="21"/>
      <c r="AL31" s="21"/>
      <c r="AM31" s="21"/>
      <c r="AN31" s="21"/>
      <c r="AO31" s="21"/>
      <c r="AP31" s="21"/>
      <c r="AQ31" s="21"/>
      <c r="AR31" s="21"/>
      <c r="AS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5"/>
      <c r="AI32" s="25"/>
      <c r="AJ32" s="21"/>
      <c r="AK32" s="21"/>
      <c r="AL32" s="21"/>
      <c r="AM32" s="21"/>
      <c r="AN32" s="21"/>
      <c r="AO32" s="21"/>
      <c r="AP32" s="21"/>
      <c r="AQ32" s="21"/>
      <c r="AR32" s="21"/>
      <c r="AS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5"/>
      <c r="AI33" s="25"/>
      <c r="AJ33" s="21"/>
      <c r="AK33" s="21"/>
      <c r="AL33" s="21"/>
      <c r="AM33" s="21"/>
      <c r="AN33" s="21"/>
      <c r="AO33" s="21"/>
      <c r="AP33" s="21"/>
      <c r="AQ33" s="21"/>
      <c r="AR33" s="21"/>
      <c r="AS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5"/>
      <c r="AI34" s="25"/>
      <c r="AJ34" s="21"/>
      <c r="AK34" s="21"/>
      <c r="AL34" s="21"/>
      <c r="AM34" s="21"/>
      <c r="AN34" s="21"/>
      <c r="AO34" s="21"/>
      <c r="AP34" s="21"/>
      <c r="AQ34" s="21"/>
      <c r="AR34" s="21"/>
      <c r="AS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5"/>
      <c r="AI35" s="25"/>
      <c r="AJ35" s="21"/>
      <c r="AK35" s="21"/>
      <c r="AL35" s="21"/>
      <c r="AM35" s="21"/>
      <c r="AN35" s="21"/>
      <c r="AO35" s="21"/>
      <c r="AP35" s="21"/>
      <c r="AQ35" s="21"/>
      <c r="AR35" s="21"/>
      <c r="AS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5"/>
      <c r="AI36" s="25"/>
      <c r="AJ36" s="21"/>
      <c r="AK36" s="21"/>
      <c r="AL36" s="21"/>
      <c r="AM36" s="21"/>
      <c r="AN36" s="21"/>
      <c r="AO36" s="21"/>
      <c r="AP36" s="21"/>
      <c r="AQ36" s="21"/>
      <c r="AR36" s="21"/>
      <c r="AS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5"/>
      <c r="AI37" s="25"/>
      <c r="AJ37" s="21"/>
      <c r="AK37" s="21"/>
      <c r="AL37" s="21"/>
      <c r="AM37" s="21"/>
      <c r="AN37" s="21"/>
      <c r="AO37" s="21"/>
      <c r="AP37" s="21"/>
      <c r="AQ37" s="21"/>
      <c r="AR37" s="21"/>
      <c r="AS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5"/>
      <c r="AI38" s="25"/>
      <c r="AJ38" s="21"/>
      <c r="AK38" s="21"/>
      <c r="AL38" s="21"/>
      <c r="AM38" s="21"/>
      <c r="AN38" s="21"/>
      <c r="AO38" s="21"/>
      <c r="AP38" s="21"/>
      <c r="AQ38" s="21"/>
      <c r="AR38" s="21"/>
      <c r="AS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5"/>
      <c r="AI39" s="25"/>
      <c r="AJ39" s="21"/>
      <c r="AK39" s="21"/>
      <c r="AL39" s="21"/>
      <c r="AM39" s="21"/>
      <c r="AN39" s="21"/>
      <c r="AO39" s="21"/>
      <c r="AP39" s="21"/>
      <c r="AQ39" s="21"/>
      <c r="AR39" s="21"/>
      <c r="AS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5"/>
      <c r="AI40" s="25"/>
      <c r="AJ40" s="21"/>
      <c r="AK40" s="21"/>
      <c r="AL40" s="21"/>
      <c r="AM40" s="21"/>
      <c r="AN40" s="21"/>
      <c r="AO40" s="21"/>
      <c r="AP40" s="21"/>
      <c r="AQ40" s="21"/>
      <c r="AR40" s="21"/>
      <c r="AS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5"/>
      <c r="AI41" s="25"/>
      <c r="AJ41" s="21"/>
      <c r="AK41" s="21"/>
      <c r="AL41" s="21"/>
      <c r="AM41" s="21"/>
      <c r="AN41" s="21"/>
      <c r="AO41" s="21"/>
      <c r="AP41" s="21"/>
      <c r="AQ41" s="21"/>
      <c r="AR41" s="21"/>
      <c r="AS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5"/>
      <c r="AI42" s="25"/>
      <c r="AJ42" s="21"/>
      <c r="AK42" s="21"/>
      <c r="AL42" s="21"/>
      <c r="AM42" s="21"/>
      <c r="AN42" s="21"/>
      <c r="AO42" s="21"/>
      <c r="AP42" s="21"/>
      <c r="AQ42" s="21"/>
      <c r="AR42" s="21"/>
      <c r="AS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5"/>
      <c r="AI43" s="25"/>
      <c r="AJ43" s="21"/>
      <c r="AK43" s="21"/>
      <c r="AL43" s="21"/>
      <c r="AM43" s="21"/>
      <c r="AN43" s="21"/>
      <c r="AO43" s="21"/>
      <c r="AP43" s="21"/>
      <c r="AQ43" s="21"/>
      <c r="AR43" s="21"/>
      <c r="AS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5"/>
      <c r="AI44" s="25"/>
      <c r="AJ44" s="21"/>
      <c r="AK44" s="21"/>
      <c r="AL44" s="21"/>
      <c r="AM44" s="21"/>
      <c r="AN44" s="21"/>
      <c r="AO44" s="21"/>
      <c r="AP44" s="21"/>
      <c r="AQ44" s="21"/>
      <c r="AR44" s="21"/>
      <c r="AS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5"/>
      <c r="AI45" s="25"/>
      <c r="AJ45" s="21"/>
      <c r="AK45" s="21"/>
      <c r="AL45" s="21"/>
      <c r="AM45" s="21"/>
      <c r="AN45" s="21"/>
      <c r="AO45" s="21"/>
      <c r="AP45" s="21"/>
      <c r="AQ45" s="21"/>
      <c r="AR45" s="21"/>
      <c r="AS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5"/>
      <c r="AI46" s="25"/>
      <c r="AJ46" s="21"/>
      <c r="AK46" s="21"/>
      <c r="AL46" s="21"/>
      <c r="AM46" s="21"/>
      <c r="AN46" s="21"/>
      <c r="AO46" s="21"/>
      <c r="AP46" s="21"/>
      <c r="AQ46" s="21"/>
      <c r="AR46" s="21"/>
      <c r="AS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5"/>
      <c r="AI47" s="25"/>
      <c r="AJ47" s="21"/>
      <c r="AK47" s="21"/>
      <c r="AL47" s="21"/>
      <c r="AM47" s="21"/>
      <c r="AN47" s="21"/>
      <c r="AO47" s="21"/>
      <c r="AP47" s="21"/>
      <c r="AQ47" s="21"/>
      <c r="AR47" s="21"/>
      <c r="AS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5"/>
      <c r="AI48" s="25"/>
      <c r="AJ48" s="21"/>
      <c r="AK48" s="21"/>
      <c r="AL48" s="21"/>
      <c r="AM48" s="21"/>
      <c r="AN48" s="21"/>
      <c r="AO48" s="21"/>
      <c r="AP48" s="21"/>
      <c r="AQ48" s="21"/>
      <c r="AR48" s="21"/>
      <c r="AS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5"/>
      <c r="AI49" s="25"/>
      <c r="AJ49" s="21"/>
      <c r="AK49" s="21"/>
      <c r="AL49" s="21"/>
      <c r="AM49" s="21"/>
      <c r="AN49" s="21"/>
      <c r="AO49" s="21"/>
      <c r="AP49" s="21"/>
      <c r="AQ49" s="21"/>
      <c r="AR49" s="21"/>
      <c r="AS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5"/>
      <c r="AI50" s="25"/>
      <c r="AJ50" s="21"/>
      <c r="AK50" s="21"/>
      <c r="AL50" s="21"/>
      <c r="AM50" s="21"/>
      <c r="AN50" s="21"/>
      <c r="AO50" s="21"/>
      <c r="AP50" s="21"/>
      <c r="AQ50" s="21"/>
      <c r="AR50" s="21"/>
      <c r="AS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5"/>
      <c r="AI51" s="25"/>
      <c r="AJ51" s="21"/>
      <c r="AK51" s="21"/>
      <c r="AL51" s="21"/>
      <c r="AM51" s="21"/>
      <c r="AN51" s="21"/>
      <c r="AO51" s="21"/>
      <c r="AP51" s="21"/>
      <c r="AQ51" s="21"/>
      <c r="AR51" s="21"/>
      <c r="AS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5"/>
      <c r="AI52" s="25"/>
      <c r="AJ52" s="21"/>
      <c r="AK52" s="21"/>
      <c r="AL52" s="21"/>
      <c r="AM52" s="21"/>
      <c r="AN52" s="21"/>
      <c r="AO52" s="21"/>
      <c r="AP52" s="21"/>
      <c r="AQ52" s="21"/>
      <c r="AR52" s="21"/>
      <c r="AS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5"/>
      <c r="AI53" s="25"/>
      <c r="AJ53" s="21"/>
      <c r="AK53" s="21"/>
      <c r="AL53" s="21"/>
      <c r="AM53" s="21"/>
      <c r="AN53" s="21"/>
      <c r="AO53" s="21"/>
      <c r="AP53" s="21"/>
      <c r="AQ53" s="21"/>
      <c r="AR53" s="21"/>
      <c r="AS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5"/>
      <c r="AI54" s="25"/>
      <c r="AJ54" s="21"/>
      <c r="AK54" s="21"/>
      <c r="AL54" s="21"/>
      <c r="AM54" s="21"/>
      <c r="AN54" s="21"/>
      <c r="AO54" s="21"/>
      <c r="AP54" s="21"/>
      <c r="AQ54" s="21"/>
      <c r="AR54" s="21"/>
      <c r="AS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5"/>
      <c r="AI55" s="25"/>
      <c r="AJ55" s="21"/>
      <c r="AK55" s="21"/>
      <c r="AL55" s="21"/>
      <c r="AM55" s="21"/>
      <c r="AN55" s="21"/>
      <c r="AO55" s="21"/>
      <c r="AP55" s="21"/>
      <c r="AQ55" s="21"/>
      <c r="AR55" s="21"/>
      <c r="AS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5"/>
      <c r="AI56" s="25"/>
      <c r="AJ56" s="21"/>
      <c r="AK56" s="21"/>
      <c r="AL56" s="21"/>
      <c r="AM56" s="21"/>
      <c r="AN56" s="21"/>
      <c r="AO56" s="21"/>
      <c r="AP56" s="21"/>
      <c r="AQ56" s="21"/>
      <c r="AR56" s="21"/>
      <c r="AS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5"/>
      <c r="AI57" s="25"/>
      <c r="AJ57" s="21"/>
      <c r="AK57" s="21"/>
      <c r="AL57" s="21"/>
      <c r="AM57" s="21"/>
      <c r="AN57" s="21"/>
      <c r="AO57" s="21"/>
      <c r="AP57" s="21"/>
      <c r="AQ57" s="21"/>
      <c r="AR57" s="21"/>
      <c r="AS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5"/>
      <c r="AI58" s="25"/>
      <c r="AJ58" s="21"/>
      <c r="AK58" s="21"/>
      <c r="AL58" s="21"/>
      <c r="AM58" s="21"/>
      <c r="AN58" s="21"/>
      <c r="AO58" s="21"/>
      <c r="AP58" s="21"/>
      <c r="AQ58" s="21"/>
      <c r="AR58" s="21"/>
      <c r="AS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5"/>
      <c r="AI59" s="25"/>
      <c r="AJ59" s="21"/>
      <c r="AK59" s="21"/>
      <c r="AL59" s="21"/>
      <c r="AM59" s="21"/>
      <c r="AN59" s="21"/>
      <c r="AO59" s="21"/>
      <c r="AP59" s="21"/>
      <c r="AQ59" s="21"/>
      <c r="AR59" s="21"/>
      <c r="AS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5"/>
      <c r="AI60" s="25"/>
      <c r="AJ60" s="21"/>
      <c r="AK60" s="21"/>
      <c r="AL60" s="21"/>
      <c r="AM60" s="21"/>
      <c r="AN60" s="21"/>
      <c r="AO60" s="21"/>
      <c r="AP60" s="21"/>
      <c r="AQ60" s="21"/>
      <c r="AR60" s="21"/>
      <c r="AS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5"/>
      <c r="AI61" s="25"/>
      <c r="AJ61" s="21"/>
      <c r="AK61" s="21"/>
      <c r="AL61" s="21"/>
      <c r="AM61" s="21"/>
      <c r="AN61" s="21"/>
      <c r="AO61" s="21"/>
      <c r="AP61" s="21"/>
      <c r="AQ61" s="21"/>
      <c r="AR61" s="21"/>
      <c r="AS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5"/>
      <c r="AI62" s="25"/>
      <c r="AJ62" s="21"/>
      <c r="AK62" s="21"/>
      <c r="AL62" s="21"/>
      <c r="AM62" s="21"/>
      <c r="AN62" s="21"/>
      <c r="AO62" s="21"/>
      <c r="AP62" s="21"/>
      <c r="AQ62" s="21"/>
      <c r="AR62" s="21"/>
      <c r="AS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5"/>
      <c r="AI63" s="25"/>
      <c r="AJ63" s="21"/>
      <c r="AK63" s="21"/>
      <c r="AL63" s="21"/>
      <c r="AM63" s="21"/>
      <c r="AN63" s="21"/>
      <c r="AO63" s="21"/>
      <c r="AP63" s="21"/>
      <c r="AQ63" s="21"/>
      <c r="AR63" s="21"/>
      <c r="AS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5"/>
      <c r="AI64" s="25"/>
      <c r="AJ64" s="21"/>
      <c r="AK64" s="21"/>
      <c r="AL64" s="21"/>
      <c r="AM64" s="21"/>
      <c r="AN64" s="21"/>
      <c r="AO64" s="21"/>
      <c r="AP64" s="21"/>
      <c r="AQ64" s="21"/>
      <c r="AR64" s="21"/>
      <c r="AS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5"/>
      <c r="AI65" s="25"/>
      <c r="AJ65" s="21"/>
      <c r="AK65" s="21"/>
      <c r="AL65" s="21"/>
      <c r="AM65" s="21"/>
      <c r="AN65" s="21"/>
      <c r="AO65" s="21"/>
      <c r="AP65" s="21"/>
      <c r="AQ65" s="21"/>
      <c r="AR65" s="21"/>
      <c r="AS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5"/>
      <c r="AI66" s="25"/>
      <c r="AJ66" s="21"/>
      <c r="AK66" s="21"/>
      <c r="AL66" s="21"/>
      <c r="AM66" s="21"/>
      <c r="AN66" s="21"/>
      <c r="AO66" s="21"/>
      <c r="AP66" s="21"/>
      <c r="AQ66" s="21"/>
      <c r="AR66" s="21"/>
      <c r="AS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5"/>
      <c r="AI67" s="25"/>
      <c r="AJ67" s="21"/>
      <c r="AK67" s="21"/>
      <c r="AL67" s="21"/>
      <c r="AM67" s="21"/>
      <c r="AN67" s="21"/>
      <c r="AO67" s="21"/>
      <c r="AP67" s="21"/>
      <c r="AQ67" s="21"/>
      <c r="AR67" s="21"/>
      <c r="AS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5"/>
      <c r="AI68" s="25"/>
      <c r="AJ68" s="21"/>
      <c r="AK68" s="21"/>
      <c r="AL68" s="21"/>
      <c r="AM68" s="21"/>
      <c r="AN68" s="21"/>
      <c r="AO68" s="21"/>
      <c r="AP68" s="21"/>
      <c r="AQ68" s="21"/>
      <c r="AR68" s="21"/>
      <c r="AS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5"/>
      <c r="AI69" s="25"/>
      <c r="AJ69" s="21"/>
      <c r="AK69" s="21"/>
      <c r="AL69" s="21"/>
      <c r="AM69" s="21"/>
      <c r="AN69" s="21"/>
      <c r="AO69" s="21"/>
      <c r="AP69" s="21"/>
      <c r="AQ69" s="21"/>
      <c r="AR69" s="21"/>
      <c r="AS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5"/>
      <c r="AI70" s="25"/>
      <c r="AJ70" s="21"/>
      <c r="AK70" s="21"/>
      <c r="AL70" s="21"/>
      <c r="AM70" s="21"/>
      <c r="AN70" s="21"/>
      <c r="AO70" s="21"/>
      <c r="AP70" s="21"/>
      <c r="AQ70" s="21"/>
      <c r="AR70" s="21"/>
      <c r="AS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5"/>
      <c r="AI71" s="25"/>
      <c r="AJ71" s="21"/>
      <c r="AK71" s="21"/>
      <c r="AL71" s="21"/>
      <c r="AM71" s="21"/>
      <c r="AN71" s="21"/>
      <c r="AO71" s="21"/>
      <c r="AP71" s="21"/>
      <c r="AQ71" s="21"/>
      <c r="AR71" s="21"/>
      <c r="AS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5"/>
      <c r="AI72" s="25"/>
      <c r="AJ72" s="21"/>
      <c r="AK72" s="21"/>
      <c r="AL72" s="21"/>
      <c r="AM72" s="21"/>
      <c r="AN72" s="21"/>
      <c r="AO72" s="21"/>
      <c r="AP72" s="21"/>
      <c r="AQ72" s="21"/>
      <c r="AR72" s="21"/>
      <c r="AS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5"/>
      <c r="AI73" s="25"/>
      <c r="AJ73" s="21"/>
      <c r="AK73" s="21"/>
      <c r="AL73" s="21"/>
      <c r="AM73" s="21"/>
      <c r="AN73" s="21"/>
      <c r="AO73" s="21"/>
      <c r="AP73" s="21"/>
      <c r="AQ73" s="21"/>
      <c r="AR73" s="21"/>
      <c r="AS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5"/>
      <c r="AI74" s="25"/>
      <c r="AJ74" s="21"/>
      <c r="AK74" s="21"/>
      <c r="AL74" s="21"/>
      <c r="AM74" s="21"/>
      <c r="AN74" s="21"/>
      <c r="AO74" s="21"/>
      <c r="AP74" s="21"/>
      <c r="AQ74" s="21"/>
      <c r="AR74" s="21"/>
      <c r="AS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5"/>
      <c r="AI75" s="25"/>
      <c r="AJ75" s="21"/>
      <c r="AK75" s="21"/>
      <c r="AL75" s="21"/>
      <c r="AM75" s="21"/>
      <c r="AN75" s="21"/>
      <c r="AO75" s="21"/>
      <c r="AP75" s="21"/>
      <c r="AQ75" s="21"/>
      <c r="AR75" s="21"/>
      <c r="AS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5"/>
      <c r="AI76" s="25"/>
      <c r="AJ76" s="21"/>
      <c r="AK76" s="21"/>
      <c r="AL76" s="21"/>
      <c r="AM76" s="21"/>
      <c r="AN76" s="21"/>
      <c r="AO76" s="21"/>
      <c r="AP76" s="21"/>
      <c r="AQ76" s="21"/>
      <c r="AR76" s="21"/>
      <c r="AS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5"/>
      <c r="AI77" s="25"/>
      <c r="AJ77" s="21"/>
      <c r="AK77" s="21"/>
      <c r="AL77" s="21"/>
      <c r="AM77" s="21"/>
      <c r="AN77" s="21"/>
      <c r="AO77" s="21"/>
      <c r="AP77" s="21"/>
      <c r="AQ77" s="21"/>
      <c r="AR77" s="21"/>
      <c r="AS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5"/>
      <c r="AI78" s="25"/>
      <c r="AJ78" s="21"/>
      <c r="AK78" s="21"/>
      <c r="AL78" s="21"/>
      <c r="AM78" s="21"/>
      <c r="AN78" s="21"/>
      <c r="AO78" s="21"/>
      <c r="AP78" s="21"/>
      <c r="AQ78" s="21"/>
      <c r="AR78" s="21"/>
      <c r="AS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5"/>
      <c r="AI79" s="25"/>
      <c r="AJ79" s="21"/>
      <c r="AK79" s="21"/>
      <c r="AL79" s="21"/>
      <c r="AM79" s="21"/>
      <c r="AN79" s="21"/>
      <c r="AO79" s="21"/>
      <c r="AP79" s="21"/>
      <c r="AQ79" s="21"/>
      <c r="AR79" s="21"/>
      <c r="AS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5"/>
      <c r="AI80" s="25"/>
      <c r="AJ80" s="21"/>
      <c r="AK80" s="21"/>
      <c r="AL80" s="21"/>
      <c r="AM80" s="21"/>
      <c r="AN80" s="21"/>
      <c r="AO80" s="21"/>
      <c r="AP80" s="21"/>
      <c r="AQ80" s="21"/>
      <c r="AR80" s="21"/>
      <c r="AS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5"/>
      <c r="AI81" s="25"/>
      <c r="AJ81" s="21"/>
      <c r="AK81" s="21"/>
      <c r="AL81" s="21"/>
      <c r="AM81" s="21"/>
      <c r="AN81" s="21"/>
      <c r="AO81" s="21"/>
      <c r="AP81" s="21"/>
      <c r="AQ81" s="21"/>
      <c r="AR81" s="21"/>
      <c r="AS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5"/>
      <c r="AI82" s="25"/>
      <c r="AJ82" s="21"/>
      <c r="AK82" s="21"/>
      <c r="AL82" s="21"/>
      <c r="AM82" s="21"/>
      <c r="AN82" s="21"/>
      <c r="AO82" s="21"/>
      <c r="AP82" s="21"/>
      <c r="AQ82" s="21"/>
      <c r="AR82" s="21"/>
      <c r="AS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5"/>
      <c r="AI83" s="25"/>
      <c r="AJ83" s="21"/>
      <c r="AK83" s="21"/>
      <c r="AL83" s="21"/>
      <c r="AM83" s="21"/>
      <c r="AN83" s="21"/>
      <c r="AO83" s="21"/>
      <c r="AP83" s="21"/>
      <c r="AQ83" s="21"/>
      <c r="AR83" s="21"/>
      <c r="AS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5"/>
      <c r="AI84" s="25"/>
      <c r="AJ84" s="21"/>
      <c r="AK84" s="21"/>
      <c r="AL84" s="21"/>
      <c r="AM84" s="21"/>
      <c r="AN84" s="21"/>
      <c r="AO84" s="21"/>
      <c r="AP84" s="21"/>
      <c r="AQ84" s="21"/>
      <c r="AR84" s="21"/>
      <c r="AS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5"/>
      <c r="AI85" s="25"/>
      <c r="AJ85" s="21"/>
      <c r="AK85" s="21"/>
      <c r="AL85" s="21"/>
      <c r="AM85" s="21"/>
      <c r="AN85" s="21"/>
      <c r="AO85" s="21"/>
      <c r="AP85" s="21"/>
      <c r="AQ85" s="21"/>
      <c r="AR85" s="21"/>
      <c r="AS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5"/>
      <c r="AI86" s="25"/>
      <c r="AJ86" s="21"/>
      <c r="AK86" s="21"/>
      <c r="AL86" s="21"/>
      <c r="AM86" s="21"/>
      <c r="AN86" s="21"/>
      <c r="AO86" s="21"/>
      <c r="AP86" s="21"/>
      <c r="AQ86" s="21"/>
      <c r="AR86" s="21"/>
      <c r="AS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5"/>
      <c r="AI87" s="25"/>
      <c r="AJ87" s="21"/>
      <c r="AK87" s="21"/>
      <c r="AL87" s="21"/>
      <c r="AM87" s="21"/>
      <c r="AN87" s="21"/>
      <c r="AO87" s="21"/>
      <c r="AP87" s="21"/>
      <c r="AQ87" s="21"/>
      <c r="AR87" s="21"/>
      <c r="AS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5"/>
      <c r="AI88" s="25"/>
      <c r="AJ88" s="21"/>
      <c r="AK88" s="21"/>
      <c r="AL88" s="21"/>
      <c r="AM88" s="21"/>
      <c r="AN88" s="21"/>
      <c r="AO88" s="21"/>
      <c r="AP88" s="21"/>
      <c r="AQ88" s="21"/>
      <c r="AR88" s="21"/>
      <c r="AS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5"/>
      <c r="AI89" s="25"/>
      <c r="AJ89" s="21"/>
      <c r="AK89" s="21"/>
      <c r="AL89" s="21"/>
      <c r="AM89" s="21"/>
      <c r="AN89" s="21"/>
      <c r="AO89" s="21"/>
      <c r="AP89" s="21"/>
      <c r="AQ89" s="21"/>
      <c r="AR89" s="21"/>
      <c r="AS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5"/>
      <c r="AI90" s="25"/>
      <c r="AJ90" s="21"/>
      <c r="AK90" s="21"/>
      <c r="AL90" s="21"/>
      <c r="AM90" s="21"/>
      <c r="AN90" s="21"/>
      <c r="AO90" s="21"/>
      <c r="AP90" s="21"/>
      <c r="AQ90" s="21"/>
      <c r="AR90" s="21"/>
      <c r="AS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5"/>
      <c r="AI91" s="25"/>
      <c r="AJ91" s="21"/>
      <c r="AK91" s="21"/>
      <c r="AL91" s="21"/>
      <c r="AM91" s="21"/>
      <c r="AN91" s="21"/>
      <c r="AO91" s="21"/>
      <c r="AP91" s="21"/>
      <c r="AQ91" s="21"/>
      <c r="AR91" s="21"/>
      <c r="AS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5"/>
      <c r="AI92" s="25"/>
      <c r="AJ92" s="21"/>
      <c r="AK92" s="21"/>
      <c r="AL92" s="21"/>
      <c r="AM92" s="21"/>
      <c r="AN92" s="21"/>
      <c r="AO92" s="21"/>
      <c r="AP92" s="21"/>
      <c r="AQ92" s="21"/>
      <c r="AR92" s="21"/>
      <c r="AS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5"/>
      <c r="AI93" s="25"/>
      <c r="AJ93" s="21"/>
      <c r="AK93" s="21"/>
      <c r="AL93" s="21"/>
      <c r="AM93" s="21"/>
      <c r="AN93" s="21"/>
      <c r="AO93" s="21"/>
      <c r="AP93" s="21"/>
      <c r="AQ93" s="21"/>
      <c r="AR93" s="21"/>
      <c r="AS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5"/>
      <c r="AI94" s="25"/>
      <c r="AJ94" s="21"/>
      <c r="AK94" s="21"/>
      <c r="AL94" s="21"/>
      <c r="AM94" s="21"/>
      <c r="AN94" s="21"/>
      <c r="AO94" s="21"/>
      <c r="AP94" s="21"/>
      <c r="AQ94" s="21"/>
      <c r="AR94" s="21"/>
      <c r="AS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5"/>
      <c r="AI95" s="25"/>
      <c r="AJ95" s="21"/>
      <c r="AK95" s="21"/>
      <c r="AL95" s="21"/>
      <c r="AM95" s="21"/>
      <c r="AN95" s="21"/>
      <c r="AO95" s="21"/>
      <c r="AP95" s="21"/>
      <c r="AQ95" s="21"/>
      <c r="AR95" s="21"/>
      <c r="AS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5"/>
      <c r="AI96" s="25"/>
      <c r="AJ96" s="21"/>
      <c r="AK96" s="21"/>
      <c r="AL96" s="21"/>
      <c r="AM96" s="21"/>
      <c r="AN96" s="21"/>
      <c r="AO96" s="21"/>
      <c r="AP96" s="21"/>
      <c r="AQ96" s="21"/>
      <c r="AR96" s="21"/>
      <c r="AS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5"/>
      <c r="AI97" s="25"/>
      <c r="AJ97" s="21"/>
      <c r="AK97" s="21"/>
      <c r="AL97" s="21"/>
      <c r="AM97" s="21"/>
      <c r="AN97" s="21"/>
      <c r="AO97" s="21"/>
      <c r="AP97" s="21"/>
      <c r="AQ97" s="21"/>
      <c r="AR97" s="21"/>
      <c r="AS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5"/>
      <c r="AI98" s="25"/>
      <c r="AJ98" s="21"/>
      <c r="AK98" s="21"/>
      <c r="AL98" s="21"/>
      <c r="AM98" s="21"/>
      <c r="AN98" s="21"/>
      <c r="AO98" s="21"/>
      <c r="AP98" s="21"/>
      <c r="AQ98" s="21"/>
      <c r="AR98" s="21"/>
      <c r="AS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5"/>
      <c r="AI99" s="25"/>
      <c r="AJ99" s="21"/>
      <c r="AK99" s="21"/>
      <c r="AL99" s="21"/>
      <c r="AM99" s="21"/>
      <c r="AN99" s="21"/>
      <c r="AO99" s="21"/>
      <c r="AP99" s="21"/>
      <c r="AQ99" s="21"/>
      <c r="AR99" s="21"/>
      <c r="AS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5"/>
      <c r="AI100" s="25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5"/>
      <c r="AI101" s="25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5"/>
      <c r="AI102" s="25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5"/>
      <c r="AI103" s="25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5"/>
      <c r="AI104" s="25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5"/>
      <c r="AI105" s="25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5"/>
      <c r="AI106" s="25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5"/>
      <c r="AI107" s="25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5"/>
      <c r="AI108" s="25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5"/>
      <c r="AI109" s="25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5"/>
      <c r="AI110" s="25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5"/>
      <c r="AI111" s="25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5"/>
      <c r="AI112" s="25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5"/>
      <c r="AI113" s="25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5"/>
      <c r="AI114" s="25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5"/>
      <c r="AI115" s="25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5"/>
      <c r="AI116" s="25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5"/>
      <c r="AI117" s="25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5"/>
      <c r="AI118" s="25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5"/>
      <c r="AI119" s="25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5"/>
      <c r="AI120" s="25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5"/>
      <c r="AI121" s="25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5"/>
      <c r="AI122" s="25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5"/>
      <c r="AI123" s="25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5"/>
      <c r="AI124" s="25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5"/>
      <c r="AI125" s="25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5"/>
      <c r="AI126" s="25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5"/>
      <c r="AI127" s="25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5"/>
      <c r="AI128" s="25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5"/>
      <c r="AI129" s="25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5"/>
      <c r="AI130" s="25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5"/>
      <c r="AI131" s="25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5"/>
      <c r="AI132" s="25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5"/>
      <c r="AI133" s="25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5"/>
      <c r="AI134" s="25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5"/>
      <c r="AI135" s="25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5"/>
      <c r="AI136" s="25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5"/>
      <c r="AI137" s="25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5"/>
      <c r="AI138" s="25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5"/>
      <c r="AI139" s="25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5"/>
      <c r="AI140" s="25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5"/>
      <c r="AI141" s="25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5"/>
      <c r="AI142" s="25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5"/>
      <c r="AI143" s="25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5"/>
      <c r="AI144" s="25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5"/>
      <c r="AI145" s="25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5"/>
      <c r="AI146" s="25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5"/>
      <c r="AI147" s="25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5"/>
      <c r="AI148" s="25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5"/>
      <c r="AI149" s="25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5"/>
      <c r="AI150" s="25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5"/>
      <c r="AI151" s="25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5"/>
      <c r="AI152" s="25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5"/>
      <c r="AI153" s="25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5"/>
      <c r="AI154" s="25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5"/>
      <c r="AI155" s="25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5"/>
      <c r="AI156" s="25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5"/>
      <c r="AI157" s="25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5"/>
      <c r="AI158" s="25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5"/>
      <c r="AI159" s="25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5"/>
      <c r="AI160" s="25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5"/>
      <c r="AI161" s="25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5"/>
      <c r="AI162" s="25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5"/>
      <c r="AI163" s="25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5"/>
      <c r="AI164" s="25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5"/>
      <c r="AI165" s="25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5"/>
      <c r="AI166" s="25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5"/>
      <c r="AI167" s="25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5"/>
      <c r="AI168" s="25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5"/>
      <c r="AI169" s="25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5"/>
      <c r="AI170" s="25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5"/>
      <c r="AI171" s="25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5"/>
      <c r="AI172" s="25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5"/>
      <c r="AI173" s="25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5"/>
      <c r="AI174" s="25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5"/>
      <c r="AI175" s="25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5"/>
      <c r="AI176" s="25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5"/>
      <c r="AI177" s="25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5"/>
      <c r="AI178" s="25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5"/>
      <c r="AI179" s="25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5"/>
      <c r="AI180" s="25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5"/>
      <c r="AI181" s="25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5"/>
      <c r="AI182" s="25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5"/>
      <c r="AI183" s="25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5"/>
      <c r="AI184" s="25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5"/>
      <c r="AI185" s="25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5"/>
      <c r="AI186" s="25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5"/>
      <c r="AI187" s="25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5"/>
      <c r="AI188" s="25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</row>
    <row r="189" ht="15.75" customHeight="1">
      <c r="AH189" s="25"/>
      <c r="AI189" s="25"/>
    </row>
    <row r="190" ht="15.75" customHeight="1">
      <c r="AH190" s="25"/>
      <c r="AI190" s="25"/>
    </row>
    <row r="191" ht="15.75" customHeight="1">
      <c r="AH191" s="25"/>
      <c r="AI191" s="25"/>
    </row>
    <row r="192" ht="15.75" customHeight="1">
      <c r="AH192" s="25"/>
      <c r="AI192" s="25"/>
    </row>
    <row r="193" ht="15.75" customHeight="1">
      <c r="AH193" s="25"/>
      <c r="AI193" s="25"/>
    </row>
    <row r="194" ht="15.75" customHeight="1">
      <c r="AH194" s="25"/>
      <c r="AI194" s="25"/>
    </row>
    <row r="195" ht="15.75" customHeight="1">
      <c r="AH195" s="25"/>
      <c r="AI195" s="25"/>
    </row>
    <row r="196" ht="15.75" customHeight="1">
      <c r="AH196" s="25"/>
      <c r="AI196" s="25"/>
    </row>
    <row r="197" ht="15.75" customHeight="1">
      <c r="AH197" s="25"/>
      <c r="AI197" s="25"/>
    </row>
    <row r="198" ht="15.75" customHeight="1">
      <c r="AH198" s="25"/>
      <c r="AI198" s="25"/>
    </row>
    <row r="199" ht="15.75" customHeight="1">
      <c r="AH199" s="25"/>
      <c r="AI199" s="25"/>
    </row>
    <row r="200" ht="15.75" customHeight="1">
      <c r="AH200" s="25"/>
      <c r="AI200" s="25"/>
    </row>
    <row r="201" ht="15.75" customHeight="1">
      <c r="AH201" s="25"/>
      <c r="AI201" s="25"/>
    </row>
    <row r="202" ht="15.75" customHeight="1">
      <c r="AH202" s="25"/>
      <c r="AI202" s="25"/>
    </row>
    <row r="203" ht="15.75" customHeight="1">
      <c r="AH203" s="25"/>
      <c r="AI203" s="25"/>
    </row>
    <row r="204" ht="15.75" customHeight="1">
      <c r="AH204" s="25"/>
      <c r="AI204" s="25"/>
    </row>
    <row r="205" ht="15.75" customHeight="1">
      <c r="AH205" s="25"/>
      <c r="AI205" s="25"/>
    </row>
    <row r="206" ht="15.75" customHeight="1">
      <c r="AH206" s="25"/>
      <c r="AI206" s="25"/>
    </row>
    <row r="207" ht="15.75" customHeight="1">
      <c r="AH207" s="25"/>
      <c r="AI207" s="25"/>
    </row>
    <row r="208" ht="15.75" customHeight="1">
      <c r="AH208" s="25"/>
      <c r="AI208" s="25"/>
    </row>
    <row r="209" ht="15.75" customHeight="1">
      <c r="AH209" s="25"/>
      <c r="AI209" s="25"/>
    </row>
    <row r="210" ht="15.75" customHeight="1">
      <c r="AH210" s="25"/>
      <c r="AI210" s="25"/>
    </row>
    <row r="211" ht="15.75" customHeight="1">
      <c r="AH211" s="25"/>
      <c r="AI211" s="25"/>
    </row>
    <row r="212" ht="15.75" customHeight="1">
      <c r="AH212" s="25"/>
      <c r="AI212" s="25"/>
    </row>
    <row r="213" ht="15.75" customHeight="1">
      <c r="AH213" s="25"/>
      <c r="AI213" s="25"/>
    </row>
    <row r="214" ht="15.75" customHeight="1">
      <c r="AH214" s="25"/>
      <c r="AI214" s="25"/>
    </row>
    <row r="215" ht="15.75" customHeight="1">
      <c r="AH215" s="25"/>
      <c r="AI215" s="25"/>
    </row>
    <row r="216" ht="15.75" customHeight="1">
      <c r="AH216" s="25"/>
      <c r="AI216" s="25"/>
    </row>
    <row r="217" ht="15.75" customHeight="1">
      <c r="AH217" s="25"/>
      <c r="AI217" s="25"/>
    </row>
    <row r="218" ht="15.75" customHeight="1">
      <c r="AH218" s="25"/>
      <c r="AI218" s="25"/>
    </row>
    <row r="219" ht="15.75" customHeight="1">
      <c r="AH219" s="25"/>
      <c r="AI219" s="25"/>
    </row>
    <row r="220" ht="15.75" customHeight="1">
      <c r="AH220" s="25"/>
      <c r="AI220" s="25"/>
    </row>
    <row r="221" ht="15.75" customHeight="1">
      <c r="AH221" s="25"/>
      <c r="AI221" s="25"/>
    </row>
    <row r="222" ht="15.75" customHeight="1">
      <c r="AH222" s="25"/>
      <c r="AI222" s="25"/>
    </row>
    <row r="223" ht="15.75" customHeight="1">
      <c r="AH223" s="25"/>
      <c r="AI223" s="25"/>
    </row>
    <row r="224" ht="15.75" customHeight="1">
      <c r="AH224" s="25"/>
      <c r="AI224" s="25"/>
    </row>
    <row r="225" ht="15.75" customHeight="1">
      <c r="AH225" s="25"/>
      <c r="AI225" s="25"/>
    </row>
    <row r="226" ht="15.75" customHeight="1">
      <c r="AH226" s="25"/>
      <c r="AI226" s="25"/>
    </row>
    <row r="227" ht="15.75" customHeight="1">
      <c r="AH227" s="25"/>
      <c r="AI227" s="25"/>
    </row>
    <row r="228" ht="15.75" customHeight="1">
      <c r="AH228" s="25"/>
      <c r="AI228" s="25"/>
    </row>
    <row r="229" ht="15.75" customHeight="1">
      <c r="AH229" s="25"/>
      <c r="AI229" s="25"/>
    </row>
    <row r="230" ht="15.75" customHeight="1">
      <c r="AH230" s="25"/>
      <c r="AI230" s="25"/>
    </row>
    <row r="231" ht="15.75" customHeight="1">
      <c r="AH231" s="25"/>
      <c r="AI231" s="25"/>
    </row>
    <row r="232" ht="15.75" customHeight="1">
      <c r="AH232" s="25"/>
      <c r="AI232" s="25"/>
    </row>
    <row r="233" ht="15.75" customHeight="1">
      <c r="AH233" s="25"/>
      <c r="AI233" s="25"/>
    </row>
    <row r="234" ht="15.75" customHeight="1">
      <c r="AH234" s="25"/>
      <c r="AI234" s="25"/>
    </row>
    <row r="235" ht="15.75" customHeight="1">
      <c r="AH235" s="25"/>
      <c r="AI235" s="25"/>
    </row>
    <row r="236" ht="15.75" customHeight="1">
      <c r="AH236" s="25"/>
      <c r="AI236" s="25"/>
    </row>
    <row r="237" ht="15.75" customHeight="1">
      <c r="AH237" s="25"/>
      <c r="AI237" s="25"/>
    </row>
    <row r="238" ht="15.75" customHeight="1">
      <c r="AH238" s="25"/>
      <c r="AI238" s="25"/>
    </row>
    <row r="239" ht="15.75" customHeight="1">
      <c r="AH239" s="25"/>
      <c r="AI239" s="25"/>
    </row>
    <row r="240" ht="15.75" customHeight="1">
      <c r="AH240" s="25"/>
      <c r="AI240" s="25"/>
    </row>
    <row r="241" ht="15.75" customHeight="1">
      <c r="AH241" s="25"/>
      <c r="AI241" s="25"/>
    </row>
    <row r="242" ht="15.75" customHeight="1">
      <c r="AH242" s="25"/>
      <c r="AI242" s="25"/>
    </row>
    <row r="243" ht="15.75" customHeight="1">
      <c r="AH243" s="25"/>
      <c r="AI243" s="25"/>
    </row>
    <row r="244" ht="15.75" customHeight="1">
      <c r="AH244" s="25"/>
      <c r="AI244" s="25"/>
    </row>
    <row r="245" ht="15.75" customHeight="1">
      <c r="AH245" s="25"/>
      <c r="AI245" s="25"/>
    </row>
    <row r="246" ht="15.75" customHeight="1">
      <c r="AH246" s="25"/>
      <c r="AI246" s="25"/>
    </row>
    <row r="247" ht="15.75" customHeight="1">
      <c r="AH247" s="25"/>
      <c r="AI247" s="25"/>
    </row>
    <row r="248" ht="15.75" customHeight="1">
      <c r="AH248" s="25"/>
      <c r="AI248" s="25"/>
    </row>
    <row r="249" ht="15.75" customHeight="1">
      <c r="AH249" s="25"/>
      <c r="AI249" s="25"/>
    </row>
    <row r="250" ht="15.75" customHeight="1">
      <c r="AH250" s="25"/>
      <c r="AI250" s="25"/>
    </row>
    <row r="251" ht="15.75" customHeight="1">
      <c r="AH251" s="25"/>
      <c r="AI251" s="25"/>
    </row>
    <row r="252" ht="15.75" customHeight="1">
      <c r="AH252" s="25"/>
      <c r="AI252" s="25"/>
    </row>
    <row r="253" ht="15.75" customHeight="1">
      <c r="AH253" s="25"/>
      <c r="AI253" s="25"/>
    </row>
    <row r="254" ht="15.75" customHeight="1">
      <c r="AH254" s="25"/>
      <c r="AI254" s="25"/>
    </row>
    <row r="255" ht="15.75" customHeight="1">
      <c r="AH255" s="25"/>
      <c r="AI255" s="25"/>
    </row>
    <row r="256" ht="15.75" customHeight="1">
      <c r="AH256" s="25"/>
      <c r="AI256" s="25"/>
    </row>
    <row r="257" ht="15.75" customHeight="1">
      <c r="AH257" s="25"/>
      <c r="AI257" s="25"/>
    </row>
    <row r="258" ht="15.75" customHeight="1">
      <c r="AH258" s="25"/>
      <c r="AI258" s="25"/>
    </row>
    <row r="259" ht="15.75" customHeight="1">
      <c r="AH259" s="25"/>
      <c r="AI259" s="25"/>
    </row>
    <row r="260" ht="15.75" customHeight="1">
      <c r="AH260" s="25"/>
      <c r="AI260" s="25"/>
    </row>
    <row r="261" ht="15.75" customHeight="1">
      <c r="AH261" s="25"/>
      <c r="AI261" s="25"/>
    </row>
    <row r="262" ht="15.75" customHeight="1">
      <c r="AH262" s="25"/>
      <c r="AI262" s="25"/>
    </row>
    <row r="263" ht="15.75" customHeight="1">
      <c r="AH263" s="25"/>
      <c r="AI263" s="25"/>
    </row>
    <row r="264" ht="15.75" customHeight="1">
      <c r="AH264" s="25"/>
      <c r="AI264" s="25"/>
    </row>
    <row r="265" ht="15.75" customHeight="1">
      <c r="AH265" s="25"/>
      <c r="AI265" s="25"/>
    </row>
    <row r="266" ht="15.75" customHeight="1">
      <c r="AH266" s="25"/>
      <c r="AI266" s="25"/>
    </row>
    <row r="267" ht="15.75" customHeight="1">
      <c r="AH267" s="25"/>
      <c r="AI267" s="25"/>
    </row>
    <row r="268" ht="15.75" customHeight="1">
      <c r="AH268" s="25"/>
      <c r="AI268" s="25"/>
    </row>
    <row r="269" ht="15.75" customHeight="1">
      <c r="AH269" s="25"/>
      <c r="AI269" s="25"/>
    </row>
    <row r="270" ht="15.75" customHeight="1">
      <c r="AH270" s="25"/>
      <c r="AI270" s="25"/>
    </row>
    <row r="271" ht="15.75" customHeight="1">
      <c r="AH271" s="25"/>
      <c r="AI271" s="25"/>
    </row>
    <row r="272" ht="15.75" customHeight="1">
      <c r="AH272" s="25"/>
      <c r="AI272" s="25"/>
    </row>
    <row r="273" ht="15.75" customHeight="1">
      <c r="AH273" s="25"/>
      <c r="AI273" s="25"/>
    </row>
    <row r="274" ht="15.75" customHeight="1">
      <c r="AH274" s="25"/>
      <c r="AI274" s="25"/>
    </row>
    <row r="275" ht="15.75" customHeight="1">
      <c r="AH275" s="25"/>
      <c r="AI275" s="25"/>
    </row>
    <row r="276" ht="15.75" customHeight="1">
      <c r="AH276" s="25"/>
      <c r="AI276" s="25"/>
    </row>
    <row r="277" ht="15.75" customHeight="1">
      <c r="AH277" s="25"/>
      <c r="AI277" s="25"/>
    </row>
    <row r="278" ht="15.75" customHeight="1">
      <c r="AH278" s="25"/>
      <c r="AI278" s="25"/>
    </row>
    <row r="279" ht="15.75" customHeight="1">
      <c r="AH279" s="25"/>
      <c r="AI279" s="25"/>
    </row>
    <row r="280" ht="15.75" customHeight="1">
      <c r="AH280" s="25"/>
      <c r="AI280" s="25"/>
    </row>
    <row r="281" ht="15.75" customHeight="1">
      <c r="AH281" s="25"/>
      <c r="AI281" s="25"/>
    </row>
    <row r="282" ht="15.75" customHeight="1">
      <c r="AH282" s="25"/>
      <c r="AI282" s="25"/>
    </row>
    <row r="283" ht="15.75" customHeight="1">
      <c r="AH283" s="25"/>
      <c r="AI283" s="25"/>
    </row>
    <row r="284" ht="15.75" customHeight="1">
      <c r="AH284" s="25"/>
      <c r="AI284" s="25"/>
    </row>
    <row r="285" ht="15.75" customHeight="1">
      <c r="AH285" s="25"/>
      <c r="AI285" s="25"/>
    </row>
    <row r="286" ht="15.75" customHeight="1">
      <c r="AH286" s="25"/>
      <c r="AI286" s="25"/>
    </row>
    <row r="287" ht="15.75" customHeight="1">
      <c r="AH287" s="25"/>
      <c r="AI287" s="25"/>
    </row>
    <row r="288" ht="15.75" customHeight="1">
      <c r="AH288" s="25"/>
      <c r="AI288" s="25"/>
    </row>
    <row r="289" ht="15.75" customHeight="1">
      <c r="AH289" s="25"/>
      <c r="AI289" s="25"/>
    </row>
    <row r="290" ht="15.75" customHeight="1">
      <c r="AH290" s="25"/>
      <c r="AI290" s="25"/>
    </row>
    <row r="291" ht="15.75" customHeight="1">
      <c r="AH291" s="25"/>
      <c r="AI291" s="25"/>
    </row>
    <row r="292" ht="15.75" customHeight="1">
      <c r="AH292" s="25"/>
      <c r="AI292" s="25"/>
    </row>
    <row r="293" ht="15.75" customHeight="1">
      <c r="AH293" s="25"/>
      <c r="AI293" s="25"/>
    </row>
    <row r="294" ht="15.75" customHeight="1">
      <c r="AH294" s="25"/>
      <c r="AI294" s="25"/>
    </row>
    <row r="295" ht="15.75" customHeight="1">
      <c r="AH295" s="25"/>
      <c r="AI295" s="25"/>
    </row>
    <row r="296" ht="15.75" customHeight="1">
      <c r="AH296" s="25"/>
      <c r="AI296" s="25"/>
    </row>
    <row r="297" ht="15.75" customHeight="1">
      <c r="AH297" s="25"/>
      <c r="AI297" s="25"/>
    </row>
    <row r="298" ht="15.75" customHeight="1">
      <c r="AH298" s="25"/>
      <c r="AI298" s="25"/>
    </row>
    <row r="299" ht="15.75" customHeight="1">
      <c r="AH299" s="25"/>
      <c r="AI299" s="25"/>
    </row>
    <row r="300" ht="15.75" customHeight="1">
      <c r="AH300" s="25"/>
      <c r="AI300" s="25"/>
    </row>
    <row r="301" ht="15.75" customHeight="1">
      <c r="AH301" s="25"/>
      <c r="AI301" s="25"/>
    </row>
    <row r="302" ht="15.75" customHeight="1">
      <c r="AH302" s="25"/>
      <c r="AI302" s="25"/>
    </row>
    <row r="303" ht="15.75" customHeight="1">
      <c r="AH303" s="25"/>
      <c r="AI303" s="25"/>
    </row>
    <row r="304" ht="15.75" customHeight="1">
      <c r="AH304" s="25"/>
      <c r="AI304" s="25"/>
    </row>
    <row r="305" ht="15.75" customHeight="1">
      <c r="AH305" s="25"/>
      <c r="AI305" s="25"/>
    </row>
    <row r="306" ht="15.75" customHeight="1">
      <c r="AH306" s="25"/>
      <c r="AI306" s="25"/>
    </row>
    <row r="307" ht="15.75" customHeight="1">
      <c r="AH307" s="25"/>
      <c r="AI307" s="25"/>
    </row>
    <row r="308" ht="15.75" customHeight="1">
      <c r="AH308" s="25"/>
      <c r="AI308" s="25"/>
    </row>
    <row r="309" ht="15.75" customHeight="1">
      <c r="AH309" s="25"/>
      <c r="AI309" s="25"/>
    </row>
    <row r="310" ht="15.75" customHeight="1">
      <c r="AH310" s="25"/>
      <c r="AI310" s="25"/>
    </row>
    <row r="311" ht="15.75" customHeight="1">
      <c r="AH311" s="25"/>
      <c r="AI311" s="25"/>
    </row>
    <row r="312" ht="15.75" customHeight="1">
      <c r="AH312" s="25"/>
      <c r="AI312" s="25"/>
    </row>
    <row r="313" ht="15.75" customHeight="1">
      <c r="AH313" s="25"/>
      <c r="AI313" s="25"/>
    </row>
    <row r="314" ht="15.75" customHeight="1">
      <c r="AH314" s="25"/>
      <c r="AI314" s="25"/>
    </row>
    <row r="315" ht="15.75" customHeight="1">
      <c r="AH315" s="25"/>
      <c r="AI315" s="25"/>
    </row>
    <row r="316" ht="15.75" customHeight="1">
      <c r="AH316" s="25"/>
      <c r="AI316" s="25"/>
    </row>
    <row r="317" ht="15.75" customHeight="1">
      <c r="AH317" s="25"/>
      <c r="AI317" s="25"/>
    </row>
    <row r="318" ht="15.75" customHeight="1">
      <c r="AH318" s="25"/>
      <c r="AI318" s="25"/>
    </row>
    <row r="319" ht="15.75" customHeight="1">
      <c r="AH319" s="25"/>
      <c r="AI319" s="25"/>
    </row>
    <row r="320" ht="15.75" customHeight="1">
      <c r="AH320" s="25"/>
      <c r="AI320" s="25"/>
    </row>
    <row r="321" ht="15.75" customHeight="1">
      <c r="AH321" s="25"/>
      <c r="AI321" s="25"/>
    </row>
    <row r="322" ht="15.75" customHeight="1">
      <c r="AH322" s="25"/>
      <c r="AI322" s="25"/>
    </row>
    <row r="323" ht="15.75" customHeight="1">
      <c r="AH323" s="25"/>
      <c r="AI323" s="25"/>
    </row>
    <row r="324" ht="15.75" customHeight="1">
      <c r="AH324" s="25"/>
      <c r="AI324" s="25"/>
    </row>
    <row r="325" ht="15.75" customHeight="1">
      <c r="AH325" s="25"/>
      <c r="AI325" s="25"/>
    </row>
    <row r="326" ht="15.75" customHeight="1">
      <c r="AH326" s="25"/>
      <c r="AI326" s="25"/>
    </row>
    <row r="327" ht="15.75" customHeight="1">
      <c r="AH327" s="25"/>
      <c r="AI327" s="25"/>
    </row>
    <row r="328" ht="15.75" customHeight="1">
      <c r="AH328" s="25"/>
      <c r="AI328" s="25"/>
    </row>
    <row r="329" ht="15.75" customHeight="1">
      <c r="AH329" s="25"/>
      <c r="AI329" s="25"/>
    </row>
    <row r="330" ht="15.75" customHeight="1">
      <c r="AH330" s="25"/>
      <c r="AI330" s="25"/>
    </row>
    <row r="331" ht="15.75" customHeight="1">
      <c r="AH331" s="25"/>
      <c r="AI331" s="25"/>
    </row>
    <row r="332" ht="15.75" customHeight="1">
      <c r="AH332" s="25"/>
      <c r="AI332" s="25"/>
    </row>
    <row r="333" ht="15.75" customHeight="1">
      <c r="AH333" s="25"/>
      <c r="AI333" s="25"/>
    </row>
    <row r="334" ht="15.75" customHeight="1">
      <c r="AH334" s="25"/>
      <c r="AI334" s="25"/>
    </row>
    <row r="335" ht="15.75" customHeight="1">
      <c r="AH335" s="25"/>
      <c r="AI335" s="25"/>
    </row>
    <row r="336" ht="15.75" customHeight="1">
      <c r="AH336" s="25"/>
      <c r="AI336" s="25"/>
    </row>
    <row r="337" ht="15.75" customHeight="1">
      <c r="AH337" s="25"/>
      <c r="AI337" s="25"/>
    </row>
    <row r="338" ht="15.75" customHeight="1">
      <c r="AH338" s="25"/>
      <c r="AI338" s="25"/>
    </row>
    <row r="339" ht="15.75" customHeight="1">
      <c r="AH339" s="25"/>
      <c r="AI339" s="25"/>
    </row>
    <row r="340" ht="15.75" customHeight="1">
      <c r="AH340" s="25"/>
      <c r="AI340" s="25"/>
    </row>
    <row r="341" ht="15.75" customHeight="1">
      <c r="AH341" s="25"/>
      <c r="AI341" s="25"/>
    </row>
    <row r="342" ht="15.75" customHeight="1">
      <c r="AH342" s="25"/>
      <c r="AI342" s="25"/>
    </row>
    <row r="343" ht="15.75" customHeight="1">
      <c r="AH343" s="25"/>
      <c r="AI343" s="25"/>
    </row>
    <row r="344" ht="15.75" customHeight="1">
      <c r="AH344" s="25"/>
      <c r="AI344" s="25"/>
    </row>
    <row r="345" ht="15.75" customHeight="1">
      <c r="AH345" s="25"/>
      <c r="AI345" s="25"/>
    </row>
    <row r="346" ht="15.75" customHeight="1">
      <c r="AH346" s="25"/>
      <c r="AI346" s="25"/>
    </row>
    <row r="347" ht="15.75" customHeight="1">
      <c r="AH347" s="25"/>
      <c r="AI347" s="25"/>
    </row>
    <row r="348" ht="15.75" customHeight="1">
      <c r="AH348" s="25"/>
      <c r="AI348" s="25"/>
    </row>
    <row r="349" ht="15.75" customHeight="1">
      <c r="AH349" s="25"/>
      <c r="AI349" s="25"/>
    </row>
    <row r="350" ht="15.75" customHeight="1">
      <c r="AH350" s="25"/>
      <c r="AI350" s="25"/>
    </row>
    <row r="351" ht="15.75" customHeight="1">
      <c r="AH351" s="25"/>
      <c r="AI351" s="25"/>
    </row>
    <row r="352" ht="15.75" customHeight="1">
      <c r="AH352" s="25"/>
      <c r="AI352" s="25"/>
    </row>
    <row r="353" ht="15.75" customHeight="1">
      <c r="AH353" s="25"/>
      <c r="AI353" s="25"/>
    </row>
    <row r="354" ht="15.75" customHeight="1">
      <c r="AH354" s="25"/>
      <c r="AI354" s="25"/>
    </row>
    <row r="355" ht="15.75" customHeight="1">
      <c r="AH355" s="25"/>
      <c r="AI355" s="25"/>
    </row>
    <row r="356" ht="15.75" customHeight="1">
      <c r="AH356" s="25"/>
      <c r="AI356" s="25"/>
    </row>
    <row r="357" ht="15.75" customHeight="1">
      <c r="AH357" s="25"/>
      <c r="AI357" s="25"/>
    </row>
    <row r="358" ht="15.75" customHeight="1">
      <c r="AH358" s="25"/>
      <c r="AI358" s="25"/>
    </row>
    <row r="359" ht="15.75" customHeight="1">
      <c r="AH359" s="25"/>
      <c r="AI359" s="25"/>
    </row>
    <row r="360" ht="15.75" customHeight="1">
      <c r="AH360" s="25"/>
      <c r="AI360" s="25"/>
    </row>
    <row r="361" ht="15.75" customHeight="1">
      <c r="AH361" s="25"/>
      <c r="AI361" s="25"/>
    </row>
    <row r="362" ht="15.75" customHeight="1">
      <c r="AH362" s="25"/>
      <c r="AI362" s="25"/>
    </row>
    <row r="363" ht="15.75" customHeight="1">
      <c r="AH363" s="25"/>
      <c r="AI363" s="25"/>
    </row>
    <row r="364" ht="15.75" customHeight="1">
      <c r="AH364" s="25"/>
      <c r="AI364" s="25"/>
    </row>
    <row r="365" ht="15.75" customHeight="1">
      <c r="AH365" s="25"/>
      <c r="AI365" s="25"/>
    </row>
    <row r="366" ht="15.75" customHeight="1">
      <c r="AH366" s="25"/>
      <c r="AI366" s="25"/>
    </row>
    <row r="367" ht="15.75" customHeight="1">
      <c r="AH367" s="25"/>
      <c r="AI367" s="25"/>
    </row>
    <row r="368" ht="15.75" customHeight="1">
      <c r="AH368" s="25"/>
      <c r="AI368" s="25"/>
    </row>
    <row r="369" ht="15.75" customHeight="1">
      <c r="AH369" s="25"/>
      <c r="AI369" s="25"/>
    </row>
    <row r="370" ht="15.75" customHeight="1">
      <c r="AH370" s="25"/>
      <c r="AI370" s="25"/>
    </row>
    <row r="371" ht="15.75" customHeight="1">
      <c r="AH371" s="25"/>
      <c r="AI371" s="25"/>
    </row>
    <row r="372" ht="15.75" customHeight="1">
      <c r="AH372" s="25"/>
      <c r="AI372" s="25"/>
    </row>
    <row r="373" ht="15.75" customHeight="1">
      <c r="AH373" s="25"/>
      <c r="AI373" s="25"/>
    </row>
    <row r="374" ht="15.75" customHeight="1">
      <c r="AH374" s="25"/>
      <c r="AI374" s="25"/>
    </row>
    <row r="375" ht="15.75" customHeight="1">
      <c r="AH375" s="25"/>
      <c r="AI375" s="25"/>
    </row>
    <row r="376" ht="15.75" customHeight="1">
      <c r="AH376" s="25"/>
      <c r="AI376" s="25"/>
    </row>
    <row r="377" ht="15.75" customHeight="1">
      <c r="AH377" s="25"/>
      <c r="AI377" s="25"/>
    </row>
    <row r="378" ht="15.75" customHeight="1">
      <c r="AH378" s="25"/>
      <c r="AI378" s="25"/>
    </row>
    <row r="379" ht="15.75" customHeight="1">
      <c r="AH379" s="25"/>
      <c r="AI379" s="25"/>
    </row>
    <row r="380" ht="15.75" customHeight="1">
      <c r="AH380" s="25"/>
      <c r="AI380" s="25"/>
    </row>
    <row r="381" ht="15.75" customHeight="1">
      <c r="AH381" s="25"/>
      <c r="AI381" s="25"/>
    </row>
    <row r="382" ht="15.75" customHeight="1">
      <c r="AH382" s="25"/>
      <c r="AI382" s="25"/>
    </row>
    <row r="383" ht="15.75" customHeight="1">
      <c r="AH383" s="25"/>
      <c r="AI383" s="25"/>
    </row>
    <row r="384" ht="15.75" customHeight="1">
      <c r="AH384" s="25"/>
      <c r="AI384" s="25"/>
    </row>
    <row r="385" ht="15.75" customHeight="1">
      <c r="AH385" s="25"/>
      <c r="AI385" s="25"/>
    </row>
    <row r="386" ht="15.75" customHeight="1">
      <c r="AH386" s="25"/>
      <c r="AI386" s="25"/>
    </row>
    <row r="387" ht="15.75" customHeight="1">
      <c r="AH387" s="25"/>
      <c r="AI387" s="25"/>
    </row>
    <row r="388" ht="15.75" customHeight="1">
      <c r="AH388" s="25"/>
      <c r="AI388" s="25"/>
    </row>
    <row r="389" ht="15.75" customHeight="1">
      <c r="AH389" s="25"/>
      <c r="AI389" s="25"/>
    </row>
    <row r="390" ht="15.75" customHeight="1">
      <c r="AH390" s="25"/>
      <c r="AI390" s="25"/>
    </row>
    <row r="391" ht="15.75" customHeight="1">
      <c r="AH391" s="25"/>
      <c r="AI391" s="25"/>
    </row>
    <row r="392" ht="15.75" customHeight="1">
      <c r="AH392" s="25"/>
      <c r="AI392" s="25"/>
    </row>
    <row r="393" ht="15.75" customHeight="1">
      <c r="AH393" s="25"/>
      <c r="AI393" s="25"/>
    </row>
    <row r="394" ht="15.75" customHeight="1">
      <c r="AH394" s="25"/>
      <c r="AI394" s="25"/>
    </row>
    <row r="395" ht="15.75" customHeight="1">
      <c r="AH395" s="25"/>
      <c r="AI395" s="25"/>
    </row>
    <row r="396" ht="15.75" customHeight="1">
      <c r="AH396" s="25"/>
      <c r="AI396" s="25"/>
    </row>
    <row r="397" ht="15.75" customHeight="1">
      <c r="AH397" s="25"/>
      <c r="AI397" s="25"/>
    </row>
    <row r="398" ht="15.75" customHeight="1">
      <c r="AH398" s="25"/>
      <c r="AI398" s="25"/>
    </row>
    <row r="399" ht="15.75" customHeight="1">
      <c r="AH399" s="25"/>
      <c r="AI399" s="25"/>
    </row>
    <row r="400" ht="15.75" customHeight="1">
      <c r="AH400" s="25"/>
      <c r="AI400" s="25"/>
    </row>
    <row r="401" ht="15.75" customHeight="1">
      <c r="AH401" s="25"/>
      <c r="AI401" s="25"/>
    </row>
    <row r="402" ht="15.75" customHeight="1">
      <c r="AH402" s="25"/>
      <c r="AI402" s="25"/>
    </row>
    <row r="403" ht="15.75" customHeight="1">
      <c r="AH403" s="25"/>
      <c r="AI403" s="25"/>
    </row>
    <row r="404" ht="15.75" customHeight="1">
      <c r="AH404" s="25"/>
      <c r="AI404" s="25"/>
    </row>
    <row r="405" ht="15.75" customHeight="1">
      <c r="AH405" s="25"/>
      <c r="AI405" s="25"/>
    </row>
    <row r="406" ht="15.75" customHeight="1">
      <c r="AH406" s="25"/>
      <c r="AI406" s="25"/>
    </row>
    <row r="407" ht="15.75" customHeight="1">
      <c r="AH407" s="25"/>
      <c r="AI407" s="25"/>
    </row>
    <row r="408" ht="15.75" customHeight="1">
      <c r="AH408" s="25"/>
      <c r="AI408" s="25"/>
    </row>
    <row r="409" ht="15.75" customHeight="1">
      <c r="AH409" s="25"/>
      <c r="AI409" s="25"/>
    </row>
    <row r="410" ht="15.75" customHeight="1">
      <c r="AH410" s="25"/>
      <c r="AI410" s="25"/>
    </row>
    <row r="411" ht="15.75" customHeight="1">
      <c r="AH411" s="25"/>
      <c r="AI411" s="25"/>
    </row>
    <row r="412" ht="15.75" customHeight="1">
      <c r="AH412" s="25"/>
      <c r="AI412" s="25"/>
    </row>
    <row r="413" ht="15.75" customHeight="1">
      <c r="AH413" s="25"/>
      <c r="AI413" s="25"/>
    </row>
    <row r="414" ht="15.75" customHeight="1">
      <c r="AH414" s="25"/>
      <c r="AI414" s="25"/>
    </row>
    <row r="415" ht="15.75" customHeight="1">
      <c r="AH415" s="25"/>
      <c r="AI415" s="25"/>
    </row>
    <row r="416" ht="15.75" customHeight="1">
      <c r="AH416" s="25"/>
      <c r="AI416" s="25"/>
    </row>
    <row r="417" ht="15.75" customHeight="1">
      <c r="AH417" s="25"/>
      <c r="AI417" s="25"/>
    </row>
    <row r="418" ht="15.75" customHeight="1">
      <c r="AH418" s="25"/>
      <c r="AI418" s="25"/>
    </row>
    <row r="419" ht="15.75" customHeight="1">
      <c r="AH419" s="25"/>
      <c r="AI419" s="25"/>
    </row>
    <row r="420" ht="15.75" customHeight="1">
      <c r="AH420" s="25"/>
      <c r="AI420" s="25"/>
    </row>
    <row r="421" ht="15.75" customHeight="1">
      <c r="AH421" s="25"/>
      <c r="AI421" s="25"/>
    </row>
    <row r="422" ht="15.75" customHeight="1">
      <c r="AH422" s="25"/>
      <c r="AI422" s="25"/>
    </row>
    <row r="423" ht="15.75" customHeight="1">
      <c r="AH423" s="25"/>
      <c r="AI423" s="25"/>
    </row>
    <row r="424" ht="15.75" customHeight="1">
      <c r="AH424" s="25"/>
      <c r="AI424" s="25"/>
    </row>
    <row r="425" ht="15.75" customHeight="1">
      <c r="AH425" s="25"/>
      <c r="AI425" s="25"/>
    </row>
    <row r="426" ht="15.75" customHeight="1">
      <c r="AH426" s="25"/>
      <c r="AI426" s="25"/>
    </row>
    <row r="427" ht="15.75" customHeight="1">
      <c r="AH427" s="25"/>
      <c r="AI427" s="25"/>
    </row>
    <row r="428" ht="15.75" customHeight="1">
      <c r="AH428" s="25"/>
      <c r="AI428" s="25"/>
    </row>
    <row r="429" ht="15.75" customHeight="1">
      <c r="AH429" s="25"/>
      <c r="AI429" s="25"/>
    </row>
    <row r="430" ht="15.75" customHeight="1">
      <c r="AH430" s="25"/>
      <c r="AI430" s="25"/>
    </row>
    <row r="431" ht="15.75" customHeight="1">
      <c r="AH431" s="25"/>
      <c r="AI431" s="25"/>
    </row>
    <row r="432" ht="15.75" customHeight="1">
      <c r="AH432" s="25"/>
      <c r="AI432" s="25"/>
    </row>
    <row r="433" ht="15.75" customHeight="1">
      <c r="AH433" s="25"/>
      <c r="AI433" s="25"/>
    </row>
    <row r="434" ht="15.75" customHeight="1">
      <c r="AH434" s="25"/>
      <c r="AI434" s="25"/>
    </row>
    <row r="435" ht="15.75" customHeight="1">
      <c r="AH435" s="25"/>
      <c r="AI435" s="25"/>
    </row>
    <row r="436" ht="15.75" customHeight="1">
      <c r="AH436" s="25"/>
      <c r="AI436" s="25"/>
    </row>
    <row r="437" ht="15.75" customHeight="1">
      <c r="AH437" s="25"/>
      <c r="AI437" s="25"/>
    </row>
    <row r="438" ht="15.75" customHeight="1">
      <c r="AH438" s="25"/>
      <c r="AI438" s="25"/>
    </row>
    <row r="439" ht="15.75" customHeight="1">
      <c r="AH439" s="25"/>
      <c r="AI439" s="25"/>
    </row>
    <row r="440" ht="15.75" customHeight="1">
      <c r="AH440" s="25"/>
      <c r="AI440" s="25"/>
    </row>
    <row r="441" ht="15.75" customHeight="1">
      <c r="AH441" s="25"/>
      <c r="AI441" s="25"/>
    </row>
    <row r="442" ht="15.75" customHeight="1">
      <c r="AH442" s="25"/>
      <c r="AI442" s="25"/>
    </row>
    <row r="443" ht="15.75" customHeight="1">
      <c r="AH443" s="25"/>
      <c r="AI443" s="25"/>
    </row>
    <row r="444" ht="15.75" customHeight="1">
      <c r="AH444" s="25"/>
      <c r="AI444" s="25"/>
    </row>
    <row r="445" ht="15.75" customHeight="1">
      <c r="AH445" s="25"/>
      <c r="AI445" s="25"/>
    </row>
    <row r="446" ht="15.75" customHeight="1">
      <c r="AH446" s="25"/>
      <c r="AI446" s="25"/>
    </row>
    <row r="447" ht="15.75" customHeight="1">
      <c r="AH447" s="25"/>
      <c r="AI447" s="25"/>
    </row>
    <row r="448" ht="15.75" customHeight="1">
      <c r="AH448" s="25"/>
      <c r="AI448" s="25"/>
    </row>
    <row r="449" ht="15.75" customHeight="1">
      <c r="AH449" s="25"/>
      <c r="AI449" s="25"/>
    </row>
    <row r="450" ht="15.75" customHeight="1">
      <c r="AH450" s="25"/>
      <c r="AI450" s="25"/>
    </row>
    <row r="451" ht="15.75" customHeight="1">
      <c r="AH451" s="25"/>
      <c r="AI451" s="25"/>
    </row>
    <row r="452" ht="15.75" customHeight="1">
      <c r="AH452" s="25"/>
      <c r="AI452" s="25"/>
    </row>
    <row r="453" ht="15.75" customHeight="1">
      <c r="AH453" s="25"/>
      <c r="AI453" s="25"/>
    </row>
    <row r="454" ht="15.75" customHeight="1">
      <c r="AH454" s="25"/>
      <c r="AI454" s="25"/>
    </row>
    <row r="455" ht="15.75" customHeight="1">
      <c r="AH455" s="25"/>
      <c r="AI455" s="25"/>
    </row>
    <row r="456" ht="15.75" customHeight="1">
      <c r="AH456" s="25"/>
      <c r="AI456" s="25"/>
    </row>
    <row r="457" ht="15.75" customHeight="1">
      <c r="AH457" s="25"/>
      <c r="AI457" s="25"/>
    </row>
    <row r="458" ht="15.75" customHeight="1">
      <c r="AH458" s="25"/>
      <c r="AI458" s="25"/>
    </row>
    <row r="459" ht="15.75" customHeight="1">
      <c r="AH459" s="25"/>
      <c r="AI459" s="25"/>
    </row>
    <row r="460" ht="15.75" customHeight="1">
      <c r="AH460" s="25"/>
      <c r="AI460" s="25"/>
    </row>
    <row r="461" ht="15.75" customHeight="1">
      <c r="AH461" s="25"/>
      <c r="AI461" s="25"/>
    </row>
    <row r="462" ht="15.75" customHeight="1">
      <c r="AH462" s="25"/>
      <c r="AI462" s="25"/>
    </row>
    <row r="463" ht="15.75" customHeight="1">
      <c r="AH463" s="25"/>
      <c r="AI463" s="25"/>
    </row>
    <row r="464" ht="15.75" customHeight="1">
      <c r="AH464" s="25"/>
      <c r="AI464" s="25"/>
    </row>
    <row r="465" ht="15.75" customHeight="1">
      <c r="AH465" s="25"/>
      <c r="AI465" s="25"/>
    </row>
    <row r="466" ht="15.75" customHeight="1">
      <c r="AH466" s="25"/>
      <c r="AI466" s="25"/>
    </row>
    <row r="467" ht="15.75" customHeight="1">
      <c r="AH467" s="25"/>
      <c r="AI467" s="25"/>
    </row>
    <row r="468" ht="15.75" customHeight="1">
      <c r="AH468" s="25"/>
      <c r="AI468" s="25"/>
    </row>
    <row r="469" ht="15.75" customHeight="1">
      <c r="AH469" s="25"/>
      <c r="AI469" s="25"/>
    </row>
    <row r="470" ht="15.75" customHeight="1">
      <c r="AH470" s="25"/>
      <c r="AI470" s="25"/>
    </row>
    <row r="471" ht="15.75" customHeight="1">
      <c r="AH471" s="25"/>
      <c r="AI471" s="25"/>
    </row>
    <row r="472" ht="15.75" customHeight="1">
      <c r="AH472" s="25"/>
      <c r="AI472" s="25"/>
    </row>
    <row r="473" ht="15.75" customHeight="1">
      <c r="AH473" s="25"/>
      <c r="AI473" s="25"/>
    </row>
    <row r="474" ht="15.75" customHeight="1">
      <c r="AH474" s="25"/>
      <c r="AI474" s="25"/>
    </row>
    <row r="475" ht="15.75" customHeight="1">
      <c r="AH475" s="25"/>
      <c r="AI475" s="25"/>
    </row>
    <row r="476" ht="15.75" customHeight="1">
      <c r="AH476" s="25"/>
      <c r="AI476" s="25"/>
    </row>
    <row r="477" ht="15.75" customHeight="1">
      <c r="AH477" s="25"/>
      <c r="AI477" s="25"/>
    </row>
    <row r="478" ht="15.75" customHeight="1">
      <c r="AH478" s="25"/>
      <c r="AI478" s="25"/>
    </row>
    <row r="479" ht="15.75" customHeight="1">
      <c r="AH479" s="25"/>
      <c r="AI479" s="25"/>
    </row>
    <row r="480" ht="15.75" customHeight="1">
      <c r="AH480" s="25"/>
      <c r="AI480" s="25"/>
    </row>
    <row r="481" ht="15.75" customHeight="1">
      <c r="AH481" s="25"/>
      <c r="AI481" s="25"/>
    </row>
    <row r="482" ht="15.75" customHeight="1">
      <c r="AH482" s="25"/>
      <c r="AI482" s="25"/>
    </row>
    <row r="483" ht="15.75" customHeight="1">
      <c r="AH483" s="25"/>
      <c r="AI483" s="25"/>
    </row>
    <row r="484" ht="15.75" customHeight="1">
      <c r="AH484" s="25"/>
      <c r="AI484" s="25"/>
    </row>
    <row r="485" ht="15.75" customHeight="1">
      <c r="AH485" s="25"/>
      <c r="AI485" s="25"/>
    </row>
    <row r="486" ht="15.75" customHeight="1">
      <c r="AH486" s="25"/>
      <c r="AI486" s="25"/>
    </row>
    <row r="487" ht="15.75" customHeight="1">
      <c r="AH487" s="25"/>
      <c r="AI487" s="25"/>
    </row>
    <row r="488" ht="15.75" customHeight="1">
      <c r="AH488" s="25"/>
      <c r="AI488" s="25"/>
    </row>
    <row r="489" ht="15.75" customHeight="1">
      <c r="AH489" s="25"/>
      <c r="AI489" s="25"/>
    </row>
    <row r="490" ht="15.75" customHeight="1">
      <c r="AH490" s="25"/>
      <c r="AI490" s="25"/>
    </row>
    <row r="491" ht="15.75" customHeight="1">
      <c r="AH491" s="25"/>
      <c r="AI491" s="25"/>
    </row>
    <row r="492" ht="15.75" customHeight="1">
      <c r="AH492" s="25"/>
      <c r="AI492" s="25"/>
    </row>
    <row r="493" ht="15.75" customHeight="1">
      <c r="AH493" s="25"/>
      <c r="AI493" s="25"/>
    </row>
    <row r="494" ht="15.75" customHeight="1">
      <c r="AH494" s="25"/>
      <c r="AI494" s="25"/>
    </row>
    <row r="495" ht="15.75" customHeight="1">
      <c r="AH495" s="25"/>
      <c r="AI495" s="25"/>
    </row>
    <row r="496" ht="15.75" customHeight="1">
      <c r="AH496" s="25"/>
      <c r="AI496" s="25"/>
    </row>
    <row r="497" ht="15.75" customHeight="1">
      <c r="AH497" s="25"/>
      <c r="AI497" s="25"/>
    </row>
    <row r="498" ht="15.75" customHeight="1">
      <c r="AH498" s="25"/>
      <c r="AI498" s="25"/>
    </row>
    <row r="499" ht="15.75" customHeight="1">
      <c r="AH499" s="25"/>
      <c r="AI499" s="25"/>
    </row>
    <row r="500" ht="15.75" customHeight="1">
      <c r="AH500" s="25"/>
      <c r="AI500" s="25"/>
    </row>
    <row r="501" ht="15.75" customHeight="1">
      <c r="AH501" s="25"/>
      <c r="AI501" s="25"/>
    </row>
    <row r="502" ht="15.75" customHeight="1">
      <c r="AH502" s="25"/>
      <c r="AI502" s="25"/>
    </row>
    <row r="503" ht="15.75" customHeight="1">
      <c r="AH503" s="25"/>
      <c r="AI503" s="25"/>
    </row>
    <row r="504" ht="15.75" customHeight="1">
      <c r="AH504" s="25"/>
      <c r="AI504" s="25"/>
    </row>
    <row r="505" ht="15.75" customHeight="1">
      <c r="AH505" s="25"/>
      <c r="AI505" s="25"/>
    </row>
    <row r="506" ht="15.75" customHeight="1">
      <c r="AH506" s="25"/>
      <c r="AI506" s="25"/>
    </row>
    <row r="507" ht="15.75" customHeight="1">
      <c r="AH507" s="25"/>
      <c r="AI507" s="25"/>
    </row>
    <row r="508" ht="15.75" customHeight="1">
      <c r="AH508" s="25"/>
      <c r="AI508" s="25"/>
    </row>
    <row r="509" ht="15.75" customHeight="1">
      <c r="AH509" s="25"/>
      <c r="AI509" s="25"/>
    </row>
    <row r="510" ht="15.75" customHeight="1">
      <c r="AH510" s="25"/>
      <c r="AI510" s="25"/>
    </row>
    <row r="511" ht="15.75" customHeight="1">
      <c r="AH511" s="25"/>
      <c r="AI511" s="25"/>
    </row>
    <row r="512" ht="15.75" customHeight="1">
      <c r="AH512" s="25"/>
      <c r="AI512" s="25"/>
    </row>
    <row r="513" ht="15.75" customHeight="1">
      <c r="AH513" s="25"/>
      <c r="AI513" s="25"/>
    </row>
    <row r="514" ht="15.75" customHeight="1">
      <c r="AH514" s="25"/>
      <c r="AI514" s="25"/>
    </row>
    <row r="515" ht="15.75" customHeight="1">
      <c r="AH515" s="25"/>
      <c r="AI515" s="25"/>
    </row>
    <row r="516" ht="15.75" customHeight="1">
      <c r="AH516" s="25"/>
      <c r="AI516" s="25"/>
    </row>
    <row r="517" ht="15.75" customHeight="1">
      <c r="AH517" s="25"/>
      <c r="AI517" s="25"/>
    </row>
    <row r="518" ht="15.75" customHeight="1">
      <c r="AH518" s="25"/>
      <c r="AI518" s="25"/>
    </row>
    <row r="519" ht="15.75" customHeight="1">
      <c r="AH519" s="25"/>
      <c r="AI519" s="25"/>
    </row>
    <row r="520" ht="15.75" customHeight="1">
      <c r="AH520" s="25"/>
      <c r="AI520" s="25"/>
    </row>
    <row r="521" ht="15.75" customHeight="1">
      <c r="AH521" s="25"/>
      <c r="AI521" s="25"/>
    </row>
    <row r="522" ht="15.75" customHeight="1">
      <c r="AH522" s="25"/>
      <c r="AI522" s="25"/>
    </row>
    <row r="523" ht="15.75" customHeight="1">
      <c r="AH523" s="25"/>
      <c r="AI523" s="25"/>
    </row>
    <row r="524" ht="15.75" customHeight="1">
      <c r="AH524" s="25"/>
      <c r="AI524" s="25"/>
    </row>
    <row r="525" ht="15.75" customHeight="1">
      <c r="AH525" s="25"/>
      <c r="AI525" s="25"/>
    </row>
    <row r="526" ht="15.75" customHeight="1">
      <c r="AH526" s="25"/>
      <c r="AI526" s="25"/>
    </row>
    <row r="527" ht="15.75" customHeight="1">
      <c r="AH527" s="25"/>
      <c r="AI527" s="25"/>
    </row>
    <row r="528" ht="15.75" customHeight="1">
      <c r="AH528" s="25"/>
      <c r="AI528" s="25"/>
    </row>
    <row r="529" ht="15.75" customHeight="1">
      <c r="AH529" s="25"/>
      <c r="AI529" s="25"/>
    </row>
    <row r="530" ht="15.75" customHeight="1">
      <c r="AH530" s="25"/>
      <c r="AI530" s="25"/>
    </row>
    <row r="531" ht="15.75" customHeight="1">
      <c r="AH531" s="25"/>
      <c r="AI531" s="25"/>
    </row>
    <row r="532" ht="15.75" customHeight="1">
      <c r="AH532" s="25"/>
      <c r="AI532" s="25"/>
    </row>
    <row r="533" ht="15.75" customHeight="1">
      <c r="AH533" s="25"/>
      <c r="AI533" s="25"/>
    </row>
    <row r="534" ht="15.75" customHeight="1">
      <c r="AH534" s="25"/>
      <c r="AI534" s="25"/>
    </row>
    <row r="535" ht="15.75" customHeight="1">
      <c r="AH535" s="25"/>
      <c r="AI535" s="25"/>
    </row>
    <row r="536" ht="15.75" customHeight="1">
      <c r="AH536" s="25"/>
      <c r="AI536" s="25"/>
    </row>
    <row r="537" ht="15.75" customHeight="1">
      <c r="AH537" s="25"/>
      <c r="AI537" s="25"/>
    </row>
    <row r="538" ht="15.75" customHeight="1">
      <c r="AH538" s="25"/>
      <c r="AI538" s="25"/>
    </row>
    <row r="539" ht="15.75" customHeight="1">
      <c r="AH539" s="25"/>
      <c r="AI539" s="25"/>
    </row>
    <row r="540" ht="15.75" customHeight="1">
      <c r="AH540" s="25"/>
      <c r="AI540" s="25"/>
    </row>
    <row r="541" ht="15.75" customHeight="1">
      <c r="AH541" s="25"/>
      <c r="AI541" s="25"/>
    </row>
    <row r="542" ht="15.75" customHeight="1">
      <c r="AH542" s="25"/>
      <c r="AI542" s="25"/>
    </row>
    <row r="543" ht="15.75" customHeight="1">
      <c r="AH543" s="25"/>
      <c r="AI543" s="25"/>
    </row>
    <row r="544" ht="15.75" customHeight="1">
      <c r="AH544" s="25"/>
      <c r="AI544" s="25"/>
    </row>
    <row r="545" ht="15.75" customHeight="1">
      <c r="AH545" s="25"/>
      <c r="AI545" s="25"/>
    </row>
    <row r="546" ht="15.75" customHeight="1">
      <c r="AH546" s="25"/>
      <c r="AI546" s="25"/>
    </row>
    <row r="547" ht="15.75" customHeight="1">
      <c r="AH547" s="25"/>
      <c r="AI547" s="25"/>
    </row>
    <row r="548" ht="15.75" customHeight="1">
      <c r="AH548" s="25"/>
      <c r="AI548" s="25"/>
    </row>
    <row r="549" ht="15.75" customHeight="1">
      <c r="AH549" s="25"/>
      <c r="AI549" s="25"/>
    </row>
    <row r="550" ht="15.75" customHeight="1">
      <c r="AH550" s="25"/>
      <c r="AI550" s="25"/>
    </row>
    <row r="551" ht="15.75" customHeight="1">
      <c r="AH551" s="25"/>
      <c r="AI551" s="25"/>
    </row>
    <row r="552" ht="15.75" customHeight="1">
      <c r="AH552" s="25"/>
      <c r="AI552" s="25"/>
    </row>
    <row r="553" ht="15.75" customHeight="1">
      <c r="AH553" s="25"/>
      <c r="AI553" s="25"/>
    </row>
    <row r="554" ht="15.75" customHeight="1">
      <c r="AH554" s="25"/>
      <c r="AI554" s="25"/>
    </row>
    <row r="555" ht="15.75" customHeight="1">
      <c r="AH555" s="25"/>
      <c r="AI555" s="25"/>
    </row>
    <row r="556" ht="15.75" customHeight="1">
      <c r="AH556" s="25"/>
      <c r="AI556" s="25"/>
    </row>
    <row r="557" ht="15.75" customHeight="1">
      <c r="AH557" s="25"/>
      <c r="AI557" s="25"/>
    </row>
    <row r="558" ht="15.75" customHeight="1">
      <c r="AH558" s="25"/>
      <c r="AI558" s="25"/>
    </row>
    <row r="559" ht="15.75" customHeight="1">
      <c r="AH559" s="25"/>
      <c r="AI559" s="25"/>
    </row>
    <row r="560" ht="15.75" customHeight="1">
      <c r="AH560" s="25"/>
      <c r="AI560" s="25"/>
    </row>
    <row r="561" ht="15.75" customHeight="1">
      <c r="AH561" s="25"/>
      <c r="AI561" s="25"/>
    </row>
    <row r="562" ht="15.75" customHeight="1">
      <c r="AH562" s="25"/>
      <c r="AI562" s="25"/>
    </row>
    <row r="563" ht="15.75" customHeight="1">
      <c r="AH563" s="25"/>
      <c r="AI563" s="25"/>
    </row>
    <row r="564" ht="15.75" customHeight="1">
      <c r="AH564" s="25"/>
      <c r="AI564" s="25"/>
    </row>
    <row r="565" ht="15.75" customHeight="1">
      <c r="AH565" s="25"/>
      <c r="AI565" s="25"/>
    </row>
    <row r="566" ht="15.75" customHeight="1">
      <c r="AH566" s="25"/>
      <c r="AI566" s="25"/>
    </row>
    <row r="567" ht="15.75" customHeight="1">
      <c r="AH567" s="25"/>
      <c r="AI567" s="25"/>
    </row>
    <row r="568" ht="15.75" customHeight="1">
      <c r="AH568" s="25"/>
      <c r="AI568" s="25"/>
    </row>
    <row r="569" ht="15.75" customHeight="1">
      <c r="AH569" s="25"/>
      <c r="AI569" s="25"/>
    </row>
    <row r="570" ht="15.75" customHeight="1">
      <c r="AH570" s="25"/>
      <c r="AI570" s="25"/>
    </row>
    <row r="571" ht="15.75" customHeight="1">
      <c r="AH571" s="25"/>
      <c r="AI571" s="25"/>
    </row>
    <row r="572" ht="15.75" customHeight="1">
      <c r="AH572" s="25"/>
      <c r="AI572" s="25"/>
    </row>
    <row r="573" ht="15.75" customHeight="1">
      <c r="AH573" s="25"/>
      <c r="AI573" s="25"/>
    </row>
    <row r="574" ht="15.75" customHeight="1">
      <c r="AH574" s="25"/>
      <c r="AI574" s="25"/>
    </row>
    <row r="575" ht="15.75" customHeight="1">
      <c r="AH575" s="25"/>
      <c r="AI575" s="25"/>
    </row>
    <row r="576" ht="15.75" customHeight="1">
      <c r="AH576" s="25"/>
      <c r="AI576" s="25"/>
    </row>
    <row r="577" ht="15.75" customHeight="1">
      <c r="AH577" s="25"/>
      <c r="AI577" s="25"/>
    </row>
    <row r="578" ht="15.75" customHeight="1">
      <c r="AH578" s="25"/>
      <c r="AI578" s="25"/>
    </row>
    <row r="579" ht="15.75" customHeight="1">
      <c r="AH579" s="25"/>
      <c r="AI579" s="25"/>
    </row>
    <row r="580" ht="15.75" customHeight="1">
      <c r="AH580" s="25"/>
      <c r="AI580" s="25"/>
    </row>
    <row r="581" ht="15.75" customHeight="1">
      <c r="AH581" s="25"/>
      <c r="AI581" s="25"/>
    </row>
    <row r="582" ht="15.75" customHeight="1">
      <c r="AH582" s="25"/>
      <c r="AI582" s="25"/>
    </row>
    <row r="583" ht="15.75" customHeight="1">
      <c r="AH583" s="25"/>
      <c r="AI583" s="25"/>
    </row>
    <row r="584" ht="15.75" customHeight="1">
      <c r="AH584" s="25"/>
      <c r="AI584" s="25"/>
    </row>
    <row r="585" ht="15.75" customHeight="1">
      <c r="AH585" s="25"/>
      <c r="AI585" s="25"/>
    </row>
    <row r="586" ht="15.75" customHeight="1">
      <c r="AH586" s="25"/>
      <c r="AI586" s="25"/>
    </row>
    <row r="587" ht="15.75" customHeight="1">
      <c r="AH587" s="25"/>
      <c r="AI587" s="25"/>
    </row>
    <row r="588" ht="15.75" customHeight="1">
      <c r="AH588" s="25"/>
      <c r="AI588" s="25"/>
    </row>
    <row r="589" ht="15.75" customHeight="1">
      <c r="AH589" s="25"/>
      <c r="AI589" s="25"/>
    </row>
    <row r="590" ht="15.75" customHeight="1">
      <c r="AH590" s="25"/>
      <c r="AI590" s="25"/>
    </row>
    <row r="591" ht="15.75" customHeight="1">
      <c r="AH591" s="25"/>
      <c r="AI591" s="25"/>
    </row>
    <row r="592" ht="15.75" customHeight="1">
      <c r="AH592" s="25"/>
      <c r="AI592" s="25"/>
    </row>
    <row r="593" ht="15.75" customHeight="1">
      <c r="AH593" s="25"/>
      <c r="AI593" s="25"/>
    </row>
    <row r="594" ht="15.75" customHeight="1">
      <c r="AH594" s="25"/>
      <c r="AI594" s="25"/>
    </row>
    <row r="595" ht="15.75" customHeight="1">
      <c r="AH595" s="25"/>
      <c r="AI595" s="25"/>
    </row>
    <row r="596" ht="15.75" customHeight="1">
      <c r="AH596" s="25"/>
      <c r="AI596" s="25"/>
    </row>
    <row r="597" ht="15.75" customHeight="1">
      <c r="AH597" s="25"/>
      <c r="AI597" s="25"/>
    </row>
    <row r="598" ht="15.75" customHeight="1">
      <c r="AH598" s="25"/>
      <c r="AI598" s="25"/>
    </row>
    <row r="599" ht="15.75" customHeight="1">
      <c r="AH599" s="25"/>
      <c r="AI599" s="25"/>
    </row>
    <row r="600" ht="15.75" customHeight="1">
      <c r="AH600" s="25"/>
      <c r="AI600" s="25"/>
    </row>
    <row r="601" ht="15.75" customHeight="1">
      <c r="AH601" s="25"/>
      <c r="AI601" s="25"/>
    </row>
    <row r="602" ht="15.75" customHeight="1">
      <c r="AH602" s="25"/>
      <c r="AI602" s="25"/>
    </row>
    <row r="603" ht="15.75" customHeight="1">
      <c r="AH603" s="25"/>
      <c r="AI603" s="25"/>
    </row>
    <row r="604" ht="15.75" customHeight="1">
      <c r="AH604" s="25"/>
      <c r="AI604" s="25"/>
    </row>
    <row r="605" ht="15.75" customHeight="1">
      <c r="AH605" s="25"/>
      <c r="AI605" s="25"/>
    </row>
    <row r="606" ht="15.75" customHeight="1">
      <c r="AH606" s="25"/>
      <c r="AI606" s="25"/>
    </row>
    <row r="607" ht="15.75" customHeight="1">
      <c r="AH607" s="25"/>
      <c r="AI607" s="25"/>
    </row>
    <row r="608" ht="15.75" customHeight="1">
      <c r="AH608" s="25"/>
      <c r="AI608" s="25"/>
    </row>
    <row r="609" ht="15.75" customHeight="1">
      <c r="AH609" s="25"/>
      <c r="AI609" s="25"/>
    </row>
    <row r="610" ht="15.75" customHeight="1">
      <c r="AH610" s="25"/>
      <c r="AI610" s="25"/>
    </row>
    <row r="611" ht="15.75" customHeight="1">
      <c r="AH611" s="25"/>
      <c r="AI611" s="25"/>
    </row>
    <row r="612" ht="15.75" customHeight="1">
      <c r="AH612" s="25"/>
      <c r="AI612" s="25"/>
    </row>
    <row r="613" ht="15.75" customHeight="1">
      <c r="AH613" s="25"/>
      <c r="AI613" s="25"/>
    </row>
    <row r="614" ht="15.75" customHeight="1">
      <c r="AH614" s="25"/>
      <c r="AI614" s="25"/>
    </row>
    <row r="615" ht="15.75" customHeight="1">
      <c r="AH615" s="25"/>
      <c r="AI615" s="25"/>
    </row>
    <row r="616" ht="15.75" customHeight="1">
      <c r="AH616" s="25"/>
      <c r="AI616" s="25"/>
    </row>
    <row r="617" ht="15.75" customHeight="1">
      <c r="AH617" s="25"/>
      <c r="AI617" s="25"/>
    </row>
    <row r="618" ht="15.75" customHeight="1">
      <c r="AH618" s="25"/>
      <c r="AI618" s="25"/>
    </row>
    <row r="619" ht="15.75" customHeight="1">
      <c r="AH619" s="25"/>
      <c r="AI619" s="25"/>
    </row>
    <row r="620" ht="15.75" customHeight="1">
      <c r="AH620" s="25"/>
      <c r="AI620" s="25"/>
    </row>
    <row r="621" ht="15.75" customHeight="1">
      <c r="AH621" s="25"/>
      <c r="AI621" s="25"/>
    </row>
    <row r="622" ht="15.75" customHeight="1">
      <c r="AH622" s="25"/>
      <c r="AI622" s="25"/>
    </row>
    <row r="623" ht="15.75" customHeight="1">
      <c r="AH623" s="25"/>
      <c r="AI623" s="25"/>
    </row>
    <row r="624" ht="15.75" customHeight="1">
      <c r="AH624" s="25"/>
      <c r="AI624" s="25"/>
    </row>
    <row r="625" ht="15.75" customHeight="1">
      <c r="AH625" s="25"/>
      <c r="AI625" s="25"/>
    </row>
    <row r="626" ht="15.75" customHeight="1">
      <c r="AH626" s="25"/>
      <c r="AI626" s="25"/>
    </row>
    <row r="627" ht="15.75" customHeight="1">
      <c r="AH627" s="25"/>
      <c r="AI627" s="25"/>
    </row>
    <row r="628" ht="15.75" customHeight="1">
      <c r="AH628" s="25"/>
      <c r="AI628" s="25"/>
    </row>
    <row r="629" ht="15.75" customHeight="1">
      <c r="AH629" s="25"/>
      <c r="AI629" s="25"/>
    </row>
    <row r="630" ht="15.75" customHeight="1">
      <c r="AH630" s="25"/>
      <c r="AI630" s="25"/>
    </row>
    <row r="631" ht="15.75" customHeight="1">
      <c r="AH631" s="25"/>
      <c r="AI631" s="25"/>
    </row>
    <row r="632" ht="15.75" customHeight="1">
      <c r="AH632" s="25"/>
      <c r="AI632" s="25"/>
    </row>
    <row r="633" ht="15.75" customHeight="1">
      <c r="AH633" s="25"/>
      <c r="AI633" s="25"/>
    </row>
    <row r="634" ht="15.75" customHeight="1">
      <c r="AH634" s="25"/>
      <c r="AI634" s="25"/>
    </row>
    <row r="635" ht="15.75" customHeight="1">
      <c r="AH635" s="25"/>
      <c r="AI635" s="25"/>
    </row>
    <row r="636" ht="15.75" customHeight="1">
      <c r="AH636" s="25"/>
      <c r="AI636" s="25"/>
    </row>
    <row r="637" ht="15.75" customHeight="1">
      <c r="AH637" s="25"/>
      <c r="AI637" s="25"/>
    </row>
    <row r="638" ht="15.75" customHeight="1">
      <c r="AH638" s="25"/>
      <c r="AI638" s="25"/>
    </row>
    <row r="639" ht="15.75" customHeight="1">
      <c r="AH639" s="25"/>
      <c r="AI639" s="25"/>
    </row>
    <row r="640" ht="15.75" customHeight="1">
      <c r="AH640" s="25"/>
      <c r="AI640" s="25"/>
    </row>
    <row r="641" ht="15.75" customHeight="1">
      <c r="AH641" s="25"/>
      <c r="AI641" s="25"/>
    </row>
    <row r="642" ht="15.75" customHeight="1">
      <c r="AH642" s="25"/>
      <c r="AI642" s="25"/>
    </row>
    <row r="643" ht="15.75" customHeight="1">
      <c r="AH643" s="25"/>
      <c r="AI643" s="25"/>
    </row>
    <row r="644" ht="15.75" customHeight="1">
      <c r="AH644" s="25"/>
      <c r="AI644" s="25"/>
    </row>
    <row r="645" ht="15.75" customHeight="1">
      <c r="AH645" s="25"/>
      <c r="AI645" s="25"/>
    </row>
    <row r="646" ht="15.75" customHeight="1">
      <c r="AH646" s="25"/>
      <c r="AI646" s="25"/>
    </row>
    <row r="647" ht="15.75" customHeight="1">
      <c r="AH647" s="25"/>
      <c r="AI647" s="25"/>
    </row>
    <row r="648" ht="15.75" customHeight="1">
      <c r="AH648" s="25"/>
      <c r="AI648" s="25"/>
    </row>
    <row r="649" ht="15.75" customHeight="1">
      <c r="AH649" s="25"/>
      <c r="AI649" s="25"/>
    </row>
    <row r="650" ht="15.75" customHeight="1">
      <c r="AH650" s="25"/>
      <c r="AI650" s="25"/>
    </row>
    <row r="651" ht="15.75" customHeight="1">
      <c r="AH651" s="25"/>
      <c r="AI651" s="25"/>
    </row>
    <row r="652" ht="15.75" customHeight="1">
      <c r="AH652" s="25"/>
      <c r="AI652" s="25"/>
    </row>
    <row r="653" ht="15.75" customHeight="1">
      <c r="AH653" s="25"/>
      <c r="AI653" s="25"/>
    </row>
    <row r="654" ht="15.75" customHeight="1">
      <c r="AH654" s="25"/>
      <c r="AI654" s="25"/>
    </row>
    <row r="655" ht="15.75" customHeight="1">
      <c r="AH655" s="25"/>
      <c r="AI655" s="25"/>
    </row>
    <row r="656" ht="15.75" customHeight="1">
      <c r="AH656" s="25"/>
      <c r="AI656" s="25"/>
    </row>
    <row r="657" ht="15.75" customHeight="1">
      <c r="AH657" s="25"/>
      <c r="AI657" s="25"/>
    </row>
    <row r="658" ht="15.75" customHeight="1">
      <c r="AH658" s="25"/>
      <c r="AI658" s="25"/>
    </row>
    <row r="659" ht="15.75" customHeight="1">
      <c r="AH659" s="25"/>
      <c r="AI659" s="25"/>
    </row>
    <row r="660" ht="15.75" customHeight="1">
      <c r="AH660" s="25"/>
      <c r="AI660" s="25"/>
    </row>
    <row r="661" ht="15.75" customHeight="1">
      <c r="AH661" s="25"/>
      <c r="AI661" s="25"/>
    </row>
    <row r="662" ht="15.75" customHeight="1">
      <c r="AH662" s="25"/>
      <c r="AI662" s="25"/>
    </row>
    <row r="663" ht="15.75" customHeight="1">
      <c r="AH663" s="25"/>
      <c r="AI663" s="25"/>
    </row>
    <row r="664" ht="15.75" customHeight="1">
      <c r="AH664" s="25"/>
      <c r="AI664" s="25"/>
    </row>
    <row r="665" ht="15.75" customHeight="1">
      <c r="AH665" s="25"/>
      <c r="AI665" s="25"/>
    </row>
    <row r="666" ht="15.75" customHeight="1">
      <c r="AH666" s="25"/>
      <c r="AI666" s="25"/>
    </row>
    <row r="667" ht="15.75" customHeight="1">
      <c r="AH667" s="25"/>
      <c r="AI667" s="25"/>
    </row>
    <row r="668" ht="15.75" customHeight="1">
      <c r="AH668" s="25"/>
      <c r="AI668" s="25"/>
    </row>
    <row r="669" ht="15.75" customHeight="1">
      <c r="AH669" s="25"/>
      <c r="AI669" s="25"/>
    </row>
    <row r="670" ht="15.75" customHeight="1">
      <c r="AH670" s="25"/>
      <c r="AI670" s="25"/>
    </row>
    <row r="671" ht="15.75" customHeight="1">
      <c r="AH671" s="25"/>
      <c r="AI671" s="25"/>
    </row>
    <row r="672" ht="15.75" customHeight="1">
      <c r="AH672" s="25"/>
      <c r="AI672" s="25"/>
    </row>
    <row r="673" ht="15.75" customHeight="1">
      <c r="AH673" s="25"/>
      <c r="AI673" s="25"/>
    </row>
    <row r="674" ht="15.75" customHeight="1">
      <c r="AH674" s="25"/>
      <c r="AI674" s="25"/>
    </row>
    <row r="675" ht="15.75" customHeight="1">
      <c r="AH675" s="25"/>
      <c r="AI675" s="25"/>
    </row>
    <row r="676" ht="15.75" customHeight="1">
      <c r="AH676" s="25"/>
      <c r="AI676" s="25"/>
    </row>
    <row r="677" ht="15.75" customHeight="1">
      <c r="AH677" s="25"/>
      <c r="AI677" s="25"/>
    </row>
    <row r="678" ht="15.75" customHeight="1">
      <c r="AH678" s="25"/>
      <c r="AI678" s="25"/>
    </row>
    <row r="679" ht="15.75" customHeight="1">
      <c r="AH679" s="25"/>
      <c r="AI679" s="25"/>
    </row>
    <row r="680" ht="15.75" customHeight="1">
      <c r="AH680" s="25"/>
      <c r="AI680" s="25"/>
    </row>
    <row r="681" ht="15.75" customHeight="1">
      <c r="AH681" s="25"/>
      <c r="AI681" s="25"/>
    </row>
    <row r="682" ht="15.75" customHeight="1">
      <c r="AH682" s="25"/>
      <c r="AI682" s="25"/>
    </row>
    <row r="683" ht="15.75" customHeight="1">
      <c r="AH683" s="25"/>
      <c r="AI683" s="25"/>
    </row>
    <row r="684" ht="15.75" customHeight="1">
      <c r="AH684" s="25"/>
      <c r="AI684" s="25"/>
    </row>
    <row r="685" ht="15.75" customHeight="1">
      <c r="AH685" s="25"/>
      <c r="AI685" s="25"/>
    </row>
    <row r="686" ht="15.75" customHeight="1">
      <c r="AH686" s="25"/>
      <c r="AI686" s="25"/>
    </row>
    <row r="687" ht="15.75" customHeight="1">
      <c r="AH687" s="25"/>
      <c r="AI687" s="25"/>
    </row>
    <row r="688" ht="15.75" customHeight="1">
      <c r="AH688" s="25"/>
      <c r="AI688" s="25"/>
    </row>
    <row r="689" ht="15.75" customHeight="1">
      <c r="AH689" s="25"/>
      <c r="AI689" s="25"/>
    </row>
    <row r="690" ht="15.75" customHeight="1">
      <c r="AH690" s="25"/>
      <c r="AI690" s="25"/>
    </row>
    <row r="691" ht="15.75" customHeight="1">
      <c r="AH691" s="25"/>
      <c r="AI691" s="25"/>
    </row>
    <row r="692" ht="15.75" customHeight="1">
      <c r="AH692" s="25"/>
      <c r="AI692" s="25"/>
    </row>
    <row r="693" ht="15.75" customHeight="1">
      <c r="AH693" s="25"/>
      <c r="AI693" s="25"/>
    </row>
    <row r="694" ht="15.75" customHeight="1">
      <c r="AH694" s="25"/>
      <c r="AI694" s="25"/>
    </row>
    <row r="695" ht="15.75" customHeight="1">
      <c r="AH695" s="25"/>
      <c r="AI695" s="25"/>
    </row>
    <row r="696" ht="15.75" customHeight="1">
      <c r="AH696" s="25"/>
      <c r="AI696" s="25"/>
    </row>
    <row r="697" ht="15.75" customHeight="1">
      <c r="AH697" s="25"/>
      <c r="AI697" s="25"/>
    </row>
    <row r="698" ht="15.75" customHeight="1">
      <c r="AH698" s="25"/>
      <c r="AI698" s="25"/>
    </row>
    <row r="699" ht="15.75" customHeight="1">
      <c r="AH699" s="25"/>
      <c r="AI699" s="25"/>
    </row>
    <row r="700" ht="15.75" customHeight="1">
      <c r="AH700" s="25"/>
      <c r="AI700" s="25"/>
    </row>
    <row r="701" ht="15.75" customHeight="1">
      <c r="AH701" s="25"/>
      <c r="AI701" s="25"/>
    </row>
    <row r="702" ht="15.75" customHeight="1">
      <c r="AH702" s="25"/>
      <c r="AI702" s="25"/>
    </row>
    <row r="703" ht="15.75" customHeight="1">
      <c r="AH703" s="25"/>
      <c r="AI703" s="25"/>
    </row>
    <row r="704" ht="15.75" customHeight="1">
      <c r="AH704" s="25"/>
      <c r="AI704" s="25"/>
    </row>
    <row r="705" ht="15.75" customHeight="1">
      <c r="AH705" s="25"/>
      <c r="AI705" s="25"/>
    </row>
    <row r="706" ht="15.75" customHeight="1">
      <c r="AH706" s="25"/>
      <c r="AI706" s="25"/>
    </row>
    <row r="707" ht="15.75" customHeight="1">
      <c r="AH707" s="25"/>
      <c r="AI707" s="25"/>
    </row>
    <row r="708" ht="15.75" customHeight="1">
      <c r="AH708" s="25"/>
      <c r="AI708" s="25"/>
    </row>
    <row r="709" ht="15.75" customHeight="1">
      <c r="AH709" s="25"/>
      <c r="AI709" s="25"/>
    </row>
    <row r="710" ht="15.75" customHeight="1">
      <c r="AH710" s="25"/>
      <c r="AI710" s="25"/>
    </row>
    <row r="711" ht="15.75" customHeight="1">
      <c r="AH711" s="25"/>
      <c r="AI711" s="25"/>
    </row>
    <row r="712" ht="15.75" customHeight="1">
      <c r="AH712" s="25"/>
      <c r="AI712" s="25"/>
    </row>
    <row r="713" ht="15.75" customHeight="1">
      <c r="AH713" s="25"/>
      <c r="AI713" s="25"/>
    </row>
    <row r="714" ht="15.75" customHeight="1">
      <c r="AH714" s="25"/>
      <c r="AI714" s="25"/>
    </row>
    <row r="715" ht="15.75" customHeight="1">
      <c r="AH715" s="25"/>
      <c r="AI715" s="25"/>
    </row>
    <row r="716" ht="15.75" customHeight="1">
      <c r="AH716" s="25"/>
      <c r="AI716" s="25"/>
    </row>
    <row r="717" ht="15.75" customHeight="1">
      <c r="AH717" s="25"/>
      <c r="AI717" s="25"/>
    </row>
    <row r="718" ht="15.75" customHeight="1">
      <c r="AH718" s="25"/>
      <c r="AI718" s="25"/>
    </row>
    <row r="719" ht="15.75" customHeight="1">
      <c r="AH719" s="25"/>
      <c r="AI719" s="25"/>
    </row>
    <row r="720" ht="15.75" customHeight="1">
      <c r="AH720" s="25"/>
      <c r="AI720" s="25"/>
    </row>
    <row r="721" ht="15.75" customHeight="1">
      <c r="AH721" s="25"/>
      <c r="AI721" s="25"/>
    </row>
    <row r="722" ht="15.75" customHeight="1">
      <c r="AH722" s="25"/>
      <c r="AI722" s="25"/>
    </row>
    <row r="723" ht="15.75" customHeight="1">
      <c r="AH723" s="25"/>
      <c r="AI723" s="25"/>
    </row>
    <row r="724" ht="15.75" customHeight="1">
      <c r="AH724" s="25"/>
      <c r="AI724" s="25"/>
    </row>
    <row r="725" ht="15.75" customHeight="1">
      <c r="AH725" s="25"/>
      <c r="AI725" s="25"/>
    </row>
    <row r="726" ht="15.75" customHeight="1">
      <c r="AH726" s="25"/>
      <c r="AI726" s="25"/>
    </row>
    <row r="727" ht="15.75" customHeight="1">
      <c r="AH727" s="25"/>
      <c r="AI727" s="25"/>
    </row>
    <row r="728" ht="15.75" customHeight="1">
      <c r="AH728" s="25"/>
      <c r="AI728" s="25"/>
    </row>
    <row r="729" ht="15.75" customHeight="1">
      <c r="AH729" s="25"/>
      <c r="AI729" s="25"/>
    </row>
    <row r="730" ht="15.75" customHeight="1">
      <c r="AH730" s="25"/>
      <c r="AI730" s="25"/>
    </row>
    <row r="731" ht="15.75" customHeight="1">
      <c r="AH731" s="25"/>
      <c r="AI731" s="25"/>
    </row>
    <row r="732" ht="15.75" customHeight="1">
      <c r="AH732" s="25"/>
      <c r="AI732" s="25"/>
    </row>
    <row r="733" ht="15.75" customHeight="1">
      <c r="AH733" s="25"/>
      <c r="AI733" s="25"/>
    </row>
    <row r="734" ht="15.75" customHeight="1">
      <c r="AH734" s="25"/>
      <c r="AI734" s="25"/>
    </row>
    <row r="735" ht="15.75" customHeight="1">
      <c r="AH735" s="25"/>
      <c r="AI735" s="25"/>
    </row>
    <row r="736" ht="15.75" customHeight="1">
      <c r="AH736" s="25"/>
      <c r="AI736" s="25"/>
    </row>
    <row r="737" ht="15.75" customHeight="1">
      <c r="AH737" s="25"/>
      <c r="AI737" s="25"/>
    </row>
    <row r="738" ht="15.75" customHeight="1">
      <c r="AH738" s="25"/>
      <c r="AI738" s="25"/>
    </row>
    <row r="739" ht="15.75" customHeight="1">
      <c r="AH739" s="25"/>
      <c r="AI739" s="25"/>
    </row>
    <row r="740" ht="15.75" customHeight="1">
      <c r="AH740" s="25"/>
      <c r="AI740" s="25"/>
    </row>
    <row r="741" ht="15.75" customHeight="1">
      <c r="AH741" s="25"/>
      <c r="AI741" s="25"/>
    </row>
    <row r="742" ht="15.75" customHeight="1">
      <c r="AH742" s="25"/>
      <c r="AI742" s="25"/>
    </row>
    <row r="743" ht="15.75" customHeight="1">
      <c r="AH743" s="25"/>
      <c r="AI743" s="25"/>
    </row>
    <row r="744" ht="15.75" customHeight="1">
      <c r="AH744" s="25"/>
      <c r="AI744" s="25"/>
    </row>
    <row r="745" ht="15.75" customHeight="1">
      <c r="AH745" s="25"/>
      <c r="AI745" s="25"/>
    </row>
    <row r="746" ht="15.75" customHeight="1">
      <c r="AH746" s="25"/>
      <c r="AI746" s="25"/>
    </row>
    <row r="747" ht="15.75" customHeight="1">
      <c r="AH747" s="25"/>
      <c r="AI747" s="25"/>
    </row>
    <row r="748" ht="15.75" customHeight="1">
      <c r="AH748" s="25"/>
      <c r="AI748" s="25"/>
    </row>
    <row r="749" ht="15.75" customHeight="1">
      <c r="AH749" s="25"/>
      <c r="AI749" s="25"/>
    </row>
    <row r="750" ht="15.75" customHeight="1">
      <c r="AH750" s="25"/>
      <c r="AI750" s="25"/>
    </row>
    <row r="751" ht="15.75" customHeight="1">
      <c r="AH751" s="25"/>
      <c r="AI751" s="25"/>
    </row>
    <row r="752" ht="15.75" customHeight="1">
      <c r="AH752" s="25"/>
      <c r="AI752" s="25"/>
    </row>
    <row r="753" ht="15.75" customHeight="1">
      <c r="AH753" s="25"/>
      <c r="AI753" s="25"/>
    </row>
    <row r="754" ht="15.75" customHeight="1">
      <c r="AH754" s="25"/>
      <c r="AI754" s="25"/>
    </row>
    <row r="755" ht="15.75" customHeight="1">
      <c r="AH755" s="25"/>
      <c r="AI755" s="25"/>
    </row>
    <row r="756" ht="15.75" customHeight="1">
      <c r="AH756" s="25"/>
      <c r="AI756" s="25"/>
    </row>
    <row r="757" ht="15.75" customHeight="1">
      <c r="AH757" s="25"/>
      <c r="AI757" s="25"/>
    </row>
    <row r="758" ht="15.75" customHeight="1">
      <c r="AH758" s="25"/>
      <c r="AI758" s="25"/>
    </row>
    <row r="759" ht="15.75" customHeight="1">
      <c r="AH759" s="25"/>
      <c r="AI759" s="25"/>
    </row>
    <row r="760" ht="15.75" customHeight="1">
      <c r="AH760" s="25"/>
      <c r="AI760" s="25"/>
    </row>
    <row r="761" ht="15.75" customHeight="1">
      <c r="AH761" s="25"/>
      <c r="AI761" s="25"/>
    </row>
    <row r="762" ht="15.75" customHeight="1">
      <c r="AH762" s="25"/>
      <c r="AI762" s="25"/>
    </row>
    <row r="763" ht="15.75" customHeight="1">
      <c r="AH763" s="25"/>
      <c r="AI763" s="25"/>
    </row>
    <row r="764" ht="15.75" customHeight="1">
      <c r="AH764" s="25"/>
      <c r="AI764" s="25"/>
    </row>
    <row r="765" ht="15.75" customHeight="1">
      <c r="AH765" s="25"/>
      <c r="AI765" s="25"/>
    </row>
    <row r="766" ht="15.75" customHeight="1">
      <c r="AH766" s="25"/>
      <c r="AI766" s="25"/>
    </row>
    <row r="767" ht="15.75" customHeight="1">
      <c r="AH767" s="25"/>
      <c r="AI767" s="25"/>
    </row>
    <row r="768" ht="15.75" customHeight="1">
      <c r="AH768" s="25"/>
      <c r="AI768" s="25"/>
    </row>
    <row r="769" ht="15.75" customHeight="1">
      <c r="AH769" s="25"/>
      <c r="AI769" s="25"/>
    </row>
    <row r="770" ht="15.75" customHeight="1">
      <c r="AH770" s="25"/>
      <c r="AI770" s="25"/>
    </row>
    <row r="771" ht="15.75" customHeight="1">
      <c r="AH771" s="25"/>
      <c r="AI771" s="25"/>
    </row>
    <row r="772" ht="15.75" customHeight="1">
      <c r="AH772" s="25"/>
      <c r="AI772" s="25"/>
    </row>
    <row r="773" ht="15.75" customHeight="1">
      <c r="AH773" s="25"/>
      <c r="AI773" s="25"/>
    </row>
    <row r="774" ht="15.75" customHeight="1">
      <c r="AH774" s="25"/>
      <c r="AI774" s="25"/>
    </row>
    <row r="775" ht="15.75" customHeight="1">
      <c r="AH775" s="25"/>
      <c r="AI775" s="25"/>
    </row>
    <row r="776" ht="15.75" customHeight="1">
      <c r="AH776" s="25"/>
      <c r="AI776" s="25"/>
    </row>
    <row r="777" ht="15.75" customHeight="1">
      <c r="AH777" s="25"/>
      <c r="AI777" s="25"/>
    </row>
    <row r="778" ht="15.75" customHeight="1">
      <c r="AH778" s="25"/>
      <c r="AI778" s="25"/>
    </row>
    <row r="779" ht="15.75" customHeight="1">
      <c r="AH779" s="25"/>
      <c r="AI779" s="25"/>
    </row>
    <row r="780" ht="15.75" customHeight="1">
      <c r="AH780" s="25"/>
      <c r="AI780" s="25"/>
    </row>
    <row r="781" ht="15.75" customHeight="1">
      <c r="AH781" s="25"/>
      <c r="AI781" s="25"/>
    </row>
    <row r="782" ht="15.75" customHeight="1">
      <c r="AH782" s="25"/>
      <c r="AI782" s="25"/>
    </row>
    <row r="783" ht="15.75" customHeight="1">
      <c r="AH783" s="25"/>
      <c r="AI783" s="25"/>
    </row>
    <row r="784" ht="15.75" customHeight="1">
      <c r="AH784" s="25"/>
      <c r="AI784" s="25"/>
    </row>
    <row r="785" ht="15.75" customHeight="1">
      <c r="AH785" s="25"/>
      <c r="AI785" s="25"/>
    </row>
    <row r="786" ht="15.75" customHeight="1">
      <c r="AH786" s="25"/>
      <c r="AI786" s="25"/>
    </row>
    <row r="787" ht="15.75" customHeight="1">
      <c r="AH787" s="25"/>
      <c r="AI787" s="25"/>
    </row>
    <row r="788" ht="15.75" customHeight="1">
      <c r="AH788" s="25"/>
      <c r="AI788" s="25"/>
    </row>
    <row r="789" ht="15.75" customHeight="1">
      <c r="AH789" s="25"/>
      <c r="AI789" s="25"/>
    </row>
    <row r="790" ht="15.75" customHeight="1">
      <c r="AH790" s="25"/>
      <c r="AI790" s="25"/>
    </row>
    <row r="791" ht="15.75" customHeight="1">
      <c r="AH791" s="25"/>
      <c r="AI791" s="25"/>
    </row>
    <row r="792" ht="15.75" customHeight="1">
      <c r="AH792" s="25"/>
      <c r="AI792" s="25"/>
    </row>
    <row r="793" ht="15.75" customHeight="1">
      <c r="AH793" s="25"/>
      <c r="AI793" s="25"/>
    </row>
    <row r="794" ht="15.75" customHeight="1">
      <c r="AH794" s="25"/>
      <c r="AI794" s="25"/>
    </row>
    <row r="795" ht="15.75" customHeight="1">
      <c r="AH795" s="25"/>
      <c r="AI795" s="25"/>
    </row>
    <row r="796" ht="15.75" customHeight="1">
      <c r="AH796" s="25"/>
      <c r="AI796" s="25"/>
    </row>
    <row r="797" ht="15.75" customHeight="1">
      <c r="AH797" s="25"/>
      <c r="AI797" s="25"/>
    </row>
    <row r="798" ht="15.75" customHeight="1">
      <c r="AH798" s="25"/>
      <c r="AI798" s="25"/>
    </row>
    <row r="799" ht="15.75" customHeight="1">
      <c r="AH799" s="25"/>
      <c r="AI799" s="25"/>
    </row>
    <row r="800" ht="15.75" customHeight="1">
      <c r="AH800" s="25"/>
      <c r="AI800" s="25"/>
    </row>
    <row r="801" ht="15.75" customHeight="1">
      <c r="AH801" s="25"/>
      <c r="AI801" s="25"/>
    </row>
    <row r="802" ht="15.75" customHeight="1">
      <c r="AH802" s="25"/>
      <c r="AI802" s="25"/>
    </row>
    <row r="803" ht="15.75" customHeight="1">
      <c r="AH803" s="25"/>
      <c r="AI803" s="25"/>
    </row>
    <row r="804" ht="15.75" customHeight="1">
      <c r="AH804" s="25"/>
      <c r="AI804" s="25"/>
    </row>
    <row r="805" ht="15.75" customHeight="1">
      <c r="AH805" s="25"/>
      <c r="AI805" s="25"/>
    </row>
    <row r="806" ht="15.75" customHeight="1">
      <c r="AH806" s="25"/>
      <c r="AI806" s="25"/>
    </row>
    <row r="807" ht="15.75" customHeight="1">
      <c r="AH807" s="25"/>
      <c r="AI807" s="25"/>
    </row>
    <row r="808" ht="15.75" customHeight="1">
      <c r="AH808" s="25"/>
      <c r="AI808" s="25"/>
    </row>
    <row r="809" ht="15.75" customHeight="1">
      <c r="AH809" s="25"/>
      <c r="AI809" s="25"/>
    </row>
    <row r="810" ht="15.75" customHeight="1">
      <c r="AH810" s="25"/>
      <c r="AI810" s="25"/>
    </row>
    <row r="811" ht="15.75" customHeight="1">
      <c r="AH811" s="25"/>
      <c r="AI811" s="25"/>
    </row>
    <row r="812" ht="15.75" customHeight="1">
      <c r="AH812" s="25"/>
      <c r="AI812" s="25"/>
    </row>
    <row r="813" ht="15.75" customHeight="1">
      <c r="AH813" s="25"/>
      <c r="AI813" s="25"/>
    </row>
    <row r="814" ht="15.75" customHeight="1">
      <c r="AH814" s="25"/>
      <c r="AI814" s="25"/>
    </row>
    <row r="815" ht="15.75" customHeight="1">
      <c r="AH815" s="25"/>
      <c r="AI815" s="25"/>
    </row>
    <row r="816" ht="15.75" customHeight="1">
      <c r="AH816" s="25"/>
      <c r="AI816" s="25"/>
    </row>
    <row r="817" ht="15.75" customHeight="1">
      <c r="AH817" s="25"/>
      <c r="AI817" s="25"/>
    </row>
    <row r="818" ht="15.75" customHeight="1">
      <c r="AH818" s="25"/>
      <c r="AI818" s="25"/>
    </row>
    <row r="819" ht="15.75" customHeight="1">
      <c r="AH819" s="25"/>
      <c r="AI819" s="25"/>
    </row>
    <row r="820" ht="15.75" customHeight="1">
      <c r="AH820" s="25"/>
      <c r="AI820" s="25"/>
    </row>
    <row r="821" ht="15.75" customHeight="1">
      <c r="AH821" s="25"/>
      <c r="AI821" s="25"/>
    </row>
    <row r="822" ht="15.75" customHeight="1">
      <c r="AH822" s="25"/>
      <c r="AI822" s="25"/>
    </row>
    <row r="823" ht="15.75" customHeight="1">
      <c r="AH823" s="25"/>
      <c r="AI823" s="25"/>
    </row>
    <row r="824" ht="15.75" customHeight="1">
      <c r="AH824" s="25"/>
      <c r="AI824" s="25"/>
    </row>
    <row r="825" ht="15.75" customHeight="1">
      <c r="AH825" s="25"/>
      <c r="AI825" s="25"/>
    </row>
    <row r="826" ht="15.75" customHeight="1">
      <c r="AH826" s="25"/>
      <c r="AI826" s="25"/>
    </row>
    <row r="827" ht="15.75" customHeight="1">
      <c r="AH827" s="25"/>
      <c r="AI827" s="25"/>
    </row>
    <row r="828" ht="15.75" customHeight="1">
      <c r="AH828" s="25"/>
      <c r="AI828" s="25"/>
    </row>
    <row r="829" ht="15.75" customHeight="1">
      <c r="AH829" s="25"/>
      <c r="AI829" s="25"/>
    </row>
    <row r="830" ht="15.75" customHeight="1">
      <c r="AH830" s="25"/>
      <c r="AI830" s="25"/>
    </row>
    <row r="831" ht="15.75" customHeight="1">
      <c r="AH831" s="25"/>
      <c r="AI831" s="25"/>
    </row>
    <row r="832" ht="15.75" customHeight="1">
      <c r="AH832" s="25"/>
      <c r="AI832" s="25"/>
    </row>
    <row r="833" ht="15.75" customHeight="1">
      <c r="AH833" s="25"/>
      <c r="AI833" s="25"/>
    </row>
    <row r="834" ht="15.75" customHeight="1">
      <c r="AH834" s="25"/>
      <c r="AI834" s="25"/>
    </row>
    <row r="835" ht="15.75" customHeight="1">
      <c r="AH835" s="25"/>
      <c r="AI835" s="25"/>
    </row>
    <row r="836" ht="15.75" customHeight="1">
      <c r="AH836" s="25"/>
      <c r="AI836" s="25"/>
    </row>
    <row r="837" ht="15.75" customHeight="1">
      <c r="AH837" s="25"/>
      <c r="AI837" s="25"/>
    </row>
    <row r="838" ht="15.75" customHeight="1">
      <c r="AH838" s="25"/>
      <c r="AI838" s="25"/>
    </row>
    <row r="839" ht="15.75" customHeight="1">
      <c r="AH839" s="25"/>
      <c r="AI839" s="25"/>
    </row>
    <row r="840" ht="15.75" customHeight="1">
      <c r="AH840" s="25"/>
      <c r="AI840" s="25"/>
    </row>
    <row r="841" ht="15.75" customHeight="1">
      <c r="AH841" s="25"/>
      <c r="AI841" s="25"/>
    </row>
    <row r="842" ht="15.75" customHeight="1">
      <c r="AH842" s="25"/>
      <c r="AI842" s="25"/>
    </row>
    <row r="843" ht="15.75" customHeight="1">
      <c r="AH843" s="25"/>
      <c r="AI843" s="25"/>
    </row>
    <row r="844" ht="15.75" customHeight="1">
      <c r="AH844" s="25"/>
      <c r="AI844" s="25"/>
    </row>
    <row r="845" ht="15.75" customHeight="1">
      <c r="AH845" s="25"/>
      <c r="AI845" s="25"/>
    </row>
    <row r="846" ht="15.75" customHeight="1">
      <c r="AH846" s="25"/>
      <c r="AI846" s="25"/>
    </row>
    <row r="847" ht="15.75" customHeight="1">
      <c r="AH847" s="25"/>
      <c r="AI847" s="25"/>
    </row>
    <row r="848" ht="15.75" customHeight="1">
      <c r="AH848" s="25"/>
      <c r="AI848" s="25"/>
    </row>
    <row r="849" ht="15.75" customHeight="1">
      <c r="AH849" s="25"/>
      <c r="AI849" s="25"/>
    </row>
    <row r="850" ht="15.75" customHeight="1">
      <c r="AH850" s="25"/>
      <c r="AI850" s="25"/>
    </row>
    <row r="851" ht="15.75" customHeight="1">
      <c r="AH851" s="25"/>
      <c r="AI851" s="25"/>
    </row>
    <row r="852" ht="15.75" customHeight="1">
      <c r="AH852" s="25"/>
      <c r="AI852" s="25"/>
    </row>
    <row r="853" ht="15.75" customHeight="1">
      <c r="AH853" s="25"/>
      <c r="AI853" s="25"/>
    </row>
    <row r="854" ht="15.75" customHeight="1">
      <c r="AH854" s="25"/>
      <c r="AI854" s="25"/>
    </row>
    <row r="855" ht="15.75" customHeight="1">
      <c r="AH855" s="25"/>
      <c r="AI855" s="25"/>
    </row>
    <row r="856" ht="15.75" customHeight="1">
      <c r="AH856" s="25"/>
      <c r="AI856" s="25"/>
    </row>
    <row r="857" ht="15.75" customHeight="1">
      <c r="AH857" s="25"/>
      <c r="AI857" s="25"/>
    </row>
    <row r="858" ht="15.75" customHeight="1">
      <c r="AH858" s="25"/>
      <c r="AI858" s="25"/>
    </row>
    <row r="859" ht="15.75" customHeight="1">
      <c r="AH859" s="25"/>
      <c r="AI859" s="25"/>
    </row>
    <row r="860" ht="15.75" customHeight="1">
      <c r="AH860" s="25"/>
      <c r="AI860" s="25"/>
    </row>
    <row r="861" ht="15.75" customHeight="1">
      <c r="AH861" s="25"/>
      <c r="AI861" s="25"/>
    </row>
    <row r="862" ht="15.75" customHeight="1">
      <c r="AH862" s="25"/>
      <c r="AI862" s="25"/>
    </row>
    <row r="863" ht="15.75" customHeight="1">
      <c r="AH863" s="25"/>
      <c r="AI863" s="25"/>
    </row>
    <row r="864" ht="15.75" customHeight="1">
      <c r="AH864" s="25"/>
      <c r="AI864" s="25"/>
    </row>
    <row r="865" ht="15.75" customHeight="1">
      <c r="AH865" s="25"/>
      <c r="AI865" s="25"/>
    </row>
    <row r="866" ht="15.75" customHeight="1">
      <c r="AH866" s="25"/>
      <c r="AI866" s="25"/>
    </row>
    <row r="867" ht="15.75" customHeight="1">
      <c r="AH867" s="25"/>
      <c r="AI867" s="25"/>
    </row>
    <row r="868" ht="15.75" customHeight="1">
      <c r="AH868" s="25"/>
      <c r="AI868" s="25"/>
    </row>
    <row r="869" ht="15.75" customHeight="1">
      <c r="AH869" s="25"/>
      <c r="AI869" s="25"/>
    </row>
    <row r="870" ht="15.75" customHeight="1">
      <c r="AH870" s="25"/>
      <c r="AI870" s="25"/>
    </row>
    <row r="871" ht="15.75" customHeight="1">
      <c r="AH871" s="25"/>
      <c r="AI871" s="25"/>
    </row>
    <row r="872" ht="15.75" customHeight="1">
      <c r="AH872" s="25"/>
      <c r="AI872" s="25"/>
    </row>
    <row r="873" ht="15.75" customHeight="1">
      <c r="AH873" s="25"/>
      <c r="AI873" s="25"/>
    </row>
    <row r="874" ht="15.75" customHeight="1">
      <c r="AH874" s="25"/>
      <c r="AI874" s="25"/>
    </row>
    <row r="875" ht="15.75" customHeight="1">
      <c r="AH875" s="25"/>
      <c r="AI875" s="25"/>
    </row>
    <row r="876" ht="15.75" customHeight="1">
      <c r="AH876" s="25"/>
      <c r="AI876" s="25"/>
    </row>
    <row r="877" ht="15.75" customHeight="1">
      <c r="AH877" s="25"/>
      <c r="AI877" s="25"/>
    </row>
    <row r="878" ht="15.75" customHeight="1">
      <c r="AH878" s="25"/>
      <c r="AI878" s="25"/>
    </row>
    <row r="879" ht="15.75" customHeight="1">
      <c r="AH879" s="25"/>
      <c r="AI879" s="25"/>
    </row>
    <row r="880" ht="15.75" customHeight="1">
      <c r="AH880" s="25"/>
      <c r="AI880" s="25"/>
    </row>
    <row r="881" ht="15.75" customHeight="1">
      <c r="AH881" s="25"/>
      <c r="AI881" s="25"/>
    </row>
    <row r="882" ht="15.75" customHeight="1">
      <c r="AH882" s="25"/>
      <c r="AI882" s="25"/>
    </row>
    <row r="883" ht="15.75" customHeight="1">
      <c r="AH883" s="25"/>
      <c r="AI883" s="25"/>
    </row>
    <row r="884" ht="15.75" customHeight="1">
      <c r="AH884" s="25"/>
      <c r="AI884" s="25"/>
    </row>
    <row r="885" ht="15.75" customHeight="1">
      <c r="AH885" s="25"/>
      <c r="AI885" s="25"/>
    </row>
    <row r="886" ht="15.75" customHeight="1">
      <c r="AH886" s="25"/>
      <c r="AI886" s="25"/>
    </row>
    <row r="887" ht="15.75" customHeight="1">
      <c r="AH887" s="25"/>
      <c r="AI887" s="25"/>
    </row>
    <row r="888" ht="15.75" customHeight="1">
      <c r="AH888" s="25"/>
      <c r="AI888" s="25"/>
    </row>
    <row r="889" ht="15.75" customHeight="1">
      <c r="AH889" s="25"/>
      <c r="AI889" s="25"/>
    </row>
    <row r="890" ht="15.75" customHeight="1">
      <c r="AH890" s="25"/>
      <c r="AI890" s="25"/>
    </row>
    <row r="891" ht="15.75" customHeight="1">
      <c r="AH891" s="25"/>
      <c r="AI891" s="25"/>
    </row>
    <row r="892" ht="15.75" customHeight="1">
      <c r="AH892" s="25"/>
      <c r="AI892" s="25"/>
    </row>
    <row r="893" ht="15.75" customHeight="1">
      <c r="AH893" s="25"/>
      <c r="AI893" s="25"/>
    </row>
    <row r="894" ht="15.75" customHeight="1">
      <c r="AH894" s="25"/>
      <c r="AI894" s="25"/>
    </row>
    <row r="895" ht="15.75" customHeight="1">
      <c r="AH895" s="25"/>
      <c r="AI895" s="25"/>
    </row>
    <row r="896" ht="15.75" customHeight="1">
      <c r="AH896" s="25"/>
      <c r="AI896" s="25"/>
    </row>
    <row r="897" ht="15.75" customHeight="1">
      <c r="AH897" s="25"/>
      <c r="AI897" s="25"/>
    </row>
    <row r="898" ht="15.75" customHeight="1">
      <c r="AH898" s="25"/>
      <c r="AI898" s="25"/>
    </row>
    <row r="899" ht="15.75" customHeight="1">
      <c r="AH899" s="25"/>
      <c r="AI899" s="25"/>
    </row>
    <row r="900" ht="15.75" customHeight="1">
      <c r="AH900" s="25"/>
      <c r="AI900" s="25"/>
    </row>
    <row r="901" ht="15.75" customHeight="1">
      <c r="AH901" s="25"/>
      <c r="AI901" s="25"/>
    </row>
    <row r="902" ht="15.75" customHeight="1">
      <c r="AH902" s="25"/>
      <c r="AI902" s="25"/>
    </row>
    <row r="903" ht="15.75" customHeight="1">
      <c r="AH903" s="25"/>
      <c r="AI903" s="25"/>
    </row>
    <row r="904" ht="15.75" customHeight="1">
      <c r="AH904" s="25"/>
      <c r="AI904" s="25"/>
    </row>
    <row r="905" ht="15.75" customHeight="1">
      <c r="AH905" s="25"/>
      <c r="AI905" s="25"/>
    </row>
    <row r="906" ht="15.75" customHeight="1">
      <c r="AH906" s="25"/>
      <c r="AI906" s="25"/>
    </row>
    <row r="907" ht="15.75" customHeight="1">
      <c r="AH907" s="25"/>
      <c r="AI907" s="25"/>
    </row>
    <row r="908" ht="15.75" customHeight="1">
      <c r="AH908" s="25"/>
      <c r="AI908" s="25"/>
    </row>
    <row r="909" ht="15.75" customHeight="1">
      <c r="AH909" s="25"/>
      <c r="AI909" s="25"/>
    </row>
    <row r="910" ht="15.75" customHeight="1">
      <c r="AH910" s="25"/>
      <c r="AI910" s="25"/>
    </row>
    <row r="911" ht="15.75" customHeight="1">
      <c r="AH911" s="25"/>
      <c r="AI911" s="25"/>
    </row>
    <row r="912" ht="15.75" customHeight="1">
      <c r="AH912" s="25"/>
      <c r="AI912" s="25"/>
    </row>
    <row r="913" ht="15.75" customHeight="1">
      <c r="AH913" s="25"/>
      <c r="AI913" s="25"/>
    </row>
    <row r="914" ht="15.75" customHeight="1">
      <c r="AH914" s="25"/>
      <c r="AI914" s="25"/>
    </row>
    <row r="915" ht="15.75" customHeight="1">
      <c r="AH915" s="25"/>
      <c r="AI915" s="25"/>
    </row>
    <row r="916" ht="15.75" customHeight="1">
      <c r="AH916" s="25"/>
      <c r="AI916" s="25"/>
    </row>
    <row r="917" ht="15.75" customHeight="1">
      <c r="AH917" s="25"/>
      <c r="AI917" s="25"/>
    </row>
    <row r="918" ht="15.75" customHeight="1">
      <c r="AH918" s="25"/>
      <c r="AI918" s="25"/>
    </row>
    <row r="919" ht="15.75" customHeight="1">
      <c r="AH919" s="25"/>
      <c r="AI919" s="25"/>
    </row>
    <row r="920" ht="15.75" customHeight="1">
      <c r="AH920" s="25"/>
      <c r="AI920" s="25"/>
    </row>
    <row r="921" ht="15.75" customHeight="1">
      <c r="AH921" s="25"/>
      <c r="AI921" s="25"/>
    </row>
    <row r="922" ht="15.75" customHeight="1">
      <c r="AH922" s="25"/>
      <c r="AI922" s="25"/>
    </row>
    <row r="923" ht="15.75" customHeight="1">
      <c r="AH923" s="25"/>
      <c r="AI923" s="25"/>
    </row>
    <row r="924" ht="15.75" customHeight="1">
      <c r="AH924" s="25"/>
      <c r="AI924" s="25"/>
    </row>
    <row r="925" ht="15.75" customHeight="1">
      <c r="AH925" s="25"/>
      <c r="AI925" s="25"/>
    </row>
    <row r="926" ht="15.75" customHeight="1">
      <c r="AH926" s="25"/>
      <c r="AI926" s="25"/>
    </row>
    <row r="927" ht="15.75" customHeight="1">
      <c r="AH927" s="25"/>
      <c r="AI927" s="25"/>
    </row>
    <row r="928" ht="15.75" customHeight="1">
      <c r="AH928" s="25"/>
      <c r="AI928" s="25"/>
    </row>
    <row r="929" ht="15.75" customHeight="1">
      <c r="AH929" s="25"/>
      <c r="AI929" s="25"/>
    </row>
    <row r="930" ht="15.75" customHeight="1">
      <c r="AH930" s="25"/>
      <c r="AI930" s="25"/>
    </row>
    <row r="931" ht="15.75" customHeight="1">
      <c r="AH931" s="25"/>
      <c r="AI931" s="25"/>
    </row>
    <row r="932" ht="15.75" customHeight="1">
      <c r="AH932" s="25"/>
      <c r="AI932" s="25"/>
    </row>
    <row r="933" ht="15.75" customHeight="1">
      <c r="AH933" s="25"/>
      <c r="AI933" s="25"/>
    </row>
    <row r="934" ht="15.75" customHeight="1">
      <c r="AH934" s="25"/>
      <c r="AI934" s="25"/>
    </row>
    <row r="935" ht="15.75" customHeight="1">
      <c r="AH935" s="25"/>
      <c r="AI935" s="25"/>
    </row>
    <row r="936" ht="15.75" customHeight="1">
      <c r="AH936" s="25"/>
      <c r="AI936" s="25"/>
    </row>
    <row r="937" ht="15.75" customHeight="1">
      <c r="AH937" s="25"/>
      <c r="AI937" s="25"/>
    </row>
    <row r="938" ht="15.75" customHeight="1">
      <c r="AH938" s="25"/>
      <c r="AI938" s="25"/>
    </row>
    <row r="939" ht="15.75" customHeight="1">
      <c r="AH939" s="25"/>
      <c r="AI939" s="25"/>
    </row>
    <row r="940" ht="15.75" customHeight="1">
      <c r="AH940" s="25"/>
      <c r="AI940" s="25"/>
    </row>
    <row r="941" ht="15.75" customHeight="1">
      <c r="AH941" s="25"/>
      <c r="AI941" s="25"/>
    </row>
    <row r="942" ht="15.75" customHeight="1">
      <c r="AH942" s="25"/>
      <c r="AI942" s="25"/>
    </row>
    <row r="943" ht="15.75" customHeight="1">
      <c r="AH943" s="25"/>
      <c r="AI943" s="25"/>
    </row>
    <row r="944" ht="15.75" customHeight="1">
      <c r="AH944" s="25"/>
      <c r="AI944" s="25"/>
    </row>
    <row r="945" ht="15.75" customHeight="1">
      <c r="AH945" s="25"/>
      <c r="AI945" s="25"/>
    </row>
    <row r="946" ht="15.75" customHeight="1">
      <c r="AH946" s="25"/>
      <c r="AI946" s="25"/>
    </row>
    <row r="947" ht="15.75" customHeight="1">
      <c r="AH947" s="25"/>
      <c r="AI947" s="25"/>
    </row>
    <row r="948" ht="15.75" customHeight="1">
      <c r="AH948" s="25"/>
      <c r="AI948" s="25"/>
    </row>
    <row r="949" ht="15.75" customHeight="1">
      <c r="AH949" s="25"/>
      <c r="AI949" s="25"/>
    </row>
    <row r="950" ht="15.75" customHeight="1">
      <c r="AH950" s="25"/>
      <c r="AI950" s="25"/>
    </row>
    <row r="951" ht="15.75" customHeight="1">
      <c r="AH951" s="25"/>
      <c r="AI951" s="25"/>
    </row>
    <row r="952" ht="15.75" customHeight="1">
      <c r="AH952" s="25"/>
      <c r="AI952" s="25"/>
    </row>
    <row r="953" ht="15.75" customHeight="1">
      <c r="AH953" s="25"/>
      <c r="AI953" s="25"/>
    </row>
    <row r="954" ht="15.75" customHeight="1">
      <c r="AH954" s="25"/>
      <c r="AI954" s="25"/>
    </row>
    <row r="955" ht="15.75" customHeight="1">
      <c r="AH955" s="25"/>
      <c r="AI955" s="25"/>
    </row>
    <row r="956" ht="15.75" customHeight="1">
      <c r="AH956" s="25"/>
      <c r="AI956" s="25"/>
    </row>
    <row r="957" ht="15.75" customHeight="1">
      <c r="AH957" s="25"/>
      <c r="AI957" s="25"/>
    </row>
    <row r="958" ht="15.75" customHeight="1">
      <c r="AH958" s="25"/>
      <c r="AI958" s="25"/>
    </row>
    <row r="959" ht="15.75" customHeight="1">
      <c r="AH959" s="25"/>
      <c r="AI959" s="25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1" t="s">
        <v>0</v>
      </c>
      <c r="B1" s="1" t="s">
        <v>1</v>
      </c>
      <c r="C1" s="1" t="s">
        <v>1380</v>
      </c>
      <c r="D1" s="1" t="s">
        <v>1381</v>
      </c>
      <c r="E1" s="1" t="s">
        <v>7</v>
      </c>
    </row>
    <row r="2" ht="15.75" customHeight="1">
      <c r="A2" s="5">
        <v>1856.0</v>
      </c>
      <c r="B2" s="6" t="s">
        <v>36</v>
      </c>
      <c r="C2" s="7" t="s">
        <v>1382</v>
      </c>
      <c r="D2" s="22" t="s">
        <v>1383</v>
      </c>
      <c r="E2" s="35">
        <v>0.0</v>
      </c>
    </row>
    <row r="3" ht="15.75" customHeight="1">
      <c r="A3" s="5">
        <v>1856.0</v>
      </c>
      <c r="B3" s="6" t="s">
        <v>36</v>
      </c>
      <c r="C3" s="22" t="s">
        <v>1384</v>
      </c>
      <c r="D3" s="71" t="s">
        <v>1385</v>
      </c>
      <c r="E3" s="35">
        <v>0.0</v>
      </c>
    </row>
    <row r="4" ht="15.75" customHeight="1">
      <c r="A4" s="5">
        <v>1856.0</v>
      </c>
      <c r="B4" s="6" t="s">
        <v>36</v>
      </c>
      <c r="C4" s="22" t="s">
        <v>1386</v>
      </c>
      <c r="D4" s="72" t="s">
        <v>1387</v>
      </c>
      <c r="E4" s="35">
        <v>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8.25"/>
    <col customWidth="1" min="13" max="13" width="10.88"/>
    <col customWidth="1" min="14" max="26" width="34.38"/>
  </cols>
  <sheetData>
    <row r="1" ht="15.75" customHeight="1">
      <c r="A1" s="1" t="s">
        <v>0</v>
      </c>
      <c r="B1" s="1" t="s">
        <v>1</v>
      </c>
      <c r="C1" s="73" t="s">
        <v>1388</v>
      </c>
      <c r="D1" s="73" t="s">
        <v>1389</v>
      </c>
      <c r="E1" s="73" t="s">
        <v>1390</v>
      </c>
      <c r="F1" s="73" t="s">
        <v>866</v>
      </c>
      <c r="G1" s="73" t="s">
        <v>7</v>
      </c>
      <c r="H1" s="73" t="s">
        <v>867</v>
      </c>
      <c r="I1" s="73" t="s">
        <v>7</v>
      </c>
      <c r="J1" s="4" t="s">
        <v>1391</v>
      </c>
      <c r="K1" s="4" t="s">
        <v>7</v>
      </c>
      <c r="L1" s="22" t="s">
        <v>1392</v>
      </c>
      <c r="M1" s="22" t="s">
        <v>7</v>
      </c>
    </row>
    <row r="2" ht="15.75" customHeight="1">
      <c r="A2" s="5">
        <v>1856.0</v>
      </c>
      <c r="B2" s="6" t="s">
        <v>36</v>
      </c>
      <c r="C2" s="74" t="s">
        <v>1393</v>
      </c>
      <c r="D2" s="22" t="s">
        <v>1394</v>
      </c>
      <c r="E2" s="35">
        <v>0.0</v>
      </c>
      <c r="F2" s="22" t="s">
        <v>881</v>
      </c>
      <c r="G2" s="35">
        <v>0.0</v>
      </c>
      <c r="H2" s="22" t="s">
        <v>882</v>
      </c>
      <c r="I2" s="35">
        <v>0.0</v>
      </c>
      <c r="J2" s="22"/>
      <c r="K2" s="22"/>
      <c r="L2" s="10" t="s">
        <v>887</v>
      </c>
      <c r="M2" s="35">
        <v>0.0</v>
      </c>
    </row>
    <row r="3" ht="15.75" customHeight="1">
      <c r="A3" s="5">
        <v>1856.0</v>
      </c>
      <c r="B3" s="6" t="s">
        <v>36</v>
      </c>
      <c r="C3" s="71" t="s">
        <v>1395</v>
      </c>
      <c r="D3" s="22" t="s">
        <v>1396</v>
      </c>
      <c r="E3" s="35">
        <v>0.0</v>
      </c>
      <c r="F3" s="22" t="s">
        <v>881</v>
      </c>
      <c r="G3" s="35">
        <v>0.0</v>
      </c>
      <c r="H3" s="22" t="s">
        <v>882</v>
      </c>
      <c r="I3" s="35">
        <v>0.0</v>
      </c>
      <c r="J3" s="22"/>
      <c r="K3" s="22"/>
      <c r="L3" s="10" t="s">
        <v>887</v>
      </c>
      <c r="M3" s="35">
        <v>0.0</v>
      </c>
    </row>
    <row r="4" ht="15.75" customHeight="1">
      <c r="A4" s="5">
        <v>1856.0</v>
      </c>
      <c r="B4" s="6" t="s">
        <v>36</v>
      </c>
      <c r="C4" s="71" t="s">
        <v>1397</v>
      </c>
      <c r="D4" s="22" t="s">
        <v>1394</v>
      </c>
      <c r="E4" s="35">
        <v>0.0</v>
      </c>
      <c r="F4" s="22" t="s">
        <v>881</v>
      </c>
      <c r="G4" s="35">
        <v>0.0</v>
      </c>
      <c r="H4" s="22" t="s">
        <v>882</v>
      </c>
      <c r="I4" s="35">
        <v>0.0</v>
      </c>
      <c r="J4" s="22"/>
      <c r="K4" s="22"/>
      <c r="L4" s="10" t="s">
        <v>887</v>
      </c>
      <c r="M4" s="35">
        <v>0.0</v>
      </c>
    </row>
    <row r="5" ht="15.75" customHeight="1">
      <c r="A5" s="5">
        <v>1856.0</v>
      </c>
      <c r="B5" s="6" t="s">
        <v>36</v>
      </c>
      <c r="C5" s="22" t="s">
        <v>1398</v>
      </c>
      <c r="D5" s="22"/>
      <c r="E5" s="22"/>
      <c r="F5" s="22" t="s">
        <v>881</v>
      </c>
      <c r="G5" s="35">
        <v>0.0</v>
      </c>
      <c r="H5" s="7"/>
      <c r="I5" s="7"/>
      <c r="J5" s="22"/>
      <c r="K5" s="22"/>
      <c r="L5" s="22"/>
      <c r="M5" s="2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11.5"/>
  </cols>
  <sheetData>
    <row r="1" ht="15.75" customHeight="1">
      <c r="A1" s="1" t="s">
        <v>0</v>
      </c>
      <c r="B1" s="1" t="s">
        <v>1</v>
      </c>
      <c r="C1" s="1" t="s">
        <v>1399</v>
      </c>
      <c r="D1" s="75" t="s">
        <v>1400</v>
      </c>
      <c r="E1" s="75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1" t="s">
        <v>0</v>
      </c>
      <c r="B1" s="1" t="s">
        <v>1</v>
      </c>
      <c r="C1" s="1" t="s">
        <v>1401</v>
      </c>
      <c r="D1" s="4" t="s">
        <v>1402</v>
      </c>
      <c r="E1" s="4" t="s">
        <v>7</v>
      </c>
    </row>
    <row r="2" ht="15.75" customHeight="1">
      <c r="A2" s="5">
        <v>1856.0</v>
      </c>
      <c r="B2" s="6" t="s">
        <v>36</v>
      </c>
      <c r="C2" s="4" t="s">
        <v>1403</v>
      </c>
      <c r="D2" s="69" t="s">
        <v>1404</v>
      </c>
      <c r="E2" s="35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9.63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35.63"/>
    <col customWidth="1" min="22" max="22" width="28.0"/>
    <col customWidth="1" min="24" max="24" width="23.75"/>
    <col customWidth="1" min="26" max="26" width="28.0"/>
    <col customWidth="1" min="28" max="28" width="16.88"/>
  </cols>
  <sheetData>
    <row r="1" ht="15.75" customHeight="1">
      <c r="A1" s="1" t="s">
        <v>0</v>
      </c>
      <c r="B1" s="1" t="s">
        <v>1</v>
      </c>
      <c r="C1" s="4" t="s">
        <v>1405</v>
      </c>
      <c r="D1" s="4" t="s">
        <v>1406</v>
      </c>
      <c r="E1" s="4" t="s">
        <v>14</v>
      </c>
      <c r="F1" s="4" t="s">
        <v>1407</v>
      </c>
      <c r="G1" s="4" t="s">
        <v>14</v>
      </c>
      <c r="H1" s="4" t="s">
        <v>1408</v>
      </c>
      <c r="I1" s="4" t="s">
        <v>14</v>
      </c>
      <c r="J1" s="4" t="s">
        <v>1409</v>
      </c>
      <c r="K1" s="4" t="s">
        <v>14</v>
      </c>
      <c r="L1" s="4" t="s">
        <v>1410</v>
      </c>
      <c r="M1" s="4" t="s">
        <v>14</v>
      </c>
      <c r="N1" s="7" t="s">
        <v>1411</v>
      </c>
      <c r="O1" s="7" t="s">
        <v>7</v>
      </c>
      <c r="P1" s="7" t="s">
        <v>609</v>
      </c>
      <c r="Q1" s="7" t="s">
        <v>7</v>
      </c>
      <c r="R1" s="4" t="s">
        <v>1412</v>
      </c>
      <c r="S1" s="7" t="s">
        <v>7</v>
      </c>
      <c r="T1" s="7" t="s">
        <v>1413</v>
      </c>
      <c r="U1" s="7" t="s">
        <v>7</v>
      </c>
      <c r="V1" s="22" t="s">
        <v>1414</v>
      </c>
      <c r="W1" s="22" t="s">
        <v>7</v>
      </c>
      <c r="X1" s="22" t="s">
        <v>1415</v>
      </c>
      <c r="Y1" s="22" t="s">
        <v>7</v>
      </c>
      <c r="Z1" s="22" t="s">
        <v>1416</v>
      </c>
      <c r="AA1" s="22" t="s">
        <v>7</v>
      </c>
      <c r="AB1" s="22" t="s">
        <v>1417</v>
      </c>
      <c r="AC1" s="22" t="s">
        <v>7</v>
      </c>
    </row>
    <row r="2" ht="15.75" customHeight="1">
      <c r="A2" s="5">
        <v>1856.0</v>
      </c>
      <c r="B2" s="6" t="s">
        <v>36</v>
      </c>
      <c r="C2" s="4" t="s">
        <v>1418</v>
      </c>
      <c r="D2" s="36" t="s">
        <v>564</v>
      </c>
      <c r="E2" s="35">
        <v>1.0</v>
      </c>
      <c r="F2" s="36" t="s">
        <v>573</v>
      </c>
      <c r="G2" s="35">
        <v>1.0</v>
      </c>
      <c r="H2" s="36" t="s">
        <v>582</v>
      </c>
      <c r="I2" s="35">
        <v>1.0</v>
      </c>
      <c r="J2" s="36" t="s">
        <v>591</v>
      </c>
      <c r="K2" s="11">
        <v>0.0</v>
      </c>
      <c r="L2" s="36" t="s">
        <v>598</v>
      </c>
      <c r="M2" s="11">
        <v>0.0</v>
      </c>
      <c r="N2" s="10" t="s">
        <v>1419</v>
      </c>
      <c r="O2" s="4"/>
      <c r="P2" s="10" t="s">
        <v>1420</v>
      </c>
      <c r="Q2" s="4"/>
      <c r="R2" s="10" t="s">
        <v>1421</v>
      </c>
      <c r="S2" s="4"/>
      <c r="T2" s="10" t="s">
        <v>1422</v>
      </c>
      <c r="U2" s="76">
        <v>0.0</v>
      </c>
      <c r="V2" s="41" t="s">
        <v>592</v>
      </c>
      <c r="W2" s="77">
        <v>1.0</v>
      </c>
      <c r="X2" s="41" t="s">
        <v>1423</v>
      </c>
      <c r="Y2" s="77">
        <v>1.0</v>
      </c>
      <c r="Z2" s="41" t="s">
        <v>599</v>
      </c>
      <c r="AA2" s="77">
        <v>1.0</v>
      </c>
      <c r="AB2" s="41" t="s">
        <v>1424</v>
      </c>
      <c r="AC2" s="77">
        <v>1.0</v>
      </c>
    </row>
    <row r="3" ht="15.75" customHeight="1"/>
    <row r="4" ht="15.75" customHeight="1"/>
    <row r="5" ht="15.75" customHeight="1"/>
    <row r="6" ht="15.75" customHeight="1"/>
    <row r="7" ht="15.75" customHeight="1">
      <c r="L7" s="54"/>
      <c r="M7" s="78"/>
    </row>
    <row r="8" ht="15.75" customHeight="1">
      <c r="L8" s="54"/>
      <c r="M8" s="78"/>
    </row>
    <row r="9" ht="15.75" customHeight="1"/>
    <row r="10" ht="15.75" customHeight="1">
      <c r="F10" s="42"/>
    </row>
    <row r="11" ht="15.75" customHeight="1"/>
    <row r="12" ht="15.75" customHeight="1">
      <c r="G12" s="54"/>
      <c r="H12" s="78"/>
    </row>
    <row r="13" ht="15.75" customHeight="1">
      <c r="G13" s="54"/>
      <c r="H13" s="7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