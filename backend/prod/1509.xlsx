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HDR Line MOV" sheetId="2" r:id="rId5"/>
    <sheet state="visible" name="Tank Maintenance" sheetId="3" r:id="rId6"/>
    <sheet state="visible" name="Pump Master" sheetId="4" r:id="rId7"/>
    <sheet state="visible" name="Fire Pump Master" sheetId="5" r:id="rId8"/>
    <sheet state="visible" name="UPS Master" sheetId="6" r:id="rId9"/>
    <sheet state="visible" name="PLC Master" sheetId="7" r:id="rId10"/>
    <sheet state="visible" name="HCD Master" sheetId="8" r:id="rId11"/>
    <sheet state="visible" name="Dyke Master" sheetId="9" r:id="rId12"/>
    <sheet state="visible" name="Barrier Gate" sheetId="10" r:id="rId13"/>
    <sheet state="visible" name="Hooter Master" sheetId="11" r:id="rId14"/>
    <sheet state="visible" name="ESD Master" sheetId="12" r:id="rId15"/>
    <sheet state="visible" name="Loading Point Master" sheetId="13" r:id="rId16"/>
    <sheet state="visible" name="Gantry override" sheetId="14" r:id="rId17"/>
    <sheet state="visible" name="Fire Effect" sheetId="15" r:id="rId18"/>
    <sheet state="visible" name="Air Compressor" sheetId="16" r:id="rId19"/>
    <sheet state="visible" name="LRC Switchover" sheetId="17" r:id="rId20"/>
    <sheet state="visible" name="OI" sheetId="18" r:id="rId21"/>
  </sheets>
  <definedNames>
    <definedName hidden="1" localSheetId="0" name="_xlnm._FilterDatabase">'Tank Master'!$A$1:$DL$1000</definedName>
  </definedNames>
  <calcPr/>
  <extLst>
    <ext uri="GoogleSheetsCustomDataVersion2">
      <go:sheetsCustomData xmlns:go="http://customooxmlschemas.google.com/" r:id="rId22" roundtripDataChecksum="tpR2YkGI2nefc9LayBJGgE5GD46exgyVn3Hn2xvVFII="/>
    </ext>
  </extLst>
</workbook>
</file>

<file path=xl/sharedStrings.xml><?xml version="1.0" encoding="utf-8"?>
<sst xmlns="http://schemas.openxmlformats.org/spreadsheetml/2006/main" count="2640" uniqueCount="1475">
  <si>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</si>
  <si>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</si>
  <si>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</si>
  <si>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</si>
  <si>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</si>
  <si>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</si>
  <si>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</si>
  <si>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</si>
  <si>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</si>
  <si>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</si>
  <si>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</si>
  <si>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</si>
  <si>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</si>
  <si>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</si>
  <si>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</si>
  <si>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</si>
  <si>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</si>
  <si>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</si>
  <si>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</si>
  <si>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</si>
  <si>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</si>
  <si>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</si>
  <si>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</si>
  <si>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</si>
  <si>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</si>
  <si>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</si>
  <si>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</si>
  <si>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</si>
  <si>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</si>
  <si>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</si>
  <si>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</si>
  <si>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</si>
  <si>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</si>
  <si>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</si>
  <si>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</si>
  <si>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</si>
  <si>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</si>
  <si>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</si>
  <si>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</si>
  <si>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</si>
  <si>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</si>
  <si>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</si>
  <si>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REMOTE STATUS IL1</t>
  </si>
  <si>
    <t>MOV STATUS IL2</t>
  </si>
  <si>
    <t>MOV REMOTE STATUS IL2</t>
  </si>
  <si>
    <t>MOV STATUS OL</t>
  </si>
  <si>
    <t>MOV REMOTE STATUS OL</t>
  </si>
  <si>
    <t>MOV STATUS RCL</t>
  </si>
  <si>
    <t>RIMSEAL FIRE ALARM</t>
  </si>
  <si>
    <t>RIMSEAL FAULT ALARM</t>
  </si>
  <si>
    <t>Sholapur</t>
  </si>
  <si>
    <t>TK-01</t>
  </si>
  <si>
    <t>AG</t>
  </si>
  <si>
    <t>ETHANOL</t>
  </si>
  <si>
    <t>PLC.SFTPLC.CAUSE_ANY_ESD_PB_ACTI</t>
  </si>
  <si>
    <t>TANK.TK-01.LEVEL</t>
  </si>
  <si>
    <t>Primary Radar</t>
  </si>
  <si>
    <t>TANK.TK-01.RECEIPT_PIPELINE_STATUS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</si>
  <si>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</si>
  <si>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</si>
  <si>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</si>
  <si>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</si>
  <si>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</si>
  <si>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</si>
  <si>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</si>
  <si>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</si>
  <si>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</si>
  <si>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</si>
  <si>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</si>
  <si>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</si>
  <si>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</si>
  <si>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</si>
  <si>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</si>
  <si>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</si>
  <si>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</si>
  <si>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</si>
  <si>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</si>
  <si>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MOV.DBBV-01.OPEN_STATUS</t>
  </si>
  <si>
    <t>MOV IL1</t>
  </si>
  <si>
    <t>MOV.DBBV-01.REMOTE_STATUS</t>
  </si>
  <si>
    <t>MOV.DBBV-02.OPEN_STATUS</t>
  </si>
  <si>
    <t>MOV OL</t>
  </si>
  <si>
    <t>MOV.DBBV-02.REMOTE_STATUS</t>
  </si>
  <si>
    <t>TK-02</t>
  </si>
  <si>
    <t>BS VI HSD</t>
  </si>
  <si>
    <t>TANK.TK-02.LEVEL</t>
  </si>
  <si>
    <t>TANK.TK-02.RECEIPT_PIPELINE_STATUS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</si>
  <si>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</si>
  <si>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</si>
  <si>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</si>
  <si>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</si>
  <si>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</si>
  <si>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</si>
  <si>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</si>
  <si>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</si>
  <si>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</si>
  <si>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MOV.ROSOV-03.OPEN_STATUS</t>
  </si>
  <si>
    <t>MOV.ROSOV-03.FAILED_TO_CLOSE</t>
  </si>
  <si>
    <t>MOV.ROSOV-04.OPEN_STATUS</t>
  </si>
  <si>
    <t>MOV.ROSOV-04.FAILED_TO_CLOSE</t>
  </si>
  <si>
    <t>MOV.DBBV-04.OPEN_STATUS</t>
  </si>
  <si>
    <t>MOV.DBBV-04.REMOTE_STATUS</t>
  </si>
  <si>
    <t>MOV.DBBV-05.OPEN_STATUS</t>
  </si>
  <si>
    <t>MOV.DBBV-05.REMOTE_STATUS</t>
  </si>
  <si>
    <t>TK-03</t>
  </si>
  <si>
    <t>TANK.TK-03.LEVEL</t>
  </si>
  <si>
    <t>TANK.TK-03.RECEIPT_PIPELINE_STATUS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</si>
  <si>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</si>
  <si>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</si>
  <si>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</si>
  <si>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</si>
  <si>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</si>
  <si>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</si>
  <si>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</si>
  <si>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</si>
  <si>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</si>
  <si>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MOV.ROSOV-05.OPEN_STATUS</t>
  </si>
  <si>
    <t>MOV.ROSOV-05.FAILED_TO_CLOSE</t>
  </si>
  <si>
    <t>MOV.ROSOV-06.OPEN_STATUS</t>
  </si>
  <si>
    <t>MOV.ROSOV-06.FAILED_TO_CLOSE</t>
  </si>
  <si>
    <t>MOV.DBBV-07.OPEN_STATUS</t>
  </si>
  <si>
    <t>MOV.DBBV-07.REMOTE_STATUS</t>
  </si>
  <si>
    <t>MOV.DBBV-08.OPEN_STATUS</t>
  </si>
  <si>
    <t>MOV.DBBV-08.REMOTE_STATUS</t>
  </si>
  <si>
    <t>TK-04</t>
  </si>
  <si>
    <t>SKO</t>
  </si>
  <si>
    <t>TANK.TK-04.LEVEL</t>
  </si>
  <si>
    <t>TANK.TK-04.RECEIPT_PIPELINE_STATUS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</si>
  <si>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</si>
  <si>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</si>
  <si>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</si>
  <si>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</si>
  <si>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</si>
  <si>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</si>
  <si>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</si>
  <si>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</si>
  <si>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</si>
  <si>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MOV.ROSOV-07.OPEN_STATUS</t>
  </si>
  <si>
    <t>MOV.ROSOV-07.FAILED_TO_CLOSE</t>
  </si>
  <si>
    <t>MOV.ROSOV-08.OPEN_STATUS</t>
  </si>
  <si>
    <t>MOV.ROSOV-08.FAILED_TO_CLOSE</t>
  </si>
  <si>
    <t>MOV.DBBV-09.OPEN_STATUS</t>
  </si>
  <si>
    <t>MOV.DBBV-09.REMOTE_STATUS</t>
  </si>
  <si>
    <t>MOV.DBBV-10.OPEN_STATUS</t>
  </si>
  <si>
    <t>MOV.DBBV-10.REMOTE_STATUS</t>
  </si>
  <si>
    <t>TK-05</t>
  </si>
  <si>
    <t>SLOP</t>
  </si>
  <si>
    <t>TANK.TK-05.LEVEL</t>
  </si>
  <si>
    <t>TANK.TK-05.RECEIPT_PIPELINE_STATUS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</si>
  <si>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</si>
  <si>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</si>
  <si>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</si>
  <si>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</si>
  <si>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</si>
  <si>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</si>
  <si>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</si>
  <si>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</si>
  <si>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</si>
  <si>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MOV.ROSOV-09.OPEN_STATUS</t>
  </si>
  <si>
    <t>MOV.ROSOV-09.FAILED_TO_CLOSE</t>
  </si>
  <si>
    <t>MOV.ROSOV-10.OPEN_STATUS</t>
  </si>
  <si>
    <t>MOV.ROSOV-10.FAILED_TO_CLOSE</t>
  </si>
  <si>
    <t>MOV.DBBV-32.OPEN_STATUS</t>
  </si>
  <si>
    <t>MOV.DBBV-32.REMOTE_STATUS</t>
  </si>
  <si>
    <t>MOV.DBBV-33.OPEN_STATUS</t>
  </si>
  <si>
    <t>DBBV-33</t>
  </si>
  <si>
    <t>MOV IL2</t>
  </si>
  <si>
    <t>MOV.DBBV-33.REMOTE_STATUS</t>
  </si>
  <si>
    <t>MOV.DBBV-34.OPEN_STATUS</t>
  </si>
  <si>
    <t>MOV.DBBV-34.REMOTE_STATUS</t>
  </si>
  <si>
    <t>TK-06</t>
  </si>
  <si>
    <t>TANK.TK-06.LEVEL</t>
  </si>
  <si>
    <t>TANK.TK-06.RECEIPT_PIPELINE_STATUS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</si>
  <si>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</si>
  <si>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</si>
  <si>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</si>
  <si>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</si>
  <si>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</si>
  <si>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</si>
  <si>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</si>
  <si>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</si>
  <si>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</si>
  <si>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MOV.ROSOV-11.OPEN_STATUS</t>
  </si>
  <si>
    <t>MOV.ROSOV-11.FAILED_TO_CLOSE</t>
  </si>
  <si>
    <t>MOV.ROSOV-12.OPEN_STATUS</t>
  </si>
  <si>
    <t>MOV.ROSOV-12.FAILED_TO_CLOSE</t>
  </si>
  <si>
    <t>MOV.DBBV-35.OPEN_STATUS</t>
  </si>
  <si>
    <t>MOV.DBBV-35.REMOTE_STATUS</t>
  </si>
  <si>
    <t>MOV.DBBV-36.OPEN_STATUS</t>
  </si>
  <si>
    <t>MOV.DBBV-36.REMOTE_STATUS</t>
  </si>
  <si>
    <t>TK-07</t>
  </si>
  <si>
    <t>BS VI MS</t>
  </si>
  <si>
    <t>TANK.TK-07.LEVEL</t>
  </si>
  <si>
    <t>TANK.TK-07.RECEIPT_PIPELINE_STATUS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</si>
  <si>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</si>
  <si>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</si>
  <si>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</si>
  <si>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</si>
  <si>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</si>
  <si>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</si>
  <si>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</si>
  <si>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</si>
  <si>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</si>
  <si>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MOV.ROSOV-13.OPEN_STATUS</t>
  </si>
  <si>
    <t>MOV.ROSOV-13.FAILED_TO_CLOSE</t>
  </si>
  <si>
    <t>MOV.ROSOV-14.OPEN_STATUS</t>
  </si>
  <si>
    <t>MOV.ROSOV-14.FAILED_TO_CLOSE</t>
  </si>
  <si>
    <t>MOV.DBBV-11.OPEN_STATUS</t>
  </si>
  <si>
    <t>MOV.DBBV-11.REMOTE_STATUS</t>
  </si>
  <si>
    <t>MOV.DBBV-12.OPEN_STATUS</t>
  </si>
  <si>
    <t>MOV.DBBV-12.REMOTE_STATUS</t>
  </si>
  <si>
    <t>RIMSEAL.RIMSEAL-01.FIRE_ALARM</t>
  </si>
  <si>
    <t>RIMSEAL</t>
  </si>
  <si>
    <t>RIMSEAL.RIMSEAL-01.DETECTOR_FAULT</t>
  </si>
  <si>
    <t>TK-08</t>
  </si>
  <si>
    <t>TANK.TK-08.LEVEL</t>
  </si>
  <si>
    <t>TANK.TK-08.RECEIPT_PIPELINE_STATUS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</si>
  <si>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</si>
  <si>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</si>
  <si>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</si>
  <si>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</si>
  <si>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</si>
  <si>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</si>
  <si>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</si>
  <si>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</si>
  <si>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</si>
  <si>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MOV.ROSOV-15.OPEN_STATUS</t>
  </si>
  <si>
    <t>MOV.ROSOV-15.FAILED_TO_CLOSE</t>
  </si>
  <si>
    <t>MOV.ROSOV-16.OPEN_STATUS</t>
  </si>
  <si>
    <t>MOV.ROSOV-16.FAILED_TO_CLOSE</t>
  </si>
  <si>
    <t>MOV.DBBV-14.OPEN_STATUS</t>
  </si>
  <si>
    <t>MOV.DBBV-14.REMOTE_STATUS</t>
  </si>
  <si>
    <t>MOV.DBBV-15.OPEN_STATUS</t>
  </si>
  <si>
    <t>MOV.DBBV-15.REMOTE_STATUS</t>
  </si>
  <si>
    <t>RIMSEAL.RIMSEAL-02.FIRE_ALARM</t>
  </si>
  <si>
    <t>RIMSEAL.RIMSEAL-02.DETECTOR_FAULT</t>
  </si>
  <si>
    <t>TK-09</t>
  </si>
  <si>
    <t>TANK.TK-09.LEVEL</t>
  </si>
  <si>
    <t>TANK.TK-09.RECEIPT_PIPELINE_STATUS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</si>
  <si>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</si>
  <si>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</si>
  <si>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</si>
  <si>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</si>
  <si>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</si>
  <si>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</si>
  <si>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</si>
  <si>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</si>
  <si>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</si>
  <si>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MOV.ROSOV-17.OPEN_STATUS</t>
  </si>
  <si>
    <t>MOV.ROSOV-17.FAILED_TO_CLOSE</t>
  </si>
  <si>
    <t>MOV.ROSOV-18.OPEN_STATUS</t>
  </si>
  <si>
    <t>MOV.ROSOV-18.FAILED_TO_CLOSE</t>
  </si>
  <si>
    <t>MOV.DBBV-17.OPEN_STATUS</t>
  </si>
  <si>
    <t>MOV.DBBV-17.REMOTE_STATUS</t>
  </si>
  <si>
    <t>MOV.DBBV-18.OPEN_STATUS</t>
  </si>
  <si>
    <t>MOV.DBBV-18.REMOTE_STATUS</t>
  </si>
  <si>
    <t>RIMSEAL.RIMSEAL-03.FIRE_ALARM</t>
  </si>
  <si>
    <t>RIMSEAL.RIMSEAL-03.DETECTOR_FAULT</t>
  </si>
  <si>
    <t>TK-10</t>
  </si>
  <si>
    <t>WATER</t>
  </si>
  <si>
    <t>TANK.TK-10.LEVEL</t>
  </si>
  <si>
    <t>TANK.TK-10.TANK_ALERT_ALARM</t>
  </si>
  <si>
    <t>TK-11</t>
  </si>
  <si>
    <t>TANK.TK-11.LEVEL</t>
  </si>
  <si>
    <t>TANK.TK-11.TANK_ALERT_ALARM</t>
  </si>
  <si>
    <t>TK-12</t>
  </si>
  <si>
    <t>TANK.TK-12.LEVEL</t>
  </si>
  <si>
    <t>TANK.TK-12.RECEIPT_PIPELINE_STATUS</t>
  </si>
  <si>
    <t>TANK.TK-12.HIGH_LEVEL</t>
  </si>
  <si>
    <t>TANK.TK-12.TANK_ALERT_ALARM</t>
  </si>
  <si>
    <t>TANK.TK-12.HIGH_HIGH_LEVEL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</si>
  <si>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</si>
  <si>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</si>
  <si>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</si>
  <si>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</si>
  <si>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</si>
  <si>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</si>
  <si>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MOV.ROSOV-21.OPEN_STATUS</t>
  </si>
  <si>
    <t>MOV.ROSOV-21.FAILED_TO_CLOSE</t>
  </si>
  <si>
    <t>MOV.ROSOV-22.OPEN_STATUS</t>
  </si>
  <si>
    <t>MOV.ROSOV-22.FAILED_TO_CLOSE</t>
  </si>
  <si>
    <t>MOV.DBBV-23.OPEN_STATUS</t>
  </si>
  <si>
    <t>MOV.DBBV-23.REMOTE_STATUS</t>
  </si>
  <si>
    <t>MOV.DBBV-24.OPEN_STATUS</t>
  </si>
  <si>
    <t>MOV.DBBV-24.REMOTE_STATUS</t>
  </si>
  <si>
    <t>TK-13</t>
  </si>
  <si>
    <t>TANK.TK-13.LEVEL</t>
  </si>
  <si>
    <t>TANK.TK-13.RECEIPT_PIPELINE_STATUS</t>
  </si>
  <si>
    <t>TANK.TK-13.HIGH_LEVEL</t>
  </si>
  <si>
    <t>TANK.TK-13.TANK_ALERT_ALARM</t>
  </si>
  <si>
    <t>TANK.TK-13.HIGH_HIGH_LEVEL</t>
  </si>
  <si>
    <t>LEVELSWITCH.LSW-12.SWITCH_STATUS</t>
  </si>
  <si>
    <t>LEVELSWITCH.LSW-12.PROOF_TEST_OK</t>
  </si>
  <si>
    <t>LEVELSWITCH.LSW-12.PROOF_TEST_FAILED</t>
  </si>
  <si>
    <t>LEVELSWITCH.RDR-12.SWITCH_STATUS</t>
  </si>
  <si>
    <t>LEVELSWITCH.RDR-12.PROOF_TEST_OK</t>
  </si>
  <si>
    <t>LEVELSWITCH.RDR-12.PROOF_TEST_FAILED</t>
  </si>
  <si>
    <t>MOV.ROSOV-23.OPEN_STATUS</t>
  </si>
  <si>
    <t>MOV.ROSOV-23.FAILED_TO_CLOSE</t>
  </si>
  <si>
    <t>MOV.ROSOV-24.OPEN_STATUS</t>
  </si>
  <si>
    <t>MOV.ROSOV-24.FAILED_TO_CLOSE</t>
  </si>
  <si>
    <t>MOV.DBBV-26.OPEN_STATUS</t>
  </si>
  <si>
    <t>MOV.DBBV-26.REMOTE_STATUS</t>
  </si>
  <si>
    <t>MOV.DBBV-27.OPEN_STATUS</t>
  </si>
  <si>
    <t>MOV.DBBV-27.REMOTE_STATUS</t>
  </si>
  <si>
    <t>TK-14</t>
  </si>
  <si>
    <t>TANK.TK-14.LEVEL</t>
  </si>
  <si>
    <t>TANK.TK-14.RECEIPT_PIPELINE_STATUS</t>
  </si>
  <si>
    <t>TANK.TK-14.HIGH_LEVEL</t>
  </si>
  <si>
    <t>TANK.TK-14.TANK_ALERT_ALARM</t>
  </si>
  <si>
    <t>TANK.TK-14.HIGH_HIGH_LEVEL</t>
  </si>
  <si>
    <t>LEVELSWITCH.LSW-13.SWITCH_STATUS</t>
  </si>
  <si>
    <t>LEVELSWITCH.LSW-13.PROOF_TEST_OK</t>
  </si>
  <si>
    <t>LEVELSWITCH.LSW-13.PROOF_TEST_FAILED</t>
  </si>
  <si>
    <t>LEVELSWITCH.RDR-13.SWITCH_STATUS</t>
  </si>
  <si>
    <t>LEVELSWITCH.RDR-13.PROOF_TEST_OK</t>
  </si>
  <si>
    <t>LEVELSWITCH.RDR-13.PROOF_TEST_FAILED</t>
  </si>
  <si>
    <t>MOV.ROSOV-25.OPEN_STATUS</t>
  </si>
  <si>
    <t>MOV.ROSOV-25.FAILED_TO_CLOSE</t>
  </si>
  <si>
    <t>MOV.ROSOV-26.OPEN_STATUS</t>
  </si>
  <si>
    <t>MOV.ROSOV-26.FAILED_TO_CLOSE</t>
  </si>
  <si>
    <t>MOV.DBBV-29.OPEN_STATUS</t>
  </si>
  <si>
    <t>MOV.DBBV-29.REMOTE_STATUS</t>
  </si>
  <si>
    <t>MOV.DBBV-30.OPEN_STATUS</t>
  </si>
  <si>
    <t>MOV.DBBV-30.REMOTE_STATUS</t>
  </si>
  <si>
    <t>TK-15</t>
  </si>
  <si>
    <t>TANK.TK-15.LEVEL</t>
  </si>
  <si>
    <t>TANK.TK-15.RECEIPT_PIPELINE_STATUS</t>
  </si>
  <si>
    <t>TANK.TK-15.HIGH_LEVEL</t>
  </si>
  <si>
    <t>TANK.TK-15.TANK_ALERT_ALARM</t>
  </si>
  <si>
    <t>TANK.TK-15.HIGH_HIGH_LEVEL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</si>
  <si>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</si>
  <si>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</si>
  <si>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</si>
  <si>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</si>
  <si>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</si>
  <si>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</si>
  <si>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MOV.ROSOV-19.OPEN_STATUS</t>
  </si>
  <si>
    <t>MOV.ROSOV-19.FAILED_TO_CLOSE</t>
  </si>
  <si>
    <t>MOV.ROSOV-20.OPEN_STATUS</t>
  </si>
  <si>
    <t>MOV.ROSOV-20.FAILED_TO_CLOSE</t>
  </si>
  <si>
    <t>MOV.DBBV-20.OPEN_STATUS</t>
  </si>
  <si>
    <t>MOV.DBBV-20.REMOTE_STATUS</t>
  </si>
  <si>
    <t>MOV.DBBV-21.OPEN_STATUS</t>
  </si>
  <si>
    <t>MOV.DBBV-21.REMOTE_STATUS</t>
  </si>
  <si>
    <t>RIMSEAL.RIMSEAL-04.FIRE_ALARM</t>
  </si>
  <si>
    <t>RIMSEAL.RIMSEAL-04.DETECTOR_FAULT</t>
  </si>
  <si>
    <t>TK-16</t>
  </si>
  <si>
    <t>UG</t>
  </si>
  <si>
    <t>TANK.TK-16.LEVEL</t>
  </si>
  <si>
    <t>TANK.TK-16.TANK_ALERT_ALARM</t>
  </si>
  <si>
    <t>TK-17</t>
  </si>
  <si>
    <t>TANK.TK-17.LEVEL</t>
  </si>
  <si>
    <t>TANK.TK-17.TANK_ALERT_ALARM</t>
  </si>
  <si>
    <t>TK-18</t>
  </si>
  <si>
    <t>TANK.TK-18.LEVEL</t>
  </si>
  <si>
    <t>TANK.TK-18.TANK_ALERT_ALARM</t>
  </si>
  <si>
    <t>TK-19</t>
  </si>
  <si>
    <t>TANK.TK-19.LEVEL</t>
  </si>
  <si>
    <t>TANK.TK-19.TANK_ALERT_ALARM</t>
  </si>
  <si>
    <t>TK-20</t>
  </si>
  <si>
    <t>TANK.TK-20.LEVEL</t>
  </si>
  <si>
    <t>TANK.TK-20.TANK_ALERT_ALARM</t>
  </si>
  <si>
    <t>MOV ID</t>
  </si>
  <si>
    <t>HDR MOV STATUS</t>
  </si>
  <si>
    <t>HDR MOV REMOTE STATUS</t>
  </si>
  <si>
    <t>HDR MOV MAINTENANCE STATUS</t>
  </si>
  <si>
    <t>TOBV-01_ETHANOL</t>
  </si>
  <si>
    <t>TOBV-01</t>
  </si>
  <si>
    <t>MOV.TOBV-01.OPEN_STATUS</t>
  </si>
  <si>
    <t>MOV.TOBV-01.REMOTE_STATUS</t>
  </si>
  <si>
    <t>MOV.TOBV-01.MAINTENANCE_STATUS</t>
  </si>
  <si>
    <t>TOBV-02_SKO</t>
  </si>
  <si>
    <t>TOBV-02</t>
  </si>
  <si>
    <t>MOV.TOBV-02.OPEN_STATUS</t>
  </si>
  <si>
    <t>MOV.TOBV-02.REMOTE_STATUS</t>
  </si>
  <si>
    <t>MOV.TOBV-02.MAINTENANCE_STATUS</t>
  </si>
  <si>
    <t>TOBV-03_BS VI MS</t>
  </si>
  <si>
    <t>TOBV-03</t>
  </si>
  <si>
    <t>MOV.TOBV-03.OPEN_STATUS</t>
  </si>
  <si>
    <t>MOV.TOBV-03.REMOTE_STATUS</t>
  </si>
  <si>
    <t>MOV.TOBV-03.MAINTENANCE_STATUS</t>
  </si>
  <si>
    <t>TOBV-04_BS VI HSD</t>
  </si>
  <si>
    <t>TOBV-04</t>
  </si>
  <si>
    <t>MOV.TOBV-04.OPEN_STATUS</t>
  </si>
  <si>
    <t>MOV.TOBV-04.REMOTE_STATUS</t>
  </si>
  <si>
    <t>MOV.TOBV-04.MAINTENANCE_STATUS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</si>
  <si>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</si>
  <si>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</si>
  <si>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</si>
  <si>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</si>
  <si>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</si>
  <si>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</si>
  <si>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</si>
  <si>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</si>
  <si>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</si>
  <si>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</si>
  <si>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</si>
  <si>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</si>
  <si>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</si>
  <si>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</si>
  <si>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Sholapur_M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</si>
  <si>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</si>
  <si>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</si>
  <si>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</si>
  <si>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</si>
  <si>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</si>
  <si>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MOV.DBBV-01.MAINTENANCE_STATUS</t>
  </si>
  <si>
    <t>MOV.DBBV-02.MAINTENANCE_STATUS</t>
  </si>
  <si>
    <t>TANK.TK-02.MAINTENANCE_STATUS</t>
  </si>
  <si>
    <t>LEVELSWITCH.LSW-02.MAINTENANCE_STATUS</t>
  </si>
  <si>
    <t>LEVELSWITCH.RDR-02.MAINTENANCE_STATUS</t>
  </si>
  <si>
    <t>MOV.ROSOV-03.MAINTENANCE_STATUS</t>
  </si>
  <si>
    <t>MOV.ROSOV-04.MAINTENANCE_STATUS</t>
  </si>
  <si>
    <t>MOV.DBBV-04.MAINTENANCE_STATUS</t>
  </si>
  <si>
    <t>MOV.DBBV-05.MAINTENANCE_STATUS</t>
  </si>
  <si>
    <t>TANK.TK-03.MAINTENANCE_STATUS</t>
  </si>
  <si>
    <t>LEVELSWITCH.LSW-03.MAINTENANCE_STATUS</t>
  </si>
  <si>
    <t>LEVELSWITCH.RDR-03.MAINTENANCE_STATUS</t>
  </si>
  <si>
    <t>MOV.ROSOV-05.MAINTENANCE_STATUS</t>
  </si>
  <si>
    <t>MOV.ROSOV-06.MAINTENANCE_STATUS</t>
  </si>
  <si>
    <t>MOV.DBBV-07.MAINTENANCE_STATUS</t>
  </si>
  <si>
    <t>MOV.DBBV-08.MAINTENANCE_STATUS</t>
  </si>
  <si>
    <t>TANK.TK-04.MAINTENANCE_STATUS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</si>
  <si>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</si>
  <si>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</si>
  <si>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</si>
  <si>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</si>
  <si>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MOV.DBBV-09.MAINTENANCE_STATUS</t>
  </si>
  <si>
    <t>MOV.DBBV-10.MAINTENANCE_STATUS</t>
  </si>
  <si>
    <t>TANK.TK-05.MAINTENANCE_STATUS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</si>
  <si>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</si>
  <si>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</si>
  <si>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</si>
  <si>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</si>
  <si>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MOV.DBBV-32.MAINTENANCE_STATUS</t>
  </si>
  <si>
    <t>MOV.DBBV-33.MAINTENANCE_STATUS</t>
  </si>
  <si>
    <t>MOV.DBBV-34.MAINTENANCE_STATUS</t>
  </si>
  <si>
    <t>TANK.TK-06.MAINTENANCE_STATUS</t>
  </si>
  <si>
    <t>LEVELSWITCH.LSW-06.MAINTENANCE_STATUS</t>
  </si>
  <si>
    <t>LEVELSWITCH.RDR-06.MAINTENANCE_STATUS</t>
  </si>
  <si>
    <t>MOV.ROSOV-11.MAINTENANCE_STATUS</t>
  </si>
  <si>
    <t>MOV.ROSOV-12.MAINTENANCE_STATUS</t>
  </si>
  <si>
    <t>MOV.DBBV-35.MAINTENANCE_STATUS</t>
  </si>
  <si>
    <t>MOV.DBBV-36.MAINTENANCE_STATUS</t>
  </si>
  <si>
    <t>TANK.TK-07.MAINTENANCE_STATUS</t>
  </si>
  <si>
    <t>LEVELSWITCH.LSW-07.MAINTENANCE_STATUS</t>
  </si>
  <si>
    <t>LEVELSWITCH.RDR-07.MAINTENANCE_STATUS</t>
  </si>
  <si>
    <t>MOV.ROSOV-13.MAINTENANCE_STATUS</t>
  </si>
  <si>
    <t>MOV.ROSOV-14.MAINTENANCE_STATUS</t>
  </si>
  <si>
    <t>MOV.DBBV-11.MAINTENANCE_STATUS</t>
  </si>
  <si>
    <t>MOV.DBBV-12.MAINTENANCE_STATUS</t>
  </si>
  <si>
    <t>TANK.TK-08.MAINTENANCE_STATUS</t>
  </si>
  <si>
    <t>LEVELSWITCH.LSW-08.MAINTENANCE_STATUS</t>
  </si>
  <si>
    <t>LEVELSWITCH.RDR-08.MAINTENANCE_STATUS</t>
  </si>
  <si>
    <t>MOV.ROSOV-15.MAINTENANCE_STATUS</t>
  </si>
  <si>
    <t>MOV.ROSOV-16.MAINTENANCE_STATUS</t>
  </si>
  <si>
    <t>MOV.DBBV-14.MAINTENANCE_STATUS</t>
  </si>
  <si>
    <t>MOV.DBBV-15.MAINTENANCE_STATUS</t>
  </si>
  <si>
    <t>TANK.TK-09.MAINTENANCE_STATUS</t>
  </si>
  <si>
    <t>LEVELSWITCH.LSW-09.MAINTENANCE_STATUS</t>
  </si>
  <si>
    <t>LEVELSWITCH.RDR-09.MAINTENANCE_STATUS</t>
  </si>
  <si>
    <t>MOV.ROSOV-17.MAINTENANCE_STATUS</t>
  </si>
  <si>
    <t>MOV.ROSOV-18.MAINTENANCE_STATUS</t>
  </si>
  <si>
    <t>MOV.DBBV-17.MAINTENANCE_STATUS</t>
  </si>
  <si>
    <t>MOV.DBBV-18.MAINTENANCE_STATUS</t>
  </si>
  <si>
    <t>TANK.TK-12.MAINTENANCE_STATUS</t>
  </si>
  <si>
    <t>LEVELSWITCH.LSW-11.MAINTENANCE_STATUS</t>
  </si>
  <si>
    <t>LEVELSWITCH.RDR-11.MAINTENANCE_STATUS</t>
  </si>
  <si>
    <t>MOV.ROSOV-21.MAINTENANCE_STATUS</t>
  </si>
  <si>
    <t>MOV.ROSOV-22.MAINTENANCE_STATUS</t>
  </si>
  <si>
    <t>MOV.DBBV-23.MAINTENANCE_STATUS</t>
  </si>
  <si>
    <t>MOV.DBBV-24.MAINTENANCE_STATUS</t>
  </si>
  <si>
    <t>TANK.TK-13.MAINTENANCE_STATUS</t>
  </si>
  <si>
    <t>LEVELSWITCH.LSW-12.MAINTENANCE_STATUS</t>
  </si>
  <si>
    <t>LEVELSWITCH.RDR-12.MAINTENANCE_STATUS</t>
  </si>
  <si>
    <t>MOV.ROSOV-23.MAINTENANCE_STATUS</t>
  </si>
  <si>
    <t>MOV.ROSOV-24.MAINTENANCE_STATUS</t>
  </si>
  <si>
    <t>MOV.DBBV-26.MAINTENANCE_STATUS</t>
  </si>
  <si>
    <t>MOV.DBBV-27.MAINTENANCE_STATUS</t>
  </si>
  <si>
    <t>TANK.TK-14.MAINTENANCE_STATUS</t>
  </si>
  <si>
    <t>LEVELSWITCH.LSW-13.MAINTENANCE_STATUS</t>
  </si>
  <si>
    <t>LEVELSWITCH.RDR-13.MAINTENANCE_STATUS</t>
  </si>
  <si>
    <t>MOV.ROSOV-25.MAINTENANCE_STATUS</t>
  </si>
  <si>
    <t>MOV.ROSOV-26.MAINTENANCE_STATUS</t>
  </si>
  <si>
    <t>MOV.DBBV-29.MAINTENANCE_STATUS</t>
  </si>
  <si>
    <t>MOV.DBBV-30.MAINTENANCE_STATUS</t>
  </si>
  <si>
    <t>TANK.TK-15.MAINTENANCE_STATUS</t>
  </si>
  <si>
    <t>LEVELSWITCH.LSW-10.MAINTENANCE_STATUS</t>
  </si>
  <si>
    <t>LEVELSWITCH.RDR-10.MAINTENANCE_STATUS</t>
  </si>
  <si>
    <t>MOV.ROSOV-19.MAINTENANCE_STATUS</t>
  </si>
  <si>
    <t>MOV.ROSOV-20.MAINTENANCE_STATUS</t>
  </si>
  <si>
    <t>MOV.DBBV-20.MAINTENANCE_STATUS</t>
  </si>
  <si>
    <t>MOV.DBBV-21.MAINTENANCE_STATUS</t>
  </si>
  <si>
    <t>TANK.TK-18.MAINTENANCE_STATUS</t>
  </si>
  <si>
    <t>TANK.TK-19.MAINTENANCE_STATUS</t>
  </si>
  <si>
    <t>TANK.TK-20.MAINTENANCE_STATUS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</si>
  <si>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</si>
  <si>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</si>
  <si>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</si>
  <si>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</si>
  <si>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</si>
  <si>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</si>
  <si>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</si>
  <si>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</si>
  <si>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</si>
  <si>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PMP-07</t>
  </si>
  <si>
    <t>ITT_MS_PMP1</t>
  </si>
  <si>
    <t>ITT PUMP HOUSE</t>
  </si>
  <si>
    <t>Both</t>
  </si>
  <si>
    <t>PUMP.PMP-07.ON</t>
  </si>
  <si>
    <t>PUMP.PMP-07.REMOTE_STATUS</t>
  </si>
  <si>
    <t>PUMP.PMP-07.MAINTENANCE_STATUS</t>
  </si>
  <si>
    <t>PMP-08</t>
  </si>
  <si>
    <t>ITT_SKO_PMP2</t>
  </si>
  <si>
    <t>PUMP.PMP-08.ON</t>
  </si>
  <si>
    <t>PUMP.PMP-08.REMOTE_STATUS</t>
  </si>
  <si>
    <t>PUMP.PMP-08.MAINTENANCE_STATUS</t>
  </si>
  <si>
    <t>PMP-09</t>
  </si>
  <si>
    <t>ITT_SKO_PMP3</t>
  </si>
  <si>
    <t>PUMP.PMP-09.ON</t>
  </si>
  <si>
    <t>PUMP.PMP-09.REMOTE_STATUS</t>
  </si>
  <si>
    <t>PUMP.PMP-09.MAINTENANCE_STATUS</t>
  </si>
  <si>
    <t>PMP-24</t>
  </si>
  <si>
    <t>ADTV-PMP-1 POWER</t>
  </si>
  <si>
    <t>TLF PUMP HOUSE</t>
  </si>
  <si>
    <t>TL</t>
  </si>
  <si>
    <t>PUMP.PMP-24.ON</t>
  </si>
  <si>
    <t>PUMP.PMP-24.REMOTE_STATUS</t>
  </si>
  <si>
    <t>PUMP.PMP-24.MAINTENANCE_STATUS</t>
  </si>
  <si>
    <t>PMP-25</t>
  </si>
  <si>
    <t>ADTV-PMP-2 POWER</t>
  </si>
  <si>
    <t>PUMP.PMP-25.ON</t>
  </si>
  <si>
    <t>PUMP.PMP-25.REMOTE_STATUS</t>
  </si>
  <si>
    <t>PUMP.PMP-25.MAINTENANCE_STATUS</t>
  </si>
  <si>
    <t>PMP-26</t>
  </si>
  <si>
    <t>ADTV-PMP-1 TURBO</t>
  </si>
  <si>
    <t>PUMP.PMP-26.ON</t>
  </si>
  <si>
    <t>PUMP.PMP-26.REMOTE_STATUS</t>
  </si>
  <si>
    <t>PUMP.PMP-26.MAINTENANCE_STATUS</t>
  </si>
  <si>
    <t>PMP-27</t>
  </si>
  <si>
    <t>ADTV-PMP-2 TURBO</t>
  </si>
  <si>
    <t>PUMP.PMP-27.ON</t>
  </si>
  <si>
    <t>PUMP.PMP-27.REMOTE_STATUS</t>
  </si>
  <si>
    <t>PUMP.PMP-27.MAINTENANCE_STATUS</t>
  </si>
  <si>
    <t>PMP-28</t>
  </si>
  <si>
    <t>ADTV-PMP-1 BLUEDYE</t>
  </si>
  <si>
    <t>PUMP.PMP-28.ON</t>
  </si>
  <si>
    <t>PUMP.PMP-28.REMOTE_STATUS</t>
  </si>
  <si>
    <t>PUMP.PMP-28.MAINTENANCE_STATUS</t>
  </si>
  <si>
    <t>PMP-29</t>
  </si>
  <si>
    <t>ADTV-PMP-2 BLUEDYE</t>
  </si>
  <si>
    <t>PUMP.PMP-29.ON</t>
  </si>
  <si>
    <t>PUMP.PMP-29.REMOTE_STATUS</t>
  </si>
  <si>
    <t>PUMP.PMP-29.MAINTENANCE_STATUS</t>
  </si>
  <si>
    <t>PMP-31</t>
  </si>
  <si>
    <t>TLF_MS_PMP1</t>
  </si>
  <si>
    <t>PUMP.PMP-31.ON</t>
  </si>
  <si>
    <t>PUMP.PMP-31.REMOTE_STATUS</t>
  </si>
  <si>
    <t>PUMP.PMP-31.MAINTENANCE_STATUS</t>
  </si>
  <si>
    <t>PMP-32</t>
  </si>
  <si>
    <t>TLF_MS_PMP2</t>
  </si>
  <si>
    <t>PUMP.PMP-32.ON</t>
  </si>
  <si>
    <t>PUMP.PMP-32.REMOTE_STATUS</t>
  </si>
  <si>
    <t>PUMP.PMP-32.MAINTENANCE_STATUS</t>
  </si>
  <si>
    <t>PMP-33</t>
  </si>
  <si>
    <t>TLF_MS_PMP3</t>
  </si>
  <si>
    <t>PUMP.PMP-33.ON</t>
  </si>
  <si>
    <t>PUMP.PMP-33.REMOTE_STATUS</t>
  </si>
  <si>
    <t>PUMP.PMP-33.MAINTENANCE_STATUS</t>
  </si>
  <si>
    <t>PMP-34</t>
  </si>
  <si>
    <t>TLF_HSD_PMP1</t>
  </si>
  <si>
    <t>PUMP.PMP-34.ON</t>
  </si>
  <si>
    <t>PUMP.PMP-34.REMOTE_STATUS</t>
  </si>
  <si>
    <t>PUMP.PMP-34.MAINTENANCE_STATUS</t>
  </si>
  <si>
    <t>PMP-35</t>
  </si>
  <si>
    <t>TLF_HSD_PMP2</t>
  </si>
  <si>
    <t>PUMP.PMP-35.ON</t>
  </si>
  <si>
    <t>PUMP.PMP-35.REMOTE_STATUS</t>
  </si>
  <si>
    <t>PUMP.PMP-35.MAINTENANCE_STATUS</t>
  </si>
  <si>
    <t>PMP-36</t>
  </si>
  <si>
    <t>TLF_HSD_PMP3</t>
  </si>
  <si>
    <t>PUMP.PMP-36.ON</t>
  </si>
  <si>
    <t>PUMP.PMP-36.REMOTE_STATUS</t>
  </si>
  <si>
    <t>PUMP.PMP-36.MAINTENANCE_STATUS</t>
  </si>
  <si>
    <t>PMP-37</t>
  </si>
  <si>
    <t>TLF_ETH_PMP_TK14</t>
  </si>
  <si>
    <t>At ETHANOL UG TK 14</t>
  </si>
  <si>
    <t>PUMP.PMP-37.ON</t>
  </si>
  <si>
    <t>PUMP.PMP-37.REMOTE_STATUS</t>
  </si>
  <si>
    <t>PUMP.PMP-37.MAINTENANCE_STATUS</t>
  </si>
  <si>
    <t>PMP-38</t>
  </si>
  <si>
    <t>TLF_ETH_PMP_TK15</t>
  </si>
  <si>
    <t>At ETHANOL UG TK 15</t>
  </si>
  <si>
    <t>PUMP.PMP-38.ON</t>
  </si>
  <si>
    <t>PUMP.PMP-38.REMOTE_STATUS</t>
  </si>
  <si>
    <t>PUMP.PMP-38.MAINTENANCE_STATUS</t>
  </si>
  <si>
    <t>PMP-39</t>
  </si>
  <si>
    <t>TLF_SKO_PMP1</t>
  </si>
  <si>
    <t>PUMP.PMP-39.ON</t>
  </si>
  <si>
    <t>PUMP.PMP-39.REMOTE_STATUS</t>
  </si>
  <si>
    <t>PUMP.PMP-39.MAINTENANCE_STATUS</t>
  </si>
  <si>
    <t>PMP-40</t>
  </si>
  <si>
    <t>TLF_SKO_PMP2</t>
  </si>
  <si>
    <t>PUMP.PMP-40.ON</t>
  </si>
  <si>
    <t>PUMP.PMP-40.REMOTE_STATUS</t>
  </si>
  <si>
    <t>PUMP.PMP-40.MAINTENANCE_STATUS</t>
  </si>
  <si>
    <t>PMP-45</t>
  </si>
  <si>
    <t>TWD_MS_PMP1</t>
  </si>
  <si>
    <t>TWD PUMP HOUSE</t>
  </si>
  <si>
    <t>WL</t>
  </si>
  <si>
    <t>PUMP.PMP-45.ON</t>
  </si>
  <si>
    <t>PUMP.PMP-45.REMOTE_STATUS</t>
  </si>
  <si>
    <t>PUMP.PMP-45.MAINTENANCE_STATUS</t>
  </si>
  <si>
    <t>PMP-46</t>
  </si>
  <si>
    <t>TWD_MS_PMP2</t>
  </si>
  <si>
    <t>PUMP.PMP-46.ON</t>
  </si>
  <si>
    <t>PUMP.PMP-46.REMOTE_STATUS</t>
  </si>
  <si>
    <t>PUMP.PMP-46.MAINTENANCE_STATUS</t>
  </si>
  <si>
    <t>PMP-47</t>
  </si>
  <si>
    <t>TWD_ETH_PMP1</t>
  </si>
  <si>
    <t>PUMP.PMP-47.ON</t>
  </si>
  <si>
    <t>PUMP.PMP-47.REMOTE_STATUS</t>
  </si>
  <si>
    <t>PUMP.PMP-47.MAINTENANCE_STATUS</t>
  </si>
  <si>
    <t>PMP-48</t>
  </si>
  <si>
    <t>TWD_ETH_PMP2</t>
  </si>
  <si>
    <t>PUMP.PMP-48.ON</t>
  </si>
  <si>
    <t>PUMP.PMP-48.REMOTE_STATUS</t>
  </si>
  <si>
    <t>PUMP.PMP-48.MAINTENANCE_STATUS</t>
  </si>
  <si>
    <t>PMP-49</t>
  </si>
  <si>
    <t>TWD_HSD_PMP1</t>
  </si>
  <si>
    <t>PUMP.PMP-49.ON</t>
  </si>
  <si>
    <t>PUMP.PMP-49.REMOTE_STATUS</t>
  </si>
  <si>
    <t>PUMP.PMP-49.MAINTENANCE_STATUS</t>
  </si>
  <si>
    <t>PMP-50</t>
  </si>
  <si>
    <t>TWD_HSD_PMP2</t>
  </si>
  <si>
    <t>PUMP.PMP-50.ON</t>
  </si>
  <si>
    <t>PUMP.PMP-50.REMOTE_STATUS</t>
  </si>
  <si>
    <t>PUMP.PMP-50.MAINTENANCE_STATUS</t>
  </si>
  <si>
    <t>PMP-51</t>
  </si>
  <si>
    <t>TLF_ETH_PMP1_AGTK</t>
  </si>
  <si>
    <t>ITT/ETH PUMP HOUSE</t>
  </si>
  <si>
    <t>PUMP.PMP-51.ON</t>
  </si>
  <si>
    <t>PUMP.PMP-51.REMOTE_STATUS</t>
  </si>
  <si>
    <t>PUMP.PMP-51.MAINTENANCE_STATUS</t>
  </si>
  <si>
    <t>PMP-52</t>
  </si>
  <si>
    <t>TLF_ETH_PMP2_AGTK</t>
  </si>
  <si>
    <t>PUMP.PMP-52.ON</t>
  </si>
  <si>
    <t>PUMP.PMP-52.REMOTE_STATUS</t>
  </si>
  <si>
    <t>PUMP.PMP-52.MAINTENANCE_STATUS</t>
  </si>
  <si>
    <t>PMP-53</t>
  </si>
  <si>
    <t>TLF_ETH_PMP3_AGTK</t>
  </si>
  <si>
    <t>PUMP.PMP-53.ON</t>
  </si>
  <si>
    <t>PUMP.PMP-53.REMOTE_STATUS</t>
  </si>
  <si>
    <t>PUMP.PMP-53.MAINTENANCE_STATUS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</si>
  <si>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</si>
  <si>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</si>
  <si>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</si>
  <si>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</si>
  <si>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</si>
  <si>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</si>
  <si>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</si>
  <si>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</si>
  <si>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</si>
  <si>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</si>
  <si>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</si>
  <si>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</si>
  <si>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</si>
  <si>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</si>
  <si>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</si>
  <si>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</si>
  <si>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</si>
  <si>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HP</t>
  </si>
  <si>
    <t>DISPATCH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</si>
  <si>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</si>
  <si>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</si>
  <si>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</si>
  <si>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</si>
  <si>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</si>
  <si>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</si>
  <si>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</si>
  <si>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</si>
  <si>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</si>
  <si>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</si>
  <si>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</si>
  <si>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</si>
  <si>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</si>
  <si>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</si>
  <si>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</si>
  <si>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</si>
  <si>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</si>
  <si>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</si>
  <si>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</si>
  <si>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</si>
  <si>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</si>
  <si>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</si>
  <si>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</si>
  <si>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</si>
  <si>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</si>
  <si>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</si>
  <si>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</si>
  <si>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</si>
  <si>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</si>
  <si>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</si>
  <si>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</si>
  <si>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</si>
  <si>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</si>
  <si>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</si>
  <si>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</si>
  <si>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</si>
  <si>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</si>
  <si>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</si>
  <si>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</si>
  <si>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</si>
  <si>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 xml:space="preserve">PT-05 </t>
  </si>
  <si>
    <t>WP</t>
  </si>
  <si>
    <t>PT</t>
  </si>
  <si>
    <t>Near FE shed</t>
  </si>
  <si>
    <t>PressureTransmitter.PT-05.MAINTENANCE_STATUS</t>
  </si>
  <si>
    <t>PT-06</t>
  </si>
  <si>
    <t>Near tank 5</t>
  </si>
  <si>
    <t>PressureTransmitter.PT-06.MAINTENANCE_STATUS</t>
  </si>
  <si>
    <t>PT-07</t>
  </si>
  <si>
    <t>Near tank 101D</t>
  </si>
  <si>
    <t>PressureTransmitter.PT-07.MAINTENANCE_STATUS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</si>
  <si>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</si>
  <si>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</si>
  <si>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</si>
  <si>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</si>
  <si>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</si>
  <si>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</si>
  <si>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</si>
  <si>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</si>
  <si>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</si>
  <si>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</si>
  <si>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</si>
  <si>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</si>
  <si>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</si>
  <si>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</si>
  <si>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</si>
  <si>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</si>
  <si>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</si>
  <si>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</si>
  <si>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UPS-03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</si>
  <si>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</si>
  <si>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</si>
  <si>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</si>
  <si>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</si>
  <si>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</si>
  <si>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</si>
  <si>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</si>
  <si>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</si>
  <si>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</si>
  <si>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</si>
  <si>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</si>
  <si>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</si>
  <si>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</si>
  <si>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</si>
  <si>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</si>
  <si>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</si>
  <si>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</si>
  <si>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</si>
  <si>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</si>
  <si>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</si>
  <si>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</si>
  <si>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</si>
  <si>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</si>
  <si>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</si>
  <si>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</si>
  <si>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</si>
  <si>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</si>
  <si>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PLC.SFTPLC.PLCAB_FAIL_SAFE_STATUS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</si>
  <si>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</si>
  <si>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</si>
  <si>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</si>
  <si>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</si>
  <si>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</si>
  <si>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</si>
  <si>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</si>
  <si>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</si>
  <si>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</si>
  <si>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</si>
  <si>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</si>
  <si>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</si>
  <si>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</si>
  <si>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</si>
  <si>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</si>
  <si>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</si>
  <si>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OPENPATH</t>
  </si>
  <si>
    <t>TANK - 05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</si>
  <si>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</si>
  <si>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</si>
  <si>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</si>
  <si>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</si>
  <si>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</si>
  <si>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PLC.SFTPLC.EEFFECT_HOOTER_FOR_HC_CR</t>
  </si>
  <si>
    <t>HDS-02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</si>
  <si>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</si>
  <si>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</si>
  <si>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</si>
  <si>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</si>
  <si>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</si>
  <si>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</si>
  <si>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</si>
  <si>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</si>
  <si>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</si>
  <si>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</si>
  <si>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</si>
  <si>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</si>
  <si>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NEAR TK-101A AND 101C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</si>
  <si>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</si>
  <si>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</si>
  <si>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</si>
  <si>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</si>
  <si>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</si>
  <si>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</si>
  <si>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</si>
  <si>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</si>
  <si>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</si>
  <si>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</si>
  <si>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</si>
  <si>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</si>
  <si>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OMC PLT PUMP HOUSE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</si>
  <si>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</si>
  <si>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</si>
  <si>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</si>
  <si>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</si>
  <si>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</si>
  <si>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</si>
  <si>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TK-101D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</si>
  <si>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</si>
  <si>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</si>
  <si>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</si>
  <si>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</si>
  <si>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</si>
  <si>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</si>
  <si>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FIXEDTYPE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</si>
  <si>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</si>
  <si>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</si>
  <si>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</si>
  <si>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</si>
  <si>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</si>
  <si>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</si>
  <si>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</si>
  <si>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</si>
  <si>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</si>
  <si>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</si>
  <si>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</si>
  <si>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</si>
  <si>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TK-101A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</si>
  <si>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</si>
  <si>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</si>
  <si>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</si>
  <si>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</si>
  <si>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</si>
  <si>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</si>
  <si>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TK-101C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</si>
  <si>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</si>
  <si>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</si>
  <si>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</si>
  <si>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</si>
  <si>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</si>
  <si>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</si>
  <si>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TK-101B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</si>
  <si>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</si>
  <si>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</si>
  <si>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</si>
  <si>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</si>
  <si>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</si>
  <si>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</si>
  <si>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TLF PUMP HOUSE_FIXED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</si>
  <si>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</si>
  <si>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</si>
  <si>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</si>
  <si>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</si>
  <si>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</si>
  <si>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</si>
  <si>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ITT/ETH TLF PUMP HOUSE_FIXED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</si>
  <si>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</si>
  <si>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</si>
  <si>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</si>
  <si>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</si>
  <si>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</si>
  <si>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</si>
  <si>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</si>
  <si>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</si>
  <si>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</si>
  <si>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</si>
  <si>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</si>
  <si>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</si>
  <si>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PLT PUMP HOUSE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</si>
  <si>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</si>
  <si>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</si>
  <si>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</si>
  <si>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</si>
  <si>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</si>
  <si>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HDS-17</t>
  </si>
  <si>
    <t>NEAR TK-03</t>
  </si>
  <si>
    <t>GDS.HDS-17.HYDROCARBON_40_PCT_LEL</t>
  </si>
  <si>
    <t>GDS.HDS-17.HYDROCARBON_20_PCT_LEL</t>
  </si>
  <si>
    <t>GDS.HDS-17.CRITICAL_FAULT_ALARM</t>
  </si>
  <si>
    <t>GDS.HDS-17.MISALIGNMENT_FAULT_ALARM</t>
  </si>
  <si>
    <t>GDS.HDS-17.MAINTENANCE_CALL</t>
  </si>
  <si>
    <t>HDS-39</t>
  </si>
  <si>
    <t>Near Tank no.1</t>
  </si>
  <si>
    <t>GDS.HDS-39.HYDROCARBON_40_PCT_LEL</t>
  </si>
  <si>
    <t>GDS.HDS-39.HYDROCARBON_20_PCT_LEL</t>
  </si>
  <si>
    <t>GDS.HDS-39.CRITICAL_FAULT_ALARM</t>
  </si>
  <si>
    <t>GDS.HDS-39.MISALIGNMENT_FAULT_ALARM</t>
  </si>
  <si>
    <t>GDS.HDS-39.MAINTENANCE_CALL</t>
  </si>
  <si>
    <t>HDS-40</t>
  </si>
  <si>
    <t>Near VRU</t>
  </si>
  <si>
    <t>GDS.HDS-40.HYDROCARBON_40_PCT_LEL</t>
  </si>
  <si>
    <t>GDS.HDS-40.HYDROCARBON_20_PCT_LEL</t>
  </si>
  <si>
    <t>GDS.HDS-40.CRITICAL_FAULT_ALARM</t>
  </si>
  <si>
    <t>GDS.HDS-40.MISALIGNMENT_FAULT_ALARM</t>
  </si>
  <si>
    <t>GDS.HDS-40.MAINTENANCE_CALL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</si>
  <si>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</si>
  <si>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</si>
  <si>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</si>
  <si>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</si>
  <si>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</si>
  <si>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</si>
  <si>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PLC.SFTPLC.EFFECT_HOOTER_FOR_DYKE_FWP_CR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</si>
  <si>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</si>
  <si>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</si>
  <si>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</si>
  <si>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</si>
  <si>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</si>
  <si>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</si>
  <si>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</si>
  <si>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</si>
  <si>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</si>
  <si>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</si>
  <si>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</si>
  <si>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</si>
  <si>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</si>
  <si>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</si>
  <si>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Barrier ID</t>
  </si>
  <si>
    <t>BARRIER GATE OPEN STATUS</t>
  </si>
  <si>
    <t>BARRIER GATE OPEN STATUS Normal value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</si>
  <si>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</si>
  <si>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</si>
  <si>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</si>
  <si>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</si>
  <si>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</si>
  <si>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</si>
  <si>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</si>
  <si>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</si>
  <si>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</si>
  <si>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</si>
  <si>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 STATUS Normal Value</t>
  </si>
  <si>
    <t>HOOTER</t>
  </si>
  <si>
    <t>HOOTER_FIELD_1</t>
  </si>
  <si>
    <t>PLC.SFTPLC.HOOTER_FIELD_1</t>
  </si>
  <si>
    <t>HOOTER_FIELD_2</t>
  </si>
  <si>
    <t>PLC.SFTPLC.HOOTER_FIELD_2</t>
  </si>
  <si>
    <t>HOOTER_FIELD_3</t>
  </si>
  <si>
    <t>PLC.SFTPLC.HOOTER_FIELD_3</t>
  </si>
  <si>
    <t>HOOTER_FIELD_4</t>
  </si>
  <si>
    <t>PLC.SFTPLC.HOOTER_FIELD_4</t>
  </si>
  <si>
    <t>HOOTER_FIELD_5</t>
  </si>
  <si>
    <t>PLC.SFTPLC.HOOTER_FIELD_5</t>
  </si>
  <si>
    <t>HOOTER_FIELD_6</t>
  </si>
  <si>
    <t>PLC.SFTPLC.HOOTER_FIELD_6</t>
  </si>
  <si>
    <t>HOOTER_FIELD_7</t>
  </si>
  <si>
    <t>PLC.SFTPLC.HOOTER_FIELD_7</t>
  </si>
  <si>
    <t>HOOTER_FIELD_8</t>
  </si>
  <si>
    <t>PLC.SFTPLC.HOOTER_FIELD_8</t>
  </si>
  <si>
    <t>HOOTER_FIELD_9</t>
  </si>
  <si>
    <t>PLC.SFTPLC.HOOTER_FIELD_9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</si>
  <si>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</si>
  <si>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</si>
  <si>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</si>
  <si>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</si>
  <si>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</si>
  <si>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</si>
  <si>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</si>
  <si>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</si>
  <si>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</si>
  <si>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</si>
  <si>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</si>
  <si>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</si>
  <si>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</si>
  <si>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</si>
  <si>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</si>
  <si>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</si>
  <si>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</si>
  <si>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</si>
  <si>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</si>
  <si>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</si>
  <si>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</si>
  <si>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</si>
  <si>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</si>
  <si>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</si>
  <si>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</si>
  <si>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</si>
  <si>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</si>
  <si>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</si>
  <si>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</si>
  <si>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ESDPB-01</t>
  </si>
  <si>
    <t>SECURITY ROOM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</si>
  <si>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</si>
  <si>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</si>
  <si>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</si>
  <si>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</si>
  <si>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</si>
  <si>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</si>
  <si>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</si>
  <si>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</si>
  <si>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PLC.SFTPLC.ESD_STATUS_TO_PROCESS_PLC</t>
  </si>
  <si>
    <t>PLC.SFTPLC.EFFECT_SIREN_ACTIVATED</t>
  </si>
  <si>
    <t>PLC.SFTPLC.EFFECT_HOOTER_FOR_ESD_CR</t>
  </si>
  <si>
    <t>PLC.SFTPLC.EFFECT_POWER_ESD_ACTI</t>
  </si>
  <si>
    <t>ESD-02</t>
  </si>
  <si>
    <t>ESDPB-02</t>
  </si>
  <si>
    <t>OUTSIDE CONTROL ROOM</t>
  </si>
  <si>
    <t>ESD.ESD-02.ESD_STATUS</t>
  </si>
  <si>
    <t>ESD.ESD-02.MAINTENANCE_STATUS</t>
  </si>
  <si>
    <t>ESD-03</t>
  </si>
  <si>
    <t>ESDPB-03</t>
  </si>
  <si>
    <t>TLF GANTRY AREA</t>
  </si>
  <si>
    <t>ESD.ESD-03.ESD_STATUS</t>
  </si>
  <si>
    <t>ESD.ESD-03.MAINTENANCE_STATUS</t>
  </si>
  <si>
    <t>ESD-04</t>
  </si>
  <si>
    <t>ESDPB-04</t>
  </si>
  <si>
    <t>ESD.ESD-04.ESD_STATUS</t>
  </si>
  <si>
    <t>ESD.ESD-04.MAINTENANCE_STATUS</t>
  </si>
  <si>
    <t>ESD-05</t>
  </si>
  <si>
    <t>ESDPB-05</t>
  </si>
  <si>
    <t>ESD.ESD-05.ESD_STATUS</t>
  </si>
  <si>
    <t>ESD.ESD-05.MAINTENANCE_STATUS</t>
  </si>
  <si>
    <t>ESD-06</t>
  </si>
  <si>
    <t>ESDPB-06</t>
  </si>
  <si>
    <t>B/W TANK 01 &amp; 03</t>
  </si>
  <si>
    <t>ESD.ESD-06.ESD_STATUS</t>
  </si>
  <si>
    <t>ESD.ESD-06.MAINTENANCE_STATUS</t>
  </si>
  <si>
    <t>ESD-07</t>
  </si>
  <si>
    <t>ESDPB-07</t>
  </si>
  <si>
    <t>NEAR TANK 04</t>
  </si>
  <si>
    <t>ESD.ESD-07.ESD_STATUS</t>
  </si>
  <si>
    <t>ESD.ESD-07.MAINTENANCE_STATUS</t>
  </si>
  <si>
    <t>ESD-08</t>
  </si>
  <si>
    <t>ESDPB-08</t>
  </si>
  <si>
    <t>NEAR TANK 101C</t>
  </si>
  <si>
    <t>ESD.ESD-08.ESD_STATUS</t>
  </si>
  <si>
    <t>ESD.ESD-08.MAINTENANCE_STATUS</t>
  </si>
  <si>
    <t>ESD-09</t>
  </si>
  <si>
    <t>ESDPB-09</t>
  </si>
  <si>
    <t>NEAR TANK 102A/B DYKE VALVE</t>
  </si>
  <si>
    <t>ESD.ESD-09.ESD_STATUS</t>
  </si>
  <si>
    <t>ESD.ESD-09.MAINTENANCE_STATUS</t>
  </si>
  <si>
    <t>ESD-10</t>
  </si>
  <si>
    <t>ESDPB-10</t>
  </si>
  <si>
    <t>NEAR TANK 101D</t>
  </si>
  <si>
    <t>ESD.ESD-10.ESD_STATUS</t>
  </si>
  <si>
    <t>ESD.ESD-10.MAINTENANCE_STATUS</t>
  </si>
  <si>
    <t>ESD-11</t>
  </si>
  <si>
    <t>ESDPB-11</t>
  </si>
  <si>
    <t>ESD.ESD-11.ESD_STATUS</t>
  </si>
  <si>
    <t>ESD.ESD-11.MAINTENANCE_STATUS</t>
  </si>
  <si>
    <t>ESD-12</t>
  </si>
  <si>
    <t>ESDPB-12</t>
  </si>
  <si>
    <t>INSIDE CONTROL ROOM</t>
  </si>
  <si>
    <t>ESD.ESD-12.ESD_STATUS</t>
  </si>
  <si>
    <t>ESD.ESD-12.MAINTENANCE_STATUS</t>
  </si>
  <si>
    <t>ESD-13</t>
  </si>
  <si>
    <t>ESDPB-13</t>
  </si>
  <si>
    <t>AT LIC's ROOM</t>
  </si>
  <si>
    <t>ESD.ESD-13.ESD_STATUS</t>
  </si>
  <si>
    <t>ESD.ESD-13.MAINTENANCE_STATUS</t>
  </si>
  <si>
    <t>ESD-16</t>
  </si>
  <si>
    <t>ESD-CENTRAL</t>
  </si>
  <si>
    <t>CENTRAL ESD</t>
  </si>
  <si>
    <t>ESD.ESD-16.ESD_STATUS</t>
  </si>
  <si>
    <t>ESD-17</t>
  </si>
  <si>
    <t>ESD-PIPELINE</t>
  </si>
  <si>
    <t>PIPELINE ESD</t>
  </si>
  <si>
    <t>ESD.ESD-17.ESD_STATUS</t>
  </si>
  <si>
    <t>ESD-18</t>
  </si>
  <si>
    <t>ESDPB-18</t>
  </si>
  <si>
    <t>RAILWAY SIDEING ESD</t>
  </si>
  <si>
    <t>ESD.ESD-18.ESD_STATUS</t>
  </si>
  <si>
    <t>ESD.ESD-18.MAINTENANCE_STATUS</t>
  </si>
  <si>
    <t>ESD-BPCL</t>
  </si>
  <si>
    <t>BPCL CENTRAL ESD</t>
  </si>
  <si>
    <t>ESD.ESD-BPCL.ESD_STATUS</t>
  </si>
  <si>
    <t>ESD-IOCL</t>
  </si>
  <si>
    <t>IOCL CENTRAL ESD</t>
  </si>
  <si>
    <t>ESD.ESD-IOCL.ESD_STATUS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</si>
  <si>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</si>
  <si>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</si>
  <si>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</si>
  <si>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</si>
  <si>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</si>
  <si>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</si>
  <si>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</si>
  <si>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</si>
  <si>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</si>
  <si>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</si>
  <si>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</si>
  <si>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</si>
  <si>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</si>
  <si>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</si>
  <si>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</si>
  <si>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</si>
  <si>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</si>
  <si>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</si>
  <si>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</si>
  <si>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</si>
  <si>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</si>
  <si>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</si>
  <si>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</si>
  <si>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</si>
  <si>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</si>
  <si>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</si>
  <si>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</si>
  <si>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BC-01-LP01</t>
  </si>
  <si>
    <t>SmartLoad-Dual.BC-01-LP01.EARTH_ALARM_STATUS</t>
  </si>
  <si>
    <t>SmartLoad-Dual.BC-01-LP01.NO_FLOW_ALARM_STATUS_M1</t>
  </si>
  <si>
    <t>SmartLoad-Dual.BC-01-LP01.NO_FLOW_ALARM_STATUS_M2</t>
  </si>
  <si>
    <t>SmartLoad-Dual.BC-01-LP01.LOW_FLOW_ALARM_STATUS_M1</t>
  </si>
  <si>
    <t>SmartLoad-Dual.BC-01-LP01.LOW_FLOW_ALARM_STATUS_M2</t>
  </si>
  <si>
    <t>SmartLoad-Dual.BC-01-LP01.HIGH_FLOW_ALARM_STATUS_M1</t>
  </si>
  <si>
    <t>SmartLoad-Dual.BC-01-LP01.HIGH_FLOW_ALARM_STATUS_M2</t>
  </si>
  <si>
    <t>SmartLoad-Dual.BC-01-LP01.UNAUTHORIZE_FLOW_ALARM_STATUS_M1</t>
  </si>
  <si>
    <t>SmartLoad-Dual.BC-01-LP01.METER_OVERRUN_ALARM_STATUS_M1</t>
  </si>
  <si>
    <t>SmartLoad-Dual.BC-01-LP01.BLEND_OVERDOSE_ALARM_STATUS</t>
  </si>
  <si>
    <t>SmartLoad-Dual.BC-01-LP01.BLEND_UNDERDOSE_ALARM_STATUS</t>
  </si>
  <si>
    <t>SmartLoad-Dual.BC-01-LP01.ADDITIVE_OVERDOSE_ALARM_STATUS</t>
  </si>
  <si>
    <t>SmartLoad-Dual.BC-01-LP01.ADDITIVE_UNDERDOSE_ALARM_STATUS</t>
  </si>
  <si>
    <t>SmartLoad-Dual.BC-01-LP01.BATCH_STATUS</t>
  </si>
  <si>
    <t>SmartLoad-Dual.BC-01-LP01.NOMINAL_ARM1_COMP1_KFACTOR_CHANGED</t>
  </si>
  <si>
    <t>SmartLoad-Dual.BC-01-LP01.NOMINAL_ARM1_COMP2_KFACTOR_CHANGED</t>
  </si>
  <si>
    <t>SmartLoad-Dual.BC-01-LP01.MFM_BCU_QTY_BEYOND_TOLERANCE_LIMIT_STATUS</t>
  </si>
  <si>
    <t>SmartLoad-Dual.BC-01-LP01.BCU_C1_TOTALIZER_MISMATCH_ALARM</t>
  </si>
  <si>
    <t>SmartLoad-Dual.BC-01-LP01.BCU_C2_TOTALIZER_MISMATCH_ALARM</t>
  </si>
  <si>
    <t>LP 02</t>
  </si>
  <si>
    <t>BC-01-LP02</t>
  </si>
  <si>
    <t>SmartLoad-Dual.BC-01-LP02.EARTH_ALARM_STATUS</t>
  </si>
  <si>
    <t>SmartLoad-Dual.BC-01-LP02.NO_FLOW_ALARM_STATUS_M3</t>
  </si>
  <si>
    <t>SmartLoad-Dual.BC-01-LP02.LOW_FLOW_ALARM_STATUS_M3</t>
  </si>
  <si>
    <t>SmartLoad-Dual.BC-01-LP02.HIGH_FLOW_ALARM_STATUS_M3</t>
  </si>
  <si>
    <t>SmartLoad-Dual.BC-01-LP02.UNAUTHORIZE_FLOW_ALARM_STATUS_M3</t>
  </si>
  <si>
    <t>SmartLoad-Dual.BC-01-LP02.METER_OVERRUN_ALARM_STATUS_M3</t>
  </si>
  <si>
    <t>SmartLoad-Dual.BC-01-LP02.BLEND_OVERDOSE_ALARM_STATUS</t>
  </si>
  <si>
    <t>SmartLoad-Dual.BC-01-LP02.BLEND_UNDERDOSE_ALARM_STATUS</t>
  </si>
  <si>
    <t>SmartLoad-Dual.BC-01-LP02.ADDITIVE_OVERDOSE_ALARM_STATUS</t>
  </si>
  <si>
    <t>SmartLoad-Dual.BC-01-LP02.ADDITIVE_UNDERDOSE_ALARM_STATUS</t>
  </si>
  <si>
    <t>SmartLoad-Dual.BC-01-LP02.BATCH_STATUS</t>
  </si>
  <si>
    <t>SmartLoad-Dual.BC-01-LP02.NOMINAL_ARM2_COMP1_KFACTOR_CHANGED</t>
  </si>
  <si>
    <t>SmartLoad-Dual.BC-01-LP02.MFM_BCU_QTY_BEYOND_TOLERANCE_LIMIT_STATUS</t>
  </si>
  <si>
    <t>SmartLoad-Dual.BC-01-LP02.BCU_C3_TOTALIZER_MISMATCH_ALARM</t>
  </si>
  <si>
    <t>LP 03</t>
  </si>
  <si>
    <t>BC-02-LP01</t>
  </si>
  <si>
    <t>SmartLoad-Dual.BC-02-LP01.EARTH_ALARM_STATUS</t>
  </si>
  <si>
    <t>SmartLoad-Dual.BC-02-LP01.NO_FLOW_ALARM_STATUS_M1</t>
  </si>
  <si>
    <t>SmartLoad-Dual.BC-02-LP01.NO_FLOW_ALARM_STATUS_M2</t>
  </si>
  <si>
    <t>SmartLoad-Dual.BC-02-LP01.LOW_FLOW_ALARM_STATUS_M1</t>
  </si>
  <si>
    <t>SmartLoad-Dual.BC-02-LP01.LOW_FLOW_ALARM_STATUS_M2</t>
  </si>
  <si>
    <t>SmartLoad-Dual.BC-02-LP01.HIGH_FLOW_ALARM_STATUS_M1</t>
  </si>
  <si>
    <t>SmartLoad-Dual.BC-02-LP01.HIGH_FLOW_ALARM_STATUS_M2</t>
  </si>
  <si>
    <t>SmartLoad-Dual.BC-02-LP01.UNAUTHORIZE_FLOW_ALARM_STATUS_M1</t>
  </si>
  <si>
    <t>SmartLoad-Dual.BC-02-LP01.METER_OVERRUN_ALARM_STATUS_M1</t>
  </si>
  <si>
    <t>SmartLoad-Dual.BC-02-LP01.BLEND_OVERDOSE_ALARM_STATUS</t>
  </si>
  <si>
    <t>SmartLoad-Dual.BC-02-LP01.BLEND_UNDERDOSE_ALARM_STATUS</t>
  </si>
  <si>
    <t>SmartLoad-Dual.BC-02-LP01.ADDITIVE_OVERDOSE_ALARM_STATUS</t>
  </si>
  <si>
    <t>SmartLoad-Dual.BC-02-LP01.ADDITIVE_UNDERDOSE_ALARM_STATUS</t>
  </si>
  <si>
    <t>SmartLoad-Dual.BC-02-LP01.BATCH_STATUS</t>
  </si>
  <si>
    <t>SmartLoad-Dual.BC-02-LP01.NOMINAL_ARM1_COMP1_KFACTOR_CHANGED</t>
  </si>
  <si>
    <t>SmartLoad-Dual.BC-02-LP01.NOMINAL_ARM1_COMP2_KFACTOR_CHANGED</t>
  </si>
  <si>
    <t>SmartLoad-Dual.BC-02-LP01.MFM_BCU_QTY_BEYOND_TOLERANCE_LIMIT_STATUS</t>
  </si>
  <si>
    <t>SmartLoad-Dual.BC-02-LP01.BCU_C1_TOTALIZER_MISMATCH_ALARM</t>
  </si>
  <si>
    <t>SmartLoad-Dual.BC-02-LP01.BCU_C2_TOTALIZER_MISMATCH_ALARM</t>
  </si>
  <si>
    <t>LP 04</t>
  </si>
  <si>
    <t>BC-02-LP02</t>
  </si>
  <si>
    <t>SmartLoad-Dual.BC-02-LP02.EARTH_ALARM_STATUS</t>
  </si>
  <si>
    <t>SmartLoad-Dual.BC-02-LP02.NO_FLOW_ALARM_STATUS_M3</t>
  </si>
  <si>
    <t>SmartLoad-Dual.BC-02-LP02.LOW_FLOW_ALARM_STATUS_M3</t>
  </si>
  <si>
    <t>SmartLoad-Dual.BC-02-LP02.HIGH_FLOW_ALARM_STATUS_M3</t>
  </si>
  <si>
    <t>SmartLoad-Dual.BC-02-LP02.UNAUTHORIZE_FLOW_ALARM_STATUS_M3</t>
  </si>
  <si>
    <t>SmartLoad-Dual.BC-02-LP02.METER_OVERRUN_ALARM_STATUS_M3</t>
  </si>
  <si>
    <t>SmartLoad-Dual.BC-02-LP02.BLEND_OVERDOSE_ALARM_STATUS</t>
  </si>
  <si>
    <t>SmartLoad-Dual.BC-02-LP02.BLEND_UNDERDOSE_ALARM_STATUS</t>
  </si>
  <si>
    <t>SmartLoad-Dual.BC-02-LP02.ADDITIVE_OVERDOSE_ALARM_STATUS</t>
  </si>
  <si>
    <t>SmartLoad-Dual.BC-02-LP02.ADDITIVE_UNDERDOSE_ALARM_STATUS</t>
  </si>
  <si>
    <t>SmartLoad-Dual.BC-02-LP02.BATCH_STATUS</t>
  </si>
  <si>
    <t>SmartLoad-Dual.BC-02-LP02.NOMINAL_ARM2_COMP1_KFACTOR_CHANGED</t>
  </si>
  <si>
    <t>SmartLoad-Dual.BC-02-LP02.MFM_BCU_QTY_BEYOND_TOLERANCE_LIMIT_STATUS</t>
  </si>
  <si>
    <t>SmartLoad-Dual.BC-02-LP02.BCU_C3_TOTALIZER_MISMATCH_ALARM</t>
  </si>
  <si>
    <t>LP 05</t>
  </si>
  <si>
    <t>BC-03-LP01</t>
  </si>
  <si>
    <t>SmartLoad-Dual.BC-03-LP01.EARTH_ALARM_STATUS</t>
  </si>
  <si>
    <t>SmartLoad-Dual.BC-03-LP01.NO_FLOW_ALARM_STATUS_M1</t>
  </si>
  <si>
    <t>SmartLoad-Dual.BC-03-LP01.NO_FLOW_ALARM_STATUS_M2</t>
  </si>
  <si>
    <t>SmartLoad-Dual.BC-03-LP01.LOW_FLOW_ALARM_STATUS_M1</t>
  </si>
  <si>
    <t>SmartLoad-Dual.BC-03-LP01.LOW_FLOW_ALARM_STATUS_M2</t>
  </si>
  <si>
    <t>SmartLoad-Dual.BC-03-LP01.HIGH_FLOW_ALARM_STATUS_M1</t>
  </si>
  <si>
    <t>SmartLoad-Dual.BC-03-LP01.HIGH_FLOW_ALARM_STATUS_M2</t>
  </si>
  <si>
    <t>SmartLoad-Dual.BC-03-LP01.UNAUTHORIZE_FLOW_ALARM_STATUS_M1</t>
  </si>
  <si>
    <t>SmartLoad-Dual.BC-03-LP01.METER_OVERRUN_ALARM_STATUS_M1</t>
  </si>
  <si>
    <t>SmartLoad-Dual.BC-03-LP01.BLEND_OVERDOSE_ALARM_STATUS</t>
  </si>
  <si>
    <t>SmartLoad-Dual.BC-03-LP01.BLEND_UNDERDOSE_ALARM_STATUS</t>
  </si>
  <si>
    <t>SmartLoad-Dual.BC-03-LP01.ADDITIVE_OVERDOSE_ALARM_STATUS</t>
  </si>
  <si>
    <t>SmartLoad-Dual.BC-03-LP01.ADDITIVE_UNDERDOSE_ALARM_STATUS</t>
  </si>
  <si>
    <t>SmartLoad-Dual.BC-03-LP01.BATCH_STATUS</t>
  </si>
  <si>
    <t>SmartLoad-Dual.BC-03-LP01.NOMINAL_ARM1_COMP1_KFACTOR_CHANGED</t>
  </si>
  <si>
    <t>SmartLoad-Dual.BC-03-LP01.NOMINAL_ARM1_COMP2_KFACTOR_CHANGED</t>
  </si>
  <si>
    <t>SmartLoad-Dual.BC-03-LP01.MFM_BCU_QTY_BEYOND_TOLERANCE_LIMIT_STATUS</t>
  </si>
  <si>
    <t>SmartLoad-Dual.BC-03-LP01.BCU_C1_TOTALIZER_MISMATCH_ALARM</t>
  </si>
  <si>
    <t>SmartLoad-Dual.BC-03-LP01.BCU_C2_TOTALIZER_MISMATCH_ALARM</t>
  </si>
  <si>
    <t>LP 06</t>
  </si>
  <si>
    <t>BC-03-LP02</t>
  </si>
  <si>
    <t>SmartLoad-Dual.BC-03-LP02.EARTH_ALARM_STATUS</t>
  </si>
  <si>
    <t>SmartLoad-Dual.BC-03-LP02.NO_FLOW_ALARM_STATUS_M3</t>
  </si>
  <si>
    <t>SmartLoad-Dual.BC-03-LP02.LOW_FLOW_ALARM_STATUS_M3</t>
  </si>
  <si>
    <t>SmartLoad-Dual.BC-03-LP02.HIGH_FLOW_ALARM_STATUS_M3</t>
  </si>
  <si>
    <t>SmartLoad-Dual.BC-03-LP02.UNAUTHORIZE_FLOW_ALARM_STATUS_M3</t>
  </si>
  <si>
    <t>SmartLoad-Dual.BC-03-LP02.METER_OVERRUN_ALARM_STATUS_M3</t>
  </si>
  <si>
    <t>SmartLoad-Dual.BC-03-LP02.BLEND_OVERDOSE_ALARM_STATUS</t>
  </si>
  <si>
    <t>SmartLoad-Dual.BC-03-LP02.BLEND_UNDERDOSE_ALARM_STATUS</t>
  </si>
  <si>
    <t>SmartLoad-Dual.BC-03-LP02.ADDITIVE_OVERDOSE_ALARM_STATUS</t>
  </si>
  <si>
    <t>SmartLoad-Dual.BC-03-LP02.ADDITIVE_UNDERDOSE_ALARM_STATUS</t>
  </si>
  <si>
    <t>SmartLoad-Dual.BC-03-LP02.BATCH_STATUS</t>
  </si>
  <si>
    <t>SmartLoad-Dual.BC-03-LP02.NOMINAL_ARM2_COMP1_KFACTOR_CHANGED</t>
  </si>
  <si>
    <t>SmartLoad-Dual.BC-03-LP02.MFM_BCU_QTY_BEYOND_TOLERANCE_LIMIT_STATUS</t>
  </si>
  <si>
    <t>SmartLoad-Dual.BC-03-LP02.BCU_C3_TOTALIZER_MISMATCH_ALARM</t>
  </si>
  <si>
    <t>LP 07</t>
  </si>
  <si>
    <t>BC-04-LP01</t>
  </si>
  <si>
    <t>SmartLoad-Dual.BC-04-LP01.EARTH_ALARM_STATUS</t>
  </si>
  <si>
    <t>SmartLoad-Dual.BC-04-LP01.NO_FLOW_ALARM_STATUS_M1</t>
  </si>
  <si>
    <t>SmartLoad-Dual.BC-04-LP01.NO_FLOW_ALARM_STATUS_M2</t>
  </si>
  <si>
    <t>SmartLoad-Dual.BC-04-LP01.LOW_FLOW_ALARM_STATUS_M1</t>
  </si>
  <si>
    <t>SmartLoad-Dual.BC-04-LP01.LOW_FLOW_ALARM_STATUS_M2</t>
  </si>
  <si>
    <t>SmartLoad-Dual.BC-04-LP01.HIGH_FLOW_ALARM_STATUS_M1</t>
  </si>
  <si>
    <t>SmartLoad-Dual.BC-04-LP01.HIGH_FLOW_ALARM_STATUS_M2</t>
  </si>
  <si>
    <t>SmartLoad-Dual.BC-04-LP01.UNAUTHORIZE_FLOW_ALARM_STATUS_M1</t>
  </si>
  <si>
    <t>SmartLoad-Dual.BC-04-LP01.METER_OVERRUN_ALARM_STATUS_M1</t>
  </si>
  <si>
    <t>SmartLoad-Dual.BC-04-LP01.BLEND_OVERDOSE_ALARM_STATUS</t>
  </si>
  <si>
    <t>SmartLoad-Dual.BC-04-LP01.BLEND_UNDERDOSE_ALARM_STATUS</t>
  </si>
  <si>
    <t>SmartLoad-Dual.BC-04-LP01.ADDITIVE_OVERDOSE_ALARM_STATUS</t>
  </si>
  <si>
    <t>SmartLoad-Dual.BC-04-LP01.ADDITIVE_UNDERDOSE_ALARM_STATUS</t>
  </si>
  <si>
    <t>SmartLoad-Dual.BC-04-LP01.BATCH_STATUS</t>
  </si>
  <si>
    <t>SmartLoad-Dual.BC-04-LP01.NOMINAL_ARM1_COMP1_KFACTOR_CHANGED</t>
  </si>
  <si>
    <t>SmartLoad-Dual.BC-04-LP01.NOMINAL_ARM1_COMP2_KFACTOR_CHANGED</t>
  </si>
  <si>
    <t>SmartLoad-Dual.BC-04-LP01.MFM_BCU_QTY_BEYOND_TOLERANCE_LIMIT_STATUS</t>
  </si>
  <si>
    <t>SmartLoad-Dual.BC-04-LP01.BCU_C1_TOTALIZER_MISMATCH_ALARM</t>
  </si>
  <si>
    <t>SmartLoad-Dual.BC-04-LP01.BCU_C2_TOTALIZER_MISMATCH_ALARM</t>
  </si>
  <si>
    <t>LP 08</t>
  </si>
  <si>
    <t>BC-04-LP02</t>
  </si>
  <si>
    <t>SmartLoad-Dual.BC-04-LP02.EARTH_ALARM_STATUS</t>
  </si>
  <si>
    <t>SmartLoad-Dual.BC-04-LP02.NO_FLOW_ALARM_STATUS_M3</t>
  </si>
  <si>
    <t>SmartLoad-Dual.BC-04-LP02.LOW_FLOW_ALARM_STATUS_M3</t>
  </si>
  <si>
    <t>SmartLoad-Dual.BC-04-LP02.HIGH_FLOW_ALARM_STATUS_M3</t>
  </si>
  <si>
    <t>SmartLoad-Dual.BC-04-LP02.UNAUTHORIZE_FLOW_ALARM_STATUS_M3</t>
  </si>
  <si>
    <t>SmartLoad-Dual.BC-04-LP02.METER_OVERRUN_ALARM_STATUS_M3</t>
  </si>
  <si>
    <t>SmartLoad-Dual.BC-04-LP02.BLEND_OVERDOSE_ALARM_STATUS</t>
  </si>
  <si>
    <t>SmartLoad-Dual.BC-04-LP02.BLEND_UNDERDOSE_ALARM_STATUS</t>
  </si>
  <si>
    <t>SmartLoad-Dual.BC-04-LP02.ADDITIVE_OVERDOSE_ALARM_STATUS</t>
  </si>
  <si>
    <t>SmartLoad-Dual.BC-04-LP02.ADDITIVE_UNDERDOSE_ALARM_STATUS</t>
  </si>
  <si>
    <t>SmartLoad-Dual.BC-04-LP02.BATCH_STATUS</t>
  </si>
  <si>
    <t>SmartLoad-Dual.BC-04-LP02.NOMINAL_ARM2_COMP1_KFACTOR_CHANGED</t>
  </si>
  <si>
    <t>SmartLoad-Dual.BC-04-LP02.MFM_BCU_QTY_BEYOND_TOLERANCE_LIMIT_STATUS</t>
  </si>
  <si>
    <t>SmartLoad-Dual.BC-04-LP02.BCU_C3_TOTALIZER_MISMATCH_ALARM</t>
  </si>
  <si>
    <t>LP 09</t>
  </si>
  <si>
    <t>BC-05-LP01</t>
  </si>
  <si>
    <t>SmartLoad-Dual.BC-05-LP01.EARTH_ALARM_STATUS</t>
  </si>
  <si>
    <t>SmartLoad-Dual.BC-05-LP01.NO_FLOW_ALARM_STATUS_M1</t>
  </si>
  <si>
    <t>SmartLoad-Dual.BC-05-LP01.NO_FLOW_ALARM_STATUS_M2</t>
  </si>
  <si>
    <t>SmartLoad-Dual.BC-05-LP01.LOW_FLOW_ALARM_STATUS_M1</t>
  </si>
  <si>
    <t>SmartLoad-Dual.BC-05-LP01.LOW_FLOW_ALARM_STATUS_M2</t>
  </si>
  <si>
    <t>SmartLoad-Dual.BC-05-LP01.HIGH_FLOW_ALARM_STATUS_M1</t>
  </si>
  <si>
    <t>SmartLoad-Dual.BC-05-LP01.HIGH_FLOW_ALARM_STATUS_M2</t>
  </si>
  <si>
    <t>SmartLoad-Dual.BC-05-LP01.UNAUTHORIZE_FLOW_ALARM_STATUS_M1</t>
  </si>
  <si>
    <t>SmartLoad-Dual.BC-05-LP01.METER_OVERRUN_ALARM_STATUS_M1</t>
  </si>
  <si>
    <t>SmartLoad-Dual.BC-05-LP01.BLEND_OVERDOSE_ALARM_STATUS</t>
  </si>
  <si>
    <t>SmartLoad-Dual.BC-05-LP01.BLEND_UNDERDOSE_ALARM_STATUS</t>
  </si>
  <si>
    <t>SmartLoad-Dual.BC-05-LP01.ADDITIVE_OVERDOSE_ALARM_STATUS</t>
  </si>
  <si>
    <t>SmartLoad-Dual.BC-05-LP01.ADDITIVE_UNDERDOSE_ALARM_STATUS</t>
  </si>
  <si>
    <t>SmartLoad-Dual.BC-05-LP01.BATCH_STATUS</t>
  </si>
  <si>
    <t>SmartLoad-Dual.BC-05-LP01.NOMINAL_ARM1_COMP1_KFACTOR_CHANGED</t>
  </si>
  <si>
    <t>SmartLoad-Dual.BC-05-LP01.NOMINAL_ARM1_COMP2_KFACTOR_CHANGED</t>
  </si>
  <si>
    <t>SmartLoad-Dual.BC-05-LP01.MFM_BCU_QTY_BEYOND_TOLERANCE_LIMIT_STATUS</t>
  </si>
  <si>
    <t>SmartLoad-Dual.BC-05-LP01.BCU_C1_TOTALIZER_MISMATCH_ALARM</t>
  </si>
  <si>
    <t>SmartLoad-Dual.BC-05-LP01.BCU_C2_TOTALIZER_MISMATCH_ALARM</t>
  </si>
  <si>
    <t>LP 10</t>
  </si>
  <si>
    <t>BC-05-LP02</t>
  </si>
  <si>
    <t>SmartLoad-Dual.BC-05-LP02.EARTH_ALARM_STATUS</t>
  </si>
  <si>
    <t>SmartLoad-Dual.BC-05-LP02.NO_FLOW_ALARM_STATUS_M3</t>
  </si>
  <si>
    <t>SmartLoad-Dual.BC-05-LP02.LOW_FLOW_ALARM_STATUS_M3</t>
  </si>
  <si>
    <t>SmartLoad-Dual.BC-05-LP02.HIGH_FLOW_ALARM_STATUS_M3</t>
  </si>
  <si>
    <t>SmartLoad-Dual.BC-05-LP02.UNAUTHORIZE_FLOW_ALARM_STATUS_M3</t>
  </si>
  <si>
    <t>SmartLoad-Dual.BC-05-LP02.METER_OVERRUN_ALARM_STATUS_M3</t>
  </si>
  <si>
    <t>SmartLoad-Dual.BC-05-LP02.BLEND_OVERDOSE_ALARM_STATUS</t>
  </si>
  <si>
    <t>SmartLoad-Dual.BC-05-LP02.BLEND_UNDERDOSE_ALARM_STATUS</t>
  </si>
  <si>
    <t>SmartLoad-Dual.BC-05-LP02.ADDITIVE_OVERDOSE_ALARM_STATUS</t>
  </si>
  <si>
    <t>SmartLoad-Dual.BC-05-LP02.ADDITIVE_UNDERDOSE_ALARM_STATUS</t>
  </si>
  <si>
    <t>SmartLoad-Dual.BC-05-LP02.BATCH_STATUS</t>
  </si>
  <si>
    <t>SmartLoad-Dual.BC-05-LP02.NOMINAL_ARM2_COMP1_KFACTOR_CHANGED</t>
  </si>
  <si>
    <t>SmartLoad-Dual.BC-05-LP02.MFM_BCU_QTY_BEYOND_TOLERANCE_LIMIT_STATUS</t>
  </si>
  <si>
    <t>SmartLoad-Dual.BC-05-LP02.BCU_C3_TOTALIZER_MISMATCH_ALARM</t>
  </si>
  <si>
    <t>LP 11</t>
  </si>
  <si>
    <t>BC-BLUE-DYE</t>
  </si>
  <si>
    <t>SmartLoad-Single.BC-BLUE-DYE.EARTH_ALARM_STATUS</t>
  </si>
  <si>
    <t>SmartLoad-Single.BC-BLUE-DYE.NO_FLOW_ALARM_STATUS_M1</t>
  </si>
  <si>
    <t>SmartLoad-Single.BC-BLUE-DYE.LOW_FLOW_ALARM_STATUS_M1</t>
  </si>
  <si>
    <t>SmartLoad-Single.BC-BLUE-DYE.HIGH_FLOW_ALARM_STATUS_M1</t>
  </si>
  <si>
    <t>SmartLoad-Single.BC-BLUE-DYE.UNAUTHORIZE_FLOW_ALARM_STATUS_M1</t>
  </si>
  <si>
    <t>SmartLoad-Single.BC-BLUE-DYE.METER_OVERRUN_ALARM_STATUS_M1</t>
  </si>
  <si>
    <t>SmartLoad-Single.BC-BLUE-DYE.BLEND_OVERDOSE_ALARM_STATUS</t>
  </si>
  <si>
    <t>SmartLoad-Single.BC-BLUE-DYE.BLEND_UNDERDOSE_ALARM_STATUS</t>
  </si>
  <si>
    <t>SmartLoad-Single.BC-BLUE-DYE.ADDITIVE_OVERDOSE_ALARM_STATUS</t>
  </si>
  <si>
    <t>SmartLoad-Single.BC-BLUE-DYE.ADDITIVE_UNDERDOSE_ALARM_STATUS</t>
  </si>
  <si>
    <t>SmartLoad-Single.BC-BLUE-DYE.BATCH_STATUS</t>
  </si>
  <si>
    <t>SmartLoad-Single.BC-BLUE-DYE.NOMINAL_ARM1_COMP1_KFACTOR_CHANGED</t>
  </si>
  <si>
    <t>SmartLoad-Single.BC-BLUE-DYE.MFM_BCU_QTY_BEYOND_TOLERANCE_LIMIT_STATUS</t>
  </si>
  <si>
    <t>SmartLoad-Single.BC-BLUE-DYE.BCU_C1_TOTALIZER_MISMATCH_ALARM</t>
  </si>
  <si>
    <t>LP 12</t>
  </si>
  <si>
    <t>BC-06-LP01</t>
  </si>
  <si>
    <t>SmartLoad-Dual.BC-06-LP01.EARTH_ALARM_STATUS</t>
  </si>
  <si>
    <t>SmartLoad-Dual.BC-06-LP01.NO_FLOW_ALARM_STATUS_M1</t>
  </si>
  <si>
    <t>SmartLoad-Dual.BC-06-LP01.NO_FLOW_ALARM_STATUS_M2</t>
  </si>
  <si>
    <t>SmartLoad-Dual.BC-06-LP01.LOW_FLOW_ALARM_STATUS_M1</t>
  </si>
  <si>
    <t>SmartLoad-Dual.BC-06-LP01.LOW_FLOW_ALARM_STATUS_M2</t>
  </si>
  <si>
    <t>SmartLoad-Dual.BC-06-LP01.HIGH_FLOW_ALARM_STATUS_M1</t>
  </si>
  <si>
    <t>SmartLoad-Dual.BC-06-LP01.HIGH_FLOW_ALARM_STATUS_M2</t>
  </si>
  <si>
    <t>SmartLoad-Dual.BC-06-LP01.UNAUTHORIZE_FLOW_ALARM_STATUS_M1</t>
  </si>
  <si>
    <t>SmartLoad-Dual.BC-06-LP01.METER_OVERRUN_ALARM_STATUS_M1</t>
  </si>
  <si>
    <t>SmartLoad-Dual.BC-06-LP01.BLEND_OVERDOSE_ALARM_STATUS</t>
  </si>
  <si>
    <t>SmartLoad-Dual.BC-06-LP01.BLEND_UNDERDOSE_ALARM_STATUS</t>
  </si>
  <si>
    <t>SmartLoad-Dual.BC-06-LP01.ADDITIVE_OVERDOSE_ALARM_STATUS</t>
  </si>
  <si>
    <t>SmartLoad-Dual.BC-06-LP01.ADDITIVE_UNDERDOSE_ALARM_STATUS</t>
  </si>
  <si>
    <t>SmartLoad-Dual.BC-06-LP01.BATCH_STATUS</t>
  </si>
  <si>
    <t>SmartLoad-Dual.BC-06-LP01.NOMINAL_ARM1_COMP1_KFACTOR_CHANGED</t>
  </si>
  <si>
    <t>SmartLoad-Dual.BC-06-LP01.NOMINAL_ARM1_COMP2_KFACTOR_CHANGED</t>
  </si>
  <si>
    <t>SmartLoad-Dual.BC-06-LP01.MFM_BCU_QTY_BEYOND_TOLERANCE_LIMIT_STATUS</t>
  </si>
  <si>
    <t>SmartLoad-Dual.BC-06-LP01.BCU_C1_TOTALIZER_MISMATCH_ALARM</t>
  </si>
  <si>
    <t>SmartLoad-Dual.BC-06-LP01.BCU_C2_TOTALIZER_MISMATCH_ALARM</t>
  </si>
  <si>
    <t>LP 13</t>
  </si>
  <si>
    <t>BC-06-LP02</t>
  </si>
  <si>
    <t>SmartLoad-Dual.BC-06-LP02.EARTH_ALARM_STATUS</t>
  </si>
  <si>
    <t>SmartLoad-Dual.BC-06-LP02.NO_FLOW_ALARM_STATUS_M3</t>
  </si>
  <si>
    <t>SmartLoad-Dual.BC-06-LP02.LOW_FLOW_ALARM_STATUS_M3</t>
  </si>
  <si>
    <t>SmartLoad-Dual.BC-06-LP02.HIGH_FLOW_ALARM_STATUS_M3</t>
  </si>
  <si>
    <t>SmartLoad-Dual.BC-06-LP02.UNAUTHORIZE_FLOW_ALARM_STATUS_M3</t>
  </si>
  <si>
    <t>SmartLoad-Dual.BC-06-LP02.METER_OVERRUN_ALARM_STATUS_M3</t>
  </si>
  <si>
    <t>SmartLoad-Dual.BC-06-LP02.BLEND_OVERDOSE_ALARM_STATUS</t>
  </si>
  <si>
    <t>SmartLoad-Dual.BC-06-LP02.BLEND_UNDERDOSE_ALARM_STATUS</t>
  </si>
  <si>
    <t>SmartLoad-Dual.BC-06-LP02.ADDITIVE_OVERDOSE_ALARM_STATUS</t>
  </si>
  <si>
    <t>SmartLoad-Dual.BC-06-LP02.ADDITIVE_UNDERDOSE_ALARM_STATUS</t>
  </si>
  <si>
    <t>SmartLoad-Dual.BC-06-LP02.BATCH_STATUS</t>
  </si>
  <si>
    <t>SmartLoad-Dual.BC-06-LP02.NOMINAL_ARM2_COMP1_KFACTOR_CHANGED</t>
  </si>
  <si>
    <t>SmartLoad-Dual.BC-06-LP02.MFM_BCU_QTY_BEYOND_TOLERANCE_LIMIT_STATUS</t>
  </si>
  <si>
    <t>SmartLoad-Dual.BC-06-LP02.BCU_C3_TOTALIZER_MISMATCH_ALARM</t>
  </si>
  <si>
    <t>LP 14</t>
  </si>
  <si>
    <t>BC-07-LP01</t>
  </si>
  <si>
    <t>SmartLoad-Dual.BC-07-LP01.EARTH_ALARM_STATUS</t>
  </si>
  <si>
    <t>SmartLoad-Dual.BC-07-LP01.NO_FLOW_ALARM_STATUS_M1</t>
  </si>
  <si>
    <t>SmartLoad-Dual.BC-07-LP01.NO_FLOW_ALARM_STATUS_M2</t>
  </si>
  <si>
    <t>SmartLoad-Dual.BC-07-LP01.LOW_FLOW_ALARM_STATUS_M1</t>
  </si>
  <si>
    <t>SmartLoad-Dual.BC-07-LP01.LOW_FLOW_ALARM_STATUS_M2</t>
  </si>
  <si>
    <t>SmartLoad-Dual.BC-07-LP01.HIGH_FLOW_ALARM_STATUS_M1</t>
  </si>
  <si>
    <t>SmartLoad-Dual.BC-07-LP01.HIGH_FLOW_ALARM_STATUS_M2</t>
  </si>
  <si>
    <t>SmartLoad-Dual.BC-07-LP01.UNAUTHORIZE_FLOW_ALARM_STATUS_M1</t>
  </si>
  <si>
    <t>SmartLoad-Dual.BC-07-LP01.METER_OVERRUN_ALARM_STATUS_M1</t>
  </si>
  <si>
    <t>SmartLoad-Dual.BC-07-LP01.BLEND_OVERDOSE_ALARM_STATUS</t>
  </si>
  <si>
    <t>SmartLoad-Dual.BC-07-LP01.BLEND_UNDERDOSE_ALARM_STATUS</t>
  </si>
  <si>
    <t>SmartLoad-Dual.BC-07-LP01.ADDITIVE_OVERDOSE_ALARM_STATUS</t>
  </si>
  <si>
    <t>SmartLoad-Dual.BC-07-LP01.ADDITIVE_UNDERDOSE_ALARM_STATUS</t>
  </si>
  <si>
    <t>SmartLoad-Dual.BC-07-LP01.BATCH_STATUS</t>
  </si>
  <si>
    <t>SmartLoad-Dual.BC-07-LP01.NOMINAL_ARM1_COMP1_KFACTOR_CHANGED</t>
  </si>
  <si>
    <t>SmartLoad-Dual.BC-07-LP01.NOMINAL_ARM1_COMP2_KFACTOR_CHANGED</t>
  </si>
  <si>
    <t>SmartLoad-Dual.BC-07-LP01.MFM_BCU_QTY_BEYOND_TOLERANCE_LIMIT_STATUS</t>
  </si>
  <si>
    <t>SmartLoad-Dual.BC-07-LP01.BCU_C1_TOTALIZER_MISMATCH_ALARM</t>
  </si>
  <si>
    <t>SmartLoad-Dual.BC-07-LP01.BCU_C2_TOTALIZER_MISMATCH_ALARM</t>
  </si>
  <si>
    <t>LP 15</t>
  </si>
  <si>
    <t>BC-07-LP02</t>
  </si>
  <si>
    <t>SmartLoad-Dual.BC-07-LP02.EARTH_ALARM_STATUS</t>
  </si>
  <si>
    <t>SmartLoad-Dual.BC-07-LP02.NO_FLOW_ALARM_STATUS_M3</t>
  </si>
  <si>
    <t>SmartLoad-Dual.BC-07-LP02.LOW_FLOW_ALARM_STATUS_M3</t>
  </si>
  <si>
    <t>SmartLoad-Dual.BC-07-LP02.HIGH_FLOW_ALARM_STATUS_M3</t>
  </si>
  <si>
    <t>SmartLoad-Dual.BC-07-LP02.UNAUTHORIZE_FLOW_ALARM_STATUS_M3</t>
  </si>
  <si>
    <t>SmartLoad-Dual.BC-07-LP02.METER_OVERRUN_ALARM_STATUS_M3</t>
  </si>
  <si>
    <t>SmartLoad-Dual.BC-07-LP02.BLEND_OVERDOSE_ALARM_STATUS</t>
  </si>
  <si>
    <t>SmartLoad-Dual.BC-07-LP02.BLEND_UNDERDOSE_ALARM_STATUS</t>
  </si>
  <si>
    <t>SmartLoad-Dual.BC-07-LP02.ADDITIVE_OVERDOSE_ALARM_STATUS</t>
  </si>
  <si>
    <t>SmartLoad-Dual.BC-07-LP02.ADDITIVE_UNDERDOSE_ALARM_STATUS</t>
  </si>
  <si>
    <t>SmartLoad-Dual.BC-07-LP02.BATCH_STATUS</t>
  </si>
  <si>
    <t>SmartLoad-Dual.BC-07-LP02.NOMINAL_ARM2_COMP1_KFACTOR_CHANGED</t>
  </si>
  <si>
    <t>SmartLoad-Dual.BC-07-LP02.MFM_BCU_QTY_BEYOND_TOLERANCE_LIMIT_STATUS</t>
  </si>
  <si>
    <t>SmartLoad-Dual.BC-07-LP02.BCU_C3_TOTALIZER_MISMATCH_ALARM</t>
  </si>
  <si>
    <t>LP 16</t>
  </si>
  <si>
    <t>BC-08-LP01</t>
  </si>
  <si>
    <t>SmartLoad-Dual.BC-08-LP01.EARTH_ALARM_STATUS</t>
  </si>
  <si>
    <t>SmartLoad-Dual.BC-08-LP01.NO_FLOW_ALARM_STATUS_M1</t>
  </si>
  <si>
    <t>SmartLoad-Dual.BC-08-LP01.NO_FLOW_ALARM_STATUS_M2</t>
  </si>
  <si>
    <t>SmartLoad-Dual.BC-08-LP01.LOW_FLOW_ALARM_STATUS_M1</t>
  </si>
  <si>
    <t>SmartLoad-Dual.BC-08-LP01.LOW_FLOW_ALARM_STATUS_M2</t>
  </si>
  <si>
    <t>SmartLoad-Dual.BC-08-LP01.HIGH_FLOW_ALARM_STATUS_M1</t>
  </si>
  <si>
    <t>SmartLoad-Dual.BC-08-LP01.HIGH_FLOW_ALARM_STATUS_M2</t>
  </si>
  <si>
    <t>SmartLoad-Dual.BC-08-LP01.UNAUTHORIZE_FLOW_ALARM_STATUS_M1</t>
  </si>
  <si>
    <t>SmartLoad-Dual.BC-08-LP01.METER_OVERRUN_ALARM_STATUS_M1</t>
  </si>
  <si>
    <t>SmartLoad-Dual.BC-08-LP01.BLEND_OVERDOSE_ALARM_STATUS</t>
  </si>
  <si>
    <t>SmartLoad-Dual.BC-08-LP01.BLEND_UNDERDOSE_ALARM_STATUS</t>
  </si>
  <si>
    <t>SmartLoad-Dual.BC-08-LP01.ADDITIVE_OVERDOSE_ALARM_STATUS</t>
  </si>
  <si>
    <t>SmartLoad-Dual.BC-08-LP01.ADDITIVE_UNDERDOSE_ALARM_STATUS</t>
  </si>
  <si>
    <t>SmartLoad-Dual.BC-08-LP01.BATCH_STATUS</t>
  </si>
  <si>
    <t>SmartLoad-Dual.BC-08-LP01.NOMINAL_ARM1_COMP1_KFACTOR_CHANGED</t>
  </si>
  <si>
    <t>SmartLoad-Dual.BC-08-LP01.NOMINAL_ARM1_COMP2_KFACTOR_CHANGED</t>
  </si>
  <si>
    <t>SmartLoad-Dual.BC-08-LP01.MFM_BCU_QTY_BEYOND_TOLERANCE_LIMIT_STATUS</t>
  </si>
  <si>
    <t>SmartLoad-Dual.BC-08-LP01.BCU_C1_TOTALIZER_MISMATCH_ALARM</t>
  </si>
  <si>
    <t>SmartLoad-Dual.BC-08-LP01.BCU_C2_TOTALIZER_MISMATCH_ALARM</t>
  </si>
  <si>
    <t>LP 17</t>
  </si>
  <si>
    <t>BC-08-LP02</t>
  </si>
  <si>
    <t>SmartLoad-Dual.BC-08-LP02.EARTH_ALARM_STATUS</t>
  </si>
  <si>
    <t>SmartLoad-Dual.BC-08-LP02.NO_FLOW_ALARM_STATUS_M3</t>
  </si>
  <si>
    <t>SmartLoad-Dual.BC-08-LP02.LOW_FLOW_ALARM_STATUS_M3</t>
  </si>
  <si>
    <t>SmartLoad-Dual.BC-08-LP02.HIGH_FLOW_ALARM_STATUS_M3</t>
  </si>
  <si>
    <t>SmartLoad-Dual.BC-08-LP02.UNAUTHORIZE_FLOW_ALARM_STATUS_M3</t>
  </si>
  <si>
    <t>SmartLoad-Dual.BC-08-LP02.METER_OVERRUN_ALARM_STATUS_M3</t>
  </si>
  <si>
    <t>SmartLoad-Dual.BC-08-LP02.BLEND_OVERDOSE_ALARM_STATUS</t>
  </si>
  <si>
    <t>SmartLoad-Dual.BC-08-LP02.BLEND_UNDERDOSE_ALARM_STATUS</t>
  </si>
  <si>
    <t>SmartLoad-Dual.BC-08-LP02.ADDITIVE_OVERDOSE_ALARM_STATUS</t>
  </si>
  <si>
    <t>SmartLoad-Dual.BC-08-LP02.ADDITIVE_UNDERDOSE_ALARM_STATUS</t>
  </si>
  <si>
    <t>SmartLoad-Dual.BC-08-LP02.BATCH_STATUS</t>
  </si>
  <si>
    <t>SmartLoad-Dual.BC-08-LP02.NOMINAL_ARM2_COMP1_KFACTOR_CHANGED</t>
  </si>
  <si>
    <t>SmartLoad-Dual.BC-08-LP02.MFM_BCU_QTY_BEYOND_TOLERANCE_LIMIT_STATUS</t>
  </si>
  <si>
    <t>SmartLoad-Dual.BC-08-LP02.BCU_C3_TOTALIZER_MISMATCH_ALARM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</si>
  <si>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</si>
  <si>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</si>
  <si>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</si>
  <si>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</si>
  <si>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</si>
  <si>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SmartLoad-Dual.BC-01-LP01.PERMISSIVE_FROM_DNC_STATUS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</si>
  <si>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</si>
  <si>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</si>
  <si>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</si>
  <si>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</si>
  <si>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</si>
  <si>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</si>
  <si>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</si>
  <si>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</si>
  <si>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</si>
  <si>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</si>
  <si>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PLC.SFTPLC.CAUSE_WATERTK_VOL_BELOW_90PCT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</si>
  <si>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</si>
  <si>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</si>
  <si>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</si>
  <si>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</si>
  <si>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</si>
  <si>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</si>
  <si>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</si>
  <si>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</si>
  <si>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</si>
  <si>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</si>
  <si>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</si>
  <si>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</si>
  <si>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</si>
  <si>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</si>
  <si>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</si>
  <si>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</si>
  <si>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</si>
  <si>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Nearest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</si>
  <si>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</si>
  <si>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</si>
  <si>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</si>
  <si>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</si>
  <si>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</si>
  <si>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</si>
  <si>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</si>
  <si>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PressureTransmitter.PT-05.PRESSURE</t>
  </si>
  <si>
    <t>PressureTransmitter.PT-07.PRESSURE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</si>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</sst>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4" fontId="5" numFmtId="0" xfId="0" applyAlignment="1" applyBorder="1" applyFill="1" applyFont="1">
      <alignment shrinkToFit="0" vertical="bottom" wrapText="1"/>
    </xf>
    <xf borderId="1" fillId="0" fontId="5" numFmtId="0" xfId="0" applyAlignment="1" applyBorder="1" applyFont="1">
      <alignment horizontal="center" shrinkToFit="0" vertical="top" wrapText="1"/>
    </xf>
    <xf borderId="2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top"/>
    </xf>
    <xf borderId="0" fillId="0" fontId="6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/>
    </xf>
    <xf borderId="1" fillId="3" fontId="2" numFmtId="0" xfId="0" applyAlignment="1" applyBorder="1" applyFont="1">
      <alignment horizontal="center"/>
    </xf>
    <xf borderId="3" fillId="0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shrinkToFit="0" vertical="bottom" wrapText="1"/>
    </xf>
    <xf borderId="0" fillId="0" fontId="5" numFmtId="0" xfId="0" applyFont="1"/>
    <xf borderId="1" fillId="0" fontId="6" numFmtId="0" xfId="0" applyAlignment="1" applyBorder="1" applyFont="1">
      <alignment readingOrder="0" shrinkToFit="0" vertical="bottom" wrapText="0"/>
    </xf>
    <xf borderId="1" fillId="4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3" fontId="2" numFmtId="0" xfId="0" applyAlignment="1" applyFont="1">
      <alignment readingOrder="0"/>
    </xf>
    <xf borderId="4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/>
    </xf>
    <xf borderId="5" fillId="3" fontId="2" numFmtId="0" xfId="0" applyBorder="1" applyFont="1"/>
    <xf borderId="0" fillId="0" fontId="5" numFmtId="0" xfId="0" applyFont="1"/>
    <xf borderId="0" fillId="3" fontId="2" numFmtId="0" xfId="0" applyFont="1"/>
    <xf borderId="1" fillId="2" fontId="3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vertical="bottom"/>
    </xf>
    <xf borderId="3" fillId="0" fontId="4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vertical="bottom"/>
    </xf>
    <xf borderId="4" fillId="0" fontId="5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readingOrder="0"/>
    </xf>
    <xf borderId="3" fillId="0" fontId="5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horizontal="center" vertical="top"/>
    </xf>
    <xf borderId="3" fillId="0" fontId="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readingOrder="0" vertical="center"/>
    </xf>
    <xf borderId="6" fillId="3" fontId="2" numFmtId="0" xfId="0" applyBorder="1" applyFont="1"/>
    <xf borderId="5" fillId="3" fontId="2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shrinkToFit="0" vertical="bottom" wrapText="1"/>
    </xf>
    <xf borderId="1" fillId="0" fontId="5" numFmtId="0" xfId="0" applyBorder="1" applyFont="1"/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1" fillId="0" fontId="8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1" fillId="4" fontId="5" numFmtId="0" xfId="0" applyAlignment="1" applyBorder="1" applyFont="1">
      <alignment readingOrder="0" shrinkToFit="0" vertical="bottom" wrapText="1"/>
    </xf>
    <xf borderId="1" fillId="6" fontId="9" numFmtId="0" xfId="0" applyBorder="1" applyFill="1" applyFont="1"/>
    <xf borderId="1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2" fillId="0" fontId="5" numFmtId="0" xfId="0" applyBorder="1" applyFont="1"/>
    <xf borderId="1" fillId="0" fontId="10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left" vertical="center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0" fillId="0" fontId="4" numFmtId="0" xfId="0" applyAlignment="1" applyFont="1">
      <alignment horizontal="left" vertical="center"/>
    </xf>
    <xf borderId="7" fillId="0" fontId="5" numFmtId="0" xfId="0" applyBorder="1" applyFont="1"/>
    <xf borderId="8" fillId="0" fontId="4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top"/>
    </xf>
    <xf borderId="1" fillId="3" fontId="4" numFmtId="0" xfId="0" applyAlignment="1" applyBorder="1" applyFont="1">
      <alignment horizontal="left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33.63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20.5"/>
    <col customWidth="1" min="86" max="88" width="13.88"/>
    <col customWidth="1" min="89" max="89" width="17.0"/>
    <col customWidth="1" min="90" max="90" width="14.0"/>
    <col customWidth="1" min="91" max="91" width="11.5"/>
    <col customWidth="1" min="92" max="92" width="13.88"/>
    <col customWidth="1" min="93" max="93" width="28.0"/>
    <col customWidth="1" min="94" max="94" width="14.0"/>
    <col customWidth="1" min="95" max="95" width="11.5"/>
    <col customWidth="1" min="96" max="96" width="13.88"/>
    <col customWidth="1" min="97" max="97" width="24.38"/>
    <col customWidth="1" min="98" max="98" width="14.0"/>
    <col customWidth="1" min="99" max="99" width="11.5"/>
    <col customWidth="1" min="100" max="104" width="13.88"/>
    <col customWidth="1" min="105" max="105" width="18.13"/>
    <col customWidth="1" min="106" max="106" width="14.0"/>
    <col customWidth="1" min="107" max="107" width="11.5"/>
    <col customWidth="1" min="108" max="108" width="13.88"/>
    <col customWidth="1" min="109" max="109" width="21.75"/>
    <col customWidth="1" min="110" max="110" width="14.0"/>
    <col customWidth="1" min="111" max="111" width="11.5"/>
    <col customWidth="1" min="112" max="112" width="13.88"/>
    <col customWidth="1" min="113" max="113" width="34.13"/>
    <col customWidth="1" min="114" max="114" width="14.0"/>
    <col customWidth="1" min="115" max="115" width="11.5"/>
    <col customWidth="1" min="116" max="116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6" t="s">
        <v>42</v>
      </c>
      <c r="CH1" s="3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6" t="s">
        <v>44</v>
      </c>
      <c r="CP1" s="3" t="s">
        <v>13</v>
      </c>
      <c r="CQ1" s="3" t="s">
        <v>9</v>
      </c>
      <c r="CR1" s="3" t="s">
        <v>10</v>
      </c>
      <c r="CS1" s="3" t="s">
        <v>45</v>
      </c>
      <c r="CT1" s="3" t="s">
        <v>13</v>
      </c>
      <c r="CU1" s="3" t="s">
        <v>9</v>
      </c>
      <c r="CV1" s="3" t="s">
        <v>10</v>
      </c>
      <c r="CW1" s="7" t="s">
        <v>46</v>
      </c>
      <c r="CX1" s="3" t="s">
        <v>13</v>
      </c>
      <c r="CY1" s="3" t="s">
        <v>9</v>
      </c>
      <c r="CZ1" s="3" t="s">
        <v>10</v>
      </c>
      <c r="DA1" s="3" t="s">
        <v>47</v>
      </c>
      <c r="DB1" s="3" t="s">
        <v>13</v>
      </c>
      <c r="DC1" s="3" t="s">
        <v>9</v>
      </c>
      <c r="DD1" s="3" t="s">
        <v>10</v>
      </c>
      <c r="DE1" s="3" t="s">
        <v>48</v>
      </c>
      <c r="DF1" s="3" t="s">
        <v>13</v>
      </c>
      <c r="DG1" s="3" t="s">
        <v>9</v>
      </c>
      <c r="DH1" s="3" t="s">
        <v>10</v>
      </c>
      <c r="DI1" s="3" t="s">
        <v>49</v>
      </c>
      <c r="DJ1" s="3" t="s">
        <v>13</v>
      </c>
      <c r="DK1" s="3" t="s">
        <v>9</v>
      </c>
      <c r="DL1" s="3" t="s">
        <v>10</v>
      </c>
    </row>
    <row r="2" ht="15.75" customHeight="1">
      <c r="A2" s="8">
        <v>1509.0</v>
      </c>
      <c r="B2" s="9" t="s">
        <v>50</v>
      </c>
      <c r="C2" s="10" t="str">
        <f t="shared" ref="C2:C21" si="1">CONCATENATE(D2,"_",F2)</f>
        <v>TK-01_ETHANOL</v>
      </c>
      <c r="D2" s="11" t="s">
        <v>51</v>
      </c>
      <c r="E2" s="12" t="s">
        <v>52</v>
      </c>
      <c r="F2" s="11" t="s">
        <v>53</v>
      </c>
      <c r="G2" s="13" t="s">
        <v>54</v>
      </c>
      <c r="H2" s="8">
        <v>0.0</v>
      </c>
      <c r="I2" s="14" t="s">
        <v>55</v>
      </c>
      <c r="J2" s="10"/>
      <c r="K2" s="15" t="str">
        <f t="shared" ref="K2:K21" si="2">MID(I2,6,5)</f>
        <v>TK-01</v>
      </c>
      <c r="L2" s="16" t="s">
        <v>56</v>
      </c>
      <c r="M2" s="14" t="s">
        <v>57</v>
      </c>
      <c r="N2" s="17">
        <v>0.0</v>
      </c>
      <c r="O2" s="14" t="s">
        <v>58</v>
      </c>
      <c r="P2" s="17">
        <v>0.0</v>
      </c>
      <c r="Q2" s="18" t="str">
        <f t="shared" ref="Q2:Q21" si="3">mid(O2,6,5)</f>
        <v>TK-01</v>
      </c>
      <c r="R2" s="16" t="s">
        <v>56</v>
      </c>
      <c r="S2" s="14" t="s">
        <v>59</v>
      </c>
      <c r="T2" s="17">
        <v>0.0</v>
      </c>
      <c r="U2" s="14" t="s">
        <v>60</v>
      </c>
      <c r="V2" s="17">
        <v>0.0</v>
      </c>
      <c r="W2" s="18" t="str">
        <f t="shared" ref="W2:W21" si="4">mid(U2,6,5)</f>
        <v>TK-01</v>
      </c>
      <c r="X2" s="16" t="s">
        <v>56</v>
      </c>
      <c r="Y2" s="14" t="s">
        <v>61</v>
      </c>
      <c r="Z2" s="17">
        <v>0.0</v>
      </c>
      <c r="AA2" s="18" t="str">
        <f t="shared" ref="AA2:AA21" si="5">mid(Y2,13,6)</f>
        <v>LSW-01</v>
      </c>
      <c r="AB2" s="15" t="s">
        <v>62</v>
      </c>
      <c r="AC2" s="14" t="s">
        <v>63</v>
      </c>
      <c r="AD2" s="17">
        <v>0.0</v>
      </c>
      <c r="AE2" s="18" t="str">
        <f t="shared" ref="AE2:AE21" si="6">MID(AC2,13,6)</f>
        <v>LSW-01</v>
      </c>
      <c r="AF2" s="15" t="s">
        <v>62</v>
      </c>
      <c r="AG2" s="14" t="s">
        <v>64</v>
      </c>
      <c r="AH2" s="17">
        <v>0.0</v>
      </c>
      <c r="AI2" s="18" t="str">
        <f t="shared" ref="AI2:AI16" si="7">MID(AG2,13,6)</f>
        <v>LSW-01</v>
      </c>
      <c r="AJ2" s="15" t="s">
        <v>62</v>
      </c>
      <c r="AK2" s="14" t="s">
        <v>65</v>
      </c>
      <c r="AL2" s="17">
        <v>0.0</v>
      </c>
      <c r="AM2" s="18" t="str">
        <f t="shared" ref="AM2:AM21" si="8">MID(AK2,13,6)</f>
        <v>RDR-01</v>
      </c>
      <c r="AN2" s="15" t="s">
        <v>66</v>
      </c>
      <c r="AO2" s="14" t="s">
        <v>67</v>
      </c>
      <c r="AP2" s="17">
        <v>0.0</v>
      </c>
      <c r="AQ2" s="18" t="str">
        <f t="shared" ref="AQ2:AQ21" si="9">mid(AO2,13,6)</f>
        <v>RDR-01</v>
      </c>
      <c r="AR2" s="15" t="s">
        <v>66</v>
      </c>
      <c r="AS2" s="14" t="s">
        <v>68</v>
      </c>
      <c r="AT2" s="17">
        <v>0.0</v>
      </c>
      <c r="AU2" s="18" t="str">
        <f t="shared" ref="AU2:AU16" si="10">mid(AS2,13,6)</f>
        <v>RDR-01</v>
      </c>
      <c r="AV2" s="15" t="s">
        <v>66</v>
      </c>
      <c r="AW2" s="14" t="s">
        <v>69</v>
      </c>
      <c r="AX2" s="17">
        <v>0.0</v>
      </c>
      <c r="AY2" s="18" t="str">
        <f t="shared" ref="AY2:AY21" si="11">mid(AW2,5,8)</f>
        <v>ROSOV-01</v>
      </c>
      <c r="AZ2" s="16" t="s">
        <v>70</v>
      </c>
      <c r="BA2" s="14" t="s">
        <v>71</v>
      </c>
      <c r="BB2" s="19">
        <v>0.0</v>
      </c>
      <c r="BC2" s="18" t="str">
        <f t="shared" ref="BC2:BC16" si="12">mid(BA2,5,8)</f>
        <v>ROSOV-01</v>
      </c>
      <c r="BD2" s="16" t="s">
        <v>72</v>
      </c>
      <c r="BE2" s="10"/>
      <c r="BF2" s="10"/>
      <c r="BG2" s="10"/>
      <c r="BH2" s="20"/>
      <c r="BI2" s="20"/>
      <c r="BJ2" s="20"/>
      <c r="BK2" s="10"/>
      <c r="BL2" s="20"/>
      <c r="BM2" s="21" t="s">
        <v>73</v>
      </c>
      <c r="BN2" s="19">
        <v>0.0</v>
      </c>
      <c r="BO2" s="18" t="str">
        <f t="shared" ref="BO2:BO21" si="13">mid(BM2,5,8)</f>
        <v>ROSOV-02</v>
      </c>
      <c r="BP2" s="16" t="s">
        <v>74</v>
      </c>
      <c r="BQ2" s="21" t="s">
        <v>75</v>
      </c>
      <c r="BR2" s="19">
        <v>0.0</v>
      </c>
      <c r="BS2" s="18" t="str">
        <f t="shared" ref="BS2:BS16" si="14">mid(BQ2,5,8)</f>
        <v>ROSOV-02</v>
      </c>
      <c r="BT2" s="16" t="s">
        <v>76</v>
      </c>
      <c r="BU2" s="20"/>
      <c r="BV2" s="20"/>
      <c r="BW2" s="20"/>
      <c r="BX2" s="20"/>
      <c r="BY2" s="10"/>
      <c r="BZ2" s="20"/>
      <c r="CA2" s="20"/>
      <c r="CB2" s="10"/>
      <c r="CC2" s="22" t="s">
        <v>77</v>
      </c>
      <c r="CD2" s="19">
        <v>0.0</v>
      </c>
      <c r="CE2" s="18" t="str">
        <f t="shared" ref="CE2:CE21" si="15">mid(CC2,5,7)</f>
        <v>DBBV-01</v>
      </c>
      <c r="CF2" s="16" t="s">
        <v>78</v>
      </c>
      <c r="CG2" s="23" t="s">
        <v>79</v>
      </c>
      <c r="CH2" s="19">
        <v>1.0</v>
      </c>
      <c r="CI2" s="18" t="str">
        <f t="shared" ref="CI2:CI21" si="16">mid(CG2,5,7)</f>
        <v>DBBV-01</v>
      </c>
      <c r="CJ2" s="16" t="s">
        <v>78</v>
      </c>
      <c r="CK2" s="24"/>
      <c r="CL2" s="24"/>
      <c r="CM2" s="10"/>
      <c r="CN2" s="10"/>
      <c r="CO2" s="24"/>
      <c r="CP2" s="24"/>
      <c r="CQ2" s="10"/>
      <c r="CR2" s="10"/>
      <c r="CS2" s="22" t="s">
        <v>80</v>
      </c>
      <c r="CT2" s="19">
        <v>0.0</v>
      </c>
      <c r="CU2" s="18" t="str">
        <f t="shared" ref="CU2:CU21" si="17">MID(CS2,5,7)</f>
        <v>DBBV-02</v>
      </c>
      <c r="CV2" s="25" t="s">
        <v>81</v>
      </c>
      <c r="CW2" s="23" t="s">
        <v>82</v>
      </c>
      <c r="CX2" s="19">
        <v>1.0</v>
      </c>
      <c r="CY2" s="18" t="str">
        <f t="shared" ref="CY2:CY21" si="18">MID(CW2,5,7)</f>
        <v>DBBV-02</v>
      </c>
      <c r="CZ2" s="25" t="s">
        <v>81</v>
      </c>
      <c r="DA2" s="10"/>
      <c r="DB2" s="20"/>
      <c r="DC2" s="10"/>
      <c r="DD2" s="10"/>
      <c r="DE2" s="14"/>
      <c r="DF2" s="14"/>
      <c r="DG2" s="5"/>
      <c r="DH2" s="5"/>
      <c r="DI2" s="14"/>
      <c r="DJ2" s="14"/>
      <c r="DK2" s="5"/>
      <c r="DL2" s="5"/>
    </row>
    <row r="3" ht="15.75" customHeight="1">
      <c r="A3" s="8">
        <v>1509.0</v>
      </c>
      <c r="B3" s="9" t="s">
        <v>50</v>
      </c>
      <c r="C3" s="10" t="str">
        <f t="shared" si="1"/>
        <v>TK-02_BS VI HSD</v>
      </c>
      <c r="D3" s="26" t="s">
        <v>83</v>
      </c>
      <c r="E3" s="27" t="s">
        <v>52</v>
      </c>
      <c r="F3" s="26" t="s">
        <v>84</v>
      </c>
      <c r="G3" s="13" t="s">
        <v>54</v>
      </c>
      <c r="H3" s="8">
        <v>0.0</v>
      </c>
      <c r="I3" s="14" t="s">
        <v>85</v>
      </c>
      <c r="J3" s="28"/>
      <c r="K3" s="15" t="str">
        <f t="shared" si="2"/>
        <v>TK-02</v>
      </c>
      <c r="L3" s="16" t="s">
        <v>56</v>
      </c>
      <c r="M3" s="14" t="s">
        <v>86</v>
      </c>
      <c r="N3" s="17">
        <v>0.0</v>
      </c>
      <c r="O3" s="14" t="s">
        <v>87</v>
      </c>
      <c r="P3" s="17">
        <v>0.0</v>
      </c>
      <c r="Q3" s="18" t="str">
        <f t="shared" si="3"/>
        <v>TK-02</v>
      </c>
      <c r="R3" s="16" t="s">
        <v>56</v>
      </c>
      <c r="S3" s="14" t="s">
        <v>88</v>
      </c>
      <c r="T3" s="17">
        <v>0.0</v>
      </c>
      <c r="U3" s="14" t="s">
        <v>89</v>
      </c>
      <c r="V3" s="17">
        <v>0.0</v>
      </c>
      <c r="W3" s="18" t="str">
        <f t="shared" si="4"/>
        <v>TK-02</v>
      </c>
      <c r="X3" s="16" t="s">
        <v>56</v>
      </c>
      <c r="Y3" s="14" t="s">
        <v>90</v>
      </c>
      <c r="Z3" s="17">
        <v>0.0</v>
      </c>
      <c r="AA3" s="18" t="str">
        <f t="shared" si="5"/>
        <v>LSW-02</v>
      </c>
      <c r="AB3" s="15" t="s">
        <v>62</v>
      </c>
      <c r="AC3" s="14" t="s">
        <v>91</v>
      </c>
      <c r="AD3" s="17">
        <v>0.0</v>
      </c>
      <c r="AE3" s="18" t="str">
        <f t="shared" si="6"/>
        <v>LSW-02</v>
      </c>
      <c r="AF3" s="15" t="s">
        <v>62</v>
      </c>
      <c r="AG3" s="14" t="s">
        <v>92</v>
      </c>
      <c r="AH3" s="17">
        <v>0.0</v>
      </c>
      <c r="AI3" s="18" t="str">
        <f t="shared" si="7"/>
        <v>LSW-02</v>
      </c>
      <c r="AJ3" s="15" t="s">
        <v>62</v>
      </c>
      <c r="AK3" s="14" t="s">
        <v>93</v>
      </c>
      <c r="AL3" s="17">
        <v>0.0</v>
      </c>
      <c r="AM3" s="18" t="str">
        <f t="shared" si="8"/>
        <v>RDR-02</v>
      </c>
      <c r="AN3" s="15" t="s">
        <v>66</v>
      </c>
      <c r="AO3" s="14" t="s">
        <v>94</v>
      </c>
      <c r="AP3" s="17">
        <v>0.0</v>
      </c>
      <c r="AQ3" s="18" t="str">
        <f t="shared" si="9"/>
        <v>RDR-02</v>
      </c>
      <c r="AR3" s="15" t="s">
        <v>66</v>
      </c>
      <c r="AS3" s="14" t="s">
        <v>95</v>
      </c>
      <c r="AT3" s="17">
        <v>0.0</v>
      </c>
      <c r="AU3" s="18" t="str">
        <f t="shared" si="10"/>
        <v>RDR-02</v>
      </c>
      <c r="AV3" s="15" t="s">
        <v>66</v>
      </c>
      <c r="AW3" s="14" t="s">
        <v>96</v>
      </c>
      <c r="AX3" s="17">
        <v>0.0</v>
      </c>
      <c r="AY3" s="18" t="str">
        <f t="shared" si="11"/>
        <v>ROSOV-03</v>
      </c>
      <c r="AZ3" s="16" t="s">
        <v>70</v>
      </c>
      <c r="BA3" s="14" t="s">
        <v>97</v>
      </c>
      <c r="BB3" s="19">
        <v>0.0</v>
      </c>
      <c r="BC3" s="18" t="str">
        <f t="shared" si="12"/>
        <v>ROSOV-03</v>
      </c>
      <c r="BD3" s="16" t="s">
        <v>72</v>
      </c>
      <c r="BE3" s="28"/>
      <c r="BF3" s="28"/>
      <c r="BG3" s="28"/>
      <c r="BH3" s="28"/>
      <c r="BI3" s="28"/>
      <c r="BJ3" s="28"/>
      <c r="BK3" s="28"/>
      <c r="BL3" s="28"/>
      <c r="BM3" s="21" t="s">
        <v>98</v>
      </c>
      <c r="BN3" s="19">
        <v>0.0</v>
      </c>
      <c r="BO3" s="18" t="str">
        <f t="shared" si="13"/>
        <v>ROSOV-04</v>
      </c>
      <c r="BP3" s="16" t="s">
        <v>74</v>
      </c>
      <c r="BQ3" s="21" t="s">
        <v>99</v>
      </c>
      <c r="BR3" s="19">
        <v>0.0</v>
      </c>
      <c r="BS3" s="18" t="str">
        <f t="shared" si="14"/>
        <v>ROSOV-04</v>
      </c>
      <c r="BT3" s="16" t="s">
        <v>76</v>
      </c>
      <c r="BU3" s="28"/>
      <c r="BV3" s="28"/>
      <c r="BW3" s="28"/>
      <c r="BX3" s="28"/>
      <c r="BY3" s="28"/>
      <c r="BZ3" s="28"/>
      <c r="CA3" s="28"/>
      <c r="CB3" s="28"/>
      <c r="CC3" s="22" t="s">
        <v>100</v>
      </c>
      <c r="CD3" s="19">
        <v>0.0</v>
      </c>
      <c r="CE3" s="18" t="str">
        <f t="shared" si="15"/>
        <v>DBBV-04</v>
      </c>
      <c r="CF3" s="16" t="s">
        <v>78</v>
      </c>
      <c r="CG3" s="23" t="s">
        <v>101</v>
      </c>
      <c r="CH3" s="19">
        <v>1.0</v>
      </c>
      <c r="CI3" s="18" t="str">
        <f t="shared" si="16"/>
        <v>DBBV-04</v>
      </c>
      <c r="CJ3" s="16" t="s">
        <v>78</v>
      </c>
      <c r="CK3" s="24"/>
      <c r="CL3" s="24"/>
      <c r="CM3" s="28"/>
      <c r="CN3" s="28"/>
      <c r="CO3" s="24"/>
      <c r="CP3" s="24"/>
      <c r="CQ3" s="28"/>
      <c r="CR3" s="28"/>
      <c r="CS3" s="22" t="s">
        <v>102</v>
      </c>
      <c r="CT3" s="19">
        <v>0.0</v>
      </c>
      <c r="CU3" s="18" t="str">
        <f t="shared" si="17"/>
        <v>DBBV-05</v>
      </c>
      <c r="CV3" s="25" t="s">
        <v>81</v>
      </c>
      <c r="CW3" s="23" t="s">
        <v>103</v>
      </c>
      <c r="CX3" s="19">
        <v>1.0</v>
      </c>
      <c r="CY3" s="18" t="str">
        <f t="shared" si="18"/>
        <v>DBBV-05</v>
      </c>
      <c r="CZ3" s="25" t="s">
        <v>81</v>
      </c>
      <c r="DA3" s="28"/>
      <c r="DB3" s="28"/>
      <c r="DC3" s="28"/>
      <c r="DD3" s="28"/>
      <c r="DE3" s="24"/>
      <c r="DF3" s="24"/>
      <c r="DG3" s="28"/>
      <c r="DH3" s="28"/>
      <c r="DI3" s="24"/>
      <c r="DJ3" s="24"/>
      <c r="DK3" s="28"/>
      <c r="DL3" s="28"/>
    </row>
    <row r="4" ht="15.75" customHeight="1">
      <c r="A4" s="8">
        <v>1509.0</v>
      </c>
      <c r="B4" s="9" t="s">
        <v>50</v>
      </c>
      <c r="C4" s="10" t="str">
        <f t="shared" si="1"/>
        <v>TK-03_ETHANOL</v>
      </c>
      <c r="D4" s="26" t="s">
        <v>104</v>
      </c>
      <c r="E4" s="27" t="s">
        <v>52</v>
      </c>
      <c r="F4" s="26" t="s">
        <v>53</v>
      </c>
      <c r="G4" s="13" t="s">
        <v>54</v>
      </c>
      <c r="H4" s="8">
        <v>0.0</v>
      </c>
      <c r="I4" s="14" t="s">
        <v>105</v>
      </c>
      <c r="J4" s="28"/>
      <c r="K4" s="15" t="str">
        <f t="shared" si="2"/>
        <v>TK-03</v>
      </c>
      <c r="L4" s="16" t="s">
        <v>56</v>
      </c>
      <c r="M4" s="14" t="s">
        <v>106</v>
      </c>
      <c r="N4" s="17">
        <v>0.0</v>
      </c>
      <c r="O4" s="14" t="s">
        <v>107</v>
      </c>
      <c r="P4" s="17">
        <v>0.0</v>
      </c>
      <c r="Q4" s="18" t="str">
        <f t="shared" si="3"/>
        <v>TK-03</v>
      </c>
      <c r="R4" s="16" t="s">
        <v>56</v>
      </c>
      <c r="S4" s="14" t="s">
        <v>108</v>
      </c>
      <c r="T4" s="17">
        <v>0.0</v>
      </c>
      <c r="U4" s="14" t="s">
        <v>109</v>
      </c>
      <c r="V4" s="17">
        <v>0.0</v>
      </c>
      <c r="W4" s="18" t="str">
        <f t="shared" si="4"/>
        <v>TK-03</v>
      </c>
      <c r="X4" s="16" t="s">
        <v>56</v>
      </c>
      <c r="Y4" s="14" t="s">
        <v>110</v>
      </c>
      <c r="Z4" s="17">
        <v>0.0</v>
      </c>
      <c r="AA4" s="18" t="str">
        <f t="shared" si="5"/>
        <v>LSW-03</v>
      </c>
      <c r="AB4" s="15" t="s">
        <v>62</v>
      </c>
      <c r="AC4" s="14" t="s">
        <v>111</v>
      </c>
      <c r="AD4" s="17">
        <v>0.0</v>
      </c>
      <c r="AE4" s="18" t="str">
        <f t="shared" si="6"/>
        <v>LSW-03</v>
      </c>
      <c r="AF4" s="15" t="s">
        <v>62</v>
      </c>
      <c r="AG4" s="14" t="s">
        <v>112</v>
      </c>
      <c r="AH4" s="17">
        <v>0.0</v>
      </c>
      <c r="AI4" s="18" t="str">
        <f t="shared" si="7"/>
        <v>LSW-03</v>
      </c>
      <c r="AJ4" s="15" t="s">
        <v>62</v>
      </c>
      <c r="AK4" s="14" t="s">
        <v>113</v>
      </c>
      <c r="AL4" s="17">
        <v>0.0</v>
      </c>
      <c r="AM4" s="18" t="str">
        <f t="shared" si="8"/>
        <v>RDR-03</v>
      </c>
      <c r="AN4" s="15" t="s">
        <v>66</v>
      </c>
      <c r="AO4" s="14" t="s">
        <v>114</v>
      </c>
      <c r="AP4" s="17">
        <v>0.0</v>
      </c>
      <c r="AQ4" s="18" t="str">
        <f t="shared" si="9"/>
        <v>RDR-03</v>
      </c>
      <c r="AR4" s="15" t="s">
        <v>66</v>
      </c>
      <c r="AS4" s="14" t="s">
        <v>115</v>
      </c>
      <c r="AT4" s="17">
        <v>0.0</v>
      </c>
      <c r="AU4" s="18" t="str">
        <f t="shared" si="10"/>
        <v>RDR-03</v>
      </c>
      <c r="AV4" s="15" t="s">
        <v>66</v>
      </c>
      <c r="AW4" s="14" t="s">
        <v>116</v>
      </c>
      <c r="AX4" s="17">
        <v>0.0</v>
      </c>
      <c r="AY4" s="18" t="str">
        <f t="shared" si="11"/>
        <v>ROSOV-05</v>
      </c>
      <c r="AZ4" s="16" t="s">
        <v>70</v>
      </c>
      <c r="BA4" s="14" t="s">
        <v>117</v>
      </c>
      <c r="BB4" s="19">
        <v>0.0</v>
      </c>
      <c r="BC4" s="18" t="str">
        <f t="shared" si="12"/>
        <v>ROSOV-05</v>
      </c>
      <c r="BD4" s="16" t="s">
        <v>72</v>
      </c>
      <c r="BE4" s="28"/>
      <c r="BF4" s="28"/>
      <c r="BG4" s="28"/>
      <c r="BH4" s="28"/>
      <c r="BI4" s="28"/>
      <c r="BJ4" s="28"/>
      <c r="BK4" s="28"/>
      <c r="BL4" s="28"/>
      <c r="BM4" s="21" t="s">
        <v>118</v>
      </c>
      <c r="BN4" s="19">
        <v>0.0</v>
      </c>
      <c r="BO4" s="18" t="str">
        <f t="shared" si="13"/>
        <v>ROSOV-06</v>
      </c>
      <c r="BP4" s="16" t="s">
        <v>74</v>
      </c>
      <c r="BQ4" s="21" t="s">
        <v>119</v>
      </c>
      <c r="BR4" s="19">
        <v>0.0</v>
      </c>
      <c r="BS4" s="18" t="str">
        <f t="shared" si="14"/>
        <v>ROSOV-06</v>
      </c>
      <c r="BT4" s="16" t="s">
        <v>76</v>
      </c>
      <c r="BU4" s="28"/>
      <c r="BV4" s="28"/>
      <c r="BW4" s="28"/>
      <c r="BX4" s="28"/>
      <c r="BY4" s="28"/>
      <c r="BZ4" s="28"/>
      <c r="CA4" s="28"/>
      <c r="CB4" s="28"/>
      <c r="CC4" s="22" t="s">
        <v>120</v>
      </c>
      <c r="CD4" s="19">
        <v>0.0</v>
      </c>
      <c r="CE4" s="18" t="str">
        <f t="shared" si="15"/>
        <v>DBBV-07</v>
      </c>
      <c r="CF4" s="16" t="s">
        <v>78</v>
      </c>
      <c r="CG4" s="23" t="s">
        <v>121</v>
      </c>
      <c r="CH4" s="19">
        <v>1.0</v>
      </c>
      <c r="CI4" s="18" t="str">
        <f t="shared" si="16"/>
        <v>DBBV-07</v>
      </c>
      <c r="CJ4" s="16" t="s">
        <v>78</v>
      </c>
      <c r="CK4" s="24"/>
      <c r="CL4" s="24"/>
      <c r="CM4" s="28"/>
      <c r="CN4" s="28"/>
      <c r="CO4" s="24"/>
      <c r="CP4" s="24"/>
      <c r="CQ4" s="28"/>
      <c r="CR4" s="28"/>
      <c r="CS4" s="22" t="s">
        <v>122</v>
      </c>
      <c r="CT4" s="19">
        <v>0.0</v>
      </c>
      <c r="CU4" s="18" t="str">
        <f t="shared" si="17"/>
        <v>DBBV-08</v>
      </c>
      <c r="CV4" s="25" t="s">
        <v>81</v>
      </c>
      <c r="CW4" s="23" t="s">
        <v>123</v>
      </c>
      <c r="CX4" s="19">
        <v>1.0</v>
      </c>
      <c r="CY4" s="18" t="str">
        <f t="shared" si="18"/>
        <v>DBBV-08</v>
      </c>
      <c r="CZ4" s="25" t="s">
        <v>81</v>
      </c>
      <c r="DA4" s="28"/>
      <c r="DB4" s="28"/>
      <c r="DC4" s="28"/>
      <c r="DD4" s="28"/>
      <c r="DE4" s="24"/>
      <c r="DF4" s="24"/>
      <c r="DG4" s="28"/>
      <c r="DH4" s="28"/>
      <c r="DI4" s="24"/>
      <c r="DJ4" s="24"/>
      <c r="DK4" s="28"/>
      <c r="DL4" s="28"/>
    </row>
    <row r="5" ht="15.75" customHeight="1">
      <c r="A5" s="8">
        <v>1509.0</v>
      </c>
      <c r="B5" s="9" t="s">
        <v>50</v>
      </c>
      <c r="C5" s="10" t="str">
        <f t="shared" si="1"/>
        <v>TK-04_SKO</v>
      </c>
      <c r="D5" s="26" t="s">
        <v>124</v>
      </c>
      <c r="E5" s="27" t="s">
        <v>52</v>
      </c>
      <c r="F5" s="26" t="s">
        <v>125</v>
      </c>
      <c r="G5" s="13" t="s">
        <v>54</v>
      </c>
      <c r="H5" s="8">
        <v>0.0</v>
      </c>
      <c r="I5" s="14" t="s">
        <v>126</v>
      </c>
      <c r="J5" s="28"/>
      <c r="K5" s="15" t="str">
        <f t="shared" si="2"/>
        <v>TK-04</v>
      </c>
      <c r="L5" s="16" t="s">
        <v>56</v>
      </c>
      <c r="M5" s="14" t="s">
        <v>127</v>
      </c>
      <c r="N5" s="17">
        <v>0.0</v>
      </c>
      <c r="O5" s="14" t="s">
        <v>128</v>
      </c>
      <c r="P5" s="17">
        <v>0.0</v>
      </c>
      <c r="Q5" s="18" t="str">
        <f t="shared" si="3"/>
        <v>TK-04</v>
      </c>
      <c r="R5" s="16" t="s">
        <v>56</v>
      </c>
      <c r="S5" s="14" t="s">
        <v>129</v>
      </c>
      <c r="T5" s="17">
        <v>0.0</v>
      </c>
      <c r="U5" s="14" t="s">
        <v>130</v>
      </c>
      <c r="V5" s="17">
        <v>0.0</v>
      </c>
      <c r="W5" s="18" t="str">
        <f t="shared" si="4"/>
        <v>TK-04</v>
      </c>
      <c r="X5" s="16" t="s">
        <v>56</v>
      </c>
      <c r="Y5" s="14" t="s">
        <v>131</v>
      </c>
      <c r="Z5" s="17">
        <v>0.0</v>
      </c>
      <c r="AA5" s="18" t="str">
        <f t="shared" si="5"/>
        <v>LSW-04</v>
      </c>
      <c r="AB5" s="15" t="s">
        <v>62</v>
      </c>
      <c r="AC5" s="14" t="s">
        <v>132</v>
      </c>
      <c r="AD5" s="17">
        <v>0.0</v>
      </c>
      <c r="AE5" s="18" t="str">
        <f t="shared" si="6"/>
        <v>LSW-04</v>
      </c>
      <c r="AF5" s="15" t="s">
        <v>62</v>
      </c>
      <c r="AG5" s="14" t="s">
        <v>133</v>
      </c>
      <c r="AH5" s="17">
        <v>0.0</v>
      </c>
      <c r="AI5" s="18" t="str">
        <f t="shared" si="7"/>
        <v>LSW-04</v>
      </c>
      <c r="AJ5" s="15" t="s">
        <v>62</v>
      </c>
      <c r="AK5" s="14" t="s">
        <v>134</v>
      </c>
      <c r="AL5" s="17">
        <v>0.0</v>
      </c>
      <c r="AM5" s="18" t="str">
        <f t="shared" si="8"/>
        <v>RDR-04</v>
      </c>
      <c r="AN5" s="15" t="s">
        <v>66</v>
      </c>
      <c r="AO5" s="14" t="s">
        <v>135</v>
      </c>
      <c r="AP5" s="17">
        <v>0.0</v>
      </c>
      <c r="AQ5" s="18" t="str">
        <f t="shared" si="9"/>
        <v>RDR-04</v>
      </c>
      <c r="AR5" s="15" t="s">
        <v>66</v>
      </c>
      <c r="AS5" s="14" t="s">
        <v>136</v>
      </c>
      <c r="AT5" s="17">
        <v>0.0</v>
      </c>
      <c r="AU5" s="18" t="str">
        <f t="shared" si="10"/>
        <v>RDR-04</v>
      </c>
      <c r="AV5" s="15" t="s">
        <v>66</v>
      </c>
      <c r="AW5" s="14" t="s">
        <v>137</v>
      </c>
      <c r="AX5" s="17">
        <v>0.0</v>
      </c>
      <c r="AY5" s="18" t="str">
        <f t="shared" si="11"/>
        <v>ROSOV-07</v>
      </c>
      <c r="AZ5" s="16" t="s">
        <v>70</v>
      </c>
      <c r="BA5" s="14" t="s">
        <v>138</v>
      </c>
      <c r="BB5" s="19">
        <v>0.0</v>
      </c>
      <c r="BC5" s="18" t="str">
        <f t="shared" si="12"/>
        <v>ROSOV-07</v>
      </c>
      <c r="BD5" s="16" t="s">
        <v>72</v>
      </c>
      <c r="BE5" s="28"/>
      <c r="BF5" s="28"/>
      <c r="BG5" s="28"/>
      <c r="BH5" s="28"/>
      <c r="BI5" s="28"/>
      <c r="BJ5" s="28"/>
      <c r="BK5" s="28"/>
      <c r="BL5" s="28"/>
      <c r="BM5" s="21" t="s">
        <v>139</v>
      </c>
      <c r="BN5" s="19">
        <v>0.0</v>
      </c>
      <c r="BO5" s="18" t="str">
        <f t="shared" si="13"/>
        <v>ROSOV-08</v>
      </c>
      <c r="BP5" s="16" t="s">
        <v>74</v>
      </c>
      <c r="BQ5" s="21" t="s">
        <v>140</v>
      </c>
      <c r="BR5" s="19">
        <v>0.0</v>
      </c>
      <c r="BS5" s="18" t="str">
        <f t="shared" si="14"/>
        <v>ROSOV-08</v>
      </c>
      <c r="BT5" s="16" t="s">
        <v>76</v>
      </c>
      <c r="BU5" s="28"/>
      <c r="BV5" s="28"/>
      <c r="BW5" s="28"/>
      <c r="BX5" s="28"/>
      <c r="BY5" s="28"/>
      <c r="BZ5" s="28"/>
      <c r="CA5" s="28"/>
      <c r="CB5" s="28"/>
      <c r="CC5" s="22" t="s">
        <v>141</v>
      </c>
      <c r="CD5" s="19">
        <v>0.0</v>
      </c>
      <c r="CE5" s="18" t="str">
        <f t="shared" si="15"/>
        <v>DBBV-09</v>
      </c>
      <c r="CF5" s="16" t="s">
        <v>78</v>
      </c>
      <c r="CG5" s="23" t="s">
        <v>142</v>
      </c>
      <c r="CH5" s="19">
        <v>1.0</v>
      </c>
      <c r="CI5" s="18" t="str">
        <f t="shared" si="16"/>
        <v>DBBV-09</v>
      </c>
      <c r="CJ5" s="16" t="s">
        <v>78</v>
      </c>
      <c r="CK5" s="24"/>
      <c r="CL5" s="24"/>
      <c r="CM5" s="28"/>
      <c r="CN5" s="28"/>
      <c r="CO5" s="24"/>
      <c r="CP5" s="24"/>
      <c r="CQ5" s="28"/>
      <c r="CR5" s="28"/>
      <c r="CS5" s="22" t="s">
        <v>143</v>
      </c>
      <c r="CT5" s="19">
        <v>0.0</v>
      </c>
      <c r="CU5" s="18" t="str">
        <f t="shared" si="17"/>
        <v>DBBV-10</v>
      </c>
      <c r="CV5" s="25" t="s">
        <v>81</v>
      </c>
      <c r="CW5" s="23" t="s">
        <v>144</v>
      </c>
      <c r="CX5" s="19">
        <v>1.0</v>
      </c>
      <c r="CY5" s="18" t="str">
        <f t="shared" si="18"/>
        <v>DBBV-10</v>
      </c>
      <c r="CZ5" s="25" t="s">
        <v>81</v>
      </c>
      <c r="DA5" s="28"/>
      <c r="DB5" s="28"/>
      <c r="DC5" s="28"/>
      <c r="DD5" s="28"/>
      <c r="DE5" s="24"/>
      <c r="DF5" s="24"/>
      <c r="DG5" s="28"/>
      <c r="DH5" s="28"/>
      <c r="DI5" s="24"/>
      <c r="DJ5" s="24"/>
      <c r="DK5" s="28"/>
      <c r="DL5" s="28"/>
    </row>
    <row r="6" ht="15.75" customHeight="1">
      <c r="A6" s="8">
        <v>1509.0</v>
      </c>
      <c r="B6" s="9" t="s">
        <v>50</v>
      </c>
      <c r="C6" s="10" t="str">
        <f t="shared" si="1"/>
        <v>TK-05_SLOP</v>
      </c>
      <c r="D6" s="26" t="s">
        <v>145</v>
      </c>
      <c r="E6" s="27" t="s">
        <v>52</v>
      </c>
      <c r="F6" s="26" t="s">
        <v>146</v>
      </c>
      <c r="G6" s="13" t="s">
        <v>54</v>
      </c>
      <c r="H6" s="8">
        <v>0.0</v>
      </c>
      <c r="I6" s="14" t="s">
        <v>147</v>
      </c>
      <c r="J6" s="28"/>
      <c r="K6" s="15" t="str">
        <f t="shared" si="2"/>
        <v>TK-05</v>
      </c>
      <c r="L6" s="16" t="s">
        <v>56</v>
      </c>
      <c r="M6" s="14" t="s">
        <v>148</v>
      </c>
      <c r="N6" s="17">
        <v>0.0</v>
      </c>
      <c r="O6" s="14" t="s">
        <v>149</v>
      </c>
      <c r="P6" s="17">
        <v>0.0</v>
      </c>
      <c r="Q6" s="18" t="str">
        <f t="shared" si="3"/>
        <v>TK-05</v>
      </c>
      <c r="R6" s="16" t="s">
        <v>56</v>
      </c>
      <c r="S6" s="14" t="s">
        <v>150</v>
      </c>
      <c r="T6" s="17">
        <v>0.0</v>
      </c>
      <c r="U6" s="14" t="s">
        <v>151</v>
      </c>
      <c r="V6" s="17">
        <v>0.0</v>
      </c>
      <c r="W6" s="18" t="str">
        <f t="shared" si="4"/>
        <v>TK-05</v>
      </c>
      <c r="X6" s="16" t="s">
        <v>56</v>
      </c>
      <c r="Y6" s="14" t="s">
        <v>152</v>
      </c>
      <c r="Z6" s="17">
        <v>0.0</v>
      </c>
      <c r="AA6" s="18" t="str">
        <f t="shared" si="5"/>
        <v>LSW-05</v>
      </c>
      <c r="AB6" s="15" t="s">
        <v>62</v>
      </c>
      <c r="AC6" s="14" t="s">
        <v>153</v>
      </c>
      <c r="AD6" s="17">
        <v>0.0</v>
      </c>
      <c r="AE6" s="18" t="str">
        <f t="shared" si="6"/>
        <v>LSW-05</v>
      </c>
      <c r="AF6" s="15" t="s">
        <v>62</v>
      </c>
      <c r="AG6" s="14" t="s">
        <v>154</v>
      </c>
      <c r="AH6" s="17">
        <v>0.0</v>
      </c>
      <c r="AI6" s="18" t="str">
        <f t="shared" si="7"/>
        <v>LSW-05</v>
      </c>
      <c r="AJ6" s="15" t="s">
        <v>62</v>
      </c>
      <c r="AK6" s="14" t="s">
        <v>155</v>
      </c>
      <c r="AL6" s="17">
        <v>0.0</v>
      </c>
      <c r="AM6" s="18" t="str">
        <f t="shared" si="8"/>
        <v>RDR-05</v>
      </c>
      <c r="AN6" s="15" t="s">
        <v>66</v>
      </c>
      <c r="AO6" s="14" t="s">
        <v>156</v>
      </c>
      <c r="AP6" s="17">
        <v>0.0</v>
      </c>
      <c r="AQ6" s="18" t="str">
        <f t="shared" si="9"/>
        <v>RDR-05</v>
      </c>
      <c r="AR6" s="15" t="s">
        <v>66</v>
      </c>
      <c r="AS6" s="14" t="s">
        <v>157</v>
      </c>
      <c r="AT6" s="17">
        <v>0.0</v>
      </c>
      <c r="AU6" s="18" t="str">
        <f t="shared" si="10"/>
        <v>RDR-05</v>
      </c>
      <c r="AV6" s="15" t="s">
        <v>66</v>
      </c>
      <c r="AW6" s="14" t="s">
        <v>158</v>
      </c>
      <c r="AX6" s="17">
        <v>0.0</v>
      </c>
      <c r="AY6" s="18" t="str">
        <f t="shared" si="11"/>
        <v>ROSOV-09</v>
      </c>
      <c r="AZ6" s="16" t="s">
        <v>70</v>
      </c>
      <c r="BA6" s="14" t="s">
        <v>159</v>
      </c>
      <c r="BB6" s="19">
        <v>0.0</v>
      </c>
      <c r="BC6" s="18" t="str">
        <f t="shared" si="12"/>
        <v>ROSOV-09</v>
      </c>
      <c r="BD6" s="16" t="s">
        <v>72</v>
      </c>
      <c r="BE6" s="28"/>
      <c r="BF6" s="28"/>
      <c r="BG6" s="28"/>
      <c r="BH6" s="28"/>
      <c r="BI6" s="28"/>
      <c r="BJ6" s="28"/>
      <c r="BK6" s="28"/>
      <c r="BL6" s="28"/>
      <c r="BM6" s="21" t="s">
        <v>160</v>
      </c>
      <c r="BN6" s="19">
        <v>0.0</v>
      </c>
      <c r="BO6" s="18" t="str">
        <f t="shared" si="13"/>
        <v>ROSOV-10</v>
      </c>
      <c r="BP6" s="16" t="s">
        <v>74</v>
      </c>
      <c r="BQ6" s="21" t="s">
        <v>161</v>
      </c>
      <c r="BR6" s="19">
        <v>0.0</v>
      </c>
      <c r="BS6" s="18" t="str">
        <f t="shared" si="14"/>
        <v>ROSOV-10</v>
      </c>
      <c r="BT6" s="16" t="s">
        <v>76</v>
      </c>
      <c r="BU6" s="28"/>
      <c r="BV6" s="28"/>
      <c r="BW6" s="28"/>
      <c r="BX6" s="28"/>
      <c r="BY6" s="28"/>
      <c r="BZ6" s="28"/>
      <c r="CA6" s="28"/>
      <c r="CB6" s="28"/>
      <c r="CC6" s="22" t="s">
        <v>162</v>
      </c>
      <c r="CD6" s="19">
        <v>0.0</v>
      </c>
      <c r="CE6" s="18" t="str">
        <f t="shared" si="15"/>
        <v>DBBV-32</v>
      </c>
      <c r="CF6" s="16" t="s">
        <v>78</v>
      </c>
      <c r="CG6" s="23" t="s">
        <v>163</v>
      </c>
      <c r="CH6" s="19">
        <v>1.0</v>
      </c>
      <c r="CI6" s="18" t="str">
        <f t="shared" si="16"/>
        <v>DBBV-32</v>
      </c>
      <c r="CJ6" s="16" t="s">
        <v>78</v>
      </c>
      <c r="CK6" s="22" t="s">
        <v>164</v>
      </c>
      <c r="CL6" s="19">
        <v>0.0</v>
      </c>
      <c r="CM6" s="29" t="s">
        <v>165</v>
      </c>
      <c r="CN6" s="16" t="s">
        <v>166</v>
      </c>
      <c r="CO6" s="23" t="s">
        <v>167</v>
      </c>
      <c r="CP6" s="19">
        <v>1.0</v>
      </c>
      <c r="CQ6" s="29" t="s">
        <v>165</v>
      </c>
      <c r="CR6" s="16" t="s">
        <v>166</v>
      </c>
      <c r="CS6" s="22" t="s">
        <v>168</v>
      </c>
      <c r="CT6" s="19">
        <v>0.0</v>
      </c>
      <c r="CU6" s="18" t="str">
        <f t="shared" si="17"/>
        <v>DBBV-34</v>
      </c>
      <c r="CV6" s="25" t="s">
        <v>81</v>
      </c>
      <c r="CW6" s="23" t="s">
        <v>169</v>
      </c>
      <c r="CX6" s="19">
        <v>1.0</v>
      </c>
      <c r="CY6" s="18" t="str">
        <f t="shared" si="18"/>
        <v>DBBV-34</v>
      </c>
      <c r="CZ6" s="25" t="s">
        <v>81</v>
      </c>
      <c r="DA6" s="28"/>
      <c r="DB6" s="28"/>
      <c r="DC6" s="28"/>
      <c r="DD6" s="28"/>
      <c r="DE6" s="24"/>
      <c r="DF6" s="24"/>
      <c r="DG6" s="28"/>
      <c r="DH6" s="28"/>
      <c r="DI6" s="24"/>
      <c r="DJ6" s="24"/>
      <c r="DK6" s="28"/>
      <c r="DL6" s="28"/>
    </row>
    <row r="7" ht="15.75" customHeight="1">
      <c r="A7" s="8">
        <v>1509.0</v>
      </c>
      <c r="B7" s="9" t="s">
        <v>50</v>
      </c>
      <c r="C7" s="10" t="str">
        <f t="shared" si="1"/>
        <v>TK-06_ETHANOL</v>
      </c>
      <c r="D7" s="26" t="s">
        <v>170</v>
      </c>
      <c r="E7" s="27" t="s">
        <v>52</v>
      </c>
      <c r="F7" s="26" t="s">
        <v>53</v>
      </c>
      <c r="G7" s="13" t="s">
        <v>54</v>
      </c>
      <c r="H7" s="8">
        <v>0.0</v>
      </c>
      <c r="I7" s="14" t="s">
        <v>171</v>
      </c>
      <c r="J7" s="28"/>
      <c r="K7" s="15" t="str">
        <f t="shared" si="2"/>
        <v>TK-06</v>
      </c>
      <c r="L7" s="16" t="s">
        <v>56</v>
      </c>
      <c r="M7" s="14" t="s">
        <v>172</v>
      </c>
      <c r="N7" s="17">
        <v>0.0</v>
      </c>
      <c r="O7" s="14" t="s">
        <v>173</v>
      </c>
      <c r="P7" s="17">
        <v>0.0</v>
      </c>
      <c r="Q7" s="18" t="str">
        <f t="shared" si="3"/>
        <v>TK-06</v>
      </c>
      <c r="R7" s="16" t="s">
        <v>56</v>
      </c>
      <c r="S7" s="14" t="s">
        <v>174</v>
      </c>
      <c r="T7" s="17">
        <v>0.0</v>
      </c>
      <c r="U7" s="14" t="s">
        <v>175</v>
      </c>
      <c r="V7" s="17">
        <v>0.0</v>
      </c>
      <c r="W7" s="18" t="str">
        <f t="shared" si="4"/>
        <v>TK-06</v>
      </c>
      <c r="X7" s="16" t="s">
        <v>56</v>
      </c>
      <c r="Y7" s="14" t="s">
        <v>176</v>
      </c>
      <c r="Z7" s="17">
        <v>0.0</v>
      </c>
      <c r="AA7" s="18" t="str">
        <f t="shared" si="5"/>
        <v>LSW-06</v>
      </c>
      <c r="AB7" s="15" t="s">
        <v>62</v>
      </c>
      <c r="AC7" s="14" t="s">
        <v>177</v>
      </c>
      <c r="AD7" s="17">
        <v>0.0</v>
      </c>
      <c r="AE7" s="18" t="str">
        <f t="shared" si="6"/>
        <v>LSW-06</v>
      </c>
      <c r="AF7" s="15" t="s">
        <v>62</v>
      </c>
      <c r="AG7" s="14" t="s">
        <v>178</v>
      </c>
      <c r="AH7" s="17">
        <v>0.0</v>
      </c>
      <c r="AI7" s="18" t="str">
        <f t="shared" si="7"/>
        <v>LSW-06</v>
      </c>
      <c r="AJ7" s="15" t="s">
        <v>62</v>
      </c>
      <c r="AK7" s="14" t="s">
        <v>179</v>
      </c>
      <c r="AL7" s="17">
        <v>0.0</v>
      </c>
      <c r="AM7" s="18" t="str">
        <f t="shared" si="8"/>
        <v>RDR-06</v>
      </c>
      <c r="AN7" s="15" t="s">
        <v>66</v>
      </c>
      <c r="AO7" s="14" t="s">
        <v>180</v>
      </c>
      <c r="AP7" s="17">
        <v>0.0</v>
      </c>
      <c r="AQ7" s="18" t="str">
        <f t="shared" si="9"/>
        <v>RDR-06</v>
      </c>
      <c r="AR7" s="15" t="s">
        <v>66</v>
      </c>
      <c r="AS7" s="14" t="s">
        <v>181</v>
      </c>
      <c r="AT7" s="17">
        <v>0.0</v>
      </c>
      <c r="AU7" s="18" t="str">
        <f t="shared" si="10"/>
        <v>RDR-06</v>
      </c>
      <c r="AV7" s="15" t="s">
        <v>66</v>
      </c>
      <c r="AW7" s="14" t="s">
        <v>182</v>
      </c>
      <c r="AX7" s="17">
        <v>0.0</v>
      </c>
      <c r="AY7" s="18" t="str">
        <f t="shared" si="11"/>
        <v>ROSOV-11</v>
      </c>
      <c r="AZ7" s="16" t="s">
        <v>70</v>
      </c>
      <c r="BA7" s="14" t="s">
        <v>183</v>
      </c>
      <c r="BB7" s="19">
        <v>0.0</v>
      </c>
      <c r="BC7" s="18" t="str">
        <f t="shared" si="12"/>
        <v>ROSOV-11</v>
      </c>
      <c r="BD7" s="16" t="s">
        <v>72</v>
      </c>
      <c r="BE7" s="28"/>
      <c r="BF7" s="28"/>
      <c r="BG7" s="28"/>
      <c r="BH7" s="28"/>
      <c r="BI7" s="28"/>
      <c r="BJ7" s="28"/>
      <c r="BK7" s="28"/>
      <c r="BL7" s="28"/>
      <c r="BM7" s="21" t="s">
        <v>184</v>
      </c>
      <c r="BN7" s="19">
        <v>0.0</v>
      </c>
      <c r="BO7" s="18" t="str">
        <f t="shared" si="13"/>
        <v>ROSOV-12</v>
      </c>
      <c r="BP7" s="16" t="s">
        <v>74</v>
      </c>
      <c r="BQ7" s="21" t="s">
        <v>185</v>
      </c>
      <c r="BR7" s="19">
        <v>0.0</v>
      </c>
      <c r="BS7" s="18" t="str">
        <f t="shared" si="14"/>
        <v>ROSOV-12</v>
      </c>
      <c r="BT7" s="16" t="s">
        <v>76</v>
      </c>
      <c r="BU7" s="28"/>
      <c r="BV7" s="28"/>
      <c r="BW7" s="28"/>
      <c r="BX7" s="28"/>
      <c r="BY7" s="28"/>
      <c r="BZ7" s="28"/>
      <c r="CA7" s="28"/>
      <c r="CB7" s="28"/>
      <c r="CC7" s="22" t="s">
        <v>186</v>
      </c>
      <c r="CD7" s="19">
        <v>0.0</v>
      </c>
      <c r="CE7" s="18" t="str">
        <f t="shared" si="15"/>
        <v>DBBV-35</v>
      </c>
      <c r="CF7" s="16" t="s">
        <v>78</v>
      </c>
      <c r="CG7" s="23" t="s">
        <v>187</v>
      </c>
      <c r="CH7" s="19">
        <v>1.0</v>
      </c>
      <c r="CI7" s="18" t="str">
        <f t="shared" si="16"/>
        <v>DBBV-35</v>
      </c>
      <c r="CJ7" s="16" t="s">
        <v>78</v>
      </c>
      <c r="CK7" s="28"/>
      <c r="CL7" s="28"/>
      <c r="CM7" s="28"/>
      <c r="CN7" s="28"/>
      <c r="CO7" s="24"/>
      <c r="CP7" s="28"/>
      <c r="CQ7" s="28"/>
      <c r="CR7" s="28"/>
      <c r="CS7" s="22" t="s">
        <v>188</v>
      </c>
      <c r="CT7" s="19">
        <v>0.0</v>
      </c>
      <c r="CU7" s="18" t="str">
        <f t="shared" si="17"/>
        <v>DBBV-36</v>
      </c>
      <c r="CV7" s="25" t="s">
        <v>81</v>
      </c>
      <c r="CW7" s="23" t="s">
        <v>189</v>
      </c>
      <c r="CX7" s="19">
        <v>1.0</v>
      </c>
      <c r="CY7" s="18" t="str">
        <f t="shared" si="18"/>
        <v>DBBV-36</v>
      </c>
      <c r="CZ7" s="25" t="s">
        <v>81</v>
      </c>
      <c r="DA7" s="28"/>
      <c r="DB7" s="28"/>
      <c r="DC7" s="28"/>
      <c r="DD7" s="28"/>
      <c r="DE7" s="24"/>
      <c r="DF7" s="24"/>
      <c r="DG7" s="28"/>
      <c r="DH7" s="28"/>
      <c r="DI7" s="24"/>
      <c r="DJ7" s="24"/>
      <c r="DK7" s="28"/>
      <c r="DL7" s="28"/>
    </row>
    <row r="8" ht="15.75" customHeight="1">
      <c r="A8" s="8">
        <v>1509.0</v>
      </c>
      <c r="B8" s="9" t="s">
        <v>50</v>
      </c>
      <c r="C8" s="10" t="str">
        <f t="shared" si="1"/>
        <v>TK-07_BS VI MS</v>
      </c>
      <c r="D8" s="26" t="s">
        <v>190</v>
      </c>
      <c r="E8" s="27" t="s">
        <v>52</v>
      </c>
      <c r="F8" s="26" t="s">
        <v>191</v>
      </c>
      <c r="G8" s="13" t="s">
        <v>54</v>
      </c>
      <c r="H8" s="8">
        <v>0.0</v>
      </c>
      <c r="I8" s="14" t="s">
        <v>192</v>
      </c>
      <c r="J8" s="28"/>
      <c r="K8" s="15" t="str">
        <f t="shared" si="2"/>
        <v>TK-07</v>
      </c>
      <c r="L8" s="16" t="s">
        <v>56</v>
      </c>
      <c r="M8" s="14" t="s">
        <v>193</v>
      </c>
      <c r="N8" s="17">
        <v>0.0</v>
      </c>
      <c r="O8" s="14" t="s">
        <v>194</v>
      </c>
      <c r="P8" s="17">
        <v>0.0</v>
      </c>
      <c r="Q8" s="18" t="str">
        <f t="shared" si="3"/>
        <v>TK-07</v>
      </c>
      <c r="R8" s="16" t="s">
        <v>56</v>
      </c>
      <c r="S8" s="14" t="s">
        <v>195</v>
      </c>
      <c r="T8" s="17">
        <v>0.0</v>
      </c>
      <c r="U8" s="14" t="s">
        <v>196</v>
      </c>
      <c r="V8" s="17">
        <v>0.0</v>
      </c>
      <c r="W8" s="18" t="str">
        <f t="shared" si="4"/>
        <v>TK-07</v>
      </c>
      <c r="X8" s="16" t="s">
        <v>56</v>
      </c>
      <c r="Y8" s="14" t="s">
        <v>197</v>
      </c>
      <c r="Z8" s="17">
        <v>0.0</v>
      </c>
      <c r="AA8" s="18" t="str">
        <f t="shared" si="5"/>
        <v>LSW-07</v>
      </c>
      <c r="AB8" s="15" t="s">
        <v>62</v>
      </c>
      <c r="AC8" s="14" t="s">
        <v>198</v>
      </c>
      <c r="AD8" s="17">
        <v>0.0</v>
      </c>
      <c r="AE8" s="18" t="str">
        <f t="shared" si="6"/>
        <v>LSW-07</v>
      </c>
      <c r="AF8" s="15" t="s">
        <v>62</v>
      </c>
      <c r="AG8" s="14" t="s">
        <v>199</v>
      </c>
      <c r="AH8" s="17">
        <v>0.0</v>
      </c>
      <c r="AI8" s="18" t="str">
        <f t="shared" si="7"/>
        <v>LSW-07</v>
      </c>
      <c r="AJ8" s="15" t="s">
        <v>62</v>
      </c>
      <c r="AK8" s="14" t="s">
        <v>200</v>
      </c>
      <c r="AL8" s="17">
        <v>0.0</v>
      </c>
      <c r="AM8" s="18" t="str">
        <f t="shared" si="8"/>
        <v>RDR-07</v>
      </c>
      <c r="AN8" s="15" t="s">
        <v>66</v>
      </c>
      <c r="AO8" s="14" t="s">
        <v>201</v>
      </c>
      <c r="AP8" s="17">
        <v>0.0</v>
      </c>
      <c r="AQ8" s="18" t="str">
        <f t="shared" si="9"/>
        <v>RDR-07</v>
      </c>
      <c r="AR8" s="15" t="s">
        <v>66</v>
      </c>
      <c r="AS8" s="14" t="s">
        <v>202</v>
      </c>
      <c r="AT8" s="17">
        <v>0.0</v>
      </c>
      <c r="AU8" s="18" t="str">
        <f t="shared" si="10"/>
        <v>RDR-07</v>
      </c>
      <c r="AV8" s="15" t="s">
        <v>66</v>
      </c>
      <c r="AW8" s="14" t="s">
        <v>203</v>
      </c>
      <c r="AX8" s="17">
        <v>0.0</v>
      </c>
      <c r="AY8" s="18" t="str">
        <f t="shared" si="11"/>
        <v>ROSOV-13</v>
      </c>
      <c r="AZ8" s="16" t="s">
        <v>70</v>
      </c>
      <c r="BA8" s="14" t="s">
        <v>204</v>
      </c>
      <c r="BB8" s="19">
        <v>0.0</v>
      </c>
      <c r="BC8" s="18" t="str">
        <f t="shared" si="12"/>
        <v>ROSOV-13</v>
      </c>
      <c r="BD8" s="16" t="s">
        <v>72</v>
      </c>
      <c r="BE8" s="28"/>
      <c r="BF8" s="28"/>
      <c r="BG8" s="28"/>
      <c r="BH8" s="28"/>
      <c r="BI8" s="28"/>
      <c r="BJ8" s="28"/>
      <c r="BK8" s="28"/>
      <c r="BL8" s="28"/>
      <c r="BM8" s="21" t="s">
        <v>205</v>
      </c>
      <c r="BN8" s="19">
        <v>0.0</v>
      </c>
      <c r="BO8" s="18" t="str">
        <f t="shared" si="13"/>
        <v>ROSOV-14</v>
      </c>
      <c r="BP8" s="16" t="s">
        <v>74</v>
      </c>
      <c r="BQ8" s="21" t="s">
        <v>206</v>
      </c>
      <c r="BR8" s="19">
        <v>0.0</v>
      </c>
      <c r="BS8" s="18" t="str">
        <f t="shared" si="14"/>
        <v>ROSOV-14</v>
      </c>
      <c r="BT8" s="16" t="s">
        <v>76</v>
      </c>
      <c r="BU8" s="28"/>
      <c r="BV8" s="28"/>
      <c r="BW8" s="28"/>
      <c r="BX8" s="28"/>
      <c r="BY8" s="28"/>
      <c r="BZ8" s="28"/>
      <c r="CA8" s="28"/>
      <c r="CB8" s="28"/>
      <c r="CC8" s="22" t="s">
        <v>207</v>
      </c>
      <c r="CD8" s="19">
        <v>0.0</v>
      </c>
      <c r="CE8" s="18" t="str">
        <f t="shared" si="15"/>
        <v>DBBV-11</v>
      </c>
      <c r="CF8" s="16" t="s">
        <v>78</v>
      </c>
      <c r="CG8" s="23" t="s">
        <v>208</v>
      </c>
      <c r="CH8" s="19">
        <v>1.0</v>
      </c>
      <c r="CI8" s="18" t="str">
        <f t="shared" si="16"/>
        <v>DBBV-11</v>
      </c>
      <c r="CJ8" s="16" t="s">
        <v>78</v>
      </c>
      <c r="CK8" s="28"/>
      <c r="CL8" s="28"/>
      <c r="CM8" s="28"/>
      <c r="CN8" s="28"/>
      <c r="CO8" s="24"/>
      <c r="CP8" s="28"/>
      <c r="CQ8" s="28"/>
      <c r="CR8" s="28"/>
      <c r="CS8" s="22" t="s">
        <v>209</v>
      </c>
      <c r="CT8" s="19">
        <v>0.0</v>
      </c>
      <c r="CU8" s="18" t="str">
        <f t="shared" si="17"/>
        <v>DBBV-12</v>
      </c>
      <c r="CV8" s="25" t="s">
        <v>81</v>
      </c>
      <c r="CW8" s="23" t="s">
        <v>210</v>
      </c>
      <c r="CX8" s="19">
        <v>1.0</v>
      </c>
      <c r="CY8" s="18" t="str">
        <f t="shared" si="18"/>
        <v>DBBV-12</v>
      </c>
      <c r="CZ8" s="25" t="s">
        <v>81</v>
      </c>
      <c r="DA8" s="28"/>
      <c r="DB8" s="28"/>
      <c r="DC8" s="28"/>
      <c r="DD8" s="28"/>
      <c r="DE8" s="30" t="s">
        <v>211</v>
      </c>
      <c r="DF8" s="19">
        <v>0.0</v>
      </c>
      <c r="DG8" s="28" t="str">
        <f t="shared" ref="DG8:DG10" si="19">MID(DE8,9,10)</f>
        <v>RIMSEAL-01</v>
      </c>
      <c r="DH8" s="31" t="s">
        <v>212</v>
      </c>
      <c r="DI8" s="30" t="s">
        <v>213</v>
      </c>
      <c r="DJ8" s="19">
        <v>0.0</v>
      </c>
      <c r="DK8" s="28" t="str">
        <f t="shared" ref="DK8:DK10" si="20">MID(DI8,9,10)</f>
        <v>RIMSEAL-01</v>
      </c>
      <c r="DL8" s="31" t="s">
        <v>212</v>
      </c>
    </row>
    <row r="9" ht="15.75" customHeight="1">
      <c r="A9" s="8">
        <v>1509.0</v>
      </c>
      <c r="B9" s="9" t="s">
        <v>50</v>
      </c>
      <c r="C9" s="10" t="str">
        <f t="shared" si="1"/>
        <v>TK-08_BS VI MS</v>
      </c>
      <c r="D9" s="26" t="s">
        <v>214</v>
      </c>
      <c r="E9" s="27" t="s">
        <v>52</v>
      </c>
      <c r="F9" s="26" t="s">
        <v>191</v>
      </c>
      <c r="G9" s="13" t="s">
        <v>54</v>
      </c>
      <c r="H9" s="8">
        <v>0.0</v>
      </c>
      <c r="I9" s="14" t="s">
        <v>215</v>
      </c>
      <c r="J9" s="28"/>
      <c r="K9" s="15" t="str">
        <f t="shared" si="2"/>
        <v>TK-08</v>
      </c>
      <c r="L9" s="16" t="s">
        <v>56</v>
      </c>
      <c r="M9" s="14" t="s">
        <v>216</v>
      </c>
      <c r="N9" s="17">
        <v>0.0</v>
      </c>
      <c r="O9" s="14" t="s">
        <v>217</v>
      </c>
      <c r="P9" s="17">
        <v>0.0</v>
      </c>
      <c r="Q9" s="18" t="str">
        <f t="shared" si="3"/>
        <v>TK-08</v>
      </c>
      <c r="R9" s="16" t="s">
        <v>56</v>
      </c>
      <c r="S9" s="14" t="s">
        <v>218</v>
      </c>
      <c r="T9" s="17">
        <v>0.0</v>
      </c>
      <c r="U9" s="14" t="s">
        <v>219</v>
      </c>
      <c r="V9" s="17">
        <v>0.0</v>
      </c>
      <c r="W9" s="18" t="str">
        <f t="shared" si="4"/>
        <v>TK-08</v>
      </c>
      <c r="X9" s="16" t="s">
        <v>56</v>
      </c>
      <c r="Y9" s="14" t="s">
        <v>220</v>
      </c>
      <c r="Z9" s="17">
        <v>0.0</v>
      </c>
      <c r="AA9" s="18" t="str">
        <f t="shared" si="5"/>
        <v>LSW-08</v>
      </c>
      <c r="AB9" s="15" t="s">
        <v>62</v>
      </c>
      <c r="AC9" s="14" t="s">
        <v>221</v>
      </c>
      <c r="AD9" s="17">
        <v>0.0</v>
      </c>
      <c r="AE9" s="18" t="str">
        <f t="shared" si="6"/>
        <v>LSW-08</v>
      </c>
      <c r="AF9" s="15" t="s">
        <v>62</v>
      </c>
      <c r="AG9" s="14" t="s">
        <v>222</v>
      </c>
      <c r="AH9" s="17">
        <v>0.0</v>
      </c>
      <c r="AI9" s="18" t="str">
        <f t="shared" si="7"/>
        <v>LSW-08</v>
      </c>
      <c r="AJ9" s="15" t="s">
        <v>62</v>
      </c>
      <c r="AK9" s="14" t="s">
        <v>223</v>
      </c>
      <c r="AL9" s="17">
        <v>0.0</v>
      </c>
      <c r="AM9" s="18" t="str">
        <f t="shared" si="8"/>
        <v>RDR-08</v>
      </c>
      <c r="AN9" s="15" t="s">
        <v>66</v>
      </c>
      <c r="AO9" s="14" t="s">
        <v>224</v>
      </c>
      <c r="AP9" s="17">
        <v>0.0</v>
      </c>
      <c r="AQ9" s="18" t="str">
        <f t="shared" si="9"/>
        <v>RDR-08</v>
      </c>
      <c r="AR9" s="15" t="s">
        <v>66</v>
      </c>
      <c r="AS9" s="14" t="s">
        <v>225</v>
      </c>
      <c r="AT9" s="17">
        <v>0.0</v>
      </c>
      <c r="AU9" s="18" t="str">
        <f t="shared" si="10"/>
        <v>RDR-08</v>
      </c>
      <c r="AV9" s="15" t="s">
        <v>66</v>
      </c>
      <c r="AW9" s="14" t="s">
        <v>226</v>
      </c>
      <c r="AX9" s="17">
        <v>0.0</v>
      </c>
      <c r="AY9" s="18" t="str">
        <f t="shared" si="11"/>
        <v>ROSOV-15</v>
      </c>
      <c r="AZ9" s="16" t="s">
        <v>70</v>
      </c>
      <c r="BA9" s="14" t="s">
        <v>227</v>
      </c>
      <c r="BB9" s="19">
        <v>0.0</v>
      </c>
      <c r="BC9" s="18" t="str">
        <f t="shared" si="12"/>
        <v>ROSOV-15</v>
      </c>
      <c r="BD9" s="16" t="s">
        <v>72</v>
      </c>
      <c r="BE9" s="28"/>
      <c r="BF9" s="28"/>
      <c r="BG9" s="28"/>
      <c r="BH9" s="28"/>
      <c r="BI9" s="28"/>
      <c r="BJ9" s="28"/>
      <c r="BK9" s="28"/>
      <c r="BL9" s="28"/>
      <c r="BM9" s="21" t="s">
        <v>228</v>
      </c>
      <c r="BN9" s="19">
        <v>0.0</v>
      </c>
      <c r="BO9" s="18" t="str">
        <f t="shared" si="13"/>
        <v>ROSOV-16</v>
      </c>
      <c r="BP9" s="16" t="s">
        <v>74</v>
      </c>
      <c r="BQ9" s="21" t="s">
        <v>229</v>
      </c>
      <c r="BR9" s="19">
        <v>0.0</v>
      </c>
      <c r="BS9" s="18" t="str">
        <f t="shared" si="14"/>
        <v>ROSOV-16</v>
      </c>
      <c r="BT9" s="16" t="s">
        <v>76</v>
      </c>
      <c r="BU9" s="28"/>
      <c r="BV9" s="28"/>
      <c r="BW9" s="28"/>
      <c r="BX9" s="28"/>
      <c r="BY9" s="28"/>
      <c r="BZ9" s="28"/>
      <c r="CA9" s="28"/>
      <c r="CB9" s="28"/>
      <c r="CC9" s="22" t="s">
        <v>230</v>
      </c>
      <c r="CD9" s="19">
        <v>0.0</v>
      </c>
      <c r="CE9" s="18" t="str">
        <f t="shared" si="15"/>
        <v>DBBV-14</v>
      </c>
      <c r="CF9" s="16" t="s">
        <v>78</v>
      </c>
      <c r="CG9" s="23" t="s">
        <v>231</v>
      </c>
      <c r="CH9" s="19">
        <v>1.0</v>
      </c>
      <c r="CI9" s="18" t="str">
        <f t="shared" si="16"/>
        <v>DBBV-14</v>
      </c>
      <c r="CJ9" s="16" t="s">
        <v>78</v>
      </c>
      <c r="CK9" s="28"/>
      <c r="CL9" s="28"/>
      <c r="CM9" s="28"/>
      <c r="CN9" s="28"/>
      <c r="CO9" s="24"/>
      <c r="CP9" s="28"/>
      <c r="CQ9" s="28"/>
      <c r="CR9" s="28"/>
      <c r="CS9" s="22" t="s">
        <v>232</v>
      </c>
      <c r="CT9" s="19">
        <v>0.0</v>
      </c>
      <c r="CU9" s="18" t="str">
        <f t="shared" si="17"/>
        <v>DBBV-15</v>
      </c>
      <c r="CV9" s="25" t="s">
        <v>81</v>
      </c>
      <c r="CW9" s="23" t="s">
        <v>233</v>
      </c>
      <c r="CX9" s="19">
        <v>1.0</v>
      </c>
      <c r="CY9" s="18" t="str">
        <f t="shared" si="18"/>
        <v>DBBV-15</v>
      </c>
      <c r="CZ9" s="25" t="s">
        <v>81</v>
      </c>
      <c r="DA9" s="28"/>
      <c r="DB9" s="28"/>
      <c r="DC9" s="28"/>
      <c r="DD9" s="28"/>
      <c r="DE9" s="30" t="s">
        <v>234</v>
      </c>
      <c r="DF9" s="19">
        <v>0.0</v>
      </c>
      <c r="DG9" s="28" t="str">
        <f t="shared" si="19"/>
        <v>RIMSEAL-02</v>
      </c>
      <c r="DH9" s="31" t="s">
        <v>212</v>
      </c>
      <c r="DI9" s="30" t="s">
        <v>235</v>
      </c>
      <c r="DJ9" s="19">
        <v>0.0</v>
      </c>
      <c r="DK9" s="28" t="str">
        <f t="shared" si="20"/>
        <v>RIMSEAL-02</v>
      </c>
      <c r="DL9" s="31" t="s">
        <v>212</v>
      </c>
    </row>
    <row r="10" ht="15.75" customHeight="1">
      <c r="A10" s="8">
        <v>1509.0</v>
      </c>
      <c r="B10" s="9" t="s">
        <v>50</v>
      </c>
      <c r="C10" s="10" t="str">
        <f t="shared" si="1"/>
        <v>TK-09_BS VI MS</v>
      </c>
      <c r="D10" s="26" t="s">
        <v>236</v>
      </c>
      <c r="E10" s="27" t="s">
        <v>52</v>
      </c>
      <c r="F10" s="26" t="s">
        <v>191</v>
      </c>
      <c r="G10" s="13" t="s">
        <v>54</v>
      </c>
      <c r="H10" s="8">
        <v>0.0</v>
      </c>
      <c r="I10" s="14" t="s">
        <v>237</v>
      </c>
      <c r="J10" s="28"/>
      <c r="K10" s="15" t="str">
        <f t="shared" si="2"/>
        <v>TK-09</v>
      </c>
      <c r="L10" s="16" t="s">
        <v>56</v>
      </c>
      <c r="M10" s="14" t="s">
        <v>238</v>
      </c>
      <c r="N10" s="17">
        <v>0.0</v>
      </c>
      <c r="O10" s="14" t="s">
        <v>239</v>
      </c>
      <c r="P10" s="17">
        <v>0.0</v>
      </c>
      <c r="Q10" s="18" t="str">
        <f t="shared" si="3"/>
        <v>TK-09</v>
      </c>
      <c r="R10" s="16" t="s">
        <v>56</v>
      </c>
      <c r="S10" s="14" t="s">
        <v>240</v>
      </c>
      <c r="T10" s="17">
        <v>0.0</v>
      </c>
      <c r="U10" s="14" t="s">
        <v>241</v>
      </c>
      <c r="V10" s="17">
        <v>0.0</v>
      </c>
      <c r="W10" s="18" t="str">
        <f t="shared" si="4"/>
        <v>TK-09</v>
      </c>
      <c r="X10" s="16" t="s">
        <v>56</v>
      </c>
      <c r="Y10" s="14" t="s">
        <v>242</v>
      </c>
      <c r="Z10" s="17">
        <v>0.0</v>
      </c>
      <c r="AA10" s="18" t="str">
        <f t="shared" si="5"/>
        <v>LSW-09</v>
      </c>
      <c r="AB10" s="15" t="s">
        <v>62</v>
      </c>
      <c r="AC10" s="14" t="s">
        <v>243</v>
      </c>
      <c r="AD10" s="17">
        <v>0.0</v>
      </c>
      <c r="AE10" s="18" t="str">
        <f t="shared" si="6"/>
        <v>LSW-09</v>
      </c>
      <c r="AF10" s="15" t="s">
        <v>62</v>
      </c>
      <c r="AG10" s="14" t="s">
        <v>244</v>
      </c>
      <c r="AH10" s="17">
        <v>0.0</v>
      </c>
      <c r="AI10" s="18" t="str">
        <f t="shared" si="7"/>
        <v>LSW-09</v>
      </c>
      <c r="AJ10" s="15" t="s">
        <v>62</v>
      </c>
      <c r="AK10" s="14" t="s">
        <v>245</v>
      </c>
      <c r="AL10" s="17">
        <v>0.0</v>
      </c>
      <c r="AM10" s="18" t="str">
        <f t="shared" si="8"/>
        <v>RDR-09</v>
      </c>
      <c r="AN10" s="15" t="s">
        <v>66</v>
      </c>
      <c r="AO10" s="14" t="s">
        <v>246</v>
      </c>
      <c r="AP10" s="17">
        <v>0.0</v>
      </c>
      <c r="AQ10" s="18" t="str">
        <f t="shared" si="9"/>
        <v>RDR-09</v>
      </c>
      <c r="AR10" s="15" t="s">
        <v>66</v>
      </c>
      <c r="AS10" s="14" t="s">
        <v>247</v>
      </c>
      <c r="AT10" s="17">
        <v>0.0</v>
      </c>
      <c r="AU10" s="18" t="str">
        <f t="shared" si="10"/>
        <v>RDR-09</v>
      </c>
      <c r="AV10" s="15" t="s">
        <v>66</v>
      </c>
      <c r="AW10" s="14" t="s">
        <v>248</v>
      </c>
      <c r="AX10" s="17">
        <v>0.0</v>
      </c>
      <c r="AY10" s="18" t="str">
        <f t="shared" si="11"/>
        <v>ROSOV-17</v>
      </c>
      <c r="AZ10" s="16" t="s">
        <v>70</v>
      </c>
      <c r="BA10" s="14" t="s">
        <v>249</v>
      </c>
      <c r="BB10" s="19">
        <v>0.0</v>
      </c>
      <c r="BC10" s="18" t="str">
        <f t="shared" si="12"/>
        <v>ROSOV-17</v>
      </c>
      <c r="BD10" s="16" t="s">
        <v>72</v>
      </c>
      <c r="BE10" s="28"/>
      <c r="BF10" s="28"/>
      <c r="BG10" s="28"/>
      <c r="BH10" s="28"/>
      <c r="BI10" s="28"/>
      <c r="BJ10" s="28"/>
      <c r="BK10" s="28"/>
      <c r="BL10" s="28"/>
      <c r="BM10" s="21" t="s">
        <v>250</v>
      </c>
      <c r="BN10" s="19">
        <v>0.0</v>
      </c>
      <c r="BO10" s="18" t="str">
        <f t="shared" si="13"/>
        <v>ROSOV-18</v>
      </c>
      <c r="BP10" s="16" t="s">
        <v>74</v>
      </c>
      <c r="BQ10" s="21" t="s">
        <v>251</v>
      </c>
      <c r="BR10" s="19">
        <v>0.0</v>
      </c>
      <c r="BS10" s="18" t="str">
        <f t="shared" si="14"/>
        <v>ROSOV-18</v>
      </c>
      <c r="BT10" s="16" t="s">
        <v>76</v>
      </c>
      <c r="BU10" s="28"/>
      <c r="BV10" s="28"/>
      <c r="BW10" s="28"/>
      <c r="BX10" s="28"/>
      <c r="BY10" s="28"/>
      <c r="BZ10" s="28"/>
      <c r="CA10" s="28"/>
      <c r="CB10" s="28"/>
      <c r="CC10" s="22" t="s">
        <v>252</v>
      </c>
      <c r="CD10" s="19">
        <v>0.0</v>
      </c>
      <c r="CE10" s="18" t="str">
        <f t="shared" si="15"/>
        <v>DBBV-17</v>
      </c>
      <c r="CF10" s="16" t="s">
        <v>78</v>
      </c>
      <c r="CG10" s="23" t="s">
        <v>253</v>
      </c>
      <c r="CH10" s="19">
        <v>1.0</v>
      </c>
      <c r="CI10" s="18" t="str">
        <f t="shared" si="16"/>
        <v>DBBV-17</v>
      </c>
      <c r="CJ10" s="16" t="s">
        <v>78</v>
      </c>
      <c r="CK10" s="28"/>
      <c r="CL10" s="28"/>
      <c r="CM10" s="28"/>
      <c r="CN10" s="28"/>
      <c r="CO10" s="24"/>
      <c r="CP10" s="28"/>
      <c r="CQ10" s="28"/>
      <c r="CR10" s="28"/>
      <c r="CS10" s="22" t="s">
        <v>254</v>
      </c>
      <c r="CT10" s="19">
        <v>0.0</v>
      </c>
      <c r="CU10" s="18" t="str">
        <f t="shared" si="17"/>
        <v>DBBV-18</v>
      </c>
      <c r="CV10" s="25" t="s">
        <v>81</v>
      </c>
      <c r="CW10" s="23" t="s">
        <v>255</v>
      </c>
      <c r="CX10" s="19">
        <v>1.0</v>
      </c>
      <c r="CY10" s="18" t="str">
        <f t="shared" si="18"/>
        <v>DBBV-18</v>
      </c>
      <c r="CZ10" s="25" t="s">
        <v>81</v>
      </c>
      <c r="DA10" s="28"/>
      <c r="DB10" s="28"/>
      <c r="DC10" s="28"/>
      <c r="DD10" s="28"/>
      <c r="DE10" s="30" t="s">
        <v>256</v>
      </c>
      <c r="DF10" s="19">
        <v>0.0</v>
      </c>
      <c r="DG10" s="28" t="str">
        <f t="shared" si="19"/>
        <v>RIMSEAL-03</v>
      </c>
      <c r="DH10" s="31" t="s">
        <v>212</v>
      </c>
      <c r="DI10" s="30" t="s">
        <v>257</v>
      </c>
      <c r="DJ10" s="19">
        <v>0.0</v>
      </c>
      <c r="DK10" s="28" t="str">
        <f t="shared" si="20"/>
        <v>RIMSEAL-03</v>
      </c>
      <c r="DL10" s="31" t="s">
        <v>212</v>
      </c>
    </row>
    <row r="11" ht="15.75" customHeight="1">
      <c r="A11" s="8">
        <v>1509.0</v>
      </c>
      <c r="B11" s="9" t="s">
        <v>50</v>
      </c>
      <c r="C11" s="10" t="str">
        <f t="shared" si="1"/>
        <v>TK-10_WATER</v>
      </c>
      <c r="D11" s="26" t="s">
        <v>258</v>
      </c>
      <c r="E11" s="27" t="s">
        <v>52</v>
      </c>
      <c r="F11" s="26" t="s">
        <v>259</v>
      </c>
      <c r="G11" s="13" t="s">
        <v>54</v>
      </c>
      <c r="H11" s="8">
        <v>0.0</v>
      </c>
      <c r="I11" s="14" t="s">
        <v>260</v>
      </c>
      <c r="J11" s="28"/>
      <c r="K11" s="15" t="str">
        <f t="shared" si="2"/>
        <v>TK-10</v>
      </c>
      <c r="L11" s="16" t="s">
        <v>56</v>
      </c>
      <c r="M11" s="14"/>
      <c r="N11" s="14"/>
      <c r="O11" s="14"/>
      <c r="P11" s="14"/>
      <c r="Q11" s="18" t="str">
        <f t="shared" si="3"/>
        <v/>
      </c>
      <c r="R11" s="28"/>
      <c r="S11" s="14" t="s">
        <v>261</v>
      </c>
      <c r="T11" s="17">
        <v>0.0</v>
      </c>
      <c r="U11" s="14"/>
      <c r="V11" s="14"/>
      <c r="W11" s="18" t="str">
        <f t="shared" si="4"/>
        <v/>
      </c>
      <c r="X11" s="28"/>
      <c r="Y11" s="24"/>
      <c r="Z11" s="24"/>
      <c r="AA11" s="18" t="str">
        <f t="shared" si="5"/>
        <v/>
      </c>
      <c r="AB11" s="28"/>
      <c r="AC11" s="24"/>
      <c r="AD11" s="24"/>
      <c r="AE11" s="18" t="str">
        <f t="shared" si="6"/>
        <v/>
      </c>
      <c r="AF11" s="28"/>
      <c r="AG11" s="24"/>
      <c r="AH11" s="24"/>
      <c r="AI11" s="18" t="str">
        <f t="shared" si="7"/>
        <v/>
      </c>
      <c r="AJ11" s="28"/>
      <c r="AK11" s="24"/>
      <c r="AL11" s="24"/>
      <c r="AM11" s="18" t="str">
        <f t="shared" si="8"/>
        <v/>
      </c>
      <c r="AN11" s="28"/>
      <c r="AO11" s="24"/>
      <c r="AP11" s="24"/>
      <c r="AQ11" s="18" t="str">
        <f t="shared" si="9"/>
        <v/>
      </c>
      <c r="AR11" s="28"/>
      <c r="AS11" s="24"/>
      <c r="AT11" s="24"/>
      <c r="AU11" s="18" t="str">
        <f t="shared" si="10"/>
        <v/>
      </c>
      <c r="AV11" s="28"/>
      <c r="AW11" s="24"/>
      <c r="AX11" s="24"/>
      <c r="AY11" s="18" t="str">
        <f t="shared" si="11"/>
        <v/>
      </c>
      <c r="AZ11" s="28"/>
      <c r="BA11" s="24"/>
      <c r="BB11" s="24"/>
      <c r="BC11" s="18" t="str">
        <f t="shared" si="12"/>
        <v/>
      </c>
      <c r="BD11" s="28"/>
      <c r="BE11" s="28"/>
      <c r="BF11" s="28"/>
      <c r="BG11" s="28"/>
      <c r="BH11" s="28"/>
      <c r="BI11" s="28"/>
      <c r="BJ11" s="28"/>
      <c r="BK11" s="28"/>
      <c r="BL11" s="28"/>
      <c r="BM11" s="24"/>
      <c r="BN11" s="24"/>
      <c r="BO11" s="18" t="str">
        <f t="shared" si="13"/>
        <v/>
      </c>
      <c r="BP11" s="28"/>
      <c r="BQ11" s="24"/>
      <c r="BR11" s="24"/>
      <c r="BS11" s="18" t="str">
        <f t="shared" si="14"/>
        <v/>
      </c>
      <c r="BT11" s="28"/>
      <c r="BU11" s="28"/>
      <c r="BV11" s="28"/>
      <c r="BW11" s="28"/>
      <c r="BX11" s="28"/>
      <c r="BY11" s="28"/>
      <c r="BZ11" s="28"/>
      <c r="CA11" s="28"/>
      <c r="CB11" s="28"/>
      <c r="CC11" s="24"/>
      <c r="CD11" s="24"/>
      <c r="CE11" s="18" t="str">
        <f t="shared" si="15"/>
        <v/>
      </c>
      <c r="CF11" s="28"/>
      <c r="CG11" s="24"/>
      <c r="CH11" s="24"/>
      <c r="CI11" s="18" t="str">
        <f t="shared" si="16"/>
        <v/>
      </c>
      <c r="CJ11" s="28"/>
      <c r="CK11" s="28"/>
      <c r="CL11" s="28"/>
      <c r="CM11" s="28"/>
      <c r="CN11" s="28"/>
      <c r="CO11" s="24"/>
      <c r="CP11" s="28"/>
      <c r="CQ11" s="28"/>
      <c r="CR11" s="28"/>
      <c r="CS11" s="24"/>
      <c r="CT11" s="24"/>
      <c r="CU11" s="18" t="str">
        <f t="shared" si="17"/>
        <v/>
      </c>
      <c r="CV11" s="28"/>
      <c r="CW11" s="24"/>
      <c r="CX11" s="24"/>
      <c r="CY11" s="18" t="str">
        <f t="shared" si="18"/>
        <v/>
      </c>
      <c r="CZ11" s="28"/>
      <c r="DA11" s="28"/>
      <c r="DB11" s="28"/>
      <c r="DC11" s="28"/>
      <c r="DD11" s="28"/>
      <c r="DE11" s="24"/>
      <c r="DF11" s="24"/>
      <c r="DG11" s="28"/>
      <c r="DH11" s="28"/>
      <c r="DI11" s="24"/>
      <c r="DJ11" s="24"/>
      <c r="DK11" s="28"/>
      <c r="DL11" s="28"/>
    </row>
    <row r="12" ht="15.75" customHeight="1">
      <c r="A12" s="8">
        <v>1509.0</v>
      </c>
      <c r="B12" s="9" t="s">
        <v>50</v>
      </c>
      <c r="C12" s="10" t="str">
        <f t="shared" si="1"/>
        <v>TK-11_WATER</v>
      </c>
      <c r="D12" s="26" t="s">
        <v>262</v>
      </c>
      <c r="E12" s="27" t="s">
        <v>52</v>
      </c>
      <c r="F12" s="26" t="s">
        <v>259</v>
      </c>
      <c r="G12" s="13" t="s">
        <v>54</v>
      </c>
      <c r="H12" s="8">
        <v>0.0</v>
      </c>
      <c r="I12" s="14" t="s">
        <v>263</v>
      </c>
      <c r="J12" s="28"/>
      <c r="K12" s="15" t="str">
        <f t="shared" si="2"/>
        <v>TK-11</v>
      </c>
      <c r="L12" s="16" t="s">
        <v>56</v>
      </c>
      <c r="M12" s="14"/>
      <c r="N12" s="14"/>
      <c r="O12" s="14"/>
      <c r="P12" s="14"/>
      <c r="Q12" s="18" t="str">
        <f t="shared" si="3"/>
        <v/>
      </c>
      <c r="R12" s="28"/>
      <c r="S12" s="14" t="s">
        <v>264</v>
      </c>
      <c r="T12" s="17">
        <v>0.0</v>
      </c>
      <c r="U12" s="14"/>
      <c r="V12" s="14"/>
      <c r="W12" s="18" t="str">
        <f t="shared" si="4"/>
        <v/>
      </c>
      <c r="X12" s="28"/>
      <c r="Y12" s="24"/>
      <c r="Z12" s="24"/>
      <c r="AA12" s="18" t="str">
        <f t="shared" si="5"/>
        <v/>
      </c>
      <c r="AB12" s="28"/>
      <c r="AC12" s="24"/>
      <c r="AD12" s="24"/>
      <c r="AE12" s="18" t="str">
        <f t="shared" si="6"/>
        <v/>
      </c>
      <c r="AF12" s="28"/>
      <c r="AG12" s="24"/>
      <c r="AH12" s="24"/>
      <c r="AI12" s="18" t="str">
        <f t="shared" si="7"/>
        <v/>
      </c>
      <c r="AJ12" s="28"/>
      <c r="AK12" s="24"/>
      <c r="AL12" s="24"/>
      <c r="AM12" s="18" t="str">
        <f t="shared" si="8"/>
        <v/>
      </c>
      <c r="AN12" s="28"/>
      <c r="AO12" s="24"/>
      <c r="AP12" s="24"/>
      <c r="AQ12" s="18" t="str">
        <f t="shared" si="9"/>
        <v/>
      </c>
      <c r="AR12" s="28"/>
      <c r="AS12" s="24"/>
      <c r="AT12" s="24"/>
      <c r="AU12" s="18" t="str">
        <f t="shared" si="10"/>
        <v/>
      </c>
      <c r="AV12" s="28"/>
      <c r="AW12" s="24"/>
      <c r="AX12" s="24"/>
      <c r="AY12" s="18" t="str">
        <f t="shared" si="11"/>
        <v/>
      </c>
      <c r="AZ12" s="28"/>
      <c r="BA12" s="24"/>
      <c r="BB12" s="24"/>
      <c r="BC12" s="18" t="str">
        <f t="shared" si="12"/>
        <v/>
      </c>
      <c r="BD12" s="28"/>
      <c r="BE12" s="28"/>
      <c r="BF12" s="28"/>
      <c r="BG12" s="28"/>
      <c r="BH12" s="28"/>
      <c r="BI12" s="28"/>
      <c r="BJ12" s="28"/>
      <c r="BK12" s="28"/>
      <c r="BL12" s="28"/>
      <c r="BM12" s="24"/>
      <c r="BN12" s="24"/>
      <c r="BO12" s="18" t="str">
        <f t="shared" si="13"/>
        <v/>
      </c>
      <c r="BP12" s="28"/>
      <c r="BQ12" s="24"/>
      <c r="BR12" s="24"/>
      <c r="BS12" s="18" t="str">
        <f t="shared" si="14"/>
        <v/>
      </c>
      <c r="BT12" s="28"/>
      <c r="BU12" s="28"/>
      <c r="BV12" s="28"/>
      <c r="BW12" s="28"/>
      <c r="BX12" s="28"/>
      <c r="BY12" s="28"/>
      <c r="BZ12" s="28"/>
      <c r="CA12" s="28"/>
      <c r="CB12" s="28"/>
      <c r="CC12" s="24"/>
      <c r="CD12" s="24"/>
      <c r="CE12" s="18" t="str">
        <f t="shared" si="15"/>
        <v/>
      </c>
      <c r="CF12" s="28"/>
      <c r="CG12" s="24"/>
      <c r="CH12" s="24"/>
      <c r="CI12" s="18" t="str">
        <f t="shared" si="16"/>
        <v/>
      </c>
      <c r="CJ12" s="28"/>
      <c r="CK12" s="28"/>
      <c r="CL12" s="28"/>
      <c r="CM12" s="28"/>
      <c r="CN12" s="28"/>
      <c r="CO12" s="24"/>
      <c r="CP12" s="28"/>
      <c r="CQ12" s="28"/>
      <c r="CR12" s="28"/>
      <c r="CS12" s="24"/>
      <c r="CT12" s="24"/>
      <c r="CU12" s="18" t="str">
        <f t="shared" si="17"/>
        <v/>
      </c>
      <c r="CV12" s="28"/>
      <c r="CW12" s="24"/>
      <c r="CX12" s="24"/>
      <c r="CY12" s="18" t="str">
        <f t="shared" si="18"/>
        <v/>
      </c>
      <c r="CZ12" s="28"/>
      <c r="DA12" s="28"/>
      <c r="DB12" s="28"/>
      <c r="DC12" s="28"/>
      <c r="DD12" s="28"/>
      <c r="DE12" s="24"/>
      <c r="DF12" s="24"/>
      <c r="DG12" s="28"/>
      <c r="DH12" s="28"/>
      <c r="DI12" s="24"/>
      <c r="DJ12" s="24"/>
      <c r="DK12" s="28"/>
      <c r="DL12" s="28"/>
    </row>
    <row r="13" ht="15.75" customHeight="1">
      <c r="A13" s="8">
        <v>1509.0</v>
      </c>
      <c r="B13" s="9" t="s">
        <v>50</v>
      </c>
      <c r="C13" s="10" t="str">
        <f t="shared" si="1"/>
        <v>TK-12_BS VI HSD</v>
      </c>
      <c r="D13" s="26" t="s">
        <v>265</v>
      </c>
      <c r="E13" s="27" t="s">
        <v>52</v>
      </c>
      <c r="F13" s="26" t="s">
        <v>84</v>
      </c>
      <c r="G13" s="13" t="s">
        <v>54</v>
      </c>
      <c r="H13" s="8">
        <v>0.0</v>
      </c>
      <c r="I13" s="14" t="s">
        <v>266</v>
      </c>
      <c r="J13" s="28"/>
      <c r="K13" s="15" t="str">
        <f t="shared" si="2"/>
        <v>TK-12</v>
      </c>
      <c r="L13" s="16" t="s">
        <v>56</v>
      </c>
      <c r="M13" s="14" t="s">
        <v>267</v>
      </c>
      <c r="N13" s="17">
        <v>0.0</v>
      </c>
      <c r="O13" s="14" t="s">
        <v>268</v>
      </c>
      <c r="P13" s="17">
        <v>0.0</v>
      </c>
      <c r="Q13" s="18" t="str">
        <f t="shared" si="3"/>
        <v>TK-12</v>
      </c>
      <c r="R13" s="16" t="s">
        <v>56</v>
      </c>
      <c r="S13" s="14" t="s">
        <v>269</v>
      </c>
      <c r="T13" s="17">
        <v>0.0</v>
      </c>
      <c r="U13" s="14" t="s">
        <v>270</v>
      </c>
      <c r="V13" s="17">
        <v>0.0</v>
      </c>
      <c r="W13" s="18" t="str">
        <f t="shared" si="4"/>
        <v>TK-12</v>
      </c>
      <c r="X13" s="16" t="s">
        <v>56</v>
      </c>
      <c r="Y13" s="14" t="s">
        <v>271</v>
      </c>
      <c r="Z13" s="17">
        <v>0.0</v>
      </c>
      <c r="AA13" s="18" t="str">
        <f t="shared" si="5"/>
        <v>LSW-11</v>
      </c>
      <c r="AB13" s="15" t="s">
        <v>62</v>
      </c>
      <c r="AC13" s="14" t="s">
        <v>272</v>
      </c>
      <c r="AD13" s="17">
        <v>0.0</v>
      </c>
      <c r="AE13" s="18" t="str">
        <f t="shared" si="6"/>
        <v>LSW-11</v>
      </c>
      <c r="AF13" s="15" t="s">
        <v>62</v>
      </c>
      <c r="AG13" s="14" t="s">
        <v>273</v>
      </c>
      <c r="AH13" s="17">
        <v>0.0</v>
      </c>
      <c r="AI13" s="18" t="str">
        <f t="shared" si="7"/>
        <v>LSW-11</v>
      </c>
      <c r="AJ13" s="15" t="s">
        <v>62</v>
      </c>
      <c r="AK13" s="14" t="s">
        <v>274</v>
      </c>
      <c r="AL13" s="17">
        <v>0.0</v>
      </c>
      <c r="AM13" s="18" t="str">
        <f t="shared" si="8"/>
        <v>RDR-11</v>
      </c>
      <c r="AN13" s="15" t="s">
        <v>66</v>
      </c>
      <c r="AO13" s="14" t="s">
        <v>275</v>
      </c>
      <c r="AP13" s="17">
        <v>0.0</v>
      </c>
      <c r="AQ13" s="18" t="str">
        <f t="shared" si="9"/>
        <v>RDR-11</v>
      </c>
      <c r="AR13" s="15" t="s">
        <v>66</v>
      </c>
      <c r="AS13" s="14" t="s">
        <v>276</v>
      </c>
      <c r="AT13" s="17">
        <v>0.0</v>
      </c>
      <c r="AU13" s="18" t="str">
        <f t="shared" si="10"/>
        <v>RDR-11</v>
      </c>
      <c r="AV13" s="15" t="s">
        <v>66</v>
      </c>
      <c r="AW13" s="14" t="s">
        <v>277</v>
      </c>
      <c r="AX13" s="17">
        <v>0.0</v>
      </c>
      <c r="AY13" s="18" t="str">
        <f t="shared" si="11"/>
        <v>ROSOV-21</v>
      </c>
      <c r="AZ13" s="16" t="s">
        <v>70</v>
      </c>
      <c r="BA13" s="14" t="s">
        <v>278</v>
      </c>
      <c r="BB13" s="19">
        <v>0.0</v>
      </c>
      <c r="BC13" s="18" t="str">
        <f t="shared" si="12"/>
        <v>ROSOV-21</v>
      </c>
      <c r="BD13" s="16" t="s">
        <v>72</v>
      </c>
      <c r="BE13" s="28"/>
      <c r="BF13" s="28"/>
      <c r="BG13" s="28"/>
      <c r="BH13" s="28"/>
      <c r="BI13" s="28"/>
      <c r="BJ13" s="28"/>
      <c r="BK13" s="28"/>
      <c r="BL13" s="28"/>
      <c r="BM13" s="21" t="s">
        <v>279</v>
      </c>
      <c r="BN13" s="19">
        <v>0.0</v>
      </c>
      <c r="BO13" s="18" t="str">
        <f t="shared" si="13"/>
        <v>ROSOV-22</v>
      </c>
      <c r="BP13" s="16" t="s">
        <v>74</v>
      </c>
      <c r="BQ13" s="21" t="s">
        <v>280</v>
      </c>
      <c r="BR13" s="19">
        <v>0.0</v>
      </c>
      <c r="BS13" s="18" t="str">
        <f t="shared" si="14"/>
        <v>ROSOV-22</v>
      </c>
      <c r="BT13" s="16" t="s">
        <v>76</v>
      </c>
      <c r="BU13" s="28"/>
      <c r="BV13" s="28"/>
      <c r="BW13" s="28"/>
      <c r="BX13" s="28"/>
      <c r="BY13" s="28"/>
      <c r="BZ13" s="28"/>
      <c r="CA13" s="28"/>
      <c r="CB13" s="28"/>
      <c r="CC13" s="22" t="s">
        <v>281</v>
      </c>
      <c r="CD13" s="19">
        <v>0.0</v>
      </c>
      <c r="CE13" s="18" t="str">
        <f t="shared" si="15"/>
        <v>DBBV-23</v>
      </c>
      <c r="CF13" s="16" t="s">
        <v>78</v>
      </c>
      <c r="CG13" s="23" t="s">
        <v>282</v>
      </c>
      <c r="CH13" s="19">
        <v>1.0</v>
      </c>
      <c r="CI13" s="18" t="str">
        <f t="shared" si="16"/>
        <v>DBBV-23</v>
      </c>
      <c r="CJ13" s="16" t="s">
        <v>78</v>
      </c>
      <c r="CK13" s="28"/>
      <c r="CL13" s="28"/>
      <c r="CM13" s="28"/>
      <c r="CN13" s="28"/>
      <c r="CO13" s="24"/>
      <c r="CP13" s="28"/>
      <c r="CQ13" s="28"/>
      <c r="CR13" s="28"/>
      <c r="CS13" s="22" t="s">
        <v>283</v>
      </c>
      <c r="CT13" s="19">
        <v>0.0</v>
      </c>
      <c r="CU13" s="18" t="str">
        <f t="shared" si="17"/>
        <v>DBBV-24</v>
      </c>
      <c r="CV13" s="25" t="s">
        <v>81</v>
      </c>
      <c r="CW13" s="23" t="s">
        <v>284</v>
      </c>
      <c r="CX13" s="19">
        <v>1.0</v>
      </c>
      <c r="CY13" s="18" t="str">
        <f t="shared" si="18"/>
        <v>DBBV-24</v>
      </c>
      <c r="CZ13" s="25" t="s">
        <v>81</v>
      </c>
      <c r="DA13" s="28"/>
      <c r="DB13" s="28"/>
      <c r="DC13" s="28"/>
      <c r="DD13" s="28"/>
      <c r="DE13" s="24"/>
      <c r="DF13" s="24"/>
      <c r="DG13" s="28"/>
      <c r="DH13" s="28"/>
      <c r="DI13" s="24"/>
      <c r="DJ13" s="24"/>
      <c r="DK13" s="28"/>
      <c r="DL13" s="28"/>
    </row>
    <row r="14" ht="15.75" customHeight="1">
      <c r="A14" s="8">
        <v>1509.0</v>
      </c>
      <c r="B14" s="9" t="s">
        <v>50</v>
      </c>
      <c r="C14" s="10" t="str">
        <f t="shared" si="1"/>
        <v>TK-13_BS VI HSD</v>
      </c>
      <c r="D14" s="26" t="s">
        <v>285</v>
      </c>
      <c r="E14" s="27" t="s">
        <v>52</v>
      </c>
      <c r="F14" s="26" t="s">
        <v>84</v>
      </c>
      <c r="G14" s="13" t="s">
        <v>54</v>
      </c>
      <c r="H14" s="8">
        <v>0.0</v>
      </c>
      <c r="I14" s="14" t="s">
        <v>286</v>
      </c>
      <c r="J14" s="28"/>
      <c r="K14" s="15" t="str">
        <f t="shared" si="2"/>
        <v>TK-13</v>
      </c>
      <c r="L14" s="16" t="s">
        <v>56</v>
      </c>
      <c r="M14" s="14" t="s">
        <v>287</v>
      </c>
      <c r="N14" s="17">
        <v>0.0</v>
      </c>
      <c r="O14" s="14" t="s">
        <v>288</v>
      </c>
      <c r="P14" s="17">
        <v>0.0</v>
      </c>
      <c r="Q14" s="18" t="str">
        <f t="shared" si="3"/>
        <v>TK-13</v>
      </c>
      <c r="R14" s="16" t="s">
        <v>56</v>
      </c>
      <c r="S14" s="14" t="s">
        <v>289</v>
      </c>
      <c r="T14" s="17">
        <v>0.0</v>
      </c>
      <c r="U14" s="14" t="s">
        <v>290</v>
      </c>
      <c r="V14" s="17">
        <v>0.0</v>
      </c>
      <c r="W14" s="18" t="str">
        <f t="shared" si="4"/>
        <v>TK-13</v>
      </c>
      <c r="X14" s="16" t="s">
        <v>56</v>
      </c>
      <c r="Y14" s="14" t="s">
        <v>291</v>
      </c>
      <c r="Z14" s="17">
        <v>0.0</v>
      </c>
      <c r="AA14" s="18" t="str">
        <f t="shared" si="5"/>
        <v>LSW-12</v>
      </c>
      <c r="AB14" s="15" t="s">
        <v>62</v>
      </c>
      <c r="AC14" s="14" t="s">
        <v>292</v>
      </c>
      <c r="AD14" s="17">
        <v>0.0</v>
      </c>
      <c r="AE14" s="18" t="str">
        <f t="shared" si="6"/>
        <v>LSW-12</v>
      </c>
      <c r="AF14" s="15" t="s">
        <v>62</v>
      </c>
      <c r="AG14" s="14" t="s">
        <v>293</v>
      </c>
      <c r="AH14" s="17">
        <v>0.0</v>
      </c>
      <c r="AI14" s="18" t="str">
        <f t="shared" si="7"/>
        <v>LSW-12</v>
      </c>
      <c r="AJ14" s="15" t="s">
        <v>62</v>
      </c>
      <c r="AK14" s="14" t="s">
        <v>294</v>
      </c>
      <c r="AL14" s="17">
        <v>0.0</v>
      </c>
      <c r="AM14" s="18" t="str">
        <f t="shared" si="8"/>
        <v>RDR-12</v>
      </c>
      <c r="AN14" s="15" t="s">
        <v>66</v>
      </c>
      <c r="AO14" s="14" t="s">
        <v>295</v>
      </c>
      <c r="AP14" s="17">
        <v>0.0</v>
      </c>
      <c r="AQ14" s="18" t="str">
        <f t="shared" si="9"/>
        <v>RDR-12</v>
      </c>
      <c r="AR14" s="15" t="s">
        <v>66</v>
      </c>
      <c r="AS14" s="14" t="s">
        <v>296</v>
      </c>
      <c r="AT14" s="17">
        <v>0.0</v>
      </c>
      <c r="AU14" s="18" t="str">
        <f t="shared" si="10"/>
        <v>RDR-12</v>
      </c>
      <c r="AV14" s="15" t="s">
        <v>66</v>
      </c>
      <c r="AW14" s="14" t="s">
        <v>297</v>
      </c>
      <c r="AX14" s="17">
        <v>0.0</v>
      </c>
      <c r="AY14" s="18" t="str">
        <f t="shared" si="11"/>
        <v>ROSOV-23</v>
      </c>
      <c r="AZ14" s="16" t="s">
        <v>70</v>
      </c>
      <c r="BA14" s="14" t="s">
        <v>298</v>
      </c>
      <c r="BB14" s="19">
        <v>0.0</v>
      </c>
      <c r="BC14" s="18" t="str">
        <f t="shared" si="12"/>
        <v>ROSOV-23</v>
      </c>
      <c r="BD14" s="16" t="s">
        <v>72</v>
      </c>
      <c r="BE14" s="28"/>
      <c r="BF14" s="28"/>
      <c r="BG14" s="28"/>
      <c r="BH14" s="28"/>
      <c r="BI14" s="28"/>
      <c r="BJ14" s="28"/>
      <c r="BK14" s="28"/>
      <c r="BL14" s="28"/>
      <c r="BM14" s="21" t="s">
        <v>299</v>
      </c>
      <c r="BN14" s="19">
        <v>0.0</v>
      </c>
      <c r="BO14" s="18" t="str">
        <f t="shared" si="13"/>
        <v>ROSOV-24</v>
      </c>
      <c r="BP14" s="16" t="s">
        <v>74</v>
      </c>
      <c r="BQ14" s="21" t="s">
        <v>300</v>
      </c>
      <c r="BR14" s="19">
        <v>0.0</v>
      </c>
      <c r="BS14" s="18" t="str">
        <f t="shared" si="14"/>
        <v>ROSOV-24</v>
      </c>
      <c r="BT14" s="16" t="s">
        <v>76</v>
      </c>
      <c r="BU14" s="28"/>
      <c r="BV14" s="28"/>
      <c r="BW14" s="28"/>
      <c r="BX14" s="28"/>
      <c r="BY14" s="28"/>
      <c r="BZ14" s="28"/>
      <c r="CA14" s="28"/>
      <c r="CB14" s="28"/>
      <c r="CC14" s="22" t="s">
        <v>301</v>
      </c>
      <c r="CD14" s="19">
        <v>0.0</v>
      </c>
      <c r="CE14" s="18" t="str">
        <f t="shared" si="15"/>
        <v>DBBV-26</v>
      </c>
      <c r="CF14" s="16" t="s">
        <v>78</v>
      </c>
      <c r="CG14" s="23" t="s">
        <v>302</v>
      </c>
      <c r="CH14" s="19">
        <v>1.0</v>
      </c>
      <c r="CI14" s="18" t="str">
        <f t="shared" si="16"/>
        <v>DBBV-26</v>
      </c>
      <c r="CJ14" s="16" t="s">
        <v>78</v>
      </c>
      <c r="CK14" s="28"/>
      <c r="CL14" s="28"/>
      <c r="CM14" s="28"/>
      <c r="CN14" s="28"/>
      <c r="CO14" s="24"/>
      <c r="CP14" s="28"/>
      <c r="CQ14" s="28"/>
      <c r="CR14" s="28"/>
      <c r="CS14" s="22" t="s">
        <v>303</v>
      </c>
      <c r="CT14" s="19">
        <v>0.0</v>
      </c>
      <c r="CU14" s="18" t="str">
        <f t="shared" si="17"/>
        <v>DBBV-27</v>
      </c>
      <c r="CV14" s="25" t="s">
        <v>81</v>
      </c>
      <c r="CW14" s="23" t="s">
        <v>304</v>
      </c>
      <c r="CX14" s="19">
        <v>1.0</v>
      </c>
      <c r="CY14" s="18" t="str">
        <f t="shared" si="18"/>
        <v>DBBV-27</v>
      </c>
      <c r="CZ14" s="25" t="s">
        <v>81</v>
      </c>
      <c r="DA14" s="28"/>
      <c r="DB14" s="28"/>
      <c r="DC14" s="28"/>
      <c r="DD14" s="28"/>
      <c r="DE14" s="24"/>
      <c r="DF14" s="24"/>
      <c r="DG14" s="28"/>
      <c r="DH14" s="28"/>
      <c r="DI14" s="24"/>
      <c r="DJ14" s="24"/>
      <c r="DK14" s="28"/>
      <c r="DL14" s="28"/>
    </row>
    <row r="15" ht="15.75" customHeight="1">
      <c r="A15" s="8">
        <v>1509.0</v>
      </c>
      <c r="B15" s="9" t="s">
        <v>50</v>
      </c>
      <c r="C15" s="10" t="str">
        <f t="shared" si="1"/>
        <v>TK-14_BS VI HSD</v>
      </c>
      <c r="D15" s="26" t="s">
        <v>305</v>
      </c>
      <c r="E15" s="27" t="s">
        <v>52</v>
      </c>
      <c r="F15" s="26" t="s">
        <v>84</v>
      </c>
      <c r="G15" s="13" t="s">
        <v>54</v>
      </c>
      <c r="H15" s="8">
        <v>0.0</v>
      </c>
      <c r="I15" s="14" t="s">
        <v>306</v>
      </c>
      <c r="J15" s="28"/>
      <c r="K15" s="15" t="str">
        <f t="shared" si="2"/>
        <v>TK-14</v>
      </c>
      <c r="L15" s="16" t="s">
        <v>56</v>
      </c>
      <c r="M15" s="14" t="s">
        <v>307</v>
      </c>
      <c r="N15" s="17">
        <v>0.0</v>
      </c>
      <c r="O15" s="14" t="s">
        <v>308</v>
      </c>
      <c r="P15" s="17">
        <v>0.0</v>
      </c>
      <c r="Q15" s="18" t="str">
        <f t="shared" si="3"/>
        <v>TK-14</v>
      </c>
      <c r="R15" s="16" t="s">
        <v>56</v>
      </c>
      <c r="S15" s="14" t="s">
        <v>309</v>
      </c>
      <c r="T15" s="17">
        <v>0.0</v>
      </c>
      <c r="U15" s="14" t="s">
        <v>310</v>
      </c>
      <c r="V15" s="17">
        <v>0.0</v>
      </c>
      <c r="W15" s="18" t="str">
        <f t="shared" si="4"/>
        <v>TK-14</v>
      </c>
      <c r="X15" s="16" t="s">
        <v>56</v>
      </c>
      <c r="Y15" s="14" t="s">
        <v>311</v>
      </c>
      <c r="Z15" s="17">
        <v>0.0</v>
      </c>
      <c r="AA15" s="18" t="str">
        <f t="shared" si="5"/>
        <v>LSW-13</v>
      </c>
      <c r="AB15" s="15" t="s">
        <v>62</v>
      </c>
      <c r="AC15" s="14" t="s">
        <v>312</v>
      </c>
      <c r="AD15" s="17">
        <v>0.0</v>
      </c>
      <c r="AE15" s="18" t="str">
        <f t="shared" si="6"/>
        <v>LSW-13</v>
      </c>
      <c r="AF15" s="15" t="s">
        <v>62</v>
      </c>
      <c r="AG15" s="14" t="s">
        <v>313</v>
      </c>
      <c r="AH15" s="17">
        <v>0.0</v>
      </c>
      <c r="AI15" s="18" t="str">
        <f t="shared" si="7"/>
        <v>LSW-13</v>
      </c>
      <c r="AJ15" s="15" t="s">
        <v>62</v>
      </c>
      <c r="AK15" s="14" t="s">
        <v>314</v>
      </c>
      <c r="AL15" s="17">
        <v>0.0</v>
      </c>
      <c r="AM15" s="18" t="str">
        <f t="shared" si="8"/>
        <v>RDR-13</v>
      </c>
      <c r="AN15" s="15" t="s">
        <v>66</v>
      </c>
      <c r="AO15" s="14" t="s">
        <v>315</v>
      </c>
      <c r="AP15" s="17">
        <v>0.0</v>
      </c>
      <c r="AQ15" s="18" t="str">
        <f t="shared" si="9"/>
        <v>RDR-13</v>
      </c>
      <c r="AR15" s="15" t="s">
        <v>66</v>
      </c>
      <c r="AS15" s="14" t="s">
        <v>316</v>
      </c>
      <c r="AT15" s="17">
        <v>0.0</v>
      </c>
      <c r="AU15" s="18" t="str">
        <f t="shared" si="10"/>
        <v>RDR-13</v>
      </c>
      <c r="AV15" s="15" t="s">
        <v>66</v>
      </c>
      <c r="AW15" s="14" t="s">
        <v>317</v>
      </c>
      <c r="AX15" s="17">
        <v>0.0</v>
      </c>
      <c r="AY15" s="18" t="str">
        <f t="shared" si="11"/>
        <v>ROSOV-25</v>
      </c>
      <c r="AZ15" s="16" t="s">
        <v>70</v>
      </c>
      <c r="BA15" s="14" t="s">
        <v>318</v>
      </c>
      <c r="BB15" s="19">
        <v>0.0</v>
      </c>
      <c r="BC15" s="18" t="str">
        <f t="shared" si="12"/>
        <v>ROSOV-25</v>
      </c>
      <c r="BD15" s="16" t="s">
        <v>72</v>
      </c>
      <c r="BE15" s="28"/>
      <c r="BF15" s="28"/>
      <c r="BG15" s="28"/>
      <c r="BH15" s="28"/>
      <c r="BI15" s="28"/>
      <c r="BJ15" s="28"/>
      <c r="BK15" s="28"/>
      <c r="BL15" s="28"/>
      <c r="BM15" s="21" t="s">
        <v>319</v>
      </c>
      <c r="BN15" s="19">
        <v>0.0</v>
      </c>
      <c r="BO15" s="18" t="str">
        <f t="shared" si="13"/>
        <v>ROSOV-26</v>
      </c>
      <c r="BP15" s="16" t="s">
        <v>74</v>
      </c>
      <c r="BQ15" s="21" t="s">
        <v>320</v>
      </c>
      <c r="BR15" s="19">
        <v>0.0</v>
      </c>
      <c r="BS15" s="18" t="str">
        <f t="shared" si="14"/>
        <v>ROSOV-26</v>
      </c>
      <c r="BT15" s="16" t="s">
        <v>76</v>
      </c>
      <c r="BU15" s="28"/>
      <c r="BV15" s="28"/>
      <c r="BW15" s="28"/>
      <c r="BX15" s="28"/>
      <c r="BY15" s="28"/>
      <c r="BZ15" s="28"/>
      <c r="CA15" s="28"/>
      <c r="CB15" s="28"/>
      <c r="CC15" s="22" t="s">
        <v>321</v>
      </c>
      <c r="CD15" s="19">
        <v>0.0</v>
      </c>
      <c r="CE15" s="18" t="str">
        <f t="shared" si="15"/>
        <v>DBBV-29</v>
      </c>
      <c r="CF15" s="16" t="s">
        <v>78</v>
      </c>
      <c r="CG15" s="23" t="s">
        <v>322</v>
      </c>
      <c r="CH15" s="19">
        <v>1.0</v>
      </c>
      <c r="CI15" s="18" t="str">
        <f t="shared" si="16"/>
        <v>DBBV-29</v>
      </c>
      <c r="CJ15" s="16" t="s">
        <v>78</v>
      </c>
      <c r="CK15" s="28"/>
      <c r="CL15" s="28"/>
      <c r="CM15" s="28"/>
      <c r="CN15" s="28"/>
      <c r="CO15" s="24"/>
      <c r="CP15" s="28"/>
      <c r="CQ15" s="28"/>
      <c r="CR15" s="28"/>
      <c r="CS15" s="22" t="s">
        <v>323</v>
      </c>
      <c r="CT15" s="19">
        <v>0.0</v>
      </c>
      <c r="CU15" s="18" t="str">
        <f t="shared" si="17"/>
        <v>DBBV-30</v>
      </c>
      <c r="CV15" s="25" t="s">
        <v>81</v>
      </c>
      <c r="CW15" s="23" t="s">
        <v>324</v>
      </c>
      <c r="CX15" s="19">
        <v>1.0</v>
      </c>
      <c r="CY15" s="18" t="str">
        <f t="shared" si="18"/>
        <v>DBBV-30</v>
      </c>
      <c r="CZ15" s="25" t="s">
        <v>81</v>
      </c>
      <c r="DA15" s="28"/>
      <c r="DB15" s="28"/>
      <c r="DC15" s="28"/>
      <c r="DD15" s="28"/>
      <c r="DE15" s="24"/>
      <c r="DF15" s="24"/>
      <c r="DG15" s="28"/>
      <c r="DH15" s="28"/>
      <c r="DI15" s="24"/>
      <c r="DJ15" s="24"/>
      <c r="DK15" s="28"/>
      <c r="DL15" s="28"/>
    </row>
    <row r="16" ht="15.75" customHeight="1">
      <c r="A16" s="8">
        <v>1509.0</v>
      </c>
      <c r="B16" s="9" t="s">
        <v>50</v>
      </c>
      <c r="C16" s="10" t="str">
        <f t="shared" si="1"/>
        <v>TK-15_BS VI MS</v>
      </c>
      <c r="D16" s="26" t="s">
        <v>325</v>
      </c>
      <c r="E16" s="32" t="s">
        <v>52</v>
      </c>
      <c r="F16" s="26" t="s">
        <v>191</v>
      </c>
      <c r="G16" s="13" t="s">
        <v>54</v>
      </c>
      <c r="H16" s="8">
        <v>0.0</v>
      </c>
      <c r="I16" s="14" t="s">
        <v>326</v>
      </c>
      <c r="J16" s="28"/>
      <c r="K16" s="15" t="str">
        <f t="shared" si="2"/>
        <v>TK-15</v>
      </c>
      <c r="L16" s="16" t="s">
        <v>56</v>
      </c>
      <c r="M16" s="14" t="s">
        <v>327</v>
      </c>
      <c r="N16" s="17">
        <v>0.0</v>
      </c>
      <c r="O16" s="14" t="s">
        <v>328</v>
      </c>
      <c r="P16" s="17">
        <v>0.0</v>
      </c>
      <c r="Q16" s="18" t="str">
        <f t="shared" si="3"/>
        <v>TK-15</v>
      </c>
      <c r="R16" s="16" t="s">
        <v>56</v>
      </c>
      <c r="S16" s="14" t="s">
        <v>329</v>
      </c>
      <c r="T16" s="17">
        <v>0.0</v>
      </c>
      <c r="U16" s="14" t="s">
        <v>330</v>
      </c>
      <c r="V16" s="17">
        <v>0.0</v>
      </c>
      <c r="W16" s="18" t="str">
        <f t="shared" si="4"/>
        <v>TK-15</v>
      </c>
      <c r="X16" s="16" t="s">
        <v>56</v>
      </c>
      <c r="Y16" s="14" t="s">
        <v>331</v>
      </c>
      <c r="Z16" s="17">
        <v>0.0</v>
      </c>
      <c r="AA16" s="18" t="str">
        <f t="shared" si="5"/>
        <v>LSW-10</v>
      </c>
      <c r="AB16" s="15" t="s">
        <v>62</v>
      </c>
      <c r="AC16" s="14" t="s">
        <v>332</v>
      </c>
      <c r="AD16" s="17">
        <v>0.0</v>
      </c>
      <c r="AE16" s="18" t="str">
        <f t="shared" si="6"/>
        <v>LSW-10</v>
      </c>
      <c r="AF16" s="15" t="s">
        <v>62</v>
      </c>
      <c r="AG16" s="14" t="s">
        <v>333</v>
      </c>
      <c r="AH16" s="17">
        <v>0.0</v>
      </c>
      <c r="AI16" s="18" t="str">
        <f t="shared" si="7"/>
        <v>LSW-10</v>
      </c>
      <c r="AJ16" s="15" t="s">
        <v>62</v>
      </c>
      <c r="AK16" s="14" t="s">
        <v>334</v>
      </c>
      <c r="AL16" s="17">
        <v>0.0</v>
      </c>
      <c r="AM16" s="18" t="str">
        <f t="shared" si="8"/>
        <v>RDR-10</v>
      </c>
      <c r="AN16" s="15" t="s">
        <v>66</v>
      </c>
      <c r="AO16" s="14" t="s">
        <v>335</v>
      </c>
      <c r="AP16" s="17">
        <v>0.0</v>
      </c>
      <c r="AQ16" s="18" t="str">
        <f t="shared" si="9"/>
        <v>RDR-10</v>
      </c>
      <c r="AR16" s="15" t="s">
        <v>66</v>
      </c>
      <c r="AS16" s="14" t="s">
        <v>336</v>
      </c>
      <c r="AT16" s="17">
        <v>0.0</v>
      </c>
      <c r="AU16" s="18" t="str">
        <f t="shared" si="10"/>
        <v>RDR-10</v>
      </c>
      <c r="AV16" s="15" t="s">
        <v>66</v>
      </c>
      <c r="AW16" s="14" t="s">
        <v>337</v>
      </c>
      <c r="AX16" s="17">
        <v>0.0</v>
      </c>
      <c r="AY16" s="18" t="str">
        <f t="shared" si="11"/>
        <v>ROSOV-19</v>
      </c>
      <c r="AZ16" s="16" t="s">
        <v>70</v>
      </c>
      <c r="BA16" s="14" t="s">
        <v>338</v>
      </c>
      <c r="BB16" s="19">
        <v>0.0</v>
      </c>
      <c r="BC16" s="18" t="str">
        <f t="shared" si="12"/>
        <v>ROSOV-19</v>
      </c>
      <c r="BD16" s="16" t="s">
        <v>72</v>
      </c>
      <c r="BE16" s="28"/>
      <c r="BF16" s="28"/>
      <c r="BG16" s="28"/>
      <c r="BH16" s="28"/>
      <c r="BI16" s="28"/>
      <c r="BJ16" s="28"/>
      <c r="BK16" s="28"/>
      <c r="BL16" s="28"/>
      <c r="BM16" s="21" t="s">
        <v>339</v>
      </c>
      <c r="BN16" s="19">
        <v>0.0</v>
      </c>
      <c r="BO16" s="18" t="str">
        <f t="shared" si="13"/>
        <v>ROSOV-20</v>
      </c>
      <c r="BP16" s="16" t="s">
        <v>74</v>
      </c>
      <c r="BQ16" s="21" t="s">
        <v>340</v>
      </c>
      <c r="BR16" s="19">
        <v>0.0</v>
      </c>
      <c r="BS16" s="18" t="str">
        <f t="shared" si="14"/>
        <v>ROSOV-20</v>
      </c>
      <c r="BT16" s="16" t="s">
        <v>76</v>
      </c>
      <c r="BU16" s="28"/>
      <c r="BV16" s="28"/>
      <c r="BW16" s="28"/>
      <c r="BX16" s="28"/>
      <c r="BY16" s="28"/>
      <c r="BZ16" s="28"/>
      <c r="CA16" s="28"/>
      <c r="CB16" s="28"/>
      <c r="CC16" s="22" t="s">
        <v>341</v>
      </c>
      <c r="CD16" s="19">
        <v>0.0</v>
      </c>
      <c r="CE16" s="18" t="str">
        <f t="shared" si="15"/>
        <v>DBBV-20</v>
      </c>
      <c r="CF16" s="16" t="s">
        <v>78</v>
      </c>
      <c r="CG16" s="23" t="s">
        <v>342</v>
      </c>
      <c r="CH16" s="19">
        <v>1.0</v>
      </c>
      <c r="CI16" s="18" t="str">
        <f t="shared" si="16"/>
        <v>DBBV-20</v>
      </c>
      <c r="CJ16" s="16" t="s">
        <v>78</v>
      </c>
      <c r="CK16" s="28"/>
      <c r="CL16" s="28"/>
      <c r="CM16" s="28"/>
      <c r="CN16" s="28"/>
      <c r="CO16" s="24"/>
      <c r="CP16" s="28"/>
      <c r="CQ16" s="28"/>
      <c r="CR16" s="28"/>
      <c r="CS16" s="22" t="s">
        <v>343</v>
      </c>
      <c r="CT16" s="19">
        <v>0.0</v>
      </c>
      <c r="CU16" s="18" t="str">
        <f t="shared" si="17"/>
        <v>DBBV-21</v>
      </c>
      <c r="CV16" s="25" t="s">
        <v>81</v>
      </c>
      <c r="CW16" s="23" t="s">
        <v>344</v>
      </c>
      <c r="CX16" s="19">
        <v>1.0</v>
      </c>
      <c r="CY16" s="18" t="str">
        <f t="shared" si="18"/>
        <v>DBBV-21</v>
      </c>
      <c r="CZ16" s="25" t="s">
        <v>81</v>
      </c>
      <c r="DA16" s="28"/>
      <c r="DB16" s="28"/>
      <c r="DC16" s="28"/>
      <c r="DD16" s="28"/>
      <c r="DE16" s="30" t="s">
        <v>345</v>
      </c>
      <c r="DF16" s="19">
        <v>0.0</v>
      </c>
      <c r="DG16" s="28" t="str">
        <f>MID(DE16,9,10)</f>
        <v>RIMSEAL-04</v>
      </c>
      <c r="DH16" s="31" t="s">
        <v>212</v>
      </c>
      <c r="DI16" s="30" t="s">
        <v>346</v>
      </c>
      <c r="DJ16" s="19">
        <v>0.0</v>
      </c>
      <c r="DK16" s="28" t="str">
        <f>MID(DI16,9,10)</f>
        <v>RIMSEAL-04</v>
      </c>
      <c r="DL16" s="31" t="s">
        <v>212</v>
      </c>
    </row>
    <row r="17" ht="15.75" customHeight="1">
      <c r="A17" s="8">
        <v>1509.0</v>
      </c>
      <c r="B17" s="9" t="s">
        <v>50</v>
      </c>
      <c r="C17" s="10" t="str">
        <f t="shared" si="1"/>
        <v>TK-16_ETHANOL</v>
      </c>
      <c r="D17" s="26" t="s">
        <v>347</v>
      </c>
      <c r="E17" s="33" t="s">
        <v>348</v>
      </c>
      <c r="F17" s="26" t="s">
        <v>53</v>
      </c>
      <c r="G17" s="13" t="s">
        <v>54</v>
      </c>
      <c r="H17" s="8">
        <v>0.0</v>
      </c>
      <c r="I17" s="14" t="s">
        <v>349</v>
      </c>
      <c r="J17" s="28"/>
      <c r="K17" s="15" t="str">
        <f t="shared" si="2"/>
        <v>TK-16</v>
      </c>
      <c r="L17" s="16" t="s">
        <v>56</v>
      </c>
      <c r="M17" s="28"/>
      <c r="N17" s="28"/>
      <c r="O17" s="28"/>
      <c r="P17" s="28"/>
      <c r="Q17" s="18" t="str">
        <f t="shared" si="3"/>
        <v/>
      </c>
      <c r="R17" s="28"/>
      <c r="S17" s="14" t="s">
        <v>350</v>
      </c>
      <c r="T17" s="17">
        <v>0.0</v>
      </c>
      <c r="U17" s="28"/>
      <c r="V17" s="28"/>
      <c r="W17" s="18" t="str">
        <f t="shared" si="4"/>
        <v/>
      </c>
      <c r="X17" s="28"/>
      <c r="Y17" s="28"/>
      <c r="Z17" s="28"/>
      <c r="AA17" s="18" t="str">
        <f t="shared" si="5"/>
        <v/>
      </c>
      <c r="AB17" s="28"/>
      <c r="AC17" s="28"/>
      <c r="AD17" s="28"/>
      <c r="AE17" s="18" t="str">
        <f t="shared" si="6"/>
        <v/>
      </c>
      <c r="AF17" s="28"/>
      <c r="AG17" s="28"/>
      <c r="AH17" s="28"/>
      <c r="AI17" s="28"/>
      <c r="AJ17" s="28"/>
      <c r="AK17" s="28"/>
      <c r="AL17" s="28"/>
      <c r="AM17" s="18" t="str">
        <f t="shared" si="8"/>
        <v/>
      </c>
      <c r="AN17" s="28"/>
      <c r="AO17" s="28"/>
      <c r="AP17" s="28"/>
      <c r="AQ17" s="18" t="str">
        <f t="shared" si="9"/>
        <v/>
      </c>
      <c r="AR17" s="28"/>
      <c r="AS17" s="28"/>
      <c r="AT17" s="28"/>
      <c r="AU17" s="28"/>
      <c r="AV17" s="28"/>
      <c r="AW17" s="28"/>
      <c r="AX17" s="28"/>
      <c r="AY17" s="18" t="str">
        <f t="shared" si="11"/>
        <v/>
      </c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18" t="str">
        <f t="shared" si="13"/>
        <v/>
      </c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18" t="str">
        <f t="shared" si="15"/>
        <v/>
      </c>
      <c r="CF17" s="28"/>
      <c r="CG17" s="24"/>
      <c r="CH17" s="24"/>
      <c r="CI17" s="18" t="str">
        <f t="shared" si="16"/>
        <v/>
      </c>
      <c r="CJ17" s="28"/>
      <c r="CK17" s="28"/>
      <c r="CL17" s="28"/>
      <c r="CM17" s="28"/>
      <c r="CN17" s="28"/>
      <c r="CO17" s="24"/>
      <c r="CP17" s="28"/>
      <c r="CQ17" s="28"/>
      <c r="CR17" s="28"/>
      <c r="CS17" s="28"/>
      <c r="CT17" s="28"/>
      <c r="CU17" s="18" t="str">
        <f t="shared" si="17"/>
        <v/>
      </c>
      <c r="CV17" s="28"/>
      <c r="CW17" s="24"/>
      <c r="CX17" s="24"/>
      <c r="CY17" s="18" t="str">
        <f t="shared" si="18"/>
        <v/>
      </c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</row>
    <row r="18" ht="15.75" customHeight="1">
      <c r="A18" s="8">
        <v>1509.0</v>
      </c>
      <c r="B18" s="9" t="s">
        <v>50</v>
      </c>
      <c r="C18" s="10" t="str">
        <f t="shared" si="1"/>
        <v>TK-17_ETHANOL</v>
      </c>
      <c r="D18" s="26" t="s">
        <v>351</v>
      </c>
      <c r="E18" s="33" t="s">
        <v>348</v>
      </c>
      <c r="F18" s="26" t="s">
        <v>53</v>
      </c>
      <c r="G18" s="13" t="s">
        <v>54</v>
      </c>
      <c r="H18" s="8">
        <v>0.0</v>
      </c>
      <c r="I18" s="14" t="s">
        <v>352</v>
      </c>
      <c r="J18" s="28"/>
      <c r="K18" s="15" t="str">
        <f t="shared" si="2"/>
        <v>TK-17</v>
      </c>
      <c r="L18" s="16" t="s">
        <v>56</v>
      </c>
      <c r="M18" s="28"/>
      <c r="N18" s="28"/>
      <c r="O18" s="28"/>
      <c r="P18" s="28"/>
      <c r="Q18" s="18" t="str">
        <f t="shared" si="3"/>
        <v/>
      </c>
      <c r="R18" s="28"/>
      <c r="S18" s="14" t="s">
        <v>353</v>
      </c>
      <c r="T18" s="17">
        <v>0.0</v>
      </c>
      <c r="U18" s="28"/>
      <c r="V18" s="28"/>
      <c r="W18" s="18" t="str">
        <f t="shared" si="4"/>
        <v/>
      </c>
      <c r="X18" s="28"/>
      <c r="Y18" s="28"/>
      <c r="Z18" s="28"/>
      <c r="AA18" s="18" t="str">
        <f t="shared" si="5"/>
        <v/>
      </c>
      <c r="AB18" s="28"/>
      <c r="AC18" s="28"/>
      <c r="AD18" s="28"/>
      <c r="AE18" s="18" t="str">
        <f t="shared" si="6"/>
        <v/>
      </c>
      <c r="AF18" s="28"/>
      <c r="AG18" s="28"/>
      <c r="AH18" s="28"/>
      <c r="AI18" s="28"/>
      <c r="AJ18" s="28"/>
      <c r="AK18" s="28"/>
      <c r="AL18" s="28"/>
      <c r="AM18" s="18" t="str">
        <f t="shared" si="8"/>
        <v/>
      </c>
      <c r="AN18" s="28"/>
      <c r="AO18" s="28"/>
      <c r="AP18" s="28"/>
      <c r="AQ18" s="18" t="str">
        <f t="shared" si="9"/>
        <v/>
      </c>
      <c r="AR18" s="28"/>
      <c r="AS18" s="28"/>
      <c r="AT18" s="28"/>
      <c r="AU18" s="28"/>
      <c r="AV18" s="28"/>
      <c r="AW18" s="28"/>
      <c r="AX18" s="28"/>
      <c r="AY18" s="18" t="str">
        <f t="shared" si="11"/>
        <v/>
      </c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18" t="str">
        <f t="shared" si="13"/>
        <v/>
      </c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18" t="str">
        <f t="shared" si="15"/>
        <v/>
      </c>
      <c r="CF18" s="28"/>
      <c r="CG18" s="24"/>
      <c r="CH18" s="24"/>
      <c r="CI18" s="18" t="str">
        <f t="shared" si="16"/>
        <v/>
      </c>
      <c r="CJ18" s="28"/>
      <c r="CK18" s="28"/>
      <c r="CL18" s="28"/>
      <c r="CM18" s="28"/>
      <c r="CN18" s="28"/>
      <c r="CO18" s="24"/>
      <c r="CP18" s="28"/>
      <c r="CQ18" s="28"/>
      <c r="CR18" s="28"/>
      <c r="CS18" s="28"/>
      <c r="CT18" s="28"/>
      <c r="CU18" s="18" t="str">
        <f t="shared" si="17"/>
        <v/>
      </c>
      <c r="CV18" s="28"/>
      <c r="CW18" s="24"/>
      <c r="CX18" s="24"/>
      <c r="CY18" s="18" t="str">
        <f t="shared" si="18"/>
        <v/>
      </c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</row>
    <row r="19" ht="15.75" customHeight="1">
      <c r="A19" s="8">
        <v>1509.0</v>
      </c>
      <c r="B19" s="9" t="s">
        <v>50</v>
      </c>
      <c r="C19" s="10" t="str">
        <f t="shared" si="1"/>
        <v>TK-18_BS VI HSD</v>
      </c>
      <c r="D19" s="26" t="s">
        <v>354</v>
      </c>
      <c r="E19" s="33" t="s">
        <v>348</v>
      </c>
      <c r="F19" s="26" t="s">
        <v>84</v>
      </c>
      <c r="G19" s="13" t="s">
        <v>54</v>
      </c>
      <c r="H19" s="8">
        <v>0.0</v>
      </c>
      <c r="I19" s="14" t="s">
        <v>355</v>
      </c>
      <c r="J19" s="28"/>
      <c r="K19" s="15" t="str">
        <f t="shared" si="2"/>
        <v>TK-18</v>
      </c>
      <c r="L19" s="16" t="s">
        <v>56</v>
      </c>
      <c r="M19" s="28"/>
      <c r="N19" s="28"/>
      <c r="O19" s="28"/>
      <c r="P19" s="28"/>
      <c r="Q19" s="18" t="str">
        <f t="shared" si="3"/>
        <v/>
      </c>
      <c r="R19" s="28"/>
      <c r="S19" s="14" t="s">
        <v>356</v>
      </c>
      <c r="T19" s="17">
        <v>0.0</v>
      </c>
      <c r="U19" s="28"/>
      <c r="V19" s="28"/>
      <c r="W19" s="18" t="str">
        <f t="shared" si="4"/>
        <v/>
      </c>
      <c r="X19" s="28"/>
      <c r="Y19" s="28"/>
      <c r="Z19" s="28"/>
      <c r="AA19" s="18" t="str">
        <f t="shared" si="5"/>
        <v/>
      </c>
      <c r="AB19" s="28"/>
      <c r="AC19" s="28"/>
      <c r="AD19" s="28"/>
      <c r="AE19" s="18" t="str">
        <f t="shared" si="6"/>
        <v/>
      </c>
      <c r="AF19" s="28"/>
      <c r="AG19" s="28"/>
      <c r="AH19" s="28"/>
      <c r="AI19" s="28"/>
      <c r="AJ19" s="28"/>
      <c r="AK19" s="28"/>
      <c r="AL19" s="28"/>
      <c r="AM19" s="18" t="str">
        <f t="shared" si="8"/>
        <v/>
      </c>
      <c r="AN19" s="28"/>
      <c r="AO19" s="28"/>
      <c r="AP19" s="28"/>
      <c r="AQ19" s="18" t="str">
        <f t="shared" si="9"/>
        <v/>
      </c>
      <c r="AR19" s="28"/>
      <c r="AS19" s="28"/>
      <c r="AT19" s="28"/>
      <c r="AU19" s="28"/>
      <c r="AV19" s="28"/>
      <c r="AW19" s="28"/>
      <c r="AX19" s="28"/>
      <c r="AY19" s="18" t="str">
        <f t="shared" si="11"/>
        <v/>
      </c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18" t="str">
        <f t="shared" si="13"/>
        <v/>
      </c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18" t="str">
        <f t="shared" si="15"/>
        <v/>
      </c>
      <c r="CF19" s="28"/>
      <c r="CG19" s="24"/>
      <c r="CH19" s="24"/>
      <c r="CI19" s="18" t="str">
        <f t="shared" si="16"/>
        <v/>
      </c>
      <c r="CJ19" s="28"/>
      <c r="CK19" s="28"/>
      <c r="CL19" s="28"/>
      <c r="CM19" s="28"/>
      <c r="CN19" s="28"/>
      <c r="CO19" s="24"/>
      <c r="CP19" s="28"/>
      <c r="CQ19" s="28"/>
      <c r="CR19" s="28"/>
      <c r="CS19" s="28"/>
      <c r="CT19" s="28"/>
      <c r="CU19" s="18" t="str">
        <f t="shared" si="17"/>
        <v/>
      </c>
      <c r="CV19" s="28"/>
      <c r="CW19" s="24"/>
      <c r="CX19" s="24"/>
      <c r="CY19" s="18" t="str">
        <f t="shared" si="18"/>
        <v/>
      </c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</row>
    <row r="20" ht="15.75" customHeight="1">
      <c r="A20" s="8">
        <v>1509.0</v>
      </c>
      <c r="B20" s="9" t="s">
        <v>50</v>
      </c>
      <c r="C20" s="10" t="str">
        <f t="shared" si="1"/>
        <v>TK-19_SKO</v>
      </c>
      <c r="D20" s="26" t="s">
        <v>357</v>
      </c>
      <c r="E20" s="33" t="s">
        <v>348</v>
      </c>
      <c r="F20" s="26" t="s">
        <v>125</v>
      </c>
      <c r="G20" s="13" t="s">
        <v>54</v>
      </c>
      <c r="H20" s="8">
        <v>0.0</v>
      </c>
      <c r="I20" s="14" t="s">
        <v>358</v>
      </c>
      <c r="J20" s="28"/>
      <c r="K20" s="15" t="str">
        <f t="shared" si="2"/>
        <v>TK-19</v>
      </c>
      <c r="L20" s="16" t="s">
        <v>56</v>
      </c>
      <c r="M20" s="28"/>
      <c r="N20" s="28"/>
      <c r="O20" s="28"/>
      <c r="P20" s="28"/>
      <c r="Q20" s="18" t="str">
        <f t="shared" si="3"/>
        <v/>
      </c>
      <c r="R20" s="28"/>
      <c r="S20" s="14" t="s">
        <v>359</v>
      </c>
      <c r="T20" s="17">
        <v>0.0</v>
      </c>
      <c r="U20" s="28"/>
      <c r="V20" s="28"/>
      <c r="W20" s="18" t="str">
        <f t="shared" si="4"/>
        <v/>
      </c>
      <c r="X20" s="28"/>
      <c r="Y20" s="28"/>
      <c r="Z20" s="28"/>
      <c r="AA20" s="18" t="str">
        <f t="shared" si="5"/>
        <v/>
      </c>
      <c r="AB20" s="28"/>
      <c r="AC20" s="28"/>
      <c r="AD20" s="28"/>
      <c r="AE20" s="18" t="str">
        <f t="shared" si="6"/>
        <v/>
      </c>
      <c r="AF20" s="28"/>
      <c r="AG20" s="28"/>
      <c r="AH20" s="28"/>
      <c r="AI20" s="28"/>
      <c r="AJ20" s="28"/>
      <c r="AK20" s="28"/>
      <c r="AL20" s="28"/>
      <c r="AM20" s="18" t="str">
        <f t="shared" si="8"/>
        <v/>
      </c>
      <c r="AN20" s="28"/>
      <c r="AO20" s="28"/>
      <c r="AP20" s="28"/>
      <c r="AQ20" s="18" t="str">
        <f t="shared" si="9"/>
        <v/>
      </c>
      <c r="AR20" s="28"/>
      <c r="AS20" s="28"/>
      <c r="AT20" s="28"/>
      <c r="AU20" s="28"/>
      <c r="AV20" s="28"/>
      <c r="AW20" s="28"/>
      <c r="AX20" s="28"/>
      <c r="AY20" s="18" t="str">
        <f t="shared" si="11"/>
        <v/>
      </c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18" t="str">
        <f t="shared" si="13"/>
        <v/>
      </c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18" t="str">
        <f t="shared" si="15"/>
        <v/>
      </c>
      <c r="CF20" s="28"/>
      <c r="CG20" s="24"/>
      <c r="CH20" s="24"/>
      <c r="CI20" s="18" t="str">
        <f t="shared" si="16"/>
        <v/>
      </c>
      <c r="CJ20" s="28"/>
      <c r="CK20" s="28"/>
      <c r="CL20" s="28"/>
      <c r="CM20" s="28"/>
      <c r="CN20" s="28"/>
      <c r="CO20" s="24"/>
      <c r="CP20" s="28"/>
      <c r="CQ20" s="28"/>
      <c r="CR20" s="28"/>
      <c r="CS20" s="28"/>
      <c r="CT20" s="28"/>
      <c r="CU20" s="18" t="str">
        <f t="shared" si="17"/>
        <v/>
      </c>
      <c r="CV20" s="28"/>
      <c r="CW20" s="24"/>
      <c r="CX20" s="24"/>
      <c r="CY20" s="18" t="str">
        <f t="shared" si="18"/>
        <v/>
      </c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</row>
    <row r="21" ht="15.75" customHeight="1">
      <c r="A21" s="8">
        <v>1509.0</v>
      </c>
      <c r="B21" s="9" t="s">
        <v>50</v>
      </c>
      <c r="C21" s="10" t="str">
        <f t="shared" si="1"/>
        <v>TK-20_BS VI MS</v>
      </c>
      <c r="D21" s="26" t="s">
        <v>360</v>
      </c>
      <c r="E21" s="33" t="s">
        <v>348</v>
      </c>
      <c r="F21" s="26" t="s">
        <v>191</v>
      </c>
      <c r="G21" s="13" t="s">
        <v>54</v>
      </c>
      <c r="H21" s="8">
        <v>0.0</v>
      </c>
      <c r="I21" s="14" t="s">
        <v>361</v>
      </c>
      <c r="J21" s="28"/>
      <c r="K21" s="15" t="str">
        <f t="shared" si="2"/>
        <v>TK-20</v>
      </c>
      <c r="L21" s="16" t="s">
        <v>56</v>
      </c>
      <c r="M21" s="28"/>
      <c r="N21" s="28"/>
      <c r="O21" s="28"/>
      <c r="P21" s="28"/>
      <c r="Q21" s="18" t="str">
        <f t="shared" si="3"/>
        <v/>
      </c>
      <c r="R21" s="28"/>
      <c r="S21" s="14" t="s">
        <v>362</v>
      </c>
      <c r="T21" s="17">
        <v>0.0</v>
      </c>
      <c r="U21" s="28"/>
      <c r="V21" s="28"/>
      <c r="W21" s="18" t="str">
        <f t="shared" si="4"/>
        <v/>
      </c>
      <c r="X21" s="28"/>
      <c r="Y21" s="28"/>
      <c r="Z21" s="28"/>
      <c r="AA21" s="18" t="str">
        <f t="shared" si="5"/>
        <v/>
      </c>
      <c r="AB21" s="28"/>
      <c r="AC21" s="28"/>
      <c r="AD21" s="28"/>
      <c r="AE21" s="18" t="str">
        <f t="shared" si="6"/>
        <v/>
      </c>
      <c r="AF21" s="28"/>
      <c r="AG21" s="28"/>
      <c r="AH21" s="28"/>
      <c r="AI21" s="28"/>
      <c r="AJ21" s="28"/>
      <c r="AK21" s="28"/>
      <c r="AL21" s="28"/>
      <c r="AM21" s="18" t="str">
        <f t="shared" si="8"/>
        <v/>
      </c>
      <c r="AN21" s="28"/>
      <c r="AO21" s="28"/>
      <c r="AP21" s="28"/>
      <c r="AQ21" s="18" t="str">
        <f t="shared" si="9"/>
        <v/>
      </c>
      <c r="AR21" s="28"/>
      <c r="AS21" s="28"/>
      <c r="AT21" s="28"/>
      <c r="AU21" s="28"/>
      <c r="AV21" s="28"/>
      <c r="AW21" s="28"/>
      <c r="AX21" s="28"/>
      <c r="AY21" s="18" t="str">
        <f t="shared" si="11"/>
        <v/>
      </c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18" t="str">
        <f t="shared" si="13"/>
        <v/>
      </c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18" t="str">
        <f t="shared" si="15"/>
        <v/>
      </c>
      <c r="CF21" s="28"/>
      <c r="CG21" s="24"/>
      <c r="CH21" s="24"/>
      <c r="CI21" s="18" t="str">
        <f t="shared" si="16"/>
        <v/>
      </c>
      <c r="CJ21" s="28"/>
      <c r="CK21" s="28"/>
      <c r="CL21" s="28"/>
      <c r="CM21" s="28"/>
      <c r="CN21" s="28"/>
      <c r="CO21" s="24"/>
      <c r="CP21" s="28"/>
      <c r="CQ21" s="28"/>
      <c r="CR21" s="28"/>
      <c r="CS21" s="28"/>
      <c r="CT21" s="28"/>
      <c r="CU21" s="18" t="str">
        <f t="shared" si="17"/>
        <v/>
      </c>
      <c r="CV21" s="28"/>
      <c r="CW21" s="24"/>
      <c r="CX21" s="24"/>
      <c r="CY21" s="18" t="str">
        <f t="shared" si="18"/>
        <v/>
      </c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</row>
    <row r="22" ht="15.75" customHeight="1"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34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4"/>
      <c r="CH22" s="24"/>
      <c r="CI22" s="28"/>
      <c r="CJ22" s="28"/>
      <c r="CK22" s="28"/>
      <c r="CL22" s="28"/>
      <c r="CM22" s="28"/>
      <c r="CN22" s="28"/>
      <c r="CO22" s="24"/>
      <c r="CP22" s="28"/>
      <c r="CQ22" s="28"/>
      <c r="CR22" s="28"/>
      <c r="CS22" s="28"/>
      <c r="CT22" s="28"/>
      <c r="CU22" s="28"/>
      <c r="CV22" s="28"/>
      <c r="CW22" s="24"/>
      <c r="CX22" s="24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</row>
    <row r="23" ht="15.75" customHeight="1"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34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4"/>
      <c r="CH23" s="24"/>
      <c r="CI23" s="28"/>
      <c r="CJ23" s="28"/>
      <c r="CK23" s="28"/>
      <c r="CL23" s="28"/>
      <c r="CM23" s="28"/>
      <c r="CN23" s="28"/>
      <c r="CO23" s="24"/>
      <c r="CP23" s="28"/>
      <c r="CQ23" s="28"/>
      <c r="CR23" s="28"/>
      <c r="CS23" s="28"/>
      <c r="CT23" s="28"/>
      <c r="CU23" s="28"/>
      <c r="CV23" s="28"/>
      <c r="CW23" s="24"/>
      <c r="CX23" s="24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</row>
    <row r="24" ht="15.75" customHeight="1"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34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4"/>
      <c r="CH24" s="24"/>
      <c r="CI24" s="28"/>
      <c r="CJ24" s="28"/>
      <c r="CK24" s="28"/>
      <c r="CL24" s="28"/>
      <c r="CM24" s="28"/>
      <c r="CN24" s="28"/>
      <c r="CO24" s="24"/>
      <c r="CP24" s="28"/>
      <c r="CQ24" s="28"/>
      <c r="CR24" s="28"/>
      <c r="CS24" s="28"/>
      <c r="CT24" s="28"/>
      <c r="CU24" s="28"/>
      <c r="CV24" s="28"/>
      <c r="CW24" s="24"/>
      <c r="CX24" s="24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</row>
    <row r="25" ht="15.75" customHeight="1"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34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4"/>
      <c r="CH25" s="24"/>
      <c r="CI25" s="28"/>
      <c r="CJ25" s="28"/>
      <c r="CK25" s="28"/>
      <c r="CL25" s="28"/>
      <c r="CM25" s="28"/>
      <c r="CN25" s="28"/>
      <c r="CO25" s="24"/>
      <c r="CP25" s="28"/>
      <c r="CQ25" s="28"/>
      <c r="CR25" s="28"/>
      <c r="CS25" s="28"/>
      <c r="CT25" s="28"/>
      <c r="CU25" s="28"/>
      <c r="CV25" s="28"/>
      <c r="CW25" s="24"/>
      <c r="CX25" s="24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</row>
    <row r="26" ht="15.75" customHeight="1"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34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4"/>
      <c r="CH26" s="24"/>
      <c r="CI26" s="28"/>
      <c r="CJ26" s="28"/>
      <c r="CK26" s="28"/>
      <c r="CL26" s="28"/>
      <c r="CM26" s="28"/>
      <c r="CN26" s="28"/>
      <c r="CO26" s="24"/>
      <c r="CP26" s="28"/>
      <c r="CQ26" s="28"/>
      <c r="CR26" s="28"/>
      <c r="CS26" s="28"/>
      <c r="CT26" s="28"/>
      <c r="CU26" s="28"/>
      <c r="CV26" s="28"/>
      <c r="CW26" s="24"/>
      <c r="CX26" s="24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</row>
    <row r="27" ht="15.75" customHeight="1"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34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4"/>
      <c r="CH27" s="24"/>
      <c r="CI27" s="28"/>
      <c r="CJ27" s="28"/>
      <c r="CK27" s="28"/>
      <c r="CL27" s="28"/>
      <c r="CM27" s="28"/>
      <c r="CN27" s="28"/>
      <c r="CO27" s="24"/>
      <c r="CP27" s="28"/>
      <c r="CQ27" s="28"/>
      <c r="CR27" s="28"/>
      <c r="CS27" s="28"/>
      <c r="CT27" s="28"/>
      <c r="CU27" s="28"/>
      <c r="CV27" s="28"/>
      <c r="CW27" s="24"/>
      <c r="CX27" s="24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</row>
    <row r="28" ht="15.75" customHeight="1"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34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4"/>
      <c r="CH28" s="24"/>
      <c r="CI28" s="28"/>
      <c r="CJ28" s="28"/>
      <c r="CK28" s="28"/>
      <c r="CL28" s="28"/>
      <c r="CM28" s="28"/>
      <c r="CN28" s="28"/>
      <c r="CO28" s="24"/>
      <c r="CP28" s="28"/>
      <c r="CQ28" s="28"/>
      <c r="CR28" s="28"/>
      <c r="CS28" s="28"/>
      <c r="CT28" s="28"/>
      <c r="CU28" s="28"/>
      <c r="CV28" s="28"/>
      <c r="CW28" s="24"/>
      <c r="CX28" s="24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</row>
    <row r="29" ht="15.75" customHeight="1"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34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4"/>
      <c r="CH29" s="24"/>
      <c r="CI29" s="28"/>
      <c r="CJ29" s="28"/>
      <c r="CK29" s="28"/>
      <c r="CL29" s="28"/>
      <c r="CM29" s="28"/>
      <c r="CN29" s="28"/>
      <c r="CO29" s="24"/>
      <c r="CP29" s="28"/>
      <c r="CQ29" s="28"/>
      <c r="CR29" s="28"/>
      <c r="CS29" s="28"/>
      <c r="CT29" s="28"/>
      <c r="CU29" s="28"/>
      <c r="CV29" s="28"/>
      <c r="CW29" s="24"/>
      <c r="CX29" s="24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</row>
    <row r="30" ht="15.75" customHeight="1"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34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4"/>
      <c r="CH30" s="24"/>
      <c r="CI30" s="28"/>
      <c r="CJ30" s="28"/>
      <c r="CK30" s="28"/>
      <c r="CL30" s="28"/>
      <c r="CM30" s="28"/>
      <c r="CN30" s="28"/>
      <c r="CO30" s="24"/>
      <c r="CP30" s="28"/>
      <c r="CQ30" s="28"/>
      <c r="CR30" s="28"/>
      <c r="CS30" s="28"/>
      <c r="CT30" s="28"/>
      <c r="CU30" s="28"/>
      <c r="CV30" s="28"/>
      <c r="CW30" s="24"/>
      <c r="CX30" s="24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</row>
    <row r="31" ht="15.75" customHeight="1"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34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4"/>
      <c r="CH31" s="24"/>
      <c r="CI31" s="28"/>
      <c r="CJ31" s="28"/>
      <c r="CK31" s="28"/>
      <c r="CL31" s="28"/>
      <c r="CM31" s="28"/>
      <c r="CN31" s="28"/>
      <c r="CO31" s="24"/>
      <c r="CP31" s="28"/>
      <c r="CQ31" s="28"/>
      <c r="CR31" s="28"/>
      <c r="CS31" s="28"/>
      <c r="CT31" s="28"/>
      <c r="CU31" s="28"/>
      <c r="CV31" s="28"/>
      <c r="CW31" s="24"/>
      <c r="CX31" s="24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</row>
    <row r="32" ht="15.75" customHeight="1"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34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4"/>
      <c r="CH32" s="24"/>
      <c r="CI32" s="28"/>
      <c r="CJ32" s="28"/>
      <c r="CK32" s="28"/>
      <c r="CL32" s="28"/>
      <c r="CM32" s="28"/>
      <c r="CN32" s="28"/>
      <c r="CO32" s="24"/>
      <c r="CP32" s="28"/>
      <c r="CQ32" s="28"/>
      <c r="CR32" s="28"/>
      <c r="CS32" s="28"/>
      <c r="CT32" s="28"/>
      <c r="CU32" s="28"/>
      <c r="CV32" s="28"/>
      <c r="CW32" s="24"/>
      <c r="CX32" s="24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</row>
    <row r="33" ht="15.75" customHeight="1"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34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4"/>
      <c r="CH33" s="24"/>
      <c r="CI33" s="28"/>
      <c r="CJ33" s="28"/>
      <c r="CK33" s="28"/>
      <c r="CL33" s="28"/>
      <c r="CM33" s="28"/>
      <c r="CN33" s="28"/>
      <c r="CO33" s="24"/>
      <c r="CP33" s="28"/>
      <c r="CQ33" s="28"/>
      <c r="CR33" s="28"/>
      <c r="CS33" s="28"/>
      <c r="CT33" s="28"/>
      <c r="CU33" s="28"/>
      <c r="CV33" s="28"/>
      <c r="CW33" s="24"/>
      <c r="CX33" s="24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</row>
    <row r="34" ht="15.75" customHeight="1"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34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4"/>
      <c r="CH34" s="24"/>
      <c r="CI34" s="28"/>
      <c r="CJ34" s="28"/>
      <c r="CK34" s="28"/>
      <c r="CL34" s="28"/>
      <c r="CM34" s="28"/>
      <c r="CN34" s="28"/>
      <c r="CO34" s="24"/>
      <c r="CP34" s="28"/>
      <c r="CQ34" s="28"/>
      <c r="CR34" s="28"/>
      <c r="CS34" s="28"/>
      <c r="CT34" s="28"/>
      <c r="CU34" s="28"/>
      <c r="CV34" s="28"/>
      <c r="CW34" s="24"/>
      <c r="CX34" s="24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</row>
    <row r="35" ht="15.75" customHeight="1"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34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4"/>
      <c r="CH35" s="24"/>
      <c r="CI35" s="28"/>
      <c r="CJ35" s="28"/>
      <c r="CK35" s="28"/>
      <c r="CL35" s="28"/>
      <c r="CM35" s="28"/>
      <c r="CN35" s="28"/>
      <c r="CO35" s="24"/>
      <c r="CP35" s="28"/>
      <c r="CQ35" s="28"/>
      <c r="CR35" s="28"/>
      <c r="CS35" s="28"/>
      <c r="CT35" s="28"/>
      <c r="CU35" s="28"/>
      <c r="CV35" s="28"/>
      <c r="CW35" s="24"/>
      <c r="CX35" s="24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</row>
    <row r="36" ht="15.75" customHeight="1"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34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4"/>
      <c r="CH36" s="24"/>
      <c r="CI36" s="28"/>
      <c r="CJ36" s="28"/>
      <c r="CK36" s="28"/>
      <c r="CL36" s="28"/>
      <c r="CM36" s="28"/>
      <c r="CN36" s="28"/>
      <c r="CO36" s="24"/>
      <c r="CP36" s="28"/>
      <c r="CQ36" s="28"/>
      <c r="CR36" s="28"/>
      <c r="CS36" s="28"/>
      <c r="CT36" s="28"/>
      <c r="CU36" s="28"/>
      <c r="CV36" s="28"/>
      <c r="CW36" s="24"/>
      <c r="CX36" s="24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</row>
    <row r="37" ht="15.75" customHeight="1"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34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4"/>
      <c r="CH37" s="24"/>
      <c r="CI37" s="28"/>
      <c r="CJ37" s="28"/>
      <c r="CK37" s="28"/>
      <c r="CL37" s="28"/>
      <c r="CM37" s="28"/>
      <c r="CN37" s="28"/>
      <c r="CO37" s="24"/>
      <c r="CP37" s="28"/>
      <c r="CQ37" s="28"/>
      <c r="CR37" s="28"/>
      <c r="CS37" s="28"/>
      <c r="CT37" s="28"/>
      <c r="CU37" s="28"/>
      <c r="CV37" s="28"/>
      <c r="CW37" s="24"/>
      <c r="CX37" s="24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</row>
    <row r="38" ht="15.75" customHeight="1"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34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4"/>
      <c r="CH38" s="24"/>
      <c r="CI38" s="28"/>
      <c r="CJ38" s="28"/>
      <c r="CK38" s="28"/>
      <c r="CL38" s="28"/>
      <c r="CM38" s="28"/>
      <c r="CN38" s="28"/>
      <c r="CO38" s="24"/>
      <c r="CP38" s="28"/>
      <c r="CQ38" s="28"/>
      <c r="CR38" s="28"/>
      <c r="CS38" s="28"/>
      <c r="CT38" s="28"/>
      <c r="CU38" s="28"/>
      <c r="CV38" s="28"/>
      <c r="CW38" s="24"/>
      <c r="CX38" s="24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</row>
    <row r="39" ht="15.75" customHeight="1"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34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4"/>
      <c r="CH39" s="24"/>
      <c r="CI39" s="28"/>
      <c r="CJ39" s="28"/>
      <c r="CK39" s="28"/>
      <c r="CL39" s="28"/>
      <c r="CM39" s="28"/>
      <c r="CN39" s="28"/>
      <c r="CO39" s="24"/>
      <c r="CP39" s="28"/>
      <c r="CQ39" s="28"/>
      <c r="CR39" s="28"/>
      <c r="CS39" s="28"/>
      <c r="CT39" s="28"/>
      <c r="CU39" s="28"/>
      <c r="CV39" s="28"/>
      <c r="CW39" s="24"/>
      <c r="CX39" s="24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</row>
    <row r="40" ht="15.75" customHeight="1"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34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4"/>
      <c r="CH40" s="24"/>
      <c r="CI40" s="28"/>
      <c r="CJ40" s="28"/>
      <c r="CK40" s="28"/>
      <c r="CL40" s="28"/>
      <c r="CM40" s="28"/>
      <c r="CN40" s="28"/>
      <c r="CO40" s="24"/>
      <c r="CP40" s="28"/>
      <c r="CQ40" s="28"/>
      <c r="CR40" s="28"/>
      <c r="CS40" s="28"/>
      <c r="CT40" s="28"/>
      <c r="CU40" s="28"/>
      <c r="CV40" s="28"/>
      <c r="CW40" s="24"/>
      <c r="CX40" s="24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</row>
    <row r="41" ht="15.75" customHeight="1"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34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4"/>
      <c r="CH41" s="24"/>
      <c r="CI41" s="28"/>
      <c r="CJ41" s="28"/>
      <c r="CK41" s="28"/>
      <c r="CL41" s="28"/>
      <c r="CM41" s="28"/>
      <c r="CN41" s="28"/>
      <c r="CO41" s="24"/>
      <c r="CP41" s="28"/>
      <c r="CQ41" s="28"/>
      <c r="CR41" s="28"/>
      <c r="CS41" s="28"/>
      <c r="CT41" s="28"/>
      <c r="CU41" s="28"/>
      <c r="CV41" s="28"/>
      <c r="CW41" s="24"/>
      <c r="CX41" s="24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</row>
    <row r="42" ht="15.75" customHeight="1"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34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4"/>
      <c r="CH42" s="24"/>
      <c r="CI42" s="28"/>
      <c r="CJ42" s="28"/>
      <c r="CK42" s="28"/>
      <c r="CL42" s="28"/>
      <c r="CM42" s="28"/>
      <c r="CN42" s="28"/>
      <c r="CO42" s="24"/>
      <c r="CP42" s="28"/>
      <c r="CQ42" s="28"/>
      <c r="CR42" s="28"/>
      <c r="CS42" s="28"/>
      <c r="CT42" s="28"/>
      <c r="CU42" s="28"/>
      <c r="CV42" s="28"/>
      <c r="CW42" s="24"/>
      <c r="CX42" s="24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</row>
    <row r="43" ht="15.75" customHeight="1"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34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4"/>
      <c r="CH43" s="24"/>
      <c r="CI43" s="28"/>
      <c r="CJ43" s="28"/>
      <c r="CK43" s="28"/>
      <c r="CL43" s="28"/>
      <c r="CM43" s="28"/>
      <c r="CN43" s="28"/>
      <c r="CO43" s="24"/>
      <c r="CP43" s="28"/>
      <c r="CQ43" s="28"/>
      <c r="CR43" s="28"/>
      <c r="CS43" s="28"/>
      <c r="CT43" s="28"/>
      <c r="CU43" s="28"/>
      <c r="CV43" s="28"/>
      <c r="CW43" s="24"/>
      <c r="CX43" s="24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</row>
    <row r="44" ht="15.75" customHeight="1"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34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4"/>
      <c r="CH44" s="24"/>
      <c r="CI44" s="28"/>
      <c r="CJ44" s="28"/>
      <c r="CK44" s="28"/>
      <c r="CL44" s="28"/>
      <c r="CM44" s="28"/>
      <c r="CN44" s="28"/>
      <c r="CO44" s="24"/>
      <c r="CP44" s="28"/>
      <c r="CQ44" s="28"/>
      <c r="CR44" s="28"/>
      <c r="CS44" s="28"/>
      <c r="CT44" s="28"/>
      <c r="CU44" s="28"/>
      <c r="CV44" s="28"/>
      <c r="CW44" s="24"/>
      <c r="CX44" s="24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</row>
    <row r="45" ht="15.75" customHeight="1"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34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4"/>
      <c r="CH45" s="24"/>
      <c r="CI45" s="28"/>
      <c r="CJ45" s="28"/>
      <c r="CK45" s="28"/>
      <c r="CL45" s="28"/>
      <c r="CM45" s="28"/>
      <c r="CN45" s="28"/>
      <c r="CO45" s="24"/>
      <c r="CP45" s="28"/>
      <c r="CQ45" s="28"/>
      <c r="CR45" s="28"/>
      <c r="CS45" s="28"/>
      <c r="CT45" s="28"/>
      <c r="CU45" s="28"/>
      <c r="CV45" s="28"/>
      <c r="CW45" s="24"/>
      <c r="CX45" s="24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</row>
    <row r="46" ht="15.75" customHeight="1"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34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4"/>
      <c r="CH46" s="24"/>
      <c r="CI46" s="28"/>
      <c r="CJ46" s="28"/>
      <c r="CK46" s="28"/>
      <c r="CL46" s="28"/>
      <c r="CM46" s="28"/>
      <c r="CN46" s="28"/>
      <c r="CO46" s="24"/>
      <c r="CP46" s="28"/>
      <c r="CQ46" s="28"/>
      <c r="CR46" s="28"/>
      <c r="CS46" s="28"/>
      <c r="CT46" s="28"/>
      <c r="CU46" s="28"/>
      <c r="CV46" s="28"/>
      <c r="CW46" s="24"/>
      <c r="CX46" s="24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</row>
    <row r="47" ht="15.75" customHeight="1"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34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4"/>
      <c r="CH47" s="24"/>
      <c r="CI47" s="28"/>
      <c r="CJ47" s="28"/>
      <c r="CK47" s="28"/>
      <c r="CL47" s="28"/>
      <c r="CM47" s="28"/>
      <c r="CN47" s="28"/>
      <c r="CO47" s="24"/>
      <c r="CP47" s="28"/>
      <c r="CQ47" s="28"/>
      <c r="CR47" s="28"/>
      <c r="CS47" s="28"/>
      <c r="CT47" s="28"/>
      <c r="CU47" s="28"/>
      <c r="CV47" s="28"/>
      <c r="CW47" s="24"/>
      <c r="CX47" s="24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</row>
    <row r="48" ht="15.75" customHeight="1"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34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4"/>
      <c r="CH48" s="24"/>
      <c r="CI48" s="28"/>
      <c r="CJ48" s="28"/>
      <c r="CK48" s="28"/>
      <c r="CL48" s="28"/>
      <c r="CM48" s="28"/>
      <c r="CN48" s="28"/>
      <c r="CO48" s="24"/>
      <c r="CP48" s="28"/>
      <c r="CQ48" s="28"/>
      <c r="CR48" s="28"/>
      <c r="CS48" s="28"/>
      <c r="CT48" s="28"/>
      <c r="CU48" s="28"/>
      <c r="CV48" s="28"/>
      <c r="CW48" s="24"/>
      <c r="CX48" s="24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</row>
    <row r="49" ht="15.75" customHeight="1"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34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4"/>
      <c r="CH49" s="24"/>
      <c r="CI49" s="28"/>
      <c r="CJ49" s="28"/>
      <c r="CK49" s="28"/>
      <c r="CL49" s="28"/>
      <c r="CM49" s="28"/>
      <c r="CN49" s="28"/>
      <c r="CO49" s="24"/>
      <c r="CP49" s="28"/>
      <c r="CQ49" s="28"/>
      <c r="CR49" s="28"/>
      <c r="CS49" s="28"/>
      <c r="CT49" s="28"/>
      <c r="CU49" s="28"/>
      <c r="CV49" s="28"/>
      <c r="CW49" s="24"/>
      <c r="CX49" s="24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</row>
    <row r="50" ht="15.75" customHeight="1"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34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4"/>
      <c r="CH50" s="24"/>
      <c r="CI50" s="28"/>
      <c r="CJ50" s="28"/>
      <c r="CK50" s="28"/>
      <c r="CL50" s="28"/>
      <c r="CM50" s="28"/>
      <c r="CN50" s="28"/>
      <c r="CO50" s="24"/>
      <c r="CP50" s="28"/>
      <c r="CQ50" s="28"/>
      <c r="CR50" s="28"/>
      <c r="CS50" s="28"/>
      <c r="CT50" s="28"/>
      <c r="CU50" s="28"/>
      <c r="CV50" s="28"/>
      <c r="CW50" s="24"/>
      <c r="CX50" s="24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</row>
    <row r="51" ht="15.75" customHeight="1"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34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4"/>
      <c r="CH51" s="24"/>
      <c r="CI51" s="28"/>
      <c r="CJ51" s="28"/>
      <c r="CK51" s="28"/>
      <c r="CL51" s="28"/>
      <c r="CM51" s="28"/>
      <c r="CN51" s="28"/>
      <c r="CO51" s="24"/>
      <c r="CP51" s="28"/>
      <c r="CQ51" s="28"/>
      <c r="CR51" s="28"/>
      <c r="CS51" s="28"/>
      <c r="CT51" s="28"/>
      <c r="CU51" s="28"/>
      <c r="CV51" s="28"/>
      <c r="CW51" s="24"/>
      <c r="CX51" s="24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</row>
    <row r="52" ht="15.75" customHeight="1"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34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4"/>
      <c r="CH52" s="24"/>
      <c r="CI52" s="28"/>
      <c r="CJ52" s="28"/>
      <c r="CK52" s="28"/>
      <c r="CL52" s="28"/>
      <c r="CM52" s="28"/>
      <c r="CN52" s="28"/>
      <c r="CO52" s="24"/>
      <c r="CP52" s="28"/>
      <c r="CQ52" s="28"/>
      <c r="CR52" s="28"/>
      <c r="CS52" s="28"/>
      <c r="CT52" s="28"/>
      <c r="CU52" s="28"/>
      <c r="CV52" s="28"/>
      <c r="CW52" s="24"/>
      <c r="CX52" s="24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</row>
    <row r="53" ht="15.75" customHeight="1"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34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4"/>
      <c r="CH53" s="24"/>
      <c r="CI53" s="28"/>
      <c r="CJ53" s="28"/>
      <c r="CK53" s="28"/>
      <c r="CL53" s="28"/>
      <c r="CM53" s="28"/>
      <c r="CN53" s="28"/>
      <c r="CO53" s="24"/>
      <c r="CP53" s="28"/>
      <c r="CQ53" s="28"/>
      <c r="CR53" s="28"/>
      <c r="CS53" s="28"/>
      <c r="CT53" s="28"/>
      <c r="CU53" s="28"/>
      <c r="CV53" s="28"/>
      <c r="CW53" s="24"/>
      <c r="CX53" s="24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</row>
    <row r="54" ht="15.75" customHeight="1"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34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4"/>
      <c r="CH54" s="24"/>
      <c r="CI54" s="28"/>
      <c r="CJ54" s="28"/>
      <c r="CK54" s="28"/>
      <c r="CL54" s="28"/>
      <c r="CM54" s="28"/>
      <c r="CN54" s="28"/>
      <c r="CO54" s="24"/>
      <c r="CP54" s="28"/>
      <c r="CQ54" s="28"/>
      <c r="CR54" s="28"/>
      <c r="CS54" s="28"/>
      <c r="CT54" s="28"/>
      <c r="CU54" s="28"/>
      <c r="CV54" s="28"/>
      <c r="CW54" s="24"/>
      <c r="CX54" s="24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</row>
    <row r="55" ht="15.75" customHeight="1"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34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4"/>
      <c r="CH55" s="24"/>
      <c r="CI55" s="28"/>
      <c r="CJ55" s="28"/>
      <c r="CK55" s="28"/>
      <c r="CL55" s="28"/>
      <c r="CM55" s="28"/>
      <c r="CN55" s="28"/>
      <c r="CO55" s="24"/>
      <c r="CP55" s="28"/>
      <c r="CQ55" s="28"/>
      <c r="CR55" s="28"/>
      <c r="CS55" s="28"/>
      <c r="CT55" s="28"/>
      <c r="CU55" s="28"/>
      <c r="CV55" s="28"/>
      <c r="CW55" s="24"/>
      <c r="CX55" s="24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</row>
    <row r="56" ht="15.75" customHeight="1"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34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4"/>
      <c r="CH56" s="24"/>
      <c r="CI56" s="28"/>
      <c r="CJ56" s="28"/>
      <c r="CK56" s="28"/>
      <c r="CL56" s="28"/>
      <c r="CM56" s="28"/>
      <c r="CN56" s="28"/>
      <c r="CO56" s="24"/>
      <c r="CP56" s="28"/>
      <c r="CQ56" s="28"/>
      <c r="CR56" s="28"/>
      <c r="CS56" s="28"/>
      <c r="CT56" s="28"/>
      <c r="CU56" s="28"/>
      <c r="CV56" s="28"/>
      <c r="CW56" s="24"/>
      <c r="CX56" s="24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</row>
    <row r="57" ht="15.75" customHeight="1"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34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4"/>
      <c r="CH57" s="24"/>
      <c r="CI57" s="28"/>
      <c r="CJ57" s="28"/>
      <c r="CK57" s="28"/>
      <c r="CL57" s="28"/>
      <c r="CM57" s="28"/>
      <c r="CN57" s="28"/>
      <c r="CO57" s="24"/>
      <c r="CP57" s="28"/>
      <c r="CQ57" s="28"/>
      <c r="CR57" s="28"/>
      <c r="CS57" s="28"/>
      <c r="CT57" s="28"/>
      <c r="CU57" s="28"/>
      <c r="CV57" s="28"/>
      <c r="CW57" s="24"/>
      <c r="CX57" s="24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</row>
    <row r="58" ht="15.75" customHeight="1"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34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4"/>
      <c r="CH58" s="24"/>
      <c r="CI58" s="28"/>
      <c r="CJ58" s="28"/>
      <c r="CK58" s="28"/>
      <c r="CL58" s="28"/>
      <c r="CM58" s="28"/>
      <c r="CN58" s="28"/>
      <c r="CO58" s="24"/>
      <c r="CP58" s="28"/>
      <c r="CQ58" s="28"/>
      <c r="CR58" s="28"/>
      <c r="CS58" s="28"/>
      <c r="CT58" s="28"/>
      <c r="CU58" s="28"/>
      <c r="CV58" s="28"/>
      <c r="CW58" s="24"/>
      <c r="CX58" s="24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</row>
    <row r="59" ht="15.75" customHeight="1"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34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4"/>
      <c r="CH59" s="24"/>
      <c r="CI59" s="28"/>
      <c r="CJ59" s="28"/>
      <c r="CK59" s="28"/>
      <c r="CL59" s="28"/>
      <c r="CM59" s="28"/>
      <c r="CN59" s="28"/>
      <c r="CO59" s="24"/>
      <c r="CP59" s="28"/>
      <c r="CQ59" s="28"/>
      <c r="CR59" s="28"/>
      <c r="CS59" s="28"/>
      <c r="CT59" s="28"/>
      <c r="CU59" s="28"/>
      <c r="CV59" s="28"/>
      <c r="CW59" s="24"/>
      <c r="CX59" s="24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</row>
    <row r="60" ht="15.75" customHeight="1"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34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4"/>
      <c r="CH60" s="24"/>
      <c r="CI60" s="28"/>
      <c r="CJ60" s="28"/>
      <c r="CK60" s="28"/>
      <c r="CL60" s="28"/>
      <c r="CM60" s="28"/>
      <c r="CN60" s="28"/>
      <c r="CO60" s="24"/>
      <c r="CP60" s="28"/>
      <c r="CQ60" s="28"/>
      <c r="CR60" s="28"/>
      <c r="CS60" s="28"/>
      <c r="CT60" s="28"/>
      <c r="CU60" s="28"/>
      <c r="CV60" s="28"/>
      <c r="CW60" s="24"/>
      <c r="CX60" s="24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</row>
    <row r="61" ht="15.75" customHeight="1"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34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4"/>
      <c r="CH61" s="24"/>
      <c r="CI61" s="28"/>
      <c r="CJ61" s="28"/>
      <c r="CK61" s="28"/>
      <c r="CL61" s="28"/>
      <c r="CM61" s="28"/>
      <c r="CN61" s="28"/>
      <c r="CO61" s="24"/>
      <c r="CP61" s="28"/>
      <c r="CQ61" s="28"/>
      <c r="CR61" s="28"/>
      <c r="CS61" s="28"/>
      <c r="CT61" s="28"/>
      <c r="CU61" s="28"/>
      <c r="CV61" s="28"/>
      <c r="CW61" s="24"/>
      <c r="CX61" s="24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</row>
    <row r="62" ht="15.75" customHeight="1"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34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4"/>
      <c r="CH62" s="24"/>
      <c r="CI62" s="28"/>
      <c r="CJ62" s="28"/>
      <c r="CK62" s="28"/>
      <c r="CL62" s="28"/>
      <c r="CM62" s="28"/>
      <c r="CN62" s="28"/>
      <c r="CO62" s="24"/>
      <c r="CP62" s="28"/>
      <c r="CQ62" s="28"/>
      <c r="CR62" s="28"/>
      <c r="CS62" s="28"/>
      <c r="CT62" s="28"/>
      <c r="CU62" s="28"/>
      <c r="CV62" s="28"/>
      <c r="CW62" s="24"/>
      <c r="CX62" s="24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</row>
    <row r="63" ht="15.75" customHeight="1"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34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4"/>
      <c r="CH63" s="24"/>
      <c r="CI63" s="28"/>
      <c r="CJ63" s="28"/>
      <c r="CK63" s="28"/>
      <c r="CL63" s="28"/>
      <c r="CM63" s="28"/>
      <c r="CN63" s="28"/>
      <c r="CO63" s="24"/>
      <c r="CP63" s="28"/>
      <c r="CQ63" s="28"/>
      <c r="CR63" s="28"/>
      <c r="CS63" s="28"/>
      <c r="CT63" s="28"/>
      <c r="CU63" s="28"/>
      <c r="CV63" s="28"/>
      <c r="CW63" s="24"/>
      <c r="CX63" s="24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</row>
    <row r="64" ht="15.75" customHeight="1"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34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4"/>
      <c r="CH64" s="24"/>
      <c r="CI64" s="28"/>
      <c r="CJ64" s="28"/>
      <c r="CK64" s="28"/>
      <c r="CL64" s="28"/>
      <c r="CM64" s="28"/>
      <c r="CN64" s="28"/>
      <c r="CO64" s="24"/>
      <c r="CP64" s="28"/>
      <c r="CQ64" s="28"/>
      <c r="CR64" s="28"/>
      <c r="CS64" s="28"/>
      <c r="CT64" s="28"/>
      <c r="CU64" s="28"/>
      <c r="CV64" s="28"/>
      <c r="CW64" s="24"/>
      <c r="CX64" s="24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</row>
    <row r="65" ht="15.75" customHeight="1"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34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4"/>
      <c r="CH65" s="24"/>
      <c r="CI65" s="28"/>
      <c r="CJ65" s="28"/>
      <c r="CK65" s="28"/>
      <c r="CL65" s="28"/>
      <c r="CM65" s="28"/>
      <c r="CN65" s="28"/>
      <c r="CO65" s="24"/>
      <c r="CP65" s="28"/>
      <c r="CQ65" s="28"/>
      <c r="CR65" s="28"/>
      <c r="CS65" s="28"/>
      <c r="CT65" s="28"/>
      <c r="CU65" s="28"/>
      <c r="CV65" s="28"/>
      <c r="CW65" s="24"/>
      <c r="CX65" s="24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</row>
    <row r="66" ht="15.75" customHeight="1"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34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4"/>
      <c r="CH66" s="24"/>
      <c r="CI66" s="28"/>
      <c r="CJ66" s="28"/>
      <c r="CK66" s="28"/>
      <c r="CL66" s="28"/>
      <c r="CM66" s="28"/>
      <c r="CN66" s="28"/>
      <c r="CO66" s="24"/>
      <c r="CP66" s="28"/>
      <c r="CQ66" s="28"/>
      <c r="CR66" s="28"/>
      <c r="CS66" s="28"/>
      <c r="CT66" s="28"/>
      <c r="CU66" s="28"/>
      <c r="CV66" s="28"/>
      <c r="CW66" s="24"/>
      <c r="CX66" s="24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</row>
    <row r="67" ht="15.75" customHeight="1"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34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4"/>
      <c r="CH67" s="24"/>
      <c r="CI67" s="28"/>
      <c r="CJ67" s="28"/>
      <c r="CK67" s="28"/>
      <c r="CL67" s="28"/>
      <c r="CM67" s="28"/>
      <c r="CN67" s="28"/>
      <c r="CO67" s="24"/>
      <c r="CP67" s="28"/>
      <c r="CQ67" s="28"/>
      <c r="CR67" s="28"/>
      <c r="CS67" s="28"/>
      <c r="CT67" s="28"/>
      <c r="CU67" s="28"/>
      <c r="CV67" s="28"/>
      <c r="CW67" s="24"/>
      <c r="CX67" s="24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</row>
    <row r="68" ht="15.75" customHeight="1"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34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4"/>
      <c r="CH68" s="24"/>
      <c r="CI68" s="28"/>
      <c r="CJ68" s="28"/>
      <c r="CK68" s="28"/>
      <c r="CL68" s="28"/>
      <c r="CM68" s="28"/>
      <c r="CN68" s="28"/>
      <c r="CO68" s="24"/>
      <c r="CP68" s="28"/>
      <c r="CQ68" s="28"/>
      <c r="CR68" s="28"/>
      <c r="CS68" s="28"/>
      <c r="CT68" s="28"/>
      <c r="CU68" s="28"/>
      <c r="CV68" s="28"/>
      <c r="CW68" s="24"/>
      <c r="CX68" s="24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</row>
    <row r="69" ht="15.75" customHeight="1"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34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4"/>
      <c r="CH69" s="24"/>
      <c r="CI69" s="28"/>
      <c r="CJ69" s="28"/>
      <c r="CK69" s="28"/>
      <c r="CL69" s="28"/>
      <c r="CM69" s="28"/>
      <c r="CN69" s="28"/>
      <c r="CO69" s="24"/>
      <c r="CP69" s="28"/>
      <c r="CQ69" s="28"/>
      <c r="CR69" s="28"/>
      <c r="CS69" s="28"/>
      <c r="CT69" s="28"/>
      <c r="CU69" s="28"/>
      <c r="CV69" s="28"/>
      <c r="CW69" s="24"/>
      <c r="CX69" s="24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</row>
    <row r="70" ht="15.75" customHeight="1"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34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4"/>
      <c r="CH70" s="24"/>
      <c r="CI70" s="28"/>
      <c r="CJ70" s="28"/>
      <c r="CK70" s="28"/>
      <c r="CL70" s="28"/>
      <c r="CM70" s="28"/>
      <c r="CN70" s="28"/>
      <c r="CO70" s="24"/>
      <c r="CP70" s="28"/>
      <c r="CQ70" s="28"/>
      <c r="CR70" s="28"/>
      <c r="CS70" s="28"/>
      <c r="CT70" s="28"/>
      <c r="CU70" s="28"/>
      <c r="CV70" s="28"/>
      <c r="CW70" s="24"/>
      <c r="CX70" s="24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</row>
    <row r="71" ht="15.75" customHeight="1"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34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4"/>
      <c r="CH71" s="24"/>
      <c r="CI71" s="28"/>
      <c r="CJ71" s="28"/>
      <c r="CK71" s="28"/>
      <c r="CL71" s="28"/>
      <c r="CM71" s="28"/>
      <c r="CN71" s="28"/>
      <c r="CO71" s="24"/>
      <c r="CP71" s="28"/>
      <c r="CQ71" s="28"/>
      <c r="CR71" s="28"/>
      <c r="CS71" s="28"/>
      <c r="CT71" s="28"/>
      <c r="CU71" s="28"/>
      <c r="CV71" s="28"/>
      <c r="CW71" s="24"/>
      <c r="CX71" s="24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</row>
    <row r="72" ht="15.75" customHeight="1"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34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4"/>
      <c r="CH72" s="24"/>
      <c r="CI72" s="28"/>
      <c r="CJ72" s="28"/>
      <c r="CK72" s="28"/>
      <c r="CL72" s="28"/>
      <c r="CM72" s="28"/>
      <c r="CN72" s="28"/>
      <c r="CO72" s="24"/>
      <c r="CP72" s="28"/>
      <c r="CQ72" s="28"/>
      <c r="CR72" s="28"/>
      <c r="CS72" s="28"/>
      <c r="CT72" s="28"/>
      <c r="CU72" s="28"/>
      <c r="CV72" s="28"/>
      <c r="CW72" s="24"/>
      <c r="CX72" s="24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</row>
    <row r="73" ht="15.75" customHeight="1"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34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4"/>
      <c r="CH73" s="24"/>
      <c r="CI73" s="28"/>
      <c r="CJ73" s="28"/>
      <c r="CK73" s="28"/>
      <c r="CL73" s="28"/>
      <c r="CM73" s="28"/>
      <c r="CN73" s="28"/>
      <c r="CO73" s="24"/>
      <c r="CP73" s="28"/>
      <c r="CQ73" s="28"/>
      <c r="CR73" s="28"/>
      <c r="CS73" s="28"/>
      <c r="CT73" s="28"/>
      <c r="CU73" s="28"/>
      <c r="CV73" s="28"/>
      <c r="CW73" s="24"/>
      <c r="CX73" s="24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</row>
    <row r="74" ht="15.75" customHeight="1"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34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4"/>
      <c r="CH74" s="24"/>
      <c r="CI74" s="28"/>
      <c r="CJ74" s="28"/>
      <c r="CK74" s="28"/>
      <c r="CL74" s="28"/>
      <c r="CM74" s="28"/>
      <c r="CN74" s="28"/>
      <c r="CO74" s="24"/>
      <c r="CP74" s="28"/>
      <c r="CQ74" s="28"/>
      <c r="CR74" s="28"/>
      <c r="CS74" s="28"/>
      <c r="CT74" s="28"/>
      <c r="CU74" s="28"/>
      <c r="CV74" s="28"/>
      <c r="CW74" s="24"/>
      <c r="CX74" s="24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</row>
    <row r="75" ht="15.75" customHeight="1"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34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4"/>
      <c r="CH75" s="24"/>
      <c r="CI75" s="28"/>
      <c r="CJ75" s="28"/>
      <c r="CK75" s="28"/>
      <c r="CL75" s="28"/>
      <c r="CM75" s="28"/>
      <c r="CN75" s="28"/>
      <c r="CO75" s="24"/>
      <c r="CP75" s="28"/>
      <c r="CQ75" s="28"/>
      <c r="CR75" s="28"/>
      <c r="CS75" s="28"/>
      <c r="CT75" s="28"/>
      <c r="CU75" s="28"/>
      <c r="CV75" s="28"/>
      <c r="CW75" s="24"/>
      <c r="CX75" s="24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</row>
    <row r="76" ht="15.75" customHeight="1"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34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4"/>
      <c r="CH76" s="24"/>
      <c r="CI76" s="28"/>
      <c r="CJ76" s="28"/>
      <c r="CK76" s="28"/>
      <c r="CL76" s="28"/>
      <c r="CM76" s="28"/>
      <c r="CN76" s="28"/>
      <c r="CO76" s="24"/>
      <c r="CP76" s="28"/>
      <c r="CQ76" s="28"/>
      <c r="CR76" s="28"/>
      <c r="CS76" s="28"/>
      <c r="CT76" s="28"/>
      <c r="CU76" s="28"/>
      <c r="CV76" s="28"/>
      <c r="CW76" s="24"/>
      <c r="CX76" s="24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</row>
    <row r="77" ht="15.75" customHeight="1"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34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4"/>
      <c r="CH77" s="24"/>
      <c r="CI77" s="28"/>
      <c r="CJ77" s="28"/>
      <c r="CK77" s="28"/>
      <c r="CL77" s="28"/>
      <c r="CM77" s="28"/>
      <c r="CN77" s="28"/>
      <c r="CO77" s="24"/>
      <c r="CP77" s="28"/>
      <c r="CQ77" s="28"/>
      <c r="CR77" s="28"/>
      <c r="CS77" s="28"/>
      <c r="CT77" s="28"/>
      <c r="CU77" s="28"/>
      <c r="CV77" s="28"/>
      <c r="CW77" s="24"/>
      <c r="CX77" s="24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</row>
    <row r="78" ht="15.75" customHeight="1"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34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4"/>
      <c r="CH78" s="24"/>
      <c r="CI78" s="28"/>
      <c r="CJ78" s="28"/>
      <c r="CK78" s="28"/>
      <c r="CL78" s="28"/>
      <c r="CM78" s="28"/>
      <c r="CN78" s="28"/>
      <c r="CO78" s="24"/>
      <c r="CP78" s="28"/>
      <c r="CQ78" s="28"/>
      <c r="CR78" s="28"/>
      <c r="CS78" s="28"/>
      <c r="CT78" s="28"/>
      <c r="CU78" s="28"/>
      <c r="CV78" s="28"/>
      <c r="CW78" s="24"/>
      <c r="CX78" s="24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</row>
    <row r="79" ht="15.75" customHeight="1"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34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4"/>
      <c r="CH79" s="24"/>
      <c r="CI79" s="28"/>
      <c r="CJ79" s="28"/>
      <c r="CK79" s="28"/>
      <c r="CL79" s="28"/>
      <c r="CM79" s="28"/>
      <c r="CN79" s="28"/>
      <c r="CO79" s="24"/>
      <c r="CP79" s="28"/>
      <c r="CQ79" s="28"/>
      <c r="CR79" s="28"/>
      <c r="CS79" s="28"/>
      <c r="CT79" s="28"/>
      <c r="CU79" s="28"/>
      <c r="CV79" s="28"/>
      <c r="CW79" s="24"/>
      <c r="CX79" s="24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</row>
    <row r="80" ht="15.75" customHeight="1"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34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4"/>
      <c r="CH80" s="24"/>
      <c r="CI80" s="28"/>
      <c r="CJ80" s="28"/>
      <c r="CK80" s="28"/>
      <c r="CL80" s="28"/>
      <c r="CM80" s="28"/>
      <c r="CN80" s="28"/>
      <c r="CO80" s="24"/>
      <c r="CP80" s="28"/>
      <c r="CQ80" s="28"/>
      <c r="CR80" s="28"/>
      <c r="CS80" s="28"/>
      <c r="CT80" s="28"/>
      <c r="CU80" s="28"/>
      <c r="CV80" s="28"/>
      <c r="CW80" s="24"/>
      <c r="CX80" s="24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</row>
    <row r="81" ht="15.75" customHeight="1"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34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4"/>
      <c r="CH81" s="24"/>
      <c r="CI81" s="28"/>
      <c r="CJ81" s="28"/>
      <c r="CK81" s="28"/>
      <c r="CL81" s="28"/>
      <c r="CM81" s="28"/>
      <c r="CN81" s="28"/>
      <c r="CO81" s="24"/>
      <c r="CP81" s="28"/>
      <c r="CQ81" s="28"/>
      <c r="CR81" s="28"/>
      <c r="CS81" s="28"/>
      <c r="CT81" s="28"/>
      <c r="CU81" s="28"/>
      <c r="CV81" s="28"/>
      <c r="CW81" s="24"/>
      <c r="CX81" s="24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</row>
    <row r="82" ht="15.75" customHeight="1"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34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4"/>
      <c r="CH82" s="24"/>
      <c r="CI82" s="28"/>
      <c r="CJ82" s="28"/>
      <c r="CK82" s="28"/>
      <c r="CL82" s="28"/>
      <c r="CM82" s="28"/>
      <c r="CN82" s="28"/>
      <c r="CO82" s="24"/>
      <c r="CP82" s="28"/>
      <c r="CQ82" s="28"/>
      <c r="CR82" s="28"/>
      <c r="CS82" s="28"/>
      <c r="CT82" s="28"/>
      <c r="CU82" s="28"/>
      <c r="CV82" s="28"/>
      <c r="CW82" s="24"/>
      <c r="CX82" s="24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</row>
    <row r="83" ht="15.75" customHeight="1"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34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4"/>
      <c r="CH83" s="24"/>
      <c r="CI83" s="28"/>
      <c r="CJ83" s="28"/>
      <c r="CK83" s="28"/>
      <c r="CL83" s="28"/>
      <c r="CM83" s="28"/>
      <c r="CN83" s="28"/>
      <c r="CO83" s="24"/>
      <c r="CP83" s="28"/>
      <c r="CQ83" s="28"/>
      <c r="CR83" s="28"/>
      <c r="CS83" s="28"/>
      <c r="CT83" s="28"/>
      <c r="CU83" s="28"/>
      <c r="CV83" s="28"/>
      <c r="CW83" s="24"/>
      <c r="CX83" s="24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</row>
    <row r="84" ht="15.75" customHeight="1"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34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4"/>
      <c r="CH84" s="24"/>
      <c r="CI84" s="28"/>
      <c r="CJ84" s="28"/>
      <c r="CK84" s="28"/>
      <c r="CL84" s="28"/>
      <c r="CM84" s="28"/>
      <c r="CN84" s="28"/>
      <c r="CO84" s="24"/>
      <c r="CP84" s="28"/>
      <c r="CQ84" s="28"/>
      <c r="CR84" s="28"/>
      <c r="CS84" s="28"/>
      <c r="CT84" s="28"/>
      <c r="CU84" s="28"/>
      <c r="CV84" s="28"/>
      <c r="CW84" s="24"/>
      <c r="CX84" s="24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</row>
    <row r="85" ht="15.75" customHeight="1"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34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4"/>
      <c r="CH85" s="24"/>
      <c r="CI85" s="28"/>
      <c r="CJ85" s="28"/>
      <c r="CK85" s="28"/>
      <c r="CL85" s="28"/>
      <c r="CM85" s="28"/>
      <c r="CN85" s="28"/>
      <c r="CO85" s="24"/>
      <c r="CP85" s="28"/>
      <c r="CQ85" s="28"/>
      <c r="CR85" s="28"/>
      <c r="CS85" s="28"/>
      <c r="CT85" s="28"/>
      <c r="CU85" s="28"/>
      <c r="CV85" s="28"/>
      <c r="CW85" s="24"/>
      <c r="CX85" s="24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</row>
    <row r="86" ht="15.75" customHeight="1"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34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4"/>
      <c r="CH86" s="24"/>
      <c r="CI86" s="28"/>
      <c r="CJ86" s="28"/>
      <c r="CK86" s="28"/>
      <c r="CL86" s="28"/>
      <c r="CM86" s="28"/>
      <c r="CN86" s="28"/>
      <c r="CO86" s="24"/>
      <c r="CP86" s="28"/>
      <c r="CQ86" s="28"/>
      <c r="CR86" s="28"/>
      <c r="CS86" s="28"/>
      <c r="CT86" s="28"/>
      <c r="CU86" s="28"/>
      <c r="CV86" s="28"/>
      <c r="CW86" s="24"/>
      <c r="CX86" s="24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</row>
    <row r="87" ht="15.75" customHeight="1"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34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4"/>
      <c r="CH87" s="24"/>
      <c r="CI87" s="28"/>
      <c r="CJ87" s="28"/>
      <c r="CK87" s="28"/>
      <c r="CL87" s="28"/>
      <c r="CM87" s="28"/>
      <c r="CN87" s="28"/>
      <c r="CO87" s="24"/>
      <c r="CP87" s="28"/>
      <c r="CQ87" s="28"/>
      <c r="CR87" s="28"/>
      <c r="CS87" s="28"/>
      <c r="CT87" s="28"/>
      <c r="CU87" s="28"/>
      <c r="CV87" s="28"/>
      <c r="CW87" s="24"/>
      <c r="CX87" s="24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</row>
    <row r="88" ht="15.75" customHeight="1"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34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4"/>
      <c r="CH88" s="24"/>
      <c r="CI88" s="28"/>
      <c r="CJ88" s="28"/>
      <c r="CK88" s="28"/>
      <c r="CL88" s="28"/>
      <c r="CM88" s="28"/>
      <c r="CN88" s="28"/>
      <c r="CO88" s="24"/>
      <c r="CP88" s="28"/>
      <c r="CQ88" s="28"/>
      <c r="CR88" s="28"/>
      <c r="CS88" s="28"/>
      <c r="CT88" s="28"/>
      <c r="CU88" s="28"/>
      <c r="CV88" s="28"/>
      <c r="CW88" s="24"/>
      <c r="CX88" s="24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</row>
    <row r="89" ht="15.75" customHeight="1"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34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4"/>
      <c r="CH89" s="24"/>
      <c r="CI89" s="28"/>
      <c r="CJ89" s="28"/>
      <c r="CK89" s="28"/>
      <c r="CL89" s="28"/>
      <c r="CM89" s="28"/>
      <c r="CN89" s="28"/>
      <c r="CO89" s="24"/>
      <c r="CP89" s="28"/>
      <c r="CQ89" s="28"/>
      <c r="CR89" s="28"/>
      <c r="CS89" s="28"/>
      <c r="CT89" s="28"/>
      <c r="CU89" s="28"/>
      <c r="CV89" s="28"/>
      <c r="CW89" s="24"/>
      <c r="CX89" s="24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</row>
    <row r="90" ht="15.75" customHeight="1"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34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4"/>
      <c r="CH90" s="24"/>
      <c r="CI90" s="28"/>
      <c r="CJ90" s="28"/>
      <c r="CK90" s="28"/>
      <c r="CL90" s="28"/>
      <c r="CM90" s="28"/>
      <c r="CN90" s="28"/>
      <c r="CO90" s="24"/>
      <c r="CP90" s="28"/>
      <c r="CQ90" s="28"/>
      <c r="CR90" s="28"/>
      <c r="CS90" s="28"/>
      <c r="CT90" s="28"/>
      <c r="CU90" s="28"/>
      <c r="CV90" s="28"/>
      <c r="CW90" s="24"/>
      <c r="CX90" s="24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</row>
    <row r="91" ht="15.75" customHeight="1"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34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4"/>
      <c r="CH91" s="24"/>
      <c r="CI91" s="28"/>
      <c r="CJ91" s="28"/>
      <c r="CK91" s="28"/>
      <c r="CL91" s="28"/>
      <c r="CM91" s="28"/>
      <c r="CN91" s="28"/>
      <c r="CO91" s="24"/>
      <c r="CP91" s="28"/>
      <c r="CQ91" s="28"/>
      <c r="CR91" s="28"/>
      <c r="CS91" s="28"/>
      <c r="CT91" s="28"/>
      <c r="CU91" s="28"/>
      <c r="CV91" s="28"/>
      <c r="CW91" s="24"/>
      <c r="CX91" s="24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</row>
    <row r="92" ht="15.75" customHeight="1"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34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4"/>
      <c r="CH92" s="24"/>
      <c r="CI92" s="28"/>
      <c r="CJ92" s="28"/>
      <c r="CK92" s="28"/>
      <c r="CL92" s="28"/>
      <c r="CM92" s="28"/>
      <c r="CN92" s="28"/>
      <c r="CO92" s="24"/>
      <c r="CP92" s="28"/>
      <c r="CQ92" s="28"/>
      <c r="CR92" s="28"/>
      <c r="CS92" s="28"/>
      <c r="CT92" s="28"/>
      <c r="CU92" s="28"/>
      <c r="CV92" s="28"/>
      <c r="CW92" s="24"/>
      <c r="CX92" s="24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</row>
    <row r="93" ht="15.75" customHeight="1"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34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4"/>
      <c r="CH93" s="24"/>
      <c r="CI93" s="28"/>
      <c r="CJ93" s="28"/>
      <c r="CK93" s="28"/>
      <c r="CL93" s="28"/>
      <c r="CM93" s="28"/>
      <c r="CN93" s="28"/>
      <c r="CO93" s="24"/>
      <c r="CP93" s="28"/>
      <c r="CQ93" s="28"/>
      <c r="CR93" s="28"/>
      <c r="CS93" s="28"/>
      <c r="CT93" s="28"/>
      <c r="CU93" s="28"/>
      <c r="CV93" s="28"/>
      <c r="CW93" s="24"/>
      <c r="CX93" s="24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</row>
    <row r="94" ht="15.75" customHeight="1"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34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4"/>
      <c r="CH94" s="24"/>
      <c r="CI94" s="28"/>
      <c r="CJ94" s="28"/>
      <c r="CK94" s="28"/>
      <c r="CL94" s="28"/>
      <c r="CM94" s="28"/>
      <c r="CN94" s="28"/>
      <c r="CO94" s="24"/>
      <c r="CP94" s="28"/>
      <c r="CQ94" s="28"/>
      <c r="CR94" s="28"/>
      <c r="CS94" s="28"/>
      <c r="CT94" s="28"/>
      <c r="CU94" s="28"/>
      <c r="CV94" s="28"/>
      <c r="CW94" s="24"/>
      <c r="CX94" s="24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</row>
    <row r="95" ht="15.75" customHeight="1"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34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4"/>
      <c r="CH95" s="24"/>
      <c r="CI95" s="28"/>
      <c r="CJ95" s="28"/>
      <c r="CK95" s="28"/>
      <c r="CL95" s="28"/>
      <c r="CM95" s="28"/>
      <c r="CN95" s="28"/>
      <c r="CO95" s="24"/>
      <c r="CP95" s="28"/>
      <c r="CQ95" s="28"/>
      <c r="CR95" s="28"/>
      <c r="CS95" s="28"/>
      <c r="CT95" s="28"/>
      <c r="CU95" s="28"/>
      <c r="CV95" s="28"/>
      <c r="CW95" s="24"/>
      <c r="CX95" s="24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</row>
    <row r="96" ht="15.75" customHeight="1"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34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4"/>
      <c r="CH96" s="24"/>
      <c r="CI96" s="28"/>
      <c r="CJ96" s="28"/>
      <c r="CK96" s="28"/>
      <c r="CL96" s="28"/>
      <c r="CM96" s="28"/>
      <c r="CN96" s="28"/>
      <c r="CO96" s="24"/>
      <c r="CP96" s="28"/>
      <c r="CQ96" s="28"/>
      <c r="CR96" s="28"/>
      <c r="CS96" s="28"/>
      <c r="CT96" s="28"/>
      <c r="CU96" s="28"/>
      <c r="CV96" s="28"/>
      <c r="CW96" s="24"/>
      <c r="CX96" s="24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</row>
    <row r="97" ht="15.75" customHeight="1"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34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4"/>
      <c r="CH97" s="24"/>
      <c r="CI97" s="28"/>
      <c r="CJ97" s="28"/>
      <c r="CK97" s="28"/>
      <c r="CL97" s="28"/>
      <c r="CM97" s="28"/>
      <c r="CN97" s="28"/>
      <c r="CO97" s="24"/>
      <c r="CP97" s="28"/>
      <c r="CQ97" s="28"/>
      <c r="CR97" s="28"/>
      <c r="CS97" s="28"/>
      <c r="CT97" s="28"/>
      <c r="CU97" s="28"/>
      <c r="CV97" s="28"/>
      <c r="CW97" s="24"/>
      <c r="CX97" s="24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</row>
    <row r="98" ht="15.75" customHeight="1"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34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4"/>
      <c r="CH98" s="24"/>
      <c r="CI98" s="28"/>
      <c r="CJ98" s="28"/>
      <c r="CK98" s="28"/>
      <c r="CL98" s="28"/>
      <c r="CM98" s="28"/>
      <c r="CN98" s="28"/>
      <c r="CO98" s="24"/>
      <c r="CP98" s="28"/>
      <c r="CQ98" s="28"/>
      <c r="CR98" s="28"/>
      <c r="CS98" s="28"/>
      <c r="CT98" s="28"/>
      <c r="CU98" s="28"/>
      <c r="CV98" s="28"/>
      <c r="CW98" s="24"/>
      <c r="CX98" s="24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</row>
    <row r="99" ht="15.75" customHeight="1"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34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4"/>
      <c r="CH99" s="24"/>
      <c r="CI99" s="28"/>
      <c r="CJ99" s="28"/>
      <c r="CK99" s="28"/>
      <c r="CL99" s="28"/>
      <c r="CM99" s="28"/>
      <c r="CN99" s="28"/>
      <c r="CO99" s="24"/>
      <c r="CP99" s="28"/>
      <c r="CQ99" s="28"/>
      <c r="CR99" s="28"/>
      <c r="CS99" s="28"/>
      <c r="CT99" s="28"/>
      <c r="CU99" s="28"/>
      <c r="CV99" s="28"/>
      <c r="CW99" s="24"/>
      <c r="CX99" s="24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</row>
    <row r="100" ht="15.75" customHeight="1"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34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4"/>
      <c r="CH100" s="24"/>
      <c r="CI100" s="28"/>
      <c r="CJ100" s="28"/>
      <c r="CK100" s="28"/>
      <c r="CL100" s="28"/>
      <c r="CM100" s="28"/>
      <c r="CN100" s="28"/>
      <c r="CO100" s="24"/>
      <c r="CP100" s="28"/>
      <c r="CQ100" s="28"/>
      <c r="CR100" s="28"/>
      <c r="CS100" s="28"/>
      <c r="CT100" s="28"/>
      <c r="CU100" s="28"/>
      <c r="CV100" s="28"/>
      <c r="CW100" s="24"/>
      <c r="CX100" s="24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</row>
    <row r="101" ht="15.75" customHeight="1"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34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4"/>
      <c r="CH101" s="24"/>
      <c r="CI101" s="28"/>
      <c r="CJ101" s="28"/>
      <c r="CK101" s="28"/>
      <c r="CL101" s="28"/>
      <c r="CM101" s="28"/>
      <c r="CN101" s="28"/>
      <c r="CO101" s="24"/>
      <c r="CP101" s="28"/>
      <c r="CQ101" s="28"/>
      <c r="CR101" s="28"/>
      <c r="CS101" s="28"/>
      <c r="CT101" s="28"/>
      <c r="CU101" s="28"/>
      <c r="CV101" s="28"/>
      <c r="CW101" s="24"/>
      <c r="CX101" s="24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</row>
    <row r="102" ht="15.75" customHeight="1"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34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4"/>
      <c r="CH102" s="24"/>
      <c r="CI102" s="28"/>
      <c r="CJ102" s="28"/>
      <c r="CK102" s="28"/>
      <c r="CL102" s="28"/>
      <c r="CM102" s="28"/>
      <c r="CN102" s="28"/>
      <c r="CO102" s="24"/>
      <c r="CP102" s="28"/>
      <c r="CQ102" s="28"/>
      <c r="CR102" s="28"/>
      <c r="CS102" s="28"/>
      <c r="CT102" s="28"/>
      <c r="CU102" s="28"/>
      <c r="CV102" s="28"/>
      <c r="CW102" s="24"/>
      <c r="CX102" s="24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</row>
    <row r="103" ht="15.75" customHeight="1"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34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4"/>
      <c r="CH103" s="24"/>
      <c r="CI103" s="28"/>
      <c r="CJ103" s="28"/>
      <c r="CK103" s="28"/>
      <c r="CL103" s="28"/>
      <c r="CM103" s="28"/>
      <c r="CN103" s="28"/>
      <c r="CO103" s="24"/>
      <c r="CP103" s="28"/>
      <c r="CQ103" s="28"/>
      <c r="CR103" s="28"/>
      <c r="CS103" s="28"/>
      <c r="CT103" s="28"/>
      <c r="CU103" s="28"/>
      <c r="CV103" s="28"/>
      <c r="CW103" s="24"/>
      <c r="CX103" s="24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</row>
    <row r="104" ht="15.75" customHeight="1"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34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4"/>
      <c r="CH104" s="24"/>
      <c r="CI104" s="28"/>
      <c r="CJ104" s="28"/>
      <c r="CK104" s="28"/>
      <c r="CL104" s="28"/>
      <c r="CM104" s="28"/>
      <c r="CN104" s="28"/>
      <c r="CO104" s="24"/>
      <c r="CP104" s="28"/>
      <c r="CQ104" s="28"/>
      <c r="CR104" s="28"/>
      <c r="CS104" s="28"/>
      <c r="CT104" s="28"/>
      <c r="CU104" s="28"/>
      <c r="CV104" s="28"/>
      <c r="CW104" s="24"/>
      <c r="CX104" s="24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</row>
    <row r="105" ht="15.75" customHeight="1"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34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4"/>
      <c r="CH105" s="24"/>
      <c r="CI105" s="28"/>
      <c r="CJ105" s="28"/>
      <c r="CK105" s="28"/>
      <c r="CL105" s="28"/>
      <c r="CM105" s="28"/>
      <c r="CN105" s="28"/>
      <c r="CO105" s="24"/>
      <c r="CP105" s="28"/>
      <c r="CQ105" s="28"/>
      <c r="CR105" s="28"/>
      <c r="CS105" s="28"/>
      <c r="CT105" s="28"/>
      <c r="CU105" s="28"/>
      <c r="CV105" s="28"/>
      <c r="CW105" s="24"/>
      <c r="CX105" s="24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</row>
    <row r="106" ht="15.75" customHeight="1"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34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4"/>
      <c r="CH106" s="24"/>
      <c r="CI106" s="28"/>
      <c r="CJ106" s="28"/>
      <c r="CK106" s="28"/>
      <c r="CL106" s="28"/>
      <c r="CM106" s="28"/>
      <c r="CN106" s="28"/>
      <c r="CO106" s="24"/>
      <c r="CP106" s="28"/>
      <c r="CQ106" s="28"/>
      <c r="CR106" s="28"/>
      <c r="CS106" s="28"/>
      <c r="CT106" s="28"/>
      <c r="CU106" s="28"/>
      <c r="CV106" s="28"/>
      <c r="CW106" s="24"/>
      <c r="CX106" s="24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</row>
    <row r="107" ht="15.75" customHeight="1"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34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4"/>
      <c r="CH107" s="24"/>
      <c r="CI107" s="28"/>
      <c r="CJ107" s="28"/>
      <c r="CK107" s="28"/>
      <c r="CL107" s="28"/>
      <c r="CM107" s="28"/>
      <c r="CN107" s="28"/>
      <c r="CO107" s="24"/>
      <c r="CP107" s="28"/>
      <c r="CQ107" s="28"/>
      <c r="CR107" s="28"/>
      <c r="CS107" s="28"/>
      <c r="CT107" s="28"/>
      <c r="CU107" s="28"/>
      <c r="CV107" s="28"/>
      <c r="CW107" s="24"/>
      <c r="CX107" s="24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</row>
    <row r="108" ht="15.75" customHeight="1"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34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4"/>
      <c r="CH108" s="24"/>
      <c r="CI108" s="28"/>
      <c r="CJ108" s="28"/>
      <c r="CK108" s="28"/>
      <c r="CL108" s="28"/>
      <c r="CM108" s="28"/>
      <c r="CN108" s="28"/>
      <c r="CO108" s="24"/>
      <c r="CP108" s="28"/>
      <c r="CQ108" s="28"/>
      <c r="CR108" s="28"/>
      <c r="CS108" s="28"/>
      <c r="CT108" s="28"/>
      <c r="CU108" s="28"/>
      <c r="CV108" s="28"/>
      <c r="CW108" s="24"/>
      <c r="CX108" s="24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</row>
    <row r="109" ht="15.75" customHeight="1"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34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4"/>
      <c r="CH109" s="24"/>
      <c r="CI109" s="28"/>
      <c r="CJ109" s="28"/>
      <c r="CK109" s="28"/>
      <c r="CL109" s="28"/>
      <c r="CM109" s="28"/>
      <c r="CN109" s="28"/>
      <c r="CO109" s="24"/>
      <c r="CP109" s="28"/>
      <c r="CQ109" s="28"/>
      <c r="CR109" s="28"/>
      <c r="CS109" s="28"/>
      <c r="CT109" s="28"/>
      <c r="CU109" s="28"/>
      <c r="CV109" s="28"/>
      <c r="CW109" s="24"/>
      <c r="CX109" s="24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</row>
    <row r="110" ht="15.75" customHeight="1"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34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4"/>
      <c r="CH110" s="24"/>
      <c r="CI110" s="28"/>
      <c r="CJ110" s="28"/>
      <c r="CK110" s="28"/>
      <c r="CL110" s="28"/>
      <c r="CM110" s="28"/>
      <c r="CN110" s="28"/>
      <c r="CO110" s="24"/>
      <c r="CP110" s="28"/>
      <c r="CQ110" s="28"/>
      <c r="CR110" s="28"/>
      <c r="CS110" s="28"/>
      <c r="CT110" s="28"/>
      <c r="CU110" s="28"/>
      <c r="CV110" s="28"/>
      <c r="CW110" s="24"/>
      <c r="CX110" s="24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</row>
    <row r="111" ht="15.75" customHeight="1"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34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4"/>
      <c r="CH111" s="24"/>
      <c r="CI111" s="28"/>
      <c r="CJ111" s="28"/>
      <c r="CK111" s="28"/>
      <c r="CL111" s="28"/>
      <c r="CM111" s="28"/>
      <c r="CN111" s="28"/>
      <c r="CO111" s="24"/>
      <c r="CP111" s="28"/>
      <c r="CQ111" s="28"/>
      <c r="CR111" s="28"/>
      <c r="CS111" s="28"/>
      <c r="CT111" s="28"/>
      <c r="CU111" s="28"/>
      <c r="CV111" s="28"/>
      <c r="CW111" s="24"/>
      <c r="CX111" s="24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</row>
    <row r="112" ht="15.75" customHeight="1"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34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4"/>
      <c r="CH112" s="24"/>
      <c r="CI112" s="28"/>
      <c r="CJ112" s="28"/>
      <c r="CK112" s="28"/>
      <c r="CL112" s="28"/>
      <c r="CM112" s="28"/>
      <c r="CN112" s="28"/>
      <c r="CO112" s="24"/>
      <c r="CP112" s="28"/>
      <c r="CQ112" s="28"/>
      <c r="CR112" s="28"/>
      <c r="CS112" s="28"/>
      <c r="CT112" s="28"/>
      <c r="CU112" s="28"/>
      <c r="CV112" s="28"/>
      <c r="CW112" s="24"/>
      <c r="CX112" s="24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</row>
    <row r="113" ht="15.75" customHeight="1"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34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4"/>
      <c r="CH113" s="24"/>
      <c r="CI113" s="28"/>
      <c r="CJ113" s="28"/>
      <c r="CK113" s="28"/>
      <c r="CL113" s="28"/>
      <c r="CM113" s="28"/>
      <c r="CN113" s="28"/>
      <c r="CO113" s="24"/>
      <c r="CP113" s="28"/>
      <c r="CQ113" s="28"/>
      <c r="CR113" s="28"/>
      <c r="CS113" s="28"/>
      <c r="CT113" s="28"/>
      <c r="CU113" s="28"/>
      <c r="CV113" s="28"/>
      <c r="CW113" s="24"/>
      <c r="CX113" s="24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</row>
    <row r="114" ht="15.75" customHeight="1"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34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4"/>
      <c r="CH114" s="24"/>
      <c r="CI114" s="28"/>
      <c r="CJ114" s="28"/>
      <c r="CK114" s="28"/>
      <c r="CL114" s="28"/>
      <c r="CM114" s="28"/>
      <c r="CN114" s="28"/>
      <c r="CO114" s="24"/>
      <c r="CP114" s="28"/>
      <c r="CQ114" s="28"/>
      <c r="CR114" s="28"/>
      <c r="CS114" s="28"/>
      <c r="CT114" s="28"/>
      <c r="CU114" s="28"/>
      <c r="CV114" s="28"/>
      <c r="CW114" s="24"/>
      <c r="CX114" s="24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</row>
    <row r="115" ht="15.75" customHeight="1"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34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4"/>
      <c r="CH115" s="24"/>
      <c r="CI115" s="28"/>
      <c r="CJ115" s="28"/>
      <c r="CK115" s="28"/>
      <c r="CL115" s="28"/>
      <c r="CM115" s="28"/>
      <c r="CN115" s="28"/>
      <c r="CO115" s="24"/>
      <c r="CP115" s="28"/>
      <c r="CQ115" s="28"/>
      <c r="CR115" s="28"/>
      <c r="CS115" s="28"/>
      <c r="CT115" s="28"/>
      <c r="CU115" s="28"/>
      <c r="CV115" s="28"/>
      <c r="CW115" s="24"/>
      <c r="CX115" s="24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</row>
    <row r="116" ht="15.75" customHeight="1"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34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4"/>
      <c r="CH116" s="24"/>
      <c r="CI116" s="28"/>
      <c r="CJ116" s="28"/>
      <c r="CK116" s="28"/>
      <c r="CL116" s="28"/>
      <c r="CM116" s="28"/>
      <c r="CN116" s="28"/>
      <c r="CO116" s="24"/>
      <c r="CP116" s="28"/>
      <c r="CQ116" s="28"/>
      <c r="CR116" s="28"/>
      <c r="CS116" s="28"/>
      <c r="CT116" s="28"/>
      <c r="CU116" s="28"/>
      <c r="CV116" s="28"/>
      <c r="CW116" s="24"/>
      <c r="CX116" s="24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</row>
    <row r="117" ht="15.75" customHeight="1"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34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4"/>
      <c r="CH117" s="24"/>
      <c r="CI117" s="28"/>
      <c r="CJ117" s="28"/>
      <c r="CK117" s="28"/>
      <c r="CL117" s="28"/>
      <c r="CM117" s="28"/>
      <c r="CN117" s="28"/>
      <c r="CO117" s="24"/>
      <c r="CP117" s="28"/>
      <c r="CQ117" s="28"/>
      <c r="CR117" s="28"/>
      <c r="CS117" s="28"/>
      <c r="CT117" s="28"/>
      <c r="CU117" s="28"/>
      <c r="CV117" s="28"/>
      <c r="CW117" s="24"/>
      <c r="CX117" s="24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</row>
    <row r="118" ht="15.75" customHeight="1"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34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4"/>
      <c r="CH118" s="24"/>
      <c r="CI118" s="28"/>
      <c r="CJ118" s="28"/>
      <c r="CK118" s="28"/>
      <c r="CL118" s="28"/>
      <c r="CM118" s="28"/>
      <c r="CN118" s="28"/>
      <c r="CO118" s="24"/>
      <c r="CP118" s="28"/>
      <c r="CQ118" s="28"/>
      <c r="CR118" s="28"/>
      <c r="CS118" s="28"/>
      <c r="CT118" s="28"/>
      <c r="CU118" s="28"/>
      <c r="CV118" s="28"/>
      <c r="CW118" s="24"/>
      <c r="CX118" s="24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</row>
    <row r="119" ht="15.75" customHeight="1"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34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4"/>
      <c r="CH119" s="24"/>
      <c r="CI119" s="28"/>
      <c r="CJ119" s="28"/>
      <c r="CK119" s="28"/>
      <c r="CL119" s="28"/>
      <c r="CM119" s="28"/>
      <c r="CN119" s="28"/>
      <c r="CO119" s="24"/>
      <c r="CP119" s="28"/>
      <c r="CQ119" s="28"/>
      <c r="CR119" s="28"/>
      <c r="CS119" s="28"/>
      <c r="CT119" s="28"/>
      <c r="CU119" s="28"/>
      <c r="CV119" s="28"/>
      <c r="CW119" s="24"/>
      <c r="CX119" s="24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</row>
    <row r="120" ht="15.75" customHeight="1"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34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4"/>
      <c r="CH120" s="24"/>
      <c r="CI120" s="28"/>
      <c r="CJ120" s="28"/>
      <c r="CK120" s="28"/>
      <c r="CL120" s="28"/>
      <c r="CM120" s="28"/>
      <c r="CN120" s="28"/>
      <c r="CO120" s="24"/>
      <c r="CP120" s="28"/>
      <c r="CQ120" s="28"/>
      <c r="CR120" s="28"/>
      <c r="CS120" s="28"/>
      <c r="CT120" s="28"/>
      <c r="CU120" s="28"/>
      <c r="CV120" s="28"/>
      <c r="CW120" s="24"/>
      <c r="CX120" s="24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</row>
    <row r="121" ht="15.75" customHeight="1"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34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4"/>
      <c r="CH121" s="24"/>
      <c r="CI121" s="28"/>
      <c r="CJ121" s="28"/>
      <c r="CK121" s="28"/>
      <c r="CL121" s="28"/>
      <c r="CM121" s="28"/>
      <c r="CN121" s="28"/>
      <c r="CO121" s="24"/>
      <c r="CP121" s="28"/>
      <c r="CQ121" s="28"/>
      <c r="CR121" s="28"/>
      <c r="CS121" s="28"/>
      <c r="CT121" s="28"/>
      <c r="CU121" s="28"/>
      <c r="CV121" s="28"/>
      <c r="CW121" s="24"/>
      <c r="CX121" s="24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</row>
    <row r="122" ht="15.75" customHeight="1"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34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4"/>
      <c r="CH122" s="24"/>
      <c r="CI122" s="28"/>
      <c r="CJ122" s="28"/>
      <c r="CK122" s="28"/>
      <c r="CL122" s="28"/>
      <c r="CM122" s="28"/>
      <c r="CN122" s="28"/>
      <c r="CO122" s="24"/>
      <c r="CP122" s="28"/>
      <c r="CQ122" s="28"/>
      <c r="CR122" s="28"/>
      <c r="CS122" s="28"/>
      <c r="CT122" s="28"/>
      <c r="CU122" s="28"/>
      <c r="CV122" s="28"/>
      <c r="CW122" s="24"/>
      <c r="CX122" s="24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</row>
    <row r="123" ht="15.75" customHeight="1"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34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4"/>
      <c r="CH123" s="24"/>
      <c r="CI123" s="28"/>
      <c r="CJ123" s="28"/>
      <c r="CK123" s="28"/>
      <c r="CL123" s="28"/>
      <c r="CM123" s="28"/>
      <c r="CN123" s="28"/>
      <c r="CO123" s="24"/>
      <c r="CP123" s="28"/>
      <c r="CQ123" s="28"/>
      <c r="CR123" s="28"/>
      <c r="CS123" s="28"/>
      <c r="CT123" s="28"/>
      <c r="CU123" s="28"/>
      <c r="CV123" s="28"/>
      <c r="CW123" s="24"/>
      <c r="CX123" s="24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</row>
    <row r="124" ht="15.75" customHeight="1"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34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4"/>
      <c r="CH124" s="24"/>
      <c r="CI124" s="28"/>
      <c r="CJ124" s="28"/>
      <c r="CK124" s="28"/>
      <c r="CL124" s="28"/>
      <c r="CM124" s="28"/>
      <c r="CN124" s="28"/>
      <c r="CO124" s="24"/>
      <c r="CP124" s="28"/>
      <c r="CQ124" s="28"/>
      <c r="CR124" s="28"/>
      <c r="CS124" s="28"/>
      <c r="CT124" s="28"/>
      <c r="CU124" s="28"/>
      <c r="CV124" s="28"/>
      <c r="CW124" s="24"/>
      <c r="CX124" s="24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</row>
    <row r="125" ht="15.75" customHeight="1"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34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4"/>
      <c r="CH125" s="24"/>
      <c r="CI125" s="28"/>
      <c r="CJ125" s="28"/>
      <c r="CK125" s="28"/>
      <c r="CL125" s="28"/>
      <c r="CM125" s="28"/>
      <c r="CN125" s="28"/>
      <c r="CO125" s="24"/>
      <c r="CP125" s="28"/>
      <c r="CQ125" s="28"/>
      <c r="CR125" s="28"/>
      <c r="CS125" s="28"/>
      <c r="CT125" s="28"/>
      <c r="CU125" s="28"/>
      <c r="CV125" s="28"/>
      <c r="CW125" s="24"/>
      <c r="CX125" s="24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</row>
    <row r="126" ht="15.75" customHeight="1"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34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4"/>
      <c r="CH126" s="24"/>
      <c r="CI126" s="28"/>
      <c r="CJ126" s="28"/>
      <c r="CK126" s="28"/>
      <c r="CL126" s="28"/>
      <c r="CM126" s="28"/>
      <c r="CN126" s="28"/>
      <c r="CO126" s="24"/>
      <c r="CP126" s="28"/>
      <c r="CQ126" s="28"/>
      <c r="CR126" s="28"/>
      <c r="CS126" s="28"/>
      <c r="CT126" s="28"/>
      <c r="CU126" s="28"/>
      <c r="CV126" s="28"/>
      <c r="CW126" s="24"/>
      <c r="CX126" s="24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</row>
    <row r="127" ht="15.75" customHeight="1"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34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4"/>
      <c r="CH127" s="24"/>
      <c r="CI127" s="28"/>
      <c r="CJ127" s="28"/>
      <c r="CK127" s="28"/>
      <c r="CL127" s="28"/>
      <c r="CM127" s="28"/>
      <c r="CN127" s="28"/>
      <c r="CO127" s="24"/>
      <c r="CP127" s="28"/>
      <c r="CQ127" s="28"/>
      <c r="CR127" s="28"/>
      <c r="CS127" s="28"/>
      <c r="CT127" s="28"/>
      <c r="CU127" s="28"/>
      <c r="CV127" s="28"/>
      <c r="CW127" s="24"/>
      <c r="CX127" s="24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</row>
    <row r="128" ht="15.75" customHeight="1"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34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4"/>
      <c r="CH128" s="24"/>
      <c r="CI128" s="28"/>
      <c r="CJ128" s="28"/>
      <c r="CK128" s="28"/>
      <c r="CL128" s="28"/>
      <c r="CM128" s="28"/>
      <c r="CN128" s="28"/>
      <c r="CO128" s="24"/>
      <c r="CP128" s="28"/>
      <c r="CQ128" s="28"/>
      <c r="CR128" s="28"/>
      <c r="CS128" s="28"/>
      <c r="CT128" s="28"/>
      <c r="CU128" s="28"/>
      <c r="CV128" s="28"/>
      <c r="CW128" s="24"/>
      <c r="CX128" s="24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</row>
    <row r="129" ht="15.75" customHeight="1"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34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4"/>
      <c r="CH129" s="24"/>
      <c r="CI129" s="28"/>
      <c r="CJ129" s="28"/>
      <c r="CK129" s="28"/>
      <c r="CL129" s="28"/>
      <c r="CM129" s="28"/>
      <c r="CN129" s="28"/>
      <c r="CO129" s="24"/>
      <c r="CP129" s="28"/>
      <c r="CQ129" s="28"/>
      <c r="CR129" s="28"/>
      <c r="CS129" s="28"/>
      <c r="CT129" s="28"/>
      <c r="CU129" s="28"/>
      <c r="CV129" s="28"/>
      <c r="CW129" s="24"/>
      <c r="CX129" s="24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</row>
    <row r="130" ht="15.75" customHeight="1"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34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4"/>
      <c r="CH130" s="24"/>
      <c r="CI130" s="28"/>
      <c r="CJ130" s="28"/>
      <c r="CK130" s="28"/>
      <c r="CL130" s="28"/>
      <c r="CM130" s="28"/>
      <c r="CN130" s="28"/>
      <c r="CO130" s="24"/>
      <c r="CP130" s="28"/>
      <c r="CQ130" s="28"/>
      <c r="CR130" s="28"/>
      <c r="CS130" s="28"/>
      <c r="CT130" s="28"/>
      <c r="CU130" s="28"/>
      <c r="CV130" s="28"/>
      <c r="CW130" s="24"/>
      <c r="CX130" s="24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</row>
    <row r="131" ht="15.75" customHeight="1"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34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4"/>
      <c r="CH131" s="24"/>
      <c r="CI131" s="28"/>
      <c r="CJ131" s="28"/>
      <c r="CK131" s="28"/>
      <c r="CL131" s="28"/>
      <c r="CM131" s="28"/>
      <c r="CN131" s="28"/>
      <c r="CO131" s="24"/>
      <c r="CP131" s="28"/>
      <c r="CQ131" s="28"/>
      <c r="CR131" s="28"/>
      <c r="CS131" s="28"/>
      <c r="CT131" s="28"/>
      <c r="CU131" s="28"/>
      <c r="CV131" s="28"/>
      <c r="CW131" s="24"/>
      <c r="CX131" s="24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</row>
    <row r="132" ht="15.75" customHeight="1"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34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4"/>
      <c r="CH132" s="24"/>
      <c r="CI132" s="28"/>
      <c r="CJ132" s="28"/>
      <c r="CK132" s="28"/>
      <c r="CL132" s="28"/>
      <c r="CM132" s="28"/>
      <c r="CN132" s="28"/>
      <c r="CO132" s="24"/>
      <c r="CP132" s="28"/>
      <c r="CQ132" s="28"/>
      <c r="CR132" s="28"/>
      <c r="CS132" s="28"/>
      <c r="CT132" s="28"/>
      <c r="CU132" s="28"/>
      <c r="CV132" s="28"/>
      <c r="CW132" s="24"/>
      <c r="CX132" s="24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</row>
    <row r="133" ht="15.75" customHeight="1"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34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4"/>
      <c r="CH133" s="24"/>
      <c r="CI133" s="28"/>
      <c r="CJ133" s="28"/>
      <c r="CK133" s="28"/>
      <c r="CL133" s="28"/>
      <c r="CM133" s="28"/>
      <c r="CN133" s="28"/>
      <c r="CO133" s="24"/>
      <c r="CP133" s="28"/>
      <c r="CQ133" s="28"/>
      <c r="CR133" s="28"/>
      <c r="CS133" s="28"/>
      <c r="CT133" s="28"/>
      <c r="CU133" s="28"/>
      <c r="CV133" s="28"/>
      <c r="CW133" s="24"/>
      <c r="CX133" s="24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</row>
    <row r="134" ht="15.75" customHeight="1"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34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4"/>
      <c r="CH134" s="24"/>
      <c r="CI134" s="28"/>
      <c r="CJ134" s="28"/>
      <c r="CK134" s="28"/>
      <c r="CL134" s="28"/>
      <c r="CM134" s="28"/>
      <c r="CN134" s="28"/>
      <c r="CO134" s="24"/>
      <c r="CP134" s="28"/>
      <c r="CQ134" s="28"/>
      <c r="CR134" s="28"/>
      <c r="CS134" s="28"/>
      <c r="CT134" s="28"/>
      <c r="CU134" s="28"/>
      <c r="CV134" s="28"/>
      <c r="CW134" s="24"/>
      <c r="CX134" s="24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</row>
    <row r="135" ht="15.75" customHeight="1"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34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4"/>
      <c r="CH135" s="24"/>
      <c r="CI135" s="28"/>
      <c r="CJ135" s="28"/>
      <c r="CK135" s="28"/>
      <c r="CL135" s="28"/>
      <c r="CM135" s="28"/>
      <c r="CN135" s="28"/>
      <c r="CO135" s="24"/>
      <c r="CP135" s="28"/>
      <c r="CQ135" s="28"/>
      <c r="CR135" s="28"/>
      <c r="CS135" s="28"/>
      <c r="CT135" s="28"/>
      <c r="CU135" s="28"/>
      <c r="CV135" s="28"/>
      <c r="CW135" s="24"/>
      <c r="CX135" s="24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</row>
    <row r="136" ht="15.75" customHeight="1"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34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4"/>
      <c r="CH136" s="24"/>
      <c r="CI136" s="28"/>
      <c r="CJ136" s="28"/>
      <c r="CK136" s="28"/>
      <c r="CL136" s="28"/>
      <c r="CM136" s="28"/>
      <c r="CN136" s="28"/>
      <c r="CO136" s="24"/>
      <c r="CP136" s="28"/>
      <c r="CQ136" s="28"/>
      <c r="CR136" s="28"/>
      <c r="CS136" s="28"/>
      <c r="CT136" s="28"/>
      <c r="CU136" s="28"/>
      <c r="CV136" s="28"/>
      <c r="CW136" s="24"/>
      <c r="CX136" s="24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</row>
    <row r="137" ht="15.75" customHeight="1"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34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4"/>
      <c r="CH137" s="24"/>
      <c r="CI137" s="28"/>
      <c r="CJ137" s="28"/>
      <c r="CK137" s="28"/>
      <c r="CL137" s="28"/>
      <c r="CM137" s="28"/>
      <c r="CN137" s="28"/>
      <c r="CO137" s="24"/>
      <c r="CP137" s="28"/>
      <c r="CQ137" s="28"/>
      <c r="CR137" s="28"/>
      <c r="CS137" s="28"/>
      <c r="CT137" s="28"/>
      <c r="CU137" s="28"/>
      <c r="CV137" s="28"/>
      <c r="CW137" s="24"/>
      <c r="CX137" s="24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</row>
    <row r="138" ht="15.75" customHeight="1"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34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4"/>
      <c r="CH138" s="24"/>
      <c r="CI138" s="28"/>
      <c r="CJ138" s="28"/>
      <c r="CK138" s="28"/>
      <c r="CL138" s="28"/>
      <c r="CM138" s="28"/>
      <c r="CN138" s="28"/>
      <c r="CO138" s="24"/>
      <c r="CP138" s="28"/>
      <c r="CQ138" s="28"/>
      <c r="CR138" s="28"/>
      <c r="CS138" s="28"/>
      <c r="CT138" s="28"/>
      <c r="CU138" s="28"/>
      <c r="CV138" s="28"/>
      <c r="CW138" s="24"/>
      <c r="CX138" s="24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</row>
    <row r="139" ht="15.75" customHeight="1"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34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4"/>
      <c r="CH139" s="24"/>
      <c r="CI139" s="28"/>
      <c r="CJ139" s="28"/>
      <c r="CK139" s="28"/>
      <c r="CL139" s="28"/>
      <c r="CM139" s="28"/>
      <c r="CN139" s="28"/>
      <c r="CO139" s="24"/>
      <c r="CP139" s="28"/>
      <c r="CQ139" s="28"/>
      <c r="CR139" s="28"/>
      <c r="CS139" s="28"/>
      <c r="CT139" s="28"/>
      <c r="CU139" s="28"/>
      <c r="CV139" s="28"/>
      <c r="CW139" s="24"/>
      <c r="CX139" s="24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</row>
    <row r="140" ht="15.75" customHeight="1"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34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4"/>
      <c r="CH140" s="24"/>
      <c r="CI140" s="28"/>
      <c r="CJ140" s="28"/>
      <c r="CK140" s="28"/>
      <c r="CL140" s="28"/>
      <c r="CM140" s="28"/>
      <c r="CN140" s="28"/>
      <c r="CO140" s="24"/>
      <c r="CP140" s="28"/>
      <c r="CQ140" s="28"/>
      <c r="CR140" s="28"/>
      <c r="CS140" s="28"/>
      <c r="CT140" s="28"/>
      <c r="CU140" s="28"/>
      <c r="CV140" s="28"/>
      <c r="CW140" s="24"/>
      <c r="CX140" s="24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</row>
    <row r="141" ht="15.75" customHeight="1"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34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4"/>
      <c r="CH141" s="24"/>
      <c r="CI141" s="28"/>
      <c r="CJ141" s="28"/>
      <c r="CK141" s="28"/>
      <c r="CL141" s="28"/>
      <c r="CM141" s="28"/>
      <c r="CN141" s="28"/>
      <c r="CO141" s="24"/>
      <c r="CP141" s="28"/>
      <c r="CQ141" s="28"/>
      <c r="CR141" s="28"/>
      <c r="CS141" s="28"/>
      <c r="CT141" s="28"/>
      <c r="CU141" s="28"/>
      <c r="CV141" s="28"/>
      <c r="CW141" s="24"/>
      <c r="CX141" s="24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</row>
    <row r="142" ht="15.75" customHeight="1"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34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4"/>
      <c r="CH142" s="24"/>
      <c r="CI142" s="28"/>
      <c r="CJ142" s="28"/>
      <c r="CK142" s="28"/>
      <c r="CL142" s="28"/>
      <c r="CM142" s="28"/>
      <c r="CN142" s="28"/>
      <c r="CO142" s="24"/>
      <c r="CP142" s="28"/>
      <c r="CQ142" s="28"/>
      <c r="CR142" s="28"/>
      <c r="CS142" s="28"/>
      <c r="CT142" s="28"/>
      <c r="CU142" s="28"/>
      <c r="CV142" s="28"/>
      <c r="CW142" s="24"/>
      <c r="CX142" s="24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</row>
    <row r="143" ht="15.75" customHeight="1"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34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4"/>
      <c r="CH143" s="24"/>
      <c r="CI143" s="28"/>
      <c r="CJ143" s="28"/>
      <c r="CK143" s="28"/>
      <c r="CL143" s="28"/>
      <c r="CM143" s="28"/>
      <c r="CN143" s="28"/>
      <c r="CO143" s="24"/>
      <c r="CP143" s="28"/>
      <c r="CQ143" s="28"/>
      <c r="CR143" s="28"/>
      <c r="CS143" s="28"/>
      <c r="CT143" s="28"/>
      <c r="CU143" s="28"/>
      <c r="CV143" s="28"/>
      <c r="CW143" s="24"/>
      <c r="CX143" s="24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</row>
    <row r="144" ht="15.75" customHeight="1"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34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4"/>
      <c r="CH144" s="24"/>
      <c r="CI144" s="28"/>
      <c r="CJ144" s="28"/>
      <c r="CK144" s="28"/>
      <c r="CL144" s="28"/>
      <c r="CM144" s="28"/>
      <c r="CN144" s="28"/>
      <c r="CO144" s="24"/>
      <c r="CP144" s="28"/>
      <c r="CQ144" s="28"/>
      <c r="CR144" s="28"/>
      <c r="CS144" s="28"/>
      <c r="CT144" s="28"/>
      <c r="CU144" s="28"/>
      <c r="CV144" s="28"/>
      <c r="CW144" s="24"/>
      <c r="CX144" s="24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</row>
    <row r="145" ht="15.75" customHeight="1"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34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4"/>
      <c r="CH145" s="24"/>
      <c r="CI145" s="28"/>
      <c r="CJ145" s="28"/>
      <c r="CK145" s="28"/>
      <c r="CL145" s="28"/>
      <c r="CM145" s="28"/>
      <c r="CN145" s="28"/>
      <c r="CO145" s="24"/>
      <c r="CP145" s="28"/>
      <c r="CQ145" s="28"/>
      <c r="CR145" s="28"/>
      <c r="CS145" s="28"/>
      <c r="CT145" s="28"/>
      <c r="CU145" s="28"/>
      <c r="CV145" s="28"/>
      <c r="CW145" s="24"/>
      <c r="CX145" s="24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</row>
    <row r="146" ht="15.75" customHeight="1"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34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4"/>
      <c r="CH146" s="24"/>
      <c r="CI146" s="28"/>
      <c r="CJ146" s="28"/>
      <c r="CK146" s="28"/>
      <c r="CL146" s="28"/>
      <c r="CM146" s="28"/>
      <c r="CN146" s="28"/>
      <c r="CO146" s="24"/>
      <c r="CP146" s="28"/>
      <c r="CQ146" s="28"/>
      <c r="CR146" s="28"/>
      <c r="CS146" s="28"/>
      <c r="CT146" s="28"/>
      <c r="CU146" s="28"/>
      <c r="CV146" s="28"/>
      <c r="CW146" s="24"/>
      <c r="CX146" s="24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</row>
    <row r="147" ht="15.75" customHeight="1"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34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4"/>
      <c r="CH147" s="24"/>
      <c r="CI147" s="28"/>
      <c r="CJ147" s="28"/>
      <c r="CK147" s="28"/>
      <c r="CL147" s="28"/>
      <c r="CM147" s="28"/>
      <c r="CN147" s="28"/>
      <c r="CO147" s="24"/>
      <c r="CP147" s="28"/>
      <c r="CQ147" s="28"/>
      <c r="CR147" s="28"/>
      <c r="CS147" s="28"/>
      <c r="CT147" s="28"/>
      <c r="CU147" s="28"/>
      <c r="CV147" s="28"/>
      <c r="CW147" s="24"/>
      <c r="CX147" s="24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</row>
    <row r="148" ht="15.75" customHeight="1"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34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4"/>
      <c r="CH148" s="24"/>
      <c r="CI148" s="28"/>
      <c r="CJ148" s="28"/>
      <c r="CK148" s="28"/>
      <c r="CL148" s="28"/>
      <c r="CM148" s="28"/>
      <c r="CN148" s="28"/>
      <c r="CO148" s="24"/>
      <c r="CP148" s="28"/>
      <c r="CQ148" s="28"/>
      <c r="CR148" s="28"/>
      <c r="CS148" s="28"/>
      <c r="CT148" s="28"/>
      <c r="CU148" s="28"/>
      <c r="CV148" s="28"/>
      <c r="CW148" s="24"/>
      <c r="CX148" s="24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</row>
    <row r="149" ht="15.75" customHeight="1"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34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4"/>
      <c r="CH149" s="24"/>
      <c r="CI149" s="28"/>
      <c r="CJ149" s="28"/>
      <c r="CK149" s="28"/>
      <c r="CL149" s="28"/>
      <c r="CM149" s="28"/>
      <c r="CN149" s="28"/>
      <c r="CO149" s="24"/>
      <c r="CP149" s="28"/>
      <c r="CQ149" s="28"/>
      <c r="CR149" s="28"/>
      <c r="CS149" s="28"/>
      <c r="CT149" s="28"/>
      <c r="CU149" s="28"/>
      <c r="CV149" s="28"/>
      <c r="CW149" s="24"/>
      <c r="CX149" s="24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</row>
    <row r="150" ht="15.75" customHeight="1"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34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4"/>
      <c r="CH150" s="24"/>
      <c r="CI150" s="28"/>
      <c r="CJ150" s="28"/>
      <c r="CK150" s="28"/>
      <c r="CL150" s="28"/>
      <c r="CM150" s="28"/>
      <c r="CN150" s="28"/>
      <c r="CO150" s="24"/>
      <c r="CP150" s="28"/>
      <c r="CQ150" s="28"/>
      <c r="CR150" s="28"/>
      <c r="CS150" s="28"/>
      <c r="CT150" s="28"/>
      <c r="CU150" s="28"/>
      <c r="CV150" s="28"/>
      <c r="CW150" s="24"/>
      <c r="CX150" s="24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</row>
    <row r="151" ht="15.75" customHeight="1"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34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4"/>
      <c r="CH151" s="24"/>
      <c r="CI151" s="28"/>
      <c r="CJ151" s="28"/>
      <c r="CK151" s="28"/>
      <c r="CL151" s="28"/>
      <c r="CM151" s="28"/>
      <c r="CN151" s="28"/>
      <c r="CO151" s="24"/>
      <c r="CP151" s="28"/>
      <c r="CQ151" s="28"/>
      <c r="CR151" s="28"/>
      <c r="CS151" s="28"/>
      <c r="CT151" s="28"/>
      <c r="CU151" s="28"/>
      <c r="CV151" s="28"/>
      <c r="CW151" s="24"/>
      <c r="CX151" s="24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</row>
    <row r="152" ht="15.75" customHeight="1"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34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4"/>
      <c r="CH152" s="24"/>
      <c r="CI152" s="28"/>
      <c r="CJ152" s="28"/>
      <c r="CK152" s="28"/>
      <c r="CL152" s="28"/>
      <c r="CM152" s="28"/>
      <c r="CN152" s="28"/>
      <c r="CO152" s="24"/>
      <c r="CP152" s="28"/>
      <c r="CQ152" s="28"/>
      <c r="CR152" s="28"/>
      <c r="CS152" s="28"/>
      <c r="CT152" s="28"/>
      <c r="CU152" s="28"/>
      <c r="CV152" s="28"/>
      <c r="CW152" s="24"/>
      <c r="CX152" s="24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</row>
    <row r="153" ht="15.75" customHeight="1"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34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4"/>
      <c r="CH153" s="24"/>
      <c r="CI153" s="28"/>
      <c r="CJ153" s="28"/>
      <c r="CK153" s="28"/>
      <c r="CL153" s="28"/>
      <c r="CM153" s="28"/>
      <c r="CN153" s="28"/>
      <c r="CO153" s="24"/>
      <c r="CP153" s="28"/>
      <c r="CQ153" s="28"/>
      <c r="CR153" s="28"/>
      <c r="CS153" s="28"/>
      <c r="CT153" s="28"/>
      <c r="CU153" s="28"/>
      <c r="CV153" s="28"/>
      <c r="CW153" s="24"/>
      <c r="CX153" s="24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</row>
    <row r="154" ht="15.75" customHeight="1"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34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4"/>
      <c r="CH154" s="24"/>
      <c r="CI154" s="28"/>
      <c r="CJ154" s="28"/>
      <c r="CK154" s="28"/>
      <c r="CL154" s="28"/>
      <c r="CM154" s="28"/>
      <c r="CN154" s="28"/>
      <c r="CO154" s="24"/>
      <c r="CP154" s="28"/>
      <c r="CQ154" s="28"/>
      <c r="CR154" s="28"/>
      <c r="CS154" s="28"/>
      <c r="CT154" s="28"/>
      <c r="CU154" s="28"/>
      <c r="CV154" s="28"/>
      <c r="CW154" s="24"/>
      <c r="CX154" s="24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</row>
    <row r="155" ht="15.75" customHeight="1"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34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4"/>
      <c r="CH155" s="24"/>
      <c r="CI155" s="28"/>
      <c r="CJ155" s="28"/>
      <c r="CK155" s="28"/>
      <c r="CL155" s="28"/>
      <c r="CM155" s="28"/>
      <c r="CN155" s="28"/>
      <c r="CO155" s="24"/>
      <c r="CP155" s="28"/>
      <c r="CQ155" s="28"/>
      <c r="CR155" s="28"/>
      <c r="CS155" s="28"/>
      <c r="CT155" s="28"/>
      <c r="CU155" s="28"/>
      <c r="CV155" s="28"/>
      <c r="CW155" s="24"/>
      <c r="CX155" s="24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</row>
    <row r="156" ht="15.75" customHeight="1"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34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4"/>
      <c r="CH156" s="24"/>
      <c r="CI156" s="28"/>
      <c r="CJ156" s="28"/>
      <c r="CK156" s="28"/>
      <c r="CL156" s="28"/>
      <c r="CM156" s="28"/>
      <c r="CN156" s="28"/>
      <c r="CO156" s="24"/>
      <c r="CP156" s="28"/>
      <c r="CQ156" s="28"/>
      <c r="CR156" s="28"/>
      <c r="CS156" s="28"/>
      <c r="CT156" s="28"/>
      <c r="CU156" s="28"/>
      <c r="CV156" s="28"/>
      <c r="CW156" s="24"/>
      <c r="CX156" s="24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</row>
    <row r="157" ht="15.75" customHeight="1"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34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4"/>
      <c r="CH157" s="24"/>
      <c r="CI157" s="28"/>
      <c r="CJ157" s="28"/>
      <c r="CK157" s="28"/>
      <c r="CL157" s="28"/>
      <c r="CM157" s="28"/>
      <c r="CN157" s="28"/>
      <c r="CO157" s="24"/>
      <c r="CP157" s="28"/>
      <c r="CQ157" s="28"/>
      <c r="CR157" s="28"/>
      <c r="CS157" s="28"/>
      <c r="CT157" s="28"/>
      <c r="CU157" s="28"/>
      <c r="CV157" s="28"/>
      <c r="CW157" s="24"/>
      <c r="CX157" s="24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</row>
    <row r="158" ht="15.75" customHeight="1"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34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4"/>
      <c r="CH158" s="24"/>
      <c r="CI158" s="28"/>
      <c r="CJ158" s="28"/>
      <c r="CK158" s="28"/>
      <c r="CL158" s="28"/>
      <c r="CM158" s="28"/>
      <c r="CN158" s="28"/>
      <c r="CO158" s="24"/>
      <c r="CP158" s="28"/>
      <c r="CQ158" s="28"/>
      <c r="CR158" s="28"/>
      <c r="CS158" s="28"/>
      <c r="CT158" s="28"/>
      <c r="CU158" s="28"/>
      <c r="CV158" s="28"/>
      <c r="CW158" s="24"/>
      <c r="CX158" s="24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</row>
    <row r="159" ht="15.75" customHeight="1"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34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4"/>
      <c r="CH159" s="24"/>
      <c r="CI159" s="28"/>
      <c r="CJ159" s="28"/>
      <c r="CK159" s="28"/>
      <c r="CL159" s="28"/>
      <c r="CM159" s="28"/>
      <c r="CN159" s="28"/>
      <c r="CO159" s="24"/>
      <c r="CP159" s="28"/>
      <c r="CQ159" s="28"/>
      <c r="CR159" s="28"/>
      <c r="CS159" s="28"/>
      <c r="CT159" s="28"/>
      <c r="CU159" s="28"/>
      <c r="CV159" s="28"/>
      <c r="CW159" s="24"/>
      <c r="CX159" s="24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</row>
    <row r="160" ht="15.75" customHeight="1"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34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4"/>
      <c r="CH160" s="24"/>
      <c r="CI160" s="28"/>
      <c r="CJ160" s="28"/>
      <c r="CK160" s="28"/>
      <c r="CL160" s="28"/>
      <c r="CM160" s="28"/>
      <c r="CN160" s="28"/>
      <c r="CO160" s="24"/>
      <c r="CP160" s="28"/>
      <c r="CQ160" s="28"/>
      <c r="CR160" s="28"/>
      <c r="CS160" s="28"/>
      <c r="CT160" s="28"/>
      <c r="CU160" s="28"/>
      <c r="CV160" s="28"/>
      <c r="CW160" s="24"/>
      <c r="CX160" s="24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</row>
    <row r="161" ht="15.75" customHeight="1"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34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4"/>
      <c r="CH161" s="24"/>
      <c r="CI161" s="28"/>
      <c r="CJ161" s="28"/>
      <c r="CK161" s="28"/>
      <c r="CL161" s="28"/>
      <c r="CM161" s="28"/>
      <c r="CN161" s="28"/>
      <c r="CO161" s="24"/>
      <c r="CP161" s="28"/>
      <c r="CQ161" s="28"/>
      <c r="CR161" s="28"/>
      <c r="CS161" s="28"/>
      <c r="CT161" s="28"/>
      <c r="CU161" s="28"/>
      <c r="CV161" s="28"/>
      <c r="CW161" s="24"/>
      <c r="CX161" s="24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</row>
    <row r="162" ht="15.75" customHeight="1"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34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4"/>
      <c r="CH162" s="24"/>
      <c r="CI162" s="28"/>
      <c r="CJ162" s="28"/>
      <c r="CK162" s="28"/>
      <c r="CL162" s="28"/>
      <c r="CM162" s="28"/>
      <c r="CN162" s="28"/>
      <c r="CO162" s="24"/>
      <c r="CP162" s="28"/>
      <c r="CQ162" s="28"/>
      <c r="CR162" s="28"/>
      <c r="CS162" s="28"/>
      <c r="CT162" s="28"/>
      <c r="CU162" s="28"/>
      <c r="CV162" s="28"/>
      <c r="CW162" s="24"/>
      <c r="CX162" s="24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</row>
    <row r="163" ht="15.75" customHeight="1"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34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4"/>
      <c r="CH163" s="24"/>
      <c r="CI163" s="28"/>
      <c r="CJ163" s="28"/>
      <c r="CK163" s="28"/>
      <c r="CL163" s="28"/>
      <c r="CM163" s="28"/>
      <c r="CN163" s="28"/>
      <c r="CO163" s="24"/>
      <c r="CP163" s="28"/>
      <c r="CQ163" s="28"/>
      <c r="CR163" s="28"/>
      <c r="CS163" s="28"/>
      <c r="CT163" s="28"/>
      <c r="CU163" s="28"/>
      <c r="CV163" s="28"/>
      <c r="CW163" s="24"/>
      <c r="CX163" s="24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</row>
    <row r="164" ht="15.75" customHeight="1"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34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4"/>
      <c r="CH164" s="24"/>
      <c r="CI164" s="28"/>
      <c r="CJ164" s="28"/>
      <c r="CK164" s="28"/>
      <c r="CL164" s="28"/>
      <c r="CM164" s="28"/>
      <c r="CN164" s="28"/>
      <c r="CO164" s="24"/>
      <c r="CP164" s="28"/>
      <c r="CQ164" s="28"/>
      <c r="CR164" s="28"/>
      <c r="CS164" s="28"/>
      <c r="CT164" s="28"/>
      <c r="CU164" s="28"/>
      <c r="CV164" s="28"/>
      <c r="CW164" s="24"/>
      <c r="CX164" s="24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</row>
    <row r="165" ht="15.75" customHeight="1"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34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4"/>
      <c r="CH165" s="24"/>
      <c r="CI165" s="28"/>
      <c r="CJ165" s="28"/>
      <c r="CK165" s="28"/>
      <c r="CL165" s="28"/>
      <c r="CM165" s="28"/>
      <c r="CN165" s="28"/>
      <c r="CO165" s="24"/>
      <c r="CP165" s="28"/>
      <c r="CQ165" s="28"/>
      <c r="CR165" s="28"/>
      <c r="CS165" s="28"/>
      <c r="CT165" s="28"/>
      <c r="CU165" s="28"/>
      <c r="CV165" s="28"/>
      <c r="CW165" s="24"/>
      <c r="CX165" s="24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</row>
    <row r="166" ht="15.75" customHeight="1"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34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4"/>
      <c r="CH166" s="24"/>
      <c r="CI166" s="28"/>
      <c r="CJ166" s="28"/>
      <c r="CK166" s="28"/>
      <c r="CL166" s="28"/>
      <c r="CM166" s="28"/>
      <c r="CN166" s="28"/>
      <c r="CO166" s="24"/>
      <c r="CP166" s="28"/>
      <c r="CQ166" s="28"/>
      <c r="CR166" s="28"/>
      <c r="CS166" s="28"/>
      <c r="CT166" s="28"/>
      <c r="CU166" s="28"/>
      <c r="CV166" s="28"/>
      <c r="CW166" s="24"/>
      <c r="CX166" s="24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</row>
    <row r="167" ht="15.75" customHeight="1"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34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4"/>
      <c r="CH167" s="24"/>
      <c r="CI167" s="28"/>
      <c r="CJ167" s="28"/>
      <c r="CK167" s="28"/>
      <c r="CL167" s="28"/>
      <c r="CM167" s="28"/>
      <c r="CN167" s="28"/>
      <c r="CO167" s="24"/>
      <c r="CP167" s="28"/>
      <c r="CQ167" s="28"/>
      <c r="CR167" s="28"/>
      <c r="CS167" s="28"/>
      <c r="CT167" s="28"/>
      <c r="CU167" s="28"/>
      <c r="CV167" s="28"/>
      <c r="CW167" s="24"/>
      <c r="CX167" s="24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</row>
    <row r="168" ht="15.75" customHeight="1"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34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4"/>
      <c r="CH168" s="24"/>
      <c r="CI168" s="28"/>
      <c r="CJ168" s="28"/>
      <c r="CK168" s="28"/>
      <c r="CL168" s="28"/>
      <c r="CM168" s="28"/>
      <c r="CN168" s="28"/>
      <c r="CO168" s="24"/>
      <c r="CP168" s="28"/>
      <c r="CQ168" s="28"/>
      <c r="CR168" s="28"/>
      <c r="CS168" s="28"/>
      <c r="CT168" s="28"/>
      <c r="CU168" s="28"/>
      <c r="CV168" s="28"/>
      <c r="CW168" s="24"/>
      <c r="CX168" s="24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</row>
    <row r="169" ht="15.75" customHeight="1"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34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4"/>
      <c r="CH169" s="24"/>
      <c r="CI169" s="28"/>
      <c r="CJ169" s="28"/>
      <c r="CK169" s="28"/>
      <c r="CL169" s="28"/>
      <c r="CM169" s="28"/>
      <c r="CN169" s="28"/>
      <c r="CO169" s="24"/>
      <c r="CP169" s="28"/>
      <c r="CQ169" s="28"/>
      <c r="CR169" s="28"/>
      <c r="CS169" s="28"/>
      <c r="CT169" s="28"/>
      <c r="CU169" s="28"/>
      <c r="CV169" s="28"/>
      <c r="CW169" s="24"/>
      <c r="CX169" s="24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</row>
    <row r="170" ht="15.75" customHeight="1"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34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4"/>
      <c r="CH170" s="24"/>
      <c r="CI170" s="28"/>
      <c r="CJ170" s="28"/>
      <c r="CK170" s="28"/>
      <c r="CL170" s="28"/>
      <c r="CM170" s="28"/>
      <c r="CN170" s="28"/>
      <c r="CO170" s="24"/>
      <c r="CP170" s="28"/>
      <c r="CQ170" s="28"/>
      <c r="CR170" s="28"/>
      <c r="CS170" s="28"/>
      <c r="CT170" s="28"/>
      <c r="CU170" s="28"/>
      <c r="CV170" s="28"/>
      <c r="CW170" s="24"/>
      <c r="CX170" s="24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</row>
    <row r="171" ht="15.75" customHeight="1"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34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4"/>
      <c r="CH171" s="24"/>
      <c r="CI171" s="28"/>
      <c r="CJ171" s="28"/>
      <c r="CK171" s="28"/>
      <c r="CL171" s="28"/>
      <c r="CM171" s="28"/>
      <c r="CN171" s="28"/>
      <c r="CO171" s="24"/>
      <c r="CP171" s="28"/>
      <c r="CQ171" s="28"/>
      <c r="CR171" s="28"/>
      <c r="CS171" s="28"/>
      <c r="CT171" s="28"/>
      <c r="CU171" s="28"/>
      <c r="CV171" s="28"/>
      <c r="CW171" s="24"/>
      <c r="CX171" s="24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</row>
    <row r="172" ht="15.75" customHeight="1"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34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4"/>
      <c r="CH172" s="24"/>
      <c r="CI172" s="28"/>
      <c r="CJ172" s="28"/>
      <c r="CK172" s="28"/>
      <c r="CL172" s="28"/>
      <c r="CM172" s="28"/>
      <c r="CN172" s="28"/>
      <c r="CO172" s="24"/>
      <c r="CP172" s="28"/>
      <c r="CQ172" s="28"/>
      <c r="CR172" s="28"/>
      <c r="CS172" s="28"/>
      <c r="CT172" s="28"/>
      <c r="CU172" s="28"/>
      <c r="CV172" s="28"/>
      <c r="CW172" s="24"/>
      <c r="CX172" s="24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</row>
    <row r="173" ht="15.75" customHeight="1"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34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4"/>
      <c r="CH173" s="24"/>
      <c r="CI173" s="28"/>
      <c r="CJ173" s="28"/>
      <c r="CK173" s="28"/>
      <c r="CL173" s="28"/>
      <c r="CM173" s="28"/>
      <c r="CN173" s="28"/>
      <c r="CO173" s="24"/>
      <c r="CP173" s="28"/>
      <c r="CQ173" s="28"/>
      <c r="CR173" s="28"/>
      <c r="CS173" s="28"/>
      <c r="CT173" s="28"/>
      <c r="CU173" s="28"/>
      <c r="CV173" s="28"/>
      <c r="CW173" s="24"/>
      <c r="CX173" s="24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</row>
    <row r="174" ht="15.75" customHeight="1"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34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4"/>
      <c r="CH174" s="24"/>
      <c r="CI174" s="28"/>
      <c r="CJ174" s="28"/>
      <c r="CK174" s="28"/>
      <c r="CL174" s="28"/>
      <c r="CM174" s="28"/>
      <c r="CN174" s="28"/>
      <c r="CO174" s="24"/>
      <c r="CP174" s="28"/>
      <c r="CQ174" s="28"/>
      <c r="CR174" s="28"/>
      <c r="CS174" s="28"/>
      <c r="CT174" s="28"/>
      <c r="CU174" s="28"/>
      <c r="CV174" s="28"/>
      <c r="CW174" s="24"/>
      <c r="CX174" s="24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</row>
    <row r="175" ht="15.75" customHeight="1"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34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4"/>
      <c r="CH175" s="24"/>
      <c r="CI175" s="28"/>
      <c r="CJ175" s="28"/>
      <c r="CK175" s="28"/>
      <c r="CL175" s="28"/>
      <c r="CM175" s="28"/>
      <c r="CN175" s="28"/>
      <c r="CO175" s="24"/>
      <c r="CP175" s="28"/>
      <c r="CQ175" s="28"/>
      <c r="CR175" s="28"/>
      <c r="CS175" s="28"/>
      <c r="CT175" s="28"/>
      <c r="CU175" s="28"/>
      <c r="CV175" s="28"/>
      <c r="CW175" s="24"/>
      <c r="CX175" s="24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</row>
    <row r="176" ht="15.75" customHeight="1"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34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4"/>
      <c r="CH176" s="24"/>
      <c r="CI176" s="28"/>
      <c r="CJ176" s="28"/>
      <c r="CK176" s="28"/>
      <c r="CL176" s="28"/>
      <c r="CM176" s="28"/>
      <c r="CN176" s="28"/>
      <c r="CO176" s="24"/>
      <c r="CP176" s="28"/>
      <c r="CQ176" s="28"/>
      <c r="CR176" s="28"/>
      <c r="CS176" s="28"/>
      <c r="CT176" s="28"/>
      <c r="CU176" s="28"/>
      <c r="CV176" s="28"/>
      <c r="CW176" s="24"/>
      <c r="CX176" s="24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</row>
    <row r="177" ht="15.75" customHeight="1"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34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4"/>
      <c r="CH177" s="24"/>
      <c r="CI177" s="28"/>
      <c r="CJ177" s="28"/>
      <c r="CK177" s="28"/>
      <c r="CL177" s="28"/>
      <c r="CM177" s="28"/>
      <c r="CN177" s="28"/>
      <c r="CO177" s="24"/>
      <c r="CP177" s="28"/>
      <c r="CQ177" s="28"/>
      <c r="CR177" s="28"/>
      <c r="CS177" s="28"/>
      <c r="CT177" s="28"/>
      <c r="CU177" s="28"/>
      <c r="CV177" s="28"/>
      <c r="CW177" s="24"/>
      <c r="CX177" s="24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</row>
    <row r="178" ht="15.75" customHeight="1"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34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4"/>
      <c r="CH178" s="24"/>
      <c r="CI178" s="28"/>
      <c r="CJ178" s="28"/>
      <c r="CK178" s="28"/>
      <c r="CL178" s="28"/>
      <c r="CM178" s="28"/>
      <c r="CN178" s="28"/>
      <c r="CO178" s="24"/>
      <c r="CP178" s="28"/>
      <c r="CQ178" s="28"/>
      <c r="CR178" s="28"/>
      <c r="CS178" s="28"/>
      <c r="CT178" s="28"/>
      <c r="CU178" s="28"/>
      <c r="CV178" s="28"/>
      <c r="CW178" s="24"/>
      <c r="CX178" s="24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</row>
    <row r="179" ht="15.75" customHeight="1"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34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4"/>
      <c r="CH179" s="24"/>
      <c r="CI179" s="28"/>
      <c r="CJ179" s="28"/>
      <c r="CK179" s="28"/>
      <c r="CL179" s="28"/>
      <c r="CM179" s="28"/>
      <c r="CN179" s="28"/>
      <c r="CO179" s="24"/>
      <c r="CP179" s="28"/>
      <c r="CQ179" s="28"/>
      <c r="CR179" s="28"/>
      <c r="CS179" s="28"/>
      <c r="CT179" s="28"/>
      <c r="CU179" s="28"/>
      <c r="CV179" s="28"/>
      <c r="CW179" s="24"/>
      <c r="CX179" s="24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</row>
    <row r="180" ht="15.75" customHeight="1"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34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4"/>
      <c r="CH180" s="24"/>
      <c r="CI180" s="28"/>
      <c r="CJ180" s="28"/>
      <c r="CK180" s="28"/>
      <c r="CL180" s="28"/>
      <c r="CM180" s="28"/>
      <c r="CN180" s="28"/>
      <c r="CO180" s="24"/>
      <c r="CP180" s="28"/>
      <c r="CQ180" s="28"/>
      <c r="CR180" s="28"/>
      <c r="CS180" s="28"/>
      <c r="CT180" s="28"/>
      <c r="CU180" s="28"/>
      <c r="CV180" s="28"/>
      <c r="CW180" s="24"/>
      <c r="CX180" s="24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</row>
    <row r="181" ht="15.75" customHeight="1"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34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4"/>
      <c r="CH181" s="24"/>
      <c r="CI181" s="28"/>
      <c r="CJ181" s="28"/>
      <c r="CK181" s="28"/>
      <c r="CL181" s="28"/>
      <c r="CM181" s="28"/>
      <c r="CN181" s="28"/>
      <c r="CO181" s="24"/>
      <c r="CP181" s="28"/>
      <c r="CQ181" s="28"/>
      <c r="CR181" s="28"/>
      <c r="CS181" s="28"/>
      <c r="CT181" s="28"/>
      <c r="CU181" s="28"/>
      <c r="CV181" s="28"/>
      <c r="CW181" s="24"/>
      <c r="CX181" s="24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</row>
    <row r="182" ht="15.75" customHeight="1"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34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4"/>
      <c r="CH182" s="24"/>
      <c r="CI182" s="28"/>
      <c r="CJ182" s="28"/>
      <c r="CK182" s="28"/>
      <c r="CL182" s="28"/>
      <c r="CM182" s="28"/>
      <c r="CN182" s="28"/>
      <c r="CO182" s="24"/>
      <c r="CP182" s="28"/>
      <c r="CQ182" s="28"/>
      <c r="CR182" s="28"/>
      <c r="CS182" s="28"/>
      <c r="CT182" s="28"/>
      <c r="CU182" s="28"/>
      <c r="CV182" s="28"/>
      <c r="CW182" s="24"/>
      <c r="CX182" s="24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</row>
    <row r="183" ht="15.75" customHeight="1"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34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4"/>
      <c r="CH183" s="24"/>
      <c r="CI183" s="28"/>
      <c r="CJ183" s="28"/>
      <c r="CK183" s="28"/>
      <c r="CL183" s="28"/>
      <c r="CM183" s="28"/>
      <c r="CN183" s="28"/>
      <c r="CO183" s="24"/>
      <c r="CP183" s="28"/>
      <c r="CQ183" s="28"/>
      <c r="CR183" s="28"/>
      <c r="CS183" s="28"/>
      <c r="CT183" s="28"/>
      <c r="CU183" s="28"/>
      <c r="CV183" s="28"/>
      <c r="CW183" s="24"/>
      <c r="CX183" s="24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</row>
    <row r="184" ht="15.75" customHeight="1"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34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4"/>
      <c r="CH184" s="24"/>
      <c r="CI184" s="28"/>
      <c r="CJ184" s="28"/>
      <c r="CK184" s="28"/>
      <c r="CL184" s="28"/>
      <c r="CM184" s="28"/>
      <c r="CN184" s="28"/>
      <c r="CO184" s="24"/>
      <c r="CP184" s="28"/>
      <c r="CQ184" s="28"/>
      <c r="CR184" s="28"/>
      <c r="CS184" s="28"/>
      <c r="CT184" s="28"/>
      <c r="CU184" s="28"/>
      <c r="CV184" s="28"/>
      <c r="CW184" s="24"/>
      <c r="CX184" s="24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</row>
    <row r="185" ht="15.75" customHeight="1"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34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4"/>
      <c r="CH185" s="24"/>
      <c r="CI185" s="28"/>
      <c r="CJ185" s="28"/>
      <c r="CK185" s="28"/>
      <c r="CL185" s="28"/>
      <c r="CM185" s="28"/>
      <c r="CN185" s="28"/>
      <c r="CO185" s="24"/>
      <c r="CP185" s="28"/>
      <c r="CQ185" s="28"/>
      <c r="CR185" s="28"/>
      <c r="CS185" s="28"/>
      <c r="CT185" s="28"/>
      <c r="CU185" s="28"/>
      <c r="CV185" s="28"/>
      <c r="CW185" s="24"/>
      <c r="CX185" s="24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</row>
    <row r="186" ht="15.75" customHeight="1"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34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4"/>
      <c r="CH186" s="24"/>
      <c r="CI186" s="28"/>
      <c r="CJ186" s="28"/>
      <c r="CK186" s="28"/>
      <c r="CL186" s="28"/>
      <c r="CM186" s="28"/>
      <c r="CN186" s="28"/>
      <c r="CO186" s="24"/>
      <c r="CP186" s="28"/>
      <c r="CQ186" s="28"/>
      <c r="CR186" s="28"/>
      <c r="CS186" s="28"/>
      <c r="CT186" s="28"/>
      <c r="CU186" s="28"/>
      <c r="CV186" s="28"/>
      <c r="CW186" s="24"/>
      <c r="CX186" s="24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</row>
    <row r="187" ht="15.75" customHeight="1"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34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4"/>
      <c r="CH187" s="24"/>
      <c r="CI187" s="28"/>
      <c r="CJ187" s="28"/>
      <c r="CK187" s="28"/>
      <c r="CL187" s="28"/>
      <c r="CM187" s="28"/>
      <c r="CN187" s="28"/>
      <c r="CO187" s="24"/>
      <c r="CP187" s="28"/>
      <c r="CQ187" s="28"/>
      <c r="CR187" s="28"/>
      <c r="CS187" s="28"/>
      <c r="CT187" s="28"/>
      <c r="CU187" s="28"/>
      <c r="CV187" s="28"/>
      <c r="CW187" s="24"/>
      <c r="CX187" s="24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</row>
    <row r="188" ht="15.75" customHeight="1"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34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4"/>
      <c r="CH188" s="24"/>
      <c r="CI188" s="28"/>
      <c r="CJ188" s="28"/>
      <c r="CK188" s="28"/>
      <c r="CL188" s="28"/>
      <c r="CM188" s="28"/>
      <c r="CN188" s="28"/>
      <c r="CO188" s="24"/>
      <c r="CP188" s="28"/>
      <c r="CQ188" s="28"/>
      <c r="CR188" s="28"/>
      <c r="CS188" s="28"/>
      <c r="CT188" s="28"/>
      <c r="CU188" s="28"/>
      <c r="CV188" s="28"/>
      <c r="CW188" s="24"/>
      <c r="CX188" s="24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</row>
    <row r="189" ht="15.75" customHeight="1">
      <c r="S189" s="34"/>
      <c r="CG189" s="35"/>
      <c r="CH189" s="35"/>
      <c r="CO189" s="35"/>
      <c r="CW189" s="35"/>
      <c r="CX189" s="35"/>
    </row>
    <row r="190" ht="15.75" customHeight="1">
      <c r="S190" s="34"/>
      <c r="CG190" s="35"/>
      <c r="CH190" s="35"/>
      <c r="CO190" s="35"/>
      <c r="CW190" s="35"/>
      <c r="CX190" s="35"/>
    </row>
    <row r="191" ht="15.75" customHeight="1">
      <c r="S191" s="34"/>
      <c r="CG191" s="35"/>
      <c r="CH191" s="35"/>
      <c r="CO191" s="35"/>
      <c r="CW191" s="35"/>
      <c r="CX191" s="35"/>
    </row>
    <row r="192" ht="15.75" customHeight="1">
      <c r="S192" s="34"/>
      <c r="CG192" s="35"/>
      <c r="CH192" s="35"/>
      <c r="CO192" s="35"/>
      <c r="CW192" s="35"/>
      <c r="CX192" s="35"/>
    </row>
    <row r="193" ht="15.75" customHeight="1">
      <c r="S193" s="34"/>
      <c r="CG193" s="35"/>
      <c r="CH193" s="35"/>
      <c r="CO193" s="35"/>
      <c r="CW193" s="35"/>
      <c r="CX193" s="35"/>
    </row>
    <row r="194" ht="15.75" customHeight="1">
      <c r="S194" s="34"/>
      <c r="CG194" s="35"/>
      <c r="CH194" s="35"/>
      <c r="CO194" s="35"/>
      <c r="CW194" s="35"/>
      <c r="CX194" s="35"/>
    </row>
    <row r="195" ht="15.75" customHeight="1">
      <c r="S195" s="34"/>
      <c r="CG195" s="35"/>
      <c r="CH195" s="35"/>
      <c r="CO195" s="35"/>
      <c r="CW195" s="35"/>
      <c r="CX195" s="35"/>
    </row>
    <row r="196" ht="15.75" customHeight="1">
      <c r="S196" s="34"/>
      <c r="CG196" s="35"/>
      <c r="CH196" s="35"/>
      <c r="CO196" s="35"/>
      <c r="CW196" s="35"/>
      <c r="CX196" s="35"/>
    </row>
    <row r="197" ht="15.75" customHeight="1">
      <c r="S197" s="34"/>
      <c r="CG197" s="35"/>
      <c r="CH197" s="35"/>
      <c r="CO197" s="35"/>
      <c r="CW197" s="35"/>
      <c r="CX197" s="35"/>
    </row>
    <row r="198" ht="15.75" customHeight="1">
      <c r="S198" s="34"/>
      <c r="CG198" s="35"/>
      <c r="CH198" s="35"/>
      <c r="CO198" s="35"/>
      <c r="CW198" s="35"/>
      <c r="CX198" s="35"/>
    </row>
    <row r="199" ht="15.75" customHeight="1">
      <c r="S199" s="34"/>
      <c r="CG199" s="35"/>
      <c r="CH199" s="35"/>
      <c r="CO199" s="35"/>
      <c r="CW199" s="35"/>
      <c r="CX199" s="35"/>
    </row>
    <row r="200" ht="15.75" customHeight="1">
      <c r="S200" s="34"/>
      <c r="CG200" s="35"/>
      <c r="CH200" s="35"/>
      <c r="CO200" s="35"/>
      <c r="CW200" s="35"/>
      <c r="CX200" s="35"/>
    </row>
    <row r="201" ht="15.75" customHeight="1">
      <c r="S201" s="34"/>
      <c r="CG201" s="35"/>
      <c r="CH201" s="35"/>
      <c r="CO201" s="35"/>
      <c r="CW201" s="35"/>
      <c r="CX201" s="35"/>
    </row>
    <row r="202" ht="15.75" customHeight="1">
      <c r="S202" s="34"/>
      <c r="CG202" s="35"/>
      <c r="CH202" s="35"/>
      <c r="CO202" s="35"/>
      <c r="CW202" s="35"/>
      <c r="CX202" s="35"/>
    </row>
    <row r="203" ht="15.75" customHeight="1">
      <c r="S203" s="34"/>
      <c r="CG203" s="35"/>
      <c r="CH203" s="35"/>
      <c r="CO203" s="35"/>
      <c r="CW203" s="35"/>
      <c r="CX203" s="35"/>
    </row>
    <row r="204" ht="15.75" customHeight="1">
      <c r="S204" s="34"/>
      <c r="CG204" s="35"/>
      <c r="CH204" s="35"/>
      <c r="CO204" s="35"/>
      <c r="CW204" s="35"/>
      <c r="CX204" s="35"/>
    </row>
    <row r="205" ht="15.75" customHeight="1">
      <c r="S205" s="34"/>
      <c r="CG205" s="35"/>
      <c r="CH205" s="35"/>
      <c r="CO205" s="35"/>
      <c r="CW205" s="35"/>
      <c r="CX205" s="35"/>
    </row>
    <row r="206" ht="15.75" customHeight="1">
      <c r="S206" s="34"/>
      <c r="CG206" s="35"/>
      <c r="CH206" s="35"/>
      <c r="CO206" s="35"/>
      <c r="CW206" s="35"/>
      <c r="CX206" s="35"/>
    </row>
    <row r="207" ht="15.75" customHeight="1">
      <c r="S207" s="34"/>
      <c r="CG207" s="35"/>
      <c r="CH207" s="35"/>
      <c r="CO207" s="35"/>
      <c r="CW207" s="35"/>
      <c r="CX207" s="35"/>
    </row>
    <row r="208" ht="15.75" customHeight="1">
      <c r="S208" s="34"/>
      <c r="CG208" s="35"/>
      <c r="CH208" s="35"/>
      <c r="CO208" s="35"/>
      <c r="CW208" s="35"/>
      <c r="CX208" s="35"/>
    </row>
    <row r="209" ht="15.75" customHeight="1">
      <c r="S209" s="34"/>
      <c r="CG209" s="35"/>
      <c r="CH209" s="35"/>
      <c r="CO209" s="35"/>
      <c r="CW209" s="35"/>
      <c r="CX209" s="35"/>
    </row>
    <row r="210" ht="15.75" customHeight="1">
      <c r="S210" s="34"/>
      <c r="CG210" s="35"/>
      <c r="CH210" s="35"/>
      <c r="CO210" s="35"/>
      <c r="CW210" s="35"/>
      <c r="CX210" s="35"/>
    </row>
    <row r="211" ht="15.75" customHeight="1">
      <c r="S211" s="34"/>
      <c r="CG211" s="35"/>
      <c r="CH211" s="35"/>
      <c r="CO211" s="35"/>
      <c r="CW211" s="35"/>
      <c r="CX211" s="35"/>
    </row>
    <row r="212" ht="15.75" customHeight="1">
      <c r="S212" s="34"/>
      <c r="CG212" s="35"/>
      <c r="CH212" s="35"/>
      <c r="CO212" s="35"/>
      <c r="CW212" s="35"/>
      <c r="CX212" s="35"/>
    </row>
    <row r="213" ht="15.75" customHeight="1">
      <c r="S213" s="34"/>
      <c r="CG213" s="35"/>
      <c r="CH213" s="35"/>
      <c r="CO213" s="35"/>
      <c r="CW213" s="35"/>
      <c r="CX213" s="35"/>
    </row>
    <row r="214" ht="15.75" customHeight="1">
      <c r="S214" s="34"/>
      <c r="CG214" s="35"/>
      <c r="CH214" s="35"/>
      <c r="CO214" s="35"/>
      <c r="CW214" s="35"/>
      <c r="CX214" s="35"/>
    </row>
    <row r="215" ht="15.75" customHeight="1">
      <c r="S215" s="34"/>
      <c r="CG215" s="35"/>
      <c r="CH215" s="35"/>
      <c r="CO215" s="35"/>
      <c r="CW215" s="35"/>
      <c r="CX215" s="35"/>
    </row>
    <row r="216" ht="15.75" customHeight="1">
      <c r="S216" s="34"/>
      <c r="CG216" s="35"/>
      <c r="CH216" s="35"/>
      <c r="CO216" s="35"/>
      <c r="CW216" s="35"/>
      <c r="CX216" s="35"/>
    </row>
    <row r="217" ht="15.75" customHeight="1">
      <c r="S217" s="34"/>
      <c r="CG217" s="35"/>
      <c r="CH217" s="35"/>
      <c r="CO217" s="35"/>
      <c r="CW217" s="35"/>
      <c r="CX217" s="35"/>
    </row>
    <row r="218" ht="15.75" customHeight="1">
      <c r="S218" s="34"/>
      <c r="CG218" s="35"/>
      <c r="CH218" s="35"/>
      <c r="CO218" s="35"/>
      <c r="CW218" s="35"/>
      <c r="CX218" s="35"/>
    </row>
    <row r="219" ht="15.75" customHeight="1">
      <c r="S219" s="34"/>
      <c r="CG219" s="35"/>
      <c r="CH219" s="35"/>
      <c r="CO219" s="35"/>
      <c r="CW219" s="35"/>
      <c r="CX219" s="35"/>
    </row>
    <row r="220" ht="15.75" customHeight="1">
      <c r="S220" s="34"/>
      <c r="CG220" s="35"/>
      <c r="CH220" s="35"/>
      <c r="CO220" s="35"/>
      <c r="CW220" s="35"/>
      <c r="CX220" s="35"/>
    </row>
    <row r="221" ht="15.75" customHeight="1">
      <c r="S221" s="34"/>
      <c r="CG221" s="35"/>
      <c r="CH221" s="35"/>
      <c r="CO221" s="35"/>
      <c r="CW221" s="35"/>
      <c r="CX221" s="35"/>
    </row>
    <row r="222" ht="15.75" customHeight="1">
      <c r="S222" s="34"/>
      <c r="CG222" s="35"/>
      <c r="CH222" s="35"/>
      <c r="CO222" s="35"/>
      <c r="CW222" s="35"/>
      <c r="CX222" s="35"/>
    </row>
    <row r="223" ht="15.75" customHeight="1">
      <c r="S223" s="34"/>
      <c r="CG223" s="35"/>
      <c r="CH223" s="35"/>
      <c r="CO223" s="35"/>
      <c r="CW223" s="35"/>
      <c r="CX223" s="35"/>
    </row>
    <row r="224" ht="15.75" customHeight="1">
      <c r="S224" s="34"/>
      <c r="CG224" s="35"/>
      <c r="CH224" s="35"/>
      <c r="CO224" s="35"/>
      <c r="CW224" s="35"/>
      <c r="CX224" s="35"/>
    </row>
    <row r="225" ht="15.75" customHeight="1">
      <c r="S225" s="34"/>
      <c r="CG225" s="35"/>
      <c r="CH225" s="35"/>
      <c r="CO225" s="35"/>
      <c r="CW225" s="35"/>
      <c r="CX225" s="35"/>
    </row>
    <row r="226" ht="15.75" customHeight="1">
      <c r="S226" s="34"/>
      <c r="CG226" s="35"/>
      <c r="CH226" s="35"/>
      <c r="CO226" s="35"/>
      <c r="CW226" s="35"/>
      <c r="CX226" s="35"/>
    </row>
    <row r="227" ht="15.75" customHeight="1">
      <c r="S227" s="34"/>
      <c r="CG227" s="35"/>
      <c r="CH227" s="35"/>
      <c r="CO227" s="35"/>
      <c r="CW227" s="35"/>
      <c r="CX227" s="35"/>
    </row>
    <row r="228" ht="15.75" customHeight="1">
      <c r="S228" s="34"/>
      <c r="CG228" s="35"/>
      <c r="CH228" s="35"/>
      <c r="CO228" s="35"/>
      <c r="CW228" s="35"/>
      <c r="CX228" s="35"/>
    </row>
    <row r="229" ht="15.75" customHeight="1">
      <c r="S229" s="34"/>
      <c r="CG229" s="35"/>
      <c r="CH229" s="35"/>
      <c r="CO229" s="35"/>
      <c r="CW229" s="35"/>
      <c r="CX229" s="35"/>
    </row>
    <row r="230" ht="15.75" customHeight="1">
      <c r="S230" s="34"/>
      <c r="CG230" s="35"/>
      <c r="CH230" s="35"/>
      <c r="CO230" s="35"/>
      <c r="CW230" s="35"/>
      <c r="CX230" s="35"/>
    </row>
    <row r="231" ht="15.75" customHeight="1">
      <c r="S231" s="34"/>
      <c r="CG231" s="35"/>
      <c r="CH231" s="35"/>
      <c r="CO231" s="35"/>
      <c r="CW231" s="35"/>
      <c r="CX231" s="35"/>
    </row>
    <row r="232" ht="15.75" customHeight="1">
      <c r="S232" s="34"/>
      <c r="CG232" s="35"/>
      <c r="CH232" s="35"/>
      <c r="CO232" s="35"/>
      <c r="CW232" s="35"/>
      <c r="CX232" s="35"/>
    </row>
    <row r="233" ht="15.75" customHeight="1">
      <c r="S233" s="34"/>
      <c r="CG233" s="35"/>
      <c r="CH233" s="35"/>
      <c r="CO233" s="35"/>
      <c r="CW233" s="35"/>
      <c r="CX233" s="35"/>
    </row>
    <row r="234" ht="15.75" customHeight="1">
      <c r="S234" s="34"/>
      <c r="CG234" s="35"/>
      <c r="CH234" s="35"/>
      <c r="CO234" s="35"/>
      <c r="CW234" s="35"/>
      <c r="CX234" s="35"/>
    </row>
    <row r="235" ht="15.75" customHeight="1">
      <c r="S235" s="34"/>
      <c r="CG235" s="35"/>
      <c r="CH235" s="35"/>
      <c r="CO235" s="35"/>
      <c r="CW235" s="35"/>
      <c r="CX235" s="35"/>
    </row>
    <row r="236" ht="15.75" customHeight="1">
      <c r="S236" s="34"/>
      <c r="CG236" s="35"/>
      <c r="CH236" s="35"/>
      <c r="CO236" s="35"/>
      <c r="CW236" s="35"/>
      <c r="CX236" s="35"/>
    </row>
    <row r="237" ht="15.75" customHeight="1">
      <c r="S237" s="34"/>
      <c r="CG237" s="35"/>
      <c r="CH237" s="35"/>
      <c r="CO237" s="35"/>
      <c r="CW237" s="35"/>
      <c r="CX237" s="35"/>
    </row>
    <row r="238" ht="15.75" customHeight="1">
      <c r="S238" s="34"/>
      <c r="CG238" s="35"/>
      <c r="CH238" s="35"/>
      <c r="CO238" s="35"/>
      <c r="CW238" s="35"/>
      <c r="CX238" s="35"/>
    </row>
    <row r="239" ht="15.75" customHeight="1">
      <c r="S239" s="34"/>
      <c r="CG239" s="35"/>
      <c r="CH239" s="35"/>
      <c r="CO239" s="35"/>
      <c r="CW239" s="35"/>
      <c r="CX239" s="35"/>
    </row>
    <row r="240" ht="15.75" customHeight="1">
      <c r="S240" s="34"/>
      <c r="CG240" s="35"/>
      <c r="CH240" s="35"/>
      <c r="CO240" s="35"/>
      <c r="CW240" s="35"/>
      <c r="CX240" s="35"/>
    </row>
    <row r="241" ht="15.75" customHeight="1">
      <c r="S241" s="34"/>
      <c r="CG241" s="35"/>
      <c r="CH241" s="35"/>
      <c r="CO241" s="35"/>
      <c r="CW241" s="35"/>
      <c r="CX241" s="35"/>
    </row>
    <row r="242" ht="15.75" customHeight="1">
      <c r="S242" s="34"/>
      <c r="CG242" s="35"/>
      <c r="CH242" s="35"/>
      <c r="CO242" s="35"/>
      <c r="CW242" s="35"/>
      <c r="CX242" s="35"/>
    </row>
    <row r="243" ht="15.75" customHeight="1">
      <c r="S243" s="34"/>
      <c r="CG243" s="35"/>
      <c r="CH243" s="35"/>
      <c r="CO243" s="35"/>
      <c r="CW243" s="35"/>
      <c r="CX243" s="35"/>
    </row>
    <row r="244" ht="15.75" customHeight="1">
      <c r="S244" s="34"/>
      <c r="CG244" s="35"/>
      <c r="CH244" s="35"/>
      <c r="CO244" s="35"/>
      <c r="CW244" s="35"/>
      <c r="CX244" s="35"/>
    </row>
    <row r="245" ht="15.75" customHeight="1">
      <c r="S245" s="34"/>
      <c r="CG245" s="35"/>
      <c r="CH245" s="35"/>
      <c r="CO245" s="35"/>
      <c r="CW245" s="35"/>
      <c r="CX245" s="35"/>
    </row>
    <row r="246" ht="15.75" customHeight="1">
      <c r="S246" s="34"/>
      <c r="CG246" s="35"/>
      <c r="CH246" s="35"/>
      <c r="CO246" s="35"/>
      <c r="CW246" s="35"/>
      <c r="CX246" s="35"/>
    </row>
    <row r="247" ht="15.75" customHeight="1">
      <c r="S247" s="34"/>
      <c r="CG247" s="35"/>
      <c r="CH247" s="35"/>
      <c r="CO247" s="35"/>
      <c r="CW247" s="35"/>
      <c r="CX247" s="35"/>
    </row>
    <row r="248" ht="15.75" customHeight="1">
      <c r="S248" s="34"/>
      <c r="CG248" s="35"/>
      <c r="CH248" s="35"/>
      <c r="CO248" s="35"/>
      <c r="CW248" s="35"/>
      <c r="CX248" s="35"/>
    </row>
    <row r="249" ht="15.75" customHeight="1">
      <c r="S249" s="34"/>
      <c r="CG249" s="35"/>
      <c r="CH249" s="35"/>
      <c r="CO249" s="35"/>
      <c r="CW249" s="35"/>
      <c r="CX249" s="35"/>
    </row>
    <row r="250" ht="15.75" customHeight="1">
      <c r="S250" s="34"/>
      <c r="CG250" s="35"/>
      <c r="CH250" s="35"/>
      <c r="CO250" s="35"/>
      <c r="CW250" s="35"/>
      <c r="CX250" s="35"/>
    </row>
    <row r="251" ht="15.75" customHeight="1">
      <c r="S251" s="34"/>
      <c r="CG251" s="35"/>
      <c r="CH251" s="35"/>
      <c r="CO251" s="35"/>
      <c r="CW251" s="35"/>
      <c r="CX251" s="35"/>
    </row>
    <row r="252" ht="15.75" customHeight="1">
      <c r="S252" s="34"/>
      <c r="CG252" s="35"/>
      <c r="CH252" s="35"/>
      <c r="CO252" s="35"/>
      <c r="CW252" s="35"/>
      <c r="CX252" s="35"/>
    </row>
    <row r="253" ht="15.75" customHeight="1">
      <c r="S253" s="34"/>
      <c r="CG253" s="35"/>
      <c r="CH253" s="35"/>
      <c r="CO253" s="35"/>
      <c r="CW253" s="35"/>
      <c r="CX253" s="35"/>
    </row>
    <row r="254" ht="15.75" customHeight="1">
      <c r="S254" s="34"/>
      <c r="CG254" s="35"/>
      <c r="CH254" s="35"/>
      <c r="CO254" s="35"/>
      <c r="CW254" s="35"/>
      <c r="CX254" s="35"/>
    </row>
    <row r="255" ht="15.75" customHeight="1">
      <c r="S255" s="34"/>
      <c r="CG255" s="35"/>
      <c r="CH255" s="35"/>
      <c r="CO255" s="35"/>
      <c r="CW255" s="35"/>
      <c r="CX255" s="35"/>
    </row>
    <row r="256" ht="15.75" customHeight="1">
      <c r="S256" s="34"/>
      <c r="CG256" s="35"/>
      <c r="CH256" s="35"/>
      <c r="CO256" s="35"/>
      <c r="CW256" s="35"/>
      <c r="CX256" s="35"/>
    </row>
    <row r="257" ht="15.75" customHeight="1">
      <c r="S257" s="34"/>
      <c r="CG257" s="35"/>
      <c r="CH257" s="35"/>
      <c r="CO257" s="35"/>
      <c r="CW257" s="35"/>
      <c r="CX257" s="35"/>
    </row>
    <row r="258" ht="15.75" customHeight="1">
      <c r="S258" s="34"/>
      <c r="CG258" s="35"/>
      <c r="CH258" s="35"/>
      <c r="CO258" s="35"/>
      <c r="CW258" s="35"/>
      <c r="CX258" s="35"/>
    </row>
    <row r="259" ht="15.75" customHeight="1">
      <c r="S259" s="34"/>
      <c r="CG259" s="35"/>
      <c r="CH259" s="35"/>
      <c r="CO259" s="35"/>
      <c r="CW259" s="35"/>
      <c r="CX259" s="35"/>
    </row>
    <row r="260" ht="15.75" customHeight="1">
      <c r="S260" s="34"/>
      <c r="CG260" s="35"/>
      <c r="CH260" s="35"/>
      <c r="CO260" s="35"/>
      <c r="CW260" s="35"/>
      <c r="CX260" s="35"/>
    </row>
    <row r="261" ht="15.75" customHeight="1">
      <c r="S261" s="34"/>
      <c r="CG261" s="35"/>
      <c r="CH261" s="35"/>
      <c r="CO261" s="35"/>
      <c r="CW261" s="35"/>
      <c r="CX261" s="35"/>
    </row>
    <row r="262" ht="15.75" customHeight="1">
      <c r="S262" s="34"/>
      <c r="CG262" s="35"/>
      <c r="CH262" s="35"/>
      <c r="CO262" s="35"/>
      <c r="CW262" s="35"/>
      <c r="CX262" s="35"/>
    </row>
    <row r="263" ht="15.75" customHeight="1">
      <c r="S263" s="34"/>
      <c r="CG263" s="35"/>
      <c r="CH263" s="35"/>
      <c r="CO263" s="35"/>
      <c r="CW263" s="35"/>
      <c r="CX263" s="35"/>
    </row>
    <row r="264" ht="15.75" customHeight="1">
      <c r="S264" s="34"/>
      <c r="CG264" s="35"/>
      <c r="CH264" s="35"/>
      <c r="CO264" s="35"/>
      <c r="CW264" s="35"/>
      <c r="CX264" s="35"/>
    </row>
    <row r="265" ht="15.75" customHeight="1">
      <c r="S265" s="34"/>
      <c r="CG265" s="35"/>
      <c r="CH265" s="35"/>
      <c r="CO265" s="35"/>
      <c r="CW265" s="35"/>
      <c r="CX265" s="35"/>
    </row>
    <row r="266" ht="15.75" customHeight="1">
      <c r="S266" s="34"/>
      <c r="CG266" s="35"/>
      <c r="CH266" s="35"/>
      <c r="CO266" s="35"/>
      <c r="CW266" s="35"/>
      <c r="CX266" s="35"/>
    </row>
    <row r="267" ht="15.75" customHeight="1">
      <c r="S267" s="34"/>
      <c r="CG267" s="35"/>
      <c r="CH267" s="35"/>
      <c r="CO267" s="35"/>
      <c r="CW267" s="35"/>
      <c r="CX267" s="35"/>
    </row>
    <row r="268" ht="15.75" customHeight="1">
      <c r="S268" s="34"/>
      <c r="CG268" s="35"/>
      <c r="CH268" s="35"/>
      <c r="CO268" s="35"/>
      <c r="CW268" s="35"/>
      <c r="CX268" s="35"/>
    </row>
    <row r="269" ht="15.75" customHeight="1">
      <c r="S269" s="34"/>
      <c r="CG269" s="35"/>
      <c r="CH269" s="35"/>
      <c r="CO269" s="35"/>
      <c r="CW269" s="35"/>
      <c r="CX269" s="35"/>
    </row>
    <row r="270" ht="15.75" customHeight="1">
      <c r="S270" s="34"/>
      <c r="CG270" s="35"/>
      <c r="CH270" s="35"/>
      <c r="CO270" s="35"/>
      <c r="CW270" s="35"/>
      <c r="CX270" s="35"/>
    </row>
    <row r="271" ht="15.75" customHeight="1">
      <c r="S271" s="34"/>
      <c r="CG271" s="35"/>
      <c r="CH271" s="35"/>
      <c r="CO271" s="35"/>
      <c r="CW271" s="35"/>
      <c r="CX271" s="35"/>
    </row>
    <row r="272" ht="15.75" customHeight="1">
      <c r="S272" s="34"/>
      <c r="CG272" s="35"/>
      <c r="CH272" s="35"/>
      <c r="CO272" s="35"/>
      <c r="CW272" s="35"/>
      <c r="CX272" s="35"/>
    </row>
    <row r="273" ht="15.75" customHeight="1">
      <c r="S273" s="34"/>
      <c r="CG273" s="35"/>
      <c r="CH273" s="35"/>
      <c r="CO273" s="35"/>
      <c r="CW273" s="35"/>
      <c r="CX273" s="35"/>
    </row>
    <row r="274" ht="15.75" customHeight="1">
      <c r="S274" s="34"/>
      <c r="CG274" s="35"/>
      <c r="CH274" s="35"/>
      <c r="CO274" s="35"/>
      <c r="CW274" s="35"/>
      <c r="CX274" s="35"/>
    </row>
    <row r="275" ht="15.75" customHeight="1">
      <c r="S275" s="34"/>
      <c r="CG275" s="35"/>
      <c r="CH275" s="35"/>
      <c r="CO275" s="35"/>
      <c r="CW275" s="35"/>
      <c r="CX275" s="35"/>
    </row>
    <row r="276" ht="15.75" customHeight="1">
      <c r="S276" s="34"/>
      <c r="CG276" s="35"/>
      <c r="CH276" s="35"/>
      <c r="CO276" s="35"/>
      <c r="CW276" s="35"/>
      <c r="CX276" s="35"/>
    </row>
    <row r="277" ht="15.75" customHeight="1">
      <c r="S277" s="34"/>
      <c r="CG277" s="35"/>
      <c r="CH277" s="35"/>
      <c r="CO277" s="35"/>
      <c r="CW277" s="35"/>
      <c r="CX277" s="35"/>
    </row>
    <row r="278" ht="15.75" customHeight="1">
      <c r="S278" s="34"/>
      <c r="CG278" s="35"/>
      <c r="CH278" s="35"/>
      <c r="CO278" s="35"/>
      <c r="CW278" s="35"/>
      <c r="CX278" s="35"/>
    </row>
    <row r="279" ht="15.75" customHeight="1">
      <c r="S279" s="34"/>
      <c r="CG279" s="35"/>
      <c r="CH279" s="35"/>
      <c r="CO279" s="35"/>
      <c r="CW279" s="35"/>
      <c r="CX279" s="35"/>
    </row>
    <row r="280" ht="15.75" customHeight="1">
      <c r="S280" s="34"/>
      <c r="CG280" s="35"/>
      <c r="CH280" s="35"/>
      <c r="CO280" s="35"/>
      <c r="CW280" s="35"/>
      <c r="CX280" s="35"/>
    </row>
    <row r="281" ht="15.75" customHeight="1">
      <c r="S281" s="34"/>
      <c r="CG281" s="35"/>
      <c r="CH281" s="35"/>
      <c r="CO281" s="35"/>
      <c r="CW281" s="35"/>
      <c r="CX281" s="35"/>
    </row>
    <row r="282" ht="15.75" customHeight="1">
      <c r="S282" s="34"/>
      <c r="CG282" s="35"/>
      <c r="CH282" s="35"/>
      <c r="CO282" s="35"/>
      <c r="CW282" s="35"/>
      <c r="CX282" s="35"/>
    </row>
    <row r="283" ht="15.75" customHeight="1">
      <c r="S283" s="34"/>
      <c r="CG283" s="35"/>
      <c r="CH283" s="35"/>
      <c r="CO283" s="35"/>
      <c r="CW283" s="35"/>
      <c r="CX283" s="35"/>
    </row>
    <row r="284" ht="15.75" customHeight="1">
      <c r="S284" s="34"/>
      <c r="CG284" s="35"/>
      <c r="CH284" s="35"/>
      <c r="CO284" s="35"/>
      <c r="CW284" s="35"/>
      <c r="CX284" s="35"/>
    </row>
    <row r="285" ht="15.75" customHeight="1">
      <c r="S285" s="34"/>
      <c r="CG285" s="35"/>
      <c r="CH285" s="35"/>
      <c r="CO285" s="35"/>
      <c r="CW285" s="35"/>
      <c r="CX285" s="35"/>
    </row>
    <row r="286" ht="15.75" customHeight="1">
      <c r="S286" s="34"/>
      <c r="CG286" s="35"/>
      <c r="CH286" s="35"/>
      <c r="CO286" s="35"/>
      <c r="CW286" s="35"/>
      <c r="CX286" s="35"/>
    </row>
    <row r="287" ht="15.75" customHeight="1">
      <c r="S287" s="34"/>
      <c r="CG287" s="35"/>
      <c r="CH287" s="35"/>
      <c r="CO287" s="35"/>
      <c r="CW287" s="35"/>
      <c r="CX287" s="35"/>
    </row>
    <row r="288" ht="15.75" customHeight="1">
      <c r="S288" s="34"/>
      <c r="CG288" s="35"/>
      <c r="CH288" s="35"/>
      <c r="CO288" s="35"/>
      <c r="CW288" s="35"/>
      <c r="CX288" s="35"/>
    </row>
    <row r="289" ht="15.75" customHeight="1">
      <c r="S289" s="34"/>
      <c r="CG289" s="35"/>
      <c r="CH289" s="35"/>
      <c r="CO289" s="35"/>
      <c r="CW289" s="35"/>
      <c r="CX289" s="35"/>
    </row>
    <row r="290" ht="15.75" customHeight="1">
      <c r="S290" s="34"/>
      <c r="CG290" s="35"/>
      <c r="CH290" s="35"/>
      <c r="CO290" s="35"/>
      <c r="CW290" s="35"/>
      <c r="CX290" s="35"/>
    </row>
    <row r="291" ht="15.75" customHeight="1">
      <c r="S291" s="34"/>
      <c r="CG291" s="35"/>
      <c r="CH291" s="35"/>
      <c r="CO291" s="35"/>
      <c r="CW291" s="35"/>
      <c r="CX291" s="35"/>
    </row>
    <row r="292" ht="15.75" customHeight="1">
      <c r="S292" s="34"/>
      <c r="CG292" s="35"/>
      <c r="CH292" s="35"/>
      <c r="CO292" s="35"/>
      <c r="CW292" s="35"/>
      <c r="CX292" s="35"/>
    </row>
    <row r="293" ht="15.75" customHeight="1">
      <c r="S293" s="34"/>
      <c r="CG293" s="35"/>
      <c r="CH293" s="35"/>
      <c r="CO293" s="35"/>
      <c r="CW293" s="35"/>
      <c r="CX293" s="35"/>
    </row>
    <row r="294" ht="15.75" customHeight="1">
      <c r="S294" s="34"/>
      <c r="CG294" s="35"/>
      <c r="CH294" s="35"/>
      <c r="CO294" s="35"/>
      <c r="CW294" s="35"/>
      <c r="CX294" s="35"/>
    </row>
    <row r="295" ht="15.75" customHeight="1">
      <c r="S295" s="34"/>
      <c r="CG295" s="35"/>
      <c r="CH295" s="35"/>
      <c r="CO295" s="35"/>
      <c r="CW295" s="35"/>
      <c r="CX295" s="35"/>
    </row>
    <row r="296" ht="15.75" customHeight="1">
      <c r="S296" s="34"/>
      <c r="CG296" s="35"/>
      <c r="CH296" s="35"/>
      <c r="CO296" s="35"/>
      <c r="CW296" s="35"/>
      <c r="CX296" s="35"/>
    </row>
    <row r="297" ht="15.75" customHeight="1">
      <c r="S297" s="34"/>
      <c r="CG297" s="35"/>
      <c r="CH297" s="35"/>
      <c r="CO297" s="35"/>
      <c r="CW297" s="35"/>
      <c r="CX297" s="35"/>
    </row>
    <row r="298" ht="15.75" customHeight="1">
      <c r="S298" s="34"/>
      <c r="CG298" s="35"/>
      <c r="CH298" s="35"/>
      <c r="CO298" s="35"/>
      <c r="CW298" s="35"/>
      <c r="CX298" s="35"/>
    </row>
    <row r="299" ht="15.75" customHeight="1">
      <c r="S299" s="34"/>
      <c r="CG299" s="35"/>
      <c r="CH299" s="35"/>
      <c r="CO299" s="35"/>
      <c r="CW299" s="35"/>
      <c r="CX299" s="35"/>
    </row>
    <row r="300" ht="15.75" customHeight="1">
      <c r="S300" s="34"/>
      <c r="CG300" s="35"/>
      <c r="CH300" s="35"/>
      <c r="CO300" s="35"/>
      <c r="CW300" s="35"/>
      <c r="CX300" s="35"/>
    </row>
    <row r="301" ht="15.75" customHeight="1">
      <c r="S301" s="34"/>
      <c r="CG301" s="35"/>
      <c r="CH301" s="35"/>
      <c r="CO301" s="35"/>
      <c r="CW301" s="35"/>
      <c r="CX301" s="35"/>
    </row>
    <row r="302" ht="15.75" customHeight="1">
      <c r="S302" s="34"/>
      <c r="CG302" s="35"/>
      <c r="CH302" s="35"/>
      <c r="CO302" s="35"/>
      <c r="CW302" s="35"/>
      <c r="CX302" s="35"/>
    </row>
    <row r="303" ht="15.75" customHeight="1">
      <c r="S303" s="34"/>
      <c r="CG303" s="35"/>
      <c r="CH303" s="35"/>
      <c r="CO303" s="35"/>
      <c r="CW303" s="35"/>
      <c r="CX303" s="35"/>
    </row>
    <row r="304" ht="15.75" customHeight="1">
      <c r="S304" s="34"/>
      <c r="CG304" s="35"/>
      <c r="CH304" s="35"/>
      <c r="CO304" s="35"/>
      <c r="CW304" s="35"/>
      <c r="CX304" s="35"/>
    </row>
    <row r="305" ht="15.75" customHeight="1">
      <c r="S305" s="34"/>
      <c r="CG305" s="35"/>
      <c r="CH305" s="35"/>
      <c r="CO305" s="35"/>
      <c r="CW305" s="35"/>
      <c r="CX305" s="35"/>
    </row>
    <row r="306" ht="15.75" customHeight="1">
      <c r="S306" s="34"/>
      <c r="CG306" s="35"/>
      <c r="CH306" s="35"/>
      <c r="CO306" s="35"/>
      <c r="CW306" s="35"/>
      <c r="CX306" s="35"/>
    </row>
    <row r="307" ht="15.75" customHeight="1">
      <c r="S307" s="34"/>
      <c r="CG307" s="35"/>
      <c r="CH307" s="35"/>
      <c r="CO307" s="35"/>
      <c r="CW307" s="35"/>
      <c r="CX307" s="35"/>
    </row>
    <row r="308" ht="15.75" customHeight="1">
      <c r="S308" s="34"/>
      <c r="CG308" s="35"/>
      <c r="CH308" s="35"/>
      <c r="CO308" s="35"/>
      <c r="CW308" s="35"/>
      <c r="CX308" s="35"/>
    </row>
    <row r="309" ht="15.75" customHeight="1">
      <c r="S309" s="34"/>
      <c r="CG309" s="35"/>
      <c r="CH309" s="35"/>
      <c r="CO309" s="35"/>
      <c r="CW309" s="35"/>
      <c r="CX309" s="35"/>
    </row>
    <row r="310" ht="15.75" customHeight="1">
      <c r="S310" s="34"/>
      <c r="CG310" s="35"/>
      <c r="CH310" s="35"/>
      <c r="CO310" s="35"/>
      <c r="CW310" s="35"/>
      <c r="CX310" s="35"/>
    </row>
    <row r="311" ht="15.75" customHeight="1">
      <c r="S311" s="34"/>
      <c r="CG311" s="35"/>
      <c r="CH311" s="35"/>
      <c r="CO311" s="35"/>
      <c r="CW311" s="35"/>
      <c r="CX311" s="35"/>
    </row>
    <row r="312" ht="15.75" customHeight="1">
      <c r="S312" s="34"/>
      <c r="CG312" s="35"/>
      <c r="CH312" s="35"/>
      <c r="CO312" s="35"/>
      <c r="CW312" s="35"/>
      <c r="CX312" s="35"/>
    </row>
    <row r="313" ht="15.75" customHeight="1">
      <c r="S313" s="34"/>
      <c r="CG313" s="35"/>
      <c r="CH313" s="35"/>
      <c r="CO313" s="35"/>
      <c r="CW313" s="35"/>
      <c r="CX313" s="35"/>
    </row>
    <row r="314" ht="15.75" customHeight="1">
      <c r="S314" s="34"/>
      <c r="CG314" s="35"/>
      <c r="CH314" s="35"/>
      <c r="CO314" s="35"/>
      <c r="CW314" s="35"/>
      <c r="CX314" s="35"/>
    </row>
    <row r="315" ht="15.75" customHeight="1">
      <c r="S315" s="34"/>
      <c r="CG315" s="35"/>
      <c r="CH315" s="35"/>
      <c r="CO315" s="35"/>
      <c r="CW315" s="35"/>
      <c r="CX315" s="35"/>
    </row>
    <row r="316" ht="15.75" customHeight="1">
      <c r="S316" s="34"/>
      <c r="CG316" s="35"/>
      <c r="CH316" s="35"/>
      <c r="CO316" s="35"/>
      <c r="CW316" s="35"/>
      <c r="CX316" s="35"/>
    </row>
    <row r="317" ht="15.75" customHeight="1">
      <c r="S317" s="34"/>
      <c r="CG317" s="35"/>
      <c r="CH317" s="35"/>
      <c r="CO317" s="35"/>
      <c r="CW317" s="35"/>
      <c r="CX317" s="35"/>
    </row>
    <row r="318" ht="15.75" customHeight="1">
      <c r="S318" s="34"/>
      <c r="CG318" s="35"/>
      <c r="CH318" s="35"/>
      <c r="CO318" s="35"/>
      <c r="CW318" s="35"/>
      <c r="CX318" s="35"/>
    </row>
    <row r="319" ht="15.75" customHeight="1">
      <c r="S319" s="34"/>
      <c r="CG319" s="35"/>
      <c r="CH319" s="35"/>
      <c r="CO319" s="35"/>
      <c r="CW319" s="35"/>
      <c r="CX319" s="35"/>
    </row>
    <row r="320" ht="15.75" customHeight="1">
      <c r="S320" s="34"/>
      <c r="CG320" s="35"/>
      <c r="CH320" s="35"/>
      <c r="CO320" s="35"/>
      <c r="CW320" s="35"/>
      <c r="CX320" s="35"/>
    </row>
    <row r="321" ht="15.75" customHeight="1">
      <c r="S321" s="34"/>
      <c r="CG321" s="35"/>
      <c r="CH321" s="35"/>
      <c r="CO321" s="35"/>
      <c r="CW321" s="35"/>
      <c r="CX321" s="35"/>
    </row>
    <row r="322" ht="15.75" customHeight="1">
      <c r="S322" s="34"/>
      <c r="CG322" s="35"/>
      <c r="CH322" s="35"/>
      <c r="CO322" s="35"/>
      <c r="CW322" s="35"/>
      <c r="CX322" s="35"/>
    </row>
    <row r="323" ht="15.75" customHeight="1">
      <c r="S323" s="34"/>
      <c r="CG323" s="35"/>
      <c r="CH323" s="35"/>
      <c r="CO323" s="35"/>
      <c r="CW323" s="35"/>
      <c r="CX323" s="35"/>
    </row>
    <row r="324" ht="15.75" customHeight="1">
      <c r="S324" s="34"/>
      <c r="CG324" s="35"/>
      <c r="CH324" s="35"/>
      <c r="CO324" s="35"/>
      <c r="CW324" s="35"/>
      <c r="CX324" s="35"/>
    </row>
    <row r="325" ht="15.75" customHeight="1">
      <c r="S325" s="34"/>
      <c r="CG325" s="35"/>
      <c r="CH325" s="35"/>
      <c r="CO325" s="35"/>
      <c r="CW325" s="35"/>
      <c r="CX325" s="35"/>
    </row>
    <row r="326" ht="15.75" customHeight="1">
      <c r="S326" s="34"/>
      <c r="CG326" s="35"/>
      <c r="CH326" s="35"/>
      <c r="CO326" s="35"/>
      <c r="CW326" s="35"/>
      <c r="CX326" s="35"/>
    </row>
    <row r="327" ht="15.75" customHeight="1">
      <c r="S327" s="34"/>
      <c r="CG327" s="35"/>
      <c r="CH327" s="35"/>
      <c r="CO327" s="35"/>
      <c r="CW327" s="35"/>
      <c r="CX327" s="35"/>
    </row>
    <row r="328" ht="15.75" customHeight="1">
      <c r="S328" s="34"/>
      <c r="CG328" s="35"/>
      <c r="CH328" s="35"/>
      <c r="CO328" s="35"/>
      <c r="CW328" s="35"/>
      <c r="CX328" s="35"/>
    </row>
    <row r="329" ht="15.75" customHeight="1">
      <c r="S329" s="34"/>
      <c r="CG329" s="35"/>
      <c r="CH329" s="35"/>
      <c r="CO329" s="35"/>
      <c r="CW329" s="35"/>
      <c r="CX329" s="35"/>
    </row>
    <row r="330" ht="15.75" customHeight="1">
      <c r="S330" s="34"/>
      <c r="CG330" s="35"/>
      <c r="CH330" s="35"/>
      <c r="CO330" s="35"/>
      <c r="CW330" s="35"/>
      <c r="CX330" s="35"/>
    </row>
    <row r="331" ht="15.75" customHeight="1">
      <c r="S331" s="34"/>
      <c r="CG331" s="35"/>
      <c r="CH331" s="35"/>
      <c r="CO331" s="35"/>
      <c r="CW331" s="35"/>
      <c r="CX331" s="35"/>
    </row>
    <row r="332" ht="15.75" customHeight="1">
      <c r="S332" s="34"/>
      <c r="CG332" s="35"/>
      <c r="CH332" s="35"/>
      <c r="CO332" s="35"/>
      <c r="CW332" s="35"/>
      <c r="CX332" s="35"/>
    </row>
    <row r="333" ht="15.75" customHeight="1">
      <c r="S333" s="34"/>
      <c r="CG333" s="35"/>
      <c r="CH333" s="35"/>
      <c r="CO333" s="35"/>
      <c r="CW333" s="35"/>
      <c r="CX333" s="35"/>
    </row>
    <row r="334" ht="15.75" customHeight="1">
      <c r="S334" s="34"/>
      <c r="CG334" s="35"/>
      <c r="CH334" s="35"/>
      <c r="CO334" s="35"/>
      <c r="CW334" s="35"/>
      <c r="CX334" s="35"/>
    </row>
    <row r="335" ht="15.75" customHeight="1">
      <c r="S335" s="34"/>
      <c r="CG335" s="35"/>
      <c r="CH335" s="35"/>
      <c r="CO335" s="35"/>
      <c r="CW335" s="35"/>
      <c r="CX335" s="35"/>
    </row>
    <row r="336" ht="15.75" customHeight="1">
      <c r="S336" s="34"/>
      <c r="CG336" s="35"/>
      <c r="CH336" s="35"/>
      <c r="CO336" s="35"/>
      <c r="CW336" s="35"/>
      <c r="CX336" s="35"/>
    </row>
    <row r="337" ht="15.75" customHeight="1">
      <c r="S337" s="34"/>
      <c r="CG337" s="35"/>
      <c r="CH337" s="35"/>
      <c r="CO337" s="35"/>
      <c r="CW337" s="35"/>
      <c r="CX337" s="35"/>
    </row>
    <row r="338" ht="15.75" customHeight="1">
      <c r="S338" s="34"/>
      <c r="CG338" s="35"/>
      <c r="CH338" s="35"/>
      <c r="CO338" s="35"/>
      <c r="CW338" s="35"/>
      <c r="CX338" s="35"/>
    </row>
    <row r="339" ht="15.75" customHeight="1">
      <c r="S339" s="34"/>
      <c r="CG339" s="35"/>
      <c r="CH339" s="35"/>
      <c r="CO339" s="35"/>
      <c r="CW339" s="35"/>
      <c r="CX339" s="35"/>
    </row>
    <row r="340" ht="15.75" customHeight="1">
      <c r="S340" s="34"/>
      <c r="CG340" s="35"/>
      <c r="CH340" s="35"/>
      <c r="CO340" s="35"/>
      <c r="CW340" s="35"/>
      <c r="CX340" s="35"/>
    </row>
    <row r="341" ht="15.75" customHeight="1">
      <c r="S341" s="34"/>
      <c r="CG341" s="35"/>
      <c r="CH341" s="35"/>
      <c r="CO341" s="35"/>
      <c r="CW341" s="35"/>
      <c r="CX341" s="35"/>
    </row>
    <row r="342" ht="15.75" customHeight="1">
      <c r="S342" s="34"/>
      <c r="CG342" s="35"/>
      <c r="CH342" s="35"/>
      <c r="CO342" s="35"/>
      <c r="CW342" s="35"/>
      <c r="CX342" s="35"/>
    </row>
    <row r="343" ht="15.75" customHeight="1">
      <c r="S343" s="34"/>
      <c r="CG343" s="35"/>
      <c r="CH343" s="35"/>
      <c r="CO343" s="35"/>
      <c r="CW343" s="35"/>
      <c r="CX343" s="35"/>
    </row>
    <row r="344" ht="15.75" customHeight="1">
      <c r="S344" s="34"/>
      <c r="CG344" s="35"/>
      <c r="CH344" s="35"/>
      <c r="CO344" s="35"/>
      <c r="CW344" s="35"/>
      <c r="CX344" s="35"/>
    </row>
    <row r="345" ht="15.75" customHeight="1">
      <c r="S345" s="34"/>
      <c r="CG345" s="35"/>
      <c r="CH345" s="35"/>
      <c r="CO345" s="35"/>
      <c r="CW345" s="35"/>
      <c r="CX345" s="35"/>
    </row>
    <row r="346" ht="15.75" customHeight="1">
      <c r="S346" s="34"/>
      <c r="CG346" s="35"/>
      <c r="CH346" s="35"/>
      <c r="CO346" s="35"/>
      <c r="CW346" s="35"/>
      <c r="CX346" s="35"/>
    </row>
    <row r="347" ht="15.75" customHeight="1">
      <c r="S347" s="34"/>
      <c r="CG347" s="35"/>
      <c r="CH347" s="35"/>
      <c r="CO347" s="35"/>
      <c r="CW347" s="35"/>
      <c r="CX347" s="35"/>
    </row>
    <row r="348" ht="15.75" customHeight="1">
      <c r="S348" s="34"/>
      <c r="CG348" s="35"/>
      <c r="CH348" s="35"/>
      <c r="CO348" s="35"/>
      <c r="CW348" s="35"/>
      <c r="CX348" s="35"/>
    </row>
    <row r="349" ht="15.75" customHeight="1">
      <c r="S349" s="34"/>
      <c r="CG349" s="35"/>
      <c r="CH349" s="35"/>
      <c r="CO349" s="35"/>
      <c r="CW349" s="35"/>
      <c r="CX349" s="35"/>
    </row>
    <row r="350" ht="15.75" customHeight="1">
      <c r="S350" s="34"/>
      <c r="CG350" s="35"/>
      <c r="CH350" s="35"/>
      <c r="CO350" s="35"/>
      <c r="CW350" s="35"/>
      <c r="CX350" s="35"/>
    </row>
    <row r="351" ht="15.75" customHeight="1">
      <c r="S351" s="34"/>
      <c r="CG351" s="35"/>
      <c r="CH351" s="35"/>
      <c r="CO351" s="35"/>
      <c r="CW351" s="35"/>
      <c r="CX351" s="35"/>
    </row>
    <row r="352" ht="15.75" customHeight="1">
      <c r="S352" s="34"/>
      <c r="CG352" s="35"/>
      <c r="CH352" s="35"/>
      <c r="CO352" s="35"/>
      <c r="CW352" s="35"/>
      <c r="CX352" s="35"/>
    </row>
    <row r="353" ht="15.75" customHeight="1">
      <c r="S353" s="34"/>
      <c r="CG353" s="35"/>
      <c r="CH353" s="35"/>
      <c r="CO353" s="35"/>
      <c r="CW353" s="35"/>
      <c r="CX353" s="35"/>
    </row>
    <row r="354" ht="15.75" customHeight="1">
      <c r="S354" s="34"/>
      <c r="CG354" s="35"/>
      <c r="CH354" s="35"/>
      <c r="CO354" s="35"/>
      <c r="CW354" s="35"/>
      <c r="CX354" s="35"/>
    </row>
    <row r="355" ht="15.75" customHeight="1">
      <c r="S355" s="34"/>
      <c r="CG355" s="35"/>
      <c r="CH355" s="35"/>
      <c r="CO355" s="35"/>
      <c r="CW355" s="35"/>
      <c r="CX355" s="35"/>
    </row>
    <row r="356" ht="15.75" customHeight="1">
      <c r="S356" s="34"/>
      <c r="CG356" s="35"/>
      <c r="CH356" s="35"/>
      <c r="CO356" s="35"/>
      <c r="CW356" s="35"/>
      <c r="CX356" s="35"/>
    </row>
    <row r="357" ht="15.75" customHeight="1">
      <c r="S357" s="34"/>
      <c r="CG357" s="35"/>
      <c r="CH357" s="35"/>
      <c r="CO357" s="35"/>
      <c r="CW357" s="35"/>
      <c r="CX357" s="35"/>
    </row>
    <row r="358" ht="15.75" customHeight="1">
      <c r="S358" s="34"/>
      <c r="CG358" s="35"/>
      <c r="CH358" s="35"/>
      <c r="CO358" s="35"/>
      <c r="CW358" s="35"/>
      <c r="CX358" s="35"/>
    </row>
    <row r="359" ht="15.75" customHeight="1">
      <c r="S359" s="34"/>
      <c r="CG359" s="35"/>
      <c r="CH359" s="35"/>
      <c r="CO359" s="35"/>
      <c r="CW359" s="35"/>
      <c r="CX359" s="35"/>
    </row>
    <row r="360" ht="15.75" customHeight="1">
      <c r="S360" s="34"/>
      <c r="CG360" s="35"/>
      <c r="CH360" s="35"/>
      <c r="CO360" s="35"/>
      <c r="CW360" s="35"/>
      <c r="CX360" s="35"/>
    </row>
    <row r="361" ht="15.75" customHeight="1">
      <c r="S361" s="34"/>
      <c r="CG361" s="35"/>
      <c r="CH361" s="35"/>
      <c r="CO361" s="35"/>
      <c r="CW361" s="35"/>
      <c r="CX361" s="35"/>
    </row>
    <row r="362" ht="15.75" customHeight="1">
      <c r="S362" s="34"/>
      <c r="CG362" s="35"/>
      <c r="CH362" s="35"/>
      <c r="CO362" s="35"/>
      <c r="CW362" s="35"/>
      <c r="CX362" s="35"/>
    </row>
    <row r="363" ht="15.75" customHeight="1">
      <c r="S363" s="34"/>
      <c r="CG363" s="35"/>
      <c r="CH363" s="35"/>
      <c r="CO363" s="35"/>
      <c r="CW363" s="35"/>
      <c r="CX363" s="35"/>
    </row>
    <row r="364" ht="15.75" customHeight="1">
      <c r="S364" s="34"/>
      <c r="CG364" s="35"/>
      <c r="CH364" s="35"/>
      <c r="CO364" s="35"/>
      <c r="CW364" s="35"/>
      <c r="CX364" s="35"/>
    </row>
    <row r="365" ht="15.75" customHeight="1">
      <c r="S365" s="34"/>
      <c r="CG365" s="35"/>
      <c r="CH365" s="35"/>
      <c r="CO365" s="35"/>
      <c r="CW365" s="35"/>
      <c r="CX365" s="35"/>
    </row>
    <row r="366" ht="15.75" customHeight="1">
      <c r="S366" s="34"/>
      <c r="CG366" s="35"/>
      <c r="CH366" s="35"/>
      <c r="CO366" s="35"/>
      <c r="CW366" s="35"/>
      <c r="CX366" s="35"/>
    </row>
    <row r="367" ht="15.75" customHeight="1">
      <c r="S367" s="34"/>
      <c r="CG367" s="35"/>
      <c r="CH367" s="35"/>
      <c r="CO367" s="35"/>
      <c r="CW367" s="35"/>
      <c r="CX367" s="35"/>
    </row>
    <row r="368" ht="15.75" customHeight="1">
      <c r="S368" s="34"/>
      <c r="CG368" s="35"/>
      <c r="CH368" s="35"/>
      <c r="CO368" s="35"/>
      <c r="CW368" s="35"/>
      <c r="CX368" s="35"/>
    </row>
    <row r="369" ht="15.75" customHeight="1">
      <c r="S369" s="34"/>
      <c r="CG369" s="35"/>
      <c r="CH369" s="35"/>
      <c r="CO369" s="35"/>
      <c r="CW369" s="35"/>
      <c r="CX369" s="35"/>
    </row>
    <row r="370" ht="15.75" customHeight="1">
      <c r="S370" s="34"/>
      <c r="CG370" s="35"/>
      <c r="CH370" s="35"/>
      <c r="CO370" s="35"/>
      <c r="CW370" s="35"/>
      <c r="CX370" s="35"/>
    </row>
    <row r="371" ht="15.75" customHeight="1">
      <c r="S371" s="34"/>
      <c r="CG371" s="35"/>
      <c r="CH371" s="35"/>
      <c r="CO371" s="35"/>
      <c r="CW371" s="35"/>
      <c r="CX371" s="35"/>
    </row>
    <row r="372" ht="15.75" customHeight="1">
      <c r="S372" s="34"/>
      <c r="CG372" s="35"/>
      <c r="CH372" s="35"/>
      <c r="CO372" s="35"/>
      <c r="CW372" s="35"/>
      <c r="CX372" s="35"/>
    </row>
    <row r="373" ht="15.75" customHeight="1">
      <c r="S373" s="34"/>
      <c r="CG373" s="35"/>
      <c r="CH373" s="35"/>
      <c r="CO373" s="35"/>
      <c r="CW373" s="35"/>
      <c r="CX373" s="35"/>
    </row>
    <row r="374" ht="15.75" customHeight="1">
      <c r="S374" s="34"/>
      <c r="CG374" s="35"/>
      <c r="CH374" s="35"/>
      <c r="CO374" s="35"/>
      <c r="CW374" s="35"/>
      <c r="CX374" s="35"/>
    </row>
    <row r="375" ht="15.75" customHeight="1">
      <c r="S375" s="34"/>
      <c r="CG375" s="35"/>
      <c r="CH375" s="35"/>
      <c r="CO375" s="35"/>
      <c r="CW375" s="35"/>
      <c r="CX375" s="35"/>
    </row>
    <row r="376" ht="15.75" customHeight="1">
      <c r="S376" s="34"/>
      <c r="CG376" s="35"/>
      <c r="CH376" s="35"/>
      <c r="CO376" s="35"/>
      <c r="CW376" s="35"/>
      <c r="CX376" s="35"/>
    </row>
    <row r="377" ht="15.75" customHeight="1">
      <c r="S377" s="34"/>
      <c r="CG377" s="35"/>
      <c r="CH377" s="35"/>
      <c r="CO377" s="35"/>
      <c r="CW377" s="35"/>
      <c r="CX377" s="35"/>
    </row>
    <row r="378" ht="15.75" customHeight="1">
      <c r="S378" s="34"/>
      <c r="CG378" s="35"/>
      <c r="CH378" s="35"/>
      <c r="CO378" s="35"/>
      <c r="CW378" s="35"/>
      <c r="CX378" s="35"/>
    </row>
    <row r="379" ht="15.75" customHeight="1">
      <c r="S379" s="34"/>
      <c r="CG379" s="35"/>
      <c r="CH379" s="35"/>
      <c r="CO379" s="35"/>
      <c r="CW379" s="35"/>
      <c r="CX379" s="35"/>
    </row>
    <row r="380" ht="15.75" customHeight="1">
      <c r="S380" s="34"/>
      <c r="CG380" s="35"/>
      <c r="CH380" s="35"/>
      <c r="CO380" s="35"/>
      <c r="CW380" s="35"/>
      <c r="CX380" s="35"/>
    </row>
    <row r="381" ht="15.75" customHeight="1">
      <c r="S381" s="34"/>
      <c r="CG381" s="35"/>
      <c r="CH381" s="35"/>
      <c r="CO381" s="35"/>
      <c r="CW381" s="35"/>
      <c r="CX381" s="35"/>
    </row>
    <row r="382" ht="15.75" customHeight="1">
      <c r="S382" s="34"/>
      <c r="CG382" s="35"/>
      <c r="CH382" s="35"/>
      <c r="CO382" s="35"/>
      <c r="CW382" s="35"/>
      <c r="CX382" s="35"/>
    </row>
    <row r="383" ht="15.75" customHeight="1">
      <c r="S383" s="34"/>
      <c r="CG383" s="35"/>
      <c r="CH383" s="35"/>
      <c r="CO383" s="35"/>
      <c r="CW383" s="35"/>
      <c r="CX383" s="35"/>
    </row>
    <row r="384" ht="15.75" customHeight="1">
      <c r="S384" s="34"/>
      <c r="CG384" s="35"/>
      <c r="CH384" s="35"/>
      <c r="CO384" s="35"/>
      <c r="CW384" s="35"/>
      <c r="CX384" s="35"/>
    </row>
    <row r="385" ht="15.75" customHeight="1">
      <c r="S385" s="34"/>
      <c r="CG385" s="35"/>
      <c r="CH385" s="35"/>
      <c r="CO385" s="35"/>
      <c r="CW385" s="35"/>
      <c r="CX385" s="35"/>
    </row>
    <row r="386" ht="15.75" customHeight="1">
      <c r="S386" s="34"/>
      <c r="CG386" s="35"/>
      <c r="CH386" s="35"/>
      <c r="CO386" s="35"/>
      <c r="CW386" s="35"/>
      <c r="CX386" s="35"/>
    </row>
    <row r="387" ht="15.75" customHeight="1">
      <c r="S387" s="34"/>
      <c r="CG387" s="35"/>
      <c r="CH387" s="35"/>
      <c r="CO387" s="35"/>
      <c r="CW387" s="35"/>
      <c r="CX387" s="35"/>
    </row>
    <row r="388" ht="15.75" customHeight="1">
      <c r="S388" s="34"/>
      <c r="CG388" s="35"/>
      <c r="CH388" s="35"/>
      <c r="CO388" s="35"/>
      <c r="CW388" s="35"/>
      <c r="CX388" s="35"/>
    </row>
    <row r="389" ht="15.75" customHeight="1">
      <c r="S389" s="34"/>
      <c r="CG389" s="35"/>
      <c r="CH389" s="35"/>
      <c r="CO389" s="35"/>
      <c r="CW389" s="35"/>
      <c r="CX389" s="35"/>
    </row>
    <row r="390" ht="15.75" customHeight="1">
      <c r="S390" s="34"/>
      <c r="CG390" s="35"/>
      <c r="CH390" s="35"/>
      <c r="CO390" s="35"/>
      <c r="CW390" s="35"/>
      <c r="CX390" s="35"/>
    </row>
    <row r="391" ht="15.75" customHeight="1">
      <c r="S391" s="34"/>
      <c r="CG391" s="35"/>
      <c r="CH391" s="35"/>
      <c r="CO391" s="35"/>
      <c r="CW391" s="35"/>
      <c r="CX391" s="35"/>
    </row>
    <row r="392" ht="15.75" customHeight="1">
      <c r="S392" s="34"/>
      <c r="CG392" s="35"/>
      <c r="CH392" s="35"/>
      <c r="CO392" s="35"/>
      <c r="CW392" s="35"/>
      <c r="CX392" s="35"/>
    </row>
    <row r="393" ht="15.75" customHeight="1">
      <c r="S393" s="34"/>
      <c r="CG393" s="35"/>
      <c r="CH393" s="35"/>
      <c r="CO393" s="35"/>
      <c r="CW393" s="35"/>
      <c r="CX393" s="35"/>
    </row>
    <row r="394" ht="15.75" customHeight="1">
      <c r="S394" s="34"/>
      <c r="CG394" s="35"/>
      <c r="CH394" s="35"/>
      <c r="CO394" s="35"/>
      <c r="CW394" s="35"/>
      <c r="CX394" s="35"/>
    </row>
    <row r="395" ht="15.75" customHeight="1">
      <c r="S395" s="34"/>
      <c r="CG395" s="35"/>
      <c r="CH395" s="35"/>
      <c r="CO395" s="35"/>
      <c r="CW395" s="35"/>
      <c r="CX395" s="35"/>
    </row>
    <row r="396" ht="15.75" customHeight="1">
      <c r="S396" s="34"/>
      <c r="CG396" s="35"/>
      <c r="CH396" s="35"/>
      <c r="CO396" s="35"/>
      <c r="CW396" s="35"/>
      <c r="CX396" s="35"/>
    </row>
    <row r="397" ht="15.75" customHeight="1">
      <c r="S397" s="34"/>
      <c r="CG397" s="35"/>
      <c r="CH397" s="35"/>
      <c r="CO397" s="35"/>
      <c r="CW397" s="35"/>
      <c r="CX397" s="35"/>
    </row>
    <row r="398" ht="15.75" customHeight="1">
      <c r="S398" s="34"/>
      <c r="CG398" s="35"/>
      <c r="CH398" s="35"/>
      <c r="CO398" s="35"/>
      <c r="CW398" s="35"/>
      <c r="CX398" s="35"/>
    </row>
    <row r="399" ht="15.75" customHeight="1">
      <c r="S399" s="34"/>
      <c r="CG399" s="35"/>
      <c r="CH399" s="35"/>
      <c r="CO399" s="35"/>
      <c r="CW399" s="35"/>
      <c r="CX399" s="35"/>
    </row>
    <row r="400" ht="15.75" customHeight="1">
      <c r="S400" s="34"/>
      <c r="CG400" s="35"/>
      <c r="CH400" s="35"/>
      <c r="CO400" s="35"/>
      <c r="CW400" s="35"/>
      <c r="CX400" s="35"/>
    </row>
    <row r="401" ht="15.75" customHeight="1">
      <c r="S401" s="34"/>
      <c r="CG401" s="35"/>
      <c r="CH401" s="35"/>
      <c r="CO401" s="35"/>
      <c r="CW401" s="35"/>
      <c r="CX401" s="35"/>
    </row>
    <row r="402" ht="15.75" customHeight="1">
      <c r="S402" s="34"/>
      <c r="CG402" s="35"/>
      <c r="CH402" s="35"/>
      <c r="CO402" s="35"/>
      <c r="CW402" s="35"/>
      <c r="CX402" s="35"/>
    </row>
    <row r="403" ht="15.75" customHeight="1">
      <c r="S403" s="34"/>
      <c r="CG403" s="35"/>
      <c r="CH403" s="35"/>
      <c r="CO403" s="35"/>
      <c r="CW403" s="35"/>
      <c r="CX403" s="35"/>
    </row>
    <row r="404" ht="15.75" customHeight="1">
      <c r="S404" s="34"/>
      <c r="CG404" s="35"/>
      <c r="CH404" s="35"/>
      <c r="CO404" s="35"/>
      <c r="CW404" s="35"/>
      <c r="CX404" s="35"/>
    </row>
    <row r="405" ht="15.75" customHeight="1">
      <c r="S405" s="34"/>
      <c r="CG405" s="35"/>
      <c r="CH405" s="35"/>
      <c r="CO405" s="35"/>
      <c r="CW405" s="35"/>
      <c r="CX405" s="35"/>
    </row>
    <row r="406" ht="15.75" customHeight="1">
      <c r="S406" s="34"/>
      <c r="CG406" s="35"/>
      <c r="CH406" s="35"/>
      <c r="CO406" s="35"/>
      <c r="CW406" s="35"/>
      <c r="CX406" s="35"/>
    </row>
    <row r="407" ht="15.75" customHeight="1">
      <c r="S407" s="34"/>
      <c r="CG407" s="35"/>
      <c r="CH407" s="35"/>
      <c r="CO407" s="35"/>
      <c r="CW407" s="35"/>
      <c r="CX407" s="35"/>
    </row>
    <row r="408" ht="15.75" customHeight="1">
      <c r="S408" s="34"/>
      <c r="CG408" s="35"/>
      <c r="CH408" s="35"/>
      <c r="CO408" s="35"/>
      <c r="CW408" s="35"/>
      <c r="CX408" s="35"/>
    </row>
    <row r="409" ht="15.75" customHeight="1">
      <c r="S409" s="34"/>
      <c r="CG409" s="35"/>
      <c r="CH409" s="35"/>
      <c r="CO409" s="35"/>
      <c r="CW409" s="35"/>
      <c r="CX409" s="35"/>
    </row>
    <row r="410" ht="15.75" customHeight="1">
      <c r="S410" s="34"/>
      <c r="CG410" s="35"/>
      <c r="CH410" s="35"/>
      <c r="CO410" s="35"/>
      <c r="CW410" s="35"/>
      <c r="CX410" s="35"/>
    </row>
    <row r="411" ht="15.75" customHeight="1">
      <c r="S411" s="34"/>
      <c r="CG411" s="35"/>
      <c r="CH411" s="35"/>
      <c r="CO411" s="35"/>
      <c r="CW411" s="35"/>
      <c r="CX411" s="35"/>
    </row>
    <row r="412" ht="15.75" customHeight="1">
      <c r="S412" s="34"/>
      <c r="CG412" s="35"/>
      <c r="CH412" s="35"/>
      <c r="CO412" s="35"/>
      <c r="CW412" s="35"/>
      <c r="CX412" s="35"/>
    </row>
    <row r="413" ht="15.75" customHeight="1">
      <c r="S413" s="34"/>
      <c r="CG413" s="35"/>
      <c r="CH413" s="35"/>
      <c r="CO413" s="35"/>
      <c r="CW413" s="35"/>
      <c r="CX413" s="35"/>
    </row>
    <row r="414" ht="15.75" customHeight="1">
      <c r="S414" s="34"/>
      <c r="CG414" s="35"/>
      <c r="CH414" s="35"/>
      <c r="CO414" s="35"/>
      <c r="CW414" s="35"/>
      <c r="CX414" s="35"/>
    </row>
    <row r="415" ht="15.75" customHeight="1">
      <c r="S415" s="34"/>
      <c r="CG415" s="35"/>
      <c r="CH415" s="35"/>
      <c r="CO415" s="35"/>
      <c r="CW415" s="35"/>
      <c r="CX415" s="35"/>
    </row>
    <row r="416" ht="15.75" customHeight="1">
      <c r="S416" s="34"/>
      <c r="CG416" s="35"/>
      <c r="CH416" s="35"/>
      <c r="CO416" s="35"/>
      <c r="CW416" s="35"/>
      <c r="CX416" s="35"/>
    </row>
    <row r="417" ht="15.75" customHeight="1">
      <c r="S417" s="34"/>
      <c r="CG417" s="35"/>
      <c r="CH417" s="35"/>
      <c r="CO417" s="35"/>
      <c r="CW417" s="35"/>
      <c r="CX417" s="35"/>
    </row>
    <row r="418" ht="15.75" customHeight="1">
      <c r="S418" s="34"/>
      <c r="CG418" s="35"/>
      <c r="CH418" s="35"/>
      <c r="CO418" s="35"/>
      <c r="CW418" s="35"/>
      <c r="CX418" s="35"/>
    </row>
    <row r="419" ht="15.75" customHeight="1">
      <c r="S419" s="34"/>
      <c r="CG419" s="35"/>
      <c r="CH419" s="35"/>
      <c r="CO419" s="35"/>
      <c r="CW419" s="35"/>
      <c r="CX419" s="35"/>
    </row>
    <row r="420" ht="15.75" customHeight="1">
      <c r="S420" s="34"/>
      <c r="CG420" s="35"/>
      <c r="CH420" s="35"/>
      <c r="CO420" s="35"/>
      <c r="CW420" s="35"/>
      <c r="CX420" s="35"/>
    </row>
    <row r="421" ht="15.75" customHeight="1">
      <c r="S421" s="34"/>
      <c r="CG421" s="35"/>
      <c r="CH421" s="35"/>
      <c r="CO421" s="35"/>
      <c r="CW421" s="35"/>
      <c r="CX421" s="35"/>
    </row>
    <row r="422" ht="15.75" customHeight="1">
      <c r="S422" s="34"/>
      <c r="CG422" s="35"/>
      <c r="CH422" s="35"/>
      <c r="CO422" s="35"/>
      <c r="CW422" s="35"/>
      <c r="CX422" s="35"/>
    </row>
    <row r="423" ht="15.75" customHeight="1">
      <c r="S423" s="34"/>
      <c r="CG423" s="35"/>
      <c r="CH423" s="35"/>
      <c r="CO423" s="35"/>
      <c r="CW423" s="35"/>
      <c r="CX423" s="35"/>
    </row>
    <row r="424" ht="15.75" customHeight="1">
      <c r="S424" s="34"/>
      <c r="CG424" s="35"/>
      <c r="CH424" s="35"/>
      <c r="CO424" s="35"/>
      <c r="CW424" s="35"/>
      <c r="CX424" s="35"/>
    </row>
    <row r="425" ht="15.75" customHeight="1">
      <c r="S425" s="34"/>
      <c r="CG425" s="35"/>
      <c r="CH425" s="35"/>
      <c r="CO425" s="35"/>
      <c r="CW425" s="35"/>
      <c r="CX425" s="35"/>
    </row>
    <row r="426" ht="15.75" customHeight="1">
      <c r="S426" s="34"/>
      <c r="CG426" s="35"/>
      <c r="CH426" s="35"/>
      <c r="CO426" s="35"/>
      <c r="CW426" s="35"/>
      <c r="CX426" s="35"/>
    </row>
    <row r="427" ht="15.75" customHeight="1">
      <c r="S427" s="34"/>
      <c r="CG427" s="35"/>
      <c r="CH427" s="35"/>
      <c r="CO427" s="35"/>
      <c r="CW427" s="35"/>
      <c r="CX427" s="35"/>
    </row>
    <row r="428" ht="15.75" customHeight="1">
      <c r="S428" s="34"/>
      <c r="CG428" s="35"/>
      <c r="CH428" s="35"/>
      <c r="CO428" s="35"/>
      <c r="CW428" s="35"/>
      <c r="CX428" s="35"/>
    </row>
    <row r="429" ht="15.75" customHeight="1">
      <c r="S429" s="34"/>
      <c r="CG429" s="35"/>
      <c r="CH429" s="35"/>
      <c r="CO429" s="35"/>
      <c r="CW429" s="35"/>
      <c r="CX429" s="35"/>
    </row>
    <row r="430" ht="15.75" customHeight="1">
      <c r="S430" s="34"/>
      <c r="CG430" s="35"/>
      <c r="CH430" s="35"/>
      <c r="CO430" s="35"/>
      <c r="CW430" s="35"/>
      <c r="CX430" s="35"/>
    </row>
    <row r="431" ht="15.75" customHeight="1">
      <c r="S431" s="34"/>
      <c r="CG431" s="35"/>
      <c r="CH431" s="35"/>
      <c r="CO431" s="35"/>
      <c r="CW431" s="35"/>
      <c r="CX431" s="35"/>
    </row>
    <row r="432" ht="15.75" customHeight="1">
      <c r="S432" s="34"/>
      <c r="CG432" s="35"/>
      <c r="CH432" s="35"/>
      <c r="CO432" s="35"/>
      <c r="CW432" s="35"/>
      <c r="CX432" s="35"/>
    </row>
    <row r="433" ht="15.75" customHeight="1">
      <c r="S433" s="34"/>
      <c r="CG433" s="35"/>
      <c r="CH433" s="35"/>
      <c r="CO433" s="35"/>
      <c r="CW433" s="35"/>
      <c r="CX433" s="35"/>
    </row>
    <row r="434" ht="15.75" customHeight="1">
      <c r="S434" s="34"/>
      <c r="CG434" s="35"/>
      <c r="CH434" s="35"/>
      <c r="CO434" s="35"/>
      <c r="CW434" s="35"/>
      <c r="CX434" s="35"/>
    </row>
    <row r="435" ht="15.75" customHeight="1">
      <c r="S435" s="34"/>
      <c r="CG435" s="35"/>
      <c r="CH435" s="35"/>
      <c r="CO435" s="35"/>
      <c r="CW435" s="35"/>
      <c r="CX435" s="35"/>
    </row>
    <row r="436" ht="15.75" customHeight="1">
      <c r="S436" s="34"/>
      <c r="CG436" s="35"/>
      <c r="CH436" s="35"/>
      <c r="CO436" s="35"/>
      <c r="CW436" s="35"/>
      <c r="CX436" s="35"/>
    </row>
    <row r="437" ht="15.75" customHeight="1">
      <c r="S437" s="34"/>
      <c r="CG437" s="35"/>
      <c r="CH437" s="35"/>
      <c r="CO437" s="35"/>
      <c r="CW437" s="35"/>
      <c r="CX437" s="35"/>
    </row>
    <row r="438" ht="15.75" customHeight="1">
      <c r="S438" s="34"/>
      <c r="CG438" s="35"/>
      <c r="CH438" s="35"/>
      <c r="CO438" s="35"/>
      <c r="CW438" s="35"/>
      <c r="CX438" s="35"/>
    </row>
    <row r="439" ht="15.75" customHeight="1">
      <c r="S439" s="34"/>
      <c r="CG439" s="35"/>
      <c r="CH439" s="35"/>
      <c r="CO439" s="35"/>
      <c r="CW439" s="35"/>
      <c r="CX439" s="35"/>
    </row>
    <row r="440" ht="15.75" customHeight="1">
      <c r="S440" s="34"/>
      <c r="CG440" s="35"/>
      <c r="CH440" s="35"/>
      <c r="CO440" s="35"/>
      <c r="CW440" s="35"/>
      <c r="CX440" s="35"/>
    </row>
    <row r="441" ht="15.75" customHeight="1">
      <c r="S441" s="34"/>
      <c r="CG441" s="35"/>
      <c r="CH441" s="35"/>
      <c r="CO441" s="35"/>
      <c r="CW441" s="35"/>
      <c r="CX441" s="35"/>
    </row>
    <row r="442" ht="15.75" customHeight="1">
      <c r="S442" s="34"/>
      <c r="CG442" s="35"/>
      <c r="CH442" s="35"/>
      <c r="CO442" s="35"/>
      <c r="CW442" s="35"/>
      <c r="CX442" s="35"/>
    </row>
    <row r="443" ht="15.75" customHeight="1">
      <c r="S443" s="34"/>
      <c r="CG443" s="35"/>
      <c r="CH443" s="35"/>
      <c r="CO443" s="35"/>
      <c r="CW443" s="35"/>
      <c r="CX443" s="35"/>
    </row>
    <row r="444" ht="15.75" customHeight="1">
      <c r="S444" s="34"/>
      <c r="CG444" s="35"/>
      <c r="CH444" s="35"/>
      <c r="CO444" s="35"/>
      <c r="CW444" s="35"/>
      <c r="CX444" s="35"/>
    </row>
    <row r="445" ht="15.75" customHeight="1">
      <c r="S445" s="34"/>
      <c r="CG445" s="35"/>
      <c r="CH445" s="35"/>
      <c r="CO445" s="35"/>
      <c r="CW445" s="35"/>
      <c r="CX445" s="35"/>
    </row>
    <row r="446" ht="15.75" customHeight="1">
      <c r="S446" s="34"/>
      <c r="CG446" s="35"/>
      <c r="CH446" s="35"/>
      <c r="CO446" s="35"/>
      <c r="CW446" s="35"/>
      <c r="CX446" s="35"/>
    </row>
    <row r="447" ht="15.75" customHeight="1">
      <c r="S447" s="34"/>
      <c r="CG447" s="35"/>
      <c r="CH447" s="35"/>
      <c r="CO447" s="35"/>
      <c r="CW447" s="35"/>
      <c r="CX447" s="35"/>
    </row>
    <row r="448" ht="15.75" customHeight="1">
      <c r="S448" s="34"/>
      <c r="CG448" s="35"/>
      <c r="CH448" s="35"/>
      <c r="CO448" s="35"/>
      <c r="CW448" s="35"/>
      <c r="CX448" s="35"/>
    </row>
    <row r="449" ht="15.75" customHeight="1">
      <c r="S449" s="34"/>
      <c r="CG449" s="35"/>
      <c r="CH449" s="35"/>
      <c r="CO449" s="35"/>
      <c r="CW449" s="35"/>
      <c r="CX449" s="35"/>
    </row>
    <row r="450" ht="15.75" customHeight="1">
      <c r="S450" s="34"/>
      <c r="CG450" s="35"/>
      <c r="CH450" s="35"/>
      <c r="CO450" s="35"/>
      <c r="CW450" s="35"/>
      <c r="CX450" s="35"/>
    </row>
    <row r="451" ht="15.75" customHeight="1">
      <c r="S451" s="34"/>
      <c r="CG451" s="35"/>
      <c r="CH451" s="35"/>
      <c r="CO451" s="35"/>
      <c r="CW451" s="35"/>
      <c r="CX451" s="35"/>
    </row>
    <row r="452" ht="15.75" customHeight="1">
      <c r="S452" s="34"/>
      <c r="CG452" s="35"/>
      <c r="CH452" s="35"/>
      <c r="CO452" s="35"/>
      <c r="CW452" s="35"/>
      <c r="CX452" s="35"/>
    </row>
    <row r="453" ht="15.75" customHeight="1">
      <c r="S453" s="34"/>
      <c r="CG453" s="35"/>
      <c r="CH453" s="35"/>
      <c r="CO453" s="35"/>
      <c r="CW453" s="35"/>
      <c r="CX453" s="35"/>
    </row>
    <row r="454" ht="15.75" customHeight="1">
      <c r="S454" s="34"/>
      <c r="CG454" s="35"/>
      <c r="CH454" s="35"/>
      <c r="CO454" s="35"/>
      <c r="CW454" s="35"/>
      <c r="CX454" s="35"/>
    </row>
    <row r="455" ht="15.75" customHeight="1">
      <c r="S455" s="34"/>
      <c r="CG455" s="35"/>
      <c r="CH455" s="35"/>
      <c r="CO455" s="35"/>
      <c r="CW455" s="35"/>
      <c r="CX455" s="35"/>
    </row>
    <row r="456" ht="15.75" customHeight="1">
      <c r="S456" s="34"/>
      <c r="CG456" s="35"/>
      <c r="CH456" s="35"/>
      <c r="CO456" s="35"/>
      <c r="CW456" s="35"/>
      <c r="CX456" s="35"/>
    </row>
    <row r="457" ht="15.75" customHeight="1">
      <c r="S457" s="34"/>
      <c r="CG457" s="35"/>
      <c r="CH457" s="35"/>
      <c r="CO457" s="35"/>
      <c r="CW457" s="35"/>
      <c r="CX457" s="35"/>
    </row>
    <row r="458" ht="15.75" customHeight="1">
      <c r="S458" s="34"/>
      <c r="CG458" s="35"/>
      <c r="CH458" s="35"/>
      <c r="CO458" s="35"/>
      <c r="CW458" s="35"/>
      <c r="CX458" s="35"/>
    </row>
    <row r="459" ht="15.75" customHeight="1">
      <c r="S459" s="34"/>
      <c r="CG459" s="35"/>
      <c r="CH459" s="35"/>
      <c r="CO459" s="35"/>
      <c r="CW459" s="35"/>
      <c r="CX459" s="35"/>
    </row>
    <row r="460" ht="15.75" customHeight="1">
      <c r="S460" s="34"/>
      <c r="CG460" s="35"/>
      <c r="CH460" s="35"/>
      <c r="CO460" s="35"/>
      <c r="CW460" s="35"/>
      <c r="CX460" s="35"/>
    </row>
    <row r="461" ht="15.75" customHeight="1">
      <c r="S461" s="34"/>
      <c r="CG461" s="35"/>
      <c r="CH461" s="35"/>
      <c r="CO461" s="35"/>
      <c r="CW461" s="35"/>
      <c r="CX461" s="35"/>
    </row>
    <row r="462" ht="15.75" customHeight="1">
      <c r="S462" s="34"/>
      <c r="CG462" s="35"/>
      <c r="CH462" s="35"/>
      <c r="CO462" s="35"/>
      <c r="CW462" s="35"/>
      <c r="CX462" s="35"/>
    </row>
    <row r="463" ht="15.75" customHeight="1">
      <c r="S463" s="34"/>
      <c r="CG463" s="35"/>
      <c r="CH463" s="35"/>
      <c r="CO463" s="35"/>
      <c r="CW463" s="35"/>
      <c r="CX463" s="35"/>
    </row>
    <row r="464" ht="15.75" customHeight="1">
      <c r="S464" s="34"/>
      <c r="CG464" s="35"/>
      <c r="CH464" s="35"/>
      <c r="CO464" s="35"/>
      <c r="CW464" s="35"/>
      <c r="CX464" s="35"/>
    </row>
    <row r="465" ht="15.75" customHeight="1">
      <c r="S465" s="34"/>
      <c r="CG465" s="35"/>
      <c r="CH465" s="35"/>
      <c r="CO465" s="35"/>
      <c r="CW465" s="35"/>
      <c r="CX465" s="35"/>
    </row>
    <row r="466" ht="15.75" customHeight="1">
      <c r="S466" s="34"/>
      <c r="CG466" s="35"/>
      <c r="CH466" s="35"/>
      <c r="CO466" s="35"/>
      <c r="CW466" s="35"/>
      <c r="CX466" s="35"/>
    </row>
    <row r="467" ht="15.75" customHeight="1">
      <c r="S467" s="34"/>
      <c r="CG467" s="35"/>
      <c r="CH467" s="35"/>
      <c r="CO467" s="35"/>
      <c r="CW467" s="35"/>
      <c r="CX467" s="35"/>
    </row>
    <row r="468" ht="15.75" customHeight="1">
      <c r="S468" s="34"/>
      <c r="CG468" s="35"/>
      <c r="CH468" s="35"/>
      <c r="CO468" s="35"/>
      <c r="CW468" s="35"/>
      <c r="CX468" s="35"/>
    </row>
    <row r="469" ht="15.75" customHeight="1">
      <c r="S469" s="34"/>
      <c r="CG469" s="35"/>
      <c r="CH469" s="35"/>
      <c r="CO469" s="35"/>
      <c r="CW469" s="35"/>
      <c r="CX469" s="35"/>
    </row>
    <row r="470" ht="15.75" customHeight="1">
      <c r="S470" s="34"/>
      <c r="CG470" s="35"/>
      <c r="CH470" s="35"/>
      <c r="CO470" s="35"/>
      <c r="CW470" s="35"/>
      <c r="CX470" s="35"/>
    </row>
    <row r="471" ht="15.75" customHeight="1">
      <c r="S471" s="34"/>
      <c r="CG471" s="35"/>
      <c r="CH471" s="35"/>
      <c r="CO471" s="35"/>
      <c r="CW471" s="35"/>
      <c r="CX471" s="35"/>
    </row>
    <row r="472" ht="15.75" customHeight="1">
      <c r="S472" s="34"/>
      <c r="CG472" s="35"/>
      <c r="CH472" s="35"/>
      <c r="CO472" s="35"/>
      <c r="CW472" s="35"/>
      <c r="CX472" s="35"/>
    </row>
    <row r="473" ht="15.75" customHeight="1">
      <c r="S473" s="34"/>
      <c r="CG473" s="35"/>
      <c r="CH473" s="35"/>
      <c r="CO473" s="35"/>
      <c r="CW473" s="35"/>
      <c r="CX473" s="35"/>
    </row>
    <row r="474" ht="15.75" customHeight="1">
      <c r="S474" s="34"/>
      <c r="CG474" s="35"/>
      <c r="CH474" s="35"/>
      <c r="CO474" s="35"/>
      <c r="CW474" s="35"/>
      <c r="CX474" s="35"/>
    </row>
    <row r="475" ht="15.75" customHeight="1">
      <c r="S475" s="34"/>
      <c r="CG475" s="35"/>
      <c r="CH475" s="35"/>
      <c r="CO475" s="35"/>
      <c r="CW475" s="35"/>
      <c r="CX475" s="35"/>
    </row>
    <row r="476" ht="15.75" customHeight="1">
      <c r="S476" s="34"/>
      <c r="CG476" s="35"/>
      <c r="CH476" s="35"/>
      <c r="CO476" s="35"/>
      <c r="CW476" s="35"/>
      <c r="CX476" s="35"/>
    </row>
    <row r="477" ht="15.75" customHeight="1">
      <c r="S477" s="34"/>
      <c r="CG477" s="35"/>
      <c r="CH477" s="35"/>
      <c r="CO477" s="35"/>
      <c r="CW477" s="35"/>
      <c r="CX477" s="35"/>
    </row>
    <row r="478" ht="15.75" customHeight="1">
      <c r="S478" s="34"/>
      <c r="CG478" s="35"/>
      <c r="CH478" s="35"/>
      <c r="CO478" s="35"/>
      <c r="CW478" s="35"/>
      <c r="CX478" s="35"/>
    </row>
    <row r="479" ht="15.75" customHeight="1">
      <c r="S479" s="34"/>
      <c r="CG479" s="35"/>
      <c r="CH479" s="35"/>
      <c r="CO479" s="35"/>
      <c r="CW479" s="35"/>
      <c r="CX479" s="35"/>
    </row>
    <row r="480" ht="15.75" customHeight="1">
      <c r="S480" s="34"/>
      <c r="CG480" s="35"/>
      <c r="CH480" s="35"/>
      <c r="CO480" s="35"/>
      <c r="CW480" s="35"/>
      <c r="CX480" s="35"/>
    </row>
    <row r="481" ht="15.75" customHeight="1">
      <c r="S481" s="34"/>
      <c r="CG481" s="35"/>
      <c r="CH481" s="35"/>
      <c r="CO481" s="35"/>
      <c r="CW481" s="35"/>
      <c r="CX481" s="35"/>
    </row>
    <row r="482" ht="15.75" customHeight="1">
      <c r="S482" s="34"/>
      <c r="CG482" s="35"/>
      <c r="CH482" s="35"/>
      <c r="CO482" s="35"/>
      <c r="CW482" s="35"/>
      <c r="CX482" s="35"/>
    </row>
    <row r="483" ht="15.75" customHeight="1">
      <c r="S483" s="34"/>
      <c r="CG483" s="35"/>
      <c r="CH483" s="35"/>
      <c r="CO483" s="35"/>
      <c r="CW483" s="35"/>
      <c r="CX483" s="35"/>
    </row>
    <row r="484" ht="15.75" customHeight="1">
      <c r="S484" s="34"/>
      <c r="CG484" s="35"/>
      <c r="CH484" s="35"/>
      <c r="CO484" s="35"/>
      <c r="CW484" s="35"/>
      <c r="CX484" s="35"/>
    </row>
    <row r="485" ht="15.75" customHeight="1">
      <c r="S485" s="34"/>
      <c r="CG485" s="35"/>
      <c r="CH485" s="35"/>
      <c r="CO485" s="35"/>
      <c r="CW485" s="35"/>
      <c r="CX485" s="35"/>
    </row>
    <row r="486" ht="15.75" customHeight="1">
      <c r="S486" s="34"/>
      <c r="CG486" s="35"/>
      <c r="CH486" s="35"/>
      <c r="CO486" s="35"/>
      <c r="CW486" s="35"/>
      <c r="CX486" s="35"/>
    </row>
    <row r="487" ht="15.75" customHeight="1">
      <c r="S487" s="34"/>
      <c r="CG487" s="35"/>
      <c r="CH487" s="35"/>
      <c r="CO487" s="35"/>
      <c r="CW487" s="35"/>
      <c r="CX487" s="35"/>
    </row>
    <row r="488" ht="15.75" customHeight="1">
      <c r="S488" s="34"/>
      <c r="CG488" s="35"/>
      <c r="CH488" s="35"/>
      <c r="CO488" s="35"/>
      <c r="CW488" s="35"/>
      <c r="CX488" s="35"/>
    </row>
    <row r="489" ht="15.75" customHeight="1">
      <c r="S489" s="34"/>
      <c r="CG489" s="35"/>
      <c r="CH489" s="35"/>
      <c r="CO489" s="35"/>
      <c r="CW489" s="35"/>
      <c r="CX489" s="35"/>
    </row>
    <row r="490" ht="15.75" customHeight="1">
      <c r="S490" s="34"/>
      <c r="CG490" s="35"/>
      <c r="CH490" s="35"/>
      <c r="CO490" s="35"/>
      <c r="CW490" s="35"/>
      <c r="CX490" s="35"/>
    </row>
    <row r="491" ht="15.75" customHeight="1">
      <c r="S491" s="34"/>
      <c r="CG491" s="35"/>
      <c r="CH491" s="35"/>
      <c r="CO491" s="35"/>
      <c r="CW491" s="35"/>
      <c r="CX491" s="35"/>
    </row>
    <row r="492" ht="15.75" customHeight="1">
      <c r="S492" s="34"/>
      <c r="CG492" s="35"/>
      <c r="CH492" s="35"/>
      <c r="CO492" s="35"/>
      <c r="CW492" s="35"/>
      <c r="CX492" s="35"/>
    </row>
    <row r="493" ht="15.75" customHeight="1">
      <c r="S493" s="34"/>
      <c r="CG493" s="35"/>
      <c r="CH493" s="35"/>
      <c r="CO493" s="35"/>
      <c r="CW493" s="35"/>
      <c r="CX493" s="35"/>
    </row>
    <row r="494" ht="15.75" customHeight="1">
      <c r="S494" s="34"/>
      <c r="CG494" s="35"/>
      <c r="CH494" s="35"/>
      <c r="CO494" s="35"/>
      <c r="CW494" s="35"/>
      <c r="CX494" s="35"/>
    </row>
    <row r="495" ht="15.75" customHeight="1">
      <c r="S495" s="34"/>
      <c r="CG495" s="35"/>
      <c r="CH495" s="35"/>
      <c r="CO495" s="35"/>
      <c r="CW495" s="35"/>
      <c r="CX495" s="35"/>
    </row>
    <row r="496" ht="15.75" customHeight="1">
      <c r="S496" s="34"/>
      <c r="CG496" s="35"/>
      <c r="CH496" s="35"/>
      <c r="CO496" s="35"/>
      <c r="CW496" s="35"/>
      <c r="CX496" s="35"/>
    </row>
    <row r="497" ht="15.75" customHeight="1">
      <c r="S497" s="34"/>
      <c r="CG497" s="35"/>
      <c r="CH497" s="35"/>
      <c r="CO497" s="35"/>
      <c r="CW497" s="35"/>
      <c r="CX497" s="35"/>
    </row>
    <row r="498" ht="15.75" customHeight="1">
      <c r="S498" s="34"/>
      <c r="CG498" s="35"/>
      <c r="CH498" s="35"/>
      <c r="CO498" s="35"/>
      <c r="CW498" s="35"/>
      <c r="CX498" s="35"/>
    </row>
    <row r="499" ht="15.75" customHeight="1">
      <c r="S499" s="34"/>
      <c r="CG499" s="35"/>
      <c r="CH499" s="35"/>
      <c r="CO499" s="35"/>
      <c r="CW499" s="35"/>
      <c r="CX499" s="35"/>
    </row>
    <row r="500" ht="15.75" customHeight="1">
      <c r="S500" s="34"/>
      <c r="CG500" s="35"/>
      <c r="CH500" s="35"/>
      <c r="CO500" s="35"/>
      <c r="CW500" s="35"/>
      <c r="CX500" s="35"/>
    </row>
    <row r="501" ht="15.75" customHeight="1">
      <c r="S501" s="34"/>
      <c r="CG501" s="35"/>
      <c r="CH501" s="35"/>
      <c r="CO501" s="35"/>
      <c r="CW501" s="35"/>
      <c r="CX501" s="35"/>
    </row>
    <row r="502" ht="15.75" customHeight="1">
      <c r="S502" s="34"/>
      <c r="CG502" s="35"/>
      <c r="CH502" s="35"/>
      <c r="CO502" s="35"/>
      <c r="CW502" s="35"/>
      <c r="CX502" s="35"/>
    </row>
    <row r="503" ht="15.75" customHeight="1">
      <c r="S503" s="34"/>
      <c r="CG503" s="35"/>
      <c r="CH503" s="35"/>
      <c r="CO503" s="35"/>
      <c r="CW503" s="35"/>
      <c r="CX503" s="35"/>
    </row>
    <row r="504" ht="15.75" customHeight="1">
      <c r="S504" s="34"/>
      <c r="CG504" s="35"/>
      <c r="CH504" s="35"/>
      <c r="CO504" s="35"/>
      <c r="CW504" s="35"/>
      <c r="CX504" s="35"/>
    </row>
    <row r="505" ht="15.75" customHeight="1">
      <c r="S505" s="34"/>
      <c r="CG505" s="35"/>
      <c r="CH505" s="35"/>
      <c r="CO505" s="35"/>
      <c r="CW505" s="35"/>
      <c r="CX505" s="35"/>
    </row>
    <row r="506" ht="15.75" customHeight="1">
      <c r="S506" s="34"/>
      <c r="CG506" s="35"/>
      <c r="CH506" s="35"/>
      <c r="CO506" s="35"/>
      <c r="CW506" s="35"/>
      <c r="CX506" s="35"/>
    </row>
    <row r="507" ht="15.75" customHeight="1">
      <c r="S507" s="34"/>
      <c r="CG507" s="35"/>
      <c r="CH507" s="35"/>
      <c r="CO507" s="35"/>
      <c r="CW507" s="35"/>
      <c r="CX507" s="35"/>
    </row>
    <row r="508" ht="15.75" customHeight="1">
      <c r="S508" s="34"/>
      <c r="CG508" s="35"/>
      <c r="CH508" s="35"/>
      <c r="CO508" s="35"/>
      <c r="CW508" s="35"/>
      <c r="CX508" s="35"/>
    </row>
    <row r="509" ht="15.75" customHeight="1">
      <c r="S509" s="34"/>
      <c r="CG509" s="35"/>
      <c r="CH509" s="35"/>
      <c r="CO509" s="35"/>
      <c r="CW509" s="35"/>
      <c r="CX509" s="35"/>
    </row>
    <row r="510" ht="15.75" customHeight="1">
      <c r="S510" s="34"/>
      <c r="CG510" s="35"/>
      <c r="CH510" s="35"/>
      <c r="CO510" s="35"/>
      <c r="CW510" s="35"/>
      <c r="CX510" s="35"/>
    </row>
    <row r="511" ht="15.75" customHeight="1">
      <c r="S511" s="34"/>
      <c r="CG511" s="35"/>
      <c r="CH511" s="35"/>
      <c r="CO511" s="35"/>
      <c r="CW511" s="35"/>
      <c r="CX511" s="35"/>
    </row>
    <row r="512" ht="15.75" customHeight="1">
      <c r="S512" s="34"/>
      <c r="CG512" s="35"/>
      <c r="CH512" s="35"/>
      <c r="CO512" s="35"/>
      <c r="CW512" s="35"/>
      <c r="CX512" s="35"/>
    </row>
    <row r="513" ht="15.75" customHeight="1">
      <c r="S513" s="34"/>
      <c r="CG513" s="35"/>
      <c r="CH513" s="35"/>
      <c r="CO513" s="35"/>
      <c r="CW513" s="35"/>
      <c r="CX513" s="35"/>
    </row>
    <row r="514" ht="15.75" customHeight="1">
      <c r="S514" s="34"/>
      <c r="CG514" s="35"/>
      <c r="CH514" s="35"/>
      <c r="CO514" s="35"/>
      <c r="CW514" s="35"/>
      <c r="CX514" s="35"/>
    </row>
    <row r="515" ht="15.75" customHeight="1">
      <c r="S515" s="34"/>
      <c r="CG515" s="35"/>
      <c r="CH515" s="35"/>
      <c r="CO515" s="35"/>
      <c r="CW515" s="35"/>
      <c r="CX515" s="35"/>
    </row>
    <row r="516" ht="15.75" customHeight="1">
      <c r="S516" s="34"/>
      <c r="CG516" s="35"/>
      <c r="CH516" s="35"/>
      <c r="CO516" s="35"/>
      <c r="CW516" s="35"/>
      <c r="CX516" s="35"/>
    </row>
    <row r="517" ht="15.75" customHeight="1">
      <c r="S517" s="34"/>
      <c r="CG517" s="35"/>
      <c r="CH517" s="35"/>
      <c r="CO517" s="35"/>
      <c r="CW517" s="35"/>
      <c r="CX517" s="35"/>
    </row>
    <row r="518" ht="15.75" customHeight="1">
      <c r="S518" s="34"/>
      <c r="CG518" s="35"/>
      <c r="CH518" s="35"/>
      <c r="CO518" s="35"/>
      <c r="CW518" s="35"/>
      <c r="CX518" s="35"/>
    </row>
    <row r="519" ht="15.75" customHeight="1">
      <c r="S519" s="34"/>
      <c r="CG519" s="35"/>
      <c r="CH519" s="35"/>
      <c r="CO519" s="35"/>
      <c r="CW519" s="35"/>
      <c r="CX519" s="35"/>
    </row>
    <row r="520" ht="15.75" customHeight="1">
      <c r="S520" s="34"/>
      <c r="CG520" s="35"/>
      <c r="CH520" s="35"/>
      <c r="CO520" s="35"/>
      <c r="CW520" s="35"/>
      <c r="CX520" s="35"/>
    </row>
    <row r="521" ht="15.75" customHeight="1">
      <c r="S521" s="34"/>
      <c r="CG521" s="35"/>
      <c r="CH521" s="35"/>
      <c r="CO521" s="35"/>
      <c r="CW521" s="35"/>
      <c r="CX521" s="35"/>
    </row>
    <row r="522" ht="15.75" customHeight="1">
      <c r="S522" s="34"/>
      <c r="CG522" s="35"/>
      <c r="CH522" s="35"/>
      <c r="CO522" s="35"/>
      <c r="CW522" s="35"/>
      <c r="CX522" s="35"/>
    </row>
    <row r="523" ht="15.75" customHeight="1">
      <c r="S523" s="34"/>
      <c r="CG523" s="35"/>
      <c r="CH523" s="35"/>
      <c r="CO523" s="35"/>
      <c r="CW523" s="35"/>
      <c r="CX523" s="35"/>
    </row>
    <row r="524" ht="15.75" customHeight="1">
      <c r="S524" s="34"/>
      <c r="CG524" s="35"/>
      <c r="CH524" s="35"/>
      <c r="CO524" s="35"/>
      <c r="CW524" s="35"/>
      <c r="CX524" s="35"/>
    </row>
    <row r="525" ht="15.75" customHeight="1">
      <c r="S525" s="34"/>
      <c r="CG525" s="35"/>
      <c r="CH525" s="35"/>
      <c r="CO525" s="35"/>
      <c r="CW525" s="35"/>
      <c r="CX525" s="35"/>
    </row>
    <row r="526" ht="15.75" customHeight="1">
      <c r="S526" s="34"/>
      <c r="CG526" s="35"/>
      <c r="CH526" s="35"/>
      <c r="CO526" s="35"/>
      <c r="CW526" s="35"/>
      <c r="CX526" s="35"/>
    </row>
    <row r="527" ht="15.75" customHeight="1">
      <c r="S527" s="34"/>
      <c r="CG527" s="35"/>
      <c r="CH527" s="35"/>
      <c r="CO527" s="35"/>
      <c r="CW527" s="35"/>
      <c r="CX527" s="35"/>
    </row>
    <row r="528" ht="15.75" customHeight="1">
      <c r="S528" s="34"/>
      <c r="CG528" s="35"/>
      <c r="CH528" s="35"/>
      <c r="CO528" s="35"/>
      <c r="CW528" s="35"/>
      <c r="CX528" s="35"/>
    </row>
    <row r="529" ht="15.75" customHeight="1">
      <c r="S529" s="34"/>
      <c r="CG529" s="35"/>
      <c r="CH529" s="35"/>
      <c r="CO529" s="35"/>
      <c r="CW529" s="35"/>
      <c r="CX529" s="35"/>
    </row>
    <row r="530" ht="15.75" customHeight="1">
      <c r="S530" s="34"/>
      <c r="CG530" s="35"/>
      <c r="CH530" s="35"/>
      <c r="CO530" s="35"/>
      <c r="CW530" s="35"/>
      <c r="CX530" s="35"/>
    </row>
    <row r="531" ht="15.75" customHeight="1">
      <c r="S531" s="34"/>
      <c r="CG531" s="35"/>
      <c r="CH531" s="35"/>
      <c r="CO531" s="35"/>
      <c r="CW531" s="35"/>
      <c r="CX531" s="35"/>
    </row>
    <row r="532" ht="15.75" customHeight="1">
      <c r="S532" s="34"/>
      <c r="CG532" s="35"/>
      <c r="CH532" s="35"/>
      <c r="CO532" s="35"/>
      <c r="CW532" s="35"/>
      <c r="CX532" s="35"/>
    </row>
    <row r="533" ht="15.75" customHeight="1">
      <c r="S533" s="34"/>
      <c r="CG533" s="35"/>
      <c r="CH533" s="35"/>
      <c r="CO533" s="35"/>
      <c r="CW533" s="35"/>
      <c r="CX533" s="35"/>
    </row>
    <row r="534" ht="15.75" customHeight="1">
      <c r="S534" s="34"/>
      <c r="CG534" s="35"/>
      <c r="CH534" s="35"/>
      <c r="CO534" s="35"/>
      <c r="CW534" s="35"/>
      <c r="CX534" s="35"/>
    </row>
    <row r="535" ht="15.75" customHeight="1">
      <c r="S535" s="34"/>
      <c r="CG535" s="35"/>
      <c r="CH535" s="35"/>
      <c r="CO535" s="35"/>
      <c r="CW535" s="35"/>
      <c r="CX535" s="35"/>
    </row>
    <row r="536" ht="15.75" customHeight="1">
      <c r="S536" s="34"/>
      <c r="CG536" s="35"/>
      <c r="CH536" s="35"/>
      <c r="CO536" s="35"/>
      <c r="CW536" s="35"/>
      <c r="CX536" s="35"/>
    </row>
    <row r="537" ht="15.75" customHeight="1">
      <c r="S537" s="34"/>
      <c r="CG537" s="35"/>
      <c r="CH537" s="35"/>
      <c r="CO537" s="35"/>
      <c r="CW537" s="35"/>
      <c r="CX537" s="35"/>
    </row>
    <row r="538" ht="15.75" customHeight="1">
      <c r="S538" s="34"/>
      <c r="CG538" s="35"/>
      <c r="CH538" s="35"/>
      <c r="CO538" s="35"/>
      <c r="CW538" s="35"/>
      <c r="CX538" s="35"/>
    </row>
    <row r="539" ht="15.75" customHeight="1">
      <c r="S539" s="34"/>
      <c r="CG539" s="35"/>
      <c r="CH539" s="35"/>
      <c r="CO539" s="35"/>
      <c r="CW539" s="35"/>
      <c r="CX539" s="35"/>
    </row>
    <row r="540" ht="15.75" customHeight="1">
      <c r="S540" s="34"/>
      <c r="CG540" s="35"/>
      <c r="CH540" s="35"/>
      <c r="CO540" s="35"/>
      <c r="CW540" s="35"/>
      <c r="CX540" s="35"/>
    </row>
    <row r="541" ht="15.75" customHeight="1">
      <c r="S541" s="34"/>
      <c r="CG541" s="35"/>
      <c r="CH541" s="35"/>
      <c r="CO541" s="35"/>
      <c r="CW541" s="35"/>
      <c r="CX541" s="35"/>
    </row>
    <row r="542" ht="15.75" customHeight="1">
      <c r="S542" s="34"/>
      <c r="CG542" s="35"/>
      <c r="CH542" s="35"/>
      <c r="CO542" s="35"/>
      <c r="CW542" s="35"/>
      <c r="CX542" s="35"/>
    </row>
    <row r="543" ht="15.75" customHeight="1">
      <c r="S543" s="34"/>
      <c r="CG543" s="35"/>
      <c r="CH543" s="35"/>
      <c r="CO543" s="35"/>
      <c r="CW543" s="35"/>
      <c r="CX543" s="35"/>
    </row>
    <row r="544" ht="15.75" customHeight="1">
      <c r="S544" s="34"/>
      <c r="CG544" s="35"/>
      <c r="CH544" s="35"/>
      <c r="CO544" s="35"/>
      <c r="CW544" s="35"/>
      <c r="CX544" s="35"/>
    </row>
    <row r="545" ht="15.75" customHeight="1">
      <c r="S545" s="34"/>
      <c r="CG545" s="35"/>
      <c r="CH545" s="35"/>
      <c r="CO545" s="35"/>
      <c r="CW545" s="35"/>
      <c r="CX545" s="35"/>
    </row>
    <row r="546" ht="15.75" customHeight="1">
      <c r="S546" s="34"/>
      <c r="CG546" s="35"/>
      <c r="CH546" s="35"/>
      <c r="CO546" s="35"/>
      <c r="CW546" s="35"/>
      <c r="CX546" s="35"/>
    </row>
    <row r="547" ht="15.75" customHeight="1">
      <c r="S547" s="34"/>
      <c r="CG547" s="35"/>
      <c r="CH547" s="35"/>
      <c r="CO547" s="35"/>
      <c r="CW547" s="35"/>
      <c r="CX547" s="35"/>
    </row>
    <row r="548" ht="15.75" customHeight="1">
      <c r="S548" s="34"/>
      <c r="CG548" s="35"/>
      <c r="CH548" s="35"/>
      <c r="CO548" s="35"/>
      <c r="CW548" s="35"/>
      <c r="CX548" s="35"/>
    </row>
    <row r="549" ht="15.75" customHeight="1">
      <c r="S549" s="34"/>
      <c r="CG549" s="35"/>
      <c r="CH549" s="35"/>
      <c r="CO549" s="35"/>
      <c r="CW549" s="35"/>
      <c r="CX549" s="35"/>
    </row>
    <row r="550" ht="15.75" customHeight="1">
      <c r="S550" s="34"/>
      <c r="CG550" s="35"/>
      <c r="CH550" s="35"/>
      <c r="CO550" s="35"/>
      <c r="CW550" s="35"/>
      <c r="CX550" s="35"/>
    </row>
    <row r="551" ht="15.75" customHeight="1">
      <c r="S551" s="34"/>
      <c r="CG551" s="35"/>
      <c r="CH551" s="35"/>
      <c r="CO551" s="35"/>
      <c r="CW551" s="35"/>
      <c r="CX551" s="35"/>
    </row>
    <row r="552" ht="15.75" customHeight="1">
      <c r="S552" s="34"/>
      <c r="CG552" s="35"/>
      <c r="CH552" s="35"/>
      <c r="CO552" s="35"/>
      <c r="CW552" s="35"/>
      <c r="CX552" s="35"/>
    </row>
    <row r="553" ht="15.75" customHeight="1">
      <c r="S553" s="34"/>
      <c r="CG553" s="35"/>
      <c r="CH553" s="35"/>
      <c r="CO553" s="35"/>
      <c r="CW553" s="35"/>
      <c r="CX553" s="35"/>
    </row>
    <row r="554" ht="15.75" customHeight="1">
      <c r="S554" s="34"/>
      <c r="CG554" s="35"/>
      <c r="CH554" s="35"/>
      <c r="CO554" s="35"/>
      <c r="CW554" s="35"/>
      <c r="CX554" s="35"/>
    </row>
    <row r="555" ht="15.75" customHeight="1">
      <c r="S555" s="34"/>
      <c r="CG555" s="35"/>
      <c r="CH555" s="35"/>
      <c r="CO555" s="35"/>
      <c r="CW555" s="35"/>
      <c r="CX555" s="35"/>
    </row>
    <row r="556" ht="15.75" customHeight="1">
      <c r="S556" s="34"/>
      <c r="CG556" s="35"/>
      <c r="CH556" s="35"/>
      <c r="CO556" s="35"/>
      <c r="CW556" s="35"/>
      <c r="CX556" s="35"/>
    </row>
    <row r="557" ht="15.75" customHeight="1">
      <c r="S557" s="34"/>
      <c r="CG557" s="35"/>
      <c r="CH557" s="35"/>
      <c r="CO557" s="35"/>
      <c r="CW557" s="35"/>
      <c r="CX557" s="35"/>
    </row>
    <row r="558" ht="15.75" customHeight="1">
      <c r="S558" s="34"/>
      <c r="CG558" s="35"/>
      <c r="CH558" s="35"/>
      <c r="CO558" s="35"/>
      <c r="CW558" s="35"/>
      <c r="CX558" s="35"/>
    </row>
    <row r="559" ht="15.75" customHeight="1">
      <c r="S559" s="34"/>
      <c r="CG559" s="35"/>
      <c r="CH559" s="35"/>
      <c r="CO559" s="35"/>
      <c r="CW559" s="35"/>
      <c r="CX559" s="35"/>
    </row>
    <row r="560" ht="15.75" customHeight="1">
      <c r="S560" s="34"/>
      <c r="CG560" s="35"/>
      <c r="CH560" s="35"/>
      <c r="CO560" s="35"/>
      <c r="CW560" s="35"/>
      <c r="CX560" s="35"/>
    </row>
    <row r="561" ht="15.75" customHeight="1">
      <c r="S561" s="34"/>
      <c r="CG561" s="35"/>
      <c r="CH561" s="35"/>
      <c r="CO561" s="35"/>
      <c r="CW561" s="35"/>
      <c r="CX561" s="35"/>
    </row>
    <row r="562" ht="15.75" customHeight="1">
      <c r="S562" s="34"/>
      <c r="CG562" s="35"/>
      <c r="CH562" s="35"/>
      <c r="CO562" s="35"/>
      <c r="CW562" s="35"/>
      <c r="CX562" s="35"/>
    </row>
    <row r="563" ht="15.75" customHeight="1">
      <c r="S563" s="34"/>
      <c r="CG563" s="35"/>
      <c r="CH563" s="35"/>
      <c r="CO563" s="35"/>
      <c r="CW563" s="35"/>
      <c r="CX563" s="35"/>
    </row>
    <row r="564" ht="15.75" customHeight="1">
      <c r="S564" s="34"/>
      <c r="CG564" s="35"/>
      <c r="CH564" s="35"/>
      <c r="CO564" s="35"/>
      <c r="CW564" s="35"/>
      <c r="CX564" s="35"/>
    </row>
    <row r="565" ht="15.75" customHeight="1">
      <c r="S565" s="34"/>
      <c r="CG565" s="35"/>
      <c r="CH565" s="35"/>
      <c r="CO565" s="35"/>
      <c r="CW565" s="35"/>
      <c r="CX565" s="35"/>
    </row>
    <row r="566" ht="15.75" customHeight="1">
      <c r="S566" s="34"/>
      <c r="CG566" s="35"/>
      <c r="CH566" s="35"/>
      <c r="CO566" s="35"/>
      <c r="CW566" s="35"/>
      <c r="CX566" s="35"/>
    </row>
    <row r="567" ht="15.75" customHeight="1">
      <c r="S567" s="34"/>
      <c r="CG567" s="35"/>
      <c r="CH567" s="35"/>
      <c r="CO567" s="35"/>
      <c r="CW567" s="35"/>
      <c r="CX567" s="35"/>
    </row>
    <row r="568" ht="15.75" customHeight="1">
      <c r="S568" s="34"/>
      <c r="CG568" s="35"/>
      <c r="CH568" s="35"/>
      <c r="CO568" s="35"/>
      <c r="CW568" s="35"/>
      <c r="CX568" s="35"/>
    </row>
    <row r="569" ht="15.75" customHeight="1">
      <c r="S569" s="34"/>
      <c r="CG569" s="35"/>
      <c r="CH569" s="35"/>
      <c r="CO569" s="35"/>
      <c r="CW569" s="35"/>
      <c r="CX569" s="35"/>
    </row>
    <row r="570" ht="15.75" customHeight="1">
      <c r="S570" s="34"/>
      <c r="CG570" s="35"/>
      <c r="CH570" s="35"/>
      <c r="CO570" s="35"/>
      <c r="CW570" s="35"/>
      <c r="CX570" s="35"/>
    </row>
    <row r="571" ht="15.75" customHeight="1">
      <c r="S571" s="34"/>
      <c r="CG571" s="35"/>
      <c r="CH571" s="35"/>
      <c r="CO571" s="35"/>
      <c r="CW571" s="35"/>
      <c r="CX571" s="35"/>
    </row>
    <row r="572" ht="15.75" customHeight="1">
      <c r="S572" s="34"/>
      <c r="CG572" s="35"/>
      <c r="CH572" s="35"/>
      <c r="CO572" s="35"/>
      <c r="CW572" s="35"/>
      <c r="CX572" s="35"/>
    </row>
    <row r="573" ht="15.75" customHeight="1">
      <c r="S573" s="34"/>
      <c r="CG573" s="35"/>
      <c r="CH573" s="35"/>
      <c r="CO573" s="35"/>
      <c r="CW573" s="35"/>
      <c r="CX573" s="35"/>
    </row>
    <row r="574" ht="15.75" customHeight="1">
      <c r="S574" s="34"/>
      <c r="CG574" s="35"/>
      <c r="CH574" s="35"/>
      <c r="CO574" s="35"/>
      <c r="CW574" s="35"/>
      <c r="CX574" s="35"/>
    </row>
    <row r="575" ht="15.75" customHeight="1">
      <c r="S575" s="34"/>
      <c r="CG575" s="35"/>
      <c r="CH575" s="35"/>
      <c r="CO575" s="35"/>
      <c r="CW575" s="35"/>
      <c r="CX575" s="35"/>
    </row>
    <row r="576" ht="15.75" customHeight="1">
      <c r="S576" s="34"/>
      <c r="CG576" s="35"/>
      <c r="CH576" s="35"/>
      <c r="CO576" s="35"/>
      <c r="CW576" s="35"/>
      <c r="CX576" s="35"/>
    </row>
    <row r="577" ht="15.75" customHeight="1">
      <c r="S577" s="34"/>
      <c r="CG577" s="35"/>
      <c r="CH577" s="35"/>
      <c r="CO577" s="35"/>
      <c r="CW577" s="35"/>
      <c r="CX577" s="35"/>
    </row>
    <row r="578" ht="15.75" customHeight="1">
      <c r="S578" s="34"/>
      <c r="CG578" s="35"/>
      <c r="CH578" s="35"/>
      <c r="CO578" s="35"/>
      <c r="CW578" s="35"/>
      <c r="CX578" s="35"/>
    </row>
    <row r="579" ht="15.75" customHeight="1">
      <c r="S579" s="34"/>
      <c r="CG579" s="35"/>
      <c r="CH579" s="35"/>
      <c r="CO579" s="35"/>
      <c r="CW579" s="35"/>
      <c r="CX579" s="35"/>
    </row>
    <row r="580" ht="15.75" customHeight="1">
      <c r="S580" s="34"/>
      <c r="CG580" s="35"/>
      <c r="CH580" s="35"/>
      <c r="CO580" s="35"/>
      <c r="CW580" s="35"/>
      <c r="CX580" s="35"/>
    </row>
    <row r="581" ht="15.75" customHeight="1">
      <c r="S581" s="34"/>
      <c r="CG581" s="35"/>
      <c r="CH581" s="35"/>
      <c r="CO581" s="35"/>
      <c r="CW581" s="35"/>
      <c r="CX581" s="35"/>
    </row>
    <row r="582" ht="15.75" customHeight="1">
      <c r="S582" s="34"/>
      <c r="CG582" s="35"/>
      <c r="CH582" s="35"/>
      <c r="CO582" s="35"/>
      <c r="CW582" s="35"/>
      <c r="CX582" s="35"/>
    </row>
    <row r="583" ht="15.75" customHeight="1">
      <c r="S583" s="34"/>
      <c r="CG583" s="35"/>
      <c r="CH583" s="35"/>
      <c r="CO583" s="35"/>
      <c r="CW583" s="35"/>
      <c r="CX583" s="35"/>
    </row>
    <row r="584" ht="15.75" customHeight="1">
      <c r="S584" s="34"/>
      <c r="CG584" s="35"/>
      <c r="CH584" s="35"/>
      <c r="CO584" s="35"/>
      <c r="CW584" s="35"/>
      <c r="CX584" s="35"/>
    </row>
    <row r="585" ht="15.75" customHeight="1">
      <c r="S585" s="34"/>
      <c r="CG585" s="35"/>
      <c r="CH585" s="35"/>
      <c r="CO585" s="35"/>
      <c r="CW585" s="35"/>
      <c r="CX585" s="35"/>
    </row>
    <row r="586" ht="15.75" customHeight="1">
      <c r="S586" s="34"/>
      <c r="CG586" s="35"/>
      <c r="CH586" s="35"/>
      <c r="CO586" s="35"/>
      <c r="CW586" s="35"/>
      <c r="CX586" s="35"/>
    </row>
    <row r="587" ht="15.75" customHeight="1">
      <c r="S587" s="34"/>
      <c r="CG587" s="35"/>
      <c r="CH587" s="35"/>
      <c r="CO587" s="35"/>
      <c r="CW587" s="35"/>
      <c r="CX587" s="35"/>
    </row>
    <row r="588" ht="15.75" customHeight="1">
      <c r="S588" s="34"/>
      <c r="CG588" s="35"/>
      <c r="CH588" s="35"/>
      <c r="CO588" s="35"/>
      <c r="CW588" s="35"/>
      <c r="CX588" s="35"/>
    </row>
    <row r="589" ht="15.75" customHeight="1">
      <c r="S589" s="34"/>
      <c r="CG589" s="35"/>
      <c r="CH589" s="35"/>
      <c r="CO589" s="35"/>
      <c r="CW589" s="35"/>
      <c r="CX589" s="35"/>
    </row>
    <row r="590" ht="15.75" customHeight="1">
      <c r="S590" s="34"/>
      <c r="CG590" s="35"/>
      <c r="CH590" s="35"/>
      <c r="CO590" s="35"/>
      <c r="CW590" s="35"/>
      <c r="CX590" s="35"/>
    </row>
    <row r="591" ht="15.75" customHeight="1">
      <c r="S591" s="34"/>
      <c r="CG591" s="35"/>
      <c r="CH591" s="35"/>
      <c r="CO591" s="35"/>
      <c r="CW591" s="35"/>
      <c r="CX591" s="35"/>
    </row>
    <row r="592" ht="15.75" customHeight="1">
      <c r="S592" s="34"/>
      <c r="CG592" s="35"/>
      <c r="CH592" s="35"/>
      <c r="CO592" s="35"/>
      <c r="CW592" s="35"/>
      <c r="CX592" s="35"/>
    </row>
    <row r="593" ht="15.75" customHeight="1">
      <c r="S593" s="34"/>
      <c r="CG593" s="35"/>
      <c r="CH593" s="35"/>
      <c r="CO593" s="35"/>
      <c r="CW593" s="35"/>
      <c r="CX593" s="35"/>
    </row>
    <row r="594" ht="15.75" customHeight="1">
      <c r="S594" s="34"/>
      <c r="CG594" s="35"/>
      <c r="CH594" s="35"/>
      <c r="CO594" s="35"/>
      <c r="CW594" s="35"/>
      <c r="CX594" s="35"/>
    </row>
    <row r="595" ht="15.75" customHeight="1">
      <c r="S595" s="34"/>
      <c r="CG595" s="35"/>
      <c r="CH595" s="35"/>
      <c r="CO595" s="35"/>
      <c r="CW595" s="35"/>
      <c r="CX595" s="35"/>
    </row>
    <row r="596" ht="15.75" customHeight="1">
      <c r="S596" s="34"/>
      <c r="CG596" s="35"/>
      <c r="CH596" s="35"/>
      <c r="CO596" s="35"/>
      <c r="CW596" s="35"/>
      <c r="CX596" s="35"/>
    </row>
    <row r="597" ht="15.75" customHeight="1">
      <c r="S597" s="34"/>
      <c r="CG597" s="35"/>
      <c r="CH597" s="35"/>
      <c r="CO597" s="35"/>
      <c r="CW597" s="35"/>
      <c r="CX597" s="35"/>
    </row>
    <row r="598" ht="15.75" customHeight="1">
      <c r="S598" s="34"/>
      <c r="CG598" s="35"/>
      <c r="CH598" s="35"/>
      <c r="CO598" s="35"/>
      <c r="CW598" s="35"/>
      <c r="CX598" s="35"/>
    </row>
    <row r="599" ht="15.75" customHeight="1">
      <c r="S599" s="34"/>
      <c r="CG599" s="35"/>
      <c r="CH599" s="35"/>
      <c r="CO599" s="35"/>
      <c r="CW599" s="35"/>
      <c r="CX599" s="35"/>
    </row>
    <row r="600" ht="15.75" customHeight="1">
      <c r="S600" s="34"/>
      <c r="CG600" s="35"/>
      <c r="CH600" s="35"/>
      <c r="CO600" s="35"/>
      <c r="CW600" s="35"/>
      <c r="CX600" s="35"/>
    </row>
    <row r="601" ht="15.75" customHeight="1">
      <c r="S601" s="34"/>
      <c r="CG601" s="35"/>
      <c r="CH601" s="35"/>
      <c r="CO601" s="35"/>
      <c r="CW601" s="35"/>
      <c r="CX601" s="35"/>
    </row>
    <row r="602" ht="15.75" customHeight="1">
      <c r="S602" s="34"/>
      <c r="CG602" s="35"/>
      <c r="CH602" s="35"/>
      <c r="CO602" s="35"/>
      <c r="CW602" s="35"/>
      <c r="CX602" s="35"/>
    </row>
    <row r="603" ht="15.75" customHeight="1">
      <c r="S603" s="34"/>
      <c r="CG603" s="35"/>
      <c r="CH603" s="35"/>
      <c r="CO603" s="35"/>
      <c r="CW603" s="35"/>
      <c r="CX603" s="35"/>
    </row>
    <row r="604" ht="15.75" customHeight="1">
      <c r="S604" s="34"/>
      <c r="CG604" s="35"/>
      <c r="CH604" s="35"/>
      <c r="CO604" s="35"/>
      <c r="CW604" s="35"/>
      <c r="CX604" s="35"/>
    </row>
    <row r="605" ht="15.75" customHeight="1">
      <c r="S605" s="34"/>
      <c r="CG605" s="35"/>
      <c r="CH605" s="35"/>
      <c r="CO605" s="35"/>
      <c r="CW605" s="35"/>
      <c r="CX605" s="35"/>
    </row>
    <row r="606" ht="15.75" customHeight="1">
      <c r="S606" s="34"/>
      <c r="CG606" s="35"/>
      <c r="CH606" s="35"/>
      <c r="CO606" s="35"/>
      <c r="CW606" s="35"/>
      <c r="CX606" s="35"/>
    </row>
    <row r="607" ht="15.75" customHeight="1">
      <c r="S607" s="34"/>
      <c r="CG607" s="35"/>
      <c r="CH607" s="35"/>
      <c r="CO607" s="35"/>
      <c r="CW607" s="35"/>
      <c r="CX607" s="35"/>
    </row>
    <row r="608" ht="15.75" customHeight="1">
      <c r="S608" s="34"/>
      <c r="CG608" s="35"/>
      <c r="CH608" s="35"/>
      <c r="CO608" s="35"/>
      <c r="CW608" s="35"/>
      <c r="CX608" s="35"/>
    </row>
    <row r="609" ht="15.75" customHeight="1">
      <c r="S609" s="34"/>
      <c r="CG609" s="35"/>
      <c r="CH609" s="35"/>
      <c r="CO609" s="35"/>
      <c r="CW609" s="35"/>
      <c r="CX609" s="35"/>
    </row>
    <row r="610" ht="15.75" customHeight="1">
      <c r="S610" s="34"/>
      <c r="CG610" s="35"/>
      <c r="CH610" s="35"/>
      <c r="CO610" s="35"/>
      <c r="CW610" s="35"/>
      <c r="CX610" s="35"/>
    </row>
    <row r="611" ht="15.75" customHeight="1">
      <c r="S611" s="34"/>
      <c r="CG611" s="35"/>
      <c r="CH611" s="35"/>
      <c r="CO611" s="35"/>
      <c r="CW611" s="35"/>
      <c r="CX611" s="35"/>
    </row>
    <row r="612" ht="15.75" customHeight="1">
      <c r="S612" s="34"/>
      <c r="CG612" s="35"/>
      <c r="CH612" s="35"/>
      <c r="CO612" s="35"/>
      <c r="CW612" s="35"/>
      <c r="CX612" s="35"/>
    </row>
    <row r="613" ht="15.75" customHeight="1">
      <c r="S613" s="34"/>
      <c r="CG613" s="35"/>
      <c r="CH613" s="35"/>
      <c r="CO613" s="35"/>
      <c r="CW613" s="35"/>
      <c r="CX613" s="35"/>
    </row>
    <row r="614" ht="15.75" customHeight="1">
      <c r="S614" s="34"/>
      <c r="CG614" s="35"/>
      <c r="CH614" s="35"/>
      <c r="CO614" s="35"/>
      <c r="CW614" s="35"/>
      <c r="CX614" s="35"/>
    </row>
    <row r="615" ht="15.75" customHeight="1">
      <c r="S615" s="34"/>
      <c r="CG615" s="35"/>
      <c r="CH615" s="35"/>
      <c r="CO615" s="35"/>
      <c r="CW615" s="35"/>
      <c r="CX615" s="35"/>
    </row>
    <row r="616" ht="15.75" customHeight="1">
      <c r="S616" s="34"/>
      <c r="CG616" s="35"/>
      <c r="CH616" s="35"/>
      <c r="CO616" s="35"/>
      <c r="CW616" s="35"/>
      <c r="CX616" s="35"/>
    </row>
    <row r="617" ht="15.75" customHeight="1">
      <c r="S617" s="34"/>
      <c r="CG617" s="35"/>
      <c r="CH617" s="35"/>
      <c r="CO617" s="35"/>
      <c r="CW617" s="35"/>
      <c r="CX617" s="35"/>
    </row>
    <row r="618" ht="15.75" customHeight="1">
      <c r="S618" s="34"/>
      <c r="CG618" s="35"/>
      <c r="CH618" s="35"/>
      <c r="CO618" s="35"/>
      <c r="CW618" s="35"/>
      <c r="CX618" s="35"/>
    </row>
    <row r="619" ht="15.75" customHeight="1">
      <c r="S619" s="34"/>
      <c r="CG619" s="35"/>
      <c r="CH619" s="35"/>
      <c r="CO619" s="35"/>
      <c r="CW619" s="35"/>
      <c r="CX619" s="35"/>
    </row>
    <row r="620" ht="15.75" customHeight="1">
      <c r="S620" s="34"/>
      <c r="CG620" s="35"/>
      <c r="CH620" s="35"/>
      <c r="CO620" s="35"/>
      <c r="CW620" s="35"/>
      <c r="CX620" s="35"/>
    </row>
    <row r="621" ht="15.75" customHeight="1">
      <c r="S621" s="34"/>
      <c r="CG621" s="35"/>
      <c r="CH621" s="35"/>
      <c r="CO621" s="35"/>
      <c r="CW621" s="35"/>
      <c r="CX621" s="35"/>
    </row>
    <row r="622" ht="15.75" customHeight="1">
      <c r="S622" s="34"/>
      <c r="CG622" s="35"/>
      <c r="CH622" s="35"/>
      <c r="CO622" s="35"/>
      <c r="CW622" s="35"/>
      <c r="CX622" s="35"/>
    </row>
    <row r="623" ht="15.75" customHeight="1">
      <c r="S623" s="34"/>
      <c r="CG623" s="35"/>
      <c r="CH623" s="35"/>
      <c r="CO623" s="35"/>
      <c r="CW623" s="35"/>
      <c r="CX623" s="35"/>
    </row>
    <row r="624" ht="15.75" customHeight="1">
      <c r="S624" s="34"/>
      <c r="CG624" s="35"/>
      <c r="CH624" s="35"/>
      <c r="CO624" s="35"/>
      <c r="CW624" s="35"/>
      <c r="CX624" s="35"/>
    </row>
    <row r="625" ht="15.75" customHeight="1">
      <c r="S625" s="34"/>
      <c r="CG625" s="35"/>
      <c r="CH625" s="35"/>
      <c r="CO625" s="35"/>
      <c r="CW625" s="35"/>
      <c r="CX625" s="35"/>
    </row>
    <row r="626" ht="15.75" customHeight="1">
      <c r="S626" s="34"/>
      <c r="CG626" s="35"/>
      <c r="CH626" s="35"/>
      <c r="CO626" s="35"/>
      <c r="CW626" s="35"/>
      <c r="CX626" s="35"/>
    </row>
    <row r="627" ht="15.75" customHeight="1">
      <c r="S627" s="34"/>
      <c r="CG627" s="35"/>
      <c r="CH627" s="35"/>
      <c r="CO627" s="35"/>
      <c r="CW627" s="35"/>
      <c r="CX627" s="35"/>
    </row>
    <row r="628" ht="15.75" customHeight="1">
      <c r="S628" s="34"/>
      <c r="CG628" s="35"/>
      <c r="CH628" s="35"/>
      <c r="CO628" s="35"/>
      <c r="CW628" s="35"/>
      <c r="CX628" s="35"/>
    </row>
    <row r="629" ht="15.75" customHeight="1">
      <c r="S629" s="34"/>
      <c r="CG629" s="35"/>
      <c r="CH629" s="35"/>
      <c r="CO629" s="35"/>
      <c r="CW629" s="35"/>
      <c r="CX629" s="35"/>
    </row>
    <row r="630" ht="15.75" customHeight="1">
      <c r="S630" s="34"/>
      <c r="CG630" s="35"/>
      <c r="CH630" s="35"/>
      <c r="CO630" s="35"/>
      <c r="CW630" s="35"/>
      <c r="CX630" s="35"/>
    </row>
    <row r="631" ht="15.75" customHeight="1">
      <c r="S631" s="34"/>
      <c r="CG631" s="35"/>
      <c r="CH631" s="35"/>
      <c r="CO631" s="35"/>
      <c r="CW631" s="35"/>
      <c r="CX631" s="35"/>
    </row>
    <row r="632" ht="15.75" customHeight="1">
      <c r="S632" s="34"/>
      <c r="CG632" s="35"/>
      <c r="CH632" s="35"/>
      <c r="CO632" s="35"/>
      <c r="CW632" s="35"/>
      <c r="CX632" s="35"/>
    </row>
    <row r="633" ht="15.75" customHeight="1">
      <c r="S633" s="34"/>
      <c r="CG633" s="35"/>
      <c r="CH633" s="35"/>
      <c r="CO633" s="35"/>
      <c r="CW633" s="35"/>
      <c r="CX633" s="35"/>
    </row>
    <row r="634" ht="15.75" customHeight="1">
      <c r="S634" s="34"/>
      <c r="CG634" s="35"/>
      <c r="CH634" s="35"/>
      <c r="CO634" s="35"/>
      <c r="CW634" s="35"/>
      <c r="CX634" s="35"/>
    </row>
    <row r="635" ht="15.75" customHeight="1">
      <c r="S635" s="34"/>
      <c r="CG635" s="35"/>
      <c r="CH635" s="35"/>
      <c r="CO635" s="35"/>
      <c r="CW635" s="35"/>
      <c r="CX635" s="35"/>
    </row>
    <row r="636" ht="15.75" customHeight="1">
      <c r="S636" s="34"/>
      <c r="CG636" s="35"/>
      <c r="CH636" s="35"/>
      <c r="CO636" s="35"/>
      <c r="CW636" s="35"/>
      <c r="CX636" s="35"/>
    </row>
    <row r="637" ht="15.75" customHeight="1">
      <c r="S637" s="34"/>
      <c r="CG637" s="35"/>
      <c r="CH637" s="35"/>
      <c r="CO637" s="35"/>
      <c r="CW637" s="35"/>
      <c r="CX637" s="35"/>
    </row>
    <row r="638" ht="15.75" customHeight="1">
      <c r="S638" s="34"/>
      <c r="CG638" s="35"/>
      <c r="CH638" s="35"/>
      <c r="CO638" s="35"/>
      <c r="CW638" s="35"/>
      <c r="CX638" s="35"/>
    </row>
    <row r="639" ht="15.75" customHeight="1">
      <c r="S639" s="34"/>
      <c r="CG639" s="35"/>
      <c r="CH639" s="35"/>
      <c r="CO639" s="35"/>
      <c r="CW639" s="35"/>
      <c r="CX639" s="35"/>
    </row>
    <row r="640" ht="15.75" customHeight="1">
      <c r="S640" s="34"/>
      <c r="CG640" s="35"/>
      <c r="CH640" s="35"/>
      <c r="CO640" s="35"/>
      <c r="CW640" s="35"/>
      <c r="CX640" s="35"/>
    </row>
    <row r="641" ht="15.75" customHeight="1">
      <c r="S641" s="34"/>
      <c r="CG641" s="35"/>
      <c r="CH641" s="35"/>
      <c r="CO641" s="35"/>
      <c r="CW641" s="35"/>
      <c r="CX641" s="35"/>
    </row>
    <row r="642" ht="15.75" customHeight="1">
      <c r="S642" s="34"/>
      <c r="CG642" s="35"/>
      <c r="CH642" s="35"/>
      <c r="CO642" s="35"/>
      <c r="CW642" s="35"/>
      <c r="CX642" s="35"/>
    </row>
    <row r="643" ht="15.75" customHeight="1">
      <c r="S643" s="34"/>
      <c r="CG643" s="35"/>
      <c r="CH643" s="35"/>
      <c r="CO643" s="35"/>
      <c r="CW643" s="35"/>
      <c r="CX643" s="35"/>
    </row>
    <row r="644" ht="15.75" customHeight="1">
      <c r="S644" s="34"/>
      <c r="CG644" s="35"/>
      <c r="CH644" s="35"/>
      <c r="CO644" s="35"/>
      <c r="CW644" s="35"/>
      <c r="CX644" s="35"/>
    </row>
    <row r="645" ht="15.75" customHeight="1">
      <c r="S645" s="34"/>
      <c r="CG645" s="35"/>
      <c r="CH645" s="35"/>
      <c r="CO645" s="35"/>
      <c r="CW645" s="35"/>
      <c r="CX645" s="35"/>
    </row>
    <row r="646" ht="15.75" customHeight="1">
      <c r="S646" s="34"/>
      <c r="CG646" s="35"/>
      <c r="CH646" s="35"/>
      <c r="CO646" s="35"/>
      <c r="CW646" s="35"/>
      <c r="CX646" s="35"/>
    </row>
    <row r="647" ht="15.75" customHeight="1">
      <c r="S647" s="34"/>
      <c r="CG647" s="35"/>
      <c r="CH647" s="35"/>
      <c r="CO647" s="35"/>
      <c r="CW647" s="35"/>
      <c r="CX647" s="35"/>
    </row>
    <row r="648" ht="15.75" customHeight="1">
      <c r="S648" s="34"/>
      <c r="CG648" s="35"/>
      <c r="CH648" s="35"/>
      <c r="CO648" s="35"/>
      <c r="CW648" s="35"/>
      <c r="CX648" s="35"/>
    </row>
    <row r="649" ht="15.75" customHeight="1">
      <c r="S649" s="34"/>
      <c r="CG649" s="35"/>
      <c r="CH649" s="35"/>
      <c r="CO649" s="35"/>
      <c r="CW649" s="35"/>
      <c r="CX649" s="35"/>
    </row>
    <row r="650" ht="15.75" customHeight="1">
      <c r="S650" s="34"/>
      <c r="CG650" s="35"/>
      <c r="CH650" s="35"/>
      <c r="CO650" s="35"/>
      <c r="CW650" s="35"/>
      <c r="CX650" s="35"/>
    </row>
    <row r="651" ht="15.75" customHeight="1">
      <c r="S651" s="34"/>
      <c r="CG651" s="35"/>
      <c r="CH651" s="35"/>
      <c r="CO651" s="35"/>
      <c r="CW651" s="35"/>
      <c r="CX651" s="35"/>
    </row>
    <row r="652" ht="15.75" customHeight="1">
      <c r="S652" s="34"/>
      <c r="CG652" s="35"/>
      <c r="CH652" s="35"/>
      <c r="CO652" s="35"/>
      <c r="CW652" s="35"/>
      <c r="CX652" s="35"/>
    </row>
    <row r="653" ht="15.75" customHeight="1">
      <c r="S653" s="34"/>
      <c r="CG653" s="35"/>
      <c r="CH653" s="35"/>
      <c r="CO653" s="35"/>
      <c r="CW653" s="35"/>
      <c r="CX653" s="35"/>
    </row>
    <row r="654" ht="15.75" customHeight="1">
      <c r="S654" s="34"/>
      <c r="CG654" s="35"/>
      <c r="CH654" s="35"/>
      <c r="CO654" s="35"/>
      <c r="CW654" s="35"/>
      <c r="CX654" s="35"/>
    </row>
    <row r="655" ht="15.75" customHeight="1">
      <c r="S655" s="34"/>
      <c r="CG655" s="35"/>
      <c r="CH655" s="35"/>
      <c r="CO655" s="35"/>
      <c r="CW655" s="35"/>
      <c r="CX655" s="35"/>
    </row>
    <row r="656" ht="15.75" customHeight="1">
      <c r="S656" s="34"/>
      <c r="CG656" s="35"/>
      <c r="CH656" s="35"/>
      <c r="CO656" s="35"/>
      <c r="CW656" s="35"/>
      <c r="CX656" s="35"/>
    </row>
    <row r="657" ht="15.75" customHeight="1">
      <c r="S657" s="34"/>
      <c r="CG657" s="35"/>
      <c r="CH657" s="35"/>
      <c r="CO657" s="35"/>
      <c r="CW657" s="35"/>
      <c r="CX657" s="35"/>
    </row>
    <row r="658" ht="15.75" customHeight="1">
      <c r="S658" s="34"/>
      <c r="CG658" s="35"/>
      <c r="CH658" s="35"/>
      <c r="CO658" s="35"/>
      <c r="CW658" s="35"/>
      <c r="CX658" s="35"/>
    </row>
    <row r="659" ht="15.75" customHeight="1">
      <c r="S659" s="34"/>
      <c r="CG659" s="35"/>
      <c r="CH659" s="35"/>
      <c r="CO659" s="35"/>
      <c r="CW659" s="35"/>
      <c r="CX659" s="35"/>
    </row>
    <row r="660" ht="15.75" customHeight="1">
      <c r="S660" s="34"/>
      <c r="CG660" s="35"/>
      <c r="CH660" s="35"/>
      <c r="CO660" s="35"/>
      <c r="CW660" s="35"/>
      <c r="CX660" s="35"/>
    </row>
    <row r="661" ht="15.75" customHeight="1">
      <c r="S661" s="34"/>
      <c r="CG661" s="35"/>
      <c r="CH661" s="35"/>
      <c r="CO661" s="35"/>
      <c r="CW661" s="35"/>
      <c r="CX661" s="35"/>
    </row>
    <row r="662" ht="15.75" customHeight="1">
      <c r="S662" s="34"/>
      <c r="CG662" s="35"/>
      <c r="CH662" s="35"/>
      <c r="CO662" s="35"/>
      <c r="CW662" s="35"/>
      <c r="CX662" s="35"/>
    </row>
    <row r="663" ht="15.75" customHeight="1">
      <c r="S663" s="34"/>
      <c r="CG663" s="35"/>
      <c r="CH663" s="35"/>
      <c r="CO663" s="35"/>
      <c r="CW663" s="35"/>
      <c r="CX663" s="35"/>
    </row>
    <row r="664" ht="15.75" customHeight="1">
      <c r="S664" s="34"/>
      <c r="CG664" s="35"/>
      <c r="CH664" s="35"/>
      <c r="CO664" s="35"/>
      <c r="CW664" s="35"/>
      <c r="CX664" s="35"/>
    </row>
    <row r="665" ht="15.75" customHeight="1">
      <c r="S665" s="34"/>
      <c r="CG665" s="35"/>
      <c r="CH665" s="35"/>
      <c r="CO665" s="35"/>
      <c r="CW665" s="35"/>
      <c r="CX665" s="35"/>
    </row>
    <row r="666" ht="15.75" customHeight="1">
      <c r="S666" s="34"/>
      <c r="CG666" s="35"/>
      <c r="CH666" s="35"/>
      <c r="CO666" s="35"/>
      <c r="CW666" s="35"/>
      <c r="CX666" s="35"/>
    </row>
    <row r="667" ht="15.75" customHeight="1">
      <c r="S667" s="34"/>
      <c r="CG667" s="35"/>
      <c r="CH667" s="35"/>
      <c r="CO667" s="35"/>
      <c r="CW667" s="35"/>
      <c r="CX667" s="35"/>
    </row>
    <row r="668" ht="15.75" customHeight="1">
      <c r="S668" s="34"/>
      <c r="CG668" s="35"/>
      <c r="CH668" s="35"/>
      <c r="CO668" s="35"/>
      <c r="CW668" s="35"/>
      <c r="CX668" s="35"/>
    </row>
    <row r="669" ht="15.75" customHeight="1">
      <c r="S669" s="34"/>
      <c r="CG669" s="35"/>
      <c r="CH669" s="35"/>
      <c r="CO669" s="35"/>
      <c r="CW669" s="35"/>
      <c r="CX669" s="35"/>
    </row>
    <row r="670" ht="15.75" customHeight="1">
      <c r="S670" s="34"/>
      <c r="CG670" s="35"/>
      <c r="CH670" s="35"/>
      <c r="CO670" s="35"/>
      <c r="CW670" s="35"/>
      <c r="CX670" s="35"/>
    </row>
    <row r="671" ht="15.75" customHeight="1">
      <c r="S671" s="34"/>
      <c r="CG671" s="35"/>
      <c r="CH671" s="35"/>
      <c r="CO671" s="35"/>
      <c r="CW671" s="35"/>
      <c r="CX671" s="35"/>
    </row>
    <row r="672" ht="15.75" customHeight="1">
      <c r="S672" s="34"/>
      <c r="CG672" s="35"/>
      <c r="CH672" s="35"/>
      <c r="CO672" s="35"/>
      <c r="CW672" s="35"/>
      <c r="CX672" s="35"/>
    </row>
    <row r="673" ht="15.75" customHeight="1">
      <c r="S673" s="34"/>
      <c r="CG673" s="35"/>
      <c r="CH673" s="35"/>
      <c r="CO673" s="35"/>
      <c r="CW673" s="35"/>
      <c r="CX673" s="35"/>
    </row>
    <row r="674" ht="15.75" customHeight="1">
      <c r="S674" s="34"/>
      <c r="CG674" s="35"/>
      <c r="CH674" s="35"/>
      <c r="CO674" s="35"/>
      <c r="CW674" s="35"/>
      <c r="CX674" s="35"/>
    </row>
    <row r="675" ht="15.75" customHeight="1">
      <c r="S675" s="34"/>
      <c r="CG675" s="35"/>
      <c r="CH675" s="35"/>
      <c r="CO675" s="35"/>
      <c r="CW675" s="35"/>
      <c r="CX675" s="35"/>
    </row>
    <row r="676" ht="15.75" customHeight="1">
      <c r="S676" s="34"/>
      <c r="CG676" s="35"/>
      <c r="CH676" s="35"/>
      <c r="CO676" s="35"/>
      <c r="CW676" s="35"/>
      <c r="CX676" s="35"/>
    </row>
    <row r="677" ht="15.75" customHeight="1">
      <c r="S677" s="34"/>
      <c r="CG677" s="35"/>
      <c r="CH677" s="35"/>
      <c r="CO677" s="35"/>
      <c r="CW677" s="35"/>
      <c r="CX677" s="35"/>
    </row>
    <row r="678" ht="15.75" customHeight="1">
      <c r="S678" s="34"/>
      <c r="CG678" s="35"/>
      <c r="CH678" s="35"/>
      <c r="CO678" s="35"/>
      <c r="CW678" s="35"/>
      <c r="CX678" s="35"/>
    </row>
    <row r="679" ht="15.75" customHeight="1">
      <c r="S679" s="34"/>
      <c r="CG679" s="35"/>
      <c r="CH679" s="35"/>
      <c r="CO679" s="35"/>
      <c r="CW679" s="35"/>
      <c r="CX679" s="35"/>
    </row>
    <row r="680" ht="15.75" customHeight="1">
      <c r="S680" s="34"/>
      <c r="CG680" s="35"/>
      <c r="CH680" s="35"/>
      <c r="CO680" s="35"/>
      <c r="CW680" s="35"/>
      <c r="CX680" s="35"/>
    </row>
    <row r="681" ht="15.75" customHeight="1">
      <c r="S681" s="34"/>
      <c r="CG681" s="35"/>
      <c r="CH681" s="35"/>
      <c r="CO681" s="35"/>
      <c r="CW681" s="35"/>
      <c r="CX681" s="35"/>
    </row>
    <row r="682" ht="15.75" customHeight="1">
      <c r="S682" s="34"/>
      <c r="CG682" s="35"/>
      <c r="CH682" s="35"/>
      <c r="CO682" s="35"/>
      <c r="CW682" s="35"/>
      <c r="CX682" s="35"/>
    </row>
    <row r="683" ht="15.75" customHeight="1">
      <c r="S683" s="34"/>
      <c r="CG683" s="35"/>
      <c r="CH683" s="35"/>
      <c r="CO683" s="35"/>
      <c r="CW683" s="35"/>
      <c r="CX683" s="35"/>
    </row>
    <row r="684" ht="15.75" customHeight="1">
      <c r="S684" s="34"/>
      <c r="CG684" s="35"/>
      <c r="CH684" s="35"/>
      <c r="CO684" s="35"/>
      <c r="CW684" s="35"/>
      <c r="CX684" s="35"/>
    </row>
    <row r="685" ht="15.75" customHeight="1">
      <c r="S685" s="34"/>
      <c r="CG685" s="35"/>
      <c r="CH685" s="35"/>
      <c r="CO685" s="35"/>
      <c r="CW685" s="35"/>
      <c r="CX685" s="35"/>
    </row>
    <row r="686" ht="15.75" customHeight="1">
      <c r="S686" s="34"/>
      <c r="CG686" s="35"/>
      <c r="CH686" s="35"/>
      <c r="CO686" s="35"/>
      <c r="CW686" s="35"/>
      <c r="CX686" s="35"/>
    </row>
    <row r="687" ht="15.75" customHeight="1">
      <c r="S687" s="34"/>
      <c r="CG687" s="35"/>
      <c r="CH687" s="35"/>
      <c r="CO687" s="35"/>
      <c r="CW687" s="35"/>
      <c r="CX687" s="35"/>
    </row>
    <row r="688" ht="15.75" customHeight="1">
      <c r="S688" s="34"/>
      <c r="CG688" s="35"/>
      <c r="CH688" s="35"/>
      <c r="CO688" s="35"/>
      <c r="CW688" s="35"/>
      <c r="CX688" s="35"/>
    </row>
    <row r="689" ht="15.75" customHeight="1">
      <c r="S689" s="34"/>
      <c r="CG689" s="35"/>
      <c r="CH689" s="35"/>
      <c r="CO689" s="35"/>
      <c r="CW689" s="35"/>
      <c r="CX689" s="35"/>
    </row>
    <row r="690" ht="15.75" customHeight="1">
      <c r="S690" s="34"/>
      <c r="CG690" s="35"/>
      <c r="CH690" s="35"/>
      <c r="CO690" s="35"/>
      <c r="CW690" s="35"/>
      <c r="CX690" s="35"/>
    </row>
    <row r="691" ht="15.75" customHeight="1">
      <c r="S691" s="34"/>
      <c r="CG691" s="35"/>
      <c r="CH691" s="35"/>
      <c r="CO691" s="35"/>
      <c r="CW691" s="35"/>
      <c r="CX691" s="35"/>
    </row>
    <row r="692" ht="15.75" customHeight="1">
      <c r="S692" s="34"/>
      <c r="CG692" s="35"/>
      <c r="CH692" s="35"/>
      <c r="CO692" s="35"/>
      <c r="CW692" s="35"/>
      <c r="CX692" s="35"/>
    </row>
    <row r="693" ht="15.75" customHeight="1">
      <c r="S693" s="34"/>
      <c r="CG693" s="35"/>
      <c r="CH693" s="35"/>
      <c r="CO693" s="35"/>
      <c r="CW693" s="35"/>
      <c r="CX693" s="35"/>
    </row>
    <row r="694" ht="15.75" customHeight="1">
      <c r="S694" s="34"/>
      <c r="CG694" s="35"/>
      <c r="CH694" s="35"/>
      <c r="CO694" s="35"/>
      <c r="CW694" s="35"/>
      <c r="CX694" s="35"/>
    </row>
    <row r="695" ht="15.75" customHeight="1">
      <c r="S695" s="34"/>
      <c r="CG695" s="35"/>
      <c r="CH695" s="35"/>
      <c r="CO695" s="35"/>
      <c r="CW695" s="35"/>
      <c r="CX695" s="35"/>
    </row>
    <row r="696" ht="15.75" customHeight="1">
      <c r="S696" s="34"/>
      <c r="CG696" s="35"/>
      <c r="CH696" s="35"/>
      <c r="CO696" s="35"/>
      <c r="CW696" s="35"/>
      <c r="CX696" s="35"/>
    </row>
    <row r="697" ht="15.75" customHeight="1">
      <c r="S697" s="34"/>
      <c r="CG697" s="35"/>
      <c r="CH697" s="35"/>
      <c r="CO697" s="35"/>
      <c r="CW697" s="35"/>
      <c r="CX697" s="35"/>
    </row>
    <row r="698" ht="15.75" customHeight="1">
      <c r="S698" s="34"/>
      <c r="CG698" s="35"/>
      <c r="CH698" s="35"/>
      <c r="CO698" s="35"/>
      <c r="CW698" s="35"/>
      <c r="CX698" s="35"/>
    </row>
    <row r="699" ht="15.75" customHeight="1">
      <c r="S699" s="34"/>
      <c r="CG699" s="35"/>
      <c r="CH699" s="35"/>
      <c r="CO699" s="35"/>
      <c r="CW699" s="35"/>
      <c r="CX699" s="35"/>
    </row>
    <row r="700" ht="15.75" customHeight="1">
      <c r="S700" s="34"/>
      <c r="CG700" s="35"/>
      <c r="CH700" s="35"/>
      <c r="CO700" s="35"/>
      <c r="CW700" s="35"/>
      <c r="CX700" s="35"/>
    </row>
    <row r="701" ht="15.75" customHeight="1">
      <c r="S701" s="34"/>
      <c r="CG701" s="35"/>
      <c r="CH701" s="35"/>
      <c r="CO701" s="35"/>
      <c r="CW701" s="35"/>
      <c r="CX701" s="35"/>
    </row>
    <row r="702" ht="15.75" customHeight="1">
      <c r="S702" s="34"/>
      <c r="CG702" s="35"/>
      <c r="CH702" s="35"/>
      <c r="CO702" s="35"/>
      <c r="CW702" s="35"/>
      <c r="CX702" s="35"/>
    </row>
    <row r="703" ht="15.75" customHeight="1">
      <c r="S703" s="34"/>
      <c r="CG703" s="35"/>
      <c r="CH703" s="35"/>
      <c r="CO703" s="35"/>
      <c r="CW703" s="35"/>
      <c r="CX703" s="35"/>
    </row>
    <row r="704" ht="15.75" customHeight="1">
      <c r="S704" s="34"/>
      <c r="CG704" s="35"/>
      <c r="CH704" s="35"/>
      <c r="CO704" s="35"/>
      <c r="CW704" s="35"/>
      <c r="CX704" s="35"/>
    </row>
    <row r="705" ht="15.75" customHeight="1">
      <c r="S705" s="34"/>
      <c r="CG705" s="35"/>
      <c r="CH705" s="35"/>
      <c r="CO705" s="35"/>
      <c r="CW705" s="35"/>
      <c r="CX705" s="35"/>
    </row>
    <row r="706" ht="15.75" customHeight="1">
      <c r="S706" s="34"/>
      <c r="CG706" s="35"/>
      <c r="CH706" s="35"/>
      <c r="CO706" s="35"/>
      <c r="CW706" s="35"/>
      <c r="CX706" s="35"/>
    </row>
    <row r="707" ht="15.75" customHeight="1">
      <c r="S707" s="34"/>
      <c r="CG707" s="35"/>
      <c r="CH707" s="35"/>
      <c r="CO707" s="35"/>
      <c r="CW707" s="35"/>
      <c r="CX707" s="35"/>
    </row>
    <row r="708" ht="15.75" customHeight="1">
      <c r="S708" s="34"/>
      <c r="CG708" s="35"/>
      <c r="CH708" s="35"/>
      <c r="CO708" s="35"/>
      <c r="CW708" s="35"/>
      <c r="CX708" s="35"/>
    </row>
    <row r="709" ht="15.75" customHeight="1">
      <c r="S709" s="34"/>
      <c r="CG709" s="35"/>
      <c r="CH709" s="35"/>
      <c r="CO709" s="35"/>
      <c r="CW709" s="35"/>
      <c r="CX709" s="35"/>
    </row>
    <row r="710" ht="15.75" customHeight="1">
      <c r="S710" s="34"/>
      <c r="CG710" s="35"/>
      <c r="CH710" s="35"/>
      <c r="CO710" s="35"/>
      <c r="CW710" s="35"/>
      <c r="CX710" s="35"/>
    </row>
    <row r="711" ht="15.75" customHeight="1">
      <c r="S711" s="34"/>
      <c r="CG711" s="35"/>
      <c r="CH711" s="35"/>
      <c r="CO711" s="35"/>
      <c r="CW711" s="35"/>
      <c r="CX711" s="35"/>
    </row>
    <row r="712" ht="15.75" customHeight="1">
      <c r="S712" s="34"/>
      <c r="CG712" s="35"/>
      <c r="CH712" s="35"/>
      <c r="CO712" s="35"/>
      <c r="CW712" s="35"/>
      <c r="CX712" s="35"/>
    </row>
    <row r="713" ht="15.75" customHeight="1">
      <c r="S713" s="34"/>
      <c r="CG713" s="35"/>
      <c r="CH713" s="35"/>
      <c r="CO713" s="35"/>
      <c r="CW713" s="35"/>
      <c r="CX713" s="35"/>
    </row>
    <row r="714" ht="15.75" customHeight="1">
      <c r="S714" s="34"/>
      <c r="CG714" s="35"/>
      <c r="CH714" s="35"/>
      <c r="CO714" s="35"/>
      <c r="CW714" s="35"/>
      <c r="CX714" s="35"/>
    </row>
    <row r="715" ht="15.75" customHeight="1">
      <c r="S715" s="34"/>
      <c r="CG715" s="35"/>
      <c r="CH715" s="35"/>
      <c r="CO715" s="35"/>
      <c r="CW715" s="35"/>
      <c r="CX715" s="35"/>
    </row>
    <row r="716" ht="15.75" customHeight="1">
      <c r="S716" s="34"/>
      <c r="CG716" s="35"/>
      <c r="CH716" s="35"/>
      <c r="CO716" s="35"/>
      <c r="CW716" s="35"/>
      <c r="CX716" s="35"/>
    </row>
    <row r="717" ht="15.75" customHeight="1">
      <c r="S717" s="34"/>
      <c r="CG717" s="35"/>
      <c r="CH717" s="35"/>
      <c r="CO717" s="35"/>
      <c r="CW717" s="35"/>
      <c r="CX717" s="35"/>
    </row>
    <row r="718" ht="15.75" customHeight="1">
      <c r="S718" s="34"/>
      <c r="CG718" s="35"/>
      <c r="CH718" s="35"/>
      <c r="CO718" s="35"/>
      <c r="CW718" s="35"/>
      <c r="CX718" s="35"/>
    </row>
    <row r="719" ht="15.75" customHeight="1">
      <c r="S719" s="34"/>
      <c r="CG719" s="35"/>
      <c r="CH719" s="35"/>
      <c r="CO719" s="35"/>
      <c r="CW719" s="35"/>
      <c r="CX719" s="35"/>
    </row>
    <row r="720" ht="15.75" customHeight="1">
      <c r="S720" s="34"/>
      <c r="CG720" s="35"/>
      <c r="CH720" s="35"/>
      <c r="CO720" s="35"/>
      <c r="CW720" s="35"/>
      <c r="CX720" s="35"/>
    </row>
    <row r="721" ht="15.75" customHeight="1">
      <c r="S721" s="34"/>
      <c r="CG721" s="35"/>
      <c r="CH721" s="35"/>
      <c r="CO721" s="35"/>
      <c r="CW721" s="35"/>
      <c r="CX721" s="35"/>
    </row>
    <row r="722" ht="15.75" customHeight="1">
      <c r="S722" s="34"/>
      <c r="CG722" s="35"/>
      <c r="CH722" s="35"/>
      <c r="CO722" s="35"/>
      <c r="CW722" s="35"/>
      <c r="CX722" s="35"/>
    </row>
    <row r="723" ht="15.75" customHeight="1">
      <c r="S723" s="34"/>
      <c r="CG723" s="35"/>
      <c r="CH723" s="35"/>
      <c r="CO723" s="35"/>
      <c r="CW723" s="35"/>
      <c r="CX723" s="35"/>
    </row>
    <row r="724" ht="15.75" customHeight="1">
      <c r="S724" s="34"/>
      <c r="CG724" s="35"/>
      <c r="CH724" s="35"/>
      <c r="CO724" s="35"/>
      <c r="CW724" s="35"/>
      <c r="CX724" s="35"/>
    </row>
    <row r="725" ht="15.75" customHeight="1">
      <c r="S725" s="34"/>
      <c r="CG725" s="35"/>
      <c r="CH725" s="35"/>
      <c r="CO725" s="35"/>
      <c r="CW725" s="35"/>
      <c r="CX725" s="35"/>
    </row>
    <row r="726" ht="15.75" customHeight="1">
      <c r="S726" s="34"/>
      <c r="CG726" s="35"/>
      <c r="CH726" s="35"/>
      <c r="CO726" s="35"/>
      <c r="CW726" s="35"/>
      <c r="CX726" s="35"/>
    </row>
    <row r="727" ht="15.75" customHeight="1">
      <c r="S727" s="34"/>
      <c r="CG727" s="35"/>
      <c r="CH727" s="35"/>
      <c r="CO727" s="35"/>
      <c r="CW727" s="35"/>
      <c r="CX727" s="35"/>
    </row>
    <row r="728" ht="15.75" customHeight="1">
      <c r="S728" s="34"/>
      <c r="CG728" s="35"/>
      <c r="CH728" s="35"/>
      <c r="CO728" s="35"/>
      <c r="CW728" s="35"/>
      <c r="CX728" s="35"/>
    </row>
    <row r="729" ht="15.75" customHeight="1">
      <c r="S729" s="34"/>
      <c r="CG729" s="35"/>
      <c r="CH729" s="35"/>
      <c r="CO729" s="35"/>
      <c r="CW729" s="35"/>
      <c r="CX729" s="35"/>
    </row>
    <row r="730" ht="15.75" customHeight="1">
      <c r="S730" s="34"/>
      <c r="CG730" s="35"/>
      <c r="CH730" s="35"/>
      <c r="CO730" s="35"/>
      <c r="CW730" s="35"/>
      <c r="CX730" s="35"/>
    </row>
    <row r="731" ht="15.75" customHeight="1">
      <c r="S731" s="34"/>
      <c r="CG731" s="35"/>
      <c r="CH731" s="35"/>
      <c r="CO731" s="35"/>
      <c r="CW731" s="35"/>
      <c r="CX731" s="35"/>
    </row>
    <row r="732" ht="15.75" customHeight="1">
      <c r="S732" s="34"/>
      <c r="CG732" s="35"/>
      <c r="CH732" s="35"/>
      <c r="CO732" s="35"/>
      <c r="CW732" s="35"/>
      <c r="CX732" s="35"/>
    </row>
    <row r="733" ht="15.75" customHeight="1">
      <c r="S733" s="34"/>
      <c r="CG733" s="35"/>
      <c r="CH733" s="35"/>
      <c r="CO733" s="35"/>
      <c r="CW733" s="35"/>
      <c r="CX733" s="35"/>
    </row>
    <row r="734" ht="15.75" customHeight="1">
      <c r="S734" s="34"/>
      <c r="CG734" s="35"/>
      <c r="CH734" s="35"/>
      <c r="CO734" s="35"/>
      <c r="CW734" s="35"/>
      <c r="CX734" s="35"/>
    </row>
    <row r="735" ht="15.75" customHeight="1">
      <c r="S735" s="34"/>
      <c r="CG735" s="35"/>
      <c r="CH735" s="35"/>
      <c r="CO735" s="35"/>
      <c r="CW735" s="35"/>
      <c r="CX735" s="35"/>
    </row>
    <row r="736" ht="15.75" customHeight="1">
      <c r="S736" s="34"/>
      <c r="CG736" s="35"/>
      <c r="CH736" s="35"/>
      <c r="CO736" s="35"/>
      <c r="CW736" s="35"/>
      <c r="CX736" s="35"/>
    </row>
    <row r="737" ht="15.75" customHeight="1">
      <c r="S737" s="34"/>
      <c r="CG737" s="35"/>
      <c r="CH737" s="35"/>
      <c r="CO737" s="35"/>
      <c r="CW737" s="35"/>
      <c r="CX737" s="35"/>
    </row>
    <row r="738" ht="15.75" customHeight="1">
      <c r="S738" s="34"/>
      <c r="CG738" s="35"/>
      <c r="CH738" s="35"/>
      <c r="CO738" s="35"/>
      <c r="CW738" s="35"/>
      <c r="CX738" s="35"/>
    </row>
    <row r="739" ht="15.75" customHeight="1">
      <c r="S739" s="34"/>
      <c r="CG739" s="35"/>
      <c r="CH739" s="35"/>
      <c r="CO739" s="35"/>
      <c r="CW739" s="35"/>
      <c r="CX739" s="35"/>
    </row>
    <row r="740" ht="15.75" customHeight="1">
      <c r="S740" s="34"/>
      <c r="CG740" s="35"/>
      <c r="CH740" s="35"/>
      <c r="CO740" s="35"/>
      <c r="CW740" s="35"/>
      <c r="CX740" s="35"/>
    </row>
    <row r="741" ht="15.75" customHeight="1">
      <c r="S741" s="34"/>
      <c r="CG741" s="35"/>
      <c r="CH741" s="35"/>
      <c r="CO741" s="35"/>
      <c r="CW741" s="35"/>
      <c r="CX741" s="35"/>
    </row>
    <row r="742" ht="15.75" customHeight="1">
      <c r="S742" s="34"/>
      <c r="CG742" s="35"/>
      <c r="CH742" s="35"/>
      <c r="CO742" s="35"/>
      <c r="CW742" s="35"/>
      <c r="CX742" s="35"/>
    </row>
    <row r="743" ht="15.75" customHeight="1">
      <c r="S743" s="34"/>
      <c r="CG743" s="35"/>
      <c r="CH743" s="35"/>
      <c r="CO743" s="35"/>
      <c r="CW743" s="35"/>
      <c r="CX743" s="35"/>
    </row>
    <row r="744" ht="15.75" customHeight="1">
      <c r="S744" s="34"/>
      <c r="CG744" s="35"/>
      <c r="CH744" s="35"/>
      <c r="CO744" s="35"/>
      <c r="CW744" s="35"/>
      <c r="CX744" s="35"/>
    </row>
    <row r="745" ht="15.75" customHeight="1">
      <c r="S745" s="34"/>
      <c r="CG745" s="35"/>
      <c r="CH745" s="35"/>
      <c r="CO745" s="35"/>
      <c r="CW745" s="35"/>
      <c r="CX745" s="35"/>
    </row>
    <row r="746" ht="15.75" customHeight="1">
      <c r="S746" s="34"/>
      <c r="CG746" s="35"/>
      <c r="CH746" s="35"/>
      <c r="CO746" s="35"/>
      <c r="CW746" s="35"/>
      <c r="CX746" s="35"/>
    </row>
    <row r="747" ht="15.75" customHeight="1">
      <c r="S747" s="34"/>
      <c r="CG747" s="35"/>
      <c r="CH747" s="35"/>
      <c r="CO747" s="35"/>
      <c r="CW747" s="35"/>
      <c r="CX747" s="35"/>
    </row>
    <row r="748" ht="15.75" customHeight="1">
      <c r="S748" s="34"/>
      <c r="CG748" s="35"/>
      <c r="CH748" s="35"/>
      <c r="CO748" s="35"/>
      <c r="CW748" s="35"/>
      <c r="CX748" s="35"/>
    </row>
    <row r="749" ht="15.75" customHeight="1">
      <c r="S749" s="34"/>
      <c r="CG749" s="35"/>
      <c r="CH749" s="35"/>
      <c r="CO749" s="35"/>
      <c r="CW749" s="35"/>
      <c r="CX749" s="35"/>
    </row>
    <row r="750" ht="15.75" customHeight="1">
      <c r="S750" s="34"/>
      <c r="CG750" s="35"/>
      <c r="CH750" s="35"/>
      <c r="CO750" s="35"/>
      <c r="CW750" s="35"/>
      <c r="CX750" s="35"/>
    </row>
    <row r="751" ht="15.75" customHeight="1">
      <c r="S751" s="34"/>
      <c r="CG751" s="35"/>
      <c r="CH751" s="35"/>
      <c r="CO751" s="35"/>
      <c r="CW751" s="35"/>
      <c r="CX751" s="35"/>
    </row>
    <row r="752" ht="15.75" customHeight="1">
      <c r="S752" s="34"/>
      <c r="CG752" s="35"/>
      <c r="CH752" s="35"/>
      <c r="CO752" s="35"/>
      <c r="CW752" s="35"/>
      <c r="CX752" s="35"/>
    </row>
    <row r="753" ht="15.75" customHeight="1">
      <c r="S753" s="34"/>
      <c r="CG753" s="35"/>
      <c r="CH753" s="35"/>
      <c r="CO753" s="35"/>
      <c r="CW753" s="35"/>
      <c r="CX753" s="35"/>
    </row>
    <row r="754" ht="15.75" customHeight="1">
      <c r="S754" s="34"/>
      <c r="CG754" s="35"/>
      <c r="CH754" s="35"/>
      <c r="CO754" s="35"/>
      <c r="CW754" s="35"/>
      <c r="CX754" s="35"/>
    </row>
    <row r="755" ht="15.75" customHeight="1">
      <c r="S755" s="34"/>
      <c r="CG755" s="35"/>
      <c r="CH755" s="35"/>
      <c r="CO755" s="35"/>
      <c r="CW755" s="35"/>
      <c r="CX755" s="35"/>
    </row>
    <row r="756" ht="15.75" customHeight="1">
      <c r="S756" s="34"/>
      <c r="CG756" s="35"/>
      <c r="CH756" s="35"/>
      <c r="CO756" s="35"/>
      <c r="CW756" s="35"/>
      <c r="CX756" s="35"/>
    </row>
    <row r="757" ht="15.75" customHeight="1">
      <c r="S757" s="34"/>
      <c r="CG757" s="35"/>
      <c r="CH757" s="35"/>
      <c r="CO757" s="35"/>
      <c r="CW757" s="35"/>
      <c r="CX757" s="35"/>
    </row>
    <row r="758" ht="15.75" customHeight="1">
      <c r="S758" s="34"/>
      <c r="CG758" s="35"/>
      <c r="CH758" s="35"/>
      <c r="CO758" s="35"/>
      <c r="CW758" s="35"/>
      <c r="CX758" s="35"/>
    </row>
    <row r="759" ht="15.75" customHeight="1">
      <c r="S759" s="34"/>
      <c r="CG759" s="35"/>
      <c r="CH759" s="35"/>
      <c r="CO759" s="35"/>
      <c r="CW759" s="35"/>
      <c r="CX759" s="35"/>
    </row>
    <row r="760" ht="15.75" customHeight="1">
      <c r="S760" s="34"/>
      <c r="CG760" s="35"/>
      <c r="CH760" s="35"/>
      <c r="CO760" s="35"/>
      <c r="CW760" s="35"/>
      <c r="CX760" s="35"/>
    </row>
    <row r="761" ht="15.75" customHeight="1">
      <c r="S761" s="34"/>
      <c r="CG761" s="35"/>
      <c r="CH761" s="35"/>
      <c r="CO761" s="35"/>
      <c r="CW761" s="35"/>
      <c r="CX761" s="35"/>
    </row>
    <row r="762" ht="15.75" customHeight="1">
      <c r="S762" s="34"/>
      <c r="CG762" s="35"/>
      <c r="CH762" s="35"/>
      <c r="CO762" s="35"/>
      <c r="CW762" s="35"/>
      <c r="CX762" s="35"/>
    </row>
    <row r="763" ht="15.75" customHeight="1">
      <c r="S763" s="34"/>
      <c r="CG763" s="35"/>
      <c r="CH763" s="35"/>
      <c r="CO763" s="35"/>
      <c r="CW763" s="35"/>
      <c r="CX763" s="35"/>
    </row>
    <row r="764" ht="15.75" customHeight="1">
      <c r="S764" s="34"/>
      <c r="CG764" s="35"/>
      <c r="CH764" s="35"/>
      <c r="CO764" s="35"/>
      <c r="CW764" s="35"/>
      <c r="CX764" s="35"/>
    </row>
    <row r="765" ht="15.75" customHeight="1">
      <c r="S765" s="34"/>
      <c r="CG765" s="35"/>
      <c r="CH765" s="35"/>
      <c r="CO765" s="35"/>
      <c r="CW765" s="35"/>
      <c r="CX765" s="35"/>
    </row>
    <row r="766" ht="15.75" customHeight="1">
      <c r="S766" s="34"/>
      <c r="CG766" s="35"/>
      <c r="CH766" s="35"/>
      <c r="CO766" s="35"/>
      <c r="CW766" s="35"/>
      <c r="CX766" s="35"/>
    </row>
    <row r="767" ht="15.75" customHeight="1">
      <c r="S767" s="34"/>
      <c r="CG767" s="35"/>
      <c r="CH767" s="35"/>
      <c r="CO767" s="35"/>
      <c r="CW767" s="35"/>
      <c r="CX767" s="35"/>
    </row>
    <row r="768" ht="15.75" customHeight="1">
      <c r="S768" s="34"/>
      <c r="CG768" s="35"/>
      <c r="CH768" s="35"/>
      <c r="CO768" s="35"/>
      <c r="CW768" s="35"/>
      <c r="CX768" s="35"/>
    </row>
    <row r="769" ht="15.75" customHeight="1">
      <c r="S769" s="34"/>
      <c r="CG769" s="35"/>
      <c r="CH769" s="35"/>
      <c r="CO769" s="35"/>
      <c r="CW769" s="35"/>
      <c r="CX769" s="35"/>
    </row>
    <row r="770" ht="15.75" customHeight="1">
      <c r="S770" s="34"/>
      <c r="CG770" s="35"/>
      <c r="CH770" s="35"/>
      <c r="CO770" s="35"/>
      <c r="CW770" s="35"/>
      <c r="CX770" s="35"/>
    </row>
    <row r="771" ht="15.75" customHeight="1">
      <c r="S771" s="34"/>
      <c r="CG771" s="35"/>
      <c r="CH771" s="35"/>
      <c r="CO771" s="35"/>
      <c r="CW771" s="35"/>
      <c r="CX771" s="35"/>
    </row>
    <row r="772" ht="15.75" customHeight="1">
      <c r="S772" s="34"/>
      <c r="CG772" s="35"/>
      <c r="CH772" s="35"/>
      <c r="CO772" s="35"/>
      <c r="CW772" s="35"/>
      <c r="CX772" s="35"/>
    </row>
    <row r="773" ht="15.75" customHeight="1">
      <c r="S773" s="34"/>
      <c r="CG773" s="35"/>
      <c r="CH773" s="35"/>
      <c r="CO773" s="35"/>
      <c r="CW773" s="35"/>
      <c r="CX773" s="35"/>
    </row>
    <row r="774" ht="15.75" customHeight="1">
      <c r="S774" s="34"/>
      <c r="CG774" s="35"/>
      <c r="CH774" s="35"/>
      <c r="CO774" s="35"/>
      <c r="CW774" s="35"/>
      <c r="CX774" s="35"/>
    </row>
    <row r="775" ht="15.75" customHeight="1">
      <c r="S775" s="34"/>
      <c r="CG775" s="35"/>
      <c r="CH775" s="35"/>
      <c r="CO775" s="35"/>
      <c r="CW775" s="35"/>
      <c r="CX775" s="35"/>
    </row>
    <row r="776" ht="15.75" customHeight="1">
      <c r="S776" s="34"/>
      <c r="CG776" s="35"/>
      <c r="CH776" s="35"/>
      <c r="CO776" s="35"/>
      <c r="CW776" s="35"/>
      <c r="CX776" s="35"/>
    </row>
    <row r="777" ht="15.75" customHeight="1">
      <c r="S777" s="34"/>
      <c r="CG777" s="35"/>
      <c r="CH777" s="35"/>
      <c r="CO777" s="35"/>
      <c r="CW777" s="35"/>
      <c r="CX777" s="35"/>
    </row>
    <row r="778" ht="15.75" customHeight="1">
      <c r="S778" s="34"/>
      <c r="CG778" s="35"/>
      <c r="CH778" s="35"/>
      <c r="CO778" s="35"/>
      <c r="CW778" s="35"/>
      <c r="CX778" s="35"/>
    </row>
    <row r="779" ht="15.75" customHeight="1">
      <c r="S779" s="34"/>
      <c r="CG779" s="35"/>
      <c r="CH779" s="35"/>
      <c r="CO779" s="35"/>
      <c r="CW779" s="35"/>
      <c r="CX779" s="35"/>
    </row>
    <row r="780" ht="15.75" customHeight="1">
      <c r="S780" s="34"/>
      <c r="CG780" s="35"/>
      <c r="CH780" s="35"/>
      <c r="CO780" s="35"/>
      <c r="CW780" s="35"/>
      <c r="CX780" s="35"/>
    </row>
    <row r="781" ht="15.75" customHeight="1">
      <c r="S781" s="34"/>
      <c r="CG781" s="35"/>
      <c r="CH781" s="35"/>
      <c r="CO781" s="35"/>
      <c r="CW781" s="35"/>
      <c r="CX781" s="35"/>
    </row>
    <row r="782" ht="15.75" customHeight="1">
      <c r="S782" s="34"/>
      <c r="CG782" s="35"/>
      <c r="CH782" s="35"/>
      <c r="CO782" s="35"/>
      <c r="CW782" s="35"/>
      <c r="CX782" s="35"/>
    </row>
    <row r="783" ht="15.75" customHeight="1">
      <c r="S783" s="34"/>
      <c r="CG783" s="35"/>
      <c r="CH783" s="35"/>
      <c r="CO783" s="35"/>
      <c r="CW783" s="35"/>
      <c r="CX783" s="35"/>
    </row>
    <row r="784" ht="15.75" customHeight="1">
      <c r="S784" s="34"/>
      <c r="CG784" s="35"/>
      <c r="CH784" s="35"/>
      <c r="CO784" s="35"/>
      <c r="CW784" s="35"/>
      <c r="CX784" s="35"/>
    </row>
    <row r="785" ht="15.75" customHeight="1">
      <c r="S785" s="34"/>
      <c r="CG785" s="35"/>
      <c r="CH785" s="35"/>
      <c r="CO785" s="35"/>
      <c r="CW785" s="35"/>
      <c r="CX785" s="35"/>
    </row>
    <row r="786" ht="15.75" customHeight="1">
      <c r="S786" s="34"/>
      <c r="CG786" s="35"/>
      <c r="CH786" s="35"/>
      <c r="CO786" s="35"/>
      <c r="CW786" s="35"/>
      <c r="CX786" s="35"/>
    </row>
    <row r="787" ht="15.75" customHeight="1">
      <c r="S787" s="34"/>
      <c r="CG787" s="35"/>
      <c r="CH787" s="35"/>
      <c r="CO787" s="35"/>
      <c r="CW787" s="35"/>
      <c r="CX787" s="35"/>
    </row>
    <row r="788" ht="15.75" customHeight="1">
      <c r="S788" s="34"/>
      <c r="CG788" s="35"/>
      <c r="CH788" s="35"/>
      <c r="CO788" s="35"/>
      <c r="CW788" s="35"/>
      <c r="CX788" s="35"/>
    </row>
    <row r="789" ht="15.75" customHeight="1">
      <c r="S789" s="34"/>
      <c r="CG789" s="35"/>
      <c r="CH789" s="35"/>
      <c r="CO789" s="35"/>
      <c r="CW789" s="35"/>
      <c r="CX789" s="35"/>
    </row>
    <row r="790" ht="15.75" customHeight="1">
      <c r="S790" s="34"/>
      <c r="CG790" s="35"/>
      <c r="CH790" s="35"/>
      <c r="CO790" s="35"/>
      <c r="CW790" s="35"/>
      <c r="CX790" s="35"/>
    </row>
    <row r="791" ht="15.75" customHeight="1">
      <c r="S791" s="34"/>
      <c r="CG791" s="35"/>
      <c r="CH791" s="35"/>
      <c r="CO791" s="35"/>
      <c r="CW791" s="35"/>
      <c r="CX791" s="35"/>
    </row>
    <row r="792" ht="15.75" customHeight="1">
      <c r="S792" s="34"/>
      <c r="CG792" s="35"/>
      <c r="CH792" s="35"/>
      <c r="CO792" s="35"/>
      <c r="CW792" s="35"/>
      <c r="CX792" s="35"/>
    </row>
    <row r="793" ht="15.75" customHeight="1">
      <c r="S793" s="34"/>
      <c r="CG793" s="35"/>
      <c r="CH793" s="35"/>
      <c r="CO793" s="35"/>
      <c r="CW793" s="35"/>
      <c r="CX793" s="35"/>
    </row>
    <row r="794" ht="15.75" customHeight="1">
      <c r="S794" s="34"/>
      <c r="CG794" s="35"/>
      <c r="CH794" s="35"/>
      <c r="CO794" s="35"/>
      <c r="CW794" s="35"/>
      <c r="CX794" s="35"/>
    </row>
    <row r="795" ht="15.75" customHeight="1">
      <c r="S795" s="34"/>
      <c r="CG795" s="35"/>
      <c r="CH795" s="35"/>
      <c r="CO795" s="35"/>
      <c r="CW795" s="35"/>
      <c r="CX795" s="35"/>
    </row>
    <row r="796" ht="15.75" customHeight="1">
      <c r="S796" s="34"/>
      <c r="CG796" s="35"/>
      <c r="CH796" s="35"/>
      <c r="CO796" s="35"/>
      <c r="CW796" s="35"/>
      <c r="CX796" s="35"/>
    </row>
    <row r="797" ht="15.75" customHeight="1">
      <c r="S797" s="34"/>
      <c r="CG797" s="35"/>
      <c r="CH797" s="35"/>
      <c r="CO797" s="35"/>
      <c r="CW797" s="35"/>
      <c r="CX797" s="35"/>
    </row>
    <row r="798" ht="15.75" customHeight="1">
      <c r="S798" s="34"/>
      <c r="CG798" s="35"/>
      <c r="CH798" s="35"/>
      <c r="CO798" s="35"/>
      <c r="CW798" s="35"/>
      <c r="CX798" s="35"/>
    </row>
    <row r="799" ht="15.75" customHeight="1">
      <c r="S799" s="34"/>
      <c r="CG799" s="35"/>
      <c r="CH799" s="35"/>
      <c r="CO799" s="35"/>
      <c r="CW799" s="35"/>
      <c r="CX799" s="35"/>
    </row>
    <row r="800" ht="15.75" customHeight="1">
      <c r="S800" s="34"/>
      <c r="CG800" s="35"/>
      <c r="CH800" s="35"/>
      <c r="CO800" s="35"/>
      <c r="CW800" s="35"/>
      <c r="CX800" s="35"/>
    </row>
    <row r="801" ht="15.75" customHeight="1">
      <c r="S801" s="34"/>
      <c r="CG801" s="35"/>
      <c r="CH801" s="35"/>
      <c r="CO801" s="35"/>
      <c r="CW801" s="35"/>
      <c r="CX801" s="35"/>
    </row>
    <row r="802" ht="15.75" customHeight="1">
      <c r="S802" s="34"/>
      <c r="CG802" s="35"/>
      <c r="CH802" s="35"/>
      <c r="CO802" s="35"/>
      <c r="CW802" s="35"/>
      <c r="CX802" s="35"/>
    </row>
    <row r="803" ht="15.75" customHeight="1">
      <c r="S803" s="34"/>
      <c r="CG803" s="35"/>
      <c r="CH803" s="35"/>
      <c r="CO803" s="35"/>
      <c r="CW803" s="35"/>
      <c r="CX803" s="35"/>
    </row>
    <row r="804" ht="15.75" customHeight="1">
      <c r="S804" s="34"/>
      <c r="CG804" s="35"/>
      <c r="CH804" s="35"/>
      <c r="CO804" s="35"/>
      <c r="CW804" s="35"/>
      <c r="CX804" s="35"/>
    </row>
    <row r="805" ht="15.75" customHeight="1">
      <c r="S805" s="34"/>
      <c r="CG805" s="35"/>
      <c r="CH805" s="35"/>
      <c r="CO805" s="35"/>
      <c r="CW805" s="35"/>
      <c r="CX805" s="35"/>
    </row>
    <row r="806" ht="15.75" customHeight="1">
      <c r="S806" s="34"/>
      <c r="CG806" s="35"/>
      <c r="CH806" s="35"/>
      <c r="CO806" s="35"/>
      <c r="CW806" s="35"/>
      <c r="CX806" s="35"/>
    </row>
    <row r="807" ht="15.75" customHeight="1">
      <c r="S807" s="34"/>
      <c r="CG807" s="35"/>
      <c r="CH807" s="35"/>
      <c r="CO807" s="35"/>
      <c r="CW807" s="35"/>
      <c r="CX807" s="35"/>
    </row>
    <row r="808" ht="15.75" customHeight="1">
      <c r="S808" s="34"/>
      <c r="CG808" s="35"/>
      <c r="CH808" s="35"/>
      <c r="CO808" s="35"/>
      <c r="CW808" s="35"/>
      <c r="CX808" s="35"/>
    </row>
    <row r="809" ht="15.75" customHeight="1">
      <c r="S809" s="34"/>
      <c r="CG809" s="35"/>
      <c r="CH809" s="35"/>
      <c r="CO809" s="35"/>
      <c r="CW809" s="35"/>
      <c r="CX809" s="35"/>
    </row>
    <row r="810" ht="15.75" customHeight="1">
      <c r="S810" s="34"/>
      <c r="CG810" s="35"/>
      <c r="CH810" s="35"/>
      <c r="CO810" s="35"/>
      <c r="CW810" s="35"/>
      <c r="CX810" s="35"/>
    </row>
    <row r="811" ht="15.75" customHeight="1">
      <c r="S811" s="34"/>
      <c r="CG811" s="35"/>
      <c r="CH811" s="35"/>
      <c r="CO811" s="35"/>
      <c r="CW811" s="35"/>
      <c r="CX811" s="35"/>
    </row>
    <row r="812" ht="15.75" customHeight="1">
      <c r="S812" s="34"/>
      <c r="CG812" s="35"/>
      <c r="CH812" s="35"/>
      <c r="CO812" s="35"/>
      <c r="CW812" s="35"/>
      <c r="CX812" s="35"/>
    </row>
    <row r="813" ht="15.75" customHeight="1">
      <c r="S813" s="34"/>
      <c r="CG813" s="35"/>
      <c r="CH813" s="35"/>
      <c r="CO813" s="35"/>
      <c r="CW813" s="35"/>
      <c r="CX813" s="35"/>
    </row>
    <row r="814" ht="15.75" customHeight="1">
      <c r="S814" s="34"/>
      <c r="CG814" s="35"/>
      <c r="CH814" s="35"/>
      <c r="CO814" s="35"/>
      <c r="CW814" s="35"/>
      <c r="CX814" s="35"/>
    </row>
    <row r="815" ht="15.75" customHeight="1">
      <c r="S815" s="34"/>
      <c r="CG815" s="35"/>
      <c r="CH815" s="35"/>
      <c r="CO815" s="35"/>
      <c r="CW815" s="35"/>
      <c r="CX815" s="35"/>
    </row>
    <row r="816" ht="15.75" customHeight="1">
      <c r="S816" s="34"/>
      <c r="CG816" s="35"/>
      <c r="CH816" s="35"/>
      <c r="CO816" s="35"/>
      <c r="CW816" s="35"/>
      <c r="CX816" s="35"/>
    </row>
    <row r="817" ht="15.75" customHeight="1">
      <c r="S817" s="34"/>
      <c r="CG817" s="35"/>
      <c r="CH817" s="35"/>
      <c r="CO817" s="35"/>
      <c r="CW817" s="35"/>
      <c r="CX817" s="35"/>
    </row>
    <row r="818" ht="15.75" customHeight="1">
      <c r="S818" s="34"/>
      <c r="CG818" s="35"/>
      <c r="CH818" s="35"/>
      <c r="CO818" s="35"/>
      <c r="CW818" s="35"/>
      <c r="CX818" s="35"/>
    </row>
    <row r="819" ht="15.75" customHeight="1">
      <c r="S819" s="34"/>
      <c r="CG819" s="35"/>
      <c r="CH819" s="35"/>
      <c r="CO819" s="35"/>
      <c r="CW819" s="35"/>
      <c r="CX819" s="35"/>
    </row>
    <row r="820" ht="15.75" customHeight="1">
      <c r="S820" s="34"/>
      <c r="CG820" s="35"/>
      <c r="CH820" s="35"/>
      <c r="CO820" s="35"/>
      <c r="CW820" s="35"/>
      <c r="CX820" s="35"/>
    </row>
    <row r="821" ht="15.75" customHeight="1">
      <c r="S821" s="34"/>
      <c r="CG821" s="35"/>
      <c r="CH821" s="35"/>
      <c r="CO821" s="35"/>
      <c r="CW821" s="35"/>
      <c r="CX821" s="35"/>
    </row>
    <row r="822" ht="15.75" customHeight="1">
      <c r="S822" s="34"/>
      <c r="CG822" s="35"/>
      <c r="CH822" s="35"/>
      <c r="CO822" s="35"/>
      <c r="CW822" s="35"/>
      <c r="CX822" s="35"/>
    </row>
    <row r="823" ht="15.75" customHeight="1">
      <c r="S823" s="34"/>
      <c r="CG823" s="35"/>
      <c r="CH823" s="35"/>
      <c r="CO823" s="35"/>
      <c r="CW823" s="35"/>
      <c r="CX823" s="35"/>
    </row>
    <row r="824" ht="15.75" customHeight="1">
      <c r="S824" s="34"/>
      <c r="CG824" s="35"/>
      <c r="CH824" s="35"/>
      <c r="CO824" s="35"/>
      <c r="CW824" s="35"/>
      <c r="CX824" s="35"/>
    </row>
    <row r="825" ht="15.75" customHeight="1">
      <c r="S825" s="34"/>
      <c r="CG825" s="35"/>
      <c r="CH825" s="35"/>
      <c r="CO825" s="35"/>
      <c r="CW825" s="35"/>
      <c r="CX825" s="35"/>
    </row>
    <row r="826" ht="15.75" customHeight="1">
      <c r="S826" s="34"/>
      <c r="CG826" s="35"/>
      <c r="CH826" s="35"/>
      <c r="CO826" s="35"/>
      <c r="CW826" s="35"/>
      <c r="CX826" s="35"/>
    </row>
    <row r="827" ht="15.75" customHeight="1">
      <c r="S827" s="34"/>
      <c r="CG827" s="35"/>
      <c r="CH827" s="35"/>
      <c r="CO827" s="35"/>
      <c r="CW827" s="35"/>
      <c r="CX827" s="35"/>
    </row>
    <row r="828" ht="15.75" customHeight="1">
      <c r="S828" s="34"/>
      <c r="CG828" s="35"/>
      <c r="CH828" s="35"/>
      <c r="CO828" s="35"/>
      <c r="CW828" s="35"/>
      <c r="CX828" s="35"/>
    </row>
    <row r="829" ht="15.75" customHeight="1">
      <c r="S829" s="34"/>
      <c r="CG829" s="35"/>
      <c r="CH829" s="35"/>
      <c r="CO829" s="35"/>
      <c r="CW829" s="35"/>
      <c r="CX829" s="35"/>
    </row>
    <row r="830" ht="15.75" customHeight="1">
      <c r="S830" s="34"/>
      <c r="CG830" s="35"/>
      <c r="CH830" s="35"/>
      <c r="CO830" s="35"/>
      <c r="CW830" s="35"/>
      <c r="CX830" s="35"/>
    </row>
    <row r="831" ht="15.75" customHeight="1">
      <c r="S831" s="34"/>
      <c r="CG831" s="35"/>
      <c r="CH831" s="35"/>
      <c r="CO831" s="35"/>
      <c r="CW831" s="35"/>
      <c r="CX831" s="35"/>
    </row>
    <row r="832" ht="15.75" customHeight="1">
      <c r="S832" s="34"/>
      <c r="CG832" s="35"/>
      <c r="CH832" s="35"/>
      <c r="CO832" s="35"/>
      <c r="CW832" s="35"/>
      <c r="CX832" s="35"/>
    </row>
    <row r="833" ht="15.75" customHeight="1">
      <c r="S833" s="34"/>
      <c r="CG833" s="35"/>
      <c r="CH833" s="35"/>
      <c r="CO833" s="35"/>
      <c r="CW833" s="35"/>
      <c r="CX833" s="35"/>
    </row>
    <row r="834" ht="15.75" customHeight="1">
      <c r="S834" s="34"/>
      <c r="CG834" s="35"/>
      <c r="CH834" s="35"/>
      <c r="CO834" s="35"/>
      <c r="CW834" s="35"/>
      <c r="CX834" s="35"/>
    </row>
    <row r="835" ht="15.75" customHeight="1">
      <c r="S835" s="34"/>
      <c r="CG835" s="35"/>
      <c r="CH835" s="35"/>
      <c r="CO835" s="35"/>
      <c r="CW835" s="35"/>
      <c r="CX835" s="35"/>
    </row>
    <row r="836" ht="15.75" customHeight="1">
      <c r="S836" s="34"/>
      <c r="CG836" s="35"/>
      <c r="CH836" s="35"/>
      <c r="CO836" s="35"/>
      <c r="CW836" s="35"/>
      <c r="CX836" s="35"/>
    </row>
    <row r="837" ht="15.75" customHeight="1">
      <c r="S837" s="34"/>
      <c r="CG837" s="35"/>
      <c r="CH837" s="35"/>
      <c r="CO837" s="35"/>
      <c r="CW837" s="35"/>
      <c r="CX837" s="35"/>
    </row>
    <row r="838" ht="15.75" customHeight="1">
      <c r="S838" s="34"/>
      <c r="CG838" s="35"/>
      <c r="CH838" s="35"/>
      <c r="CO838" s="35"/>
      <c r="CW838" s="35"/>
      <c r="CX838" s="35"/>
    </row>
    <row r="839" ht="15.75" customHeight="1">
      <c r="S839" s="34"/>
      <c r="CG839" s="35"/>
      <c r="CH839" s="35"/>
      <c r="CO839" s="35"/>
      <c r="CW839" s="35"/>
      <c r="CX839" s="35"/>
    </row>
    <row r="840" ht="15.75" customHeight="1">
      <c r="S840" s="34"/>
      <c r="CG840" s="35"/>
      <c r="CH840" s="35"/>
      <c r="CO840" s="35"/>
      <c r="CW840" s="35"/>
      <c r="CX840" s="35"/>
    </row>
    <row r="841" ht="15.75" customHeight="1">
      <c r="S841" s="34"/>
      <c r="CG841" s="35"/>
      <c r="CH841" s="35"/>
      <c r="CO841" s="35"/>
      <c r="CW841" s="35"/>
      <c r="CX841" s="35"/>
    </row>
    <row r="842" ht="15.75" customHeight="1">
      <c r="S842" s="34"/>
      <c r="CG842" s="35"/>
      <c r="CH842" s="35"/>
      <c r="CO842" s="35"/>
      <c r="CW842" s="35"/>
      <c r="CX842" s="35"/>
    </row>
    <row r="843" ht="15.75" customHeight="1">
      <c r="S843" s="34"/>
      <c r="CG843" s="35"/>
      <c r="CH843" s="35"/>
      <c r="CO843" s="35"/>
      <c r="CW843" s="35"/>
      <c r="CX843" s="35"/>
    </row>
    <row r="844" ht="15.75" customHeight="1">
      <c r="S844" s="34"/>
      <c r="CG844" s="35"/>
      <c r="CH844" s="35"/>
      <c r="CO844" s="35"/>
      <c r="CW844" s="35"/>
      <c r="CX844" s="35"/>
    </row>
    <row r="845" ht="15.75" customHeight="1">
      <c r="S845" s="34"/>
      <c r="CG845" s="35"/>
      <c r="CH845" s="35"/>
      <c r="CO845" s="35"/>
      <c r="CW845" s="35"/>
      <c r="CX845" s="35"/>
    </row>
    <row r="846" ht="15.75" customHeight="1">
      <c r="S846" s="34"/>
      <c r="CG846" s="35"/>
      <c r="CH846" s="35"/>
      <c r="CO846" s="35"/>
      <c r="CW846" s="35"/>
      <c r="CX846" s="35"/>
    </row>
    <row r="847" ht="15.75" customHeight="1">
      <c r="S847" s="34"/>
      <c r="CG847" s="35"/>
      <c r="CH847" s="35"/>
      <c r="CO847" s="35"/>
      <c r="CW847" s="35"/>
      <c r="CX847" s="35"/>
    </row>
    <row r="848" ht="15.75" customHeight="1">
      <c r="S848" s="34"/>
      <c r="CG848" s="35"/>
      <c r="CH848" s="35"/>
      <c r="CO848" s="35"/>
      <c r="CW848" s="35"/>
      <c r="CX848" s="35"/>
    </row>
    <row r="849" ht="15.75" customHeight="1">
      <c r="S849" s="34"/>
      <c r="CG849" s="35"/>
      <c r="CH849" s="35"/>
      <c r="CO849" s="35"/>
      <c r="CW849" s="35"/>
      <c r="CX849" s="35"/>
    </row>
    <row r="850" ht="15.75" customHeight="1">
      <c r="S850" s="34"/>
      <c r="CG850" s="35"/>
      <c r="CH850" s="35"/>
      <c r="CO850" s="35"/>
      <c r="CW850" s="35"/>
      <c r="CX850" s="35"/>
    </row>
    <row r="851" ht="15.75" customHeight="1">
      <c r="S851" s="34"/>
      <c r="CG851" s="35"/>
      <c r="CH851" s="35"/>
      <c r="CO851" s="35"/>
      <c r="CW851" s="35"/>
      <c r="CX851" s="35"/>
    </row>
    <row r="852" ht="15.75" customHeight="1">
      <c r="S852" s="34"/>
      <c r="CG852" s="35"/>
      <c r="CH852" s="35"/>
      <c r="CO852" s="35"/>
      <c r="CW852" s="35"/>
      <c r="CX852" s="35"/>
    </row>
    <row r="853" ht="15.75" customHeight="1">
      <c r="S853" s="34"/>
      <c r="CG853" s="35"/>
      <c r="CH853" s="35"/>
      <c r="CO853" s="35"/>
      <c r="CW853" s="35"/>
      <c r="CX853" s="35"/>
    </row>
    <row r="854" ht="15.75" customHeight="1">
      <c r="S854" s="34"/>
      <c r="CG854" s="35"/>
      <c r="CH854" s="35"/>
      <c r="CO854" s="35"/>
      <c r="CW854" s="35"/>
      <c r="CX854" s="35"/>
    </row>
    <row r="855" ht="15.75" customHeight="1">
      <c r="S855" s="34"/>
      <c r="CG855" s="35"/>
      <c r="CH855" s="35"/>
      <c r="CO855" s="35"/>
      <c r="CW855" s="35"/>
      <c r="CX855" s="35"/>
    </row>
    <row r="856" ht="15.75" customHeight="1">
      <c r="S856" s="34"/>
      <c r="CG856" s="35"/>
      <c r="CH856" s="35"/>
      <c r="CO856" s="35"/>
      <c r="CW856" s="35"/>
      <c r="CX856" s="35"/>
    </row>
    <row r="857" ht="15.75" customHeight="1">
      <c r="S857" s="34"/>
      <c r="CG857" s="35"/>
      <c r="CH857" s="35"/>
      <c r="CO857" s="35"/>
      <c r="CW857" s="35"/>
      <c r="CX857" s="35"/>
    </row>
    <row r="858" ht="15.75" customHeight="1">
      <c r="S858" s="34"/>
      <c r="CG858" s="35"/>
      <c r="CH858" s="35"/>
      <c r="CO858" s="35"/>
      <c r="CW858" s="35"/>
      <c r="CX858" s="35"/>
    </row>
    <row r="859" ht="15.75" customHeight="1">
      <c r="S859" s="34"/>
      <c r="CG859" s="35"/>
      <c r="CH859" s="35"/>
      <c r="CO859" s="35"/>
      <c r="CW859" s="35"/>
      <c r="CX859" s="35"/>
    </row>
    <row r="860" ht="15.75" customHeight="1">
      <c r="S860" s="34"/>
      <c r="CG860" s="35"/>
      <c r="CH860" s="35"/>
      <c r="CO860" s="35"/>
      <c r="CW860" s="35"/>
      <c r="CX860" s="35"/>
    </row>
    <row r="861" ht="15.75" customHeight="1">
      <c r="S861" s="34"/>
      <c r="CG861" s="35"/>
      <c r="CH861" s="35"/>
      <c r="CO861" s="35"/>
      <c r="CW861" s="35"/>
      <c r="CX861" s="35"/>
    </row>
    <row r="862" ht="15.75" customHeight="1">
      <c r="S862" s="34"/>
      <c r="CG862" s="35"/>
      <c r="CH862" s="35"/>
      <c r="CO862" s="35"/>
      <c r="CW862" s="35"/>
      <c r="CX862" s="35"/>
    </row>
    <row r="863" ht="15.75" customHeight="1">
      <c r="S863" s="34"/>
      <c r="CG863" s="35"/>
      <c r="CH863" s="35"/>
      <c r="CO863" s="35"/>
      <c r="CW863" s="35"/>
      <c r="CX863" s="35"/>
    </row>
    <row r="864" ht="15.75" customHeight="1">
      <c r="S864" s="34"/>
      <c r="CG864" s="35"/>
      <c r="CH864" s="35"/>
      <c r="CO864" s="35"/>
      <c r="CW864" s="35"/>
      <c r="CX864" s="35"/>
    </row>
    <row r="865" ht="15.75" customHeight="1">
      <c r="S865" s="34"/>
      <c r="CG865" s="35"/>
      <c r="CH865" s="35"/>
      <c r="CO865" s="35"/>
      <c r="CW865" s="35"/>
      <c r="CX865" s="35"/>
    </row>
    <row r="866" ht="15.75" customHeight="1">
      <c r="S866" s="34"/>
      <c r="CG866" s="35"/>
      <c r="CH866" s="35"/>
      <c r="CO866" s="35"/>
      <c r="CW866" s="35"/>
      <c r="CX866" s="35"/>
    </row>
    <row r="867" ht="15.75" customHeight="1">
      <c r="S867" s="34"/>
      <c r="CG867" s="35"/>
      <c r="CH867" s="35"/>
      <c r="CO867" s="35"/>
      <c r="CW867" s="35"/>
      <c r="CX867" s="35"/>
    </row>
    <row r="868" ht="15.75" customHeight="1">
      <c r="S868" s="34"/>
      <c r="CG868" s="35"/>
      <c r="CH868" s="35"/>
      <c r="CO868" s="35"/>
      <c r="CW868" s="35"/>
      <c r="CX868" s="35"/>
    </row>
    <row r="869" ht="15.75" customHeight="1">
      <c r="S869" s="34"/>
      <c r="CG869" s="35"/>
      <c r="CH869" s="35"/>
      <c r="CO869" s="35"/>
      <c r="CW869" s="35"/>
      <c r="CX869" s="35"/>
    </row>
    <row r="870" ht="15.75" customHeight="1">
      <c r="S870" s="34"/>
      <c r="CG870" s="35"/>
      <c r="CH870" s="35"/>
      <c r="CO870" s="35"/>
      <c r="CW870" s="35"/>
      <c r="CX870" s="35"/>
    </row>
    <row r="871" ht="15.75" customHeight="1">
      <c r="S871" s="34"/>
      <c r="CG871" s="35"/>
      <c r="CH871" s="35"/>
      <c r="CO871" s="35"/>
      <c r="CW871" s="35"/>
      <c r="CX871" s="35"/>
    </row>
    <row r="872" ht="15.75" customHeight="1">
      <c r="S872" s="34"/>
      <c r="CG872" s="35"/>
      <c r="CH872" s="35"/>
      <c r="CO872" s="35"/>
      <c r="CW872" s="35"/>
      <c r="CX872" s="35"/>
    </row>
    <row r="873" ht="15.75" customHeight="1">
      <c r="S873" s="34"/>
      <c r="CG873" s="35"/>
      <c r="CH873" s="35"/>
      <c r="CO873" s="35"/>
      <c r="CW873" s="35"/>
      <c r="CX873" s="35"/>
    </row>
    <row r="874" ht="15.75" customHeight="1">
      <c r="S874" s="34"/>
      <c r="CG874" s="35"/>
      <c r="CH874" s="35"/>
      <c r="CO874" s="35"/>
      <c r="CW874" s="35"/>
      <c r="CX874" s="35"/>
    </row>
    <row r="875" ht="15.75" customHeight="1">
      <c r="S875" s="34"/>
      <c r="CG875" s="35"/>
      <c r="CH875" s="35"/>
      <c r="CO875" s="35"/>
      <c r="CW875" s="35"/>
      <c r="CX875" s="35"/>
    </row>
    <row r="876" ht="15.75" customHeight="1">
      <c r="S876" s="34"/>
      <c r="CG876" s="35"/>
      <c r="CH876" s="35"/>
      <c r="CO876" s="35"/>
      <c r="CW876" s="35"/>
      <c r="CX876" s="35"/>
    </row>
    <row r="877" ht="15.75" customHeight="1">
      <c r="S877" s="34"/>
      <c r="CG877" s="35"/>
      <c r="CH877" s="35"/>
      <c r="CO877" s="35"/>
      <c r="CW877" s="35"/>
      <c r="CX877" s="35"/>
    </row>
    <row r="878" ht="15.75" customHeight="1">
      <c r="S878" s="34"/>
      <c r="CG878" s="35"/>
      <c r="CH878" s="35"/>
      <c r="CO878" s="35"/>
      <c r="CW878" s="35"/>
      <c r="CX878" s="35"/>
    </row>
    <row r="879" ht="15.75" customHeight="1">
      <c r="S879" s="34"/>
      <c r="CG879" s="35"/>
      <c r="CH879" s="35"/>
      <c r="CO879" s="35"/>
      <c r="CW879" s="35"/>
      <c r="CX879" s="35"/>
    </row>
    <row r="880" ht="15.75" customHeight="1">
      <c r="S880" s="34"/>
      <c r="CG880" s="35"/>
      <c r="CH880" s="35"/>
      <c r="CO880" s="35"/>
      <c r="CW880" s="35"/>
      <c r="CX880" s="35"/>
    </row>
    <row r="881" ht="15.75" customHeight="1">
      <c r="S881" s="34"/>
      <c r="CG881" s="35"/>
      <c r="CH881" s="35"/>
      <c r="CO881" s="35"/>
      <c r="CW881" s="35"/>
      <c r="CX881" s="35"/>
    </row>
    <row r="882" ht="15.75" customHeight="1">
      <c r="S882" s="34"/>
      <c r="CG882" s="35"/>
      <c r="CH882" s="35"/>
      <c r="CO882" s="35"/>
      <c r="CW882" s="35"/>
      <c r="CX882" s="35"/>
    </row>
    <row r="883" ht="15.75" customHeight="1">
      <c r="S883" s="34"/>
      <c r="CG883" s="35"/>
      <c r="CH883" s="35"/>
      <c r="CO883" s="35"/>
      <c r="CW883" s="35"/>
      <c r="CX883" s="35"/>
    </row>
    <row r="884" ht="15.75" customHeight="1">
      <c r="S884" s="34"/>
      <c r="CG884" s="35"/>
      <c r="CH884" s="35"/>
      <c r="CO884" s="35"/>
      <c r="CW884" s="35"/>
      <c r="CX884" s="35"/>
    </row>
    <row r="885" ht="15.75" customHeight="1">
      <c r="S885" s="34"/>
      <c r="CG885" s="35"/>
      <c r="CH885" s="35"/>
      <c r="CO885" s="35"/>
      <c r="CW885" s="35"/>
      <c r="CX885" s="35"/>
    </row>
    <row r="886" ht="15.75" customHeight="1">
      <c r="S886" s="34"/>
      <c r="CG886" s="35"/>
      <c r="CH886" s="35"/>
      <c r="CO886" s="35"/>
      <c r="CW886" s="35"/>
      <c r="CX886" s="35"/>
    </row>
    <row r="887" ht="15.75" customHeight="1">
      <c r="S887" s="34"/>
      <c r="CG887" s="35"/>
      <c r="CH887" s="35"/>
      <c r="CO887" s="35"/>
      <c r="CW887" s="35"/>
      <c r="CX887" s="35"/>
    </row>
    <row r="888" ht="15.75" customHeight="1">
      <c r="S888" s="34"/>
      <c r="CG888" s="35"/>
      <c r="CH888" s="35"/>
      <c r="CO888" s="35"/>
      <c r="CW888" s="35"/>
      <c r="CX888" s="35"/>
    </row>
    <row r="889" ht="15.75" customHeight="1">
      <c r="S889" s="34"/>
      <c r="CG889" s="35"/>
      <c r="CH889" s="35"/>
      <c r="CO889" s="35"/>
      <c r="CW889" s="35"/>
      <c r="CX889" s="35"/>
    </row>
    <row r="890" ht="15.75" customHeight="1">
      <c r="S890" s="34"/>
      <c r="CG890" s="35"/>
      <c r="CH890" s="35"/>
      <c r="CO890" s="35"/>
      <c r="CW890" s="35"/>
      <c r="CX890" s="35"/>
    </row>
    <row r="891" ht="15.75" customHeight="1">
      <c r="S891" s="34"/>
      <c r="CG891" s="35"/>
      <c r="CH891" s="35"/>
      <c r="CO891" s="35"/>
      <c r="CW891" s="35"/>
      <c r="CX891" s="35"/>
    </row>
    <row r="892" ht="15.75" customHeight="1">
      <c r="S892" s="34"/>
      <c r="CG892" s="35"/>
      <c r="CH892" s="35"/>
      <c r="CO892" s="35"/>
      <c r="CW892" s="35"/>
      <c r="CX892" s="35"/>
    </row>
    <row r="893" ht="15.75" customHeight="1">
      <c r="S893" s="34"/>
      <c r="CG893" s="35"/>
      <c r="CH893" s="35"/>
      <c r="CO893" s="35"/>
      <c r="CW893" s="35"/>
      <c r="CX893" s="35"/>
    </row>
    <row r="894" ht="15.75" customHeight="1">
      <c r="S894" s="34"/>
      <c r="CG894" s="35"/>
      <c r="CH894" s="35"/>
      <c r="CO894" s="35"/>
      <c r="CW894" s="35"/>
      <c r="CX894" s="35"/>
    </row>
    <row r="895" ht="15.75" customHeight="1">
      <c r="S895" s="34"/>
      <c r="CG895" s="35"/>
      <c r="CH895" s="35"/>
      <c r="CO895" s="35"/>
      <c r="CW895" s="35"/>
      <c r="CX895" s="35"/>
    </row>
    <row r="896" ht="15.75" customHeight="1">
      <c r="S896" s="34"/>
      <c r="CG896" s="35"/>
      <c r="CH896" s="35"/>
      <c r="CO896" s="35"/>
      <c r="CW896" s="35"/>
      <c r="CX896" s="35"/>
    </row>
    <row r="897" ht="15.75" customHeight="1">
      <c r="S897" s="34"/>
      <c r="CG897" s="35"/>
      <c r="CH897" s="35"/>
      <c r="CO897" s="35"/>
      <c r="CW897" s="35"/>
      <c r="CX897" s="35"/>
    </row>
    <row r="898" ht="15.75" customHeight="1">
      <c r="S898" s="34"/>
      <c r="CG898" s="35"/>
      <c r="CH898" s="35"/>
      <c r="CO898" s="35"/>
      <c r="CW898" s="35"/>
      <c r="CX898" s="35"/>
    </row>
    <row r="899" ht="15.75" customHeight="1">
      <c r="S899" s="34"/>
      <c r="CG899" s="35"/>
      <c r="CH899" s="35"/>
      <c r="CO899" s="35"/>
      <c r="CW899" s="35"/>
      <c r="CX899" s="35"/>
    </row>
    <row r="900" ht="15.75" customHeight="1">
      <c r="S900" s="34"/>
      <c r="CG900" s="35"/>
      <c r="CH900" s="35"/>
      <c r="CO900" s="35"/>
      <c r="CW900" s="35"/>
      <c r="CX900" s="35"/>
    </row>
    <row r="901" ht="15.75" customHeight="1">
      <c r="S901" s="34"/>
      <c r="CG901" s="35"/>
      <c r="CH901" s="35"/>
      <c r="CO901" s="35"/>
      <c r="CW901" s="35"/>
      <c r="CX901" s="35"/>
    </row>
    <row r="902" ht="15.75" customHeight="1">
      <c r="S902" s="34"/>
      <c r="CG902" s="35"/>
      <c r="CH902" s="35"/>
      <c r="CO902" s="35"/>
      <c r="CW902" s="35"/>
      <c r="CX902" s="35"/>
    </row>
    <row r="903" ht="15.75" customHeight="1">
      <c r="S903" s="34"/>
      <c r="CG903" s="35"/>
      <c r="CH903" s="35"/>
      <c r="CO903" s="35"/>
      <c r="CW903" s="35"/>
      <c r="CX903" s="35"/>
    </row>
    <row r="904" ht="15.75" customHeight="1">
      <c r="S904" s="34"/>
      <c r="CG904" s="35"/>
      <c r="CH904" s="35"/>
      <c r="CO904" s="35"/>
      <c r="CW904" s="35"/>
      <c r="CX904" s="35"/>
    </row>
    <row r="905" ht="15.75" customHeight="1">
      <c r="S905" s="34"/>
      <c r="CG905" s="35"/>
      <c r="CH905" s="35"/>
      <c r="CO905" s="35"/>
      <c r="CW905" s="35"/>
      <c r="CX905" s="35"/>
    </row>
    <row r="906" ht="15.75" customHeight="1">
      <c r="S906" s="34"/>
      <c r="CG906" s="35"/>
      <c r="CH906" s="35"/>
      <c r="CO906" s="35"/>
      <c r="CW906" s="35"/>
      <c r="CX906" s="35"/>
    </row>
    <row r="907" ht="15.75" customHeight="1">
      <c r="S907" s="34"/>
      <c r="CG907" s="35"/>
      <c r="CH907" s="35"/>
      <c r="CO907" s="35"/>
      <c r="CW907" s="35"/>
      <c r="CX907" s="35"/>
    </row>
    <row r="908" ht="15.75" customHeight="1">
      <c r="S908" s="34"/>
      <c r="CG908" s="35"/>
      <c r="CH908" s="35"/>
      <c r="CO908" s="35"/>
      <c r="CW908" s="35"/>
      <c r="CX908" s="35"/>
    </row>
    <row r="909" ht="15.75" customHeight="1">
      <c r="S909" s="34"/>
      <c r="CG909" s="35"/>
      <c r="CH909" s="35"/>
      <c r="CO909" s="35"/>
      <c r="CW909" s="35"/>
      <c r="CX909" s="35"/>
    </row>
    <row r="910" ht="15.75" customHeight="1">
      <c r="S910" s="34"/>
      <c r="CG910" s="35"/>
      <c r="CH910" s="35"/>
      <c r="CO910" s="35"/>
      <c r="CW910" s="35"/>
      <c r="CX910" s="35"/>
    </row>
    <row r="911" ht="15.75" customHeight="1">
      <c r="S911" s="34"/>
      <c r="CG911" s="35"/>
      <c r="CH911" s="35"/>
      <c r="CO911" s="35"/>
      <c r="CW911" s="35"/>
      <c r="CX911" s="35"/>
    </row>
    <row r="912" ht="15.75" customHeight="1">
      <c r="S912" s="34"/>
      <c r="CG912" s="35"/>
      <c r="CH912" s="35"/>
      <c r="CO912" s="35"/>
      <c r="CW912" s="35"/>
      <c r="CX912" s="35"/>
    </row>
    <row r="913" ht="15.75" customHeight="1">
      <c r="S913" s="34"/>
      <c r="CG913" s="35"/>
      <c r="CH913" s="35"/>
      <c r="CO913" s="35"/>
      <c r="CW913" s="35"/>
      <c r="CX913" s="35"/>
    </row>
    <row r="914" ht="15.75" customHeight="1">
      <c r="S914" s="34"/>
      <c r="CG914" s="35"/>
      <c r="CH914" s="35"/>
      <c r="CO914" s="35"/>
      <c r="CW914" s="35"/>
      <c r="CX914" s="35"/>
    </row>
    <row r="915" ht="15.75" customHeight="1">
      <c r="S915" s="34"/>
      <c r="CG915" s="35"/>
      <c r="CH915" s="35"/>
      <c r="CO915" s="35"/>
      <c r="CW915" s="35"/>
      <c r="CX915" s="35"/>
    </row>
    <row r="916" ht="15.75" customHeight="1">
      <c r="S916" s="34"/>
      <c r="CG916" s="35"/>
      <c r="CH916" s="35"/>
      <c r="CO916" s="35"/>
      <c r="CW916" s="35"/>
      <c r="CX916" s="35"/>
    </row>
    <row r="917" ht="15.75" customHeight="1">
      <c r="S917" s="34"/>
      <c r="CG917" s="35"/>
      <c r="CH917" s="35"/>
      <c r="CO917" s="35"/>
      <c r="CW917" s="35"/>
      <c r="CX917" s="35"/>
    </row>
    <row r="918" ht="15.75" customHeight="1">
      <c r="S918" s="34"/>
      <c r="CG918" s="35"/>
      <c r="CH918" s="35"/>
      <c r="CO918" s="35"/>
      <c r="CW918" s="35"/>
      <c r="CX918" s="35"/>
    </row>
    <row r="919" ht="15.75" customHeight="1">
      <c r="S919" s="34"/>
      <c r="CG919" s="35"/>
      <c r="CH919" s="35"/>
      <c r="CO919" s="35"/>
      <c r="CW919" s="35"/>
      <c r="CX919" s="35"/>
    </row>
    <row r="920" ht="15.75" customHeight="1">
      <c r="S920" s="34"/>
      <c r="CG920" s="35"/>
      <c r="CH920" s="35"/>
      <c r="CO920" s="35"/>
      <c r="CW920" s="35"/>
      <c r="CX920" s="35"/>
    </row>
    <row r="921" ht="15.75" customHeight="1">
      <c r="S921" s="34"/>
      <c r="CG921" s="35"/>
      <c r="CH921" s="35"/>
      <c r="CO921" s="35"/>
      <c r="CW921" s="35"/>
      <c r="CX921" s="35"/>
    </row>
    <row r="922" ht="15.75" customHeight="1">
      <c r="S922" s="34"/>
      <c r="CG922" s="35"/>
      <c r="CH922" s="35"/>
      <c r="CO922" s="35"/>
      <c r="CW922" s="35"/>
      <c r="CX922" s="35"/>
    </row>
    <row r="923" ht="15.75" customHeight="1">
      <c r="S923" s="34"/>
      <c r="CG923" s="35"/>
      <c r="CH923" s="35"/>
      <c r="CO923" s="35"/>
      <c r="CW923" s="35"/>
      <c r="CX923" s="35"/>
    </row>
    <row r="924" ht="15.75" customHeight="1">
      <c r="S924" s="34"/>
      <c r="CG924" s="35"/>
      <c r="CH924" s="35"/>
      <c r="CO924" s="35"/>
      <c r="CW924" s="35"/>
      <c r="CX924" s="35"/>
    </row>
    <row r="925" ht="15.75" customHeight="1">
      <c r="S925" s="34"/>
      <c r="CG925" s="35"/>
      <c r="CH925" s="35"/>
      <c r="CO925" s="35"/>
      <c r="CW925" s="35"/>
      <c r="CX925" s="35"/>
    </row>
    <row r="926" ht="15.75" customHeight="1">
      <c r="S926" s="34"/>
      <c r="CG926" s="35"/>
      <c r="CH926" s="35"/>
      <c r="CO926" s="35"/>
      <c r="CW926" s="35"/>
      <c r="CX926" s="35"/>
    </row>
    <row r="927" ht="15.75" customHeight="1">
      <c r="S927" s="34"/>
      <c r="CG927" s="35"/>
      <c r="CH927" s="35"/>
      <c r="CO927" s="35"/>
      <c r="CW927" s="35"/>
      <c r="CX927" s="35"/>
    </row>
    <row r="928" ht="15.75" customHeight="1">
      <c r="S928" s="34"/>
      <c r="CG928" s="35"/>
      <c r="CH928" s="35"/>
      <c r="CO928" s="35"/>
      <c r="CW928" s="35"/>
      <c r="CX928" s="35"/>
    </row>
    <row r="929" ht="15.75" customHeight="1">
      <c r="S929" s="34"/>
      <c r="CG929" s="35"/>
      <c r="CH929" s="35"/>
      <c r="CO929" s="35"/>
      <c r="CW929" s="35"/>
      <c r="CX929" s="35"/>
    </row>
    <row r="930" ht="15.75" customHeight="1">
      <c r="S930" s="34"/>
      <c r="CG930" s="35"/>
      <c r="CH930" s="35"/>
      <c r="CO930" s="35"/>
      <c r="CW930" s="35"/>
      <c r="CX930" s="35"/>
    </row>
    <row r="931" ht="15.75" customHeight="1">
      <c r="S931" s="34"/>
      <c r="CG931" s="35"/>
      <c r="CH931" s="35"/>
      <c r="CO931" s="35"/>
      <c r="CW931" s="35"/>
      <c r="CX931" s="35"/>
    </row>
    <row r="932" ht="15.75" customHeight="1">
      <c r="S932" s="34"/>
      <c r="CG932" s="35"/>
      <c r="CH932" s="35"/>
      <c r="CO932" s="35"/>
      <c r="CW932" s="35"/>
      <c r="CX932" s="35"/>
    </row>
    <row r="933" ht="15.75" customHeight="1">
      <c r="S933" s="34"/>
      <c r="CG933" s="35"/>
      <c r="CH933" s="35"/>
      <c r="CO933" s="35"/>
      <c r="CW933" s="35"/>
      <c r="CX933" s="35"/>
    </row>
    <row r="934" ht="15.75" customHeight="1">
      <c r="S934" s="34"/>
      <c r="CG934" s="35"/>
      <c r="CH934" s="35"/>
      <c r="CO934" s="35"/>
      <c r="CW934" s="35"/>
      <c r="CX934" s="35"/>
    </row>
    <row r="935" ht="15.75" customHeight="1">
      <c r="S935" s="34"/>
      <c r="CG935" s="35"/>
      <c r="CH935" s="35"/>
      <c r="CO935" s="35"/>
      <c r="CW935" s="35"/>
      <c r="CX935" s="35"/>
    </row>
    <row r="936" ht="15.75" customHeight="1">
      <c r="S936" s="34"/>
      <c r="CG936" s="35"/>
      <c r="CH936" s="35"/>
      <c r="CO936" s="35"/>
      <c r="CW936" s="35"/>
      <c r="CX936" s="35"/>
    </row>
    <row r="937" ht="15.75" customHeight="1">
      <c r="S937" s="34"/>
      <c r="CG937" s="35"/>
      <c r="CH937" s="35"/>
      <c r="CO937" s="35"/>
      <c r="CW937" s="35"/>
      <c r="CX937" s="35"/>
    </row>
    <row r="938" ht="15.75" customHeight="1">
      <c r="S938" s="34"/>
      <c r="CG938" s="35"/>
      <c r="CH938" s="35"/>
      <c r="CO938" s="35"/>
      <c r="CW938" s="35"/>
      <c r="CX938" s="35"/>
    </row>
    <row r="939" ht="15.75" customHeight="1">
      <c r="S939" s="34"/>
      <c r="CG939" s="35"/>
      <c r="CH939" s="35"/>
      <c r="CO939" s="35"/>
      <c r="CW939" s="35"/>
      <c r="CX939" s="35"/>
    </row>
    <row r="940" ht="15.75" customHeight="1">
      <c r="S940" s="34"/>
      <c r="CG940" s="35"/>
      <c r="CH940" s="35"/>
      <c r="CO940" s="35"/>
      <c r="CW940" s="35"/>
      <c r="CX940" s="35"/>
    </row>
    <row r="941" ht="15.75" customHeight="1">
      <c r="S941" s="34"/>
      <c r="CG941" s="35"/>
      <c r="CH941" s="35"/>
      <c r="CO941" s="35"/>
      <c r="CW941" s="35"/>
      <c r="CX941" s="35"/>
    </row>
    <row r="942" ht="15.75" customHeight="1">
      <c r="S942" s="34"/>
      <c r="CG942" s="35"/>
      <c r="CH942" s="35"/>
      <c r="CO942" s="35"/>
      <c r="CW942" s="35"/>
      <c r="CX942" s="35"/>
    </row>
    <row r="943" ht="15.75" customHeight="1">
      <c r="S943" s="34"/>
      <c r="CG943" s="35"/>
      <c r="CH943" s="35"/>
      <c r="CO943" s="35"/>
      <c r="CW943" s="35"/>
      <c r="CX943" s="35"/>
    </row>
    <row r="944" ht="15.75" customHeight="1">
      <c r="S944" s="34"/>
      <c r="CG944" s="35"/>
      <c r="CH944" s="35"/>
      <c r="CO944" s="35"/>
      <c r="CW944" s="35"/>
      <c r="CX944" s="35"/>
    </row>
    <row r="945" ht="15.75" customHeight="1">
      <c r="S945" s="34"/>
      <c r="CG945" s="35"/>
      <c r="CH945" s="35"/>
      <c r="CO945" s="35"/>
      <c r="CW945" s="35"/>
      <c r="CX945" s="35"/>
    </row>
    <row r="946" ht="15.75" customHeight="1">
      <c r="S946" s="34"/>
      <c r="CG946" s="35"/>
      <c r="CH946" s="35"/>
      <c r="CO946" s="35"/>
      <c r="CW946" s="35"/>
      <c r="CX946" s="35"/>
    </row>
    <row r="947" ht="15.75" customHeight="1">
      <c r="S947" s="34"/>
      <c r="CG947" s="35"/>
      <c r="CH947" s="35"/>
      <c r="CO947" s="35"/>
      <c r="CW947" s="35"/>
      <c r="CX947" s="35"/>
    </row>
    <row r="948" ht="15.75" customHeight="1">
      <c r="S948" s="34"/>
      <c r="CG948" s="35"/>
      <c r="CH948" s="35"/>
      <c r="CO948" s="35"/>
      <c r="CW948" s="35"/>
      <c r="CX948" s="35"/>
    </row>
    <row r="949" ht="15.75" customHeight="1">
      <c r="S949" s="34"/>
      <c r="CG949" s="35"/>
      <c r="CH949" s="35"/>
      <c r="CO949" s="35"/>
      <c r="CW949" s="35"/>
      <c r="CX949" s="35"/>
    </row>
    <row r="950" ht="15.75" customHeight="1">
      <c r="S950" s="34"/>
      <c r="CG950" s="35"/>
      <c r="CH950" s="35"/>
      <c r="CO950" s="35"/>
      <c r="CW950" s="35"/>
      <c r="CX950" s="35"/>
    </row>
    <row r="951" ht="15.75" customHeight="1">
      <c r="S951" s="34"/>
      <c r="CG951" s="35"/>
      <c r="CH951" s="35"/>
      <c r="CO951" s="35"/>
      <c r="CW951" s="35"/>
      <c r="CX951" s="35"/>
    </row>
    <row r="952" ht="15.75" customHeight="1">
      <c r="S952" s="34"/>
      <c r="CG952" s="35"/>
      <c r="CH952" s="35"/>
      <c r="CO952" s="35"/>
      <c r="CW952" s="35"/>
      <c r="CX952" s="35"/>
    </row>
    <row r="953" ht="15.75" customHeight="1">
      <c r="S953" s="34"/>
      <c r="CG953" s="35"/>
      <c r="CH953" s="35"/>
      <c r="CO953" s="35"/>
      <c r="CW953" s="35"/>
      <c r="CX953" s="35"/>
    </row>
    <row r="954" ht="15.75" customHeight="1">
      <c r="S954" s="34"/>
      <c r="CG954" s="35"/>
      <c r="CH954" s="35"/>
      <c r="CO954" s="35"/>
      <c r="CW954" s="35"/>
      <c r="CX954" s="35"/>
    </row>
    <row r="955" ht="15.75" customHeight="1">
      <c r="S955" s="34"/>
      <c r="CG955" s="35"/>
      <c r="CH955" s="35"/>
      <c r="CO955" s="35"/>
      <c r="CW955" s="35"/>
      <c r="CX955" s="35"/>
    </row>
    <row r="956" ht="15.75" customHeight="1">
      <c r="S956" s="34"/>
      <c r="CG956" s="35"/>
      <c r="CH956" s="35"/>
      <c r="CO956" s="35"/>
      <c r="CW956" s="35"/>
      <c r="CX956" s="35"/>
    </row>
    <row r="957" ht="15.75" customHeight="1">
      <c r="S957" s="34"/>
      <c r="CG957" s="35"/>
      <c r="CH957" s="35"/>
      <c r="CO957" s="35"/>
      <c r="CW957" s="35"/>
      <c r="CX957" s="35"/>
    </row>
    <row r="958" ht="15.75" customHeight="1">
      <c r="S958" s="34"/>
      <c r="CG958" s="35"/>
      <c r="CH958" s="35"/>
      <c r="CO958" s="35"/>
      <c r="CW958" s="35"/>
      <c r="CX958" s="35"/>
    </row>
    <row r="959" ht="15.75" customHeight="1">
      <c r="S959" s="34"/>
      <c r="CG959" s="35"/>
      <c r="CH959" s="35"/>
      <c r="CO959" s="35"/>
      <c r="CW959" s="35"/>
      <c r="CX959" s="35"/>
    </row>
    <row r="960" ht="15.75" customHeight="1">
      <c r="S960" s="34"/>
      <c r="CG960" s="35"/>
      <c r="CH960" s="35"/>
      <c r="CO960" s="35"/>
      <c r="CW960" s="35"/>
      <c r="CX960" s="35"/>
    </row>
    <row r="961" ht="15.75" customHeight="1">
      <c r="S961" s="34"/>
      <c r="CG961" s="35"/>
      <c r="CH961" s="35"/>
      <c r="CO961" s="35"/>
      <c r="CW961" s="35"/>
      <c r="CX961" s="35"/>
    </row>
    <row r="962" ht="15.75" customHeight="1">
      <c r="S962" s="36"/>
      <c r="CG962" s="35"/>
      <c r="CH962" s="35"/>
      <c r="CO962" s="35"/>
      <c r="CW962" s="35"/>
      <c r="CX962" s="35"/>
    </row>
    <row r="963" ht="15.75" customHeight="1">
      <c r="S963" s="36"/>
      <c r="CG963" s="35"/>
      <c r="CH963" s="35"/>
      <c r="CO963" s="35"/>
      <c r="CW963" s="35"/>
      <c r="CX963" s="35"/>
    </row>
    <row r="964" ht="15.75" customHeight="1">
      <c r="S964" s="36"/>
      <c r="CG964" s="35"/>
      <c r="CH964" s="35"/>
      <c r="CO964" s="35"/>
      <c r="CW964" s="35"/>
      <c r="CX964" s="35"/>
    </row>
    <row r="965" ht="15.75" customHeight="1">
      <c r="S965" s="36"/>
      <c r="CG965" s="35"/>
      <c r="CH965" s="35"/>
      <c r="CO965" s="35"/>
      <c r="CW965" s="35"/>
      <c r="CX965" s="35"/>
    </row>
    <row r="966" ht="15.75" customHeight="1">
      <c r="S966" s="36"/>
      <c r="CG966" s="35"/>
      <c r="CH966" s="35"/>
      <c r="CO966" s="35"/>
      <c r="CW966" s="35"/>
      <c r="CX966" s="35"/>
    </row>
    <row r="967" ht="15.75" customHeight="1">
      <c r="S967" s="36"/>
      <c r="CG967" s="35"/>
      <c r="CH967" s="35"/>
      <c r="CO967" s="35"/>
      <c r="CW967" s="35"/>
      <c r="CX967" s="35"/>
    </row>
    <row r="968" ht="15.75" customHeight="1">
      <c r="S968" s="36"/>
      <c r="CG968" s="35"/>
      <c r="CH968" s="35"/>
      <c r="CO968" s="35"/>
      <c r="CW968" s="35"/>
      <c r="CX968" s="35"/>
    </row>
    <row r="969" ht="15.75" customHeight="1">
      <c r="S969" s="36"/>
      <c r="CG969" s="35"/>
      <c r="CH969" s="35"/>
      <c r="CO969" s="35"/>
      <c r="CW969" s="35"/>
      <c r="CX969" s="35"/>
    </row>
    <row r="970" ht="15.75" customHeight="1">
      <c r="S970" s="36"/>
      <c r="CG970" s="35"/>
      <c r="CH970" s="35"/>
      <c r="CO970" s="35"/>
      <c r="CW970" s="35"/>
      <c r="CX970" s="35"/>
    </row>
    <row r="971" ht="15.75" customHeight="1">
      <c r="S971" s="36"/>
      <c r="CG971" s="35"/>
      <c r="CH971" s="35"/>
      <c r="CO971" s="35"/>
      <c r="CW971" s="35"/>
      <c r="CX971" s="35"/>
    </row>
    <row r="972" ht="15.75" customHeight="1">
      <c r="S972" s="36"/>
      <c r="CG972" s="35"/>
      <c r="CH972" s="35"/>
      <c r="CO972" s="35"/>
      <c r="CW972" s="35"/>
      <c r="CX972" s="35"/>
    </row>
    <row r="973" ht="15.75" customHeight="1">
      <c r="S973" s="36"/>
      <c r="CG973" s="35"/>
      <c r="CH973" s="35"/>
      <c r="CO973" s="35"/>
      <c r="CW973" s="35"/>
      <c r="CX973" s="35"/>
    </row>
    <row r="974" ht="15.75" customHeight="1">
      <c r="S974" s="36"/>
      <c r="CG974" s="35"/>
      <c r="CH974" s="35"/>
      <c r="CO974" s="35"/>
      <c r="CW974" s="35"/>
      <c r="CX974" s="35"/>
    </row>
    <row r="975" ht="15.75" customHeight="1">
      <c r="S975" s="36"/>
      <c r="CG975" s="35"/>
      <c r="CH975" s="35"/>
      <c r="CO975" s="35"/>
      <c r="CW975" s="35"/>
      <c r="CX975" s="35"/>
    </row>
    <row r="976" ht="15.75" customHeight="1">
      <c r="S976" s="36"/>
      <c r="CG976" s="35"/>
      <c r="CH976" s="35"/>
      <c r="CO976" s="35"/>
      <c r="CW976" s="35"/>
      <c r="CX976" s="35"/>
    </row>
    <row r="977" ht="15.75" customHeight="1">
      <c r="S977" s="36"/>
      <c r="CG977" s="35"/>
      <c r="CH977" s="35"/>
      <c r="CO977" s="35"/>
      <c r="CW977" s="35"/>
      <c r="CX977" s="35"/>
    </row>
    <row r="978" ht="15.75" customHeight="1">
      <c r="S978" s="36"/>
      <c r="CG978" s="35"/>
      <c r="CH978" s="35"/>
      <c r="CO978" s="35"/>
      <c r="CW978" s="35"/>
      <c r="CX978" s="35"/>
    </row>
    <row r="979" ht="15.75" customHeight="1">
      <c r="S979" s="36"/>
      <c r="CG979" s="35"/>
      <c r="CH979" s="35"/>
      <c r="CO979" s="35"/>
      <c r="CW979" s="35"/>
      <c r="CX979" s="35"/>
    </row>
    <row r="980" ht="15.75" customHeight="1">
      <c r="S980" s="36"/>
      <c r="CG980" s="35"/>
      <c r="CH980" s="35"/>
      <c r="CO980" s="35"/>
      <c r="CW980" s="35"/>
      <c r="CX980" s="35"/>
    </row>
    <row r="981" ht="15.75" customHeight="1">
      <c r="S981" s="36"/>
      <c r="CG981" s="35"/>
      <c r="CH981" s="35"/>
      <c r="CO981" s="35"/>
      <c r="CW981" s="35"/>
      <c r="CX981" s="35"/>
    </row>
    <row r="982" ht="15.75" customHeight="1">
      <c r="S982" s="36"/>
      <c r="CG982" s="35"/>
      <c r="CH982" s="35"/>
      <c r="CO982" s="35"/>
      <c r="CW982" s="35"/>
      <c r="CX982" s="35"/>
    </row>
    <row r="983" ht="15.75" customHeight="1">
      <c r="S983" s="36"/>
      <c r="CG983" s="35"/>
      <c r="CH983" s="35"/>
      <c r="CO983" s="35"/>
      <c r="CW983" s="35"/>
      <c r="CX983" s="35"/>
    </row>
    <row r="984" ht="15.75" customHeight="1">
      <c r="S984" s="36"/>
      <c r="CG984" s="35"/>
      <c r="CH984" s="35"/>
      <c r="CO984" s="35"/>
      <c r="CW984" s="35"/>
      <c r="CX984" s="35"/>
    </row>
    <row r="985" ht="15.75" customHeight="1">
      <c r="S985" s="36"/>
      <c r="CG985" s="35"/>
      <c r="CH985" s="35"/>
      <c r="CO985" s="35"/>
      <c r="CW985" s="35"/>
      <c r="CX985" s="35"/>
    </row>
    <row r="986" ht="15.75" customHeight="1">
      <c r="S986" s="36"/>
      <c r="CG986" s="35"/>
      <c r="CH986" s="35"/>
      <c r="CO986" s="35"/>
      <c r="CW986" s="35"/>
      <c r="CX986" s="35"/>
    </row>
    <row r="987" ht="15.75" customHeight="1">
      <c r="S987" s="36"/>
      <c r="CG987" s="35"/>
      <c r="CH987" s="35"/>
      <c r="CO987" s="35"/>
      <c r="CW987" s="35"/>
      <c r="CX987" s="35"/>
    </row>
    <row r="988" ht="15.75" customHeight="1">
      <c r="S988" s="36"/>
      <c r="CG988" s="35"/>
      <c r="CH988" s="35"/>
      <c r="CO988" s="35"/>
      <c r="CW988" s="35"/>
      <c r="CX988" s="35"/>
    </row>
    <row r="989" ht="15.75" customHeight="1">
      <c r="S989" s="36"/>
      <c r="CG989" s="35"/>
      <c r="CH989" s="35"/>
      <c r="CO989" s="35"/>
      <c r="CW989" s="35"/>
      <c r="CX989" s="35"/>
    </row>
    <row r="990" ht="15.75" customHeight="1">
      <c r="S990" s="36"/>
      <c r="CG990" s="35"/>
      <c r="CH990" s="35"/>
      <c r="CO990" s="35"/>
      <c r="CW990" s="35"/>
      <c r="CX990" s="35"/>
    </row>
    <row r="991" ht="15.75" customHeight="1">
      <c r="S991" s="36"/>
      <c r="CG991" s="35"/>
      <c r="CH991" s="35"/>
      <c r="CO991" s="35"/>
      <c r="CW991" s="35"/>
      <c r="CX991" s="35"/>
    </row>
    <row r="992" ht="15.75" customHeight="1">
      <c r="S992" s="36"/>
      <c r="CG992" s="35"/>
      <c r="CH992" s="35"/>
      <c r="CO992" s="35"/>
      <c r="CW992" s="35"/>
      <c r="CX992" s="35"/>
    </row>
    <row r="993" ht="15.75" customHeight="1">
      <c r="S993" s="36"/>
      <c r="CG993" s="35"/>
      <c r="CH993" s="35"/>
      <c r="CO993" s="35"/>
      <c r="CW993" s="35"/>
      <c r="CX993" s="35"/>
    </row>
    <row r="994" ht="15.75" customHeight="1">
      <c r="S994" s="36"/>
      <c r="CG994" s="35"/>
      <c r="CH994" s="35"/>
      <c r="CO994" s="35"/>
      <c r="CW994" s="35"/>
      <c r="CX994" s="35"/>
    </row>
    <row r="995" ht="15.75" customHeight="1">
      <c r="S995" s="36"/>
      <c r="CG995" s="35"/>
      <c r="CH995" s="35"/>
      <c r="CO995" s="35"/>
      <c r="CW995" s="35"/>
      <c r="CX995" s="35"/>
    </row>
    <row r="996" ht="15.75" customHeight="1">
      <c r="S996" s="36"/>
      <c r="CG996" s="35"/>
      <c r="CH996" s="35"/>
      <c r="CO996" s="35"/>
      <c r="CW996" s="35"/>
      <c r="CX996" s="35"/>
    </row>
    <row r="997" ht="15.75" customHeight="1">
      <c r="S997" s="36"/>
      <c r="CG997" s="35"/>
      <c r="CH997" s="35"/>
      <c r="CO997" s="35"/>
      <c r="CW997" s="35"/>
      <c r="CX997" s="35"/>
    </row>
    <row r="998" ht="15.75" customHeight="1">
      <c r="S998" s="36"/>
      <c r="CG998" s="35"/>
      <c r="CH998" s="35"/>
      <c r="CO998" s="35"/>
      <c r="CW998" s="35"/>
      <c r="CX998" s="35"/>
    </row>
    <row r="999" ht="15.75" customHeight="1">
      <c r="S999" s="36"/>
      <c r="CG999" s="35"/>
      <c r="CH999" s="35"/>
      <c r="CO999" s="35"/>
      <c r="CW999" s="35"/>
      <c r="CX999" s="35"/>
    </row>
    <row r="1000" ht="15.75" customHeight="1">
      <c r="S1000" s="36"/>
      <c r="CG1000" s="35"/>
      <c r="CH1000" s="35"/>
      <c r="CO1000" s="35"/>
      <c r="CW1000" s="35"/>
      <c r="CX1000" s="35"/>
    </row>
  </sheetData>
  <autoFilter ref="$A$1:$DL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17.0"/>
    <col customWidth="1" min="4" max="4" width="9.25"/>
    <col customWidth="1" min="5" max="5" width="7.88"/>
    <col customWidth="1" min="6" max="6" width="25.63"/>
    <col customWidth="1" min="7" max="7" width="11.0"/>
    <col customWidth="1" min="8" max="8" width="31.25"/>
    <col customWidth="1" min="9" max="9" width="11.0"/>
    <col customWidth="1" min="10" max="10" width="36.38"/>
    <col customWidth="1" min="11" max="11" width="11.0"/>
  </cols>
  <sheetData>
    <row r="1">
      <c r="A1" s="1" t="s">
        <v>0</v>
      </c>
      <c r="B1" s="2" t="s">
        <v>1</v>
      </c>
      <c r="C1" s="37" t="s">
        <v>2</v>
      </c>
      <c r="D1" s="37" t="s">
        <v>5</v>
      </c>
      <c r="E1" s="38" t="s">
        <v>363</v>
      </c>
      <c r="F1" s="38" t="s">
        <v>364</v>
      </c>
      <c r="G1" s="38" t="s">
        <v>13</v>
      </c>
      <c r="H1" s="38" t="s">
        <v>365</v>
      </c>
      <c r="I1" s="38" t="s">
        <v>13</v>
      </c>
      <c r="J1" s="38" t="s">
        <v>366</v>
      </c>
      <c r="K1" s="38" t="s">
        <v>13</v>
      </c>
    </row>
    <row r="2">
      <c r="A2" s="8">
        <v>1509.0</v>
      </c>
      <c r="B2" s="9" t="s">
        <v>50</v>
      </c>
      <c r="C2" s="39" t="s">
        <v>367</v>
      </c>
      <c r="D2" s="26" t="s">
        <v>53</v>
      </c>
      <c r="E2" s="40" t="s">
        <v>368</v>
      </c>
      <c r="F2" s="41" t="s">
        <v>369</v>
      </c>
      <c r="G2" s="42" t="b">
        <v>1</v>
      </c>
      <c r="H2" s="41" t="s">
        <v>370</v>
      </c>
      <c r="I2" s="43" t="b">
        <v>0</v>
      </c>
      <c r="J2" s="41" t="s">
        <v>371</v>
      </c>
      <c r="K2" s="43" t="b">
        <v>0</v>
      </c>
    </row>
    <row r="3">
      <c r="A3" s="8">
        <v>1509.0</v>
      </c>
      <c r="B3" s="9" t="s">
        <v>50</v>
      </c>
      <c r="C3" s="44" t="s">
        <v>372</v>
      </c>
      <c r="D3" s="26" t="s">
        <v>125</v>
      </c>
      <c r="E3" s="40" t="s">
        <v>373</v>
      </c>
      <c r="F3" s="45" t="s">
        <v>374</v>
      </c>
      <c r="G3" s="46" t="b">
        <v>1</v>
      </c>
      <c r="H3" s="45" t="s">
        <v>375</v>
      </c>
      <c r="I3" s="43" t="b">
        <v>0</v>
      </c>
      <c r="J3" s="45" t="s">
        <v>376</v>
      </c>
      <c r="K3" s="47" t="b">
        <v>0</v>
      </c>
    </row>
    <row r="4">
      <c r="A4" s="8">
        <v>1509.0</v>
      </c>
      <c r="B4" s="9" t="s">
        <v>50</v>
      </c>
      <c r="C4" s="44" t="s">
        <v>377</v>
      </c>
      <c r="D4" s="26" t="s">
        <v>191</v>
      </c>
      <c r="E4" s="40" t="s">
        <v>378</v>
      </c>
      <c r="F4" s="45" t="s">
        <v>379</v>
      </c>
      <c r="G4" s="46" t="b">
        <v>1</v>
      </c>
      <c r="H4" s="45" t="s">
        <v>380</v>
      </c>
      <c r="I4" s="43" t="b">
        <v>0</v>
      </c>
      <c r="J4" s="45" t="s">
        <v>381</v>
      </c>
      <c r="K4" s="47" t="b">
        <v>0</v>
      </c>
    </row>
    <row r="5">
      <c r="A5" s="8">
        <v>1509.0</v>
      </c>
      <c r="B5" s="9" t="s">
        <v>50</v>
      </c>
      <c r="C5" s="44" t="s">
        <v>382</v>
      </c>
      <c r="D5" s="26" t="s">
        <v>84</v>
      </c>
      <c r="E5" s="40" t="s">
        <v>383</v>
      </c>
      <c r="F5" s="45" t="s">
        <v>384</v>
      </c>
      <c r="G5" s="46" t="b">
        <v>1</v>
      </c>
      <c r="H5" s="45" t="s">
        <v>385</v>
      </c>
      <c r="I5" s="43" t="b">
        <v>0</v>
      </c>
      <c r="J5" s="45" t="s">
        <v>386</v>
      </c>
      <c r="K5" s="47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387</v>
      </c>
      <c r="H1" s="3" t="s">
        <v>7</v>
      </c>
      <c r="I1" s="3" t="s">
        <v>388</v>
      </c>
      <c r="J1" s="3" t="s">
        <v>13</v>
      </c>
      <c r="K1" s="3" t="s">
        <v>9</v>
      </c>
      <c r="L1" s="3" t="s">
        <v>10</v>
      </c>
      <c r="M1" s="3" t="s">
        <v>389</v>
      </c>
      <c r="N1" s="3" t="s">
        <v>7</v>
      </c>
      <c r="O1" s="3" t="s">
        <v>9</v>
      </c>
      <c r="P1" s="3" t="s">
        <v>10</v>
      </c>
      <c r="Q1" s="3" t="s">
        <v>390</v>
      </c>
      <c r="R1" s="3" t="s">
        <v>13</v>
      </c>
      <c r="S1" s="3" t="s">
        <v>9</v>
      </c>
      <c r="T1" s="3" t="s">
        <v>10</v>
      </c>
      <c r="U1" s="3" t="s">
        <v>391</v>
      </c>
      <c r="V1" s="3" t="s">
        <v>13</v>
      </c>
      <c r="W1" s="3" t="s">
        <v>392</v>
      </c>
      <c r="X1" s="3" t="s">
        <v>393</v>
      </c>
      <c r="Y1" s="3" t="s">
        <v>394</v>
      </c>
      <c r="Z1" s="3" t="s">
        <v>13</v>
      </c>
      <c r="AA1" s="3" t="s">
        <v>392</v>
      </c>
      <c r="AB1" s="3" t="s">
        <v>10</v>
      </c>
      <c r="AC1" s="3" t="s">
        <v>395</v>
      </c>
      <c r="AD1" s="3" t="s">
        <v>13</v>
      </c>
      <c r="AE1" s="3" t="s">
        <v>9</v>
      </c>
      <c r="AF1" s="3" t="s">
        <v>393</v>
      </c>
      <c r="AG1" s="3" t="s">
        <v>396</v>
      </c>
      <c r="AH1" s="3" t="s">
        <v>13</v>
      </c>
      <c r="AI1" s="3" t="s">
        <v>9</v>
      </c>
      <c r="AJ1" s="3" t="s">
        <v>10</v>
      </c>
      <c r="AK1" s="3" t="s">
        <v>397</v>
      </c>
      <c r="AL1" s="3" t="s">
        <v>13</v>
      </c>
      <c r="AM1" s="3" t="s">
        <v>9</v>
      </c>
      <c r="AN1" s="3" t="s">
        <v>10</v>
      </c>
      <c r="AO1" s="3" t="s">
        <v>398</v>
      </c>
      <c r="AP1" s="3" t="s">
        <v>13</v>
      </c>
      <c r="AQ1" s="3" t="s">
        <v>9</v>
      </c>
      <c r="AR1" s="3" t="s">
        <v>10</v>
      </c>
      <c r="AS1" s="3" t="s">
        <v>399</v>
      </c>
      <c r="AT1" s="3" t="s">
        <v>13</v>
      </c>
      <c r="AU1" s="3" t="s">
        <v>392</v>
      </c>
      <c r="AV1" s="3" t="s">
        <v>10</v>
      </c>
      <c r="AW1" s="48" t="s">
        <v>400</v>
      </c>
      <c r="AX1" s="48" t="s">
        <v>13</v>
      </c>
      <c r="AY1" s="49"/>
      <c r="AZ1" s="49"/>
      <c r="BA1" s="49"/>
      <c r="BB1" s="49"/>
      <c r="BC1" s="49"/>
      <c r="BD1" s="49"/>
      <c r="BE1" s="49"/>
    </row>
    <row r="2" ht="15.75" customHeight="1">
      <c r="A2" s="8">
        <v>1509.0</v>
      </c>
      <c r="B2" s="50" t="s">
        <v>401</v>
      </c>
      <c r="C2" s="10" t="str">
        <f t="shared" ref="C2:C17" si="1">CONCATENATE(D2,"_",F2)</f>
        <v>TK-01_ETHANOL</v>
      </c>
      <c r="D2" s="11" t="s">
        <v>51</v>
      </c>
      <c r="E2" s="12" t="s">
        <v>52</v>
      </c>
      <c r="F2" s="11" t="s">
        <v>53</v>
      </c>
      <c r="G2" s="14" t="s">
        <v>402</v>
      </c>
      <c r="H2" s="17">
        <v>0.0</v>
      </c>
      <c r="I2" s="14" t="s">
        <v>403</v>
      </c>
      <c r="J2" s="17">
        <v>0.0</v>
      </c>
      <c r="K2" s="18" t="str">
        <f t="shared" ref="K2:K17" si="2">MID(I2,13,6)</f>
        <v>LSW-01</v>
      </c>
      <c r="L2" s="15" t="s">
        <v>62</v>
      </c>
      <c r="M2" s="14" t="s">
        <v>404</v>
      </c>
      <c r="N2" s="17">
        <v>0.0</v>
      </c>
      <c r="O2" s="18" t="str">
        <f t="shared" ref="O2:O17" si="3">MID(M2,13,6)</f>
        <v>RDR-01</v>
      </c>
      <c r="P2" s="25" t="s">
        <v>66</v>
      </c>
      <c r="Q2" s="14" t="s">
        <v>405</v>
      </c>
      <c r="R2" s="19">
        <v>0.0</v>
      </c>
      <c r="S2" s="18" t="str">
        <f t="shared" ref="S2:S17" si="4">MID(Q2,5,8)</f>
        <v>ROSOV-01</v>
      </c>
      <c r="T2" s="25" t="s">
        <v>70</v>
      </c>
      <c r="U2" s="20"/>
      <c r="V2" s="20"/>
      <c r="W2" s="20"/>
      <c r="X2" s="20"/>
      <c r="Y2" s="21" t="s">
        <v>406</v>
      </c>
      <c r="Z2" s="19">
        <v>0.0</v>
      </c>
      <c r="AA2" s="18" t="str">
        <f t="shared" ref="AA2:AA17" si="5">MID(Y2,5,8)</f>
        <v>ROSOV-02</v>
      </c>
      <c r="AB2" s="25" t="s">
        <v>74</v>
      </c>
      <c r="AC2" s="20"/>
      <c r="AD2" s="20"/>
      <c r="AE2" s="20"/>
      <c r="AF2" s="20"/>
      <c r="AG2" s="22" t="s">
        <v>407</v>
      </c>
      <c r="AH2" s="19">
        <v>0.0</v>
      </c>
      <c r="AI2" s="18" t="str">
        <f t="shared" ref="AI2:AI17" si="6">MID(AG2,5,7)</f>
        <v>DBBV-01</v>
      </c>
      <c r="AJ2" s="25" t="s">
        <v>78</v>
      </c>
      <c r="AK2" s="24"/>
      <c r="AL2" s="24"/>
      <c r="AM2" s="20"/>
      <c r="AN2" s="20"/>
      <c r="AO2" s="20"/>
      <c r="AP2" s="20"/>
      <c r="AQ2" s="20"/>
      <c r="AR2" s="20"/>
      <c r="AS2" s="22" t="s">
        <v>408</v>
      </c>
      <c r="AT2" s="19">
        <v>0.0</v>
      </c>
      <c r="AU2" s="18" t="str">
        <f t="shared" ref="AU2:AU17" si="7">MID(AS2,5,7)</f>
        <v>DBBV-02</v>
      </c>
      <c r="AV2" s="25" t="s">
        <v>81</v>
      </c>
      <c r="AW2" s="5"/>
      <c r="AX2" s="5"/>
    </row>
    <row r="3" ht="15.75" customHeight="1">
      <c r="A3" s="8">
        <v>1509.0</v>
      </c>
      <c r="B3" s="50" t="s">
        <v>401</v>
      </c>
      <c r="C3" s="10" t="str">
        <f t="shared" si="1"/>
        <v>TK-02_BS VI HSD</v>
      </c>
      <c r="D3" s="26" t="s">
        <v>83</v>
      </c>
      <c r="E3" s="27" t="s">
        <v>52</v>
      </c>
      <c r="F3" s="26" t="s">
        <v>84</v>
      </c>
      <c r="G3" s="14" t="s">
        <v>409</v>
      </c>
      <c r="H3" s="17">
        <v>0.0</v>
      </c>
      <c r="I3" s="14" t="s">
        <v>410</v>
      </c>
      <c r="J3" s="17">
        <v>0.0</v>
      </c>
      <c r="K3" s="18" t="str">
        <f t="shared" si="2"/>
        <v>LSW-02</v>
      </c>
      <c r="L3" s="15" t="s">
        <v>62</v>
      </c>
      <c r="M3" s="14" t="s">
        <v>411</v>
      </c>
      <c r="N3" s="17">
        <v>0.0</v>
      </c>
      <c r="O3" s="18" t="str">
        <f t="shared" si="3"/>
        <v>RDR-02</v>
      </c>
      <c r="P3" s="25" t="s">
        <v>66</v>
      </c>
      <c r="Q3" s="14" t="s">
        <v>412</v>
      </c>
      <c r="R3" s="19">
        <v>0.0</v>
      </c>
      <c r="S3" s="18" t="str">
        <f t="shared" si="4"/>
        <v>ROSOV-03</v>
      </c>
      <c r="T3" s="25" t="s">
        <v>70</v>
      </c>
      <c r="U3" s="51"/>
      <c r="V3" s="51"/>
      <c r="W3" s="51"/>
      <c r="X3" s="51"/>
      <c r="Y3" s="21" t="s">
        <v>413</v>
      </c>
      <c r="Z3" s="19">
        <v>0.0</v>
      </c>
      <c r="AA3" s="18" t="str">
        <f t="shared" si="5"/>
        <v>ROSOV-04</v>
      </c>
      <c r="AB3" s="25" t="s">
        <v>74</v>
      </c>
      <c r="AC3" s="51"/>
      <c r="AD3" s="51"/>
      <c r="AE3" s="51"/>
      <c r="AF3" s="51"/>
      <c r="AG3" s="22" t="s">
        <v>414</v>
      </c>
      <c r="AH3" s="19">
        <v>0.0</v>
      </c>
      <c r="AI3" s="18" t="str">
        <f t="shared" si="6"/>
        <v>DBBV-04</v>
      </c>
      <c r="AJ3" s="25" t="s">
        <v>78</v>
      </c>
      <c r="AK3" s="24"/>
      <c r="AL3" s="24"/>
      <c r="AM3" s="51"/>
      <c r="AN3" s="51"/>
      <c r="AO3" s="51"/>
      <c r="AP3" s="51"/>
      <c r="AQ3" s="51"/>
      <c r="AR3" s="51"/>
      <c r="AS3" s="22" t="s">
        <v>415</v>
      </c>
      <c r="AT3" s="19">
        <v>0.0</v>
      </c>
      <c r="AU3" s="18" t="str">
        <f t="shared" si="7"/>
        <v>DBBV-05</v>
      </c>
      <c r="AV3" s="25" t="s">
        <v>81</v>
      </c>
    </row>
    <row r="4" ht="15.75" customHeight="1">
      <c r="A4" s="8">
        <v>1509.0</v>
      </c>
      <c r="B4" s="50" t="s">
        <v>401</v>
      </c>
      <c r="C4" s="10" t="str">
        <f t="shared" si="1"/>
        <v>TK-03_ETHANOL</v>
      </c>
      <c r="D4" s="26" t="s">
        <v>104</v>
      </c>
      <c r="E4" s="27" t="s">
        <v>52</v>
      </c>
      <c r="F4" s="26" t="s">
        <v>53</v>
      </c>
      <c r="G4" s="14" t="s">
        <v>416</v>
      </c>
      <c r="H4" s="17">
        <v>0.0</v>
      </c>
      <c r="I4" s="14" t="s">
        <v>417</v>
      </c>
      <c r="J4" s="17">
        <v>0.0</v>
      </c>
      <c r="K4" s="18" t="str">
        <f t="shared" si="2"/>
        <v>LSW-03</v>
      </c>
      <c r="L4" s="15" t="s">
        <v>62</v>
      </c>
      <c r="M4" s="14" t="s">
        <v>418</v>
      </c>
      <c r="N4" s="17">
        <v>0.0</v>
      </c>
      <c r="O4" s="18" t="str">
        <f t="shared" si="3"/>
        <v>RDR-03</v>
      </c>
      <c r="P4" s="25" t="s">
        <v>66</v>
      </c>
      <c r="Q4" s="14" t="s">
        <v>419</v>
      </c>
      <c r="R4" s="19">
        <v>0.0</v>
      </c>
      <c r="S4" s="18" t="str">
        <f t="shared" si="4"/>
        <v>ROSOV-05</v>
      </c>
      <c r="T4" s="25" t="s">
        <v>70</v>
      </c>
      <c r="U4" s="34"/>
      <c r="V4" s="34"/>
      <c r="W4" s="34"/>
      <c r="X4" s="34"/>
      <c r="Y4" s="21" t="s">
        <v>420</v>
      </c>
      <c r="Z4" s="19">
        <v>0.0</v>
      </c>
      <c r="AA4" s="18" t="str">
        <f t="shared" si="5"/>
        <v>ROSOV-06</v>
      </c>
      <c r="AB4" s="25" t="s">
        <v>74</v>
      </c>
      <c r="AC4" s="34"/>
      <c r="AD4" s="34"/>
      <c r="AE4" s="34"/>
      <c r="AF4" s="34"/>
      <c r="AG4" s="22" t="s">
        <v>421</v>
      </c>
      <c r="AH4" s="19">
        <v>0.0</v>
      </c>
      <c r="AI4" s="18" t="str">
        <f t="shared" si="6"/>
        <v>DBBV-07</v>
      </c>
      <c r="AJ4" s="25" t="s">
        <v>78</v>
      </c>
      <c r="AK4" s="24"/>
      <c r="AL4" s="24"/>
      <c r="AM4" s="34"/>
      <c r="AN4" s="34"/>
      <c r="AO4" s="34"/>
      <c r="AP4" s="34"/>
      <c r="AQ4" s="34"/>
      <c r="AR4" s="34"/>
      <c r="AS4" s="22" t="s">
        <v>422</v>
      </c>
      <c r="AT4" s="19">
        <v>0.0</v>
      </c>
      <c r="AU4" s="18" t="str">
        <f t="shared" si="7"/>
        <v>DBBV-08</v>
      </c>
      <c r="AV4" s="25" t="s">
        <v>81</v>
      </c>
    </row>
    <row r="5" ht="15.75" customHeight="1">
      <c r="A5" s="8">
        <v>1509.0</v>
      </c>
      <c r="B5" s="50" t="s">
        <v>401</v>
      </c>
      <c r="C5" s="10" t="str">
        <f t="shared" si="1"/>
        <v>TK-04_SKO</v>
      </c>
      <c r="D5" s="26" t="s">
        <v>124</v>
      </c>
      <c r="E5" s="27" t="s">
        <v>52</v>
      </c>
      <c r="F5" s="26" t="s">
        <v>125</v>
      </c>
      <c r="G5" s="14" t="s">
        <v>423</v>
      </c>
      <c r="H5" s="17">
        <v>0.0</v>
      </c>
      <c r="I5" s="14" t="s">
        <v>424</v>
      </c>
      <c r="J5" s="17">
        <v>0.0</v>
      </c>
      <c r="K5" s="18" t="str">
        <f t="shared" si="2"/>
        <v>LSW-04</v>
      </c>
      <c r="L5" s="15" t="s">
        <v>62</v>
      </c>
      <c r="M5" s="14" t="s">
        <v>425</v>
      </c>
      <c r="N5" s="17">
        <v>0.0</v>
      </c>
      <c r="O5" s="18" t="str">
        <f t="shared" si="3"/>
        <v>RDR-04</v>
      </c>
      <c r="P5" s="25" t="s">
        <v>66</v>
      </c>
      <c r="Q5" s="14" t="s">
        <v>426</v>
      </c>
      <c r="R5" s="19">
        <v>0.0</v>
      </c>
      <c r="S5" s="18" t="str">
        <f t="shared" si="4"/>
        <v>ROSOV-07</v>
      </c>
      <c r="T5" s="25" t="s">
        <v>70</v>
      </c>
      <c r="U5" s="34"/>
      <c r="V5" s="34"/>
      <c r="W5" s="34"/>
      <c r="X5" s="34"/>
      <c r="Y5" s="21" t="s">
        <v>427</v>
      </c>
      <c r="Z5" s="19">
        <v>0.0</v>
      </c>
      <c r="AA5" s="18" t="str">
        <f t="shared" si="5"/>
        <v>ROSOV-08</v>
      </c>
      <c r="AB5" s="25" t="s">
        <v>74</v>
      </c>
      <c r="AC5" s="34"/>
      <c r="AD5" s="34"/>
      <c r="AE5" s="34"/>
      <c r="AF5" s="34"/>
      <c r="AG5" s="22" t="s">
        <v>428</v>
      </c>
      <c r="AH5" s="19">
        <v>0.0</v>
      </c>
      <c r="AI5" s="18" t="str">
        <f t="shared" si="6"/>
        <v>DBBV-09</v>
      </c>
      <c r="AJ5" s="25" t="s">
        <v>78</v>
      </c>
      <c r="AK5" s="24"/>
      <c r="AL5" s="24"/>
      <c r="AM5" s="34"/>
      <c r="AN5" s="34"/>
      <c r="AO5" s="34"/>
      <c r="AP5" s="34"/>
      <c r="AQ5" s="34"/>
      <c r="AR5" s="34"/>
      <c r="AS5" s="22" t="s">
        <v>429</v>
      </c>
      <c r="AT5" s="19">
        <v>0.0</v>
      </c>
      <c r="AU5" s="18" t="str">
        <f t="shared" si="7"/>
        <v>DBBV-10</v>
      </c>
      <c r="AV5" s="25" t="s">
        <v>81</v>
      </c>
    </row>
    <row r="6" ht="15.75" customHeight="1">
      <c r="A6" s="8">
        <v>1509.0</v>
      </c>
      <c r="B6" s="50" t="s">
        <v>401</v>
      </c>
      <c r="C6" s="10" t="str">
        <f t="shared" si="1"/>
        <v>TK-05_SLOP</v>
      </c>
      <c r="D6" s="26" t="s">
        <v>145</v>
      </c>
      <c r="E6" s="27" t="s">
        <v>52</v>
      </c>
      <c r="F6" s="26" t="s">
        <v>146</v>
      </c>
      <c r="G6" s="14" t="s">
        <v>430</v>
      </c>
      <c r="H6" s="17">
        <v>0.0</v>
      </c>
      <c r="I6" s="14" t="s">
        <v>431</v>
      </c>
      <c r="J6" s="17">
        <v>0.0</v>
      </c>
      <c r="K6" s="18" t="str">
        <f t="shared" si="2"/>
        <v>LSW-05</v>
      </c>
      <c r="L6" s="15" t="s">
        <v>62</v>
      </c>
      <c r="M6" s="14" t="s">
        <v>432</v>
      </c>
      <c r="N6" s="17">
        <v>0.0</v>
      </c>
      <c r="O6" s="18" t="str">
        <f t="shared" si="3"/>
        <v>RDR-05</v>
      </c>
      <c r="P6" s="25" t="s">
        <v>66</v>
      </c>
      <c r="Q6" s="14" t="s">
        <v>433</v>
      </c>
      <c r="R6" s="19">
        <v>0.0</v>
      </c>
      <c r="S6" s="18" t="str">
        <f t="shared" si="4"/>
        <v>ROSOV-09</v>
      </c>
      <c r="T6" s="25" t="s">
        <v>70</v>
      </c>
      <c r="U6" s="34"/>
      <c r="V6" s="34"/>
      <c r="W6" s="34"/>
      <c r="X6" s="34"/>
      <c r="Y6" s="21" t="s">
        <v>434</v>
      </c>
      <c r="Z6" s="19">
        <v>0.0</v>
      </c>
      <c r="AA6" s="18" t="str">
        <f t="shared" si="5"/>
        <v>ROSOV-10</v>
      </c>
      <c r="AB6" s="25" t="s">
        <v>74</v>
      </c>
      <c r="AC6" s="34"/>
      <c r="AD6" s="34"/>
      <c r="AE6" s="34"/>
      <c r="AF6" s="34"/>
      <c r="AG6" s="22" t="s">
        <v>435</v>
      </c>
      <c r="AH6" s="19">
        <v>0.0</v>
      </c>
      <c r="AI6" s="18" t="str">
        <f t="shared" si="6"/>
        <v>DBBV-32</v>
      </c>
      <c r="AJ6" s="25" t="s">
        <v>78</v>
      </c>
      <c r="AK6" s="22" t="s">
        <v>436</v>
      </c>
      <c r="AL6" s="17">
        <v>0.0</v>
      </c>
      <c r="AM6" s="52" t="s">
        <v>165</v>
      </c>
      <c r="AN6" s="52" t="s">
        <v>166</v>
      </c>
      <c r="AO6" s="34"/>
      <c r="AP6" s="34"/>
      <c r="AQ6" s="34"/>
      <c r="AR6" s="34"/>
      <c r="AS6" s="22" t="s">
        <v>437</v>
      </c>
      <c r="AT6" s="19">
        <v>0.0</v>
      </c>
      <c r="AU6" s="18" t="str">
        <f t="shared" si="7"/>
        <v>DBBV-34</v>
      </c>
      <c r="AV6" s="25" t="s">
        <v>81</v>
      </c>
    </row>
    <row r="7" ht="15.75" customHeight="1">
      <c r="A7" s="8">
        <v>1509.0</v>
      </c>
      <c r="B7" s="50" t="s">
        <v>401</v>
      </c>
      <c r="C7" s="10" t="str">
        <f t="shared" si="1"/>
        <v>TK-06_ETHANOL</v>
      </c>
      <c r="D7" s="26" t="s">
        <v>170</v>
      </c>
      <c r="E7" s="27" t="s">
        <v>52</v>
      </c>
      <c r="F7" s="26" t="s">
        <v>53</v>
      </c>
      <c r="G7" s="14" t="s">
        <v>438</v>
      </c>
      <c r="H7" s="17">
        <v>0.0</v>
      </c>
      <c r="I7" s="14" t="s">
        <v>439</v>
      </c>
      <c r="J7" s="17">
        <v>0.0</v>
      </c>
      <c r="K7" s="18" t="str">
        <f t="shared" si="2"/>
        <v>LSW-06</v>
      </c>
      <c r="L7" s="15" t="s">
        <v>62</v>
      </c>
      <c r="M7" s="14" t="s">
        <v>440</v>
      </c>
      <c r="N7" s="17">
        <v>0.0</v>
      </c>
      <c r="O7" s="18" t="str">
        <f t="shared" si="3"/>
        <v>RDR-06</v>
      </c>
      <c r="P7" s="25" t="s">
        <v>66</v>
      </c>
      <c r="Q7" s="14" t="s">
        <v>441</v>
      </c>
      <c r="R7" s="19">
        <v>0.0</v>
      </c>
      <c r="S7" s="18" t="str">
        <f t="shared" si="4"/>
        <v>ROSOV-11</v>
      </c>
      <c r="T7" s="25" t="s">
        <v>70</v>
      </c>
      <c r="U7" s="34"/>
      <c r="V7" s="34"/>
      <c r="W7" s="34"/>
      <c r="X7" s="34"/>
      <c r="Y7" s="21" t="s">
        <v>442</v>
      </c>
      <c r="Z7" s="19">
        <v>0.0</v>
      </c>
      <c r="AA7" s="18" t="str">
        <f t="shared" si="5"/>
        <v>ROSOV-12</v>
      </c>
      <c r="AB7" s="25" t="s">
        <v>74</v>
      </c>
      <c r="AC7" s="34"/>
      <c r="AD7" s="34"/>
      <c r="AE7" s="34"/>
      <c r="AF7" s="34"/>
      <c r="AG7" s="22" t="s">
        <v>443</v>
      </c>
      <c r="AH7" s="19">
        <v>0.0</v>
      </c>
      <c r="AI7" s="18" t="str">
        <f t="shared" si="6"/>
        <v>DBBV-35</v>
      </c>
      <c r="AJ7" s="25" t="s">
        <v>78</v>
      </c>
      <c r="AK7" s="34"/>
      <c r="AL7" s="34"/>
      <c r="AM7" s="34"/>
      <c r="AN7" s="34"/>
      <c r="AO7" s="34"/>
      <c r="AP7" s="34"/>
      <c r="AQ7" s="34"/>
      <c r="AR7" s="34"/>
      <c r="AS7" s="22" t="s">
        <v>444</v>
      </c>
      <c r="AT7" s="19">
        <v>0.0</v>
      </c>
      <c r="AU7" s="18" t="str">
        <f t="shared" si="7"/>
        <v>DBBV-36</v>
      </c>
      <c r="AV7" s="25" t="s">
        <v>81</v>
      </c>
    </row>
    <row r="8" ht="15.75" customHeight="1">
      <c r="A8" s="8">
        <v>1509.0</v>
      </c>
      <c r="B8" s="50" t="s">
        <v>401</v>
      </c>
      <c r="C8" s="10" t="str">
        <f t="shared" si="1"/>
        <v>TK-07_BS VI MS</v>
      </c>
      <c r="D8" s="26" t="s">
        <v>190</v>
      </c>
      <c r="E8" s="27" t="s">
        <v>52</v>
      </c>
      <c r="F8" s="26" t="s">
        <v>191</v>
      </c>
      <c r="G8" s="14" t="s">
        <v>445</v>
      </c>
      <c r="H8" s="17">
        <v>0.0</v>
      </c>
      <c r="I8" s="14" t="s">
        <v>446</v>
      </c>
      <c r="J8" s="17">
        <v>0.0</v>
      </c>
      <c r="K8" s="18" t="str">
        <f t="shared" si="2"/>
        <v>LSW-07</v>
      </c>
      <c r="L8" s="15" t="s">
        <v>62</v>
      </c>
      <c r="M8" s="14" t="s">
        <v>447</v>
      </c>
      <c r="N8" s="17">
        <v>0.0</v>
      </c>
      <c r="O8" s="18" t="str">
        <f t="shared" si="3"/>
        <v>RDR-07</v>
      </c>
      <c r="P8" s="25" t="s">
        <v>66</v>
      </c>
      <c r="Q8" s="14" t="s">
        <v>448</v>
      </c>
      <c r="R8" s="19">
        <v>0.0</v>
      </c>
      <c r="S8" s="18" t="str">
        <f t="shared" si="4"/>
        <v>ROSOV-13</v>
      </c>
      <c r="T8" s="25" t="s">
        <v>70</v>
      </c>
      <c r="U8" s="34"/>
      <c r="V8" s="34"/>
      <c r="W8" s="34"/>
      <c r="X8" s="34"/>
      <c r="Y8" s="21" t="s">
        <v>449</v>
      </c>
      <c r="Z8" s="19">
        <v>0.0</v>
      </c>
      <c r="AA8" s="18" t="str">
        <f t="shared" si="5"/>
        <v>ROSOV-14</v>
      </c>
      <c r="AB8" s="25" t="s">
        <v>74</v>
      </c>
      <c r="AC8" s="34"/>
      <c r="AD8" s="34"/>
      <c r="AE8" s="34"/>
      <c r="AF8" s="34"/>
      <c r="AG8" s="22" t="s">
        <v>450</v>
      </c>
      <c r="AH8" s="19">
        <v>0.0</v>
      </c>
      <c r="AI8" s="18" t="str">
        <f t="shared" si="6"/>
        <v>DBBV-11</v>
      </c>
      <c r="AJ8" s="25" t="s">
        <v>78</v>
      </c>
      <c r="AK8" s="34"/>
      <c r="AL8" s="34"/>
      <c r="AM8" s="34"/>
      <c r="AN8" s="34"/>
      <c r="AO8" s="34"/>
      <c r="AP8" s="34"/>
      <c r="AQ8" s="34"/>
      <c r="AR8" s="34"/>
      <c r="AS8" s="22" t="s">
        <v>451</v>
      </c>
      <c r="AT8" s="19">
        <v>0.0</v>
      </c>
      <c r="AU8" s="18" t="str">
        <f t="shared" si="7"/>
        <v>DBBV-12</v>
      </c>
      <c r="AV8" s="25" t="s">
        <v>81</v>
      </c>
    </row>
    <row r="9" ht="15.75" customHeight="1">
      <c r="A9" s="8">
        <v>1509.0</v>
      </c>
      <c r="B9" s="50" t="s">
        <v>401</v>
      </c>
      <c r="C9" s="10" t="str">
        <f t="shared" si="1"/>
        <v>TK-08_BS VI MS</v>
      </c>
      <c r="D9" s="26" t="s">
        <v>214</v>
      </c>
      <c r="E9" s="27" t="s">
        <v>52</v>
      </c>
      <c r="F9" s="26" t="s">
        <v>191</v>
      </c>
      <c r="G9" s="14" t="s">
        <v>452</v>
      </c>
      <c r="H9" s="17">
        <v>0.0</v>
      </c>
      <c r="I9" s="14" t="s">
        <v>453</v>
      </c>
      <c r="J9" s="17">
        <v>0.0</v>
      </c>
      <c r="K9" s="18" t="str">
        <f t="shared" si="2"/>
        <v>LSW-08</v>
      </c>
      <c r="L9" s="15" t="s">
        <v>62</v>
      </c>
      <c r="M9" s="14" t="s">
        <v>454</v>
      </c>
      <c r="N9" s="17">
        <v>0.0</v>
      </c>
      <c r="O9" s="18" t="str">
        <f t="shared" si="3"/>
        <v>RDR-08</v>
      </c>
      <c r="P9" s="25" t="s">
        <v>66</v>
      </c>
      <c r="Q9" s="14" t="s">
        <v>455</v>
      </c>
      <c r="R9" s="19">
        <v>0.0</v>
      </c>
      <c r="S9" s="18" t="str">
        <f t="shared" si="4"/>
        <v>ROSOV-15</v>
      </c>
      <c r="T9" s="25" t="s">
        <v>70</v>
      </c>
      <c r="U9" s="34"/>
      <c r="V9" s="34"/>
      <c r="W9" s="34"/>
      <c r="X9" s="34"/>
      <c r="Y9" s="21" t="s">
        <v>456</v>
      </c>
      <c r="Z9" s="19">
        <v>0.0</v>
      </c>
      <c r="AA9" s="18" t="str">
        <f t="shared" si="5"/>
        <v>ROSOV-16</v>
      </c>
      <c r="AB9" s="25" t="s">
        <v>74</v>
      </c>
      <c r="AC9" s="34"/>
      <c r="AD9" s="34"/>
      <c r="AE9" s="34"/>
      <c r="AF9" s="34"/>
      <c r="AG9" s="22" t="s">
        <v>457</v>
      </c>
      <c r="AH9" s="19">
        <v>0.0</v>
      </c>
      <c r="AI9" s="18" t="str">
        <f t="shared" si="6"/>
        <v>DBBV-14</v>
      </c>
      <c r="AJ9" s="25" t="s">
        <v>78</v>
      </c>
      <c r="AK9" s="34"/>
      <c r="AL9" s="34"/>
      <c r="AM9" s="34"/>
      <c r="AN9" s="34"/>
      <c r="AO9" s="34"/>
      <c r="AP9" s="34"/>
      <c r="AQ9" s="34"/>
      <c r="AR9" s="34"/>
      <c r="AS9" s="22" t="s">
        <v>458</v>
      </c>
      <c r="AT9" s="19">
        <v>0.0</v>
      </c>
      <c r="AU9" s="18" t="str">
        <f t="shared" si="7"/>
        <v>DBBV-15</v>
      </c>
      <c r="AV9" s="25" t="s">
        <v>81</v>
      </c>
    </row>
    <row r="10" ht="15.75" customHeight="1">
      <c r="A10" s="8">
        <v>1509.0</v>
      </c>
      <c r="B10" s="50" t="s">
        <v>401</v>
      </c>
      <c r="C10" s="10" t="str">
        <f t="shared" si="1"/>
        <v>TK-09_BS VI MS</v>
      </c>
      <c r="D10" s="26" t="s">
        <v>236</v>
      </c>
      <c r="E10" s="27" t="s">
        <v>52</v>
      </c>
      <c r="F10" s="26" t="s">
        <v>191</v>
      </c>
      <c r="G10" s="14" t="s">
        <v>459</v>
      </c>
      <c r="H10" s="17">
        <v>0.0</v>
      </c>
      <c r="I10" s="14" t="s">
        <v>460</v>
      </c>
      <c r="J10" s="17">
        <v>0.0</v>
      </c>
      <c r="K10" s="18" t="str">
        <f t="shared" si="2"/>
        <v>LSW-09</v>
      </c>
      <c r="L10" s="15" t="s">
        <v>62</v>
      </c>
      <c r="M10" s="14" t="s">
        <v>461</v>
      </c>
      <c r="N10" s="17">
        <v>0.0</v>
      </c>
      <c r="O10" s="18" t="str">
        <f t="shared" si="3"/>
        <v>RDR-09</v>
      </c>
      <c r="P10" s="25" t="s">
        <v>66</v>
      </c>
      <c r="Q10" s="14" t="s">
        <v>462</v>
      </c>
      <c r="R10" s="19">
        <v>0.0</v>
      </c>
      <c r="S10" s="18" t="str">
        <f t="shared" si="4"/>
        <v>ROSOV-17</v>
      </c>
      <c r="T10" s="25" t="s">
        <v>70</v>
      </c>
      <c r="U10" s="34"/>
      <c r="V10" s="34"/>
      <c r="W10" s="34"/>
      <c r="X10" s="34"/>
      <c r="Y10" s="21" t="s">
        <v>463</v>
      </c>
      <c r="Z10" s="19">
        <v>0.0</v>
      </c>
      <c r="AA10" s="18" t="str">
        <f t="shared" si="5"/>
        <v>ROSOV-18</v>
      </c>
      <c r="AB10" s="25" t="s">
        <v>74</v>
      </c>
      <c r="AC10" s="34"/>
      <c r="AD10" s="34"/>
      <c r="AE10" s="34"/>
      <c r="AF10" s="34"/>
      <c r="AG10" s="22" t="s">
        <v>464</v>
      </c>
      <c r="AH10" s="19">
        <v>0.0</v>
      </c>
      <c r="AI10" s="18" t="str">
        <f t="shared" si="6"/>
        <v>DBBV-17</v>
      </c>
      <c r="AJ10" s="25" t="s">
        <v>78</v>
      </c>
      <c r="AK10" s="34"/>
      <c r="AL10" s="34"/>
      <c r="AM10" s="34"/>
      <c r="AN10" s="34"/>
      <c r="AO10" s="34"/>
      <c r="AP10" s="34"/>
      <c r="AQ10" s="34"/>
      <c r="AR10" s="34"/>
      <c r="AS10" s="22" t="s">
        <v>465</v>
      </c>
      <c r="AT10" s="19">
        <v>0.0</v>
      </c>
      <c r="AU10" s="18" t="str">
        <f t="shared" si="7"/>
        <v>DBBV-18</v>
      </c>
      <c r="AV10" s="25" t="s">
        <v>81</v>
      </c>
    </row>
    <row r="11" ht="15.75" customHeight="1">
      <c r="A11" s="8">
        <v>1509.0</v>
      </c>
      <c r="B11" s="50" t="s">
        <v>401</v>
      </c>
      <c r="C11" s="10" t="str">
        <f t="shared" si="1"/>
        <v>TK-12_BS VI HSD</v>
      </c>
      <c r="D11" s="26" t="s">
        <v>265</v>
      </c>
      <c r="E11" s="27" t="s">
        <v>52</v>
      </c>
      <c r="F11" s="26" t="s">
        <v>84</v>
      </c>
      <c r="G11" s="14" t="s">
        <v>466</v>
      </c>
      <c r="H11" s="17">
        <v>0.0</v>
      </c>
      <c r="I11" s="14" t="s">
        <v>467</v>
      </c>
      <c r="J11" s="17">
        <v>0.0</v>
      </c>
      <c r="K11" s="18" t="str">
        <f t="shared" si="2"/>
        <v>LSW-11</v>
      </c>
      <c r="L11" s="15" t="s">
        <v>62</v>
      </c>
      <c r="M11" s="14" t="s">
        <v>468</v>
      </c>
      <c r="N11" s="17">
        <v>0.0</v>
      </c>
      <c r="O11" s="18" t="str">
        <f t="shared" si="3"/>
        <v>RDR-11</v>
      </c>
      <c r="P11" s="25" t="s">
        <v>66</v>
      </c>
      <c r="Q11" s="14" t="s">
        <v>469</v>
      </c>
      <c r="R11" s="19">
        <v>0.0</v>
      </c>
      <c r="S11" s="18" t="str">
        <f t="shared" si="4"/>
        <v>ROSOV-21</v>
      </c>
      <c r="T11" s="25" t="s">
        <v>70</v>
      </c>
      <c r="U11" s="34"/>
      <c r="V11" s="34"/>
      <c r="W11" s="34"/>
      <c r="X11" s="34"/>
      <c r="Y11" s="21" t="s">
        <v>470</v>
      </c>
      <c r="Z11" s="19">
        <v>0.0</v>
      </c>
      <c r="AA11" s="18" t="str">
        <f t="shared" si="5"/>
        <v>ROSOV-22</v>
      </c>
      <c r="AB11" s="25" t="s">
        <v>74</v>
      </c>
      <c r="AC11" s="34"/>
      <c r="AD11" s="34"/>
      <c r="AE11" s="34"/>
      <c r="AF11" s="34"/>
      <c r="AG11" s="22" t="s">
        <v>471</v>
      </c>
      <c r="AH11" s="19">
        <v>0.0</v>
      </c>
      <c r="AI11" s="18" t="str">
        <f t="shared" si="6"/>
        <v>DBBV-23</v>
      </c>
      <c r="AJ11" s="25" t="s">
        <v>78</v>
      </c>
      <c r="AK11" s="34"/>
      <c r="AL11" s="34"/>
      <c r="AM11" s="34"/>
      <c r="AN11" s="34"/>
      <c r="AO11" s="34"/>
      <c r="AP11" s="34"/>
      <c r="AQ11" s="34"/>
      <c r="AR11" s="34"/>
      <c r="AS11" s="22" t="s">
        <v>472</v>
      </c>
      <c r="AT11" s="19">
        <v>0.0</v>
      </c>
      <c r="AU11" s="18" t="str">
        <f t="shared" si="7"/>
        <v>DBBV-24</v>
      </c>
      <c r="AV11" s="25" t="s">
        <v>81</v>
      </c>
    </row>
    <row r="12" ht="15.75" customHeight="1">
      <c r="A12" s="8">
        <v>1509.0</v>
      </c>
      <c r="B12" s="50" t="s">
        <v>401</v>
      </c>
      <c r="C12" s="10" t="str">
        <f t="shared" si="1"/>
        <v>TK-13_BS VI HSD</v>
      </c>
      <c r="D12" s="26" t="s">
        <v>285</v>
      </c>
      <c r="E12" s="27" t="s">
        <v>52</v>
      </c>
      <c r="F12" s="26" t="s">
        <v>84</v>
      </c>
      <c r="G12" s="14" t="s">
        <v>473</v>
      </c>
      <c r="H12" s="17">
        <v>0.0</v>
      </c>
      <c r="I12" s="14" t="s">
        <v>474</v>
      </c>
      <c r="J12" s="17">
        <v>0.0</v>
      </c>
      <c r="K12" s="18" t="str">
        <f t="shared" si="2"/>
        <v>LSW-12</v>
      </c>
      <c r="L12" s="15" t="s">
        <v>62</v>
      </c>
      <c r="M12" s="14" t="s">
        <v>475</v>
      </c>
      <c r="N12" s="17">
        <v>0.0</v>
      </c>
      <c r="O12" s="18" t="str">
        <f t="shared" si="3"/>
        <v>RDR-12</v>
      </c>
      <c r="P12" s="25" t="s">
        <v>66</v>
      </c>
      <c r="Q12" s="14" t="s">
        <v>476</v>
      </c>
      <c r="R12" s="19">
        <v>0.0</v>
      </c>
      <c r="S12" s="18" t="str">
        <f t="shared" si="4"/>
        <v>ROSOV-23</v>
      </c>
      <c r="T12" s="25" t="s">
        <v>70</v>
      </c>
      <c r="U12" s="34"/>
      <c r="V12" s="34"/>
      <c r="W12" s="34"/>
      <c r="X12" s="34"/>
      <c r="Y12" s="21" t="s">
        <v>477</v>
      </c>
      <c r="Z12" s="19">
        <v>0.0</v>
      </c>
      <c r="AA12" s="18" t="str">
        <f t="shared" si="5"/>
        <v>ROSOV-24</v>
      </c>
      <c r="AB12" s="25" t="s">
        <v>74</v>
      </c>
      <c r="AC12" s="34"/>
      <c r="AD12" s="34"/>
      <c r="AE12" s="34"/>
      <c r="AF12" s="34"/>
      <c r="AG12" s="22" t="s">
        <v>478</v>
      </c>
      <c r="AH12" s="19">
        <v>0.0</v>
      </c>
      <c r="AI12" s="18" t="str">
        <f t="shared" si="6"/>
        <v>DBBV-26</v>
      </c>
      <c r="AJ12" s="25" t="s">
        <v>78</v>
      </c>
      <c r="AK12" s="34"/>
      <c r="AL12" s="34"/>
      <c r="AM12" s="34"/>
      <c r="AN12" s="34"/>
      <c r="AO12" s="34"/>
      <c r="AP12" s="34"/>
      <c r="AQ12" s="34"/>
      <c r="AR12" s="34"/>
      <c r="AS12" s="22" t="s">
        <v>479</v>
      </c>
      <c r="AT12" s="19">
        <v>0.0</v>
      </c>
      <c r="AU12" s="18" t="str">
        <f t="shared" si="7"/>
        <v>DBBV-27</v>
      </c>
      <c r="AV12" s="25" t="s">
        <v>81</v>
      </c>
    </row>
    <row r="13" ht="15.75" customHeight="1">
      <c r="A13" s="8">
        <v>1509.0</v>
      </c>
      <c r="B13" s="50" t="s">
        <v>401</v>
      </c>
      <c r="C13" s="10" t="str">
        <f t="shared" si="1"/>
        <v>TK-14_BS VI HSD</v>
      </c>
      <c r="D13" s="26" t="s">
        <v>305</v>
      </c>
      <c r="E13" s="27" t="s">
        <v>52</v>
      </c>
      <c r="F13" s="26" t="s">
        <v>84</v>
      </c>
      <c r="G13" s="14" t="s">
        <v>480</v>
      </c>
      <c r="H13" s="17">
        <v>0.0</v>
      </c>
      <c r="I13" s="14" t="s">
        <v>481</v>
      </c>
      <c r="J13" s="17">
        <v>0.0</v>
      </c>
      <c r="K13" s="18" t="str">
        <f t="shared" si="2"/>
        <v>LSW-13</v>
      </c>
      <c r="L13" s="15" t="s">
        <v>62</v>
      </c>
      <c r="M13" s="14" t="s">
        <v>482</v>
      </c>
      <c r="N13" s="17">
        <v>0.0</v>
      </c>
      <c r="O13" s="18" t="str">
        <f t="shared" si="3"/>
        <v>RDR-13</v>
      </c>
      <c r="P13" s="25" t="s">
        <v>66</v>
      </c>
      <c r="Q13" s="14" t="s">
        <v>483</v>
      </c>
      <c r="R13" s="19">
        <v>0.0</v>
      </c>
      <c r="S13" s="18" t="str">
        <f t="shared" si="4"/>
        <v>ROSOV-25</v>
      </c>
      <c r="T13" s="25" t="s">
        <v>70</v>
      </c>
      <c r="U13" s="34"/>
      <c r="V13" s="34"/>
      <c r="W13" s="34"/>
      <c r="X13" s="34"/>
      <c r="Y13" s="21" t="s">
        <v>484</v>
      </c>
      <c r="Z13" s="19">
        <v>0.0</v>
      </c>
      <c r="AA13" s="18" t="str">
        <f t="shared" si="5"/>
        <v>ROSOV-26</v>
      </c>
      <c r="AB13" s="25" t="s">
        <v>74</v>
      </c>
      <c r="AC13" s="34"/>
      <c r="AD13" s="34"/>
      <c r="AE13" s="34"/>
      <c r="AF13" s="34"/>
      <c r="AG13" s="22" t="s">
        <v>485</v>
      </c>
      <c r="AH13" s="19">
        <v>0.0</v>
      </c>
      <c r="AI13" s="18" t="str">
        <f t="shared" si="6"/>
        <v>DBBV-29</v>
      </c>
      <c r="AJ13" s="25" t="s">
        <v>78</v>
      </c>
      <c r="AK13" s="34"/>
      <c r="AL13" s="34"/>
      <c r="AM13" s="34"/>
      <c r="AN13" s="34"/>
      <c r="AO13" s="34"/>
      <c r="AP13" s="34"/>
      <c r="AQ13" s="34"/>
      <c r="AR13" s="34"/>
      <c r="AS13" s="22" t="s">
        <v>486</v>
      </c>
      <c r="AT13" s="19">
        <v>0.0</v>
      </c>
      <c r="AU13" s="18" t="str">
        <f t="shared" si="7"/>
        <v>DBBV-30</v>
      </c>
      <c r="AV13" s="25" t="s">
        <v>81</v>
      </c>
    </row>
    <row r="14" ht="15.75" customHeight="1">
      <c r="A14" s="8">
        <v>1509.0</v>
      </c>
      <c r="B14" s="50" t="s">
        <v>401</v>
      </c>
      <c r="C14" s="10" t="str">
        <f t="shared" si="1"/>
        <v>TK-15_BS VI MS</v>
      </c>
      <c r="D14" s="26" t="s">
        <v>325</v>
      </c>
      <c r="E14" s="32" t="s">
        <v>52</v>
      </c>
      <c r="F14" s="26" t="s">
        <v>191</v>
      </c>
      <c r="G14" s="14" t="s">
        <v>487</v>
      </c>
      <c r="H14" s="17">
        <v>0.0</v>
      </c>
      <c r="I14" s="14" t="s">
        <v>488</v>
      </c>
      <c r="J14" s="17">
        <v>0.0</v>
      </c>
      <c r="K14" s="18" t="str">
        <f t="shared" si="2"/>
        <v>LSW-10</v>
      </c>
      <c r="L14" s="15" t="s">
        <v>62</v>
      </c>
      <c r="M14" s="14" t="s">
        <v>489</v>
      </c>
      <c r="N14" s="17">
        <v>0.0</v>
      </c>
      <c r="O14" s="18" t="str">
        <f t="shared" si="3"/>
        <v>RDR-10</v>
      </c>
      <c r="P14" s="25" t="s">
        <v>66</v>
      </c>
      <c r="Q14" s="14" t="s">
        <v>490</v>
      </c>
      <c r="R14" s="19">
        <v>0.0</v>
      </c>
      <c r="S14" s="18" t="str">
        <f t="shared" si="4"/>
        <v>ROSOV-19</v>
      </c>
      <c r="T14" s="25" t="s">
        <v>70</v>
      </c>
      <c r="U14" s="34"/>
      <c r="V14" s="34"/>
      <c r="W14" s="34"/>
      <c r="X14" s="34"/>
      <c r="Y14" s="21" t="s">
        <v>491</v>
      </c>
      <c r="Z14" s="19">
        <v>0.0</v>
      </c>
      <c r="AA14" s="18" t="str">
        <f t="shared" si="5"/>
        <v>ROSOV-20</v>
      </c>
      <c r="AB14" s="25" t="s">
        <v>74</v>
      </c>
      <c r="AC14" s="34"/>
      <c r="AD14" s="34"/>
      <c r="AE14" s="34"/>
      <c r="AF14" s="34"/>
      <c r="AG14" s="22" t="s">
        <v>492</v>
      </c>
      <c r="AH14" s="19">
        <v>0.0</v>
      </c>
      <c r="AI14" s="18" t="str">
        <f t="shared" si="6"/>
        <v>DBBV-20</v>
      </c>
      <c r="AJ14" s="25" t="s">
        <v>78</v>
      </c>
      <c r="AK14" s="34"/>
      <c r="AL14" s="34"/>
      <c r="AM14" s="34"/>
      <c r="AN14" s="34"/>
      <c r="AO14" s="34"/>
      <c r="AP14" s="34"/>
      <c r="AQ14" s="34"/>
      <c r="AR14" s="34"/>
      <c r="AS14" s="22" t="s">
        <v>493</v>
      </c>
      <c r="AT14" s="19">
        <v>0.0</v>
      </c>
      <c r="AU14" s="18" t="str">
        <f t="shared" si="7"/>
        <v>DBBV-21</v>
      </c>
      <c r="AV14" s="25" t="s">
        <v>81</v>
      </c>
    </row>
    <row r="15" ht="15.75" customHeight="1">
      <c r="A15" s="8">
        <v>1509.0</v>
      </c>
      <c r="B15" s="50" t="s">
        <v>401</v>
      </c>
      <c r="C15" s="10" t="str">
        <f t="shared" si="1"/>
        <v>TK-18_BS VI HSD</v>
      </c>
      <c r="D15" s="26" t="s">
        <v>354</v>
      </c>
      <c r="E15" s="33" t="s">
        <v>348</v>
      </c>
      <c r="F15" s="26" t="s">
        <v>84</v>
      </c>
      <c r="G15" s="14" t="s">
        <v>494</v>
      </c>
      <c r="H15" s="17">
        <v>0.0</v>
      </c>
      <c r="I15" s="28"/>
      <c r="J15" s="28"/>
      <c r="K15" s="18" t="str">
        <f t="shared" si="2"/>
        <v/>
      </c>
      <c r="L15" s="28"/>
      <c r="M15" s="28"/>
      <c r="N15" s="28"/>
      <c r="O15" s="18" t="str">
        <f t="shared" si="3"/>
        <v/>
      </c>
      <c r="P15" s="28"/>
      <c r="Q15" s="34"/>
      <c r="R15" s="34"/>
      <c r="S15" s="18" t="str">
        <f t="shared" si="4"/>
        <v/>
      </c>
      <c r="T15" s="34"/>
      <c r="U15" s="34"/>
      <c r="V15" s="34"/>
      <c r="W15" s="34"/>
      <c r="X15" s="34"/>
      <c r="Y15" s="34"/>
      <c r="Z15" s="34"/>
      <c r="AA15" s="18" t="str">
        <f t="shared" si="5"/>
        <v/>
      </c>
      <c r="AB15" s="34"/>
      <c r="AC15" s="34"/>
      <c r="AD15" s="34"/>
      <c r="AE15" s="34"/>
      <c r="AF15" s="34"/>
      <c r="AG15" s="34"/>
      <c r="AH15" s="34"/>
      <c r="AI15" s="18" t="str">
        <f t="shared" si="6"/>
        <v/>
      </c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18" t="str">
        <f t="shared" si="7"/>
        <v/>
      </c>
      <c r="AV15" s="34"/>
    </row>
    <row r="16" ht="15.75" customHeight="1">
      <c r="A16" s="8">
        <v>1509.0</v>
      </c>
      <c r="B16" s="50" t="s">
        <v>401</v>
      </c>
      <c r="C16" s="10" t="str">
        <f t="shared" si="1"/>
        <v>TK-19_SKO</v>
      </c>
      <c r="D16" s="26" t="s">
        <v>357</v>
      </c>
      <c r="E16" s="33" t="s">
        <v>348</v>
      </c>
      <c r="F16" s="26" t="s">
        <v>125</v>
      </c>
      <c r="G16" s="14" t="s">
        <v>495</v>
      </c>
      <c r="H16" s="17">
        <v>0.0</v>
      </c>
      <c r="I16" s="28"/>
      <c r="J16" s="28"/>
      <c r="K16" s="18" t="str">
        <f t="shared" si="2"/>
        <v/>
      </c>
      <c r="L16" s="28"/>
      <c r="M16" s="28"/>
      <c r="N16" s="28"/>
      <c r="O16" s="18" t="str">
        <f t="shared" si="3"/>
        <v/>
      </c>
      <c r="P16" s="28"/>
      <c r="Q16" s="34"/>
      <c r="R16" s="34"/>
      <c r="S16" s="18" t="str">
        <f t="shared" si="4"/>
        <v/>
      </c>
      <c r="T16" s="34"/>
      <c r="U16" s="34"/>
      <c r="V16" s="34"/>
      <c r="W16" s="34"/>
      <c r="X16" s="34"/>
      <c r="Y16" s="34"/>
      <c r="Z16" s="34"/>
      <c r="AA16" s="18" t="str">
        <f t="shared" si="5"/>
        <v/>
      </c>
      <c r="AB16" s="34"/>
      <c r="AC16" s="34"/>
      <c r="AD16" s="34"/>
      <c r="AE16" s="34"/>
      <c r="AF16" s="34"/>
      <c r="AG16" s="34"/>
      <c r="AH16" s="34"/>
      <c r="AI16" s="18" t="str">
        <f t="shared" si="6"/>
        <v/>
      </c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18" t="str">
        <f t="shared" si="7"/>
        <v/>
      </c>
      <c r="AV16" s="34"/>
    </row>
    <row r="17" ht="15.75" customHeight="1">
      <c r="A17" s="8">
        <v>1509.0</v>
      </c>
      <c r="B17" s="50" t="s">
        <v>401</v>
      </c>
      <c r="C17" s="10" t="str">
        <f t="shared" si="1"/>
        <v>TK-20_BS VI MS</v>
      </c>
      <c r="D17" s="26" t="s">
        <v>360</v>
      </c>
      <c r="E17" s="33" t="s">
        <v>348</v>
      </c>
      <c r="F17" s="26" t="s">
        <v>191</v>
      </c>
      <c r="G17" s="14" t="s">
        <v>496</v>
      </c>
      <c r="H17" s="17">
        <v>0.0</v>
      </c>
      <c r="I17" s="28"/>
      <c r="J17" s="28"/>
      <c r="K17" s="18" t="str">
        <f t="shared" si="2"/>
        <v/>
      </c>
      <c r="L17" s="28"/>
      <c r="M17" s="28"/>
      <c r="N17" s="28"/>
      <c r="O17" s="18" t="str">
        <f t="shared" si="3"/>
        <v/>
      </c>
      <c r="P17" s="28"/>
      <c r="Q17" s="34"/>
      <c r="R17" s="34"/>
      <c r="S17" s="18" t="str">
        <f t="shared" si="4"/>
        <v/>
      </c>
      <c r="T17" s="34"/>
      <c r="U17" s="34"/>
      <c r="V17" s="34"/>
      <c r="W17" s="34"/>
      <c r="X17" s="34"/>
      <c r="Y17" s="34"/>
      <c r="Z17" s="34"/>
      <c r="AA17" s="18" t="str">
        <f t="shared" si="5"/>
        <v/>
      </c>
      <c r="AB17" s="34"/>
      <c r="AC17" s="34"/>
      <c r="AD17" s="34"/>
      <c r="AE17" s="34"/>
      <c r="AF17" s="34"/>
      <c r="AG17" s="34"/>
      <c r="AH17" s="34"/>
      <c r="AI17" s="18" t="str">
        <f t="shared" si="6"/>
        <v/>
      </c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18" t="str">
        <f t="shared" si="7"/>
        <v/>
      </c>
      <c r="AV17" s="34"/>
    </row>
    <row r="18" ht="15.75" customHeight="1">
      <c r="G18" s="34"/>
      <c r="H18" s="34"/>
      <c r="I18" s="28"/>
      <c r="J18" s="28"/>
      <c r="K18" s="28"/>
      <c r="L18" s="28"/>
      <c r="M18" s="28"/>
      <c r="N18" s="28"/>
      <c r="O18" s="28"/>
      <c r="P18" s="28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</row>
    <row r="19" ht="15.75" customHeight="1">
      <c r="G19" s="34"/>
      <c r="H19" s="34"/>
      <c r="I19" s="28"/>
      <c r="J19" s="28"/>
      <c r="K19" s="28"/>
      <c r="L19" s="28"/>
      <c r="M19" s="28"/>
      <c r="N19" s="28"/>
      <c r="O19" s="28"/>
      <c r="P19" s="28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</row>
    <row r="20" ht="15.75" customHeight="1">
      <c r="G20" s="34"/>
      <c r="H20" s="34"/>
      <c r="I20" s="28"/>
      <c r="J20" s="28"/>
      <c r="K20" s="28"/>
      <c r="L20" s="28"/>
      <c r="M20" s="28"/>
      <c r="N20" s="28"/>
      <c r="O20" s="28"/>
      <c r="P20" s="28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</row>
    <row r="21" ht="15.75" customHeight="1">
      <c r="G21" s="34"/>
      <c r="H21" s="34"/>
      <c r="I21" s="28"/>
      <c r="J21" s="28"/>
      <c r="K21" s="28"/>
      <c r="L21" s="28"/>
      <c r="M21" s="28"/>
      <c r="N21" s="28"/>
      <c r="O21" s="28"/>
      <c r="P21" s="28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</row>
    <row r="22" ht="15.75" customHeight="1">
      <c r="G22" s="34"/>
      <c r="H22" s="34"/>
      <c r="I22" s="28"/>
      <c r="J22" s="28"/>
      <c r="K22" s="28"/>
      <c r="L22" s="28"/>
      <c r="M22" s="28"/>
      <c r="N22" s="28"/>
      <c r="O22" s="28"/>
      <c r="P22" s="28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</row>
    <row r="23" ht="15.75" customHeight="1">
      <c r="G23" s="34"/>
      <c r="H23" s="34"/>
      <c r="I23" s="28"/>
      <c r="J23" s="28"/>
      <c r="K23" s="28"/>
      <c r="L23" s="28"/>
      <c r="M23" s="28"/>
      <c r="N23" s="28"/>
      <c r="O23" s="28"/>
      <c r="P23" s="28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</row>
    <row r="24" ht="15.75" customHeight="1">
      <c r="G24" s="34"/>
      <c r="H24" s="34"/>
      <c r="I24" s="28"/>
      <c r="J24" s="28"/>
      <c r="K24" s="28"/>
      <c r="L24" s="28"/>
      <c r="M24" s="28"/>
      <c r="N24" s="28"/>
      <c r="O24" s="28"/>
      <c r="P24" s="28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</row>
    <row r="25" ht="15.75" customHeight="1">
      <c r="G25" s="34"/>
      <c r="H25" s="34"/>
      <c r="I25" s="28"/>
      <c r="J25" s="28"/>
      <c r="K25" s="28"/>
      <c r="L25" s="28"/>
      <c r="M25" s="28"/>
      <c r="N25" s="28"/>
      <c r="O25" s="28"/>
      <c r="P25" s="28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</row>
    <row r="26" ht="15.75" customHeight="1">
      <c r="G26" s="34"/>
      <c r="H26" s="34"/>
      <c r="I26" s="28"/>
      <c r="J26" s="28"/>
      <c r="K26" s="28"/>
      <c r="L26" s="28"/>
      <c r="M26" s="28"/>
      <c r="N26" s="28"/>
      <c r="O26" s="28"/>
      <c r="P26" s="28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</row>
    <row r="27" ht="15.75" customHeight="1">
      <c r="G27" s="34"/>
      <c r="H27" s="34"/>
      <c r="I27" s="28"/>
      <c r="J27" s="28"/>
      <c r="K27" s="28"/>
      <c r="L27" s="28"/>
      <c r="M27" s="28"/>
      <c r="N27" s="28"/>
      <c r="O27" s="28"/>
      <c r="P27" s="28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</row>
    <row r="28" ht="15.75" customHeight="1">
      <c r="G28" s="34"/>
      <c r="H28" s="34"/>
      <c r="I28" s="28"/>
      <c r="J28" s="28"/>
      <c r="K28" s="28"/>
      <c r="L28" s="28"/>
      <c r="M28" s="28"/>
      <c r="N28" s="28"/>
      <c r="O28" s="28"/>
      <c r="P28" s="28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</row>
    <row r="29" ht="15.75" customHeight="1">
      <c r="G29" s="34"/>
      <c r="H29" s="34"/>
      <c r="I29" s="28"/>
      <c r="J29" s="28"/>
      <c r="K29" s="28"/>
      <c r="L29" s="28"/>
      <c r="M29" s="28"/>
      <c r="N29" s="28"/>
      <c r="O29" s="28"/>
      <c r="P29" s="28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</row>
    <row r="30" ht="15.75" customHeight="1">
      <c r="G30" s="34"/>
      <c r="H30" s="34"/>
      <c r="I30" s="28"/>
      <c r="J30" s="28"/>
      <c r="K30" s="28"/>
      <c r="L30" s="28"/>
      <c r="M30" s="28"/>
      <c r="N30" s="28"/>
      <c r="O30" s="28"/>
      <c r="P30" s="28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</row>
    <row r="31" ht="15.75" customHeight="1">
      <c r="G31" s="34"/>
      <c r="H31" s="34"/>
      <c r="I31" s="28"/>
      <c r="J31" s="28"/>
      <c r="K31" s="28"/>
      <c r="L31" s="28"/>
      <c r="M31" s="28"/>
      <c r="N31" s="28"/>
      <c r="O31" s="28"/>
      <c r="P31" s="28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</row>
    <row r="32" ht="15.75" customHeight="1">
      <c r="G32" s="34"/>
      <c r="H32" s="34"/>
      <c r="I32" s="28"/>
      <c r="J32" s="28"/>
      <c r="K32" s="28"/>
      <c r="L32" s="28"/>
      <c r="M32" s="28"/>
      <c r="N32" s="28"/>
      <c r="O32" s="28"/>
      <c r="P32" s="28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</row>
    <row r="33" ht="15.75" customHeight="1">
      <c r="G33" s="34"/>
      <c r="H33" s="34"/>
      <c r="I33" s="28"/>
      <c r="J33" s="28"/>
      <c r="K33" s="28"/>
      <c r="L33" s="28"/>
      <c r="M33" s="28"/>
      <c r="N33" s="28"/>
      <c r="O33" s="28"/>
      <c r="P33" s="28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</row>
    <row r="34" ht="15.75" customHeight="1">
      <c r="G34" s="34"/>
      <c r="H34" s="34"/>
      <c r="I34" s="28"/>
      <c r="J34" s="28"/>
      <c r="K34" s="28"/>
      <c r="L34" s="28"/>
      <c r="M34" s="28"/>
      <c r="N34" s="28"/>
      <c r="O34" s="28"/>
      <c r="P34" s="28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</row>
    <row r="35" ht="15.75" customHeight="1">
      <c r="G35" s="34"/>
      <c r="H35" s="34"/>
      <c r="I35" s="28"/>
      <c r="J35" s="28"/>
      <c r="K35" s="28"/>
      <c r="L35" s="28"/>
      <c r="M35" s="28"/>
      <c r="N35" s="28"/>
      <c r="O35" s="28"/>
      <c r="P35" s="28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</row>
    <row r="36" ht="15.75" customHeight="1">
      <c r="G36" s="34"/>
      <c r="H36" s="34"/>
      <c r="I36" s="28"/>
      <c r="J36" s="28"/>
      <c r="K36" s="28"/>
      <c r="L36" s="28"/>
      <c r="M36" s="28"/>
      <c r="N36" s="28"/>
      <c r="O36" s="28"/>
      <c r="P36" s="28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</row>
    <row r="37" ht="15.75" customHeight="1">
      <c r="G37" s="34"/>
      <c r="H37" s="34"/>
      <c r="I37" s="28"/>
      <c r="J37" s="28"/>
      <c r="K37" s="28"/>
      <c r="L37" s="28"/>
      <c r="M37" s="28"/>
      <c r="N37" s="28"/>
      <c r="O37" s="28"/>
      <c r="P37" s="28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</row>
    <row r="38" ht="15.75" customHeight="1">
      <c r="G38" s="34"/>
      <c r="H38" s="34"/>
      <c r="I38" s="28"/>
      <c r="J38" s="28"/>
      <c r="K38" s="28"/>
      <c r="L38" s="28"/>
      <c r="M38" s="28"/>
      <c r="N38" s="28"/>
      <c r="O38" s="28"/>
      <c r="P38" s="28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</row>
    <row r="39" ht="15.75" customHeight="1">
      <c r="G39" s="34"/>
      <c r="H39" s="34"/>
      <c r="I39" s="28"/>
      <c r="J39" s="28"/>
      <c r="K39" s="28"/>
      <c r="L39" s="28"/>
      <c r="M39" s="28"/>
      <c r="N39" s="28"/>
      <c r="O39" s="28"/>
      <c r="P39" s="28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</row>
    <row r="40" ht="15.75" customHeight="1">
      <c r="G40" s="34"/>
      <c r="H40" s="34"/>
      <c r="I40" s="28"/>
      <c r="J40" s="28"/>
      <c r="K40" s="28"/>
      <c r="L40" s="28"/>
      <c r="M40" s="28"/>
      <c r="N40" s="28"/>
      <c r="O40" s="28"/>
      <c r="P40" s="28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</row>
    <row r="41" ht="15.75" customHeight="1">
      <c r="G41" s="34"/>
      <c r="H41" s="34"/>
      <c r="I41" s="28"/>
      <c r="J41" s="28"/>
      <c r="K41" s="28"/>
      <c r="L41" s="28"/>
      <c r="M41" s="28"/>
      <c r="N41" s="28"/>
      <c r="O41" s="28"/>
      <c r="P41" s="28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</row>
    <row r="42" ht="15.75" customHeight="1">
      <c r="G42" s="34"/>
      <c r="H42" s="34"/>
      <c r="I42" s="28"/>
      <c r="J42" s="28"/>
      <c r="K42" s="28"/>
      <c r="L42" s="28"/>
      <c r="M42" s="28"/>
      <c r="N42" s="28"/>
      <c r="O42" s="28"/>
      <c r="P42" s="28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</row>
    <row r="43" ht="15.75" customHeight="1">
      <c r="G43" s="34"/>
      <c r="H43" s="34"/>
      <c r="I43" s="28"/>
      <c r="J43" s="28"/>
      <c r="K43" s="28"/>
      <c r="L43" s="28"/>
      <c r="M43" s="28"/>
      <c r="N43" s="28"/>
      <c r="O43" s="28"/>
      <c r="P43" s="28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</row>
    <row r="44" ht="15.75" customHeight="1">
      <c r="G44" s="34"/>
      <c r="H44" s="34"/>
      <c r="I44" s="28"/>
      <c r="J44" s="28"/>
      <c r="K44" s="28"/>
      <c r="L44" s="28"/>
      <c r="M44" s="28"/>
      <c r="N44" s="28"/>
      <c r="O44" s="28"/>
      <c r="P44" s="28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</row>
    <row r="45" ht="15.75" customHeight="1">
      <c r="G45" s="34"/>
      <c r="H45" s="34"/>
      <c r="I45" s="28"/>
      <c r="J45" s="28"/>
      <c r="K45" s="28"/>
      <c r="L45" s="28"/>
      <c r="M45" s="28"/>
      <c r="N45" s="28"/>
      <c r="O45" s="28"/>
      <c r="P45" s="28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</row>
    <row r="46" ht="15.75" customHeight="1">
      <c r="G46" s="34"/>
      <c r="H46" s="34"/>
      <c r="I46" s="28"/>
      <c r="J46" s="28"/>
      <c r="K46" s="28"/>
      <c r="L46" s="28"/>
      <c r="M46" s="28"/>
      <c r="N46" s="28"/>
      <c r="O46" s="28"/>
      <c r="P46" s="28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</row>
    <row r="47" ht="15.75" customHeight="1">
      <c r="G47" s="34"/>
      <c r="H47" s="34"/>
      <c r="I47" s="28"/>
      <c r="J47" s="28"/>
      <c r="K47" s="28"/>
      <c r="L47" s="28"/>
      <c r="M47" s="28"/>
      <c r="N47" s="28"/>
      <c r="O47" s="28"/>
      <c r="P47" s="28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</row>
    <row r="48" ht="15.75" customHeight="1">
      <c r="G48" s="34"/>
      <c r="H48" s="34"/>
      <c r="I48" s="28"/>
      <c r="J48" s="28"/>
      <c r="K48" s="28"/>
      <c r="L48" s="28"/>
      <c r="M48" s="28"/>
      <c r="N48" s="28"/>
      <c r="O48" s="28"/>
      <c r="P48" s="28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</row>
    <row r="49" ht="15.75" customHeight="1">
      <c r="G49" s="34"/>
      <c r="H49" s="34"/>
      <c r="I49" s="28"/>
      <c r="J49" s="28"/>
      <c r="K49" s="28"/>
      <c r="L49" s="28"/>
      <c r="M49" s="28"/>
      <c r="N49" s="28"/>
      <c r="O49" s="28"/>
      <c r="P49" s="28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</row>
    <row r="50" ht="15.75" customHeight="1">
      <c r="G50" s="34"/>
      <c r="H50" s="34"/>
      <c r="I50" s="28"/>
      <c r="J50" s="28"/>
      <c r="K50" s="28"/>
      <c r="L50" s="28"/>
      <c r="M50" s="28"/>
      <c r="N50" s="28"/>
      <c r="O50" s="28"/>
      <c r="P50" s="28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</row>
    <row r="51" ht="15.75" customHeight="1">
      <c r="G51" s="34"/>
      <c r="H51" s="34"/>
      <c r="I51" s="28"/>
      <c r="J51" s="28"/>
      <c r="K51" s="28"/>
      <c r="L51" s="28"/>
      <c r="M51" s="28"/>
      <c r="N51" s="28"/>
      <c r="O51" s="28"/>
      <c r="P51" s="28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</row>
    <row r="52" ht="15.75" customHeight="1">
      <c r="G52" s="34"/>
      <c r="H52" s="34"/>
      <c r="I52" s="28"/>
      <c r="J52" s="28"/>
      <c r="K52" s="28"/>
      <c r="L52" s="28"/>
      <c r="M52" s="28"/>
      <c r="N52" s="28"/>
      <c r="O52" s="28"/>
      <c r="P52" s="28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</row>
    <row r="53" ht="15.75" customHeight="1">
      <c r="G53" s="34"/>
      <c r="H53" s="34"/>
      <c r="I53" s="28"/>
      <c r="J53" s="28"/>
      <c r="K53" s="28"/>
      <c r="L53" s="28"/>
      <c r="M53" s="28"/>
      <c r="N53" s="28"/>
      <c r="O53" s="28"/>
      <c r="P53" s="28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</row>
    <row r="54" ht="15.75" customHeight="1">
      <c r="G54" s="34"/>
      <c r="H54" s="34"/>
      <c r="I54" s="28"/>
      <c r="J54" s="28"/>
      <c r="K54" s="28"/>
      <c r="L54" s="28"/>
      <c r="M54" s="28"/>
      <c r="N54" s="28"/>
      <c r="O54" s="28"/>
      <c r="P54" s="28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</row>
    <row r="55" ht="15.75" customHeight="1">
      <c r="G55" s="34"/>
      <c r="H55" s="34"/>
      <c r="I55" s="28"/>
      <c r="J55" s="28"/>
      <c r="K55" s="28"/>
      <c r="L55" s="28"/>
      <c r="M55" s="28"/>
      <c r="N55" s="28"/>
      <c r="O55" s="28"/>
      <c r="P55" s="28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</row>
    <row r="56" ht="15.75" customHeight="1">
      <c r="G56" s="34"/>
      <c r="H56" s="34"/>
      <c r="I56" s="28"/>
      <c r="J56" s="28"/>
      <c r="K56" s="28"/>
      <c r="L56" s="28"/>
      <c r="M56" s="28"/>
      <c r="N56" s="28"/>
      <c r="O56" s="28"/>
      <c r="P56" s="28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</row>
    <row r="57" ht="15.75" customHeight="1">
      <c r="G57" s="34"/>
      <c r="H57" s="34"/>
      <c r="I57" s="28"/>
      <c r="J57" s="28"/>
      <c r="K57" s="28"/>
      <c r="L57" s="28"/>
      <c r="M57" s="28"/>
      <c r="N57" s="28"/>
      <c r="O57" s="28"/>
      <c r="P57" s="28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</row>
    <row r="58" ht="15.75" customHeight="1">
      <c r="G58" s="34"/>
      <c r="H58" s="34"/>
      <c r="I58" s="28"/>
      <c r="J58" s="28"/>
      <c r="K58" s="28"/>
      <c r="L58" s="28"/>
      <c r="M58" s="28"/>
      <c r="N58" s="28"/>
      <c r="O58" s="28"/>
      <c r="P58" s="28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</row>
    <row r="59" ht="15.75" customHeight="1">
      <c r="G59" s="34"/>
      <c r="H59" s="34"/>
      <c r="I59" s="28"/>
      <c r="J59" s="28"/>
      <c r="K59" s="28"/>
      <c r="L59" s="28"/>
      <c r="M59" s="28"/>
      <c r="N59" s="28"/>
      <c r="O59" s="28"/>
      <c r="P59" s="28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</row>
    <row r="60" ht="15.75" customHeight="1">
      <c r="G60" s="34"/>
      <c r="H60" s="34"/>
      <c r="I60" s="28"/>
      <c r="J60" s="28"/>
      <c r="K60" s="28"/>
      <c r="L60" s="28"/>
      <c r="M60" s="28"/>
      <c r="N60" s="28"/>
      <c r="O60" s="28"/>
      <c r="P60" s="28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</row>
    <row r="61" ht="15.75" customHeight="1">
      <c r="G61" s="34"/>
      <c r="H61" s="34"/>
      <c r="I61" s="28"/>
      <c r="J61" s="28"/>
      <c r="K61" s="28"/>
      <c r="L61" s="28"/>
      <c r="M61" s="28"/>
      <c r="N61" s="28"/>
      <c r="O61" s="28"/>
      <c r="P61" s="28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</row>
    <row r="62" ht="15.75" customHeight="1">
      <c r="G62" s="34"/>
      <c r="H62" s="34"/>
      <c r="I62" s="28"/>
      <c r="J62" s="28"/>
      <c r="K62" s="28"/>
      <c r="L62" s="28"/>
      <c r="M62" s="28"/>
      <c r="N62" s="28"/>
      <c r="O62" s="28"/>
      <c r="P62" s="28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</row>
    <row r="63" ht="15.75" customHeight="1">
      <c r="G63" s="34"/>
      <c r="H63" s="34"/>
      <c r="I63" s="28"/>
      <c r="J63" s="28"/>
      <c r="K63" s="28"/>
      <c r="L63" s="28"/>
      <c r="M63" s="28"/>
      <c r="N63" s="28"/>
      <c r="O63" s="28"/>
      <c r="P63" s="28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</row>
    <row r="64" ht="15.75" customHeight="1">
      <c r="G64" s="34"/>
      <c r="H64" s="34"/>
      <c r="I64" s="28"/>
      <c r="J64" s="28"/>
      <c r="K64" s="28"/>
      <c r="L64" s="28"/>
      <c r="M64" s="28"/>
      <c r="N64" s="28"/>
      <c r="O64" s="28"/>
      <c r="P64" s="28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</row>
    <row r="65" ht="15.75" customHeight="1">
      <c r="G65" s="34"/>
      <c r="H65" s="34"/>
      <c r="I65" s="28"/>
      <c r="J65" s="28"/>
      <c r="K65" s="28"/>
      <c r="L65" s="28"/>
      <c r="M65" s="28"/>
      <c r="N65" s="28"/>
      <c r="O65" s="28"/>
      <c r="P65" s="28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</row>
    <row r="66" ht="15.75" customHeight="1">
      <c r="G66" s="34"/>
      <c r="H66" s="34"/>
      <c r="I66" s="28"/>
      <c r="J66" s="28"/>
      <c r="K66" s="28"/>
      <c r="L66" s="28"/>
      <c r="M66" s="28"/>
      <c r="N66" s="28"/>
      <c r="O66" s="28"/>
      <c r="P66" s="28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</row>
    <row r="67" ht="15.75" customHeight="1">
      <c r="G67" s="34"/>
      <c r="H67" s="34"/>
      <c r="I67" s="28"/>
      <c r="J67" s="28"/>
      <c r="K67" s="28"/>
      <c r="L67" s="28"/>
      <c r="M67" s="28"/>
      <c r="N67" s="28"/>
      <c r="O67" s="28"/>
      <c r="P67" s="28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</row>
    <row r="68" ht="15.75" customHeight="1">
      <c r="G68" s="34"/>
      <c r="H68" s="34"/>
      <c r="I68" s="28"/>
      <c r="J68" s="28"/>
      <c r="K68" s="28"/>
      <c r="L68" s="28"/>
      <c r="M68" s="28"/>
      <c r="N68" s="28"/>
      <c r="O68" s="28"/>
      <c r="P68" s="28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</row>
    <row r="69" ht="15.75" customHeight="1">
      <c r="G69" s="34"/>
      <c r="H69" s="34"/>
      <c r="I69" s="28"/>
      <c r="J69" s="28"/>
      <c r="K69" s="28"/>
      <c r="L69" s="28"/>
      <c r="M69" s="28"/>
      <c r="N69" s="28"/>
      <c r="O69" s="28"/>
      <c r="P69" s="28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</row>
    <row r="70" ht="15.75" customHeight="1">
      <c r="G70" s="34"/>
      <c r="H70" s="34"/>
      <c r="I70" s="28"/>
      <c r="J70" s="28"/>
      <c r="K70" s="28"/>
      <c r="L70" s="28"/>
      <c r="M70" s="28"/>
      <c r="N70" s="28"/>
      <c r="O70" s="28"/>
      <c r="P70" s="28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</row>
    <row r="71" ht="15.75" customHeight="1">
      <c r="G71" s="34"/>
      <c r="H71" s="34"/>
      <c r="I71" s="28"/>
      <c r="J71" s="28"/>
      <c r="K71" s="28"/>
      <c r="L71" s="28"/>
      <c r="M71" s="28"/>
      <c r="N71" s="28"/>
      <c r="O71" s="28"/>
      <c r="P71" s="28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</row>
    <row r="72" ht="15.75" customHeight="1">
      <c r="G72" s="34"/>
      <c r="H72" s="34"/>
      <c r="I72" s="28"/>
      <c r="J72" s="28"/>
      <c r="K72" s="28"/>
      <c r="L72" s="28"/>
      <c r="M72" s="28"/>
      <c r="N72" s="28"/>
      <c r="O72" s="28"/>
      <c r="P72" s="28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</row>
    <row r="73" ht="15.75" customHeight="1">
      <c r="G73" s="34"/>
      <c r="H73" s="34"/>
      <c r="I73" s="28"/>
      <c r="J73" s="28"/>
      <c r="K73" s="28"/>
      <c r="L73" s="28"/>
      <c r="M73" s="28"/>
      <c r="N73" s="28"/>
      <c r="O73" s="28"/>
      <c r="P73" s="28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</row>
    <row r="74" ht="15.75" customHeight="1">
      <c r="G74" s="34"/>
      <c r="H74" s="34"/>
      <c r="I74" s="28"/>
      <c r="J74" s="28"/>
      <c r="K74" s="28"/>
      <c r="L74" s="28"/>
      <c r="M74" s="28"/>
      <c r="N74" s="28"/>
      <c r="O74" s="28"/>
      <c r="P74" s="28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</row>
    <row r="75" ht="15.75" customHeight="1">
      <c r="G75" s="34"/>
      <c r="H75" s="34"/>
      <c r="I75" s="28"/>
      <c r="J75" s="28"/>
      <c r="K75" s="28"/>
      <c r="L75" s="28"/>
      <c r="M75" s="28"/>
      <c r="N75" s="28"/>
      <c r="O75" s="28"/>
      <c r="P75" s="28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</row>
    <row r="76" ht="15.75" customHeight="1">
      <c r="G76" s="34"/>
      <c r="H76" s="34"/>
      <c r="I76" s="28"/>
      <c r="J76" s="28"/>
      <c r="K76" s="28"/>
      <c r="L76" s="28"/>
      <c r="M76" s="28"/>
      <c r="N76" s="28"/>
      <c r="O76" s="28"/>
      <c r="P76" s="28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</row>
    <row r="77" ht="15.75" customHeight="1">
      <c r="G77" s="34"/>
      <c r="H77" s="34"/>
      <c r="I77" s="28"/>
      <c r="J77" s="28"/>
      <c r="K77" s="28"/>
      <c r="L77" s="28"/>
      <c r="M77" s="28"/>
      <c r="N77" s="28"/>
      <c r="O77" s="28"/>
      <c r="P77" s="28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</row>
    <row r="78" ht="15.75" customHeight="1">
      <c r="G78" s="34"/>
      <c r="H78" s="34"/>
      <c r="I78" s="28"/>
      <c r="J78" s="28"/>
      <c r="K78" s="28"/>
      <c r="L78" s="28"/>
      <c r="M78" s="28"/>
      <c r="N78" s="28"/>
      <c r="O78" s="28"/>
      <c r="P78" s="28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</row>
    <row r="79" ht="15.75" customHeight="1">
      <c r="G79" s="34"/>
      <c r="H79" s="34"/>
      <c r="I79" s="28"/>
      <c r="J79" s="28"/>
      <c r="K79" s="28"/>
      <c r="L79" s="28"/>
      <c r="M79" s="28"/>
      <c r="N79" s="28"/>
      <c r="O79" s="28"/>
      <c r="P79" s="28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</row>
    <row r="80" ht="15.75" customHeight="1">
      <c r="G80" s="34"/>
      <c r="H80" s="34"/>
      <c r="I80" s="28"/>
      <c r="J80" s="28"/>
      <c r="K80" s="28"/>
      <c r="L80" s="28"/>
      <c r="M80" s="28"/>
      <c r="N80" s="28"/>
      <c r="O80" s="28"/>
      <c r="P80" s="28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</row>
    <row r="81" ht="15.75" customHeight="1">
      <c r="G81" s="34"/>
      <c r="H81" s="34"/>
      <c r="I81" s="28"/>
      <c r="J81" s="28"/>
      <c r="K81" s="28"/>
      <c r="L81" s="28"/>
      <c r="M81" s="28"/>
      <c r="N81" s="28"/>
      <c r="O81" s="28"/>
      <c r="P81" s="28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</row>
    <row r="82" ht="15.75" customHeight="1">
      <c r="G82" s="34"/>
      <c r="H82" s="34"/>
      <c r="I82" s="28"/>
      <c r="J82" s="28"/>
      <c r="K82" s="28"/>
      <c r="L82" s="28"/>
      <c r="M82" s="28"/>
      <c r="N82" s="28"/>
      <c r="O82" s="28"/>
      <c r="P82" s="28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</row>
    <row r="83" ht="15.75" customHeight="1">
      <c r="G83" s="34"/>
      <c r="H83" s="34"/>
      <c r="I83" s="28"/>
      <c r="J83" s="28"/>
      <c r="K83" s="28"/>
      <c r="L83" s="28"/>
      <c r="M83" s="28"/>
      <c r="N83" s="28"/>
      <c r="O83" s="28"/>
      <c r="P83" s="28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</row>
    <row r="84" ht="15.75" customHeight="1">
      <c r="G84" s="34"/>
      <c r="H84" s="34"/>
      <c r="I84" s="28"/>
      <c r="J84" s="28"/>
      <c r="K84" s="28"/>
      <c r="L84" s="28"/>
      <c r="M84" s="28"/>
      <c r="N84" s="28"/>
      <c r="O84" s="28"/>
      <c r="P84" s="28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</row>
    <row r="85" ht="15.75" customHeight="1">
      <c r="G85" s="34"/>
      <c r="H85" s="34"/>
      <c r="I85" s="28"/>
      <c r="J85" s="28"/>
      <c r="K85" s="28"/>
      <c r="L85" s="28"/>
      <c r="M85" s="28"/>
      <c r="N85" s="28"/>
      <c r="O85" s="28"/>
      <c r="P85" s="28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</row>
    <row r="86" ht="15.75" customHeight="1">
      <c r="G86" s="34"/>
      <c r="H86" s="34"/>
      <c r="I86" s="28"/>
      <c r="J86" s="28"/>
      <c r="K86" s="28"/>
      <c r="L86" s="28"/>
      <c r="M86" s="28"/>
      <c r="N86" s="28"/>
      <c r="O86" s="28"/>
      <c r="P86" s="28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</row>
    <row r="87" ht="15.75" customHeight="1">
      <c r="G87" s="34"/>
      <c r="H87" s="34"/>
      <c r="I87" s="28"/>
      <c r="J87" s="28"/>
      <c r="K87" s="28"/>
      <c r="L87" s="28"/>
      <c r="M87" s="28"/>
      <c r="N87" s="28"/>
      <c r="O87" s="28"/>
      <c r="P87" s="28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</row>
    <row r="88" ht="15.75" customHeight="1">
      <c r="G88" s="34"/>
      <c r="H88" s="34"/>
      <c r="I88" s="28"/>
      <c r="J88" s="28"/>
      <c r="K88" s="28"/>
      <c r="L88" s="28"/>
      <c r="M88" s="28"/>
      <c r="N88" s="28"/>
      <c r="O88" s="28"/>
      <c r="P88" s="28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</row>
    <row r="89" ht="15.75" customHeight="1">
      <c r="G89" s="34"/>
      <c r="H89" s="34"/>
      <c r="I89" s="28"/>
      <c r="J89" s="28"/>
      <c r="K89" s="28"/>
      <c r="L89" s="28"/>
      <c r="M89" s="28"/>
      <c r="N89" s="28"/>
      <c r="O89" s="28"/>
      <c r="P89" s="28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</row>
    <row r="90" ht="15.75" customHeight="1">
      <c r="G90" s="34"/>
      <c r="H90" s="34"/>
      <c r="I90" s="28"/>
      <c r="J90" s="28"/>
      <c r="K90" s="28"/>
      <c r="L90" s="28"/>
      <c r="M90" s="28"/>
      <c r="N90" s="28"/>
      <c r="O90" s="28"/>
      <c r="P90" s="28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</row>
    <row r="91" ht="15.75" customHeight="1">
      <c r="G91" s="34"/>
      <c r="H91" s="34"/>
      <c r="I91" s="28"/>
      <c r="J91" s="28"/>
      <c r="K91" s="28"/>
      <c r="L91" s="28"/>
      <c r="M91" s="28"/>
      <c r="N91" s="28"/>
      <c r="O91" s="28"/>
      <c r="P91" s="28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</row>
    <row r="92" ht="15.75" customHeight="1">
      <c r="G92" s="34"/>
      <c r="H92" s="34"/>
      <c r="I92" s="28"/>
      <c r="J92" s="28"/>
      <c r="K92" s="28"/>
      <c r="L92" s="28"/>
      <c r="M92" s="28"/>
      <c r="N92" s="28"/>
      <c r="O92" s="28"/>
      <c r="P92" s="28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</row>
    <row r="93" ht="15.75" customHeight="1">
      <c r="G93" s="34"/>
      <c r="H93" s="34"/>
      <c r="I93" s="28"/>
      <c r="J93" s="28"/>
      <c r="K93" s="28"/>
      <c r="L93" s="28"/>
      <c r="M93" s="28"/>
      <c r="N93" s="28"/>
      <c r="O93" s="28"/>
      <c r="P93" s="28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</row>
    <row r="94" ht="15.75" customHeight="1">
      <c r="G94" s="34"/>
      <c r="H94" s="34"/>
      <c r="I94" s="28"/>
      <c r="J94" s="28"/>
      <c r="K94" s="28"/>
      <c r="L94" s="28"/>
      <c r="M94" s="28"/>
      <c r="N94" s="28"/>
      <c r="O94" s="28"/>
      <c r="P94" s="28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</row>
    <row r="95" ht="15.75" customHeight="1">
      <c r="G95" s="34"/>
      <c r="H95" s="34"/>
      <c r="I95" s="28"/>
      <c r="J95" s="28"/>
      <c r="K95" s="28"/>
      <c r="L95" s="28"/>
      <c r="M95" s="28"/>
      <c r="N95" s="28"/>
      <c r="O95" s="28"/>
      <c r="P95" s="28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</row>
    <row r="96" ht="15.75" customHeight="1">
      <c r="G96" s="34"/>
      <c r="H96" s="34"/>
      <c r="I96" s="28"/>
      <c r="J96" s="28"/>
      <c r="K96" s="28"/>
      <c r="L96" s="28"/>
      <c r="M96" s="28"/>
      <c r="N96" s="28"/>
      <c r="O96" s="28"/>
      <c r="P96" s="28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</row>
    <row r="97" ht="15.75" customHeight="1">
      <c r="G97" s="34"/>
      <c r="H97" s="34"/>
      <c r="I97" s="28"/>
      <c r="J97" s="28"/>
      <c r="K97" s="28"/>
      <c r="L97" s="28"/>
      <c r="M97" s="28"/>
      <c r="N97" s="28"/>
      <c r="O97" s="28"/>
      <c r="P97" s="28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</row>
    <row r="98" ht="15.75" customHeight="1">
      <c r="G98" s="34"/>
      <c r="H98" s="34"/>
      <c r="I98" s="28"/>
      <c r="J98" s="28"/>
      <c r="K98" s="28"/>
      <c r="L98" s="28"/>
      <c r="M98" s="28"/>
      <c r="N98" s="28"/>
      <c r="O98" s="28"/>
      <c r="P98" s="28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</row>
    <row r="99" ht="15.75" customHeight="1">
      <c r="G99" s="34"/>
      <c r="H99" s="34"/>
      <c r="I99" s="28"/>
      <c r="J99" s="28"/>
      <c r="K99" s="28"/>
      <c r="L99" s="28"/>
      <c r="M99" s="28"/>
      <c r="N99" s="28"/>
      <c r="O99" s="28"/>
      <c r="P99" s="28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</row>
    <row r="100" ht="15.75" customHeight="1">
      <c r="G100" s="34"/>
      <c r="H100" s="34"/>
      <c r="I100" s="28"/>
      <c r="J100" s="28"/>
      <c r="K100" s="28"/>
      <c r="L100" s="28"/>
      <c r="M100" s="28"/>
      <c r="N100" s="28"/>
      <c r="O100" s="28"/>
      <c r="P100" s="28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</row>
    <row r="101" ht="15.75" customHeight="1">
      <c r="G101" s="34"/>
      <c r="H101" s="34"/>
      <c r="I101" s="28"/>
      <c r="J101" s="28"/>
      <c r="K101" s="28"/>
      <c r="L101" s="28"/>
      <c r="M101" s="28"/>
      <c r="N101" s="28"/>
      <c r="O101" s="28"/>
      <c r="P101" s="28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</row>
    <row r="102" ht="15.75" customHeight="1">
      <c r="G102" s="34"/>
      <c r="H102" s="34"/>
      <c r="I102" s="28"/>
      <c r="J102" s="28"/>
      <c r="K102" s="28"/>
      <c r="L102" s="28"/>
      <c r="M102" s="28"/>
      <c r="N102" s="28"/>
      <c r="O102" s="28"/>
      <c r="P102" s="28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</row>
    <row r="103" ht="15.75" customHeight="1">
      <c r="G103" s="34"/>
      <c r="H103" s="34"/>
      <c r="I103" s="28"/>
      <c r="J103" s="28"/>
      <c r="K103" s="28"/>
      <c r="L103" s="28"/>
      <c r="M103" s="28"/>
      <c r="N103" s="28"/>
      <c r="O103" s="28"/>
      <c r="P103" s="28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</row>
    <row r="104" ht="15.75" customHeight="1">
      <c r="G104" s="34"/>
      <c r="H104" s="34"/>
      <c r="I104" s="28"/>
      <c r="J104" s="28"/>
      <c r="K104" s="28"/>
      <c r="L104" s="28"/>
      <c r="M104" s="28"/>
      <c r="N104" s="28"/>
      <c r="O104" s="28"/>
      <c r="P104" s="28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</row>
    <row r="105" ht="15.75" customHeight="1">
      <c r="G105" s="34"/>
      <c r="H105" s="34"/>
      <c r="I105" s="28"/>
      <c r="J105" s="28"/>
      <c r="K105" s="28"/>
      <c r="L105" s="28"/>
      <c r="M105" s="28"/>
      <c r="N105" s="28"/>
      <c r="O105" s="28"/>
      <c r="P105" s="28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</row>
    <row r="106" ht="15.75" customHeight="1">
      <c r="G106" s="34"/>
      <c r="H106" s="34"/>
      <c r="I106" s="28"/>
      <c r="J106" s="28"/>
      <c r="K106" s="28"/>
      <c r="L106" s="28"/>
      <c r="M106" s="28"/>
      <c r="N106" s="28"/>
      <c r="O106" s="28"/>
      <c r="P106" s="28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</row>
    <row r="107" ht="15.75" customHeight="1">
      <c r="G107" s="34"/>
      <c r="H107" s="34"/>
      <c r="I107" s="28"/>
      <c r="J107" s="28"/>
      <c r="K107" s="28"/>
      <c r="L107" s="28"/>
      <c r="M107" s="28"/>
      <c r="N107" s="28"/>
      <c r="O107" s="28"/>
      <c r="P107" s="28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</row>
    <row r="108" ht="15.75" customHeight="1">
      <c r="G108" s="34"/>
      <c r="H108" s="34"/>
      <c r="I108" s="28"/>
      <c r="J108" s="28"/>
      <c r="K108" s="28"/>
      <c r="L108" s="28"/>
      <c r="M108" s="28"/>
      <c r="N108" s="28"/>
      <c r="O108" s="28"/>
      <c r="P108" s="28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</row>
    <row r="109" ht="15.75" customHeight="1">
      <c r="G109" s="34"/>
      <c r="H109" s="34"/>
      <c r="I109" s="28"/>
      <c r="J109" s="28"/>
      <c r="K109" s="28"/>
      <c r="L109" s="28"/>
      <c r="M109" s="28"/>
      <c r="N109" s="28"/>
      <c r="O109" s="28"/>
      <c r="P109" s="28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</row>
    <row r="110" ht="15.75" customHeight="1">
      <c r="G110" s="34"/>
      <c r="H110" s="34"/>
      <c r="I110" s="28"/>
      <c r="J110" s="28"/>
      <c r="K110" s="28"/>
      <c r="L110" s="28"/>
      <c r="M110" s="28"/>
      <c r="N110" s="28"/>
      <c r="O110" s="28"/>
      <c r="P110" s="28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</row>
    <row r="111" ht="15.75" customHeight="1">
      <c r="G111" s="34"/>
      <c r="H111" s="34"/>
      <c r="I111" s="28"/>
      <c r="J111" s="28"/>
      <c r="K111" s="28"/>
      <c r="L111" s="28"/>
      <c r="M111" s="28"/>
      <c r="N111" s="28"/>
      <c r="O111" s="28"/>
      <c r="P111" s="28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</row>
    <row r="112" ht="15.75" customHeight="1">
      <c r="G112" s="34"/>
      <c r="H112" s="34"/>
      <c r="I112" s="28"/>
      <c r="J112" s="28"/>
      <c r="K112" s="28"/>
      <c r="L112" s="28"/>
      <c r="M112" s="28"/>
      <c r="N112" s="28"/>
      <c r="O112" s="28"/>
      <c r="P112" s="28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</row>
    <row r="113" ht="15.75" customHeight="1">
      <c r="G113" s="34"/>
      <c r="H113" s="34"/>
      <c r="I113" s="28"/>
      <c r="J113" s="28"/>
      <c r="K113" s="28"/>
      <c r="L113" s="28"/>
      <c r="M113" s="28"/>
      <c r="N113" s="28"/>
      <c r="O113" s="28"/>
      <c r="P113" s="28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</row>
    <row r="114" ht="15.75" customHeight="1">
      <c r="G114" s="34"/>
      <c r="H114" s="34"/>
      <c r="I114" s="28"/>
      <c r="J114" s="28"/>
      <c r="K114" s="28"/>
      <c r="L114" s="28"/>
      <c r="M114" s="28"/>
      <c r="N114" s="28"/>
      <c r="O114" s="28"/>
      <c r="P114" s="28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</row>
    <row r="115" ht="15.75" customHeight="1">
      <c r="G115" s="34"/>
      <c r="H115" s="34"/>
      <c r="I115" s="28"/>
      <c r="J115" s="28"/>
      <c r="K115" s="28"/>
      <c r="L115" s="28"/>
      <c r="M115" s="28"/>
      <c r="N115" s="28"/>
      <c r="O115" s="28"/>
      <c r="P115" s="28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</row>
    <row r="116" ht="15.75" customHeight="1">
      <c r="G116" s="34"/>
      <c r="H116" s="34"/>
      <c r="I116" s="28"/>
      <c r="J116" s="28"/>
      <c r="K116" s="28"/>
      <c r="L116" s="28"/>
      <c r="M116" s="28"/>
      <c r="N116" s="28"/>
      <c r="O116" s="28"/>
      <c r="P116" s="28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</row>
    <row r="117" ht="15.75" customHeight="1">
      <c r="G117" s="34"/>
      <c r="H117" s="34"/>
      <c r="I117" s="28"/>
      <c r="J117" s="28"/>
      <c r="K117" s="28"/>
      <c r="L117" s="28"/>
      <c r="M117" s="28"/>
      <c r="N117" s="28"/>
      <c r="O117" s="28"/>
      <c r="P117" s="28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</row>
    <row r="118" ht="15.75" customHeight="1">
      <c r="G118" s="34"/>
      <c r="H118" s="34"/>
      <c r="I118" s="28"/>
      <c r="J118" s="28"/>
      <c r="K118" s="28"/>
      <c r="L118" s="28"/>
      <c r="M118" s="28"/>
      <c r="N118" s="28"/>
      <c r="O118" s="28"/>
      <c r="P118" s="28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</row>
    <row r="119" ht="15.75" customHeight="1">
      <c r="G119" s="34"/>
      <c r="H119" s="34"/>
      <c r="I119" s="28"/>
      <c r="J119" s="28"/>
      <c r="K119" s="28"/>
      <c r="L119" s="28"/>
      <c r="M119" s="28"/>
      <c r="N119" s="28"/>
      <c r="O119" s="28"/>
      <c r="P119" s="28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</row>
    <row r="120" ht="15.75" customHeight="1">
      <c r="G120" s="34"/>
      <c r="H120" s="34"/>
      <c r="I120" s="28"/>
      <c r="J120" s="28"/>
      <c r="K120" s="28"/>
      <c r="L120" s="28"/>
      <c r="M120" s="28"/>
      <c r="N120" s="28"/>
      <c r="O120" s="28"/>
      <c r="P120" s="28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</row>
    <row r="121" ht="15.75" customHeight="1">
      <c r="G121" s="34"/>
      <c r="H121" s="34"/>
      <c r="I121" s="28"/>
      <c r="J121" s="28"/>
      <c r="K121" s="28"/>
      <c r="L121" s="28"/>
      <c r="M121" s="28"/>
      <c r="N121" s="28"/>
      <c r="O121" s="28"/>
      <c r="P121" s="28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</row>
    <row r="122" ht="15.75" customHeight="1">
      <c r="G122" s="34"/>
      <c r="H122" s="34"/>
      <c r="I122" s="28"/>
      <c r="J122" s="28"/>
      <c r="K122" s="28"/>
      <c r="L122" s="28"/>
      <c r="M122" s="28"/>
      <c r="N122" s="28"/>
      <c r="O122" s="28"/>
      <c r="P122" s="28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</row>
    <row r="123" ht="15.75" customHeight="1">
      <c r="G123" s="34"/>
      <c r="H123" s="34"/>
      <c r="I123" s="28"/>
      <c r="J123" s="28"/>
      <c r="K123" s="28"/>
      <c r="L123" s="28"/>
      <c r="M123" s="28"/>
      <c r="N123" s="28"/>
      <c r="O123" s="28"/>
      <c r="P123" s="28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</row>
    <row r="124" ht="15.75" customHeight="1">
      <c r="G124" s="34"/>
      <c r="H124" s="34"/>
      <c r="I124" s="28"/>
      <c r="J124" s="28"/>
      <c r="K124" s="28"/>
      <c r="L124" s="28"/>
      <c r="M124" s="28"/>
      <c r="N124" s="28"/>
      <c r="O124" s="28"/>
      <c r="P124" s="28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</row>
    <row r="125" ht="15.75" customHeight="1">
      <c r="G125" s="34"/>
      <c r="H125" s="34"/>
      <c r="I125" s="28"/>
      <c r="J125" s="28"/>
      <c r="K125" s="28"/>
      <c r="L125" s="28"/>
      <c r="M125" s="28"/>
      <c r="N125" s="28"/>
      <c r="O125" s="28"/>
      <c r="P125" s="28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</row>
    <row r="126" ht="15.75" customHeight="1">
      <c r="G126" s="34"/>
      <c r="H126" s="34"/>
      <c r="I126" s="28"/>
      <c r="J126" s="28"/>
      <c r="K126" s="28"/>
      <c r="L126" s="28"/>
      <c r="M126" s="28"/>
      <c r="N126" s="28"/>
      <c r="O126" s="28"/>
      <c r="P126" s="28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</row>
    <row r="127" ht="15.75" customHeight="1">
      <c r="G127" s="34"/>
      <c r="H127" s="34"/>
      <c r="I127" s="28"/>
      <c r="J127" s="28"/>
      <c r="K127" s="28"/>
      <c r="L127" s="28"/>
      <c r="M127" s="28"/>
      <c r="N127" s="28"/>
      <c r="O127" s="28"/>
      <c r="P127" s="28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</row>
    <row r="128" ht="15.75" customHeight="1">
      <c r="G128" s="34"/>
      <c r="H128" s="34"/>
      <c r="I128" s="28"/>
      <c r="J128" s="28"/>
      <c r="K128" s="28"/>
      <c r="L128" s="28"/>
      <c r="M128" s="28"/>
      <c r="N128" s="28"/>
      <c r="O128" s="28"/>
      <c r="P128" s="28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</row>
    <row r="129" ht="15.75" customHeight="1">
      <c r="G129" s="34"/>
      <c r="H129" s="34"/>
      <c r="I129" s="28"/>
      <c r="J129" s="28"/>
      <c r="K129" s="28"/>
      <c r="L129" s="28"/>
      <c r="M129" s="28"/>
      <c r="N129" s="28"/>
      <c r="O129" s="28"/>
      <c r="P129" s="28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</row>
    <row r="130" ht="15.75" customHeight="1">
      <c r="G130" s="34"/>
      <c r="H130" s="34"/>
      <c r="I130" s="28"/>
      <c r="J130" s="28"/>
      <c r="K130" s="28"/>
      <c r="L130" s="28"/>
      <c r="M130" s="28"/>
      <c r="N130" s="28"/>
      <c r="O130" s="28"/>
      <c r="P130" s="28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</row>
    <row r="131" ht="15.75" customHeight="1">
      <c r="G131" s="34"/>
      <c r="H131" s="34"/>
      <c r="I131" s="28"/>
      <c r="J131" s="28"/>
      <c r="K131" s="28"/>
      <c r="L131" s="28"/>
      <c r="M131" s="28"/>
      <c r="N131" s="28"/>
      <c r="O131" s="28"/>
      <c r="P131" s="28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</row>
    <row r="132" ht="15.75" customHeight="1">
      <c r="G132" s="34"/>
      <c r="H132" s="34"/>
      <c r="I132" s="28"/>
      <c r="J132" s="28"/>
      <c r="K132" s="28"/>
      <c r="L132" s="28"/>
      <c r="M132" s="28"/>
      <c r="N132" s="28"/>
      <c r="O132" s="28"/>
      <c r="P132" s="28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</row>
    <row r="133" ht="15.75" customHeight="1">
      <c r="G133" s="34"/>
      <c r="H133" s="34"/>
      <c r="I133" s="28"/>
      <c r="J133" s="28"/>
      <c r="K133" s="28"/>
      <c r="L133" s="28"/>
      <c r="M133" s="28"/>
      <c r="N133" s="28"/>
      <c r="O133" s="28"/>
      <c r="P133" s="28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</row>
    <row r="134" ht="15.75" customHeight="1">
      <c r="G134" s="34"/>
      <c r="H134" s="34"/>
      <c r="I134" s="28"/>
      <c r="J134" s="28"/>
      <c r="K134" s="28"/>
      <c r="L134" s="28"/>
      <c r="M134" s="28"/>
      <c r="N134" s="28"/>
      <c r="O134" s="28"/>
      <c r="P134" s="28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</row>
    <row r="135" ht="15.75" customHeight="1">
      <c r="G135" s="34"/>
      <c r="H135" s="34"/>
      <c r="I135" s="28"/>
      <c r="J135" s="28"/>
      <c r="K135" s="28"/>
      <c r="L135" s="28"/>
      <c r="M135" s="28"/>
      <c r="N135" s="28"/>
      <c r="O135" s="28"/>
      <c r="P135" s="28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</row>
    <row r="136" ht="15.75" customHeight="1">
      <c r="G136" s="34"/>
      <c r="H136" s="34"/>
      <c r="I136" s="28"/>
      <c r="J136" s="28"/>
      <c r="K136" s="28"/>
      <c r="L136" s="28"/>
      <c r="M136" s="28"/>
      <c r="N136" s="28"/>
      <c r="O136" s="28"/>
      <c r="P136" s="28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</row>
    <row r="137" ht="15.75" customHeight="1">
      <c r="G137" s="34"/>
      <c r="H137" s="34"/>
      <c r="I137" s="28"/>
      <c r="J137" s="28"/>
      <c r="K137" s="28"/>
      <c r="L137" s="28"/>
      <c r="M137" s="28"/>
      <c r="N137" s="28"/>
      <c r="O137" s="28"/>
      <c r="P137" s="28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</row>
    <row r="138" ht="15.75" customHeight="1">
      <c r="G138" s="34"/>
      <c r="H138" s="34"/>
      <c r="I138" s="28"/>
      <c r="J138" s="28"/>
      <c r="K138" s="28"/>
      <c r="L138" s="28"/>
      <c r="M138" s="28"/>
      <c r="N138" s="28"/>
      <c r="O138" s="28"/>
      <c r="P138" s="28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</row>
    <row r="139" ht="15.75" customHeight="1">
      <c r="G139" s="34"/>
      <c r="H139" s="34"/>
      <c r="I139" s="28"/>
      <c r="J139" s="28"/>
      <c r="K139" s="28"/>
      <c r="L139" s="28"/>
      <c r="M139" s="28"/>
      <c r="N139" s="28"/>
      <c r="O139" s="28"/>
      <c r="P139" s="28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</row>
    <row r="140" ht="15.75" customHeight="1">
      <c r="G140" s="34"/>
      <c r="H140" s="34"/>
      <c r="I140" s="28"/>
      <c r="J140" s="28"/>
      <c r="K140" s="28"/>
      <c r="L140" s="28"/>
      <c r="M140" s="28"/>
      <c r="N140" s="28"/>
      <c r="O140" s="28"/>
      <c r="P140" s="28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</row>
    <row r="141" ht="15.75" customHeight="1">
      <c r="G141" s="34"/>
      <c r="H141" s="34"/>
      <c r="I141" s="28"/>
      <c r="J141" s="28"/>
      <c r="K141" s="28"/>
      <c r="L141" s="28"/>
      <c r="M141" s="28"/>
      <c r="N141" s="28"/>
      <c r="O141" s="28"/>
      <c r="P141" s="28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</row>
    <row r="142" ht="15.75" customHeight="1">
      <c r="G142" s="34"/>
      <c r="H142" s="34"/>
      <c r="I142" s="28"/>
      <c r="J142" s="28"/>
      <c r="K142" s="28"/>
      <c r="L142" s="28"/>
      <c r="M142" s="28"/>
      <c r="N142" s="28"/>
      <c r="O142" s="28"/>
      <c r="P142" s="28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</row>
    <row r="143" ht="15.75" customHeight="1">
      <c r="G143" s="34"/>
      <c r="H143" s="34"/>
      <c r="I143" s="28"/>
      <c r="J143" s="28"/>
      <c r="K143" s="28"/>
      <c r="L143" s="28"/>
      <c r="M143" s="28"/>
      <c r="N143" s="28"/>
      <c r="O143" s="28"/>
      <c r="P143" s="28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</row>
    <row r="144" ht="15.75" customHeight="1">
      <c r="G144" s="34"/>
      <c r="H144" s="34"/>
      <c r="I144" s="28"/>
      <c r="J144" s="28"/>
      <c r="K144" s="28"/>
      <c r="L144" s="28"/>
      <c r="M144" s="28"/>
      <c r="N144" s="28"/>
      <c r="O144" s="28"/>
      <c r="P144" s="28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</row>
    <row r="145" ht="15.75" customHeight="1">
      <c r="G145" s="34"/>
      <c r="H145" s="34"/>
      <c r="I145" s="28"/>
      <c r="J145" s="28"/>
      <c r="K145" s="28"/>
      <c r="L145" s="28"/>
      <c r="M145" s="28"/>
      <c r="N145" s="28"/>
      <c r="O145" s="28"/>
      <c r="P145" s="28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</row>
    <row r="146" ht="15.75" customHeight="1">
      <c r="G146" s="34"/>
      <c r="H146" s="34"/>
      <c r="I146" s="28"/>
      <c r="J146" s="28"/>
      <c r="K146" s="28"/>
      <c r="L146" s="28"/>
      <c r="M146" s="28"/>
      <c r="N146" s="28"/>
      <c r="O146" s="28"/>
      <c r="P146" s="28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</row>
    <row r="147" ht="15.75" customHeight="1">
      <c r="G147" s="34"/>
      <c r="H147" s="34"/>
      <c r="I147" s="28"/>
      <c r="J147" s="28"/>
      <c r="K147" s="28"/>
      <c r="L147" s="28"/>
      <c r="M147" s="28"/>
      <c r="N147" s="28"/>
      <c r="O147" s="28"/>
      <c r="P147" s="28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</row>
    <row r="148" ht="15.75" customHeight="1">
      <c r="G148" s="34"/>
      <c r="H148" s="34"/>
      <c r="I148" s="28"/>
      <c r="J148" s="28"/>
      <c r="K148" s="28"/>
      <c r="L148" s="28"/>
      <c r="M148" s="28"/>
      <c r="N148" s="28"/>
      <c r="O148" s="28"/>
      <c r="P148" s="28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</row>
    <row r="149" ht="15.75" customHeight="1">
      <c r="G149" s="34"/>
      <c r="H149" s="34"/>
      <c r="I149" s="28"/>
      <c r="J149" s="28"/>
      <c r="K149" s="28"/>
      <c r="L149" s="28"/>
      <c r="M149" s="28"/>
      <c r="N149" s="28"/>
      <c r="O149" s="28"/>
      <c r="P149" s="28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</row>
    <row r="150" ht="15.75" customHeight="1">
      <c r="G150" s="34"/>
      <c r="H150" s="34"/>
      <c r="I150" s="28"/>
      <c r="J150" s="28"/>
      <c r="K150" s="28"/>
      <c r="L150" s="28"/>
      <c r="M150" s="28"/>
      <c r="N150" s="28"/>
      <c r="O150" s="28"/>
      <c r="P150" s="28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</row>
    <row r="151" ht="15.75" customHeight="1">
      <c r="G151" s="34"/>
      <c r="H151" s="34"/>
      <c r="I151" s="28"/>
      <c r="J151" s="28"/>
      <c r="K151" s="28"/>
      <c r="L151" s="28"/>
      <c r="M151" s="28"/>
      <c r="N151" s="28"/>
      <c r="O151" s="28"/>
      <c r="P151" s="28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</row>
    <row r="152" ht="15.75" customHeight="1">
      <c r="G152" s="34"/>
      <c r="H152" s="34"/>
      <c r="I152" s="28"/>
      <c r="J152" s="28"/>
      <c r="K152" s="28"/>
      <c r="L152" s="28"/>
      <c r="M152" s="28"/>
      <c r="N152" s="28"/>
      <c r="O152" s="28"/>
      <c r="P152" s="28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</row>
    <row r="153" ht="15.75" customHeight="1">
      <c r="G153" s="34"/>
      <c r="H153" s="34"/>
      <c r="I153" s="28"/>
      <c r="J153" s="28"/>
      <c r="K153" s="28"/>
      <c r="L153" s="28"/>
      <c r="M153" s="28"/>
      <c r="N153" s="28"/>
      <c r="O153" s="28"/>
      <c r="P153" s="28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</row>
    <row r="154" ht="15.75" customHeight="1">
      <c r="G154" s="34"/>
      <c r="H154" s="34"/>
      <c r="I154" s="28"/>
      <c r="J154" s="28"/>
      <c r="K154" s="28"/>
      <c r="L154" s="28"/>
      <c r="M154" s="28"/>
      <c r="N154" s="28"/>
      <c r="O154" s="28"/>
      <c r="P154" s="28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</row>
    <row r="155" ht="15.75" customHeight="1">
      <c r="G155" s="34"/>
      <c r="H155" s="34"/>
      <c r="I155" s="28"/>
      <c r="J155" s="28"/>
      <c r="K155" s="28"/>
      <c r="L155" s="28"/>
      <c r="M155" s="28"/>
      <c r="N155" s="28"/>
      <c r="O155" s="28"/>
      <c r="P155" s="28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</row>
    <row r="156" ht="15.75" customHeight="1">
      <c r="G156" s="34"/>
      <c r="H156" s="34"/>
      <c r="I156" s="28"/>
      <c r="J156" s="28"/>
      <c r="K156" s="28"/>
      <c r="L156" s="28"/>
      <c r="M156" s="28"/>
      <c r="N156" s="28"/>
      <c r="O156" s="28"/>
      <c r="P156" s="28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</row>
    <row r="157" ht="15.75" customHeight="1">
      <c r="G157" s="34"/>
      <c r="H157" s="34"/>
      <c r="I157" s="28"/>
      <c r="J157" s="28"/>
      <c r="K157" s="28"/>
      <c r="L157" s="28"/>
      <c r="M157" s="28"/>
      <c r="N157" s="28"/>
      <c r="O157" s="28"/>
      <c r="P157" s="28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</row>
    <row r="158" ht="15.75" customHeight="1">
      <c r="G158" s="34"/>
      <c r="H158" s="34"/>
      <c r="I158" s="28"/>
      <c r="J158" s="28"/>
      <c r="K158" s="28"/>
      <c r="L158" s="28"/>
      <c r="M158" s="28"/>
      <c r="N158" s="28"/>
      <c r="O158" s="28"/>
      <c r="P158" s="28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</row>
    <row r="159" ht="15.75" customHeight="1">
      <c r="G159" s="34"/>
      <c r="H159" s="34"/>
      <c r="I159" s="28"/>
      <c r="J159" s="28"/>
      <c r="K159" s="28"/>
      <c r="L159" s="28"/>
      <c r="M159" s="28"/>
      <c r="N159" s="28"/>
      <c r="O159" s="28"/>
      <c r="P159" s="28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9.0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53" t="s">
        <v>0</v>
      </c>
      <c r="B1" s="53" t="s">
        <v>1</v>
      </c>
      <c r="C1" s="53" t="s">
        <v>2</v>
      </c>
      <c r="D1" s="53" t="s">
        <v>497</v>
      </c>
      <c r="E1" s="53" t="s">
        <v>498</v>
      </c>
      <c r="F1" s="53" t="s">
        <v>499</v>
      </c>
      <c r="G1" s="2" t="s">
        <v>500</v>
      </c>
      <c r="H1" s="54" t="s">
        <v>501</v>
      </c>
      <c r="I1" s="55" t="s">
        <v>502</v>
      </c>
      <c r="J1" s="54" t="s">
        <v>503</v>
      </c>
      <c r="K1" s="55" t="s">
        <v>504</v>
      </c>
      <c r="L1" s="56" t="s">
        <v>505</v>
      </c>
      <c r="M1" s="57" t="s">
        <v>13</v>
      </c>
    </row>
    <row r="2" ht="15.75" customHeight="1">
      <c r="A2" s="8">
        <v>1509.0</v>
      </c>
      <c r="B2" s="9" t="s">
        <v>50</v>
      </c>
      <c r="C2" s="10" t="str">
        <f t="shared" ref="C2:C29" si="1">CONCATENATE(D2,"_",E2,"_",G2)</f>
        <v>PMP-07_ITT_MS_PMP1_Both</v>
      </c>
      <c r="D2" s="58" t="s">
        <v>506</v>
      </c>
      <c r="E2" s="58" t="s">
        <v>507</v>
      </c>
      <c r="F2" s="58" t="s">
        <v>508</v>
      </c>
      <c r="G2" s="58" t="s">
        <v>509</v>
      </c>
      <c r="H2" s="30" t="s">
        <v>510</v>
      </c>
      <c r="I2" s="19">
        <v>0.0</v>
      </c>
      <c r="J2" s="30" t="s">
        <v>511</v>
      </c>
      <c r="K2" s="19">
        <v>1.0</v>
      </c>
      <c r="L2" s="30" t="s">
        <v>512</v>
      </c>
      <c r="M2" s="19">
        <v>0.0</v>
      </c>
    </row>
    <row r="3" ht="15.75" customHeight="1">
      <c r="A3" s="8">
        <v>1509.0</v>
      </c>
      <c r="B3" s="9" t="s">
        <v>50</v>
      </c>
      <c r="C3" s="10" t="str">
        <f t="shared" si="1"/>
        <v>PMP-08_ITT_SKO_PMP2_Both</v>
      </c>
      <c r="D3" s="58" t="s">
        <v>513</v>
      </c>
      <c r="E3" s="58" t="s">
        <v>514</v>
      </c>
      <c r="F3" s="58" t="s">
        <v>508</v>
      </c>
      <c r="G3" s="58" t="s">
        <v>509</v>
      </c>
      <c r="H3" s="30" t="s">
        <v>515</v>
      </c>
      <c r="I3" s="19">
        <v>0.0</v>
      </c>
      <c r="J3" s="30" t="s">
        <v>516</v>
      </c>
      <c r="K3" s="19">
        <v>1.0</v>
      </c>
      <c r="L3" s="59" t="s">
        <v>517</v>
      </c>
      <c r="M3" s="19">
        <v>0.0</v>
      </c>
    </row>
    <row r="4" ht="15.75" customHeight="1">
      <c r="A4" s="8">
        <v>1509.0</v>
      </c>
      <c r="B4" s="9" t="s">
        <v>50</v>
      </c>
      <c r="C4" s="10" t="str">
        <f t="shared" si="1"/>
        <v>PMP-09_ITT_SKO_PMP3_Both</v>
      </c>
      <c r="D4" s="58" t="s">
        <v>518</v>
      </c>
      <c r="E4" s="58" t="s">
        <v>519</v>
      </c>
      <c r="F4" s="58" t="s">
        <v>508</v>
      </c>
      <c r="G4" s="58" t="s">
        <v>509</v>
      </c>
      <c r="H4" s="30" t="s">
        <v>520</v>
      </c>
      <c r="I4" s="19">
        <v>0.0</v>
      </c>
      <c r="J4" s="30" t="s">
        <v>521</v>
      </c>
      <c r="K4" s="19">
        <v>1.0</v>
      </c>
      <c r="L4" s="59" t="s">
        <v>522</v>
      </c>
      <c r="M4" s="19">
        <v>0.0</v>
      </c>
    </row>
    <row r="5" ht="15.75" customHeight="1">
      <c r="A5" s="8">
        <v>1509.0</v>
      </c>
      <c r="B5" s="9" t="s">
        <v>50</v>
      </c>
      <c r="C5" s="10" t="str">
        <f t="shared" si="1"/>
        <v>PMP-24_ADTV-PMP-1 POWER_TL</v>
      </c>
      <c r="D5" s="58" t="s">
        <v>523</v>
      </c>
      <c r="E5" s="58" t="s">
        <v>524</v>
      </c>
      <c r="F5" s="58" t="s">
        <v>525</v>
      </c>
      <c r="G5" s="60" t="s">
        <v>526</v>
      </c>
      <c r="H5" s="30" t="s">
        <v>527</v>
      </c>
      <c r="I5" s="19">
        <v>0.0</v>
      </c>
      <c r="J5" s="30" t="s">
        <v>528</v>
      </c>
      <c r="K5" s="19">
        <v>1.0</v>
      </c>
      <c r="L5" s="59" t="s">
        <v>529</v>
      </c>
      <c r="M5" s="19">
        <v>0.0</v>
      </c>
    </row>
    <row r="6" ht="15.75" customHeight="1">
      <c r="A6" s="8">
        <v>1509.0</v>
      </c>
      <c r="B6" s="9" t="s">
        <v>50</v>
      </c>
      <c r="C6" s="10" t="str">
        <f t="shared" si="1"/>
        <v>PMP-25_ADTV-PMP-2 POWER_TL</v>
      </c>
      <c r="D6" s="58" t="s">
        <v>530</v>
      </c>
      <c r="E6" s="58" t="s">
        <v>531</v>
      </c>
      <c r="F6" s="58" t="s">
        <v>525</v>
      </c>
      <c r="G6" s="60" t="s">
        <v>526</v>
      </c>
      <c r="H6" s="30" t="s">
        <v>532</v>
      </c>
      <c r="I6" s="19">
        <v>0.0</v>
      </c>
      <c r="J6" s="30" t="s">
        <v>533</v>
      </c>
      <c r="K6" s="19">
        <v>1.0</v>
      </c>
      <c r="L6" s="59" t="s">
        <v>534</v>
      </c>
      <c r="M6" s="19">
        <v>0.0</v>
      </c>
    </row>
    <row r="7" ht="15.75" customHeight="1">
      <c r="A7" s="8">
        <v>1509.0</v>
      </c>
      <c r="B7" s="9" t="s">
        <v>50</v>
      </c>
      <c r="C7" s="10" t="str">
        <f t="shared" si="1"/>
        <v>PMP-26_ADTV-PMP-1 TURBO_TL</v>
      </c>
      <c r="D7" s="58" t="s">
        <v>535</v>
      </c>
      <c r="E7" s="58" t="s">
        <v>536</v>
      </c>
      <c r="F7" s="58" t="s">
        <v>525</v>
      </c>
      <c r="G7" s="60" t="s">
        <v>526</v>
      </c>
      <c r="H7" s="30" t="s">
        <v>537</v>
      </c>
      <c r="I7" s="19">
        <v>0.0</v>
      </c>
      <c r="J7" s="30" t="s">
        <v>538</v>
      </c>
      <c r="K7" s="19">
        <v>1.0</v>
      </c>
      <c r="L7" s="59" t="s">
        <v>539</v>
      </c>
      <c r="M7" s="19">
        <v>0.0</v>
      </c>
    </row>
    <row r="8" ht="15.75" customHeight="1">
      <c r="A8" s="8">
        <v>1509.0</v>
      </c>
      <c r="B8" s="9" t="s">
        <v>50</v>
      </c>
      <c r="C8" s="10" t="str">
        <f t="shared" si="1"/>
        <v>PMP-27_ADTV-PMP-2 TURBO_TL</v>
      </c>
      <c r="D8" s="58" t="s">
        <v>540</v>
      </c>
      <c r="E8" s="58" t="s">
        <v>541</v>
      </c>
      <c r="F8" s="58" t="s">
        <v>525</v>
      </c>
      <c r="G8" s="60" t="s">
        <v>526</v>
      </c>
      <c r="H8" s="30" t="s">
        <v>542</v>
      </c>
      <c r="I8" s="19">
        <v>0.0</v>
      </c>
      <c r="J8" s="30" t="s">
        <v>543</v>
      </c>
      <c r="K8" s="19">
        <v>1.0</v>
      </c>
      <c r="L8" s="59" t="s">
        <v>544</v>
      </c>
      <c r="M8" s="19">
        <v>0.0</v>
      </c>
    </row>
    <row r="9" ht="15.75" customHeight="1">
      <c r="A9" s="8">
        <v>1509.0</v>
      </c>
      <c r="B9" s="9" t="s">
        <v>50</v>
      </c>
      <c r="C9" s="10" t="str">
        <f t="shared" si="1"/>
        <v>PMP-28_ADTV-PMP-1 BLUEDYE_TL</v>
      </c>
      <c r="D9" s="58" t="s">
        <v>545</v>
      </c>
      <c r="E9" s="58" t="s">
        <v>546</v>
      </c>
      <c r="F9" s="58" t="s">
        <v>525</v>
      </c>
      <c r="G9" s="60" t="s">
        <v>526</v>
      </c>
      <c r="H9" s="30" t="s">
        <v>547</v>
      </c>
      <c r="I9" s="19">
        <v>0.0</v>
      </c>
      <c r="J9" s="30" t="s">
        <v>548</v>
      </c>
      <c r="K9" s="19">
        <v>1.0</v>
      </c>
      <c r="L9" s="59" t="s">
        <v>549</v>
      </c>
      <c r="M9" s="19">
        <v>0.0</v>
      </c>
    </row>
    <row r="10" ht="15.75" customHeight="1">
      <c r="A10" s="8">
        <v>1509.0</v>
      </c>
      <c r="B10" s="9" t="s">
        <v>50</v>
      </c>
      <c r="C10" s="10" t="str">
        <f t="shared" si="1"/>
        <v>PMP-29_ADTV-PMP-2 BLUEDYE_TL</v>
      </c>
      <c r="D10" s="58" t="s">
        <v>550</v>
      </c>
      <c r="E10" s="58" t="s">
        <v>551</v>
      </c>
      <c r="F10" s="58" t="s">
        <v>525</v>
      </c>
      <c r="G10" s="60" t="s">
        <v>526</v>
      </c>
      <c r="H10" s="30" t="s">
        <v>552</v>
      </c>
      <c r="I10" s="19">
        <v>0.0</v>
      </c>
      <c r="J10" s="30" t="s">
        <v>553</v>
      </c>
      <c r="K10" s="19">
        <v>1.0</v>
      </c>
      <c r="L10" s="59" t="s">
        <v>554</v>
      </c>
      <c r="M10" s="19">
        <v>0.0</v>
      </c>
    </row>
    <row r="11" ht="15.75" customHeight="1">
      <c r="A11" s="8">
        <v>1509.0</v>
      </c>
      <c r="B11" s="9" t="s">
        <v>50</v>
      </c>
      <c r="C11" s="10" t="str">
        <f t="shared" si="1"/>
        <v>PMP-31_TLF_MS_PMP1_TL</v>
      </c>
      <c r="D11" s="58" t="s">
        <v>555</v>
      </c>
      <c r="E11" s="58" t="s">
        <v>556</v>
      </c>
      <c r="F11" s="58" t="s">
        <v>525</v>
      </c>
      <c r="G11" s="60" t="s">
        <v>526</v>
      </c>
      <c r="H11" s="30" t="s">
        <v>557</v>
      </c>
      <c r="I11" s="19">
        <v>0.0</v>
      </c>
      <c r="J11" s="30" t="s">
        <v>558</v>
      </c>
      <c r="K11" s="19">
        <v>1.0</v>
      </c>
      <c r="L11" s="59" t="s">
        <v>559</v>
      </c>
      <c r="M11" s="19">
        <v>0.0</v>
      </c>
    </row>
    <row r="12" ht="15.75" customHeight="1">
      <c r="A12" s="8">
        <v>1509.0</v>
      </c>
      <c r="B12" s="9" t="s">
        <v>50</v>
      </c>
      <c r="C12" s="10" t="str">
        <f t="shared" si="1"/>
        <v>PMP-32_TLF_MS_PMP2_TL</v>
      </c>
      <c r="D12" s="58" t="s">
        <v>560</v>
      </c>
      <c r="E12" s="58" t="s">
        <v>561</v>
      </c>
      <c r="F12" s="58" t="s">
        <v>525</v>
      </c>
      <c r="G12" s="60" t="s">
        <v>526</v>
      </c>
      <c r="H12" s="30" t="s">
        <v>562</v>
      </c>
      <c r="I12" s="19">
        <v>0.0</v>
      </c>
      <c r="J12" s="30" t="s">
        <v>563</v>
      </c>
      <c r="K12" s="19">
        <v>1.0</v>
      </c>
      <c r="L12" s="59" t="s">
        <v>564</v>
      </c>
      <c r="M12" s="19">
        <v>0.0</v>
      </c>
    </row>
    <row r="13" ht="15.75" customHeight="1">
      <c r="A13" s="8">
        <v>1509.0</v>
      </c>
      <c r="B13" s="9" t="s">
        <v>50</v>
      </c>
      <c r="C13" s="10" t="str">
        <f t="shared" si="1"/>
        <v>PMP-33_TLF_MS_PMP3_TL</v>
      </c>
      <c r="D13" s="58" t="s">
        <v>565</v>
      </c>
      <c r="E13" s="58" t="s">
        <v>566</v>
      </c>
      <c r="F13" s="58" t="s">
        <v>525</v>
      </c>
      <c r="G13" s="60" t="s">
        <v>526</v>
      </c>
      <c r="H13" s="30" t="s">
        <v>567</v>
      </c>
      <c r="I13" s="19">
        <v>0.0</v>
      </c>
      <c r="J13" s="30" t="s">
        <v>568</v>
      </c>
      <c r="K13" s="19">
        <v>1.0</v>
      </c>
      <c r="L13" s="59" t="s">
        <v>569</v>
      </c>
      <c r="M13" s="19">
        <v>0.0</v>
      </c>
    </row>
    <row r="14" ht="15.75" customHeight="1">
      <c r="A14" s="8">
        <v>1509.0</v>
      </c>
      <c r="B14" s="9" t="s">
        <v>50</v>
      </c>
      <c r="C14" s="10" t="str">
        <f t="shared" si="1"/>
        <v>PMP-34_TLF_HSD_PMP1_TL</v>
      </c>
      <c r="D14" s="58" t="s">
        <v>570</v>
      </c>
      <c r="E14" s="58" t="s">
        <v>571</v>
      </c>
      <c r="F14" s="58" t="s">
        <v>525</v>
      </c>
      <c r="G14" s="60" t="s">
        <v>526</v>
      </c>
      <c r="H14" s="30" t="s">
        <v>572</v>
      </c>
      <c r="I14" s="19">
        <v>0.0</v>
      </c>
      <c r="J14" s="30" t="s">
        <v>573</v>
      </c>
      <c r="K14" s="19">
        <v>1.0</v>
      </c>
      <c r="L14" s="59" t="s">
        <v>574</v>
      </c>
      <c r="M14" s="19">
        <v>0.0</v>
      </c>
    </row>
    <row r="15" ht="15.75" customHeight="1">
      <c r="A15" s="8">
        <v>1509.0</v>
      </c>
      <c r="B15" s="9" t="s">
        <v>50</v>
      </c>
      <c r="C15" s="10" t="str">
        <f t="shared" si="1"/>
        <v>PMP-35_TLF_HSD_PMP2_TL</v>
      </c>
      <c r="D15" s="58" t="s">
        <v>575</v>
      </c>
      <c r="E15" s="58" t="s">
        <v>576</v>
      </c>
      <c r="F15" s="58" t="s">
        <v>525</v>
      </c>
      <c r="G15" s="60" t="s">
        <v>526</v>
      </c>
      <c r="H15" s="30" t="s">
        <v>577</v>
      </c>
      <c r="I15" s="19">
        <v>0.0</v>
      </c>
      <c r="J15" s="30" t="s">
        <v>578</v>
      </c>
      <c r="K15" s="19">
        <v>1.0</v>
      </c>
      <c r="L15" s="59" t="s">
        <v>579</v>
      </c>
      <c r="M15" s="19">
        <v>0.0</v>
      </c>
    </row>
    <row r="16" ht="15.75" customHeight="1">
      <c r="A16" s="8">
        <v>1509.0</v>
      </c>
      <c r="B16" s="9" t="s">
        <v>50</v>
      </c>
      <c r="C16" s="10" t="str">
        <f t="shared" si="1"/>
        <v>PMP-36_TLF_HSD_PMP3_TL</v>
      </c>
      <c r="D16" s="58" t="s">
        <v>580</v>
      </c>
      <c r="E16" s="58" t="s">
        <v>581</v>
      </c>
      <c r="F16" s="58" t="s">
        <v>525</v>
      </c>
      <c r="G16" s="60" t="s">
        <v>526</v>
      </c>
      <c r="H16" s="30" t="s">
        <v>582</v>
      </c>
      <c r="I16" s="19">
        <v>0.0</v>
      </c>
      <c r="J16" s="30" t="s">
        <v>583</v>
      </c>
      <c r="K16" s="19">
        <v>1.0</v>
      </c>
      <c r="L16" s="59" t="s">
        <v>584</v>
      </c>
      <c r="M16" s="19">
        <v>0.0</v>
      </c>
    </row>
    <row r="17" ht="15.75" customHeight="1">
      <c r="A17" s="8">
        <v>1509.0</v>
      </c>
      <c r="B17" s="9" t="s">
        <v>50</v>
      </c>
      <c r="C17" s="10" t="str">
        <f t="shared" si="1"/>
        <v>PMP-37_TLF_ETH_PMP_TK14_TL</v>
      </c>
      <c r="D17" s="58" t="s">
        <v>585</v>
      </c>
      <c r="E17" s="58" t="s">
        <v>586</v>
      </c>
      <c r="F17" s="58" t="s">
        <v>587</v>
      </c>
      <c r="G17" s="60" t="s">
        <v>526</v>
      </c>
      <c r="H17" s="30" t="s">
        <v>588</v>
      </c>
      <c r="I17" s="19">
        <v>0.0</v>
      </c>
      <c r="J17" s="30" t="s">
        <v>589</v>
      </c>
      <c r="K17" s="19">
        <v>1.0</v>
      </c>
      <c r="L17" s="59" t="s">
        <v>590</v>
      </c>
      <c r="M17" s="19">
        <v>0.0</v>
      </c>
    </row>
    <row r="18" ht="15.75" customHeight="1">
      <c r="A18" s="8">
        <v>1509.0</v>
      </c>
      <c r="B18" s="9" t="s">
        <v>50</v>
      </c>
      <c r="C18" s="10" t="str">
        <f t="shared" si="1"/>
        <v>PMP-38_TLF_ETH_PMP_TK15_TL</v>
      </c>
      <c r="D18" s="58" t="s">
        <v>591</v>
      </c>
      <c r="E18" s="58" t="s">
        <v>592</v>
      </c>
      <c r="F18" s="58" t="s">
        <v>593</v>
      </c>
      <c r="G18" s="60" t="s">
        <v>526</v>
      </c>
      <c r="H18" s="30" t="s">
        <v>594</v>
      </c>
      <c r="I18" s="19">
        <v>0.0</v>
      </c>
      <c r="J18" s="30" t="s">
        <v>595</v>
      </c>
      <c r="K18" s="19">
        <v>1.0</v>
      </c>
      <c r="L18" s="59" t="s">
        <v>596</v>
      </c>
      <c r="M18" s="19">
        <v>0.0</v>
      </c>
    </row>
    <row r="19" ht="15.75" customHeight="1">
      <c r="A19" s="8">
        <v>1509.0</v>
      </c>
      <c r="B19" s="9" t="s">
        <v>50</v>
      </c>
      <c r="C19" s="10" t="str">
        <f t="shared" si="1"/>
        <v>PMP-39_TLF_SKO_PMP1_TL</v>
      </c>
      <c r="D19" s="58" t="s">
        <v>597</v>
      </c>
      <c r="E19" s="58" t="s">
        <v>598</v>
      </c>
      <c r="F19" s="58" t="s">
        <v>525</v>
      </c>
      <c r="G19" s="60" t="s">
        <v>526</v>
      </c>
      <c r="H19" s="30" t="s">
        <v>599</v>
      </c>
      <c r="I19" s="19">
        <v>0.0</v>
      </c>
      <c r="J19" s="30" t="s">
        <v>600</v>
      </c>
      <c r="K19" s="19">
        <v>1.0</v>
      </c>
      <c r="L19" s="59" t="s">
        <v>601</v>
      </c>
      <c r="M19" s="19">
        <v>0.0</v>
      </c>
    </row>
    <row r="20" ht="15.75" customHeight="1">
      <c r="A20" s="8">
        <v>1509.0</v>
      </c>
      <c r="B20" s="9" t="s">
        <v>50</v>
      </c>
      <c r="C20" s="10" t="str">
        <f t="shared" si="1"/>
        <v>PMP-40_TLF_SKO_PMP2_TL</v>
      </c>
      <c r="D20" s="58" t="s">
        <v>602</v>
      </c>
      <c r="E20" s="58" t="s">
        <v>603</v>
      </c>
      <c r="F20" s="58" t="s">
        <v>525</v>
      </c>
      <c r="G20" s="60" t="s">
        <v>526</v>
      </c>
      <c r="H20" s="30" t="s">
        <v>604</v>
      </c>
      <c r="I20" s="19">
        <v>0.0</v>
      </c>
      <c r="J20" s="30" t="s">
        <v>605</v>
      </c>
      <c r="K20" s="19">
        <v>1.0</v>
      </c>
      <c r="L20" s="59" t="s">
        <v>606</v>
      </c>
      <c r="M20" s="19">
        <v>0.0</v>
      </c>
    </row>
    <row r="21" ht="15.75" customHeight="1">
      <c r="A21" s="8">
        <v>1509.0</v>
      </c>
      <c r="B21" s="9" t="s">
        <v>50</v>
      </c>
      <c r="C21" s="10" t="str">
        <f t="shared" si="1"/>
        <v>PMP-45_TWD_MS_PMP1_WL</v>
      </c>
      <c r="D21" s="58" t="s">
        <v>607</v>
      </c>
      <c r="E21" s="58" t="s">
        <v>608</v>
      </c>
      <c r="F21" s="58" t="s">
        <v>609</v>
      </c>
      <c r="G21" s="60" t="s">
        <v>610</v>
      </c>
      <c r="H21" s="30" t="s">
        <v>611</v>
      </c>
      <c r="I21" s="19">
        <v>0.0</v>
      </c>
      <c r="J21" s="30" t="s">
        <v>612</v>
      </c>
      <c r="K21" s="19">
        <v>1.0</v>
      </c>
      <c r="L21" s="59" t="s">
        <v>613</v>
      </c>
      <c r="M21" s="19">
        <v>0.0</v>
      </c>
    </row>
    <row r="22" ht="15.75" customHeight="1">
      <c r="A22" s="8">
        <v>1509.0</v>
      </c>
      <c r="B22" s="9" t="s">
        <v>50</v>
      </c>
      <c r="C22" s="10" t="str">
        <f t="shared" si="1"/>
        <v>PMP-46_TWD_MS_PMP2_WL</v>
      </c>
      <c r="D22" s="58" t="s">
        <v>614</v>
      </c>
      <c r="E22" s="58" t="s">
        <v>615</v>
      </c>
      <c r="F22" s="58" t="s">
        <v>609</v>
      </c>
      <c r="G22" s="60" t="s">
        <v>610</v>
      </c>
      <c r="H22" s="30" t="s">
        <v>616</v>
      </c>
      <c r="I22" s="19">
        <v>0.0</v>
      </c>
      <c r="J22" s="30" t="s">
        <v>617</v>
      </c>
      <c r="K22" s="19">
        <v>1.0</v>
      </c>
      <c r="L22" s="59" t="s">
        <v>618</v>
      </c>
      <c r="M22" s="19">
        <v>0.0</v>
      </c>
    </row>
    <row r="23" ht="15.75" customHeight="1">
      <c r="A23" s="8">
        <v>1509.0</v>
      </c>
      <c r="B23" s="9" t="s">
        <v>50</v>
      </c>
      <c r="C23" s="10" t="str">
        <f t="shared" si="1"/>
        <v>PMP-47_TWD_ETH_PMP1_WL</v>
      </c>
      <c r="D23" s="58" t="s">
        <v>619</v>
      </c>
      <c r="E23" s="58" t="s">
        <v>620</v>
      </c>
      <c r="F23" s="58" t="s">
        <v>609</v>
      </c>
      <c r="G23" s="60" t="s">
        <v>610</v>
      </c>
      <c r="H23" s="30" t="s">
        <v>621</v>
      </c>
      <c r="I23" s="19">
        <v>0.0</v>
      </c>
      <c r="J23" s="30" t="s">
        <v>622</v>
      </c>
      <c r="K23" s="19">
        <v>1.0</v>
      </c>
      <c r="L23" s="59" t="s">
        <v>623</v>
      </c>
      <c r="M23" s="19">
        <v>0.0</v>
      </c>
    </row>
    <row r="24" ht="15.75" customHeight="1">
      <c r="A24" s="8">
        <v>1509.0</v>
      </c>
      <c r="B24" s="9" t="s">
        <v>50</v>
      </c>
      <c r="C24" s="10" t="str">
        <f t="shared" si="1"/>
        <v>PMP-48_TWD_ETH_PMP2_WL</v>
      </c>
      <c r="D24" s="58" t="s">
        <v>624</v>
      </c>
      <c r="E24" s="58" t="s">
        <v>625</v>
      </c>
      <c r="F24" s="58" t="s">
        <v>609</v>
      </c>
      <c r="G24" s="60" t="s">
        <v>610</v>
      </c>
      <c r="H24" s="30" t="s">
        <v>626</v>
      </c>
      <c r="I24" s="19">
        <v>0.0</v>
      </c>
      <c r="J24" s="30" t="s">
        <v>627</v>
      </c>
      <c r="K24" s="19">
        <v>1.0</v>
      </c>
      <c r="L24" s="59" t="s">
        <v>628</v>
      </c>
      <c r="M24" s="19">
        <v>0.0</v>
      </c>
    </row>
    <row r="25" ht="15.75" customHeight="1">
      <c r="A25" s="8">
        <v>1509.0</v>
      </c>
      <c r="B25" s="9" t="s">
        <v>50</v>
      </c>
      <c r="C25" s="10" t="str">
        <f t="shared" si="1"/>
        <v>PMP-49_TWD_HSD_PMP1_WL</v>
      </c>
      <c r="D25" s="58" t="s">
        <v>629</v>
      </c>
      <c r="E25" s="58" t="s">
        <v>630</v>
      </c>
      <c r="F25" s="58" t="s">
        <v>609</v>
      </c>
      <c r="G25" s="60" t="s">
        <v>610</v>
      </c>
      <c r="H25" s="30" t="s">
        <v>631</v>
      </c>
      <c r="I25" s="19">
        <v>0.0</v>
      </c>
      <c r="J25" s="30" t="s">
        <v>632</v>
      </c>
      <c r="K25" s="19">
        <v>1.0</v>
      </c>
      <c r="L25" s="59" t="s">
        <v>633</v>
      </c>
      <c r="M25" s="19">
        <v>0.0</v>
      </c>
    </row>
    <row r="26" ht="15.75" customHeight="1">
      <c r="A26" s="8">
        <v>1509.0</v>
      </c>
      <c r="B26" s="9" t="s">
        <v>50</v>
      </c>
      <c r="C26" s="10" t="str">
        <f t="shared" si="1"/>
        <v>PMP-50_TWD_HSD_PMP2_WL</v>
      </c>
      <c r="D26" s="58" t="s">
        <v>634</v>
      </c>
      <c r="E26" s="58" t="s">
        <v>635</v>
      </c>
      <c r="F26" s="58" t="s">
        <v>609</v>
      </c>
      <c r="G26" s="60" t="s">
        <v>610</v>
      </c>
      <c r="H26" s="30" t="s">
        <v>636</v>
      </c>
      <c r="I26" s="19">
        <v>0.0</v>
      </c>
      <c r="J26" s="30" t="s">
        <v>637</v>
      </c>
      <c r="K26" s="19">
        <v>1.0</v>
      </c>
      <c r="L26" s="59" t="s">
        <v>638</v>
      </c>
      <c r="M26" s="19">
        <v>0.0</v>
      </c>
    </row>
    <row r="27" ht="15.75" customHeight="1">
      <c r="A27" s="8">
        <v>1509.0</v>
      </c>
      <c r="B27" s="9" t="s">
        <v>50</v>
      </c>
      <c r="C27" s="10" t="str">
        <f t="shared" si="1"/>
        <v>PMP-51_TLF_ETH_PMP1_AGTK_TL</v>
      </c>
      <c r="D27" s="58" t="s">
        <v>639</v>
      </c>
      <c r="E27" s="58" t="s">
        <v>640</v>
      </c>
      <c r="F27" s="58" t="s">
        <v>641</v>
      </c>
      <c r="G27" s="60" t="s">
        <v>526</v>
      </c>
      <c r="H27" s="30" t="s">
        <v>642</v>
      </c>
      <c r="I27" s="19">
        <v>0.0</v>
      </c>
      <c r="J27" s="30" t="s">
        <v>643</v>
      </c>
      <c r="K27" s="19">
        <v>1.0</v>
      </c>
      <c r="L27" s="59" t="s">
        <v>644</v>
      </c>
      <c r="M27" s="19">
        <v>0.0</v>
      </c>
    </row>
    <row r="28" ht="15.75" customHeight="1">
      <c r="A28" s="8">
        <v>1509.0</v>
      </c>
      <c r="B28" s="9" t="s">
        <v>50</v>
      </c>
      <c r="C28" s="10" t="str">
        <f t="shared" si="1"/>
        <v>PMP-52_TLF_ETH_PMP2_AGTK_TL</v>
      </c>
      <c r="D28" s="58" t="s">
        <v>645</v>
      </c>
      <c r="E28" s="58" t="s">
        <v>646</v>
      </c>
      <c r="F28" s="58" t="s">
        <v>641</v>
      </c>
      <c r="G28" s="60" t="s">
        <v>526</v>
      </c>
      <c r="H28" s="30" t="s">
        <v>647</v>
      </c>
      <c r="I28" s="19">
        <v>0.0</v>
      </c>
      <c r="J28" s="30" t="s">
        <v>648</v>
      </c>
      <c r="K28" s="19">
        <v>1.0</v>
      </c>
      <c r="L28" s="59" t="s">
        <v>649</v>
      </c>
      <c r="M28" s="19">
        <v>0.0</v>
      </c>
    </row>
    <row r="29" ht="15.75" customHeight="1">
      <c r="A29" s="8">
        <v>1509.0</v>
      </c>
      <c r="B29" s="9" t="s">
        <v>50</v>
      </c>
      <c r="C29" s="10" t="str">
        <f t="shared" si="1"/>
        <v>PMP-53_TLF_ETH_PMP3_AGTK_TL</v>
      </c>
      <c r="D29" s="58" t="s">
        <v>650</v>
      </c>
      <c r="E29" s="58" t="s">
        <v>651</v>
      </c>
      <c r="F29" s="58" t="s">
        <v>641</v>
      </c>
      <c r="G29" s="60" t="s">
        <v>526</v>
      </c>
      <c r="H29" s="30" t="s">
        <v>652</v>
      </c>
      <c r="I29" s="19">
        <v>0.0</v>
      </c>
      <c r="J29" s="30" t="s">
        <v>653</v>
      </c>
      <c r="K29" s="19">
        <v>1.0</v>
      </c>
      <c r="L29" s="59" t="s">
        <v>654</v>
      </c>
      <c r="M29" s="19">
        <v>0.0</v>
      </c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1.5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36.5"/>
    <col customWidth="1" min="21" max="21" width="21.0"/>
    <col customWidth="1" min="22" max="23" width="17.75"/>
    <col customWidth="1" min="24" max="25" width="21.5"/>
    <col customWidth="1" min="26" max="26" width="36.88"/>
    <col customWidth="1" min="27" max="27" width="20.75"/>
  </cols>
  <sheetData>
    <row r="1">
      <c r="A1" s="61" t="s">
        <v>0</v>
      </c>
      <c r="B1" s="61" t="s">
        <v>1</v>
      </c>
      <c r="C1" s="61" t="s">
        <v>2</v>
      </c>
      <c r="D1" s="61" t="s">
        <v>497</v>
      </c>
      <c r="E1" s="61" t="s">
        <v>498</v>
      </c>
      <c r="F1" s="61" t="s">
        <v>499</v>
      </c>
      <c r="G1" s="61" t="s">
        <v>500</v>
      </c>
      <c r="H1" s="62" t="s">
        <v>501</v>
      </c>
      <c r="I1" s="62" t="s">
        <v>502</v>
      </c>
      <c r="J1" s="62" t="s">
        <v>503</v>
      </c>
      <c r="K1" s="62" t="s">
        <v>504</v>
      </c>
      <c r="L1" s="62" t="s">
        <v>655</v>
      </c>
      <c r="M1" s="62" t="s">
        <v>7</v>
      </c>
      <c r="N1" s="62" t="s">
        <v>656</v>
      </c>
      <c r="O1" s="62" t="s">
        <v>657</v>
      </c>
      <c r="P1" s="62" t="s">
        <v>658</v>
      </c>
      <c r="Q1" s="62" t="s">
        <v>659</v>
      </c>
      <c r="R1" s="62" t="s">
        <v>660</v>
      </c>
      <c r="S1" s="62" t="s">
        <v>661</v>
      </c>
      <c r="T1" s="62" t="s">
        <v>662</v>
      </c>
      <c r="U1" s="62" t="s">
        <v>663</v>
      </c>
      <c r="V1" s="62" t="s">
        <v>664</v>
      </c>
      <c r="W1" s="62" t="s">
        <v>665</v>
      </c>
      <c r="X1" s="62" t="s">
        <v>666</v>
      </c>
      <c r="Y1" s="62" t="s">
        <v>667</v>
      </c>
      <c r="Z1" s="62" t="s">
        <v>668</v>
      </c>
      <c r="AA1" s="62" t="s">
        <v>669</v>
      </c>
    </row>
    <row r="2" ht="15.75" customHeight="1">
      <c r="A2" s="8">
        <v>1509.0</v>
      </c>
      <c r="B2" s="9" t="s">
        <v>50</v>
      </c>
      <c r="C2" s="10" t="str">
        <f t="shared" ref="C2:C9" si="1">CONCATENATE(D2,"_",E2,"_",G2)</f>
        <v>FWP-01_Water_DISPATCH</v>
      </c>
      <c r="D2" s="58" t="s">
        <v>670</v>
      </c>
      <c r="E2" s="58" t="s">
        <v>671</v>
      </c>
      <c r="F2" s="60" t="s">
        <v>672</v>
      </c>
      <c r="G2" s="63" t="s">
        <v>673</v>
      </c>
      <c r="H2" s="30" t="s">
        <v>674</v>
      </c>
      <c r="I2" s="64">
        <v>0.0</v>
      </c>
      <c r="J2" s="30" t="s">
        <v>675</v>
      </c>
      <c r="K2" s="19">
        <v>1.0</v>
      </c>
      <c r="L2" s="30" t="s">
        <v>676</v>
      </c>
      <c r="M2" s="19">
        <v>0.0</v>
      </c>
      <c r="N2" s="30" t="s">
        <v>677</v>
      </c>
      <c r="O2" s="19">
        <v>0.0</v>
      </c>
      <c r="P2" s="30" t="s">
        <v>678</v>
      </c>
      <c r="Q2" s="19">
        <v>0.0</v>
      </c>
      <c r="R2" s="10"/>
      <c r="S2" s="10"/>
      <c r="T2" s="30" t="s">
        <v>679</v>
      </c>
      <c r="U2" s="19">
        <v>0.0</v>
      </c>
      <c r="V2" s="30" t="s">
        <v>680</v>
      </c>
      <c r="W2" s="19">
        <v>0.0</v>
      </c>
      <c r="X2" s="10"/>
      <c r="Y2" s="10"/>
      <c r="Z2" s="30" t="s">
        <v>681</v>
      </c>
      <c r="AA2" s="19">
        <v>0.0</v>
      </c>
    </row>
    <row r="3" ht="15.75" customHeight="1">
      <c r="A3" s="8">
        <v>1509.0</v>
      </c>
      <c r="B3" s="9" t="s">
        <v>50</v>
      </c>
      <c r="C3" s="10" t="str">
        <f t="shared" si="1"/>
        <v>FWP-02_Water_DISPATCH</v>
      </c>
      <c r="D3" s="65" t="s">
        <v>682</v>
      </c>
      <c r="E3" s="65" t="s">
        <v>671</v>
      </c>
      <c r="F3" s="60" t="s">
        <v>672</v>
      </c>
      <c r="G3" s="66" t="s">
        <v>673</v>
      </c>
      <c r="H3" s="59" t="s">
        <v>683</v>
      </c>
      <c r="I3" s="64">
        <v>0.0</v>
      </c>
      <c r="J3" s="59" t="s">
        <v>684</v>
      </c>
      <c r="K3" s="19">
        <v>1.0</v>
      </c>
      <c r="L3" s="59" t="s">
        <v>685</v>
      </c>
      <c r="M3" s="19">
        <v>0.0</v>
      </c>
      <c r="N3" s="59" t="s">
        <v>686</v>
      </c>
      <c r="O3" s="19">
        <v>0.0</v>
      </c>
      <c r="P3" s="59" t="s">
        <v>687</v>
      </c>
      <c r="Q3" s="19">
        <v>0.0</v>
      </c>
      <c r="T3" s="59" t="s">
        <v>688</v>
      </c>
      <c r="U3" s="19">
        <v>0.0</v>
      </c>
      <c r="V3" s="59" t="s">
        <v>689</v>
      </c>
      <c r="W3" s="19">
        <v>0.0</v>
      </c>
      <c r="Z3" s="59" t="s">
        <v>690</v>
      </c>
      <c r="AA3" s="19">
        <v>0.0</v>
      </c>
    </row>
    <row r="4" ht="15.75" customHeight="1">
      <c r="A4" s="8">
        <v>1509.0</v>
      </c>
      <c r="B4" s="9" t="s">
        <v>50</v>
      </c>
      <c r="C4" s="10" t="str">
        <f t="shared" si="1"/>
        <v>FWP-03_Water_DISPATCH</v>
      </c>
      <c r="D4" s="65" t="s">
        <v>691</v>
      </c>
      <c r="E4" s="65" t="s">
        <v>671</v>
      </c>
      <c r="F4" s="60" t="s">
        <v>672</v>
      </c>
      <c r="G4" s="66" t="s">
        <v>673</v>
      </c>
      <c r="H4" s="59" t="s">
        <v>692</v>
      </c>
      <c r="I4" s="64">
        <v>0.0</v>
      </c>
      <c r="J4" s="59" t="s">
        <v>693</v>
      </c>
      <c r="K4" s="19">
        <v>1.0</v>
      </c>
      <c r="L4" s="59" t="s">
        <v>694</v>
      </c>
      <c r="M4" s="19">
        <v>0.0</v>
      </c>
      <c r="N4" s="59" t="s">
        <v>695</v>
      </c>
      <c r="O4" s="19">
        <v>0.0</v>
      </c>
      <c r="P4" s="59" t="s">
        <v>696</v>
      </c>
      <c r="Q4" s="19">
        <v>0.0</v>
      </c>
      <c r="T4" s="59" t="s">
        <v>697</v>
      </c>
      <c r="U4" s="19">
        <v>0.0</v>
      </c>
      <c r="V4" s="59" t="s">
        <v>698</v>
      </c>
      <c r="W4" s="19">
        <v>0.0</v>
      </c>
      <c r="Z4" s="59" t="s">
        <v>699</v>
      </c>
      <c r="AA4" s="19">
        <v>0.0</v>
      </c>
    </row>
    <row r="5" ht="15.75" customHeight="1">
      <c r="A5" s="8">
        <v>1509.0</v>
      </c>
      <c r="B5" s="9" t="s">
        <v>50</v>
      </c>
      <c r="C5" s="10" t="str">
        <f t="shared" si="1"/>
        <v>JCY-01_Water_DISPATCH</v>
      </c>
      <c r="D5" s="65" t="s">
        <v>700</v>
      </c>
      <c r="E5" s="65" t="s">
        <v>671</v>
      </c>
      <c r="F5" s="60" t="s">
        <v>672</v>
      </c>
      <c r="G5" s="66" t="s">
        <v>673</v>
      </c>
      <c r="H5" s="59" t="s">
        <v>701</v>
      </c>
      <c r="I5" s="64">
        <v>0.0</v>
      </c>
      <c r="J5" s="59" t="s">
        <v>702</v>
      </c>
      <c r="K5" s="19">
        <v>1.0</v>
      </c>
      <c r="L5" s="59" t="s">
        <v>703</v>
      </c>
      <c r="M5" s="19">
        <v>0.0</v>
      </c>
      <c r="N5" s="59" t="s">
        <v>704</v>
      </c>
      <c r="O5" s="19">
        <v>0.0</v>
      </c>
      <c r="T5" s="59" t="s">
        <v>705</v>
      </c>
      <c r="U5" s="19">
        <v>0.0</v>
      </c>
      <c r="V5" s="59" t="s">
        <v>706</v>
      </c>
      <c r="W5" s="19">
        <v>0.0</v>
      </c>
    </row>
    <row r="6" ht="15.75" customHeight="1">
      <c r="A6" s="8">
        <v>1509.0</v>
      </c>
      <c r="B6" s="9" t="s">
        <v>50</v>
      </c>
      <c r="C6" s="10" t="str">
        <f t="shared" si="1"/>
        <v>JCY-02_Water_DISPATCH</v>
      </c>
      <c r="D6" s="65" t="s">
        <v>707</v>
      </c>
      <c r="E6" s="65" t="s">
        <v>671</v>
      </c>
      <c r="F6" s="60" t="s">
        <v>672</v>
      </c>
      <c r="G6" s="66" t="s">
        <v>673</v>
      </c>
      <c r="H6" s="59" t="s">
        <v>708</v>
      </c>
      <c r="I6" s="64">
        <v>0.0</v>
      </c>
      <c r="J6" s="59" t="s">
        <v>709</v>
      </c>
      <c r="K6" s="19">
        <v>1.0</v>
      </c>
      <c r="L6" s="59" t="s">
        <v>710</v>
      </c>
      <c r="M6" s="19">
        <v>0.0</v>
      </c>
      <c r="N6" s="59" t="s">
        <v>711</v>
      </c>
      <c r="O6" s="19">
        <v>0.0</v>
      </c>
      <c r="T6" s="59" t="s">
        <v>712</v>
      </c>
      <c r="U6" s="19">
        <v>0.0</v>
      </c>
      <c r="V6" s="59" t="s">
        <v>713</v>
      </c>
      <c r="W6" s="19">
        <v>0.0</v>
      </c>
    </row>
    <row r="7" ht="15.75" customHeight="1">
      <c r="A7" s="8">
        <v>1509.0</v>
      </c>
      <c r="B7" s="9" t="s">
        <v>50</v>
      </c>
      <c r="C7" s="10" t="str">
        <f t="shared" si="1"/>
        <v>PT-05 _WP_Near FE shed</v>
      </c>
      <c r="D7" s="65" t="s">
        <v>714</v>
      </c>
      <c r="E7" s="67" t="s">
        <v>715</v>
      </c>
      <c r="F7" s="68" t="s">
        <v>716</v>
      </c>
      <c r="G7" s="69" t="s">
        <v>717</v>
      </c>
      <c r="L7" s="35" t="s">
        <v>718</v>
      </c>
      <c r="M7" s="19">
        <v>0.0</v>
      </c>
    </row>
    <row r="8" ht="15.75" customHeight="1">
      <c r="A8" s="8">
        <v>1509.0</v>
      </c>
      <c r="B8" s="9" t="s">
        <v>50</v>
      </c>
      <c r="C8" s="10" t="str">
        <f t="shared" si="1"/>
        <v>PT-06_WP_Near tank 5</v>
      </c>
      <c r="D8" s="65" t="s">
        <v>719</v>
      </c>
      <c r="E8" s="67" t="s">
        <v>715</v>
      </c>
      <c r="F8" s="68" t="s">
        <v>716</v>
      </c>
      <c r="G8" s="69" t="s">
        <v>720</v>
      </c>
      <c r="L8" s="35" t="s">
        <v>721</v>
      </c>
      <c r="M8" s="19">
        <v>0.0</v>
      </c>
    </row>
    <row r="9" ht="15.75" customHeight="1">
      <c r="A9" s="8">
        <v>1509.0</v>
      </c>
      <c r="B9" s="9" t="s">
        <v>50</v>
      </c>
      <c r="C9" s="10" t="str">
        <f t="shared" si="1"/>
        <v>PT-07_WP_Near tank 101D</v>
      </c>
      <c r="D9" s="65" t="s">
        <v>722</v>
      </c>
      <c r="E9" s="67" t="s">
        <v>715</v>
      </c>
      <c r="F9" s="68" t="s">
        <v>716</v>
      </c>
      <c r="G9" s="69" t="s">
        <v>723</v>
      </c>
      <c r="L9" s="35" t="s">
        <v>724</v>
      </c>
      <c r="M9" s="19">
        <v>0.0</v>
      </c>
    </row>
    <row r="10" ht="15.75" customHeight="1">
      <c r="F10" s="70"/>
    </row>
    <row r="11" ht="15.75" customHeight="1">
      <c r="F11" s="70"/>
    </row>
    <row r="12" ht="15.75" customHeight="1">
      <c r="F12" s="70"/>
    </row>
    <row r="13" ht="15.75" customHeight="1">
      <c r="F13" s="70"/>
    </row>
    <row r="14" ht="15.75" customHeight="1">
      <c r="F14" s="70"/>
    </row>
    <row r="15" ht="15.75" customHeight="1">
      <c r="F15" s="70"/>
    </row>
    <row r="16" ht="15.75" customHeight="1">
      <c r="F16" s="70"/>
    </row>
    <row r="17" ht="15.75" customHeight="1">
      <c r="F17" s="70"/>
    </row>
    <row r="18" ht="15.75" customHeight="1">
      <c r="F18" s="70"/>
    </row>
    <row r="19" ht="15.75" customHeight="1">
      <c r="F19" s="70"/>
    </row>
    <row r="20" ht="15.75" customHeight="1">
      <c r="F20" s="70"/>
    </row>
    <row r="21" ht="15.75" customHeight="1">
      <c r="F21" s="70"/>
    </row>
    <row r="22" ht="15.75" customHeight="1">
      <c r="F22" s="70"/>
    </row>
    <row r="23" ht="15.75" customHeight="1">
      <c r="F23" s="70"/>
    </row>
    <row r="24" ht="15.75" customHeight="1">
      <c r="F24" s="70"/>
    </row>
    <row r="25" ht="15.75" customHeight="1">
      <c r="F25" s="70"/>
    </row>
    <row r="26" ht="15.75" customHeight="1">
      <c r="F26" s="70"/>
    </row>
    <row r="27" ht="15.75" customHeight="1">
      <c r="F27" s="70"/>
    </row>
    <row r="28" ht="15.75" customHeight="1">
      <c r="F28" s="70"/>
    </row>
    <row r="29" ht="15.75" customHeight="1">
      <c r="F29" s="70"/>
    </row>
    <row r="30" ht="15.75" customHeight="1">
      <c r="F30" s="70"/>
    </row>
    <row r="31" ht="15.75" customHeight="1">
      <c r="F31" s="70"/>
    </row>
    <row r="32" ht="15.75" customHeight="1">
      <c r="F32" s="70"/>
    </row>
    <row r="33" ht="15.75" customHeight="1">
      <c r="F33" s="70"/>
    </row>
    <row r="34" ht="15.75" customHeight="1">
      <c r="F34" s="70"/>
    </row>
    <row r="35" ht="15.75" customHeight="1">
      <c r="F35" s="70"/>
    </row>
    <row r="36" ht="15.75" customHeight="1">
      <c r="F36" s="70"/>
    </row>
    <row r="37" ht="15.75" customHeight="1">
      <c r="F37" s="70"/>
    </row>
    <row r="38" ht="15.75" customHeight="1">
      <c r="F38" s="70"/>
    </row>
    <row r="39" ht="15.75" customHeight="1">
      <c r="F39" s="70"/>
    </row>
    <row r="40" ht="15.75" customHeight="1">
      <c r="F40" s="70"/>
    </row>
    <row r="41" ht="15.75" customHeight="1">
      <c r="F41" s="70"/>
    </row>
    <row r="42" ht="15.75" customHeight="1">
      <c r="F42" s="70"/>
    </row>
    <row r="43" ht="15.75" customHeight="1">
      <c r="F43" s="70"/>
    </row>
    <row r="44" ht="15.75" customHeight="1">
      <c r="F44" s="70"/>
    </row>
    <row r="45" ht="15.75" customHeight="1">
      <c r="F45" s="70"/>
    </row>
    <row r="46" ht="15.75" customHeight="1">
      <c r="F46" s="70"/>
    </row>
    <row r="47" ht="15.75" customHeight="1">
      <c r="F47" s="70"/>
    </row>
    <row r="48" ht="15.75" customHeight="1">
      <c r="F48" s="70"/>
    </row>
    <row r="49" ht="15.75" customHeight="1">
      <c r="F49" s="70"/>
    </row>
    <row r="50" ht="15.75" customHeight="1">
      <c r="F50" s="70"/>
    </row>
    <row r="51" ht="15.75" customHeight="1">
      <c r="F51" s="70"/>
    </row>
    <row r="52" ht="15.75" customHeight="1">
      <c r="F52" s="70"/>
    </row>
    <row r="53" ht="15.75" customHeight="1">
      <c r="F53" s="70"/>
    </row>
    <row r="54" ht="15.75" customHeight="1">
      <c r="F54" s="70"/>
    </row>
    <row r="55" ht="15.75" customHeight="1">
      <c r="F55" s="70"/>
    </row>
    <row r="56" ht="15.75" customHeight="1">
      <c r="F56" s="70"/>
    </row>
    <row r="57" ht="15.75" customHeight="1">
      <c r="F57" s="70"/>
    </row>
    <row r="58" ht="15.75" customHeight="1">
      <c r="F58" s="70"/>
    </row>
    <row r="59" ht="15.75" customHeight="1">
      <c r="F59" s="70"/>
    </row>
    <row r="60" ht="15.75" customHeight="1">
      <c r="F60" s="70"/>
    </row>
    <row r="61" ht="15.75" customHeight="1">
      <c r="F61" s="70"/>
    </row>
    <row r="62" ht="15.75" customHeight="1">
      <c r="F62" s="70"/>
    </row>
    <row r="63" ht="15.75" customHeight="1">
      <c r="F63" s="70"/>
    </row>
    <row r="64" ht="15.75" customHeight="1">
      <c r="F64" s="70"/>
    </row>
    <row r="65" ht="15.75" customHeight="1">
      <c r="F65" s="70"/>
    </row>
    <row r="66" ht="15.75" customHeight="1">
      <c r="F66" s="70"/>
    </row>
    <row r="67" ht="15.75" customHeight="1">
      <c r="F67" s="70"/>
    </row>
    <row r="68" ht="15.75" customHeight="1">
      <c r="F68" s="70"/>
    </row>
    <row r="69" ht="15.75" customHeight="1">
      <c r="F69" s="70"/>
    </row>
    <row r="70" ht="15.75" customHeight="1">
      <c r="F70" s="70"/>
    </row>
    <row r="71" ht="15.75" customHeight="1">
      <c r="F71" s="70"/>
    </row>
    <row r="72" ht="15.75" customHeight="1">
      <c r="F72" s="70"/>
    </row>
    <row r="73" ht="15.75" customHeight="1">
      <c r="F73" s="70"/>
    </row>
    <row r="74" ht="15.75" customHeight="1">
      <c r="F74" s="70"/>
    </row>
    <row r="75" ht="15.75" customHeight="1">
      <c r="F75" s="70"/>
    </row>
    <row r="76" ht="15.75" customHeight="1">
      <c r="F76" s="70"/>
    </row>
    <row r="77" ht="15.75" customHeight="1">
      <c r="F77" s="70"/>
    </row>
    <row r="78" ht="15.75" customHeight="1">
      <c r="F78" s="70"/>
    </row>
    <row r="79" ht="15.75" customHeight="1">
      <c r="F79" s="70"/>
    </row>
    <row r="80" ht="15.75" customHeight="1">
      <c r="F80" s="70"/>
    </row>
    <row r="81" ht="15.75" customHeight="1">
      <c r="F81" s="70"/>
    </row>
    <row r="82" ht="15.75" customHeight="1">
      <c r="F82" s="70"/>
    </row>
    <row r="83" ht="15.75" customHeight="1">
      <c r="F83" s="70"/>
    </row>
    <row r="84" ht="15.75" customHeight="1">
      <c r="F84" s="70"/>
    </row>
    <row r="85" ht="15.75" customHeight="1">
      <c r="F85" s="70"/>
    </row>
    <row r="86" ht="15.75" customHeight="1">
      <c r="F86" s="70"/>
    </row>
    <row r="87" ht="15.75" customHeight="1">
      <c r="F87" s="70"/>
    </row>
    <row r="88" ht="15.75" customHeight="1">
      <c r="F88" s="70"/>
    </row>
    <row r="89" ht="15.75" customHeight="1">
      <c r="F89" s="70"/>
    </row>
    <row r="90" ht="15.75" customHeight="1">
      <c r="F90" s="70"/>
    </row>
    <row r="91" ht="15.75" customHeight="1">
      <c r="F91" s="70"/>
    </row>
    <row r="92" ht="15.75" customHeight="1">
      <c r="F92" s="70"/>
    </row>
    <row r="93" ht="15.75" customHeight="1">
      <c r="F93" s="70"/>
    </row>
    <row r="94" ht="15.75" customHeight="1">
      <c r="F94" s="70"/>
    </row>
    <row r="95" ht="15.75" customHeight="1">
      <c r="F95" s="70"/>
    </row>
    <row r="96" ht="15.75" customHeight="1">
      <c r="F96" s="70"/>
    </row>
    <row r="97" ht="15.75" customHeight="1">
      <c r="F97" s="70"/>
    </row>
    <row r="98" ht="15.75" customHeight="1">
      <c r="F98" s="70"/>
    </row>
    <row r="99" ht="15.75" customHeight="1">
      <c r="F99" s="70"/>
    </row>
    <row r="100" ht="15.75" customHeight="1">
      <c r="F100" s="70"/>
    </row>
    <row r="101" ht="15.75" customHeight="1">
      <c r="F101" s="70"/>
    </row>
    <row r="102" ht="15.75" customHeight="1">
      <c r="F102" s="70"/>
    </row>
    <row r="103" ht="15.75" customHeight="1">
      <c r="F103" s="70"/>
    </row>
    <row r="104" ht="15.75" customHeight="1">
      <c r="F104" s="70"/>
    </row>
    <row r="105" ht="15.75" customHeight="1">
      <c r="F105" s="70"/>
    </row>
    <row r="106" ht="15.75" customHeight="1">
      <c r="F106" s="70"/>
    </row>
    <row r="107" ht="15.75" customHeight="1">
      <c r="F107" s="70"/>
    </row>
    <row r="108" ht="15.75" customHeight="1">
      <c r="F108" s="70"/>
    </row>
    <row r="109" ht="15.75" customHeight="1">
      <c r="F109" s="70"/>
    </row>
    <row r="110" ht="15.75" customHeight="1">
      <c r="F110" s="70"/>
    </row>
    <row r="111" ht="15.75" customHeight="1">
      <c r="F111" s="70"/>
    </row>
    <row r="112" ht="15.75" customHeight="1">
      <c r="F112" s="70"/>
    </row>
    <row r="113" ht="15.75" customHeight="1">
      <c r="F113" s="70"/>
    </row>
    <row r="114" ht="15.75" customHeight="1">
      <c r="F114" s="70"/>
    </row>
    <row r="115" ht="15.75" customHeight="1">
      <c r="F115" s="70"/>
    </row>
    <row r="116" ht="15.75" customHeight="1">
      <c r="F116" s="70"/>
    </row>
    <row r="117" ht="15.75" customHeight="1">
      <c r="F117" s="70"/>
    </row>
    <row r="118" ht="15.75" customHeight="1">
      <c r="F118" s="70"/>
    </row>
    <row r="119" ht="15.75" customHeight="1">
      <c r="F119" s="70"/>
    </row>
    <row r="120" ht="15.75" customHeight="1">
      <c r="F120" s="70"/>
    </row>
    <row r="121" ht="15.75" customHeight="1">
      <c r="F121" s="70"/>
    </row>
    <row r="122" ht="15.75" customHeight="1">
      <c r="F122" s="70"/>
    </row>
    <row r="123" ht="15.75" customHeight="1">
      <c r="F123" s="70"/>
    </row>
    <row r="124" ht="15.75" customHeight="1">
      <c r="F124" s="70"/>
    </row>
    <row r="125" ht="15.75" customHeight="1">
      <c r="F125" s="70"/>
    </row>
    <row r="126" ht="15.75" customHeight="1">
      <c r="F126" s="70"/>
    </row>
    <row r="127" ht="15.75" customHeight="1">
      <c r="F127" s="70"/>
    </row>
    <row r="128" ht="15.75" customHeight="1">
      <c r="F128" s="70"/>
    </row>
    <row r="129" ht="15.75" customHeight="1">
      <c r="F129" s="70"/>
    </row>
    <row r="130" ht="15.75" customHeight="1">
      <c r="F130" s="70"/>
    </row>
    <row r="131" ht="15.75" customHeight="1">
      <c r="F131" s="70"/>
    </row>
    <row r="132" ht="15.75" customHeight="1">
      <c r="F132" s="70"/>
    </row>
    <row r="133" ht="15.75" customHeight="1">
      <c r="F133" s="70"/>
    </row>
    <row r="134" ht="15.75" customHeight="1">
      <c r="F134" s="70"/>
    </row>
    <row r="135" ht="15.75" customHeight="1">
      <c r="F135" s="70"/>
    </row>
    <row r="136" ht="15.75" customHeight="1">
      <c r="F136" s="70"/>
    </row>
    <row r="137" ht="15.75" customHeight="1">
      <c r="F137" s="70"/>
    </row>
    <row r="138" ht="15.75" customHeight="1">
      <c r="F138" s="70"/>
    </row>
    <row r="139" ht="15.75" customHeight="1">
      <c r="F139" s="70"/>
    </row>
    <row r="140" ht="15.75" customHeight="1">
      <c r="F140" s="70"/>
    </row>
    <row r="141" ht="15.75" customHeight="1">
      <c r="F141" s="70"/>
    </row>
    <row r="142" ht="15.75" customHeight="1">
      <c r="F142" s="70"/>
    </row>
    <row r="143" ht="15.75" customHeight="1">
      <c r="F143" s="70"/>
    </row>
    <row r="144" ht="15.75" customHeight="1">
      <c r="F144" s="70"/>
    </row>
    <row r="145" ht="15.75" customHeight="1">
      <c r="F145" s="70"/>
    </row>
    <row r="146" ht="15.75" customHeight="1">
      <c r="F146" s="70"/>
    </row>
    <row r="147" ht="15.75" customHeight="1">
      <c r="F147" s="70"/>
    </row>
    <row r="148" ht="15.75" customHeight="1">
      <c r="F148" s="70"/>
    </row>
    <row r="149" ht="15.75" customHeight="1">
      <c r="F149" s="70"/>
    </row>
    <row r="150" ht="15.75" customHeight="1">
      <c r="F150" s="70"/>
    </row>
    <row r="151" ht="15.75" customHeight="1">
      <c r="F151" s="70"/>
    </row>
    <row r="152" ht="15.75" customHeight="1">
      <c r="F152" s="70"/>
    </row>
    <row r="153" ht="15.75" customHeight="1">
      <c r="F153" s="70"/>
    </row>
    <row r="154" ht="15.75" customHeight="1">
      <c r="F154" s="70"/>
    </row>
    <row r="155" ht="15.75" customHeight="1">
      <c r="F155" s="70"/>
    </row>
    <row r="156" ht="15.75" customHeight="1">
      <c r="F156" s="70"/>
    </row>
    <row r="157" ht="15.75" customHeight="1">
      <c r="F157" s="70"/>
    </row>
    <row r="158" ht="15.75" customHeight="1">
      <c r="F158" s="70"/>
    </row>
    <row r="159" ht="15.75" customHeight="1">
      <c r="F159" s="70"/>
    </row>
    <row r="160" ht="15.75" customHeight="1">
      <c r="F160" s="70"/>
    </row>
    <row r="161" ht="15.75" customHeight="1">
      <c r="F161" s="70"/>
    </row>
    <row r="162" ht="15.75" customHeight="1">
      <c r="F162" s="70"/>
    </row>
    <row r="163" ht="15.75" customHeight="1">
      <c r="F163" s="70"/>
    </row>
    <row r="164" ht="15.75" customHeight="1">
      <c r="F164" s="70"/>
    </row>
    <row r="165" ht="15.75" customHeight="1">
      <c r="F165" s="70"/>
    </row>
    <row r="166" ht="15.75" customHeight="1">
      <c r="F166" s="70"/>
    </row>
    <row r="167" ht="15.75" customHeight="1">
      <c r="F167" s="70"/>
    </row>
    <row r="168" ht="15.75" customHeight="1">
      <c r="F168" s="70"/>
    </row>
    <row r="169" ht="15.75" customHeight="1">
      <c r="F169" s="70"/>
    </row>
    <row r="170" ht="15.75" customHeight="1">
      <c r="F170" s="70"/>
    </row>
    <row r="171" ht="15.75" customHeight="1">
      <c r="F171" s="70"/>
    </row>
    <row r="172" ht="15.75" customHeight="1">
      <c r="F172" s="70"/>
    </row>
    <row r="173" ht="15.75" customHeight="1">
      <c r="F173" s="70"/>
    </row>
    <row r="174" ht="15.75" customHeight="1">
      <c r="F174" s="70"/>
    </row>
    <row r="175" ht="15.75" customHeight="1">
      <c r="F175" s="70"/>
    </row>
    <row r="176" ht="15.75" customHeight="1">
      <c r="F176" s="70"/>
    </row>
    <row r="177" ht="15.75" customHeight="1">
      <c r="F177" s="70"/>
    </row>
    <row r="178" ht="15.75" customHeight="1">
      <c r="F178" s="70"/>
    </row>
    <row r="179" ht="15.75" customHeight="1">
      <c r="F179" s="70"/>
    </row>
    <row r="180" ht="15.75" customHeight="1">
      <c r="F180" s="70"/>
    </row>
    <row r="181" ht="15.75" customHeight="1">
      <c r="F181" s="70"/>
    </row>
    <row r="182" ht="15.75" customHeight="1">
      <c r="F182" s="70"/>
    </row>
    <row r="183" ht="15.75" customHeight="1">
      <c r="F183" s="70"/>
    </row>
    <row r="184" ht="15.75" customHeight="1">
      <c r="F184" s="70"/>
    </row>
    <row r="185" ht="15.75" customHeight="1">
      <c r="F185" s="70"/>
    </row>
    <row r="186" ht="15.75" customHeight="1">
      <c r="F186" s="70"/>
    </row>
    <row r="187" ht="15.75" customHeight="1">
      <c r="F187" s="70"/>
    </row>
    <row r="188" ht="15.75" customHeight="1">
      <c r="F188" s="70"/>
    </row>
    <row r="189" ht="15.75" customHeight="1">
      <c r="F189" s="70"/>
    </row>
    <row r="190" ht="15.75" customHeight="1">
      <c r="F190" s="70"/>
    </row>
    <row r="191" ht="15.75" customHeight="1">
      <c r="F191" s="70"/>
    </row>
    <row r="192" ht="15.75" customHeight="1">
      <c r="F192" s="70"/>
    </row>
    <row r="193" ht="15.75" customHeight="1">
      <c r="F193" s="70"/>
    </row>
    <row r="194" ht="15.75" customHeight="1">
      <c r="F194" s="70"/>
    </row>
    <row r="195" ht="15.75" customHeight="1">
      <c r="F195" s="70"/>
    </row>
    <row r="196" ht="15.75" customHeight="1">
      <c r="F196" s="70"/>
    </row>
    <row r="197" ht="15.75" customHeight="1">
      <c r="F197" s="70"/>
    </row>
    <row r="198" ht="15.75" customHeight="1">
      <c r="F198" s="70"/>
    </row>
    <row r="199" ht="15.75" customHeight="1">
      <c r="F199" s="70"/>
    </row>
    <row r="200" ht="15.75" customHeight="1">
      <c r="F200" s="70"/>
    </row>
    <row r="201" ht="15.75" customHeight="1">
      <c r="F201" s="70"/>
    </row>
    <row r="202" ht="15.75" customHeight="1">
      <c r="F202" s="70"/>
    </row>
    <row r="203" ht="15.75" customHeight="1">
      <c r="F203" s="70"/>
    </row>
    <row r="204" ht="15.75" customHeight="1">
      <c r="F204" s="70"/>
    </row>
    <row r="205" ht="15.75" customHeight="1">
      <c r="F205" s="70"/>
    </row>
    <row r="206" ht="15.75" customHeight="1">
      <c r="F206" s="70"/>
    </row>
    <row r="207" ht="15.75" customHeight="1">
      <c r="F207" s="70"/>
    </row>
    <row r="208" ht="15.75" customHeight="1">
      <c r="F208" s="70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33.75" customHeight="1">
      <c r="A1" s="71" t="s">
        <v>0</v>
      </c>
      <c r="B1" s="71" t="s">
        <v>1</v>
      </c>
      <c r="C1" s="53" t="s">
        <v>2</v>
      </c>
      <c r="D1" s="53" t="s">
        <v>725</v>
      </c>
      <c r="E1" s="53" t="s">
        <v>1</v>
      </c>
      <c r="F1" s="54" t="s">
        <v>726</v>
      </c>
      <c r="G1" s="55" t="s">
        <v>727</v>
      </c>
      <c r="H1" s="54" t="s">
        <v>728</v>
      </c>
      <c r="I1" s="55" t="s">
        <v>729</v>
      </c>
      <c r="J1" s="54" t="s">
        <v>730</v>
      </c>
      <c r="K1" s="55" t="s">
        <v>731</v>
      </c>
      <c r="L1" s="54" t="s">
        <v>732</v>
      </c>
      <c r="M1" s="55" t="s">
        <v>733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8">
        <v>1509.0</v>
      </c>
      <c r="B2" s="9" t="s">
        <v>50</v>
      </c>
      <c r="C2" s="10" t="str">
        <f t="shared" ref="C2:C5" si="1">CONCATENATE(D2,"_",E2)</f>
        <v>UPS-01_Control Room</v>
      </c>
      <c r="D2" s="58" t="s">
        <v>734</v>
      </c>
      <c r="E2" s="72" t="s">
        <v>735</v>
      </c>
      <c r="F2" s="10"/>
      <c r="G2" s="10"/>
      <c r="H2" s="73" t="s">
        <v>736</v>
      </c>
      <c r="I2" s="64">
        <v>0.0</v>
      </c>
      <c r="J2" s="63" t="s">
        <v>737</v>
      </c>
      <c r="K2" s="64">
        <v>0.0</v>
      </c>
      <c r="L2" s="73" t="s">
        <v>738</v>
      </c>
      <c r="M2" s="64">
        <v>0.0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8">
        <v>1509.0</v>
      </c>
      <c r="B3" s="9" t="s">
        <v>50</v>
      </c>
      <c r="C3" s="10" t="str">
        <f t="shared" si="1"/>
        <v>UPS-02_Control Room</v>
      </c>
      <c r="D3" s="58" t="s">
        <v>739</v>
      </c>
      <c r="E3" s="72" t="s">
        <v>735</v>
      </c>
      <c r="F3" s="5"/>
      <c r="G3" s="5"/>
      <c r="H3" s="73" t="s">
        <v>740</v>
      </c>
      <c r="I3" s="64">
        <v>0.0</v>
      </c>
      <c r="J3" s="63" t="s">
        <v>741</v>
      </c>
      <c r="K3" s="64">
        <v>0.0</v>
      </c>
      <c r="L3" s="73" t="s">
        <v>742</v>
      </c>
      <c r="M3" s="64">
        <v>0.0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8">
        <v>1509.0</v>
      </c>
      <c r="B4" s="9" t="s">
        <v>50</v>
      </c>
      <c r="C4" s="10" t="str">
        <f t="shared" si="1"/>
        <v>UPS-03_Control Room</v>
      </c>
      <c r="D4" s="58" t="s">
        <v>743</v>
      </c>
      <c r="E4" s="72" t="s">
        <v>735</v>
      </c>
      <c r="F4" s="28"/>
      <c r="G4" s="28"/>
      <c r="H4" s="73" t="s">
        <v>744</v>
      </c>
      <c r="I4" s="64">
        <v>0.0</v>
      </c>
      <c r="J4" s="63" t="s">
        <v>745</v>
      </c>
      <c r="K4" s="64">
        <v>0.0</v>
      </c>
      <c r="L4" s="73" t="s">
        <v>746</v>
      </c>
      <c r="M4" s="64">
        <v>0.0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8">
        <v>1509.0</v>
      </c>
      <c r="B5" s="9" t="s">
        <v>50</v>
      </c>
      <c r="C5" s="10" t="str">
        <f t="shared" si="1"/>
        <v>UPS-04_Control Room</v>
      </c>
      <c r="D5" s="58" t="s">
        <v>747</v>
      </c>
      <c r="E5" s="72" t="s">
        <v>735</v>
      </c>
      <c r="F5" s="28"/>
      <c r="G5" s="28"/>
      <c r="H5" s="73" t="s">
        <v>748</v>
      </c>
      <c r="I5" s="64">
        <v>0.0</v>
      </c>
      <c r="J5" s="63" t="s">
        <v>749</v>
      </c>
      <c r="K5" s="64">
        <v>0.0</v>
      </c>
      <c r="L5" s="73" t="s">
        <v>750</v>
      </c>
      <c r="M5" s="64">
        <v>0.0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5.5"/>
    <col customWidth="1" min="27" max="27" width="12.38"/>
    <col customWidth="1" min="28" max="28" width="9.0"/>
    <col customWidth="1" min="29" max="29" width="11.38"/>
  </cols>
  <sheetData>
    <row r="1">
      <c r="A1" s="71" t="s">
        <v>0</v>
      </c>
      <c r="B1" s="71" t="s">
        <v>1</v>
      </c>
      <c r="C1" s="53" t="s">
        <v>2</v>
      </c>
      <c r="D1" s="53" t="s">
        <v>751</v>
      </c>
      <c r="E1" s="53" t="s">
        <v>1</v>
      </c>
      <c r="F1" s="54" t="s">
        <v>752</v>
      </c>
      <c r="G1" s="55" t="s">
        <v>13</v>
      </c>
      <c r="H1" s="54" t="s">
        <v>9</v>
      </c>
      <c r="I1" s="54" t="s">
        <v>393</v>
      </c>
      <c r="J1" s="54" t="s">
        <v>753</v>
      </c>
      <c r="K1" s="55" t="s">
        <v>13</v>
      </c>
      <c r="L1" s="54" t="s">
        <v>9</v>
      </c>
      <c r="M1" s="54" t="s">
        <v>10</v>
      </c>
      <c r="N1" s="54" t="s">
        <v>754</v>
      </c>
      <c r="O1" s="55" t="s">
        <v>13</v>
      </c>
      <c r="P1" s="54" t="s">
        <v>392</v>
      </c>
      <c r="Q1" s="54" t="s">
        <v>10</v>
      </c>
      <c r="R1" s="54" t="s">
        <v>755</v>
      </c>
      <c r="S1" s="55" t="s">
        <v>13</v>
      </c>
      <c r="T1" s="54" t="s">
        <v>9</v>
      </c>
      <c r="U1" s="54" t="s">
        <v>756</v>
      </c>
      <c r="V1" s="54" t="s">
        <v>757</v>
      </c>
      <c r="W1" s="55" t="s">
        <v>13</v>
      </c>
      <c r="X1" s="54" t="s">
        <v>392</v>
      </c>
      <c r="Y1" s="54" t="s">
        <v>10</v>
      </c>
      <c r="Z1" s="54" t="s">
        <v>758</v>
      </c>
      <c r="AA1" s="55" t="s">
        <v>13</v>
      </c>
      <c r="AB1" s="54" t="s">
        <v>9</v>
      </c>
      <c r="AC1" s="54" t="s">
        <v>10</v>
      </c>
    </row>
    <row r="2" ht="15.75" customHeight="1">
      <c r="A2" s="8">
        <v>1509.0</v>
      </c>
      <c r="B2" s="9" t="s">
        <v>50</v>
      </c>
      <c r="C2" s="10" t="str">
        <f t="shared" ref="C2:C3" si="1">CONCATENATE(D2,"_",E2)</f>
        <v>GEPLC_Process PLC</v>
      </c>
      <c r="D2" s="10" t="s">
        <v>759</v>
      </c>
      <c r="E2" s="72" t="s">
        <v>760</v>
      </c>
      <c r="F2" s="74" t="s">
        <v>761</v>
      </c>
      <c r="G2" s="64">
        <v>1.0</v>
      </c>
      <c r="H2" s="8" t="s">
        <v>762</v>
      </c>
      <c r="I2" s="8" t="s">
        <v>763</v>
      </c>
      <c r="J2" s="30" t="s">
        <v>764</v>
      </c>
      <c r="K2" s="64">
        <v>1.0</v>
      </c>
      <c r="L2" s="8" t="s">
        <v>762</v>
      </c>
      <c r="M2" s="8" t="s">
        <v>765</v>
      </c>
      <c r="N2" s="73"/>
      <c r="O2" s="73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5.75" customHeight="1">
      <c r="A3" s="8">
        <v>1509.0</v>
      </c>
      <c r="B3" s="9" t="s">
        <v>50</v>
      </c>
      <c r="C3" s="10" t="str">
        <f t="shared" si="1"/>
        <v>SFT PLC_Safety PLC</v>
      </c>
      <c r="D3" s="68" t="s">
        <v>766</v>
      </c>
      <c r="E3" s="75" t="s">
        <v>767</v>
      </c>
      <c r="F3" s="74" t="s">
        <v>768</v>
      </c>
      <c r="G3" s="64">
        <v>1.0</v>
      </c>
      <c r="H3" s="8" t="s">
        <v>769</v>
      </c>
      <c r="I3" s="8" t="s">
        <v>763</v>
      </c>
      <c r="J3" s="30" t="s">
        <v>770</v>
      </c>
      <c r="K3" s="64">
        <v>1.0</v>
      </c>
      <c r="L3" s="8" t="s">
        <v>769</v>
      </c>
      <c r="M3" s="8" t="s">
        <v>765</v>
      </c>
      <c r="N3" s="74" t="s">
        <v>771</v>
      </c>
      <c r="O3" s="64">
        <v>0.0</v>
      </c>
      <c r="P3" s="8" t="s">
        <v>769</v>
      </c>
      <c r="Q3" s="8" t="s">
        <v>763</v>
      </c>
      <c r="R3" s="10"/>
      <c r="S3" s="10"/>
      <c r="T3" s="10"/>
      <c r="U3" s="10"/>
      <c r="V3" s="30" t="s">
        <v>772</v>
      </c>
      <c r="W3" s="19">
        <v>0.0</v>
      </c>
      <c r="X3" s="8" t="s">
        <v>769</v>
      </c>
      <c r="Y3" s="8" t="s">
        <v>763</v>
      </c>
      <c r="Z3" s="30" t="s">
        <v>773</v>
      </c>
      <c r="AA3" s="19">
        <v>0.0</v>
      </c>
      <c r="AB3" s="8" t="s">
        <v>769</v>
      </c>
      <c r="AC3" s="8" t="s">
        <v>765</v>
      </c>
    </row>
    <row r="4" ht="15.7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ht="15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ht="15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15.75" customHeight="1">
      <c r="A10" s="28"/>
      <c r="B10" s="28"/>
      <c r="C10" s="28"/>
      <c r="D10" s="28"/>
      <c r="E10" s="28"/>
      <c r="F10" s="28"/>
      <c r="G10" s="30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15.75" customHeight="1">
      <c r="A11" s="28"/>
      <c r="B11" s="28"/>
      <c r="C11" s="28"/>
      <c r="D11" s="28"/>
      <c r="E11" s="28"/>
      <c r="F11" s="28"/>
      <c r="G11" s="24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15.75" customHeight="1">
      <c r="A12" s="28"/>
      <c r="B12" s="28"/>
      <c r="C12" s="28"/>
      <c r="D12" s="28"/>
      <c r="E12" s="28"/>
      <c r="F12" s="28"/>
      <c r="G12" s="30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10.25"/>
    <col customWidth="1" min="6" max="6" width="19.13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71" t="s">
        <v>0</v>
      </c>
      <c r="B1" s="71" t="s">
        <v>1</v>
      </c>
      <c r="C1" s="53" t="s">
        <v>2</v>
      </c>
      <c r="D1" s="53" t="s">
        <v>774</v>
      </c>
      <c r="E1" s="53" t="s">
        <v>775</v>
      </c>
      <c r="F1" s="53" t="s">
        <v>1</v>
      </c>
      <c r="G1" s="76" t="s">
        <v>776</v>
      </c>
      <c r="H1" s="77" t="s">
        <v>777</v>
      </c>
      <c r="I1" s="76" t="s">
        <v>778</v>
      </c>
      <c r="J1" s="77" t="s">
        <v>779</v>
      </c>
      <c r="K1" s="76" t="s">
        <v>780</v>
      </c>
      <c r="L1" s="77" t="s">
        <v>781</v>
      </c>
      <c r="M1" s="76" t="s">
        <v>782</v>
      </c>
      <c r="N1" s="77" t="s">
        <v>783</v>
      </c>
      <c r="O1" s="76" t="s">
        <v>784</v>
      </c>
      <c r="P1" s="77" t="s">
        <v>785</v>
      </c>
      <c r="Q1" s="78" t="s">
        <v>786</v>
      </c>
      <c r="R1" s="79" t="s">
        <v>7</v>
      </c>
    </row>
    <row r="2">
      <c r="A2" s="8">
        <v>1509.0</v>
      </c>
      <c r="B2" s="9" t="s">
        <v>50</v>
      </c>
      <c r="C2" s="63" t="str">
        <f t="shared" ref="C2:C20" si="1">CONCATENATE(D2,"_",E2,"_",F2)</f>
        <v>HDS-01_OPENPATH_TANK - 05</v>
      </c>
      <c r="D2" s="11" t="s">
        <v>787</v>
      </c>
      <c r="E2" s="80" t="s">
        <v>788</v>
      </c>
      <c r="F2" s="11" t="s">
        <v>789</v>
      </c>
      <c r="G2" s="30" t="s">
        <v>790</v>
      </c>
      <c r="H2" s="19">
        <v>0.0</v>
      </c>
      <c r="I2" s="30" t="s">
        <v>791</v>
      </c>
      <c r="J2" s="19">
        <v>0.0</v>
      </c>
      <c r="K2" s="30" t="s">
        <v>792</v>
      </c>
      <c r="L2" s="19">
        <v>0.0</v>
      </c>
      <c r="M2" s="30" t="s">
        <v>793</v>
      </c>
      <c r="N2" s="19">
        <v>0.0</v>
      </c>
      <c r="O2" s="30" t="s">
        <v>794</v>
      </c>
      <c r="P2" s="19">
        <v>0.0</v>
      </c>
      <c r="Q2" s="13" t="s">
        <v>795</v>
      </c>
      <c r="R2" s="19">
        <v>0.0</v>
      </c>
    </row>
    <row r="3">
      <c r="A3" s="8">
        <v>1509.0</v>
      </c>
      <c r="B3" s="9" t="s">
        <v>50</v>
      </c>
      <c r="C3" s="63" t="str">
        <f t="shared" si="1"/>
        <v>HDS-02_OPENPATH_ITT PUMP HOUSE</v>
      </c>
      <c r="D3" s="26" t="s">
        <v>796</v>
      </c>
      <c r="E3" s="80" t="s">
        <v>788</v>
      </c>
      <c r="F3" s="26" t="s">
        <v>508</v>
      </c>
      <c r="G3" s="59" t="s">
        <v>797</v>
      </c>
      <c r="H3" s="19">
        <v>0.0</v>
      </c>
      <c r="I3" s="59" t="s">
        <v>798</v>
      </c>
      <c r="J3" s="19">
        <v>0.0</v>
      </c>
      <c r="K3" s="59" t="s">
        <v>799</v>
      </c>
      <c r="L3" s="19">
        <v>0.0</v>
      </c>
      <c r="M3" s="59" t="s">
        <v>800</v>
      </c>
      <c r="N3" s="19">
        <v>0.0</v>
      </c>
      <c r="O3" s="59" t="s">
        <v>801</v>
      </c>
      <c r="P3" s="19">
        <v>0.0</v>
      </c>
      <c r="Q3" s="13" t="s">
        <v>795</v>
      </c>
      <c r="R3" s="19">
        <v>0.0</v>
      </c>
    </row>
    <row r="4">
      <c r="A4" s="8">
        <v>1509.0</v>
      </c>
      <c r="B4" s="9" t="s">
        <v>50</v>
      </c>
      <c r="C4" s="63" t="str">
        <f t="shared" si="1"/>
        <v>HDS-03_OPENPATH_TLF PUMP HOUSE</v>
      </c>
      <c r="D4" s="26" t="s">
        <v>802</v>
      </c>
      <c r="E4" s="80" t="s">
        <v>788</v>
      </c>
      <c r="F4" s="26" t="s">
        <v>525</v>
      </c>
      <c r="G4" s="59" t="s">
        <v>803</v>
      </c>
      <c r="H4" s="19">
        <v>0.0</v>
      </c>
      <c r="I4" s="59" t="s">
        <v>804</v>
      </c>
      <c r="J4" s="19">
        <v>0.0</v>
      </c>
      <c r="K4" s="59" t="s">
        <v>805</v>
      </c>
      <c r="L4" s="19">
        <v>0.0</v>
      </c>
      <c r="M4" s="59" t="s">
        <v>806</v>
      </c>
      <c r="N4" s="19">
        <v>0.0</v>
      </c>
      <c r="O4" s="59" t="s">
        <v>807</v>
      </c>
      <c r="P4" s="19">
        <v>0.0</v>
      </c>
      <c r="Q4" s="13" t="s">
        <v>795</v>
      </c>
      <c r="R4" s="19">
        <v>0.0</v>
      </c>
    </row>
    <row r="5">
      <c r="A5" s="8">
        <v>1509.0</v>
      </c>
      <c r="B5" s="9" t="s">
        <v>50</v>
      </c>
      <c r="C5" s="63" t="str">
        <f t="shared" si="1"/>
        <v>HDS-04_OPENPATH_NEAR TK-101A AND 101C</v>
      </c>
      <c r="D5" s="26" t="s">
        <v>808</v>
      </c>
      <c r="E5" s="80" t="s">
        <v>788</v>
      </c>
      <c r="F5" s="26" t="s">
        <v>809</v>
      </c>
      <c r="G5" s="59" t="s">
        <v>810</v>
      </c>
      <c r="H5" s="19">
        <v>0.0</v>
      </c>
      <c r="I5" s="59" t="s">
        <v>811</v>
      </c>
      <c r="J5" s="19">
        <v>0.0</v>
      </c>
      <c r="K5" s="59" t="s">
        <v>812</v>
      </c>
      <c r="L5" s="19">
        <v>0.0</v>
      </c>
      <c r="M5" s="59" t="s">
        <v>813</v>
      </c>
      <c r="N5" s="19">
        <v>0.0</v>
      </c>
      <c r="O5" s="59" t="s">
        <v>814</v>
      </c>
      <c r="P5" s="19">
        <v>0.0</v>
      </c>
      <c r="Q5" s="13" t="s">
        <v>795</v>
      </c>
      <c r="R5" s="19">
        <v>0.0</v>
      </c>
    </row>
    <row r="6">
      <c r="A6" s="8">
        <v>1509.0</v>
      </c>
      <c r="B6" s="9" t="s">
        <v>50</v>
      </c>
      <c r="C6" s="63" t="str">
        <f t="shared" si="1"/>
        <v>HDS-05_OPENPATH_TWD PUMP HOUSE</v>
      </c>
      <c r="D6" s="26" t="s">
        <v>815</v>
      </c>
      <c r="E6" s="80" t="s">
        <v>788</v>
      </c>
      <c r="F6" s="26" t="s">
        <v>609</v>
      </c>
      <c r="G6" s="59" t="s">
        <v>816</v>
      </c>
      <c r="H6" s="19">
        <v>0.0</v>
      </c>
      <c r="I6" s="59" t="s">
        <v>817</v>
      </c>
      <c r="J6" s="19">
        <v>0.0</v>
      </c>
      <c r="K6" s="59" t="s">
        <v>818</v>
      </c>
      <c r="L6" s="19">
        <v>0.0</v>
      </c>
      <c r="M6" s="59" t="s">
        <v>819</v>
      </c>
      <c r="N6" s="19">
        <v>0.0</v>
      </c>
      <c r="O6" s="59" t="s">
        <v>820</v>
      </c>
      <c r="P6" s="19">
        <v>0.0</v>
      </c>
      <c r="Q6" s="13" t="s">
        <v>795</v>
      </c>
      <c r="R6" s="19">
        <v>0.0</v>
      </c>
    </row>
    <row r="7">
      <c r="A7" s="8">
        <v>1509.0</v>
      </c>
      <c r="B7" s="9" t="s">
        <v>50</v>
      </c>
      <c r="C7" s="63" t="str">
        <f t="shared" si="1"/>
        <v>HDS-06_OPENPATH_OMC PLT PUMP HOUSE</v>
      </c>
      <c r="D7" s="26" t="s">
        <v>821</v>
      </c>
      <c r="E7" s="80" t="s">
        <v>788</v>
      </c>
      <c r="F7" s="26" t="s">
        <v>822</v>
      </c>
      <c r="G7" s="59" t="s">
        <v>823</v>
      </c>
      <c r="H7" s="19">
        <v>0.0</v>
      </c>
      <c r="I7" s="59" t="s">
        <v>824</v>
      </c>
      <c r="J7" s="19">
        <v>0.0</v>
      </c>
      <c r="K7" s="59" t="s">
        <v>825</v>
      </c>
      <c r="L7" s="19">
        <v>0.0</v>
      </c>
      <c r="M7" s="59" t="s">
        <v>826</v>
      </c>
      <c r="N7" s="19">
        <v>0.0</v>
      </c>
      <c r="O7" s="59" t="s">
        <v>827</v>
      </c>
      <c r="P7" s="19">
        <v>0.0</v>
      </c>
      <c r="Q7" s="13" t="s">
        <v>795</v>
      </c>
      <c r="R7" s="19">
        <v>0.0</v>
      </c>
    </row>
    <row r="8">
      <c r="A8" s="8">
        <v>1509.0</v>
      </c>
      <c r="B8" s="9" t="s">
        <v>50</v>
      </c>
      <c r="C8" s="63" t="str">
        <f t="shared" si="1"/>
        <v>HDS-07_OPENPATH_TK-101D</v>
      </c>
      <c r="D8" s="26" t="s">
        <v>828</v>
      </c>
      <c r="E8" s="80" t="s">
        <v>788</v>
      </c>
      <c r="F8" s="26" t="s">
        <v>829</v>
      </c>
      <c r="G8" s="59" t="s">
        <v>830</v>
      </c>
      <c r="H8" s="19">
        <v>0.0</v>
      </c>
      <c r="I8" s="59" t="s">
        <v>831</v>
      </c>
      <c r="J8" s="19">
        <v>0.0</v>
      </c>
      <c r="K8" s="59" t="s">
        <v>832</v>
      </c>
      <c r="L8" s="19">
        <v>0.0</v>
      </c>
      <c r="M8" s="59" t="s">
        <v>833</v>
      </c>
      <c r="N8" s="19">
        <v>0.0</v>
      </c>
      <c r="O8" s="59" t="s">
        <v>834</v>
      </c>
      <c r="P8" s="19">
        <v>0.0</v>
      </c>
      <c r="Q8" s="13" t="s">
        <v>795</v>
      </c>
      <c r="R8" s="19">
        <v>0.0</v>
      </c>
    </row>
    <row r="9">
      <c r="A9" s="8">
        <v>1509.0</v>
      </c>
      <c r="B9" s="9" t="s">
        <v>50</v>
      </c>
      <c r="C9" s="63" t="str">
        <f t="shared" si="1"/>
        <v>HDS-08_FIXEDTYPE_TK-101D</v>
      </c>
      <c r="D9" s="26" t="s">
        <v>835</v>
      </c>
      <c r="E9" s="80" t="s">
        <v>836</v>
      </c>
      <c r="F9" s="26" t="s">
        <v>829</v>
      </c>
      <c r="G9" s="59" t="s">
        <v>837</v>
      </c>
      <c r="H9" s="19">
        <v>0.0</v>
      </c>
      <c r="I9" s="59" t="s">
        <v>838</v>
      </c>
      <c r="J9" s="19">
        <v>0.0</v>
      </c>
      <c r="K9" s="59" t="s">
        <v>839</v>
      </c>
      <c r="L9" s="19">
        <v>0.0</v>
      </c>
      <c r="M9" s="59" t="s">
        <v>840</v>
      </c>
      <c r="N9" s="19">
        <v>0.0</v>
      </c>
      <c r="O9" s="59" t="s">
        <v>841</v>
      </c>
      <c r="P9" s="19">
        <v>0.0</v>
      </c>
      <c r="Q9" s="13" t="s">
        <v>795</v>
      </c>
      <c r="R9" s="19">
        <v>0.0</v>
      </c>
    </row>
    <row r="10">
      <c r="A10" s="8">
        <v>1509.0</v>
      </c>
      <c r="B10" s="9" t="s">
        <v>50</v>
      </c>
      <c r="C10" s="63" t="str">
        <f t="shared" si="1"/>
        <v>HDS-09_FIXEDTYPE_TK-05</v>
      </c>
      <c r="D10" s="26" t="s">
        <v>842</v>
      </c>
      <c r="E10" s="80" t="s">
        <v>836</v>
      </c>
      <c r="F10" s="26" t="s">
        <v>145</v>
      </c>
      <c r="G10" s="59" t="s">
        <v>843</v>
      </c>
      <c r="H10" s="19">
        <v>0.0</v>
      </c>
      <c r="I10" s="59" t="s">
        <v>844</v>
      </c>
      <c r="J10" s="19">
        <v>0.0</v>
      </c>
      <c r="K10" s="59" t="s">
        <v>845</v>
      </c>
      <c r="L10" s="19">
        <v>0.0</v>
      </c>
      <c r="M10" s="59" t="s">
        <v>846</v>
      </c>
      <c r="N10" s="19">
        <v>0.0</v>
      </c>
      <c r="O10" s="59" t="s">
        <v>847</v>
      </c>
      <c r="P10" s="19">
        <v>0.0</v>
      </c>
      <c r="Q10" s="13" t="s">
        <v>795</v>
      </c>
      <c r="R10" s="19">
        <v>0.0</v>
      </c>
    </row>
    <row r="11">
      <c r="A11" s="8">
        <v>1509.0</v>
      </c>
      <c r="B11" s="9" t="s">
        <v>50</v>
      </c>
      <c r="C11" s="63" t="str">
        <f t="shared" si="1"/>
        <v>HDS-10_FIXEDTYPE_TK-101A</v>
      </c>
      <c r="D11" s="26" t="s">
        <v>848</v>
      </c>
      <c r="E11" s="80" t="s">
        <v>836</v>
      </c>
      <c r="F11" s="26" t="s">
        <v>849</v>
      </c>
      <c r="G11" s="59" t="s">
        <v>850</v>
      </c>
      <c r="H11" s="19">
        <v>0.0</v>
      </c>
      <c r="I11" s="59" t="s">
        <v>851</v>
      </c>
      <c r="J11" s="19">
        <v>0.0</v>
      </c>
      <c r="K11" s="59" t="s">
        <v>852</v>
      </c>
      <c r="L11" s="19">
        <v>0.0</v>
      </c>
      <c r="M11" s="59" t="s">
        <v>853</v>
      </c>
      <c r="N11" s="19">
        <v>0.0</v>
      </c>
      <c r="O11" s="59" t="s">
        <v>854</v>
      </c>
      <c r="P11" s="19">
        <v>0.0</v>
      </c>
      <c r="Q11" s="13" t="s">
        <v>795</v>
      </c>
      <c r="R11" s="19">
        <v>0.0</v>
      </c>
    </row>
    <row r="12">
      <c r="A12" s="8">
        <v>1509.0</v>
      </c>
      <c r="B12" s="9" t="s">
        <v>50</v>
      </c>
      <c r="C12" s="63" t="str">
        <f t="shared" si="1"/>
        <v>HDS-11_FIXEDTYPE_TK-101C</v>
      </c>
      <c r="D12" s="26" t="s">
        <v>855</v>
      </c>
      <c r="E12" s="80" t="s">
        <v>836</v>
      </c>
      <c r="F12" s="26" t="s">
        <v>856</v>
      </c>
      <c r="G12" s="59" t="s">
        <v>857</v>
      </c>
      <c r="H12" s="19">
        <v>0.0</v>
      </c>
      <c r="I12" s="59" t="s">
        <v>858</v>
      </c>
      <c r="J12" s="19">
        <v>0.0</v>
      </c>
      <c r="K12" s="59" t="s">
        <v>859</v>
      </c>
      <c r="L12" s="19">
        <v>0.0</v>
      </c>
      <c r="M12" s="59" t="s">
        <v>860</v>
      </c>
      <c r="N12" s="19">
        <v>0.0</v>
      </c>
      <c r="O12" s="59" t="s">
        <v>861</v>
      </c>
      <c r="P12" s="19">
        <v>0.0</v>
      </c>
      <c r="Q12" s="13" t="s">
        <v>795</v>
      </c>
      <c r="R12" s="19">
        <v>0.0</v>
      </c>
    </row>
    <row r="13">
      <c r="A13" s="8">
        <v>1509.0</v>
      </c>
      <c r="B13" s="9" t="s">
        <v>50</v>
      </c>
      <c r="C13" s="63" t="str">
        <f t="shared" si="1"/>
        <v>HDS-12_FIXEDTYPE_TK-101B</v>
      </c>
      <c r="D13" s="26" t="s">
        <v>862</v>
      </c>
      <c r="E13" s="80" t="s">
        <v>836</v>
      </c>
      <c r="F13" s="26" t="s">
        <v>863</v>
      </c>
      <c r="G13" s="59" t="s">
        <v>864</v>
      </c>
      <c r="H13" s="19">
        <v>0.0</v>
      </c>
      <c r="I13" s="59" t="s">
        <v>865</v>
      </c>
      <c r="J13" s="19">
        <v>0.0</v>
      </c>
      <c r="K13" s="59" t="s">
        <v>866</v>
      </c>
      <c r="L13" s="19">
        <v>0.0</v>
      </c>
      <c r="M13" s="59" t="s">
        <v>867</v>
      </c>
      <c r="N13" s="19">
        <v>0.0</v>
      </c>
      <c r="O13" s="59" t="s">
        <v>868</v>
      </c>
      <c r="P13" s="19">
        <v>0.0</v>
      </c>
      <c r="Q13" s="13" t="s">
        <v>795</v>
      </c>
      <c r="R13" s="19">
        <v>0.0</v>
      </c>
    </row>
    <row r="14">
      <c r="A14" s="8">
        <v>1509.0</v>
      </c>
      <c r="B14" s="9" t="s">
        <v>50</v>
      </c>
      <c r="C14" s="63" t="str">
        <f t="shared" si="1"/>
        <v>HDS-13_FIXEDTYPE_TLF PUMP HOUSE_FIXED</v>
      </c>
      <c r="D14" s="26" t="s">
        <v>869</v>
      </c>
      <c r="E14" s="80" t="s">
        <v>836</v>
      </c>
      <c r="F14" s="26" t="s">
        <v>870</v>
      </c>
      <c r="G14" s="59" t="s">
        <v>871</v>
      </c>
      <c r="H14" s="19">
        <v>0.0</v>
      </c>
      <c r="I14" s="59" t="s">
        <v>872</v>
      </c>
      <c r="J14" s="19">
        <v>0.0</v>
      </c>
      <c r="K14" s="59" t="s">
        <v>873</v>
      </c>
      <c r="L14" s="19">
        <v>0.0</v>
      </c>
      <c r="M14" s="59" t="s">
        <v>874</v>
      </c>
      <c r="N14" s="19">
        <v>0.0</v>
      </c>
      <c r="O14" s="59" t="s">
        <v>875</v>
      </c>
      <c r="P14" s="19">
        <v>0.0</v>
      </c>
      <c r="Q14" s="13" t="s">
        <v>795</v>
      </c>
      <c r="R14" s="19">
        <v>0.0</v>
      </c>
    </row>
    <row r="15">
      <c r="A15" s="8">
        <v>1509.0</v>
      </c>
      <c r="B15" s="9" t="s">
        <v>50</v>
      </c>
      <c r="C15" s="63" t="str">
        <f t="shared" si="1"/>
        <v>HDS-14_FIXEDTYPE_ITT/ETH TLF PUMP HOUSE_FIXED</v>
      </c>
      <c r="D15" s="26" t="s">
        <v>876</v>
      </c>
      <c r="E15" s="80" t="s">
        <v>836</v>
      </c>
      <c r="F15" s="26" t="s">
        <v>877</v>
      </c>
      <c r="G15" s="59" t="s">
        <v>878</v>
      </c>
      <c r="H15" s="19">
        <v>0.0</v>
      </c>
      <c r="I15" s="59" t="s">
        <v>879</v>
      </c>
      <c r="J15" s="19">
        <v>0.0</v>
      </c>
      <c r="K15" s="59" t="s">
        <v>880</v>
      </c>
      <c r="L15" s="19">
        <v>0.0</v>
      </c>
      <c r="M15" s="59" t="s">
        <v>881</v>
      </c>
      <c r="N15" s="19">
        <v>0.0</v>
      </c>
      <c r="O15" s="59" t="s">
        <v>882</v>
      </c>
      <c r="P15" s="19">
        <v>0.0</v>
      </c>
      <c r="Q15" s="13" t="s">
        <v>795</v>
      </c>
      <c r="R15" s="19">
        <v>0.0</v>
      </c>
    </row>
    <row r="16">
      <c r="A16" s="8">
        <v>1509.0</v>
      </c>
      <c r="B16" s="9" t="s">
        <v>50</v>
      </c>
      <c r="C16" s="63" t="str">
        <f t="shared" si="1"/>
        <v>HDS-15_FIXEDTYPE_TWD PUMP HOUSE</v>
      </c>
      <c r="D16" s="26" t="s">
        <v>883</v>
      </c>
      <c r="E16" s="80" t="s">
        <v>836</v>
      </c>
      <c r="F16" s="26" t="s">
        <v>609</v>
      </c>
      <c r="G16" s="59" t="s">
        <v>884</v>
      </c>
      <c r="H16" s="19">
        <v>0.0</v>
      </c>
      <c r="I16" s="59" t="s">
        <v>885</v>
      </c>
      <c r="J16" s="19">
        <v>0.0</v>
      </c>
      <c r="K16" s="59" t="s">
        <v>886</v>
      </c>
      <c r="L16" s="19">
        <v>0.0</v>
      </c>
      <c r="M16" s="59" t="s">
        <v>887</v>
      </c>
      <c r="N16" s="19">
        <v>0.0</v>
      </c>
      <c r="O16" s="59" t="s">
        <v>888</v>
      </c>
      <c r="P16" s="19">
        <v>0.0</v>
      </c>
      <c r="Q16" s="13" t="s">
        <v>795</v>
      </c>
      <c r="R16" s="19">
        <v>0.0</v>
      </c>
    </row>
    <row r="17">
      <c r="A17" s="8">
        <v>1509.0</v>
      </c>
      <c r="B17" s="9" t="s">
        <v>50</v>
      </c>
      <c r="C17" s="63" t="str">
        <f t="shared" si="1"/>
        <v>HDS-16_FIXEDTYPE_PLT PUMP HOUSE</v>
      </c>
      <c r="D17" s="26" t="s">
        <v>889</v>
      </c>
      <c r="E17" s="80" t="s">
        <v>836</v>
      </c>
      <c r="F17" s="26" t="s">
        <v>890</v>
      </c>
      <c r="G17" s="59" t="s">
        <v>891</v>
      </c>
      <c r="H17" s="19">
        <v>0.0</v>
      </c>
      <c r="I17" s="59" t="s">
        <v>892</v>
      </c>
      <c r="J17" s="19">
        <v>0.0</v>
      </c>
      <c r="K17" s="59" t="s">
        <v>893</v>
      </c>
      <c r="L17" s="19">
        <v>0.0</v>
      </c>
      <c r="M17" s="59" t="s">
        <v>894</v>
      </c>
      <c r="N17" s="19">
        <v>0.0</v>
      </c>
      <c r="O17" s="59" t="s">
        <v>895</v>
      </c>
      <c r="P17" s="19">
        <v>0.0</v>
      </c>
      <c r="Q17" s="13" t="s">
        <v>795</v>
      </c>
      <c r="R17" s="19">
        <v>0.0</v>
      </c>
    </row>
    <row r="18">
      <c r="A18" s="8">
        <v>1509.0</v>
      </c>
      <c r="B18" s="9" t="s">
        <v>50</v>
      </c>
      <c r="C18" s="63" t="str">
        <f t="shared" si="1"/>
        <v>HDS-17_FIXEDTYPE_NEAR TK-03</v>
      </c>
      <c r="D18" s="26" t="s">
        <v>896</v>
      </c>
      <c r="E18" s="80" t="s">
        <v>836</v>
      </c>
      <c r="F18" s="26" t="s">
        <v>897</v>
      </c>
      <c r="G18" s="59" t="s">
        <v>898</v>
      </c>
      <c r="H18" s="19">
        <v>0.0</v>
      </c>
      <c r="I18" s="59" t="s">
        <v>899</v>
      </c>
      <c r="J18" s="19">
        <v>0.0</v>
      </c>
      <c r="K18" s="59" t="s">
        <v>900</v>
      </c>
      <c r="L18" s="19">
        <v>0.0</v>
      </c>
      <c r="M18" s="59" t="s">
        <v>901</v>
      </c>
      <c r="N18" s="19">
        <v>0.0</v>
      </c>
      <c r="O18" s="59" t="s">
        <v>902</v>
      </c>
      <c r="P18" s="19">
        <v>0.0</v>
      </c>
      <c r="Q18" s="13" t="s">
        <v>795</v>
      </c>
      <c r="R18" s="19">
        <v>0.0</v>
      </c>
    </row>
    <row r="19">
      <c r="A19" s="8">
        <v>1509.0</v>
      </c>
      <c r="B19" s="9" t="s">
        <v>50</v>
      </c>
      <c r="C19" s="63" t="str">
        <f t="shared" si="1"/>
        <v>HDS-39_FIXEDTYPE_Near Tank no.1</v>
      </c>
      <c r="D19" s="26" t="s">
        <v>903</v>
      </c>
      <c r="E19" s="80" t="s">
        <v>836</v>
      </c>
      <c r="F19" s="26" t="s">
        <v>904</v>
      </c>
      <c r="G19" s="59" t="s">
        <v>905</v>
      </c>
      <c r="H19" s="19">
        <v>0.0</v>
      </c>
      <c r="I19" s="59" t="s">
        <v>906</v>
      </c>
      <c r="J19" s="19">
        <v>0.0</v>
      </c>
      <c r="K19" s="59" t="s">
        <v>907</v>
      </c>
      <c r="L19" s="19">
        <v>0.0</v>
      </c>
      <c r="M19" s="59" t="s">
        <v>908</v>
      </c>
      <c r="N19" s="19">
        <v>0.0</v>
      </c>
      <c r="O19" s="59" t="s">
        <v>909</v>
      </c>
      <c r="P19" s="19">
        <v>0.0</v>
      </c>
      <c r="Q19" s="13" t="s">
        <v>795</v>
      </c>
      <c r="R19" s="19">
        <v>0.0</v>
      </c>
    </row>
    <row r="20">
      <c r="A20" s="8">
        <v>1509.0</v>
      </c>
      <c r="B20" s="9" t="s">
        <v>50</v>
      </c>
      <c r="C20" s="63" t="str">
        <f t="shared" si="1"/>
        <v>HDS-40_FIXEDTYPE_Near VRU</v>
      </c>
      <c r="D20" s="26" t="s">
        <v>910</v>
      </c>
      <c r="E20" s="80" t="s">
        <v>836</v>
      </c>
      <c r="F20" s="26" t="s">
        <v>911</v>
      </c>
      <c r="G20" s="59" t="s">
        <v>912</v>
      </c>
      <c r="H20" s="19">
        <v>0.0</v>
      </c>
      <c r="I20" s="59" t="s">
        <v>913</v>
      </c>
      <c r="J20" s="19">
        <v>0.0</v>
      </c>
      <c r="K20" s="59" t="s">
        <v>914</v>
      </c>
      <c r="L20" s="19">
        <v>0.0</v>
      </c>
      <c r="M20" s="59" t="s">
        <v>915</v>
      </c>
      <c r="N20" s="19">
        <v>0.0</v>
      </c>
      <c r="O20" s="59" t="s">
        <v>916</v>
      </c>
      <c r="P20" s="19">
        <v>0.0</v>
      </c>
      <c r="Q20" s="13" t="s">
        <v>795</v>
      </c>
      <c r="R20" s="19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53" t="s">
        <v>0</v>
      </c>
      <c r="B1" s="53" t="s">
        <v>1</v>
      </c>
      <c r="C1" s="53" t="s">
        <v>917</v>
      </c>
      <c r="D1" s="54" t="s">
        <v>918</v>
      </c>
      <c r="E1" s="55" t="s">
        <v>919</v>
      </c>
      <c r="F1" s="81" t="s">
        <v>920</v>
      </c>
      <c r="G1" s="5" t="s">
        <v>7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8">
        <v>1509.0</v>
      </c>
      <c r="B2" s="9" t="s">
        <v>50</v>
      </c>
      <c r="C2" s="82" t="s">
        <v>921</v>
      </c>
      <c r="D2" s="30" t="s">
        <v>922</v>
      </c>
      <c r="E2" s="19">
        <v>0.0</v>
      </c>
      <c r="F2" s="13" t="s">
        <v>923</v>
      </c>
      <c r="G2" s="19">
        <v>0.0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8">
        <v>1509.0</v>
      </c>
      <c r="B3" s="9" t="s">
        <v>50</v>
      </c>
      <c r="C3" s="82" t="s">
        <v>924</v>
      </c>
      <c r="D3" s="30" t="s">
        <v>925</v>
      </c>
      <c r="E3" s="19">
        <v>0.0</v>
      </c>
      <c r="F3" s="13" t="s">
        <v>923</v>
      </c>
      <c r="G3" s="19">
        <v>0.0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8">
        <v>1509.0</v>
      </c>
      <c r="B4" s="9" t="s">
        <v>50</v>
      </c>
      <c r="C4" s="82" t="s">
        <v>926</v>
      </c>
      <c r="D4" s="30" t="s">
        <v>927</v>
      </c>
      <c r="E4" s="19">
        <v>0.0</v>
      </c>
      <c r="F4" s="13" t="s">
        <v>923</v>
      </c>
      <c r="G4" s="19">
        <v>0.0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8">
        <v>1509.0</v>
      </c>
      <c r="B5" s="9" t="s">
        <v>50</v>
      </c>
      <c r="C5" s="82" t="s">
        <v>928</v>
      </c>
      <c r="D5" s="30" t="s">
        <v>929</v>
      </c>
      <c r="E5" s="19">
        <v>0.0</v>
      </c>
      <c r="F5" s="13" t="s">
        <v>923</v>
      </c>
      <c r="G5" s="19">
        <v>0.0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8">
        <v>1509.0</v>
      </c>
      <c r="B6" s="9" t="s">
        <v>50</v>
      </c>
      <c r="C6" s="82" t="s">
        <v>930</v>
      </c>
      <c r="D6" s="30" t="s">
        <v>931</v>
      </c>
      <c r="E6" s="19">
        <v>0.0</v>
      </c>
      <c r="F6" s="13" t="s">
        <v>923</v>
      </c>
      <c r="G6" s="19">
        <v>0.0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8">
        <v>1509.0</v>
      </c>
      <c r="B7" s="9" t="s">
        <v>50</v>
      </c>
      <c r="C7" s="82" t="s">
        <v>932</v>
      </c>
      <c r="D7" s="30" t="s">
        <v>933</v>
      </c>
      <c r="E7" s="19">
        <v>0.0</v>
      </c>
      <c r="F7" s="13" t="s">
        <v>923</v>
      </c>
      <c r="G7" s="19">
        <v>0.0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8">
        <v>1509.0</v>
      </c>
      <c r="B8" s="9" t="s">
        <v>50</v>
      </c>
      <c r="C8" s="82" t="s">
        <v>934</v>
      </c>
      <c r="D8" s="30" t="s">
        <v>935</v>
      </c>
      <c r="E8" s="19">
        <v>0.0</v>
      </c>
      <c r="F8" s="13" t="s">
        <v>923</v>
      </c>
      <c r="G8" s="19">
        <v>0.0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8">
        <v>1509.0</v>
      </c>
      <c r="B9" s="9" t="s">
        <v>50</v>
      </c>
      <c r="C9" s="83" t="s">
        <v>936</v>
      </c>
      <c r="D9" s="30" t="s">
        <v>937</v>
      </c>
      <c r="E9" s="19">
        <v>0.0</v>
      </c>
      <c r="F9" s="13" t="s">
        <v>923</v>
      </c>
      <c r="G9" s="19">
        <v>0.0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53" t="s">
        <v>0</v>
      </c>
      <c r="B1" s="53" t="s">
        <v>1</v>
      </c>
      <c r="C1" s="53" t="s">
        <v>938</v>
      </c>
      <c r="D1" s="54" t="s">
        <v>939</v>
      </c>
      <c r="E1" s="55" t="s">
        <v>940</v>
      </c>
      <c r="F1" s="54" t="s">
        <v>941</v>
      </c>
      <c r="G1" s="55" t="s">
        <v>7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ht="15.75" customHeight="1">
      <c r="A2" s="8">
        <v>1509.0</v>
      </c>
      <c r="B2" s="74" t="s">
        <v>50</v>
      </c>
      <c r="C2" s="73" t="s">
        <v>942</v>
      </c>
      <c r="D2" s="30" t="s">
        <v>943</v>
      </c>
      <c r="E2" s="19">
        <v>0.0</v>
      </c>
      <c r="F2" s="30" t="s">
        <v>944</v>
      </c>
      <c r="G2" s="19">
        <v>1.0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ht="15.75" customHeight="1">
      <c r="A3" s="8">
        <v>1509.0</v>
      </c>
      <c r="B3" s="74" t="s">
        <v>50</v>
      </c>
      <c r="C3" s="73" t="s">
        <v>945</v>
      </c>
      <c r="D3" s="30" t="s">
        <v>946</v>
      </c>
      <c r="E3" s="19">
        <v>0.0</v>
      </c>
      <c r="F3" s="30" t="s">
        <v>947</v>
      </c>
      <c r="G3" s="19">
        <v>1.0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ht="15.7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ht="15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ht="15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53" t="s">
        <v>0</v>
      </c>
      <c r="B1" s="53" t="s">
        <v>1</v>
      </c>
      <c r="C1" s="53" t="s">
        <v>2</v>
      </c>
      <c r="D1" s="53" t="s">
        <v>948</v>
      </c>
      <c r="E1" s="53" t="s">
        <v>949</v>
      </c>
      <c r="F1" s="54" t="s">
        <v>950</v>
      </c>
      <c r="G1" s="55" t="s">
        <v>951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8">
        <v>1509.0</v>
      </c>
      <c r="B2" s="9" t="s">
        <v>50</v>
      </c>
      <c r="C2" s="10" t="str">
        <f t="shared" ref="C2:C10" si="1">CONCATENATE(D2,"_",E2)</f>
        <v>HOOTER_HOOTER_FIELD_1</v>
      </c>
      <c r="D2" s="8" t="s">
        <v>952</v>
      </c>
      <c r="E2" s="11" t="s">
        <v>953</v>
      </c>
      <c r="F2" s="84" t="s">
        <v>954</v>
      </c>
      <c r="G2" s="19">
        <v>0.0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8">
        <v>1509.0</v>
      </c>
      <c r="B3" s="9" t="s">
        <v>50</v>
      </c>
      <c r="C3" s="10" t="str">
        <f t="shared" si="1"/>
        <v>HOOTER_HOOTER_FIELD_2</v>
      </c>
      <c r="D3" s="8" t="s">
        <v>952</v>
      </c>
      <c r="E3" s="11" t="s">
        <v>955</v>
      </c>
      <c r="F3" s="84" t="s">
        <v>956</v>
      </c>
      <c r="G3" s="19">
        <v>0.0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8">
        <v>1509.0</v>
      </c>
      <c r="B4" s="9" t="s">
        <v>50</v>
      </c>
      <c r="C4" s="10" t="str">
        <f t="shared" si="1"/>
        <v>HOOTER_HOOTER_FIELD_3</v>
      </c>
      <c r="D4" s="8" t="s">
        <v>952</v>
      </c>
      <c r="E4" s="11" t="s">
        <v>957</v>
      </c>
      <c r="F4" s="84" t="s">
        <v>958</v>
      </c>
      <c r="G4" s="19">
        <v>0.0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8">
        <v>1509.0</v>
      </c>
      <c r="B5" s="9" t="s">
        <v>50</v>
      </c>
      <c r="C5" s="10" t="str">
        <f t="shared" si="1"/>
        <v>HOOTER_HOOTER_FIELD_4</v>
      </c>
      <c r="D5" s="8" t="s">
        <v>952</v>
      </c>
      <c r="E5" s="11" t="s">
        <v>959</v>
      </c>
      <c r="F5" s="84" t="s">
        <v>960</v>
      </c>
      <c r="G5" s="19">
        <v>0.0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8">
        <v>1509.0</v>
      </c>
      <c r="B6" s="9" t="s">
        <v>50</v>
      </c>
      <c r="C6" s="10" t="str">
        <f t="shared" si="1"/>
        <v>HOOTER_HOOTER_FIELD_5</v>
      </c>
      <c r="D6" s="8" t="s">
        <v>952</v>
      </c>
      <c r="E6" s="11" t="s">
        <v>961</v>
      </c>
      <c r="F6" s="84" t="s">
        <v>962</v>
      </c>
      <c r="G6" s="19">
        <v>0.0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8">
        <v>1509.0</v>
      </c>
      <c r="B7" s="9" t="s">
        <v>50</v>
      </c>
      <c r="C7" s="10" t="str">
        <f t="shared" si="1"/>
        <v>HOOTER_HOOTER_FIELD_6</v>
      </c>
      <c r="D7" s="8" t="s">
        <v>952</v>
      </c>
      <c r="E7" s="11" t="s">
        <v>963</v>
      </c>
      <c r="F7" s="84" t="s">
        <v>964</v>
      </c>
      <c r="G7" s="19">
        <v>0.0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8">
        <v>1509.0</v>
      </c>
      <c r="B8" s="9" t="s">
        <v>50</v>
      </c>
      <c r="C8" s="10" t="str">
        <f t="shared" si="1"/>
        <v>HOOTER_HOOTER_FIELD_7</v>
      </c>
      <c r="D8" s="8" t="s">
        <v>952</v>
      </c>
      <c r="E8" s="11" t="s">
        <v>965</v>
      </c>
      <c r="F8" s="84" t="s">
        <v>966</v>
      </c>
      <c r="G8" s="19">
        <v>0.0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15.75" customHeight="1">
      <c r="A9" s="8">
        <v>1509.0</v>
      </c>
      <c r="B9" s="9" t="s">
        <v>50</v>
      </c>
      <c r="C9" s="10" t="str">
        <f t="shared" si="1"/>
        <v>HOOTER_HOOTER_FIELD_8</v>
      </c>
      <c r="D9" s="8" t="s">
        <v>952</v>
      </c>
      <c r="E9" s="11" t="s">
        <v>967</v>
      </c>
      <c r="F9" s="84" t="s">
        <v>968</v>
      </c>
      <c r="G9" s="19">
        <v>0.0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8">
        <v>1509.0</v>
      </c>
      <c r="B10" s="9" t="s">
        <v>50</v>
      </c>
      <c r="C10" s="10" t="str">
        <f t="shared" si="1"/>
        <v>HOOTER_HOOTER_FIELD_9</v>
      </c>
      <c r="D10" s="8" t="s">
        <v>952</v>
      </c>
      <c r="E10" s="11" t="s">
        <v>969</v>
      </c>
      <c r="F10" s="84" t="s">
        <v>970</v>
      </c>
      <c r="G10" s="19">
        <v>0.0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34.63"/>
    <col customWidth="1" min="7" max="7" width="24.13"/>
    <col customWidth="1" min="8" max="8" width="16.5"/>
    <col customWidth="1" min="9" max="9" width="30.63"/>
    <col customWidth="1" min="11" max="11" width="36.63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34.38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53" t="s">
        <v>0</v>
      </c>
      <c r="B1" s="53" t="s">
        <v>1</v>
      </c>
      <c r="C1" s="53" t="s">
        <v>2</v>
      </c>
      <c r="D1" s="53" t="s">
        <v>971</v>
      </c>
      <c r="E1" s="53" t="s">
        <v>972</v>
      </c>
      <c r="F1" s="53" t="s">
        <v>1</v>
      </c>
      <c r="G1" s="54" t="s">
        <v>973</v>
      </c>
      <c r="H1" s="55" t="s">
        <v>974</v>
      </c>
      <c r="I1" s="54" t="s">
        <v>975</v>
      </c>
      <c r="J1" s="55" t="s">
        <v>976</v>
      </c>
      <c r="K1" s="85" t="s">
        <v>977</v>
      </c>
      <c r="L1" s="85" t="s">
        <v>978</v>
      </c>
      <c r="M1" s="85" t="s">
        <v>979</v>
      </c>
      <c r="N1" s="85" t="s">
        <v>980</v>
      </c>
      <c r="O1" s="85" t="s">
        <v>981</v>
      </c>
      <c r="P1" s="85" t="s">
        <v>982</v>
      </c>
      <c r="Q1" s="85" t="s">
        <v>983</v>
      </c>
      <c r="R1" s="85" t="s">
        <v>984</v>
      </c>
      <c r="S1" s="85" t="s">
        <v>985</v>
      </c>
      <c r="T1" s="85" t="s">
        <v>986</v>
      </c>
      <c r="U1" s="85" t="s">
        <v>987</v>
      </c>
      <c r="V1" s="85" t="s">
        <v>988</v>
      </c>
      <c r="W1" s="85" t="s">
        <v>989</v>
      </c>
      <c r="X1" s="85" t="s">
        <v>990</v>
      </c>
      <c r="Y1" s="85" t="s">
        <v>991</v>
      </c>
      <c r="Z1" s="85" t="s">
        <v>992</v>
      </c>
      <c r="AA1" s="85" t="s">
        <v>993</v>
      </c>
      <c r="AB1" s="85" t="s">
        <v>994</v>
      </c>
      <c r="AC1" s="85" t="s">
        <v>995</v>
      </c>
      <c r="AD1" s="85" t="s">
        <v>996</v>
      </c>
      <c r="AE1" s="85" t="s">
        <v>997</v>
      </c>
      <c r="AF1" s="85" t="s">
        <v>998</v>
      </c>
    </row>
    <row r="2" ht="15.75" customHeight="1">
      <c r="A2" s="8">
        <v>1509.0</v>
      </c>
      <c r="B2" s="9" t="s">
        <v>50</v>
      </c>
      <c r="C2" s="10" t="str">
        <f t="shared" ref="C2:C20" si="1">CONCATENATE(D2,"_",F2)</f>
        <v>ESD-01_SECURITY ROOM</v>
      </c>
      <c r="D2" s="11" t="s">
        <v>999</v>
      </c>
      <c r="E2" s="11" t="s">
        <v>1000</v>
      </c>
      <c r="F2" s="11" t="s">
        <v>1001</v>
      </c>
      <c r="G2" s="30" t="s">
        <v>1002</v>
      </c>
      <c r="H2" s="19">
        <v>0.0</v>
      </c>
      <c r="I2" s="30" t="s">
        <v>1003</v>
      </c>
      <c r="J2" s="19">
        <v>0.0</v>
      </c>
      <c r="K2" s="13" t="s">
        <v>1004</v>
      </c>
      <c r="L2" s="19">
        <v>0.0</v>
      </c>
      <c r="M2" s="13" t="s">
        <v>1005</v>
      </c>
      <c r="N2" s="19">
        <v>0.0</v>
      </c>
      <c r="O2" s="13" t="s">
        <v>1006</v>
      </c>
      <c r="P2" s="19">
        <v>0.0</v>
      </c>
      <c r="Q2" s="13" t="s">
        <v>1007</v>
      </c>
      <c r="R2" s="19">
        <v>0.0</v>
      </c>
      <c r="S2" s="13" t="s">
        <v>1008</v>
      </c>
      <c r="T2" s="19">
        <v>0.0</v>
      </c>
      <c r="U2" s="13" t="s">
        <v>1009</v>
      </c>
      <c r="V2" s="19">
        <v>0.0</v>
      </c>
      <c r="W2" s="68" t="s">
        <v>1010</v>
      </c>
      <c r="X2" s="19">
        <v>0.0</v>
      </c>
      <c r="Y2" s="13" t="s">
        <v>1011</v>
      </c>
      <c r="Z2" s="19">
        <v>0.0</v>
      </c>
      <c r="AA2" s="13" t="s">
        <v>1012</v>
      </c>
      <c r="AB2" s="19">
        <v>0.0</v>
      </c>
      <c r="AC2" s="13" t="s">
        <v>1013</v>
      </c>
      <c r="AD2" s="19">
        <v>0.0</v>
      </c>
      <c r="AE2" s="86"/>
      <c r="AF2" s="30"/>
    </row>
    <row r="3" ht="15.75" customHeight="1">
      <c r="A3" s="8">
        <v>1509.0</v>
      </c>
      <c r="B3" s="9" t="s">
        <v>50</v>
      </c>
      <c r="C3" s="10" t="str">
        <f t="shared" si="1"/>
        <v>ESD-02_OUTSIDE CONTROL ROOM</v>
      </c>
      <c r="D3" s="11" t="s">
        <v>1014</v>
      </c>
      <c r="E3" s="11" t="s">
        <v>1015</v>
      </c>
      <c r="F3" s="11" t="s">
        <v>1016</v>
      </c>
      <c r="G3" s="30" t="s">
        <v>1017</v>
      </c>
      <c r="H3" s="19">
        <v>0.0</v>
      </c>
      <c r="I3" s="30" t="s">
        <v>1018</v>
      </c>
      <c r="J3" s="19">
        <v>0.0</v>
      </c>
      <c r="K3" s="13" t="s">
        <v>1004</v>
      </c>
      <c r="L3" s="19">
        <v>0.0</v>
      </c>
      <c r="M3" s="13" t="s">
        <v>1005</v>
      </c>
      <c r="N3" s="19">
        <v>0.0</v>
      </c>
      <c r="O3" s="13" t="s">
        <v>1006</v>
      </c>
      <c r="P3" s="19">
        <v>0.0</v>
      </c>
      <c r="Q3" s="13" t="s">
        <v>1007</v>
      </c>
      <c r="R3" s="19">
        <v>0.0</v>
      </c>
      <c r="S3" s="13" t="s">
        <v>1008</v>
      </c>
      <c r="T3" s="19">
        <v>0.0</v>
      </c>
      <c r="U3" s="13" t="s">
        <v>1009</v>
      </c>
      <c r="V3" s="19">
        <v>0.0</v>
      </c>
      <c r="W3" s="68" t="s">
        <v>1010</v>
      </c>
      <c r="X3" s="19">
        <v>0.0</v>
      </c>
      <c r="Y3" s="13" t="s">
        <v>1011</v>
      </c>
      <c r="Z3" s="19">
        <v>0.0</v>
      </c>
      <c r="AA3" s="13" t="s">
        <v>1012</v>
      </c>
      <c r="AB3" s="19">
        <v>0.0</v>
      </c>
      <c r="AC3" s="13" t="s">
        <v>1013</v>
      </c>
      <c r="AD3" s="19">
        <v>0.0</v>
      </c>
      <c r="AE3" s="28"/>
      <c r="AF3" s="30"/>
    </row>
    <row r="4" ht="15.75" customHeight="1">
      <c r="A4" s="8">
        <v>1509.0</v>
      </c>
      <c r="B4" s="9" t="s">
        <v>50</v>
      </c>
      <c r="C4" s="10" t="str">
        <f t="shared" si="1"/>
        <v>ESD-03_TLF GANTRY AREA</v>
      </c>
      <c r="D4" s="11" t="s">
        <v>1019</v>
      </c>
      <c r="E4" s="11" t="s">
        <v>1020</v>
      </c>
      <c r="F4" s="11" t="s">
        <v>1021</v>
      </c>
      <c r="G4" s="30" t="s">
        <v>1022</v>
      </c>
      <c r="H4" s="19">
        <v>0.0</v>
      </c>
      <c r="I4" s="30" t="s">
        <v>1023</v>
      </c>
      <c r="J4" s="19">
        <v>0.0</v>
      </c>
      <c r="K4" s="13" t="s">
        <v>1004</v>
      </c>
      <c r="L4" s="19">
        <v>0.0</v>
      </c>
      <c r="M4" s="13" t="s">
        <v>1005</v>
      </c>
      <c r="N4" s="19">
        <v>0.0</v>
      </c>
      <c r="O4" s="13" t="s">
        <v>1006</v>
      </c>
      <c r="P4" s="19">
        <v>0.0</v>
      </c>
      <c r="Q4" s="13" t="s">
        <v>1007</v>
      </c>
      <c r="R4" s="19">
        <v>0.0</v>
      </c>
      <c r="S4" s="13" t="s">
        <v>1008</v>
      </c>
      <c r="T4" s="19">
        <v>0.0</v>
      </c>
      <c r="U4" s="13" t="s">
        <v>1009</v>
      </c>
      <c r="V4" s="19">
        <v>0.0</v>
      </c>
      <c r="W4" s="68" t="s">
        <v>1010</v>
      </c>
      <c r="X4" s="19">
        <v>0.0</v>
      </c>
      <c r="Y4" s="13" t="s">
        <v>1011</v>
      </c>
      <c r="Z4" s="19">
        <v>0.0</v>
      </c>
      <c r="AA4" s="13" t="s">
        <v>1012</v>
      </c>
      <c r="AB4" s="19">
        <v>0.0</v>
      </c>
      <c r="AC4" s="13" t="s">
        <v>1013</v>
      </c>
      <c r="AD4" s="19">
        <v>0.0</v>
      </c>
      <c r="AE4" s="28"/>
      <c r="AF4" s="30"/>
    </row>
    <row r="5" ht="15.75" customHeight="1">
      <c r="A5" s="8">
        <v>1509.0</v>
      </c>
      <c r="B5" s="9" t="s">
        <v>50</v>
      </c>
      <c r="C5" s="10" t="str">
        <f t="shared" si="1"/>
        <v>ESD-04_TLF PUMP HOUSE</v>
      </c>
      <c r="D5" s="11" t="s">
        <v>1024</v>
      </c>
      <c r="E5" s="11" t="s">
        <v>1025</v>
      </c>
      <c r="F5" s="11" t="s">
        <v>525</v>
      </c>
      <c r="G5" s="30" t="s">
        <v>1026</v>
      </c>
      <c r="H5" s="19">
        <v>0.0</v>
      </c>
      <c r="I5" s="30" t="s">
        <v>1027</v>
      </c>
      <c r="J5" s="19">
        <v>0.0</v>
      </c>
      <c r="K5" s="13" t="s">
        <v>1004</v>
      </c>
      <c r="L5" s="19">
        <v>0.0</v>
      </c>
      <c r="M5" s="13" t="s">
        <v>1005</v>
      </c>
      <c r="N5" s="19">
        <v>0.0</v>
      </c>
      <c r="O5" s="13" t="s">
        <v>1006</v>
      </c>
      <c r="P5" s="19">
        <v>0.0</v>
      </c>
      <c r="Q5" s="13" t="s">
        <v>1007</v>
      </c>
      <c r="R5" s="19">
        <v>0.0</v>
      </c>
      <c r="S5" s="13" t="s">
        <v>1008</v>
      </c>
      <c r="T5" s="19">
        <v>0.0</v>
      </c>
      <c r="U5" s="13" t="s">
        <v>1009</v>
      </c>
      <c r="V5" s="19">
        <v>0.0</v>
      </c>
      <c r="W5" s="68" t="s">
        <v>1010</v>
      </c>
      <c r="X5" s="19">
        <v>0.0</v>
      </c>
      <c r="Y5" s="13" t="s">
        <v>1011</v>
      </c>
      <c r="Z5" s="19">
        <v>0.0</v>
      </c>
      <c r="AA5" s="13" t="s">
        <v>1012</v>
      </c>
      <c r="AB5" s="19">
        <v>0.0</v>
      </c>
      <c r="AC5" s="13" t="s">
        <v>1013</v>
      </c>
      <c r="AD5" s="19">
        <v>0.0</v>
      </c>
      <c r="AE5" s="28"/>
      <c r="AF5" s="30"/>
    </row>
    <row r="6" ht="15.75" customHeight="1">
      <c r="A6" s="8">
        <v>1509.0</v>
      </c>
      <c r="B6" s="9" t="s">
        <v>50</v>
      </c>
      <c r="C6" s="10" t="str">
        <f t="shared" si="1"/>
        <v>ESD-05_TWD PUMP HOUSE</v>
      </c>
      <c r="D6" s="11" t="s">
        <v>1028</v>
      </c>
      <c r="E6" s="11" t="s">
        <v>1029</v>
      </c>
      <c r="F6" s="11" t="s">
        <v>609</v>
      </c>
      <c r="G6" s="30" t="s">
        <v>1030</v>
      </c>
      <c r="H6" s="19">
        <v>0.0</v>
      </c>
      <c r="I6" s="30" t="s">
        <v>1031</v>
      </c>
      <c r="J6" s="19">
        <v>0.0</v>
      </c>
      <c r="K6" s="13" t="s">
        <v>1004</v>
      </c>
      <c r="L6" s="19">
        <v>0.0</v>
      </c>
      <c r="M6" s="13" t="s">
        <v>1005</v>
      </c>
      <c r="N6" s="19">
        <v>0.0</v>
      </c>
      <c r="O6" s="13" t="s">
        <v>1006</v>
      </c>
      <c r="P6" s="19">
        <v>0.0</v>
      </c>
      <c r="Q6" s="13" t="s">
        <v>1007</v>
      </c>
      <c r="R6" s="19">
        <v>0.0</v>
      </c>
      <c r="S6" s="13" t="s">
        <v>1008</v>
      </c>
      <c r="T6" s="19">
        <v>0.0</v>
      </c>
      <c r="U6" s="13" t="s">
        <v>1009</v>
      </c>
      <c r="V6" s="19">
        <v>0.0</v>
      </c>
      <c r="W6" s="68" t="s">
        <v>1010</v>
      </c>
      <c r="X6" s="19">
        <v>0.0</v>
      </c>
      <c r="Y6" s="13" t="s">
        <v>1011</v>
      </c>
      <c r="Z6" s="19">
        <v>0.0</v>
      </c>
      <c r="AA6" s="13" t="s">
        <v>1012</v>
      </c>
      <c r="AB6" s="19">
        <v>0.0</v>
      </c>
      <c r="AC6" s="13" t="s">
        <v>1013</v>
      </c>
      <c r="AD6" s="19">
        <v>0.0</v>
      </c>
      <c r="AE6" s="28"/>
      <c r="AF6" s="30"/>
    </row>
    <row r="7" ht="15.75" customHeight="1">
      <c r="A7" s="8">
        <v>1509.0</v>
      </c>
      <c r="B7" s="9" t="s">
        <v>50</v>
      </c>
      <c r="C7" s="10" t="str">
        <f t="shared" si="1"/>
        <v>ESD-06_B/W TANK 01 &amp; 03</v>
      </c>
      <c r="D7" s="11" t="s">
        <v>1032</v>
      </c>
      <c r="E7" s="11" t="s">
        <v>1033</v>
      </c>
      <c r="F7" s="11" t="s">
        <v>1034</v>
      </c>
      <c r="G7" s="30" t="s">
        <v>1035</v>
      </c>
      <c r="H7" s="19">
        <v>0.0</v>
      </c>
      <c r="I7" s="30" t="s">
        <v>1036</v>
      </c>
      <c r="J7" s="19">
        <v>0.0</v>
      </c>
      <c r="K7" s="13" t="s">
        <v>1004</v>
      </c>
      <c r="L7" s="19">
        <v>0.0</v>
      </c>
      <c r="M7" s="13" t="s">
        <v>1005</v>
      </c>
      <c r="N7" s="19">
        <v>0.0</v>
      </c>
      <c r="O7" s="13" t="s">
        <v>1006</v>
      </c>
      <c r="P7" s="19">
        <v>0.0</v>
      </c>
      <c r="Q7" s="13" t="s">
        <v>1007</v>
      </c>
      <c r="R7" s="19">
        <v>0.0</v>
      </c>
      <c r="S7" s="13" t="s">
        <v>1008</v>
      </c>
      <c r="T7" s="19">
        <v>0.0</v>
      </c>
      <c r="U7" s="13" t="s">
        <v>1009</v>
      </c>
      <c r="V7" s="19">
        <v>0.0</v>
      </c>
      <c r="W7" s="68" t="s">
        <v>1010</v>
      </c>
      <c r="X7" s="19">
        <v>0.0</v>
      </c>
      <c r="Y7" s="13" t="s">
        <v>1011</v>
      </c>
      <c r="Z7" s="19">
        <v>0.0</v>
      </c>
      <c r="AA7" s="13" t="s">
        <v>1012</v>
      </c>
      <c r="AB7" s="19">
        <v>0.0</v>
      </c>
      <c r="AC7" s="13" t="s">
        <v>1013</v>
      </c>
      <c r="AD7" s="19">
        <v>0.0</v>
      </c>
      <c r="AE7" s="28"/>
      <c r="AF7" s="30"/>
    </row>
    <row r="8" ht="15.75" customHeight="1">
      <c r="A8" s="8">
        <v>1509.0</v>
      </c>
      <c r="B8" s="9" t="s">
        <v>50</v>
      </c>
      <c r="C8" s="10" t="str">
        <f t="shared" si="1"/>
        <v>ESD-07_NEAR TANK 04</v>
      </c>
      <c r="D8" s="11" t="s">
        <v>1037</v>
      </c>
      <c r="E8" s="11" t="s">
        <v>1038</v>
      </c>
      <c r="F8" s="11" t="s">
        <v>1039</v>
      </c>
      <c r="G8" s="30" t="s">
        <v>1040</v>
      </c>
      <c r="H8" s="19">
        <v>0.0</v>
      </c>
      <c r="I8" s="30" t="s">
        <v>1041</v>
      </c>
      <c r="J8" s="19">
        <v>0.0</v>
      </c>
      <c r="K8" s="13" t="s">
        <v>1004</v>
      </c>
      <c r="L8" s="19">
        <v>0.0</v>
      </c>
      <c r="M8" s="13" t="s">
        <v>1005</v>
      </c>
      <c r="N8" s="19">
        <v>0.0</v>
      </c>
      <c r="O8" s="13" t="s">
        <v>1006</v>
      </c>
      <c r="P8" s="19">
        <v>0.0</v>
      </c>
      <c r="Q8" s="13" t="s">
        <v>1007</v>
      </c>
      <c r="R8" s="19">
        <v>0.0</v>
      </c>
      <c r="S8" s="13" t="s">
        <v>1008</v>
      </c>
      <c r="T8" s="19">
        <v>0.0</v>
      </c>
      <c r="U8" s="13" t="s">
        <v>1009</v>
      </c>
      <c r="V8" s="19">
        <v>0.0</v>
      </c>
      <c r="W8" s="68" t="s">
        <v>1010</v>
      </c>
      <c r="X8" s="19">
        <v>0.0</v>
      </c>
      <c r="Y8" s="13" t="s">
        <v>1011</v>
      </c>
      <c r="Z8" s="19">
        <v>0.0</v>
      </c>
      <c r="AA8" s="13" t="s">
        <v>1012</v>
      </c>
      <c r="AB8" s="19">
        <v>0.0</v>
      </c>
      <c r="AC8" s="13" t="s">
        <v>1013</v>
      </c>
      <c r="AD8" s="19">
        <v>0.0</v>
      </c>
      <c r="AE8" s="28"/>
      <c r="AF8" s="30"/>
    </row>
    <row r="9" ht="15.75" customHeight="1">
      <c r="A9" s="8">
        <v>1509.0</v>
      </c>
      <c r="B9" s="9" t="s">
        <v>50</v>
      </c>
      <c r="C9" s="10" t="str">
        <f t="shared" si="1"/>
        <v>ESD-08_NEAR TANK 101C</v>
      </c>
      <c r="D9" s="11" t="s">
        <v>1042</v>
      </c>
      <c r="E9" s="11" t="s">
        <v>1043</v>
      </c>
      <c r="F9" s="11" t="s">
        <v>1044</v>
      </c>
      <c r="G9" s="30" t="s">
        <v>1045</v>
      </c>
      <c r="H9" s="19">
        <v>0.0</v>
      </c>
      <c r="I9" s="30" t="s">
        <v>1046</v>
      </c>
      <c r="J9" s="19">
        <v>0.0</v>
      </c>
      <c r="K9" s="13" t="s">
        <v>1004</v>
      </c>
      <c r="L9" s="19">
        <v>0.0</v>
      </c>
      <c r="M9" s="13" t="s">
        <v>1005</v>
      </c>
      <c r="N9" s="19">
        <v>0.0</v>
      </c>
      <c r="O9" s="13" t="s">
        <v>1006</v>
      </c>
      <c r="P9" s="19">
        <v>0.0</v>
      </c>
      <c r="Q9" s="13" t="s">
        <v>1007</v>
      </c>
      <c r="R9" s="19">
        <v>0.0</v>
      </c>
      <c r="S9" s="13" t="s">
        <v>1008</v>
      </c>
      <c r="T9" s="19">
        <v>0.0</v>
      </c>
      <c r="U9" s="13" t="s">
        <v>1009</v>
      </c>
      <c r="V9" s="19">
        <v>0.0</v>
      </c>
      <c r="W9" s="68" t="s">
        <v>1010</v>
      </c>
      <c r="X9" s="19">
        <v>0.0</v>
      </c>
      <c r="Y9" s="13" t="s">
        <v>1011</v>
      </c>
      <c r="Z9" s="19">
        <v>0.0</v>
      </c>
      <c r="AA9" s="13" t="s">
        <v>1012</v>
      </c>
      <c r="AB9" s="19">
        <v>0.0</v>
      </c>
      <c r="AC9" s="13" t="s">
        <v>1013</v>
      </c>
      <c r="AD9" s="19">
        <v>0.0</v>
      </c>
      <c r="AE9" s="28"/>
      <c r="AF9" s="30"/>
    </row>
    <row r="10" ht="15.75" customHeight="1">
      <c r="A10" s="8">
        <v>1509.0</v>
      </c>
      <c r="B10" s="9" t="s">
        <v>50</v>
      </c>
      <c r="C10" s="10" t="str">
        <f t="shared" si="1"/>
        <v>ESD-09_NEAR TANK 102A/B DYKE VALVE</v>
      </c>
      <c r="D10" s="11" t="s">
        <v>1047</v>
      </c>
      <c r="E10" s="11" t="s">
        <v>1048</v>
      </c>
      <c r="F10" s="11" t="s">
        <v>1049</v>
      </c>
      <c r="G10" s="30" t="s">
        <v>1050</v>
      </c>
      <c r="H10" s="19">
        <v>0.0</v>
      </c>
      <c r="I10" s="30" t="s">
        <v>1051</v>
      </c>
      <c r="J10" s="19">
        <v>0.0</v>
      </c>
      <c r="K10" s="13" t="s">
        <v>1004</v>
      </c>
      <c r="L10" s="19">
        <v>0.0</v>
      </c>
      <c r="M10" s="13" t="s">
        <v>1005</v>
      </c>
      <c r="N10" s="19">
        <v>0.0</v>
      </c>
      <c r="O10" s="13" t="s">
        <v>1006</v>
      </c>
      <c r="P10" s="19">
        <v>0.0</v>
      </c>
      <c r="Q10" s="13" t="s">
        <v>1007</v>
      </c>
      <c r="R10" s="19">
        <v>0.0</v>
      </c>
      <c r="S10" s="13" t="s">
        <v>1008</v>
      </c>
      <c r="T10" s="19">
        <v>0.0</v>
      </c>
      <c r="U10" s="13" t="s">
        <v>1009</v>
      </c>
      <c r="V10" s="19">
        <v>0.0</v>
      </c>
      <c r="W10" s="68" t="s">
        <v>1010</v>
      </c>
      <c r="X10" s="19">
        <v>0.0</v>
      </c>
      <c r="Y10" s="13" t="s">
        <v>1011</v>
      </c>
      <c r="Z10" s="19">
        <v>0.0</v>
      </c>
      <c r="AA10" s="13" t="s">
        <v>1012</v>
      </c>
      <c r="AB10" s="19">
        <v>0.0</v>
      </c>
      <c r="AC10" s="13" t="s">
        <v>1013</v>
      </c>
      <c r="AD10" s="19">
        <v>0.0</v>
      </c>
      <c r="AE10" s="28"/>
      <c r="AF10" s="30"/>
    </row>
    <row r="11" ht="15.75" customHeight="1">
      <c r="A11" s="8">
        <v>1509.0</v>
      </c>
      <c r="B11" s="9" t="s">
        <v>50</v>
      </c>
      <c r="C11" s="10" t="str">
        <f t="shared" si="1"/>
        <v>ESD-10_NEAR TANK 101D</v>
      </c>
      <c r="D11" s="11" t="s">
        <v>1052</v>
      </c>
      <c r="E11" s="11" t="s">
        <v>1053</v>
      </c>
      <c r="F11" s="11" t="s">
        <v>1054</v>
      </c>
      <c r="G11" s="30" t="s">
        <v>1055</v>
      </c>
      <c r="H11" s="19">
        <v>0.0</v>
      </c>
      <c r="I11" s="30" t="s">
        <v>1056</v>
      </c>
      <c r="J11" s="19">
        <v>0.0</v>
      </c>
      <c r="K11" s="13" t="s">
        <v>1004</v>
      </c>
      <c r="L11" s="19">
        <v>0.0</v>
      </c>
      <c r="M11" s="13" t="s">
        <v>1005</v>
      </c>
      <c r="N11" s="19">
        <v>0.0</v>
      </c>
      <c r="O11" s="13" t="s">
        <v>1006</v>
      </c>
      <c r="P11" s="19">
        <v>0.0</v>
      </c>
      <c r="Q11" s="13" t="s">
        <v>1007</v>
      </c>
      <c r="R11" s="19">
        <v>0.0</v>
      </c>
      <c r="S11" s="13" t="s">
        <v>1008</v>
      </c>
      <c r="T11" s="19">
        <v>0.0</v>
      </c>
      <c r="U11" s="13" t="s">
        <v>1009</v>
      </c>
      <c r="V11" s="19">
        <v>0.0</v>
      </c>
      <c r="W11" s="68" t="s">
        <v>1010</v>
      </c>
      <c r="X11" s="19">
        <v>0.0</v>
      </c>
      <c r="Y11" s="13" t="s">
        <v>1011</v>
      </c>
      <c r="Z11" s="19">
        <v>0.0</v>
      </c>
      <c r="AA11" s="13" t="s">
        <v>1012</v>
      </c>
      <c r="AB11" s="19">
        <v>0.0</v>
      </c>
      <c r="AC11" s="13" t="s">
        <v>1013</v>
      </c>
      <c r="AD11" s="19">
        <v>0.0</v>
      </c>
      <c r="AE11" s="28"/>
      <c r="AF11" s="30"/>
    </row>
    <row r="12" ht="15.75" customHeight="1">
      <c r="A12" s="8">
        <v>1509.0</v>
      </c>
      <c r="B12" s="9" t="s">
        <v>50</v>
      </c>
      <c r="C12" s="10" t="str">
        <f t="shared" si="1"/>
        <v>ESD-11_OMC PLT PUMP HOUSE</v>
      </c>
      <c r="D12" s="11" t="s">
        <v>1057</v>
      </c>
      <c r="E12" s="11" t="s">
        <v>1058</v>
      </c>
      <c r="F12" s="11" t="s">
        <v>822</v>
      </c>
      <c r="G12" s="30" t="s">
        <v>1059</v>
      </c>
      <c r="H12" s="19">
        <v>0.0</v>
      </c>
      <c r="I12" s="30" t="s">
        <v>1060</v>
      </c>
      <c r="J12" s="19">
        <v>0.0</v>
      </c>
      <c r="K12" s="13" t="s">
        <v>1004</v>
      </c>
      <c r="L12" s="19">
        <v>0.0</v>
      </c>
      <c r="M12" s="13" t="s">
        <v>1005</v>
      </c>
      <c r="N12" s="19">
        <v>0.0</v>
      </c>
      <c r="O12" s="13" t="s">
        <v>1006</v>
      </c>
      <c r="P12" s="19">
        <v>0.0</v>
      </c>
      <c r="Q12" s="13" t="s">
        <v>1007</v>
      </c>
      <c r="R12" s="19">
        <v>0.0</v>
      </c>
      <c r="S12" s="13" t="s">
        <v>1008</v>
      </c>
      <c r="T12" s="19">
        <v>0.0</v>
      </c>
      <c r="U12" s="13" t="s">
        <v>1009</v>
      </c>
      <c r="V12" s="19">
        <v>0.0</v>
      </c>
      <c r="W12" s="68" t="s">
        <v>1010</v>
      </c>
      <c r="X12" s="19">
        <v>0.0</v>
      </c>
      <c r="Y12" s="13" t="s">
        <v>1011</v>
      </c>
      <c r="Z12" s="19">
        <v>0.0</v>
      </c>
      <c r="AA12" s="13" t="s">
        <v>1012</v>
      </c>
      <c r="AB12" s="19">
        <v>0.0</v>
      </c>
      <c r="AC12" s="13" t="s">
        <v>1013</v>
      </c>
      <c r="AD12" s="19">
        <v>0.0</v>
      </c>
      <c r="AE12" s="28"/>
      <c r="AF12" s="30"/>
    </row>
    <row r="13" ht="15.75" customHeight="1">
      <c r="A13" s="8">
        <v>1509.0</v>
      </c>
      <c r="B13" s="9" t="s">
        <v>50</v>
      </c>
      <c r="C13" s="10" t="str">
        <f t="shared" si="1"/>
        <v>ESD-12_INSIDE CONTROL ROOM</v>
      </c>
      <c r="D13" s="11" t="s">
        <v>1061</v>
      </c>
      <c r="E13" s="11" t="s">
        <v>1062</v>
      </c>
      <c r="F13" s="11" t="s">
        <v>1063</v>
      </c>
      <c r="G13" s="30" t="s">
        <v>1064</v>
      </c>
      <c r="H13" s="19">
        <v>0.0</v>
      </c>
      <c r="I13" s="30" t="s">
        <v>1065</v>
      </c>
      <c r="J13" s="19">
        <v>0.0</v>
      </c>
      <c r="K13" s="13" t="s">
        <v>1004</v>
      </c>
      <c r="L13" s="19">
        <v>0.0</v>
      </c>
      <c r="M13" s="13" t="s">
        <v>1005</v>
      </c>
      <c r="N13" s="19">
        <v>0.0</v>
      </c>
      <c r="O13" s="13" t="s">
        <v>1006</v>
      </c>
      <c r="P13" s="19">
        <v>0.0</v>
      </c>
      <c r="Q13" s="13" t="s">
        <v>1007</v>
      </c>
      <c r="R13" s="19">
        <v>0.0</v>
      </c>
      <c r="S13" s="13" t="s">
        <v>1008</v>
      </c>
      <c r="T13" s="19">
        <v>0.0</v>
      </c>
      <c r="U13" s="13" t="s">
        <v>1009</v>
      </c>
      <c r="V13" s="19">
        <v>0.0</v>
      </c>
      <c r="W13" s="68" t="s">
        <v>1010</v>
      </c>
      <c r="X13" s="19">
        <v>0.0</v>
      </c>
      <c r="Y13" s="13" t="s">
        <v>1011</v>
      </c>
      <c r="Z13" s="19">
        <v>0.0</v>
      </c>
      <c r="AA13" s="13" t="s">
        <v>1012</v>
      </c>
      <c r="AB13" s="19">
        <v>0.0</v>
      </c>
      <c r="AC13" s="13" t="s">
        <v>1013</v>
      </c>
      <c r="AD13" s="19">
        <v>0.0</v>
      </c>
      <c r="AE13" s="28"/>
      <c r="AF13" s="30"/>
    </row>
    <row r="14" ht="15.75" customHeight="1">
      <c r="A14" s="8">
        <v>1509.0</v>
      </c>
      <c r="B14" s="9" t="s">
        <v>50</v>
      </c>
      <c r="C14" s="10" t="str">
        <f t="shared" si="1"/>
        <v>ESD-13_AT LIC's ROOM</v>
      </c>
      <c r="D14" s="11" t="s">
        <v>1066</v>
      </c>
      <c r="E14" s="11" t="s">
        <v>1067</v>
      </c>
      <c r="F14" s="11" t="s">
        <v>1068</v>
      </c>
      <c r="G14" s="30" t="s">
        <v>1069</v>
      </c>
      <c r="H14" s="19">
        <v>0.0</v>
      </c>
      <c r="I14" s="30" t="s">
        <v>1070</v>
      </c>
      <c r="J14" s="19">
        <v>0.0</v>
      </c>
      <c r="K14" s="13" t="s">
        <v>1004</v>
      </c>
      <c r="L14" s="19">
        <v>0.0</v>
      </c>
      <c r="M14" s="13" t="s">
        <v>1005</v>
      </c>
      <c r="N14" s="19">
        <v>0.0</v>
      </c>
      <c r="O14" s="13" t="s">
        <v>1006</v>
      </c>
      <c r="P14" s="19">
        <v>0.0</v>
      </c>
      <c r="Q14" s="13" t="s">
        <v>1007</v>
      </c>
      <c r="R14" s="19">
        <v>0.0</v>
      </c>
      <c r="S14" s="13" t="s">
        <v>1008</v>
      </c>
      <c r="T14" s="19">
        <v>0.0</v>
      </c>
      <c r="U14" s="13" t="s">
        <v>1009</v>
      </c>
      <c r="V14" s="19">
        <v>0.0</v>
      </c>
      <c r="W14" s="68" t="s">
        <v>1010</v>
      </c>
      <c r="X14" s="19">
        <v>0.0</v>
      </c>
      <c r="Y14" s="13" t="s">
        <v>1011</v>
      </c>
      <c r="Z14" s="19">
        <v>0.0</v>
      </c>
      <c r="AA14" s="13" t="s">
        <v>1012</v>
      </c>
      <c r="AB14" s="19">
        <v>0.0</v>
      </c>
      <c r="AC14" s="13" t="s">
        <v>1013</v>
      </c>
      <c r="AD14" s="19">
        <v>0.0</v>
      </c>
      <c r="AE14" s="28"/>
      <c r="AF14" s="30"/>
    </row>
    <row r="15" ht="15.75" customHeight="1">
      <c r="A15" s="8">
        <v>1509.0</v>
      </c>
      <c r="B15" s="9" t="s">
        <v>50</v>
      </c>
      <c r="C15" s="10" t="str">
        <f t="shared" si="1"/>
        <v>ESD-16_CENTRAL ESD</v>
      </c>
      <c r="D15" s="11" t="s">
        <v>1071</v>
      </c>
      <c r="E15" s="11" t="s">
        <v>1072</v>
      </c>
      <c r="F15" s="11" t="s">
        <v>1073</v>
      </c>
      <c r="G15" s="30" t="s">
        <v>1074</v>
      </c>
      <c r="H15" s="19">
        <v>0.0</v>
      </c>
      <c r="I15" s="24"/>
      <c r="J15" s="24"/>
      <c r="K15" s="13" t="s">
        <v>1004</v>
      </c>
      <c r="L15" s="19">
        <v>0.0</v>
      </c>
      <c r="M15" s="13" t="s">
        <v>1005</v>
      </c>
      <c r="N15" s="19">
        <v>0.0</v>
      </c>
      <c r="O15" s="13" t="s">
        <v>1006</v>
      </c>
      <c r="P15" s="19">
        <v>0.0</v>
      </c>
      <c r="Q15" s="13" t="s">
        <v>1007</v>
      </c>
      <c r="R15" s="19">
        <v>0.0</v>
      </c>
      <c r="S15" s="13" t="s">
        <v>1008</v>
      </c>
      <c r="T15" s="19">
        <v>0.0</v>
      </c>
      <c r="U15" s="13" t="s">
        <v>1009</v>
      </c>
      <c r="V15" s="19">
        <v>0.0</v>
      </c>
      <c r="W15" s="68" t="s">
        <v>1010</v>
      </c>
      <c r="X15" s="19">
        <v>0.0</v>
      </c>
      <c r="Y15" s="13" t="s">
        <v>1011</v>
      </c>
      <c r="Z15" s="19">
        <v>0.0</v>
      </c>
      <c r="AA15" s="13" t="s">
        <v>1012</v>
      </c>
      <c r="AB15" s="19">
        <v>0.0</v>
      </c>
      <c r="AC15" s="13" t="s">
        <v>1013</v>
      </c>
      <c r="AD15" s="19">
        <v>0.0</v>
      </c>
      <c r="AE15" s="28"/>
      <c r="AF15" s="30"/>
    </row>
    <row r="16" ht="15.75" customHeight="1">
      <c r="A16" s="8">
        <v>1509.0</v>
      </c>
      <c r="B16" s="9" t="s">
        <v>50</v>
      </c>
      <c r="C16" s="10" t="str">
        <f t="shared" si="1"/>
        <v>ESD-17_PIPELINE ESD</v>
      </c>
      <c r="D16" s="11" t="s">
        <v>1075</v>
      </c>
      <c r="E16" s="11" t="s">
        <v>1076</v>
      </c>
      <c r="F16" s="11" t="s">
        <v>1077</v>
      </c>
      <c r="G16" s="30" t="s">
        <v>1078</v>
      </c>
      <c r="H16" s="19">
        <v>0.0</v>
      </c>
      <c r="I16" s="24"/>
      <c r="J16" s="24"/>
      <c r="K16" s="13" t="s">
        <v>1004</v>
      </c>
      <c r="L16" s="19">
        <v>0.0</v>
      </c>
      <c r="M16" s="13" t="s">
        <v>1005</v>
      </c>
      <c r="N16" s="19">
        <v>0.0</v>
      </c>
      <c r="O16" s="13" t="s">
        <v>1006</v>
      </c>
      <c r="P16" s="19">
        <v>0.0</v>
      </c>
      <c r="Q16" s="13" t="s">
        <v>1007</v>
      </c>
      <c r="R16" s="19">
        <v>0.0</v>
      </c>
      <c r="S16" s="13" t="s">
        <v>1008</v>
      </c>
      <c r="T16" s="19">
        <v>0.0</v>
      </c>
      <c r="U16" s="13" t="s">
        <v>1009</v>
      </c>
      <c r="V16" s="19">
        <v>0.0</v>
      </c>
      <c r="W16" s="68" t="s">
        <v>1010</v>
      </c>
      <c r="X16" s="19">
        <v>0.0</v>
      </c>
      <c r="Y16" s="13" t="s">
        <v>1011</v>
      </c>
      <c r="Z16" s="19">
        <v>0.0</v>
      </c>
      <c r="AA16" s="13" t="s">
        <v>1012</v>
      </c>
      <c r="AB16" s="19">
        <v>0.0</v>
      </c>
      <c r="AC16" s="13" t="s">
        <v>1013</v>
      </c>
      <c r="AD16" s="19">
        <v>0.0</v>
      </c>
      <c r="AE16" s="28"/>
      <c r="AF16" s="30"/>
    </row>
    <row r="17" ht="15.75" customHeight="1">
      <c r="A17" s="8">
        <v>1509.0</v>
      </c>
      <c r="B17" s="9" t="s">
        <v>50</v>
      </c>
      <c r="C17" s="10" t="str">
        <f t="shared" si="1"/>
        <v>ESD-18_RAILWAY SIDEING ESD</v>
      </c>
      <c r="D17" s="11" t="s">
        <v>1079</v>
      </c>
      <c r="E17" s="11" t="s">
        <v>1080</v>
      </c>
      <c r="F17" s="11" t="s">
        <v>1081</v>
      </c>
      <c r="G17" s="30" t="s">
        <v>1082</v>
      </c>
      <c r="H17" s="19">
        <v>0.0</v>
      </c>
      <c r="I17" s="30" t="s">
        <v>1083</v>
      </c>
      <c r="J17" s="19">
        <v>0.0</v>
      </c>
      <c r="K17" s="13" t="s">
        <v>1004</v>
      </c>
      <c r="L17" s="19">
        <v>0.0</v>
      </c>
      <c r="M17" s="13" t="s">
        <v>1005</v>
      </c>
      <c r="N17" s="19">
        <v>0.0</v>
      </c>
      <c r="O17" s="13" t="s">
        <v>1006</v>
      </c>
      <c r="P17" s="19">
        <v>0.0</v>
      </c>
      <c r="Q17" s="13" t="s">
        <v>1007</v>
      </c>
      <c r="R17" s="19">
        <v>0.0</v>
      </c>
      <c r="S17" s="13" t="s">
        <v>1008</v>
      </c>
      <c r="T17" s="19">
        <v>0.0</v>
      </c>
      <c r="U17" s="13" t="s">
        <v>1009</v>
      </c>
      <c r="V17" s="19">
        <v>0.0</v>
      </c>
      <c r="W17" s="68" t="s">
        <v>1010</v>
      </c>
      <c r="X17" s="19">
        <v>0.0</v>
      </c>
      <c r="Y17" s="13" t="s">
        <v>1011</v>
      </c>
      <c r="Z17" s="19">
        <v>0.0</v>
      </c>
      <c r="AA17" s="13" t="s">
        <v>1012</v>
      </c>
      <c r="AB17" s="19">
        <v>0.0</v>
      </c>
      <c r="AC17" s="13" t="s">
        <v>1013</v>
      </c>
      <c r="AD17" s="19">
        <v>0.0</v>
      </c>
      <c r="AE17" s="28"/>
      <c r="AF17" s="30"/>
    </row>
    <row r="18" ht="15.75" customHeight="1">
      <c r="A18" s="8">
        <v>1509.0</v>
      </c>
      <c r="B18" s="9" t="s">
        <v>50</v>
      </c>
      <c r="C18" s="10" t="str">
        <f t="shared" si="1"/>
        <v>ESD-BPCL_BPCL CENTRAL ESD</v>
      </c>
      <c r="D18" s="11" t="s">
        <v>1084</v>
      </c>
      <c r="E18" s="11" t="s">
        <v>1084</v>
      </c>
      <c r="F18" s="11" t="s">
        <v>1085</v>
      </c>
      <c r="G18" s="30" t="s">
        <v>1086</v>
      </c>
      <c r="H18" s="19">
        <v>0.0</v>
      </c>
      <c r="I18" s="24"/>
      <c r="J18" s="24"/>
      <c r="K18" s="13" t="s">
        <v>1004</v>
      </c>
      <c r="L18" s="19">
        <v>0.0</v>
      </c>
      <c r="M18" s="13" t="s">
        <v>1005</v>
      </c>
      <c r="N18" s="19">
        <v>0.0</v>
      </c>
      <c r="O18" s="13" t="s">
        <v>1006</v>
      </c>
      <c r="P18" s="19">
        <v>0.0</v>
      </c>
      <c r="Q18" s="13" t="s">
        <v>1007</v>
      </c>
      <c r="R18" s="19">
        <v>0.0</v>
      </c>
      <c r="S18" s="13" t="s">
        <v>1008</v>
      </c>
      <c r="T18" s="19">
        <v>0.0</v>
      </c>
      <c r="U18" s="13" t="s">
        <v>1009</v>
      </c>
      <c r="V18" s="19">
        <v>0.0</v>
      </c>
      <c r="W18" s="68" t="s">
        <v>1010</v>
      </c>
      <c r="X18" s="19">
        <v>0.0</v>
      </c>
      <c r="Y18" s="13" t="s">
        <v>1011</v>
      </c>
      <c r="Z18" s="19">
        <v>0.0</v>
      </c>
      <c r="AA18" s="13" t="s">
        <v>1012</v>
      </c>
      <c r="AB18" s="19">
        <v>0.0</v>
      </c>
      <c r="AC18" s="13" t="s">
        <v>1013</v>
      </c>
      <c r="AD18" s="19">
        <v>0.0</v>
      </c>
      <c r="AE18" s="28"/>
      <c r="AF18" s="30"/>
    </row>
    <row r="19" ht="15.75" customHeight="1">
      <c r="A19" s="8">
        <v>1509.0</v>
      </c>
      <c r="B19" s="9" t="s">
        <v>50</v>
      </c>
      <c r="C19" s="10" t="str">
        <f t="shared" si="1"/>
        <v>ESD-IOCL_IOCL CENTRAL ESD</v>
      </c>
      <c r="D19" s="11" t="s">
        <v>1087</v>
      </c>
      <c r="E19" s="11" t="s">
        <v>1087</v>
      </c>
      <c r="F19" s="11" t="s">
        <v>1088</v>
      </c>
      <c r="G19" s="30" t="s">
        <v>1089</v>
      </c>
      <c r="H19" s="19">
        <v>0.0</v>
      </c>
      <c r="I19" s="24"/>
      <c r="J19" s="24"/>
      <c r="K19" s="13" t="s">
        <v>1004</v>
      </c>
      <c r="L19" s="19">
        <v>0.0</v>
      </c>
      <c r="M19" s="13" t="s">
        <v>1005</v>
      </c>
      <c r="N19" s="19">
        <v>0.0</v>
      </c>
      <c r="O19" s="13" t="s">
        <v>1006</v>
      </c>
      <c r="P19" s="19">
        <v>0.0</v>
      </c>
      <c r="Q19" s="13" t="s">
        <v>1007</v>
      </c>
      <c r="R19" s="19">
        <v>0.0</v>
      </c>
      <c r="S19" s="13" t="s">
        <v>1008</v>
      </c>
      <c r="T19" s="19">
        <v>0.0</v>
      </c>
      <c r="U19" s="13" t="s">
        <v>1009</v>
      </c>
      <c r="V19" s="19">
        <v>0.0</v>
      </c>
      <c r="W19" s="68" t="s">
        <v>1010</v>
      </c>
      <c r="X19" s="19">
        <v>0.0</v>
      </c>
      <c r="Y19" s="13" t="s">
        <v>1011</v>
      </c>
      <c r="Z19" s="19">
        <v>0.0</v>
      </c>
      <c r="AA19" s="13" t="s">
        <v>1012</v>
      </c>
      <c r="AB19" s="19">
        <v>0.0</v>
      </c>
      <c r="AC19" s="13" t="s">
        <v>1013</v>
      </c>
      <c r="AD19" s="19">
        <v>0.0</v>
      </c>
      <c r="AE19" s="28"/>
      <c r="AF19" s="30"/>
    </row>
    <row r="20" ht="15.75" customHeight="1">
      <c r="A20" s="8">
        <v>1509.0</v>
      </c>
      <c r="B20" s="9" t="s">
        <v>50</v>
      </c>
      <c r="C20" s="10" t="str">
        <f t="shared" si="1"/>
        <v>ESD-SOFT_SOFT FROM OIC</v>
      </c>
      <c r="D20" s="11" t="s">
        <v>1090</v>
      </c>
      <c r="E20" s="11" t="s">
        <v>1090</v>
      </c>
      <c r="F20" s="11" t="s">
        <v>1091</v>
      </c>
      <c r="G20" s="30" t="s">
        <v>1092</v>
      </c>
      <c r="H20" s="19">
        <v>0.0</v>
      </c>
      <c r="I20" s="24"/>
      <c r="J20" s="24"/>
      <c r="K20" s="13" t="s">
        <v>1004</v>
      </c>
      <c r="L20" s="19">
        <v>0.0</v>
      </c>
      <c r="M20" s="13" t="s">
        <v>1005</v>
      </c>
      <c r="N20" s="19">
        <v>0.0</v>
      </c>
      <c r="O20" s="13" t="s">
        <v>1006</v>
      </c>
      <c r="P20" s="19">
        <v>0.0</v>
      </c>
      <c r="Q20" s="13" t="s">
        <v>1007</v>
      </c>
      <c r="R20" s="19">
        <v>0.0</v>
      </c>
      <c r="S20" s="13" t="s">
        <v>1008</v>
      </c>
      <c r="T20" s="19">
        <v>0.0</v>
      </c>
      <c r="U20" s="13" t="s">
        <v>1009</v>
      </c>
      <c r="V20" s="19">
        <v>0.0</v>
      </c>
      <c r="W20" s="68" t="s">
        <v>1010</v>
      </c>
      <c r="X20" s="19">
        <v>0.0</v>
      </c>
      <c r="Y20" s="13" t="s">
        <v>1011</v>
      </c>
      <c r="Z20" s="19">
        <v>0.0</v>
      </c>
      <c r="AA20" s="13" t="s">
        <v>1012</v>
      </c>
      <c r="AB20" s="19">
        <v>0.0</v>
      </c>
      <c r="AC20" s="13" t="s">
        <v>1013</v>
      </c>
      <c r="AD20" s="19">
        <v>0.0</v>
      </c>
      <c r="AE20" s="28"/>
      <c r="AF20" s="30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1093</v>
      </c>
      <c r="E1" s="2" t="s">
        <v>1094</v>
      </c>
      <c r="F1" s="2" t="s">
        <v>1095</v>
      </c>
      <c r="G1" s="2" t="s">
        <v>5</v>
      </c>
      <c r="H1" s="54" t="s">
        <v>1096</v>
      </c>
      <c r="I1" s="54" t="s">
        <v>7</v>
      </c>
      <c r="J1" s="54" t="s">
        <v>1097</v>
      </c>
      <c r="K1" s="54" t="s">
        <v>7</v>
      </c>
      <c r="L1" s="56" t="s">
        <v>1098</v>
      </c>
      <c r="M1" s="56" t="s">
        <v>7</v>
      </c>
      <c r="N1" s="54" t="s">
        <v>1099</v>
      </c>
      <c r="O1" s="54" t="s">
        <v>7</v>
      </c>
      <c r="P1" s="56" t="s">
        <v>1100</v>
      </c>
      <c r="Q1" s="56" t="s">
        <v>7</v>
      </c>
      <c r="R1" s="54" t="s">
        <v>1101</v>
      </c>
      <c r="S1" s="54" t="s">
        <v>7</v>
      </c>
      <c r="T1" s="56" t="s">
        <v>1102</v>
      </c>
      <c r="U1" s="56" t="s">
        <v>7</v>
      </c>
      <c r="V1" s="54" t="s">
        <v>1103</v>
      </c>
      <c r="W1" s="54" t="s">
        <v>7</v>
      </c>
      <c r="X1" s="54" t="s">
        <v>1104</v>
      </c>
      <c r="Y1" s="54" t="s">
        <v>7</v>
      </c>
      <c r="Z1" s="54" t="s">
        <v>1105</v>
      </c>
      <c r="AA1" s="54" t="s">
        <v>7</v>
      </c>
      <c r="AB1" s="54" t="s">
        <v>1106</v>
      </c>
      <c r="AC1" s="54" t="s">
        <v>7</v>
      </c>
      <c r="AD1" s="54" t="s">
        <v>1107</v>
      </c>
      <c r="AE1" s="54" t="s">
        <v>7</v>
      </c>
      <c r="AF1" s="54" t="s">
        <v>1108</v>
      </c>
      <c r="AG1" s="54" t="s">
        <v>7</v>
      </c>
      <c r="AH1" s="87" t="s">
        <v>1109</v>
      </c>
      <c r="AI1" s="88" t="s">
        <v>7</v>
      </c>
      <c r="AJ1" s="55" t="s">
        <v>1110</v>
      </c>
      <c r="AK1" s="55" t="s">
        <v>7</v>
      </c>
      <c r="AL1" s="57" t="s">
        <v>1111</v>
      </c>
      <c r="AM1" s="57" t="s">
        <v>7</v>
      </c>
      <c r="AN1" s="54" t="s">
        <v>1112</v>
      </c>
      <c r="AO1" s="54" t="s">
        <v>13</v>
      </c>
      <c r="AP1" s="54" t="s">
        <v>1113</v>
      </c>
      <c r="AQ1" s="54" t="s">
        <v>7</v>
      </c>
      <c r="AR1" s="56" t="s">
        <v>1114</v>
      </c>
      <c r="AS1" s="56" t="s">
        <v>7</v>
      </c>
    </row>
    <row r="2" ht="15.75" customHeight="1">
      <c r="A2" s="8">
        <v>1509.0</v>
      </c>
      <c r="B2" s="9" t="s">
        <v>50</v>
      </c>
      <c r="C2" s="10" t="str">
        <f t="shared" ref="C2:C18" si="1">CONCATENATE(D2,"_",F2,"_",G2)</f>
        <v>LP 01_BC-01-LP01_BS VI MS</v>
      </c>
      <c r="D2" s="73" t="s">
        <v>1115</v>
      </c>
      <c r="E2" s="73" t="s">
        <v>1116</v>
      </c>
      <c r="F2" s="11" t="s">
        <v>1117</v>
      </c>
      <c r="G2" s="11" t="s">
        <v>191</v>
      </c>
      <c r="H2" s="24" t="s">
        <v>1118</v>
      </c>
      <c r="I2" s="19">
        <v>0.0</v>
      </c>
      <c r="J2" s="24" t="s">
        <v>1119</v>
      </c>
      <c r="K2" s="19">
        <v>0.0</v>
      </c>
      <c r="L2" s="24" t="s">
        <v>1120</v>
      </c>
      <c r="M2" s="19">
        <v>0.0</v>
      </c>
      <c r="N2" s="24" t="s">
        <v>1121</v>
      </c>
      <c r="O2" s="19">
        <v>0.0</v>
      </c>
      <c r="P2" s="24" t="s">
        <v>1122</v>
      </c>
      <c r="Q2" s="19">
        <v>0.0</v>
      </c>
      <c r="R2" s="24" t="s">
        <v>1123</v>
      </c>
      <c r="S2" s="19">
        <v>0.0</v>
      </c>
      <c r="T2" s="24" t="s">
        <v>1124</v>
      </c>
      <c r="U2" s="19">
        <v>0.0</v>
      </c>
      <c r="V2" s="24" t="s">
        <v>1125</v>
      </c>
      <c r="W2" s="19">
        <v>0.0</v>
      </c>
      <c r="X2" s="24" t="s">
        <v>1126</v>
      </c>
      <c r="Y2" s="19">
        <v>0.0</v>
      </c>
      <c r="Z2" s="24" t="s">
        <v>1127</v>
      </c>
      <c r="AA2" s="19">
        <v>0.0</v>
      </c>
      <c r="AB2" s="24" t="s">
        <v>1128</v>
      </c>
      <c r="AC2" s="19">
        <v>0.0</v>
      </c>
      <c r="AD2" s="24" t="s">
        <v>1129</v>
      </c>
      <c r="AE2" s="19">
        <v>0.0</v>
      </c>
      <c r="AF2" s="24" t="s">
        <v>1130</v>
      </c>
      <c r="AG2" s="19">
        <v>0.0</v>
      </c>
      <c r="AH2" s="24" t="s">
        <v>1131</v>
      </c>
      <c r="AI2" s="19">
        <v>2.0</v>
      </c>
      <c r="AJ2" s="24" t="s">
        <v>1132</v>
      </c>
      <c r="AK2" s="19">
        <v>0.0</v>
      </c>
      <c r="AL2" s="24" t="s">
        <v>1133</v>
      </c>
      <c r="AM2" s="19">
        <v>0.0</v>
      </c>
      <c r="AN2" s="24" t="s">
        <v>1134</v>
      </c>
      <c r="AO2" s="19">
        <v>0.0</v>
      </c>
      <c r="AP2" s="24" t="s">
        <v>1135</v>
      </c>
      <c r="AQ2" s="19">
        <v>0.0</v>
      </c>
      <c r="AR2" s="24" t="s">
        <v>1136</v>
      </c>
      <c r="AS2" s="19">
        <v>0.0</v>
      </c>
    </row>
    <row r="3" ht="15.75" customHeight="1">
      <c r="A3" s="8">
        <v>1509.0</v>
      </c>
      <c r="B3" s="9" t="s">
        <v>50</v>
      </c>
      <c r="C3" s="10" t="str">
        <f t="shared" si="1"/>
        <v>LP 02_BC-01-LP02_BS VI HSD</v>
      </c>
      <c r="D3" s="73" t="s">
        <v>1137</v>
      </c>
      <c r="E3" s="73" t="s">
        <v>1116</v>
      </c>
      <c r="F3" s="11" t="s">
        <v>1138</v>
      </c>
      <c r="G3" s="11" t="s">
        <v>84</v>
      </c>
      <c r="H3" s="24" t="s">
        <v>1139</v>
      </c>
      <c r="I3" s="19">
        <v>0.0</v>
      </c>
      <c r="J3" s="24" t="s">
        <v>1140</v>
      </c>
      <c r="K3" s="19">
        <v>0.0</v>
      </c>
      <c r="L3" s="24"/>
      <c r="M3" s="24"/>
      <c r="N3" s="24" t="s">
        <v>1141</v>
      </c>
      <c r="O3" s="19">
        <v>0.0</v>
      </c>
      <c r="P3" s="24"/>
      <c r="Q3" s="24"/>
      <c r="R3" s="24" t="s">
        <v>1142</v>
      </c>
      <c r="S3" s="19">
        <v>0.0</v>
      </c>
      <c r="T3" s="24"/>
      <c r="U3" s="24"/>
      <c r="V3" s="24" t="s">
        <v>1143</v>
      </c>
      <c r="W3" s="19">
        <v>0.0</v>
      </c>
      <c r="X3" s="24" t="s">
        <v>1144</v>
      </c>
      <c r="Y3" s="19">
        <v>0.0</v>
      </c>
      <c r="Z3" s="24" t="s">
        <v>1145</v>
      </c>
      <c r="AA3" s="19">
        <v>0.0</v>
      </c>
      <c r="AB3" s="24" t="s">
        <v>1146</v>
      </c>
      <c r="AC3" s="19">
        <v>0.0</v>
      </c>
      <c r="AD3" s="24" t="s">
        <v>1147</v>
      </c>
      <c r="AE3" s="19">
        <v>0.0</v>
      </c>
      <c r="AF3" s="24" t="s">
        <v>1148</v>
      </c>
      <c r="AG3" s="19">
        <v>0.0</v>
      </c>
      <c r="AH3" s="24" t="s">
        <v>1149</v>
      </c>
      <c r="AI3" s="19">
        <v>2.0</v>
      </c>
      <c r="AJ3" s="24" t="s">
        <v>1150</v>
      </c>
      <c r="AK3" s="19">
        <v>0.0</v>
      </c>
      <c r="AL3" s="24"/>
      <c r="AM3" s="24"/>
      <c r="AN3" s="24" t="s">
        <v>1151</v>
      </c>
      <c r="AO3" s="19">
        <v>0.0</v>
      </c>
      <c r="AP3" s="24" t="s">
        <v>1152</v>
      </c>
      <c r="AQ3" s="19">
        <v>0.0</v>
      </c>
      <c r="AR3" s="24"/>
      <c r="AS3" s="24"/>
    </row>
    <row r="4" ht="15.75" customHeight="1">
      <c r="A4" s="8">
        <v>1509.0</v>
      </c>
      <c r="B4" s="9" t="s">
        <v>50</v>
      </c>
      <c r="C4" s="10" t="str">
        <f t="shared" si="1"/>
        <v>LP 03_BC-02-LP01_BS VI MS</v>
      </c>
      <c r="D4" s="73" t="s">
        <v>1153</v>
      </c>
      <c r="E4" s="73" t="s">
        <v>1116</v>
      </c>
      <c r="F4" s="11" t="s">
        <v>1154</v>
      </c>
      <c r="G4" s="11" t="s">
        <v>191</v>
      </c>
      <c r="H4" s="24" t="s">
        <v>1155</v>
      </c>
      <c r="I4" s="19">
        <v>0.0</v>
      </c>
      <c r="J4" s="24" t="s">
        <v>1156</v>
      </c>
      <c r="K4" s="19">
        <v>0.0</v>
      </c>
      <c r="L4" s="24" t="s">
        <v>1157</v>
      </c>
      <c r="M4" s="19">
        <v>0.0</v>
      </c>
      <c r="N4" s="24" t="s">
        <v>1158</v>
      </c>
      <c r="O4" s="19">
        <v>0.0</v>
      </c>
      <c r="P4" s="24" t="s">
        <v>1159</v>
      </c>
      <c r="Q4" s="19">
        <v>0.0</v>
      </c>
      <c r="R4" s="24" t="s">
        <v>1160</v>
      </c>
      <c r="S4" s="19">
        <v>0.0</v>
      </c>
      <c r="T4" s="24" t="s">
        <v>1161</v>
      </c>
      <c r="U4" s="19">
        <v>0.0</v>
      </c>
      <c r="V4" s="24" t="s">
        <v>1162</v>
      </c>
      <c r="W4" s="19">
        <v>0.0</v>
      </c>
      <c r="X4" s="24" t="s">
        <v>1163</v>
      </c>
      <c r="Y4" s="19">
        <v>0.0</v>
      </c>
      <c r="Z4" s="24" t="s">
        <v>1164</v>
      </c>
      <c r="AA4" s="19">
        <v>0.0</v>
      </c>
      <c r="AB4" s="24" t="s">
        <v>1165</v>
      </c>
      <c r="AC4" s="19">
        <v>0.0</v>
      </c>
      <c r="AD4" s="24" t="s">
        <v>1166</v>
      </c>
      <c r="AE4" s="19">
        <v>0.0</v>
      </c>
      <c r="AF4" s="24" t="s">
        <v>1167</v>
      </c>
      <c r="AG4" s="19">
        <v>0.0</v>
      </c>
      <c r="AH4" s="24" t="s">
        <v>1168</v>
      </c>
      <c r="AI4" s="19">
        <v>2.0</v>
      </c>
      <c r="AJ4" s="24" t="s">
        <v>1169</v>
      </c>
      <c r="AK4" s="19">
        <v>0.0</v>
      </c>
      <c r="AL4" s="24" t="s">
        <v>1170</v>
      </c>
      <c r="AM4" s="19">
        <v>0.0</v>
      </c>
      <c r="AN4" s="24" t="s">
        <v>1171</v>
      </c>
      <c r="AO4" s="19">
        <v>0.0</v>
      </c>
      <c r="AP4" s="24" t="s">
        <v>1172</v>
      </c>
      <c r="AQ4" s="19">
        <v>0.0</v>
      </c>
      <c r="AR4" s="24" t="s">
        <v>1173</v>
      </c>
      <c r="AS4" s="19">
        <v>0.0</v>
      </c>
    </row>
    <row r="5" ht="15.75" customHeight="1">
      <c r="A5" s="8">
        <v>1509.0</v>
      </c>
      <c r="B5" s="9" t="s">
        <v>50</v>
      </c>
      <c r="C5" s="10" t="str">
        <f t="shared" si="1"/>
        <v>LP 04_BC-02-LP02_BS VI HSD</v>
      </c>
      <c r="D5" s="73" t="s">
        <v>1174</v>
      </c>
      <c r="E5" s="73" t="s">
        <v>1116</v>
      </c>
      <c r="F5" s="11" t="s">
        <v>1175</v>
      </c>
      <c r="G5" s="11" t="s">
        <v>84</v>
      </c>
      <c r="H5" s="24" t="s">
        <v>1176</v>
      </c>
      <c r="I5" s="19">
        <v>0.0</v>
      </c>
      <c r="J5" s="24" t="s">
        <v>1177</v>
      </c>
      <c r="K5" s="19">
        <v>0.0</v>
      </c>
      <c r="L5" s="24"/>
      <c r="M5" s="24"/>
      <c r="N5" s="24" t="s">
        <v>1178</v>
      </c>
      <c r="O5" s="19">
        <v>0.0</v>
      </c>
      <c r="P5" s="24"/>
      <c r="Q5" s="24"/>
      <c r="R5" s="24" t="s">
        <v>1179</v>
      </c>
      <c r="S5" s="19">
        <v>0.0</v>
      </c>
      <c r="T5" s="24"/>
      <c r="U5" s="24"/>
      <c r="V5" s="24" t="s">
        <v>1180</v>
      </c>
      <c r="W5" s="19">
        <v>0.0</v>
      </c>
      <c r="X5" s="24" t="s">
        <v>1181</v>
      </c>
      <c r="Y5" s="19">
        <v>0.0</v>
      </c>
      <c r="Z5" s="24" t="s">
        <v>1182</v>
      </c>
      <c r="AA5" s="19">
        <v>0.0</v>
      </c>
      <c r="AB5" s="24" t="s">
        <v>1183</v>
      </c>
      <c r="AC5" s="19">
        <v>0.0</v>
      </c>
      <c r="AD5" s="24" t="s">
        <v>1184</v>
      </c>
      <c r="AE5" s="19">
        <v>0.0</v>
      </c>
      <c r="AF5" s="24" t="s">
        <v>1185</v>
      </c>
      <c r="AG5" s="19">
        <v>0.0</v>
      </c>
      <c r="AH5" s="24" t="s">
        <v>1186</v>
      </c>
      <c r="AI5" s="19">
        <v>2.0</v>
      </c>
      <c r="AJ5" s="24" t="s">
        <v>1187</v>
      </c>
      <c r="AK5" s="19">
        <v>0.0</v>
      </c>
      <c r="AL5" s="24"/>
      <c r="AM5" s="24"/>
      <c r="AN5" s="24" t="s">
        <v>1188</v>
      </c>
      <c r="AO5" s="19">
        <v>0.0</v>
      </c>
      <c r="AP5" s="24" t="s">
        <v>1189</v>
      </c>
      <c r="AQ5" s="19">
        <v>0.0</v>
      </c>
      <c r="AR5" s="24"/>
      <c r="AS5" s="24"/>
    </row>
    <row r="6" ht="15.75" customHeight="1">
      <c r="A6" s="8">
        <v>1509.0</v>
      </c>
      <c r="B6" s="9" t="s">
        <v>50</v>
      </c>
      <c r="C6" s="10" t="str">
        <f t="shared" si="1"/>
        <v>LP 05_BC-03-LP01_BS VI MS</v>
      </c>
      <c r="D6" s="73" t="s">
        <v>1190</v>
      </c>
      <c r="E6" s="73" t="s">
        <v>1116</v>
      </c>
      <c r="F6" s="11" t="s">
        <v>1191</v>
      </c>
      <c r="G6" s="11" t="s">
        <v>191</v>
      </c>
      <c r="H6" s="24" t="s">
        <v>1192</v>
      </c>
      <c r="I6" s="19">
        <v>0.0</v>
      </c>
      <c r="J6" s="24" t="s">
        <v>1193</v>
      </c>
      <c r="K6" s="19">
        <v>0.0</v>
      </c>
      <c r="L6" s="24" t="s">
        <v>1194</v>
      </c>
      <c r="M6" s="19">
        <v>0.0</v>
      </c>
      <c r="N6" s="24" t="s">
        <v>1195</v>
      </c>
      <c r="O6" s="19">
        <v>0.0</v>
      </c>
      <c r="P6" s="24" t="s">
        <v>1196</v>
      </c>
      <c r="Q6" s="19">
        <v>0.0</v>
      </c>
      <c r="R6" s="24" t="s">
        <v>1197</v>
      </c>
      <c r="S6" s="19">
        <v>0.0</v>
      </c>
      <c r="T6" s="24" t="s">
        <v>1198</v>
      </c>
      <c r="U6" s="19">
        <v>0.0</v>
      </c>
      <c r="V6" s="24" t="s">
        <v>1199</v>
      </c>
      <c r="W6" s="19">
        <v>0.0</v>
      </c>
      <c r="X6" s="24" t="s">
        <v>1200</v>
      </c>
      <c r="Y6" s="19">
        <v>0.0</v>
      </c>
      <c r="Z6" s="24" t="s">
        <v>1201</v>
      </c>
      <c r="AA6" s="19">
        <v>0.0</v>
      </c>
      <c r="AB6" s="24" t="s">
        <v>1202</v>
      </c>
      <c r="AC6" s="19">
        <v>0.0</v>
      </c>
      <c r="AD6" s="24" t="s">
        <v>1203</v>
      </c>
      <c r="AE6" s="19">
        <v>0.0</v>
      </c>
      <c r="AF6" s="24" t="s">
        <v>1204</v>
      </c>
      <c r="AG6" s="19">
        <v>0.0</v>
      </c>
      <c r="AH6" s="24" t="s">
        <v>1205</v>
      </c>
      <c r="AI6" s="19">
        <v>2.0</v>
      </c>
      <c r="AJ6" s="24" t="s">
        <v>1206</v>
      </c>
      <c r="AK6" s="19">
        <v>0.0</v>
      </c>
      <c r="AL6" s="24" t="s">
        <v>1207</v>
      </c>
      <c r="AM6" s="19">
        <v>0.0</v>
      </c>
      <c r="AN6" s="24" t="s">
        <v>1208</v>
      </c>
      <c r="AO6" s="19">
        <v>0.0</v>
      </c>
      <c r="AP6" s="24" t="s">
        <v>1209</v>
      </c>
      <c r="AQ6" s="19">
        <v>0.0</v>
      </c>
      <c r="AR6" s="24" t="s">
        <v>1210</v>
      </c>
      <c r="AS6" s="19">
        <v>0.0</v>
      </c>
    </row>
    <row r="7" ht="15.75" customHeight="1">
      <c r="A7" s="8">
        <v>1509.0</v>
      </c>
      <c r="B7" s="9" t="s">
        <v>50</v>
      </c>
      <c r="C7" s="10" t="str">
        <f t="shared" si="1"/>
        <v>LP 06_BC-03-LP02_BS VI HSD</v>
      </c>
      <c r="D7" s="73" t="s">
        <v>1211</v>
      </c>
      <c r="E7" s="73" t="s">
        <v>1116</v>
      </c>
      <c r="F7" s="11" t="s">
        <v>1212</v>
      </c>
      <c r="G7" s="11" t="s">
        <v>84</v>
      </c>
      <c r="H7" s="24" t="s">
        <v>1213</v>
      </c>
      <c r="I7" s="19">
        <v>0.0</v>
      </c>
      <c r="J7" s="24" t="s">
        <v>1214</v>
      </c>
      <c r="K7" s="19">
        <v>0.0</v>
      </c>
      <c r="L7" s="24"/>
      <c r="M7" s="24"/>
      <c r="N7" s="24" t="s">
        <v>1215</v>
      </c>
      <c r="O7" s="19">
        <v>0.0</v>
      </c>
      <c r="P7" s="24"/>
      <c r="Q7" s="24"/>
      <c r="R7" s="24" t="s">
        <v>1216</v>
      </c>
      <c r="S7" s="19">
        <v>0.0</v>
      </c>
      <c r="T7" s="24"/>
      <c r="U7" s="24"/>
      <c r="V7" s="24" t="s">
        <v>1217</v>
      </c>
      <c r="W7" s="19">
        <v>0.0</v>
      </c>
      <c r="X7" s="24" t="s">
        <v>1218</v>
      </c>
      <c r="Y7" s="19">
        <v>0.0</v>
      </c>
      <c r="Z7" s="24" t="s">
        <v>1219</v>
      </c>
      <c r="AA7" s="19">
        <v>0.0</v>
      </c>
      <c r="AB7" s="24" t="s">
        <v>1220</v>
      </c>
      <c r="AC7" s="19">
        <v>0.0</v>
      </c>
      <c r="AD7" s="24" t="s">
        <v>1221</v>
      </c>
      <c r="AE7" s="19">
        <v>0.0</v>
      </c>
      <c r="AF7" s="24" t="s">
        <v>1222</v>
      </c>
      <c r="AG7" s="19">
        <v>0.0</v>
      </c>
      <c r="AH7" s="24" t="s">
        <v>1223</v>
      </c>
      <c r="AI7" s="19">
        <v>2.0</v>
      </c>
      <c r="AJ7" s="24" t="s">
        <v>1224</v>
      </c>
      <c r="AK7" s="19">
        <v>0.0</v>
      </c>
      <c r="AL7" s="24"/>
      <c r="AM7" s="24"/>
      <c r="AN7" s="24" t="s">
        <v>1225</v>
      </c>
      <c r="AO7" s="19">
        <v>0.0</v>
      </c>
      <c r="AP7" s="24" t="s">
        <v>1226</v>
      </c>
      <c r="AQ7" s="19">
        <v>0.0</v>
      </c>
      <c r="AR7" s="24"/>
      <c r="AS7" s="24"/>
    </row>
    <row r="8" ht="15.75" customHeight="1">
      <c r="A8" s="8">
        <v>1509.0</v>
      </c>
      <c r="B8" s="9" t="s">
        <v>50</v>
      </c>
      <c r="C8" s="10" t="str">
        <f t="shared" si="1"/>
        <v>LP 07_BC-04-LP01_BS VI MS</v>
      </c>
      <c r="D8" s="73" t="s">
        <v>1227</v>
      </c>
      <c r="E8" s="73" t="s">
        <v>1116</v>
      </c>
      <c r="F8" s="11" t="s">
        <v>1228</v>
      </c>
      <c r="G8" s="11" t="s">
        <v>191</v>
      </c>
      <c r="H8" s="24" t="s">
        <v>1229</v>
      </c>
      <c r="I8" s="19">
        <v>0.0</v>
      </c>
      <c r="J8" s="24" t="s">
        <v>1230</v>
      </c>
      <c r="K8" s="19">
        <v>0.0</v>
      </c>
      <c r="L8" s="24" t="s">
        <v>1231</v>
      </c>
      <c r="M8" s="19">
        <v>0.0</v>
      </c>
      <c r="N8" s="24" t="s">
        <v>1232</v>
      </c>
      <c r="O8" s="19">
        <v>0.0</v>
      </c>
      <c r="P8" s="24" t="s">
        <v>1233</v>
      </c>
      <c r="Q8" s="19">
        <v>0.0</v>
      </c>
      <c r="R8" s="24" t="s">
        <v>1234</v>
      </c>
      <c r="S8" s="19">
        <v>0.0</v>
      </c>
      <c r="T8" s="24" t="s">
        <v>1235</v>
      </c>
      <c r="U8" s="19">
        <v>0.0</v>
      </c>
      <c r="V8" s="24" t="s">
        <v>1236</v>
      </c>
      <c r="W8" s="19">
        <v>0.0</v>
      </c>
      <c r="X8" s="24" t="s">
        <v>1237</v>
      </c>
      <c r="Y8" s="19">
        <v>0.0</v>
      </c>
      <c r="Z8" s="24" t="s">
        <v>1238</v>
      </c>
      <c r="AA8" s="19">
        <v>0.0</v>
      </c>
      <c r="AB8" s="24" t="s">
        <v>1239</v>
      </c>
      <c r="AC8" s="19">
        <v>0.0</v>
      </c>
      <c r="AD8" s="24" t="s">
        <v>1240</v>
      </c>
      <c r="AE8" s="19">
        <v>0.0</v>
      </c>
      <c r="AF8" s="24" t="s">
        <v>1241</v>
      </c>
      <c r="AG8" s="19">
        <v>0.0</v>
      </c>
      <c r="AH8" s="24" t="s">
        <v>1242</v>
      </c>
      <c r="AI8" s="19">
        <v>2.0</v>
      </c>
      <c r="AJ8" s="24" t="s">
        <v>1243</v>
      </c>
      <c r="AK8" s="19">
        <v>0.0</v>
      </c>
      <c r="AL8" s="24" t="s">
        <v>1244</v>
      </c>
      <c r="AM8" s="19">
        <v>0.0</v>
      </c>
      <c r="AN8" s="24" t="s">
        <v>1245</v>
      </c>
      <c r="AO8" s="19">
        <v>0.0</v>
      </c>
      <c r="AP8" s="24" t="s">
        <v>1246</v>
      </c>
      <c r="AQ8" s="19">
        <v>0.0</v>
      </c>
      <c r="AR8" s="24" t="s">
        <v>1247</v>
      </c>
      <c r="AS8" s="19">
        <v>0.0</v>
      </c>
    </row>
    <row r="9" ht="15.75" customHeight="1">
      <c r="A9" s="8">
        <v>1509.0</v>
      </c>
      <c r="B9" s="9" t="s">
        <v>50</v>
      </c>
      <c r="C9" s="10" t="str">
        <f t="shared" si="1"/>
        <v>LP 08_BC-04-LP02_BS VI HSD</v>
      </c>
      <c r="D9" s="73" t="s">
        <v>1248</v>
      </c>
      <c r="E9" s="73" t="s">
        <v>1116</v>
      </c>
      <c r="F9" s="11" t="s">
        <v>1249</v>
      </c>
      <c r="G9" s="11" t="s">
        <v>84</v>
      </c>
      <c r="H9" s="24" t="s">
        <v>1250</v>
      </c>
      <c r="I9" s="19">
        <v>0.0</v>
      </c>
      <c r="J9" s="24" t="s">
        <v>1251</v>
      </c>
      <c r="K9" s="19">
        <v>0.0</v>
      </c>
      <c r="L9" s="24"/>
      <c r="M9" s="24"/>
      <c r="N9" s="24" t="s">
        <v>1252</v>
      </c>
      <c r="O9" s="19">
        <v>0.0</v>
      </c>
      <c r="P9" s="24"/>
      <c r="Q9" s="24"/>
      <c r="R9" s="24" t="s">
        <v>1253</v>
      </c>
      <c r="S9" s="19">
        <v>0.0</v>
      </c>
      <c r="T9" s="24"/>
      <c r="U9" s="24"/>
      <c r="V9" s="24" t="s">
        <v>1254</v>
      </c>
      <c r="W9" s="19">
        <v>0.0</v>
      </c>
      <c r="X9" s="24" t="s">
        <v>1255</v>
      </c>
      <c r="Y9" s="19">
        <v>0.0</v>
      </c>
      <c r="Z9" s="24" t="s">
        <v>1256</v>
      </c>
      <c r="AA9" s="19">
        <v>0.0</v>
      </c>
      <c r="AB9" s="24" t="s">
        <v>1257</v>
      </c>
      <c r="AC9" s="19">
        <v>0.0</v>
      </c>
      <c r="AD9" s="24" t="s">
        <v>1258</v>
      </c>
      <c r="AE9" s="19">
        <v>0.0</v>
      </c>
      <c r="AF9" s="24" t="s">
        <v>1259</v>
      </c>
      <c r="AG9" s="19">
        <v>0.0</v>
      </c>
      <c r="AH9" s="24" t="s">
        <v>1260</v>
      </c>
      <c r="AI9" s="19">
        <v>2.0</v>
      </c>
      <c r="AJ9" s="24" t="s">
        <v>1261</v>
      </c>
      <c r="AK9" s="19">
        <v>0.0</v>
      </c>
      <c r="AL9" s="24"/>
      <c r="AM9" s="24"/>
      <c r="AN9" s="24" t="s">
        <v>1262</v>
      </c>
      <c r="AO9" s="19">
        <v>0.0</v>
      </c>
      <c r="AP9" s="24" t="s">
        <v>1263</v>
      </c>
      <c r="AQ9" s="19">
        <v>0.0</v>
      </c>
      <c r="AR9" s="24"/>
      <c r="AS9" s="24"/>
    </row>
    <row r="10" ht="15.75" customHeight="1">
      <c r="A10" s="8">
        <v>1509.0</v>
      </c>
      <c r="B10" s="9" t="s">
        <v>50</v>
      </c>
      <c r="C10" s="10" t="str">
        <f t="shared" si="1"/>
        <v>LP 09_BC-05-LP01_BS VI HSD</v>
      </c>
      <c r="D10" s="73" t="s">
        <v>1264</v>
      </c>
      <c r="E10" s="73" t="s">
        <v>1116</v>
      </c>
      <c r="F10" s="11" t="s">
        <v>1265</v>
      </c>
      <c r="G10" s="11" t="s">
        <v>84</v>
      </c>
      <c r="H10" s="24" t="s">
        <v>1266</v>
      </c>
      <c r="I10" s="19">
        <v>0.0</v>
      </c>
      <c r="J10" s="24" t="s">
        <v>1267</v>
      </c>
      <c r="K10" s="19">
        <v>0.0</v>
      </c>
      <c r="L10" s="24" t="s">
        <v>1268</v>
      </c>
      <c r="M10" s="19">
        <v>0.0</v>
      </c>
      <c r="N10" s="24" t="s">
        <v>1269</v>
      </c>
      <c r="O10" s="19">
        <v>0.0</v>
      </c>
      <c r="P10" s="24" t="s">
        <v>1270</v>
      </c>
      <c r="Q10" s="19">
        <v>0.0</v>
      </c>
      <c r="R10" s="24" t="s">
        <v>1271</v>
      </c>
      <c r="S10" s="19">
        <v>0.0</v>
      </c>
      <c r="T10" s="24" t="s">
        <v>1272</v>
      </c>
      <c r="U10" s="19">
        <v>0.0</v>
      </c>
      <c r="V10" s="24" t="s">
        <v>1273</v>
      </c>
      <c r="W10" s="19">
        <v>0.0</v>
      </c>
      <c r="X10" s="24" t="s">
        <v>1274</v>
      </c>
      <c r="Y10" s="19">
        <v>0.0</v>
      </c>
      <c r="Z10" s="24" t="s">
        <v>1275</v>
      </c>
      <c r="AA10" s="19">
        <v>0.0</v>
      </c>
      <c r="AB10" s="24" t="s">
        <v>1276</v>
      </c>
      <c r="AC10" s="19">
        <v>0.0</v>
      </c>
      <c r="AD10" s="24" t="s">
        <v>1277</v>
      </c>
      <c r="AE10" s="19">
        <v>0.0</v>
      </c>
      <c r="AF10" s="24" t="s">
        <v>1278</v>
      </c>
      <c r="AG10" s="19">
        <v>0.0</v>
      </c>
      <c r="AH10" s="24" t="s">
        <v>1279</v>
      </c>
      <c r="AI10" s="19">
        <v>2.0</v>
      </c>
      <c r="AJ10" s="24" t="s">
        <v>1280</v>
      </c>
      <c r="AK10" s="19">
        <v>0.0</v>
      </c>
      <c r="AL10" s="24" t="s">
        <v>1281</v>
      </c>
      <c r="AM10" s="19">
        <v>0.0</v>
      </c>
      <c r="AN10" s="24" t="s">
        <v>1282</v>
      </c>
      <c r="AO10" s="19">
        <v>0.0</v>
      </c>
      <c r="AP10" s="24" t="s">
        <v>1283</v>
      </c>
      <c r="AQ10" s="19">
        <v>0.0</v>
      </c>
      <c r="AR10" s="24" t="s">
        <v>1284</v>
      </c>
      <c r="AS10" s="19">
        <v>0.0</v>
      </c>
    </row>
    <row r="11" ht="15.75" customHeight="1">
      <c r="A11" s="8">
        <v>1509.0</v>
      </c>
      <c r="B11" s="9" t="s">
        <v>50</v>
      </c>
      <c r="C11" s="10" t="str">
        <f t="shared" si="1"/>
        <v>LP 10_BC-05-LP02_BS VI HSD</v>
      </c>
      <c r="D11" s="73" t="s">
        <v>1285</v>
      </c>
      <c r="E11" s="73" t="s">
        <v>1116</v>
      </c>
      <c r="F11" s="11" t="s">
        <v>1286</v>
      </c>
      <c r="G11" s="11" t="s">
        <v>84</v>
      </c>
      <c r="H11" s="24" t="s">
        <v>1287</v>
      </c>
      <c r="I11" s="19">
        <v>0.0</v>
      </c>
      <c r="J11" s="24" t="s">
        <v>1288</v>
      </c>
      <c r="K11" s="19">
        <v>0.0</v>
      </c>
      <c r="L11" s="24"/>
      <c r="M11" s="24"/>
      <c r="N11" s="24" t="s">
        <v>1289</v>
      </c>
      <c r="O11" s="19">
        <v>0.0</v>
      </c>
      <c r="P11" s="24"/>
      <c r="Q11" s="24"/>
      <c r="R11" s="24" t="s">
        <v>1290</v>
      </c>
      <c r="S11" s="19">
        <v>0.0</v>
      </c>
      <c r="T11" s="24"/>
      <c r="U11" s="24"/>
      <c r="V11" s="24" t="s">
        <v>1291</v>
      </c>
      <c r="W11" s="19">
        <v>0.0</v>
      </c>
      <c r="X11" s="24" t="s">
        <v>1292</v>
      </c>
      <c r="Y11" s="19">
        <v>0.0</v>
      </c>
      <c r="Z11" s="24" t="s">
        <v>1293</v>
      </c>
      <c r="AA11" s="19">
        <v>0.0</v>
      </c>
      <c r="AB11" s="24" t="s">
        <v>1294</v>
      </c>
      <c r="AC11" s="19">
        <v>0.0</v>
      </c>
      <c r="AD11" s="24" t="s">
        <v>1295</v>
      </c>
      <c r="AE11" s="19">
        <v>0.0</v>
      </c>
      <c r="AF11" s="24" t="s">
        <v>1296</v>
      </c>
      <c r="AG11" s="19">
        <v>0.0</v>
      </c>
      <c r="AH11" s="24" t="s">
        <v>1297</v>
      </c>
      <c r="AI11" s="19">
        <v>2.0</v>
      </c>
      <c r="AJ11" s="24" t="s">
        <v>1298</v>
      </c>
      <c r="AK11" s="19">
        <v>0.0</v>
      </c>
      <c r="AL11" s="24"/>
      <c r="AM11" s="24"/>
      <c r="AN11" s="24" t="s">
        <v>1299</v>
      </c>
      <c r="AO11" s="19">
        <v>0.0</v>
      </c>
      <c r="AP11" s="24" t="s">
        <v>1300</v>
      </c>
      <c r="AQ11" s="19">
        <v>0.0</v>
      </c>
      <c r="AR11" s="24"/>
      <c r="AS11" s="24"/>
    </row>
    <row r="12" ht="15.75" customHeight="1">
      <c r="A12" s="8">
        <v>1509.0</v>
      </c>
      <c r="B12" s="9" t="s">
        <v>50</v>
      </c>
      <c r="C12" s="10" t="str">
        <f t="shared" si="1"/>
        <v>LP 11_BC-BLUE-DYE_SKO</v>
      </c>
      <c r="D12" s="73" t="s">
        <v>1301</v>
      </c>
      <c r="E12" s="73" t="s">
        <v>1116</v>
      </c>
      <c r="F12" s="11" t="s">
        <v>1302</v>
      </c>
      <c r="G12" s="11" t="s">
        <v>125</v>
      </c>
      <c r="H12" s="52" t="s">
        <v>1303</v>
      </c>
      <c r="I12" s="19">
        <v>0.0</v>
      </c>
      <c r="J12" s="24" t="s">
        <v>1304</v>
      </c>
      <c r="K12" s="19">
        <v>0.0</v>
      </c>
      <c r="L12" s="24"/>
      <c r="M12" s="24"/>
      <c r="N12" s="24" t="s">
        <v>1305</v>
      </c>
      <c r="O12" s="19">
        <v>0.0</v>
      </c>
      <c r="P12" s="24"/>
      <c r="Q12" s="24"/>
      <c r="R12" s="24" t="s">
        <v>1306</v>
      </c>
      <c r="S12" s="19">
        <v>0.0</v>
      </c>
      <c r="T12" s="24"/>
      <c r="U12" s="24"/>
      <c r="V12" s="24" t="s">
        <v>1307</v>
      </c>
      <c r="W12" s="19">
        <v>0.0</v>
      </c>
      <c r="X12" s="24" t="s">
        <v>1308</v>
      </c>
      <c r="Y12" s="19">
        <v>0.0</v>
      </c>
      <c r="Z12" s="24" t="s">
        <v>1309</v>
      </c>
      <c r="AA12" s="19">
        <v>0.0</v>
      </c>
      <c r="AB12" s="24" t="s">
        <v>1310</v>
      </c>
      <c r="AC12" s="19">
        <v>0.0</v>
      </c>
      <c r="AD12" s="24" t="s">
        <v>1311</v>
      </c>
      <c r="AE12" s="19">
        <v>0.0</v>
      </c>
      <c r="AF12" s="24" t="s">
        <v>1312</v>
      </c>
      <c r="AG12" s="19">
        <v>0.0</v>
      </c>
      <c r="AH12" s="24" t="s">
        <v>1313</v>
      </c>
      <c r="AI12" s="19">
        <v>2.0</v>
      </c>
      <c r="AJ12" s="24" t="s">
        <v>1314</v>
      </c>
      <c r="AK12" s="19">
        <v>0.0</v>
      </c>
      <c r="AL12" s="24"/>
      <c r="AM12" s="24"/>
      <c r="AN12" s="24" t="s">
        <v>1315</v>
      </c>
      <c r="AO12" s="19">
        <v>0.0</v>
      </c>
      <c r="AP12" s="24" t="s">
        <v>1316</v>
      </c>
      <c r="AQ12" s="19">
        <v>0.0</v>
      </c>
      <c r="AR12" s="24"/>
      <c r="AS12" s="24"/>
    </row>
    <row r="13" ht="15.75" customHeight="1">
      <c r="A13" s="8">
        <v>1509.0</v>
      </c>
      <c r="B13" s="9" t="s">
        <v>50</v>
      </c>
      <c r="C13" s="10" t="str">
        <f t="shared" si="1"/>
        <v>LP 12_BC-06-LP01_BS VI MS</v>
      </c>
      <c r="D13" s="73" t="s">
        <v>1317</v>
      </c>
      <c r="E13" s="73" t="s">
        <v>1116</v>
      </c>
      <c r="F13" s="11" t="s">
        <v>1318</v>
      </c>
      <c r="G13" s="11" t="s">
        <v>191</v>
      </c>
      <c r="H13" s="24" t="s">
        <v>1319</v>
      </c>
      <c r="I13" s="19">
        <v>0.0</v>
      </c>
      <c r="J13" s="24" t="s">
        <v>1320</v>
      </c>
      <c r="K13" s="19">
        <v>0.0</v>
      </c>
      <c r="L13" s="24" t="s">
        <v>1321</v>
      </c>
      <c r="M13" s="19">
        <v>0.0</v>
      </c>
      <c r="N13" s="24" t="s">
        <v>1322</v>
      </c>
      <c r="O13" s="19">
        <v>0.0</v>
      </c>
      <c r="P13" s="24" t="s">
        <v>1323</v>
      </c>
      <c r="Q13" s="19">
        <v>0.0</v>
      </c>
      <c r="R13" s="24" t="s">
        <v>1324</v>
      </c>
      <c r="S13" s="19">
        <v>0.0</v>
      </c>
      <c r="T13" s="24" t="s">
        <v>1325</v>
      </c>
      <c r="U13" s="19">
        <v>0.0</v>
      </c>
      <c r="V13" s="24" t="s">
        <v>1326</v>
      </c>
      <c r="W13" s="19">
        <v>0.0</v>
      </c>
      <c r="X13" s="24" t="s">
        <v>1327</v>
      </c>
      <c r="Y13" s="19">
        <v>0.0</v>
      </c>
      <c r="Z13" s="24" t="s">
        <v>1328</v>
      </c>
      <c r="AA13" s="19">
        <v>0.0</v>
      </c>
      <c r="AB13" s="24" t="s">
        <v>1329</v>
      </c>
      <c r="AC13" s="19">
        <v>0.0</v>
      </c>
      <c r="AD13" s="24" t="s">
        <v>1330</v>
      </c>
      <c r="AE13" s="19">
        <v>0.0</v>
      </c>
      <c r="AF13" s="24" t="s">
        <v>1331</v>
      </c>
      <c r="AG13" s="19">
        <v>0.0</v>
      </c>
      <c r="AH13" s="24" t="s">
        <v>1332</v>
      </c>
      <c r="AI13" s="19">
        <v>2.0</v>
      </c>
      <c r="AJ13" s="24" t="s">
        <v>1333</v>
      </c>
      <c r="AK13" s="19">
        <v>0.0</v>
      </c>
      <c r="AL13" s="24" t="s">
        <v>1334</v>
      </c>
      <c r="AM13" s="19">
        <v>0.0</v>
      </c>
      <c r="AN13" s="24" t="s">
        <v>1335</v>
      </c>
      <c r="AO13" s="19">
        <v>0.0</v>
      </c>
      <c r="AP13" s="24" t="s">
        <v>1336</v>
      </c>
      <c r="AQ13" s="19">
        <v>0.0</v>
      </c>
      <c r="AR13" s="24" t="s">
        <v>1337</v>
      </c>
      <c r="AS13" s="19">
        <v>0.0</v>
      </c>
    </row>
    <row r="14" ht="15.75" customHeight="1">
      <c r="A14" s="8">
        <v>1509.0</v>
      </c>
      <c r="B14" s="9" t="s">
        <v>50</v>
      </c>
      <c r="C14" s="10" t="str">
        <f t="shared" si="1"/>
        <v>LP 13_BC-06-LP02_BS VI HSD</v>
      </c>
      <c r="D14" s="73" t="s">
        <v>1338</v>
      </c>
      <c r="E14" s="73" t="s">
        <v>1116</v>
      </c>
      <c r="F14" s="11" t="s">
        <v>1339</v>
      </c>
      <c r="G14" s="11" t="s">
        <v>84</v>
      </c>
      <c r="H14" s="24" t="s">
        <v>1340</v>
      </c>
      <c r="I14" s="19">
        <v>0.0</v>
      </c>
      <c r="J14" s="24" t="s">
        <v>1341</v>
      </c>
      <c r="K14" s="19">
        <v>0.0</v>
      </c>
      <c r="L14" s="24"/>
      <c r="M14" s="24"/>
      <c r="N14" s="24" t="s">
        <v>1342</v>
      </c>
      <c r="O14" s="19">
        <v>0.0</v>
      </c>
      <c r="P14" s="24"/>
      <c r="Q14" s="24"/>
      <c r="R14" s="24" t="s">
        <v>1343</v>
      </c>
      <c r="S14" s="19">
        <v>0.0</v>
      </c>
      <c r="T14" s="24"/>
      <c r="U14" s="24"/>
      <c r="V14" s="24" t="s">
        <v>1344</v>
      </c>
      <c r="W14" s="19">
        <v>0.0</v>
      </c>
      <c r="X14" s="24" t="s">
        <v>1345</v>
      </c>
      <c r="Y14" s="19">
        <v>0.0</v>
      </c>
      <c r="Z14" s="24" t="s">
        <v>1346</v>
      </c>
      <c r="AA14" s="19">
        <v>0.0</v>
      </c>
      <c r="AB14" s="24" t="s">
        <v>1347</v>
      </c>
      <c r="AC14" s="19">
        <v>0.0</v>
      </c>
      <c r="AD14" s="24" t="s">
        <v>1348</v>
      </c>
      <c r="AE14" s="19">
        <v>0.0</v>
      </c>
      <c r="AF14" s="24" t="s">
        <v>1349</v>
      </c>
      <c r="AG14" s="19">
        <v>0.0</v>
      </c>
      <c r="AH14" s="24" t="s">
        <v>1350</v>
      </c>
      <c r="AI14" s="19">
        <v>2.0</v>
      </c>
      <c r="AJ14" s="24" t="s">
        <v>1351</v>
      </c>
      <c r="AK14" s="19">
        <v>0.0</v>
      </c>
      <c r="AL14" s="24"/>
      <c r="AM14" s="24"/>
      <c r="AN14" s="24" t="s">
        <v>1352</v>
      </c>
      <c r="AO14" s="19">
        <v>0.0</v>
      </c>
      <c r="AP14" s="24" t="s">
        <v>1353</v>
      </c>
      <c r="AQ14" s="19">
        <v>0.0</v>
      </c>
      <c r="AR14" s="24"/>
      <c r="AS14" s="24"/>
    </row>
    <row r="15" ht="15.75" customHeight="1">
      <c r="A15" s="8">
        <v>1509.0</v>
      </c>
      <c r="B15" s="9" t="s">
        <v>50</v>
      </c>
      <c r="C15" s="10" t="str">
        <f t="shared" si="1"/>
        <v>LP 14_BC-07-LP01_BS VI MS</v>
      </c>
      <c r="D15" s="73" t="s">
        <v>1354</v>
      </c>
      <c r="E15" s="73" t="s">
        <v>1116</v>
      </c>
      <c r="F15" s="11" t="s">
        <v>1355</v>
      </c>
      <c r="G15" s="11" t="s">
        <v>191</v>
      </c>
      <c r="H15" s="24" t="s">
        <v>1356</v>
      </c>
      <c r="I15" s="19">
        <v>0.0</v>
      </c>
      <c r="J15" s="24" t="s">
        <v>1357</v>
      </c>
      <c r="K15" s="19">
        <v>0.0</v>
      </c>
      <c r="L15" s="24" t="s">
        <v>1358</v>
      </c>
      <c r="M15" s="19">
        <v>0.0</v>
      </c>
      <c r="N15" s="24" t="s">
        <v>1359</v>
      </c>
      <c r="O15" s="19">
        <v>0.0</v>
      </c>
      <c r="P15" s="24" t="s">
        <v>1360</v>
      </c>
      <c r="Q15" s="19">
        <v>0.0</v>
      </c>
      <c r="R15" s="24" t="s">
        <v>1361</v>
      </c>
      <c r="S15" s="19">
        <v>0.0</v>
      </c>
      <c r="T15" s="24" t="s">
        <v>1362</v>
      </c>
      <c r="U15" s="19">
        <v>0.0</v>
      </c>
      <c r="V15" s="24" t="s">
        <v>1363</v>
      </c>
      <c r="W15" s="19">
        <v>0.0</v>
      </c>
      <c r="X15" s="24" t="s">
        <v>1364</v>
      </c>
      <c r="Y15" s="19">
        <v>0.0</v>
      </c>
      <c r="Z15" s="24" t="s">
        <v>1365</v>
      </c>
      <c r="AA15" s="19">
        <v>0.0</v>
      </c>
      <c r="AB15" s="24" t="s">
        <v>1366</v>
      </c>
      <c r="AC15" s="19">
        <v>0.0</v>
      </c>
      <c r="AD15" s="24" t="s">
        <v>1367</v>
      </c>
      <c r="AE15" s="19">
        <v>0.0</v>
      </c>
      <c r="AF15" s="24" t="s">
        <v>1368</v>
      </c>
      <c r="AG15" s="19">
        <v>0.0</v>
      </c>
      <c r="AH15" s="24" t="s">
        <v>1369</v>
      </c>
      <c r="AI15" s="19">
        <v>2.0</v>
      </c>
      <c r="AJ15" s="24" t="s">
        <v>1370</v>
      </c>
      <c r="AK15" s="19">
        <v>0.0</v>
      </c>
      <c r="AL15" s="24" t="s">
        <v>1371</v>
      </c>
      <c r="AM15" s="19">
        <v>0.0</v>
      </c>
      <c r="AN15" s="24" t="s">
        <v>1372</v>
      </c>
      <c r="AO15" s="19">
        <v>0.0</v>
      </c>
      <c r="AP15" s="24" t="s">
        <v>1373</v>
      </c>
      <c r="AQ15" s="19">
        <v>0.0</v>
      </c>
      <c r="AR15" s="24" t="s">
        <v>1374</v>
      </c>
      <c r="AS15" s="19">
        <v>0.0</v>
      </c>
    </row>
    <row r="16" ht="15.75" customHeight="1">
      <c r="A16" s="8">
        <v>1509.0</v>
      </c>
      <c r="B16" s="9" t="s">
        <v>50</v>
      </c>
      <c r="C16" s="10" t="str">
        <f t="shared" si="1"/>
        <v>LP 15_BC-07-LP02_BS VI HSD</v>
      </c>
      <c r="D16" s="73" t="s">
        <v>1375</v>
      </c>
      <c r="E16" s="73" t="s">
        <v>1116</v>
      </c>
      <c r="F16" s="11" t="s">
        <v>1376</v>
      </c>
      <c r="G16" s="11" t="s">
        <v>84</v>
      </c>
      <c r="H16" s="24" t="s">
        <v>1377</v>
      </c>
      <c r="I16" s="19">
        <v>0.0</v>
      </c>
      <c r="J16" s="24" t="s">
        <v>1378</v>
      </c>
      <c r="K16" s="19">
        <v>0.0</v>
      </c>
      <c r="L16" s="24"/>
      <c r="M16" s="24"/>
      <c r="N16" s="24" t="s">
        <v>1379</v>
      </c>
      <c r="O16" s="19">
        <v>0.0</v>
      </c>
      <c r="P16" s="24"/>
      <c r="Q16" s="24"/>
      <c r="R16" s="24" t="s">
        <v>1380</v>
      </c>
      <c r="S16" s="19">
        <v>0.0</v>
      </c>
      <c r="T16" s="24"/>
      <c r="U16" s="24"/>
      <c r="V16" s="24" t="s">
        <v>1381</v>
      </c>
      <c r="W16" s="19">
        <v>0.0</v>
      </c>
      <c r="X16" s="24" t="s">
        <v>1382</v>
      </c>
      <c r="Y16" s="19">
        <v>0.0</v>
      </c>
      <c r="Z16" s="24" t="s">
        <v>1383</v>
      </c>
      <c r="AA16" s="19">
        <v>0.0</v>
      </c>
      <c r="AB16" s="24" t="s">
        <v>1384</v>
      </c>
      <c r="AC16" s="19">
        <v>0.0</v>
      </c>
      <c r="AD16" s="24" t="s">
        <v>1385</v>
      </c>
      <c r="AE16" s="19">
        <v>0.0</v>
      </c>
      <c r="AF16" s="24" t="s">
        <v>1386</v>
      </c>
      <c r="AG16" s="19">
        <v>0.0</v>
      </c>
      <c r="AH16" s="24" t="s">
        <v>1387</v>
      </c>
      <c r="AI16" s="19">
        <v>2.0</v>
      </c>
      <c r="AJ16" s="24" t="s">
        <v>1388</v>
      </c>
      <c r="AK16" s="19">
        <v>0.0</v>
      </c>
      <c r="AL16" s="24"/>
      <c r="AM16" s="24"/>
      <c r="AN16" s="24" t="s">
        <v>1389</v>
      </c>
      <c r="AO16" s="19">
        <v>0.0</v>
      </c>
      <c r="AP16" s="24" t="s">
        <v>1390</v>
      </c>
      <c r="AQ16" s="19">
        <v>0.0</v>
      </c>
      <c r="AR16" s="24"/>
      <c r="AS16" s="24"/>
    </row>
    <row r="17" ht="15.75" customHeight="1">
      <c r="A17" s="8">
        <v>1509.0</v>
      </c>
      <c r="B17" s="9" t="s">
        <v>50</v>
      </c>
      <c r="C17" s="10" t="str">
        <f t="shared" si="1"/>
        <v>LP 16_BC-08-LP01_BS VI MS</v>
      </c>
      <c r="D17" s="73" t="s">
        <v>1391</v>
      </c>
      <c r="E17" s="73" t="s">
        <v>1116</v>
      </c>
      <c r="F17" s="11" t="s">
        <v>1392</v>
      </c>
      <c r="G17" s="11" t="s">
        <v>191</v>
      </c>
      <c r="H17" s="24" t="s">
        <v>1393</v>
      </c>
      <c r="I17" s="19">
        <v>0.0</v>
      </c>
      <c r="J17" s="24" t="s">
        <v>1394</v>
      </c>
      <c r="K17" s="19">
        <v>0.0</v>
      </c>
      <c r="L17" s="24" t="s">
        <v>1395</v>
      </c>
      <c r="M17" s="19">
        <v>0.0</v>
      </c>
      <c r="N17" s="24" t="s">
        <v>1396</v>
      </c>
      <c r="O17" s="19">
        <v>0.0</v>
      </c>
      <c r="P17" s="24" t="s">
        <v>1397</v>
      </c>
      <c r="Q17" s="19">
        <v>0.0</v>
      </c>
      <c r="R17" s="24" t="s">
        <v>1398</v>
      </c>
      <c r="S17" s="19">
        <v>0.0</v>
      </c>
      <c r="T17" s="24" t="s">
        <v>1399</v>
      </c>
      <c r="U17" s="19">
        <v>0.0</v>
      </c>
      <c r="V17" s="24" t="s">
        <v>1400</v>
      </c>
      <c r="W17" s="19">
        <v>0.0</v>
      </c>
      <c r="X17" s="24" t="s">
        <v>1401</v>
      </c>
      <c r="Y17" s="19">
        <v>0.0</v>
      </c>
      <c r="Z17" s="24" t="s">
        <v>1402</v>
      </c>
      <c r="AA17" s="19">
        <v>0.0</v>
      </c>
      <c r="AB17" s="24" t="s">
        <v>1403</v>
      </c>
      <c r="AC17" s="19">
        <v>0.0</v>
      </c>
      <c r="AD17" s="24" t="s">
        <v>1404</v>
      </c>
      <c r="AE17" s="19">
        <v>0.0</v>
      </c>
      <c r="AF17" s="24" t="s">
        <v>1405</v>
      </c>
      <c r="AG17" s="19">
        <v>0.0</v>
      </c>
      <c r="AH17" s="24" t="s">
        <v>1406</v>
      </c>
      <c r="AI17" s="19">
        <v>2.0</v>
      </c>
      <c r="AJ17" s="24" t="s">
        <v>1407</v>
      </c>
      <c r="AK17" s="19">
        <v>0.0</v>
      </c>
      <c r="AL17" s="24" t="s">
        <v>1408</v>
      </c>
      <c r="AM17" s="19">
        <v>0.0</v>
      </c>
      <c r="AN17" s="24" t="s">
        <v>1409</v>
      </c>
      <c r="AO17" s="19">
        <v>0.0</v>
      </c>
      <c r="AP17" s="24" t="s">
        <v>1410</v>
      </c>
      <c r="AQ17" s="19">
        <v>0.0</v>
      </c>
      <c r="AR17" s="24" t="s">
        <v>1411</v>
      </c>
      <c r="AS17" s="19">
        <v>0.0</v>
      </c>
    </row>
    <row r="18" ht="15.75" customHeight="1">
      <c r="A18" s="8">
        <v>1509.0</v>
      </c>
      <c r="B18" s="9" t="s">
        <v>50</v>
      </c>
      <c r="C18" s="10" t="str">
        <f t="shared" si="1"/>
        <v>LP 17_BC-08-LP02_BS VI HSD</v>
      </c>
      <c r="D18" s="73" t="s">
        <v>1412</v>
      </c>
      <c r="E18" s="73" t="s">
        <v>1116</v>
      </c>
      <c r="F18" s="11" t="s">
        <v>1413</v>
      </c>
      <c r="G18" s="11" t="s">
        <v>84</v>
      </c>
      <c r="H18" s="24" t="s">
        <v>1414</v>
      </c>
      <c r="I18" s="19">
        <v>0.0</v>
      </c>
      <c r="J18" s="24" t="s">
        <v>1415</v>
      </c>
      <c r="K18" s="19">
        <v>0.0</v>
      </c>
      <c r="L18" s="28"/>
      <c r="M18" s="28"/>
      <c r="N18" s="24" t="s">
        <v>1416</v>
      </c>
      <c r="O18" s="19">
        <v>0.0</v>
      </c>
      <c r="P18" s="28"/>
      <c r="Q18" s="28"/>
      <c r="R18" s="24" t="s">
        <v>1417</v>
      </c>
      <c r="S18" s="19">
        <v>0.0</v>
      </c>
      <c r="T18" s="28"/>
      <c r="U18" s="28"/>
      <c r="V18" s="24" t="s">
        <v>1418</v>
      </c>
      <c r="W18" s="19">
        <v>0.0</v>
      </c>
      <c r="X18" s="24" t="s">
        <v>1419</v>
      </c>
      <c r="Y18" s="19">
        <v>0.0</v>
      </c>
      <c r="Z18" s="24" t="s">
        <v>1420</v>
      </c>
      <c r="AA18" s="19">
        <v>0.0</v>
      </c>
      <c r="AB18" s="24" t="s">
        <v>1421</v>
      </c>
      <c r="AC18" s="19">
        <v>0.0</v>
      </c>
      <c r="AD18" s="24" t="s">
        <v>1422</v>
      </c>
      <c r="AE18" s="19">
        <v>0.0</v>
      </c>
      <c r="AF18" s="24" t="s">
        <v>1423</v>
      </c>
      <c r="AG18" s="19">
        <v>0.0</v>
      </c>
      <c r="AH18" s="24" t="s">
        <v>1424</v>
      </c>
      <c r="AI18" s="19">
        <v>2.0</v>
      </c>
      <c r="AJ18" s="24" t="s">
        <v>1425</v>
      </c>
      <c r="AK18" s="19">
        <v>0.0</v>
      </c>
      <c r="AL18" s="24"/>
      <c r="AM18" s="24"/>
      <c r="AN18" s="24" t="s">
        <v>1426</v>
      </c>
      <c r="AO18" s="19">
        <v>0.0</v>
      </c>
      <c r="AP18" s="24" t="s">
        <v>1427</v>
      </c>
      <c r="AQ18" s="19">
        <v>0.0</v>
      </c>
      <c r="AR18" s="28"/>
      <c r="AS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34"/>
      <c r="AI19" s="34"/>
      <c r="AJ19" s="28"/>
      <c r="AK19" s="28"/>
      <c r="AL19" s="28"/>
      <c r="AM19" s="28"/>
      <c r="AN19" s="28"/>
      <c r="AO19" s="28"/>
      <c r="AP19" s="28"/>
      <c r="AQ19" s="28"/>
      <c r="AR19" s="28"/>
      <c r="AS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34"/>
      <c r="AI20" s="34"/>
      <c r="AJ20" s="28"/>
      <c r="AK20" s="28"/>
      <c r="AL20" s="28"/>
      <c r="AM20" s="28"/>
      <c r="AN20" s="28"/>
      <c r="AO20" s="28"/>
      <c r="AP20" s="28"/>
      <c r="AQ20" s="28"/>
      <c r="AR20" s="28"/>
      <c r="AS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34"/>
      <c r="AI21" s="34"/>
      <c r="AJ21" s="28"/>
      <c r="AK21" s="28"/>
      <c r="AL21" s="28"/>
      <c r="AM21" s="28"/>
      <c r="AN21" s="28"/>
      <c r="AO21" s="28"/>
      <c r="AP21" s="28"/>
      <c r="AQ21" s="28"/>
      <c r="AR21" s="28"/>
      <c r="AS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34"/>
      <c r="AI22" s="34"/>
      <c r="AJ22" s="28"/>
      <c r="AK22" s="28"/>
      <c r="AL22" s="28"/>
      <c r="AM22" s="28"/>
      <c r="AN22" s="28"/>
      <c r="AO22" s="28"/>
      <c r="AP22" s="28"/>
      <c r="AQ22" s="28"/>
      <c r="AR22" s="28"/>
      <c r="AS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34"/>
      <c r="AI23" s="34"/>
      <c r="AJ23" s="28"/>
      <c r="AK23" s="28"/>
      <c r="AL23" s="28"/>
      <c r="AM23" s="28"/>
      <c r="AN23" s="28"/>
      <c r="AO23" s="28"/>
      <c r="AP23" s="28"/>
      <c r="AQ23" s="28"/>
      <c r="AR23" s="28"/>
      <c r="AS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34"/>
      <c r="AI24" s="34"/>
      <c r="AJ24" s="28"/>
      <c r="AK24" s="28"/>
      <c r="AL24" s="28"/>
      <c r="AM24" s="28"/>
      <c r="AN24" s="28"/>
      <c r="AO24" s="28"/>
      <c r="AP24" s="28"/>
      <c r="AQ24" s="28"/>
      <c r="AR24" s="28"/>
      <c r="AS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34"/>
      <c r="AI25" s="34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34"/>
      <c r="AI26" s="34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34"/>
      <c r="AI27" s="34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34"/>
      <c r="AI28" s="34"/>
      <c r="AJ28" s="28"/>
      <c r="AK28" s="28"/>
      <c r="AL28" s="28"/>
      <c r="AM28" s="28"/>
      <c r="AN28" s="28"/>
      <c r="AO28" s="28"/>
      <c r="AP28" s="28"/>
      <c r="AQ28" s="28"/>
      <c r="AR28" s="28"/>
      <c r="AS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34"/>
      <c r="AI29" s="34"/>
      <c r="AJ29" s="28"/>
      <c r="AK29" s="28"/>
      <c r="AL29" s="28"/>
      <c r="AM29" s="28"/>
      <c r="AN29" s="28"/>
      <c r="AO29" s="28"/>
      <c r="AP29" s="28"/>
      <c r="AQ29" s="28"/>
      <c r="AR29" s="28"/>
      <c r="AS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34"/>
      <c r="AI30" s="34"/>
      <c r="AJ30" s="28"/>
      <c r="AK30" s="28"/>
      <c r="AL30" s="28"/>
      <c r="AM30" s="28"/>
      <c r="AN30" s="28"/>
      <c r="AO30" s="28"/>
      <c r="AP30" s="28"/>
      <c r="AQ30" s="28"/>
      <c r="AR30" s="28"/>
      <c r="AS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34"/>
      <c r="AI31" s="34"/>
      <c r="AJ31" s="28"/>
      <c r="AK31" s="28"/>
      <c r="AL31" s="28"/>
      <c r="AM31" s="28"/>
      <c r="AN31" s="28"/>
      <c r="AO31" s="28"/>
      <c r="AP31" s="28"/>
      <c r="AQ31" s="28"/>
      <c r="AR31" s="28"/>
      <c r="AS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34"/>
      <c r="AI32" s="34"/>
      <c r="AJ32" s="28"/>
      <c r="AK32" s="28"/>
      <c r="AL32" s="28"/>
      <c r="AM32" s="28"/>
      <c r="AN32" s="28"/>
      <c r="AO32" s="28"/>
      <c r="AP32" s="28"/>
      <c r="AQ32" s="28"/>
      <c r="AR32" s="28"/>
      <c r="AS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34"/>
      <c r="AI33" s="34"/>
      <c r="AJ33" s="28"/>
      <c r="AK33" s="28"/>
      <c r="AL33" s="28"/>
      <c r="AM33" s="28"/>
      <c r="AN33" s="28"/>
      <c r="AO33" s="28"/>
      <c r="AP33" s="28"/>
      <c r="AQ33" s="28"/>
      <c r="AR33" s="28"/>
      <c r="AS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34"/>
      <c r="AI34" s="34"/>
      <c r="AJ34" s="28"/>
      <c r="AK34" s="28"/>
      <c r="AL34" s="28"/>
      <c r="AM34" s="28"/>
      <c r="AN34" s="28"/>
      <c r="AO34" s="28"/>
      <c r="AP34" s="28"/>
      <c r="AQ34" s="28"/>
      <c r="AR34" s="28"/>
      <c r="AS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34"/>
      <c r="AI35" s="34"/>
      <c r="AJ35" s="28"/>
      <c r="AK35" s="28"/>
      <c r="AL35" s="28"/>
      <c r="AM35" s="28"/>
      <c r="AN35" s="28"/>
      <c r="AO35" s="28"/>
      <c r="AP35" s="28"/>
      <c r="AQ35" s="28"/>
      <c r="AR35" s="28"/>
      <c r="AS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34"/>
      <c r="AI36" s="34"/>
      <c r="AJ36" s="28"/>
      <c r="AK36" s="28"/>
      <c r="AL36" s="28"/>
      <c r="AM36" s="28"/>
      <c r="AN36" s="28"/>
      <c r="AO36" s="28"/>
      <c r="AP36" s="28"/>
      <c r="AQ36" s="28"/>
      <c r="AR36" s="28"/>
      <c r="AS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4"/>
      <c r="AI37" s="34"/>
      <c r="AJ37" s="28"/>
      <c r="AK37" s="28"/>
      <c r="AL37" s="28"/>
      <c r="AM37" s="28"/>
      <c r="AN37" s="28"/>
      <c r="AO37" s="28"/>
      <c r="AP37" s="28"/>
      <c r="AQ37" s="28"/>
      <c r="AR37" s="28"/>
      <c r="AS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34"/>
      <c r="AI38" s="34"/>
      <c r="AJ38" s="28"/>
      <c r="AK38" s="28"/>
      <c r="AL38" s="28"/>
      <c r="AM38" s="28"/>
      <c r="AN38" s="28"/>
      <c r="AO38" s="28"/>
      <c r="AP38" s="28"/>
      <c r="AQ38" s="28"/>
      <c r="AR38" s="28"/>
      <c r="AS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34"/>
      <c r="AI39" s="34"/>
      <c r="AJ39" s="28"/>
      <c r="AK39" s="28"/>
      <c r="AL39" s="28"/>
      <c r="AM39" s="28"/>
      <c r="AN39" s="28"/>
      <c r="AO39" s="28"/>
      <c r="AP39" s="28"/>
      <c r="AQ39" s="28"/>
      <c r="AR39" s="28"/>
      <c r="AS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34"/>
      <c r="AI40" s="34"/>
      <c r="AJ40" s="28"/>
      <c r="AK40" s="28"/>
      <c r="AL40" s="28"/>
      <c r="AM40" s="28"/>
      <c r="AN40" s="28"/>
      <c r="AO40" s="28"/>
      <c r="AP40" s="28"/>
      <c r="AQ40" s="28"/>
      <c r="AR40" s="28"/>
      <c r="AS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34"/>
      <c r="AI41" s="34"/>
      <c r="AJ41" s="28"/>
      <c r="AK41" s="28"/>
      <c r="AL41" s="28"/>
      <c r="AM41" s="28"/>
      <c r="AN41" s="28"/>
      <c r="AO41" s="28"/>
      <c r="AP41" s="28"/>
      <c r="AQ41" s="28"/>
      <c r="AR41" s="28"/>
      <c r="AS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34"/>
      <c r="AI42" s="34"/>
      <c r="AJ42" s="28"/>
      <c r="AK42" s="28"/>
      <c r="AL42" s="28"/>
      <c r="AM42" s="28"/>
      <c r="AN42" s="28"/>
      <c r="AO42" s="28"/>
      <c r="AP42" s="28"/>
      <c r="AQ42" s="28"/>
      <c r="AR42" s="28"/>
      <c r="AS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34"/>
      <c r="AI43" s="34"/>
      <c r="AJ43" s="28"/>
      <c r="AK43" s="28"/>
      <c r="AL43" s="28"/>
      <c r="AM43" s="28"/>
      <c r="AN43" s="28"/>
      <c r="AO43" s="28"/>
      <c r="AP43" s="28"/>
      <c r="AQ43" s="28"/>
      <c r="AR43" s="28"/>
      <c r="AS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34"/>
      <c r="AI44" s="34"/>
      <c r="AJ44" s="28"/>
      <c r="AK44" s="28"/>
      <c r="AL44" s="28"/>
      <c r="AM44" s="28"/>
      <c r="AN44" s="28"/>
      <c r="AO44" s="28"/>
      <c r="AP44" s="28"/>
      <c r="AQ44" s="28"/>
      <c r="AR44" s="28"/>
      <c r="AS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34"/>
      <c r="AI45" s="34"/>
      <c r="AJ45" s="28"/>
      <c r="AK45" s="28"/>
      <c r="AL45" s="28"/>
      <c r="AM45" s="28"/>
      <c r="AN45" s="28"/>
      <c r="AO45" s="28"/>
      <c r="AP45" s="28"/>
      <c r="AQ45" s="28"/>
      <c r="AR45" s="28"/>
      <c r="AS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34"/>
      <c r="AI46" s="34"/>
      <c r="AJ46" s="28"/>
      <c r="AK46" s="28"/>
      <c r="AL46" s="28"/>
      <c r="AM46" s="28"/>
      <c r="AN46" s="28"/>
      <c r="AO46" s="28"/>
      <c r="AP46" s="28"/>
      <c r="AQ46" s="28"/>
      <c r="AR46" s="28"/>
      <c r="AS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34"/>
      <c r="AI47" s="34"/>
      <c r="AJ47" s="28"/>
      <c r="AK47" s="28"/>
      <c r="AL47" s="28"/>
      <c r="AM47" s="28"/>
      <c r="AN47" s="28"/>
      <c r="AO47" s="28"/>
      <c r="AP47" s="28"/>
      <c r="AQ47" s="28"/>
      <c r="AR47" s="28"/>
      <c r="AS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34"/>
      <c r="AI48" s="34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34"/>
      <c r="AI49" s="34"/>
      <c r="AJ49" s="28"/>
      <c r="AK49" s="28"/>
      <c r="AL49" s="28"/>
      <c r="AM49" s="28"/>
      <c r="AN49" s="28"/>
      <c r="AO49" s="28"/>
      <c r="AP49" s="28"/>
      <c r="AQ49" s="28"/>
      <c r="AR49" s="28"/>
      <c r="AS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34"/>
      <c r="AI50" s="34"/>
      <c r="AJ50" s="28"/>
      <c r="AK50" s="28"/>
      <c r="AL50" s="28"/>
      <c r="AM50" s="28"/>
      <c r="AN50" s="28"/>
      <c r="AO50" s="28"/>
      <c r="AP50" s="28"/>
      <c r="AQ50" s="28"/>
      <c r="AR50" s="28"/>
      <c r="AS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34"/>
      <c r="AI51" s="34"/>
      <c r="AJ51" s="28"/>
      <c r="AK51" s="28"/>
      <c r="AL51" s="28"/>
      <c r="AM51" s="28"/>
      <c r="AN51" s="28"/>
      <c r="AO51" s="28"/>
      <c r="AP51" s="28"/>
      <c r="AQ51" s="28"/>
      <c r="AR51" s="28"/>
      <c r="AS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34"/>
      <c r="AI52" s="34"/>
      <c r="AJ52" s="28"/>
      <c r="AK52" s="28"/>
      <c r="AL52" s="28"/>
      <c r="AM52" s="28"/>
      <c r="AN52" s="28"/>
      <c r="AO52" s="28"/>
      <c r="AP52" s="28"/>
      <c r="AQ52" s="28"/>
      <c r="AR52" s="28"/>
      <c r="AS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34"/>
      <c r="AI53" s="34"/>
      <c r="AJ53" s="28"/>
      <c r="AK53" s="28"/>
      <c r="AL53" s="28"/>
      <c r="AM53" s="28"/>
      <c r="AN53" s="28"/>
      <c r="AO53" s="28"/>
      <c r="AP53" s="28"/>
      <c r="AQ53" s="28"/>
      <c r="AR53" s="28"/>
      <c r="AS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34"/>
      <c r="AI54" s="34"/>
      <c r="AJ54" s="28"/>
      <c r="AK54" s="28"/>
      <c r="AL54" s="28"/>
      <c r="AM54" s="28"/>
      <c r="AN54" s="28"/>
      <c r="AO54" s="28"/>
      <c r="AP54" s="28"/>
      <c r="AQ54" s="28"/>
      <c r="AR54" s="28"/>
      <c r="AS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34"/>
      <c r="AI55" s="34"/>
      <c r="AJ55" s="28"/>
      <c r="AK55" s="28"/>
      <c r="AL55" s="28"/>
      <c r="AM55" s="28"/>
      <c r="AN55" s="28"/>
      <c r="AO55" s="28"/>
      <c r="AP55" s="28"/>
      <c r="AQ55" s="28"/>
      <c r="AR55" s="28"/>
      <c r="AS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34"/>
      <c r="AI56" s="34"/>
      <c r="AJ56" s="28"/>
      <c r="AK56" s="28"/>
      <c r="AL56" s="28"/>
      <c r="AM56" s="28"/>
      <c r="AN56" s="28"/>
      <c r="AO56" s="28"/>
      <c r="AP56" s="28"/>
      <c r="AQ56" s="28"/>
      <c r="AR56" s="28"/>
      <c r="AS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34"/>
      <c r="AI57" s="34"/>
      <c r="AJ57" s="28"/>
      <c r="AK57" s="28"/>
      <c r="AL57" s="28"/>
      <c r="AM57" s="28"/>
      <c r="AN57" s="28"/>
      <c r="AO57" s="28"/>
      <c r="AP57" s="28"/>
      <c r="AQ57" s="28"/>
      <c r="AR57" s="28"/>
      <c r="AS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34"/>
      <c r="AI58" s="34"/>
      <c r="AJ58" s="28"/>
      <c r="AK58" s="28"/>
      <c r="AL58" s="28"/>
      <c r="AM58" s="28"/>
      <c r="AN58" s="28"/>
      <c r="AO58" s="28"/>
      <c r="AP58" s="28"/>
      <c r="AQ58" s="28"/>
      <c r="AR58" s="28"/>
      <c r="AS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34"/>
      <c r="AI59" s="34"/>
      <c r="AJ59" s="28"/>
      <c r="AK59" s="28"/>
      <c r="AL59" s="28"/>
      <c r="AM59" s="28"/>
      <c r="AN59" s="28"/>
      <c r="AO59" s="28"/>
      <c r="AP59" s="28"/>
      <c r="AQ59" s="28"/>
      <c r="AR59" s="28"/>
      <c r="AS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34"/>
      <c r="AI60" s="34"/>
      <c r="AJ60" s="28"/>
      <c r="AK60" s="28"/>
      <c r="AL60" s="28"/>
      <c r="AM60" s="28"/>
      <c r="AN60" s="28"/>
      <c r="AO60" s="28"/>
      <c r="AP60" s="28"/>
      <c r="AQ60" s="28"/>
      <c r="AR60" s="28"/>
      <c r="AS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34"/>
      <c r="AI61" s="34"/>
      <c r="AJ61" s="28"/>
      <c r="AK61" s="28"/>
      <c r="AL61" s="28"/>
      <c r="AM61" s="28"/>
      <c r="AN61" s="28"/>
      <c r="AO61" s="28"/>
      <c r="AP61" s="28"/>
      <c r="AQ61" s="28"/>
      <c r="AR61" s="28"/>
      <c r="AS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34"/>
      <c r="AI62" s="34"/>
      <c r="AJ62" s="28"/>
      <c r="AK62" s="28"/>
      <c r="AL62" s="28"/>
      <c r="AM62" s="28"/>
      <c r="AN62" s="28"/>
      <c r="AO62" s="28"/>
      <c r="AP62" s="28"/>
      <c r="AQ62" s="28"/>
      <c r="AR62" s="28"/>
      <c r="AS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34"/>
      <c r="AI63" s="34"/>
      <c r="AJ63" s="28"/>
      <c r="AK63" s="28"/>
      <c r="AL63" s="28"/>
      <c r="AM63" s="28"/>
      <c r="AN63" s="28"/>
      <c r="AO63" s="28"/>
      <c r="AP63" s="28"/>
      <c r="AQ63" s="28"/>
      <c r="AR63" s="28"/>
      <c r="AS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4"/>
      <c r="AI64" s="34"/>
      <c r="AJ64" s="28"/>
      <c r="AK64" s="28"/>
      <c r="AL64" s="28"/>
      <c r="AM64" s="28"/>
      <c r="AN64" s="28"/>
      <c r="AO64" s="28"/>
      <c r="AP64" s="28"/>
      <c r="AQ64" s="28"/>
      <c r="AR64" s="28"/>
      <c r="AS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34"/>
      <c r="AI65" s="34"/>
      <c r="AJ65" s="28"/>
      <c r="AK65" s="28"/>
      <c r="AL65" s="28"/>
      <c r="AM65" s="28"/>
      <c r="AN65" s="28"/>
      <c r="AO65" s="28"/>
      <c r="AP65" s="28"/>
      <c r="AQ65" s="28"/>
      <c r="AR65" s="28"/>
      <c r="AS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34"/>
      <c r="AI66" s="34"/>
      <c r="AJ66" s="28"/>
      <c r="AK66" s="28"/>
      <c r="AL66" s="28"/>
      <c r="AM66" s="28"/>
      <c r="AN66" s="28"/>
      <c r="AO66" s="28"/>
      <c r="AP66" s="28"/>
      <c r="AQ66" s="28"/>
      <c r="AR66" s="28"/>
      <c r="AS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34"/>
      <c r="AI67" s="34"/>
      <c r="AJ67" s="28"/>
      <c r="AK67" s="28"/>
      <c r="AL67" s="28"/>
      <c r="AM67" s="28"/>
      <c r="AN67" s="28"/>
      <c r="AO67" s="28"/>
      <c r="AP67" s="28"/>
      <c r="AQ67" s="28"/>
      <c r="AR67" s="28"/>
      <c r="AS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34"/>
      <c r="AI68" s="34"/>
      <c r="AJ68" s="28"/>
      <c r="AK68" s="28"/>
      <c r="AL68" s="28"/>
      <c r="AM68" s="28"/>
      <c r="AN68" s="28"/>
      <c r="AO68" s="28"/>
      <c r="AP68" s="28"/>
      <c r="AQ68" s="28"/>
      <c r="AR68" s="28"/>
      <c r="AS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34"/>
      <c r="AI69" s="34"/>
      <c r="AJ69" s="28"/>
      <c r="AK69" s="28"/>
      <c r="AL69" s="28"/>
      <c r="AM69" s="28"/>
      <c r="AN69" s="28"/>
      <c r="AO69" s="28"/>
      <c r="AP69" s="28"/>
      <c r="AQ69" s="28"/>
      <c r="AR69" s="28"/>
      <c r="AS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34"/>
      <c r="AI70" s="34"/>
      <c r="AJ70" s="28"/>
      <c r="AK70" s="28"/>
      <c r="AL70" s="28"/>
      <c r="AM70" s="28"/>
      <c r="AN70" s="28"/>
      <c r="AO70" s="28"/>
      <c r="AP70" s="28"/>
      <c r="AQ70" s="28"/>
      <c r="AR70" s="28"/>
      <c r="AS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34"/>
      <c r="AI71" s="34"/>
      <c r="AJ71" s="28"/>
      <c r="AK71" s="28"/>
      <c r="AL71" s="28"/>
      <c r="AM71" s="28"/>
      <c r="AN71" s="28"/>
      <c r="AO71" s="28"/>
      <c r="AP71" s="28"/>
      <c r="AQ71" s="28"/>
      <c r="AR71" s="28"/>
      <c r="AS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34"/>
      <c r="AI72" s="34"/>
      <c r="AJ72" s="28"/>
      <c r="AK72" s="28"/>
      <c r="AL72" s="28"/>
      <c r="AM72" s="28"/>
      <c r="AN72" s="28"/>
      <c r="AO72" s="28"/>
      <c r="AP72" s="28"/>
      <c r="AQ72" s="28"/>
      <c r="AR72" s="28"/>
      <c r="AS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34"/>
      <c r="AI73" s="34"/>
      <c r="AJ73" s="28"/>
      <c r="AK73" s="28"/>
      <c r="AL73" s="28"/>
      <c r="AM73" s="28"/>
      <c r="AN73" s="28"/>
      <c r="AO73" s="28"/>
      <c r="AP73" s="28"/>
      <c r="AQ73" s="28"/>
      <c r="AR73" s="28"/>
      <c r="AS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34"/>
      <c r="AI74" s="34"/>
      <c r="AJ74" s="28"/>
      <c r="AK74" s="28"/>
      <c r="AL74" s="28"/>
      <c r="AM74" s="28"/>
      <c r="AN74" s="28"/>
      <c r="AO74" s="28"/>
      <c r="AP74" s="28"/>
      <c r="AQ74" s="28"/>
      <c r="AR74" s="28"/>
      <c r="AS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34"/>
      <c r="AI75" s="34"/>
      <c r="AJ75" s="28"/>
      <c r="AK75" s="28"/>
      <c r="AL75" s="28"/>
      <c r="AM75" s="28"/>
      <c r="AN75" s="28"/>
      <c r="AO75" s="28"/>
      <c r="AP75" s="28"/>
      <c r="AQ75" s="28"/>
      <c r="AR75" s="28"/>
      <c r="AS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34"/>
      <c r="AI76" s="34"/>
      <c r="AJ76" s="28"/>
      <c r="AK76" s="28"/>
      <c r="AL76" s="28"/>
      <c r="AM76" s="28"/>
      <c r="AN76" s="28"/>
      <c r="AO76" s="28"/>
      <c r="AP76" s="28"/>
      <c r="AQ76" s="28"/>
      <c r="AR76" s="28"/>
      <c r="AS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34"/>
      <c r="AI77" s="34"/>
      <c r="AJ77" s="28"/>
      <c r="AK77" s="28"/>
      <c r="AL77" s="28"/>
      <c r="AM77" s="28"/>
      <c r="AN77" s="28"/>
      <c r="AO77" s="28"/>
      <c r="AP77" s="28"/>
      <c r="AQ77" s="28"/>
      <c r="AR77" s="28"/>
      <c r="AS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34"/>
      <c r="AI78" s="34"/>
      <c r="AJ78" s="28"/>
      <c r="AK78" s="28"/>
      <c r="AL78" s="28"/>
      <c r="AM78" s="28"/>
      <c r="AN78" s="28"/>
      <c r="AO78" s="28"/>
      <c r="AP78" s="28"/>
      <c r="AQ78" s="28"/>
      <c r="AR78" s="28"/>
      <c r="AS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34"/>
      <c r="AI79" s="34"/>
      <c r="AJ79" s="28"/>
      <c r="AK79" s="28"/>
      <c r="AL79" s="28"/>
      <c r="AM79" s="28"/>
      <c r="AN79" s="28"/>
      <c r="AO79" s="28"/>
      <c r="AP79" s="28"/>
      <c r="AQ79" s="28"/>
      <c r="AR79" s="28"/>
      <c r="AS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34"/>
      <c r="AI80" s="34"/>
      <c r="AJ80" s="28"/>
      <c r="AK80" s="28"/>
      <c r="AL80" s="28"/>
      <c r="AM80" s="28"/>
      <c r="AN80" s="28"/>
      <c r="AO80" s="28"/>
      <c r="AP80" s="28"/>
      <c r="AQ80" s="28"/>
      <c r="AR80" s="28"/>
      <c r="AS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34"/>
      <c r="AI81" s="34"/>
      <c r="AJ81" s="28"/>
      <c r="AK81" s="28"/>
      <c r="AL81" s="28"/>
      <c r="AM81" s="28"/>
      <c r="AN81" s="28"/>
      <c r="AO81" s="28"/>
      <c r="AP81" s="28"/>
      <c r="AQ81" s="28"/>
      <c r="AR81" s="28"/>
      <c r="AS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34"/>
      <c r="AI82" s="34"/>
      <c r="AJ82" s="28"/>
      <c r="AK82" s="28"/>
      <c r="AL82" s="28"/>
      <c r="AM82" s="28"/>
      <c r="AN82" s="28"/>
      <c r="AO82" s="28"/>
      <c r="AP82" s="28"/>
      <c r="AQ82" s="28"/>
      <c r="AR82" s="28"/>
      <c r="AS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34"/>
      <c r="AI83" s="34"/>
      <c r="AJ83" s="28"/>
      <c r="AK83" s="28"/>
      <c r="AL83" s="28"/>
      <c r="AM83" s="28"/>
      <c r="AN83" s="28"/>
      <c r="AO83" s="28"/>
      <c r="AP83" s="28"/>
      <c r="AQ83" s="28"/>
      <c r="AR83" s="28"/>
      <c r="AS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34"/>
      <c r="AI84" s="34"/>
      <c r="AJ84" s="28"/>
      <c r="AK84" s="28"/>
      <c r="AL84" s="28"/>
      <c r="AM84" s="28"/>
      <c r="AN84" s="28"/>
      <c r="AO84" s="28"/>
      <c r="AP84" s="28"/>
      <c r="AQ84" s="28"/>
      <c r="AR84" s="28"/>
      <c r="AS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34"/>
      <c r="AI85" s="34"/>
      <c r="AJ85" s="28"/>
      <c r="AK85" s="28"/>
      <c r="AL85" s="28"/>
      <c r="AM85" s="28"/>
      <c r="AN85" s="28"/>
      <c r="AO85" s="28"/>
      <c r="AP85" s="28"/>
      <c r="AQ85" s="28"/>
      <c r="AR85" s="28"/>
      <c r="AS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34"/>
      <c r="AI86" s="34"/>
      <c r="AJ86" s="28"/>
      <c r="AK86" s="28"/>
      <c r="AL86" s="28"/>
      <c r="AM86" s="28"/>
      <c r="AN86" s="28"/>
      <c r="AO86" s="28"/>
      <c r="AP86" s="28"/>
      <c r="AQ86" s="28"/>
      <c r="AR86" s="28"/>
      <c r="AS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34"/>
      <c r="AI87" s="34"/>
      <c r="AJ87" s="28"/>
      <c r="AK87" s="28"/>
      <c r="AL87" s="28"/>
      <c r="AM87" s="28"/>
      <c r="AN87" s="28"/>
      <c r="AO87" s="28"/>
      <c r="AP87" s="28"/>
      <c r="AQ87" s="28"/>
      <c r="AR87" s="28"/>
      <c r="AS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34"/>
      <c r="AI88" s="34"/>
      <c r="AJ88" s="28"/>
      <c r="AK88" s="28"/>
      <c r="AL88" s="28"/>
      <c r="AM88" s="28"/>
      <c r="AN88" s="28"/>
      <c r="AO88" s="28"/>
      <c r="AP88" s="28"/>
      <c r="AQ88" s="28"/>
      <c r="AR88" s="28"/>
      <c r="AS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34"/>
      <c r="AI89" s="34"/>
      <c r="AJ89" s="28"/>
      <c r="AK89" s="28"/>
      <c r="AL89" s="28"/>
      <c r="AM89" s="28"/>
      <c r="AN89" s="28"/>
      <c r="AO89" s="28"/>
      <c r="AP89" s="28"/>
      <c r="AQ89" s="28"/>
      <c r="AR89" s="28"/>
      <c r="AS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34"/>
      <c r="AI90" s="34"/>
      <c r="AJ90" s="28"/>
      <c r="AK90" s="28"/>
      <c r="AL90" s="28"/>
      <c r="AM90" s="28"/>
      <c r="AN90" s="28"/>
      <c r="AO90" s="28"/>
      <c r="AP90" s="28"/>
      <c r="AQ90" s="28"/>
      <c r="AR90" s="28"/>
      <c r="AS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34"/>
      <c r="AI91" s="34"/>
      <c r="AJ91" s="28"/>
      <c r="AK91" s="28"/>
      <c r="AL91" s="28"/>
      <c r="AM91" s="28"/>
      <c r="AN91" s="28"/>
      <c r="AO91" s="28"/>
      <c r="AP91" s="28"/>
      <c r="AQ91" s="28"/>
      <c r="AR91" s="28"/>
      <c r="AS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34"/>
      <c r="AI92" s="34"/>
      <c r="AJ92" s="28"/>
      <c r="AK92" s="28"/>
      <c r="AL92" s="28"/>
      <c r="AM92" s="28"/>
      <c r="AN92" s="28"/>
      <c r="AO92" s="28"/>
      <c r="AP92" s="28"/>
      <c r="AQ92" s="28"/>
      <c r="AR92" s="28"/>
      <c r="AS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34"/>
      <c r="AI93" s="34"/>
      <c r="AJ93" s="28"/>
      <c r="AK93" s="28"/>
      <c r="AL93" s="28"/>
      <c r="AM93" s="28"/>
      <c r="AN93" s="28"/>
      <c r="AO93" s="28"/>
      <c r="AP93" s="28"/>
      <c r="AQ93" s="28"/>
      <c r="AR93" s="28"/>
      <c r="AS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34"/>
      <c r="AI94" s="34"/>
      <c r="AJ94" s="28"/>
      <c r="AK94" s="28"/>
      <c r="AL94" s="28"/>
      <c r="AM94" s="28"/>
      <c r="AN94" s="28"/>
      <c r="AO94" s="28"/>
      <c r="AP94" s="28"/>
      <c r="AQ94" s="28"/>
      <c r="AR94" s="28"/>
      <c r="AS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34"/>
      <c r="AI95" s="34"/>
      <c r="AJ95" s="28"/>
      <c r="AK95" s="28"/>
      <c r="AL95" s="28"/>
      <c r="AM95" s="28"/>
      <c r="AN95" s="28"/>
      <c r="AO95" s="28"/>
      <c r="AP95" s="28"/>
      <c r="AQ95" s="28"/>
      <c r="AR95" s="28"/>
      <c r="AS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34"/>
      <c r="AI96" s="34"/>
      <c r="AJ96" s="28"/>
      <c r="AK96" s="28"/>
      <c r="AL96" s="28"/>
      <c r="AM96" s="28"/>
      <c r="AN96" s="28"/>
      <c r="AO96" s="28"/>
      <c r="AP96" s="28"/>
      <c r="AQ96" s="28"/>
      <c r="AR96" s="28"/>
      <c r="AS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4"/>
      <c r="AI97" s="34"/>
      <c r="AJ97" s="28"/>
      <c r="AK97" s="28"/>
      <c r="AL97" s="28"/>
      <c r="AM97" s="28"/>
      <c r="AN97" s="28"/>
      <c r="AO97" s="28"/>
      <c r="AP97" s="28"/>
      <c r="AQ97" s="28"/>
      <c r="AR97" s="28"/>
      <c r="AS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34"/>
      <c r="AI98" s="34"/>
      <c r="AJ98" s="28"/>
      <c r="AK98" s="28"/>
      <c r="AL98" s="28"/>
      <c r="AM98" s="28"/>
      <c r="AN98" s="28"/>
      <c r="AO98" s="28"/>
      <c r="AP98" s="28"/>
      <c r="AQ98" s="28"/>
      <c r="AR98" s="28"/>
      <c r="AS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34"/>
      <c r="AI99" s="34"/>
      <c r="AJ99" s="28"/>
      <c r="AK99" s="28"/>
      <c r="AL99" s="28"/>
      <c r="AM99" s="28"/>
      <c r="AN99" s="28"/>
      <c r="AO99" s="28"/>
      <c r="AP99" s="28"/>
      <c r="AQ99" s="28"/>
      <c r="AR99" s="28"/>
      <c r="AS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34"/>
      <c r="AI100" s="34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34"/>
      <c r="AI101" s="34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34"/>
      <c r="AI102" s="34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34"/>
      <c r="AI103" s="34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34"/>
      <c r="AI104" s="34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34"/>
      <c r="AI105" s="34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34"/>
      <c r="AI106" s="34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34"/>
      <c r="AI107" s="34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34"/>
      <c r="AI108" s="34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34"/>
      <c r="AI109" s="34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34"/>
      <c r="AI110" s="34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34"/>
      <c r="AI111" s="34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34"/>
      <c r="AI112" s="34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34"/>
      <c r="AI113" s="34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34"/>
      <c r="AI114" s="34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34"/>
      <c r="AI115" s="34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34"/>
      <c r="AI116" s="34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34"/>
      <c r="AI117" s="34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34"/>
      <c r="AI118" s="34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34"/>
      <c r="AI119" s="34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34"/>
      <c r="AI120" s="34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34"/>
      <c r="AI121" s="34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34"/>
      <c r="AI122" s="34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34"/>
      <c r="AI123" s="34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34"/>
      <c r="AI124" s="34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34"/>
      <c r="AI125" s="34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34"/>
      <c r="AI126" s="34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34"/>
      <c r="AI127" s="34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34"/>
      <c r="AI128" s="34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34"/>
      <c r="AI129" s="34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34"/>
      <c r="AI130" s="34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34"/>
      <c r="AI131" s="34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34"/>
      <c r="AI132" s="34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34"/>
      <c r="AI133" s="34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34"/>
      <c r="AI134" s="34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34"/>
      <c r="AI135" s="34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34"/>
      <c r="AI136" s="34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34"/>
      <c r="AI137" s="34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34"/>
      <c r="AI138" s="34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34"/>
      <c r="AI139" s="34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34"/>
      <c r="AI140" s="34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34"/>
      <c r="AI141" s="34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34"/>
      <c r="AI142" s="34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34"/>
      <c r="AI143" s="34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34"/>
      <c r="AI144" s="34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34"/>
      <c r="AI145" s="34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34"/>
      <c r="AI146" s="34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34"/>
      <c r="AI147" s="34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34"/>
      <c r="AI148" s="34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34"/>
      <c r="AI149" s="34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34"/>
      <c r="AI150" s="34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34"/>
      <c r="AI151" s="34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34"/>
      <c r="AI152" s="34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34"/>
      <c r="AI153" s="34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34"/>
      <c r="AI154" s="34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34"/>
      <c r="AI155" s="34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34"/>
      <c r="AI156" s="34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34"/>
      <c r="AI157" s="34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34"/>
      <c r="AI158" s="34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34"/>
      <c r="AI159" s="34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34"/>
      <c r="AI160" s="34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34"/>
      <c r="AI161" s="34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34"/>
      <c r="AI162" s="34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34"/>
      <c r="AI163" s="34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34"/>
      <c r="AI164" s="34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34"/>
      <c r="AI165" s="34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34"/>
      <c r="AI166" s="34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34"/>
      <c r="AI167" s="34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34"/>
      <c r="AI168" s="34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34"/>
      <c r="AI169" s="34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34"/>
      <c r="AI170" s="34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34"/>
      <c r="AI171" s="34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34"/>
      <c r="AI172" s="34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34"/>
      <c r="AI173" s="34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34"/>
      <c r="AI174" s="34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34"/>
      <c r="AI175" s="34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34"/>
      <c r="AI176" s="34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34"/>
      <c r="AI177" s="34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34"/>
      <c r="AI178" s="34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34"/>
      <c r="AI179" s="34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34"/>
      <c r="AI180" s="34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34"/>
      <c r="AI181" s="34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34"/>
      <c r="AI182" s="34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34"/>
      <c r="AI183" s="34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34"/>
      <c r="AI184" s="34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</row>
    <row r="185" ht="15.75" customHeight="1">
      <c r="AH185" s="34"/>
      <c r="AI185" s="34"/>
    </row>
    <row r="186" ht="15.75" customHeight="1">
      <c r="AH186" s="34"/>
      <c r="AI186" s="34"/>
    </row>
    <row r="187" ht="15.75" customHeight="1">
      <c r="AH187" s="34"/>
      <c r="AI187" s="34"/>
    </row>
    <row r="188" ht="15.75" customHeight="1">
      <c r="AH188" s="34"/>
      <c r="AI188" s="34"/>
    </row>
    <row r="189" ht="15.75" customHeight="1">
      <c r="AH189" s="34"/>
      <c r="AI189" s="34"/>
    </row>
    <row r="190" ht="15.75" customHeight="1">
      <c r="AH190" s="34"/>
      <c r="AI190" s="34"/>
    </row>
    <row r="191" ht="15.75" customHeight="1">
      <c r="AH191" s="34"/>
      <c r="AI191" s="34"/>
    </row>
    <row r="192" ht="15.75" customHeight="1">
      <c r="AH192" s="34"/>
      <c r="AI192" s="34"/>
    </row>
    <row r="193" ht="15.75" customHeight="1">
      <c r="AH193" s="34"/>
      <c r="AI193" s="34"/>
    </row>
    <row r="194" ht="15.75" customHeight="1">
      <c r="AH194" s="34"/>
      <c r="AI194" s="34"/>
    </row>
    <row r="195" ht="15.75" customHeight="1">
      <c r="AH195" s="34"/>
      <c r="AI195" s="34"/>
    </row>
    <row r="196" ht="15.75" customHeight="1">
      <c r="AH196" s="34"/>
      <c r="AI196" s="34"/>
    </row>
    <row r="197" ht="15.75" customHeight="1">
      <c r="AH197" s="34"/>
      <c r="AI197" s="34"/>
    </row>
    <row r="198" ht="15.75" customHeight="1">
      <c r="AH198" s="34"/>
      <c r="AI198" s="34"/>
    </row>
    <row r="199" ht="15.75" customHeight="1">
      <c r="AH199" s="34"/>
      <c r="AI199" s="34"/>
    </row>
    <row r="200" ht="15.75" customHeight="1">
      <c r="AH200" s="34"/>
      <c r="AI200" s="34"/>
    </row>
    <row r="201" ht="15.75" customHeight="1">
      <c r="AH201" s="34"/>
      <c r="AI201" s="34"/>
    </row>
    <row r="202" ht="15.75" customHeight="1">
      <c r="AH202" s="34"/>
      <c r="AI202" s="34"/>
    </row>
    <row r="203" ht="15.75" customHeight="1">
      <c r="AH203" s="34"/>
      <c r="AI203" s="34"/>
    </row>
    <row r="204" ht="15.75" customHeight="1">
      <c r="AH204" s="34"/>
      <c r="AI204" s="34"/>
    </row>
    <row r="205" ht="15.75" customHeight="1">
      <c r="AH205" s="34"/>
      <c r="AI205" s="34"/>
    </row>
    <row r="206" ht="15.75" customHeight="1">
      <c r="AH206" s="34"/>
      <c r="AI206" s="34"/>
    </row>
    <row r="207" ht="15.75" customHeight="1">
      <c r="AH207" s="34"/>
      <c r="AI207" s="34"/>
    </row>
    <row r="208" ht="15.75" customHeight="1">
      <c r="AH208" s="34"/>
      <c r="AI208" s="34"/>
    </row>
    <row r="209" ht="15.75" customHeight="1">
      <c r="AH209" s="34"/>
      <c r="AI209" s="34"/>
    </row>
    <row r="210" ht="15.75" customHeight="1">
      <c r="AH210" s="34"/>
      <c r="AI210" s="34"/>
    </row>
    <row r="211" ht="15.75" customHeight="1">
      <c r="AH211" s="34"/>
      <c r="AI211" s="34"/>
    </row>
    <row r="212" ht="15.75" customHeight="1">
      <c r="AH212" s="34"/>
      <c r="AI212" s="34"/>
    </row>
    <row r="213" ht="15.75" customHeight="1">
      <c r="AH213" s="34"/>
      <c r="AI213" s="34"/>
    </row>
    <row r="214" ht="15.75" customHeight="1">
      <c r="AH214" s="34"/>
      <c r="AI214" s="34"/>
    </row>
    <row r="215" ht="15.75" customHeight="1">
      <c r="AH215" s="34"/>
      <c r="AI215" s="34"/>
    </row>
    <row r="216" ht="15.75" customHeight="1">
      <c r="AH216" s="34"/>
      <c r="AI216" s="34"/>
    </row>
    <row r="217" ht="15.75" customHeight="1">
      <c r="AH217" s="34"/>
      <c r="AI217" s="34"/>
    </row>
    <row r="218" ht="15.75" customHeight="1">
      <c r="AH218" s="34"/>
      <c r="AI218" s="34"/>
    </row>
    <row r="219" ht="15.75" customHeight="1">
      <c r="AH219" s="34"/>
      <c r="AI219" s="34"/>
    </row>
    <row r="220" ht="15.75" customHeight="1">
      <c r="AH220" s="34"/>
      <c r="AI220" s="34"/>
    </row>
    <row r="221" ht="15.75" customHeight="1">
      <c r="AH221" s="34"/>
      <c r="AI221" s="34"/>
    </row>
    <row r="222" ht="15.75" customHeight="1">
      <c r="AH222" s="34"/>
      <c r="AI222" s="34"/>
    </row>
    <row r="223" ht="15.75" customHeight="1">
      <c r="AH223" s="34"/>
      <c r="AI223" s="34"/>
    </row>
    <row r="224" ht="15.75" customHeight="1">
      <c r="AH224" s="34"/>
      <c r="AI224" s="34"/>
    </row>
    <row r="225" ht="15.75" customHeight="1">
      <c r="AH225" s="34"/>
      <c r="AI225" s="34"/>
    </row>
    <row r="226" ht="15.75" customHeight="1">
      <c r="AH226" s="34"/>
      <c r="AI226" s="34"/>
    </row>
    <row r="227" ht="15.75" customHeight="1">
      <c r="AH227" s="34"/>
      <c r="AI227" s="34"/>
    </row>
    <row r="228" ht="15.75" customHeight="1">
      <c r="AH228" s="34"/>
      <c r="AI228" s="34"/>
    </row>
    <row r="229" ht="15.75" customHeight="1">
      <c r="AH229" s="34"/>
      <c r="AI229" s="34"/>
    </row>
    <row r="230" ht="15.75" customHeight="1">
      <c r="AH230" s="34"/>
      <c r="AI230" s="34"/>
    </row>
    <row r="231" ht="15.75" customHeight="1">
      <c r="AH231" s="34"/>
      <c r="AI231" s="34"/>
    </row>
    <row r="232" ht="15.75" customHeight="1">
      <c r="AH232" s="34"/>
      <c r="AI232" s="34"/>
    </row>
    <row r="233" ht="15.75" customHeight="1">
      <c r="AH233" s="34"/>
      <c r="AI233" s="34"/>
    </row>
    <row r="234" ht="15.75" customHeight="1">
      <c r="AH234" s="34"/>
      <c r="AI234" s="34"/>
    </row>
    <row r="235" ht="15.75" customHeight="1">
      <c r="AH235" s="34"/>
      <c r="AI235" s="34"/>
    </row>
    <row r="236" ht="15.75" customHeight="1">
      <c r="AH236" s="34"/>
      <c r="AI236" s="34"/>
    </row>
    <row r="237" ht="15.75" customHeight="1">
      <c r="AH237" s="34"/>
      <c r="AI237" s="34"/>
    </row>
    <row r="238" ht="15.75" customHeight="1">
      <c r="AH238" s="34"/>
      <c r="AI238" s="34"/>
    </row>
    <row r="239" ht="15.75" customHeight="1">
      <c r="AH239" s="34"/>
      <c r="AI239" s="34"/>
    </row>
    <row r="240" ht="15.75" customHeight="1">
      <c r="AH240" s="34"/>
      <c r="AI240" s="34"/>
    </row>
    <row r="241" ht="15.75" customHeight="1">
      <c r="AH241" s="34"/>
      <c r="AI241" s="34"/>
    </row>
    <row r="242" ht="15.75" customHeight="1">
      <c r="AH242" s="34"/>
      <c r="AI242" s="34"/>
    </row>
    <row r="243" ht="15.75" customHeight="1">
      <c r="AH243" s="34"/>
      <c r="AI243" s="34"/>
    </row>
    <row r="244" ht="15.75" customHeight="1">
      <c r="AH244" s="34"/>
      <c r="AI244" s="34"/>
    </row>
    <row r="245" ht="15.75" customHeight="1">
      <c r="AH245" s="34"/>
      <c r="AI245" s="34"/>
    </row>
    <row r="246" ht="15.75" customHeight="1">
      <c r="AH246" s="34"/>
      <c r="AI246" s="34"/>
    </row>
    <row r="247" ht="15.75" customHeight="1">
      <c r="AH247" s="34"/>
      <c r="AI247" s="34"/>
    </row>
    <row r="248" ht="15.75" customHeight="1">
      <c r="AH248" s="34"/>
      <c r="AI248" s="34"/>
    </row>
    <row r="249" ht="15.75" customHeight="1">
      <c r="AH249" s="34"/>
      <c r="AI249" s="34"/>
    </row>
    <row r="250" ht="15.75" customHeight="1">
      <c r="AH250" s="34"/>
      <c r="AI250" s="34"/>
    </row>
    <row r="251" ht="15.75" customHeight="1">
      <c r="AH251" s="34"/>
      <c r="AI251" s="34"/>
    </row>
    <row r="252" ht="15.75" customHeight="1">
      <c r="AH252" s="34"/>
      <c r="AI252" s="34"/>
    </row>
    <row r="253" ht="15.75" customHeight="1">
      <c r="AH253" s="34"/>
      <c r="AI253" s="34"/>
    </row>
    <row r="254" ht="15.75" customHeight="1">
      <c r="AH254" s="34"/>
      <c r="AI254" s="34"/>
    </row>
    <row r="255" ht="15.75" customHeight="1">
      <c r="AH255" s="34"/>
      <c r="AI255" s="34"/>
    </row>
    <row r="256" ht="15.75" customHeight="1">
      <c r="AH256" s="34"/>
      <c r="AI256" s="34"/>
    </row>
    <row r="257" ht="15.75" customHeight="1">
      <c r="AH257" s="34"/>
      <c r="AI257" s="34"/>
    </row>
    <row r="258" ht="15.75" customHeight="1">
      <c r="AH258" s="34"/>
      <c r="AI258" s="34"/>
    </row>
    <row r="259" ht="15.75" customHeight="1">
      <c r="AH259" s="34"/>
      <c r="AI259" s="34"/>
    </row>
    <row r="260" ht="15.75" customHeight="1">
      <c r="AH260" s="34"/>
      <c r="AI260" s="34"/>
    </row>
    <row r="261" ht="15.75" customHeight="1">
      <c r="AH261" s="34"/>
      <c r="AI261" s="34"/>
    </row>
    <row r="262" ht="15.75" customHeight="1">
      <c r="AH262" s="34"/>
      <c r="AI262" s="34"/>
    </row>
    <row r="263" ht="15.75" customHeight="1">
      <c r="AH263" s="34"/>
      <c r="AI263" s="34"/>
    </row>
    <row r="264" ht="15.75" customHeight="1">
      <c r="AH264" s="34"/>
      <c r="AI264" s="34"/>
    </row>
    <row r="265" ht="15.75" customHeight="1">
      <c r="AH265" s="34"/>
      <c r="AI265" s="34"/>
    </row>
    <row r="266" ht="15.75" customHeight="1">
      <c r="AH266" s="34"/>
      <c r="AI266" s="34"/>
    </row>
    <row r="267" ht="15.75" customHeight="1">
      <c r="AH267" s="34"/>
      <c r="AI267" s="34"/>
    </row>
    <row r="268" ht="15.75" customHeight="1">
      <c r="AH268" s="34"/>
      <c r="AI268" s="34"/>
    </row>
    <row r="269" ht="15.75" customHeight="1">
      <c r="AH269" s="34"/>
      <c r="AI269" s="34"/>
    </row>
    <row r="270" ht="15.75" customHeight="1">
      <c r="AH270" s="34"/>
      <c r="AI270" s="34"/>
    </row>
    <row r="271" ht="15.75" customHeight="1">
      <c r="AH271" s="34"/>
      <c r="AI271" s="34"/>
    </row>
    <row r="272" ht="15.75" customHeight="1">
      <c r="AH272" s="34"/>
      <c r="AI272" s="34"/>
    </row>
    <row r="273" ht="15.75" customHeight="1">
      <c r="AH273" s="34"/>
      <c r="AI273" s="34"/>
    </row>
    <row r="274" ht="15.75" customHeight="1">
      <c r="AH274" s="34"/>
      <c r="AI274" s="34"/>
    </row>
    <row r="275" ht="15.75" customHeight="1">
      <c r="AH275" s="34"/>
      <c r="AI275" s="34"/>
    </row>
    <row r="276" ht="15.75" customHeight="1">
      <c r="AH276" s="34"/>
      <c r="AI276" s="34"/>
    </row>
    <row r="277" ht="15.75" customHeight="1">
      <c r="AH277" s="34"/>
      <c r="AI277" s="34"/>
    </row>
    <row r="278" ht="15.75" customHeight="1">
      <c r="AH278" s="34"/>
      <c r="AI278" s="34"/>
    </row>
    <row r="279" ht="15.75" customHeight="1">
      <c r="AH279" s="34"/>
      <c r="AI279" s="34"/>
    </row>
    <row r="280" ht="15.75" customHeight="1">
      <c r="AH280" s="34"/>
      <c r="AI280" s="34"/>
    </row>
    <row r="281" ht="15.75" customHeight="1">
      <c r="AH281" s="34"/>
      <c r="AI281" s="34"/>
    </row>
    <row r="282" ht="15.75" customHeight="1">
      <c r="AH282" s="34"/>
      <c r="AI282" s="34"/>
    </row>
    <row r="283" ht="15.75" customHeight="1">
      <c r="AH283" s="34"/>
      <c r="AI283" s="34"/>
    </row>
    <row r="284" ht="15.75" customHeight="1">
      <c r="AH284" s="34"/>
      <c r="AI284" s="34"/>
    </row>
    <row r="285" ht="15.75" customHeight="1">
      <c r="AH285" s="34"/>
      <c r="AI285" s="34"/>
    </row>
    <row r="286" ht="15.75" customHeight="1">
      <c r="AH286" s="34"/>
      <c r="AI286" s="34"/>
    </row>
    <row r="287" ht="15.75" customHeight="1">
      <c r="AH287" s="34"/>
      <c r="AI287" s="34"/>
    </row>
    <row r="288" ht="15.75" customHeight="1">
      <c r="AH288" s="34"/>
      <c r="AI288" s="34"/>
    </row>
    <row r="289" ht="15.75" customHeight="1">
      <c r="AH289" s="34"/>
      <c r="AI289" s="34"/>
    </row>
    <row r="290" ht="15.75" customHeight="1">
      <c r="AH290" s="34"/>
      <c r="AI290" s="34"/>
    </row>
    <row r="291" ht="15.75" customHeight="1">
      <c r="AH291" s="34"/>
      <c r="AI291" s="34"/>
    </row>
    <row r="292" ht="15.75" customHeight="1">
      <c r="AH292" s="34"/>
      <c r="AI292" s="34"/>
    </row>
    <row r="293" ht="15.75" customHeight="1">
      <c r="AH293" s="34"/>
      <c r="AI293" s="34"/>
    </row>
    <row r="294" ht="15.75" customHeight="1">
      <c r="AH294" s="34"/>
      <c r="AI294" s="34"/>
    </row>
    <row r="295" ht="15.75" customHeight="1">
      <c r="AH295" s="34"/>
      <c r="AI295" s="34"/>
    </row>
    <row r="296" ht="15.75" customHeight="1">
      <c r="AH296" s="34"/>
      <c r="AI296" s="34"/>
    </row>
    <row r="297" ht="15.75" customHeight="1">
      <c r="AH297" s="34"/>
      <c r="AI297" s="34"/>
    </row>
    <row r="298" ht="15.75" customHeight="1">
      <c r="AH298" s="34"/>
      <c r="AI298" s="34"/>
    </row>
    <row r="299" ht="15.75" customHeight="1">
      <c r="AH299" s="34"/>
      <c r="AI299" s="34"/>
    </row>
    <row r="300" ht="15.75" customHeight="1">
      <c r="AH300" s="34"/>
      <c r="AI300" s="34"/>
    </row>
    <row r="301" ht="15.75" customHeight="1">
      <c r="AH301" s="34"/>
      <c r="AI301" s="34"/>
    </row>
    <row r="302" ht="15.75" customHeight="1">
      <c r="AH302" s="34"/>
      <c r="AI302" s="34"/>
    </row>
    <row r="303" ht="15.75" customHeight="1">
      <c r="AH303" s="34"/>
      <c r="AI303" s="34"/>
    </row>
    <row r="304" ht="15.75" customHeight="1">
      <c r="AH304" s="34"/>
      <c r="AI304" s="34"/>
    </row>
    <row r="305" ht="15.75" customHeight="1">
      <c r="AH305" s="34"/>
      <c r="AI305" s="34"/>
    </row>
    <row r="306" ht="15.75" customHeight="1">
      <c r="AH306" s="34"/>
      <c r="AI306" s="34"/>
    </row>
    <row r="307" ht="15.75" customHeight="1">
      <c r="AH307" s="34"/>
      <c r="AI307" s="34"/>
    </row>
    <row r="308" ht="15.75" customHeight="1">
      <c r="AH308" s="34"/>
      <c r="AI308" s="34"/>
    </row>
    <row r="309" ht="15.75" customHeight="1">
      <c r="AH309" s="34"/>
      <c r="AI309" s="34"/>
    </row>
    <row r="310" ht="15.75" customHeight="1">
      <c r="AH310" s="34"/>
      <c r="AI310" s="34"/>
    </row>
    <row r="311" ht="15.75" customHeight="1">
      <c r="AH311" s="34"/>
      <c r="AI311" s="34"/>
    </row>
    <row r="312" ht="15.75" customHeight="1">
      <c r="AH312" s="34"/>
      <c r="AI312" s="34"/>
    </row>
    <row r="313" ht="15.75" customHeight="1">
      <c r="AH313" s="34"/>
      <c r="AI313" s="34"/>
    </row>
    <row r="314" ht="15.75" customHeight="1">
      <c r="AH314" s="34"/>
      <c r="AI314" s="34"/>
    </row>
    <row r="315" ht="15.75" customHeight="1">
      <c r="AH315" s="34"/>
      <c r="AI315" s="34"/>
    </row>
    <row r="316" ht="15.75" customHeight="1">
      <c r="AH316" s="34"/>
      <c r="AI316" s="34"/>
    </row>
    <row r="317" ht="15.75" customHeight="1">
      <c r="AH317" s="34"/>
      <c r="AI317" s="34"/>
    </row>
    <row r="318" ht="15.75" customHeight="1">
      <c r="AH318" s="34"/>
      <c r="AI318" s="34"/>
    </row>
    <row r="319" ht="15.75" customHeight="1">
      <c r="AH319" s="34"/>
      <c r="AI319" s="34"/>
    </row>
    <row r="320" ht="15.75" customHeight="1">
      <c r="AH320" s="34"/>
      <c r="AI320" s="34"/>
    </row>
    <row r="321" ht="15.75" customHeight="1">
      <c r="AH321" s="34"/>
      <c r="AI321" s="34"/>
    </row>
    <row r="322" ht="15.75" customHeight="1">
      <c r="AH322" s="34"/>
      <c r="AI322" s="34"/>
    </row>
    <row r="323" ht="15.75" customHeight="1">
      <c r="AH323" s="34"/>
      <c r="AI323" s="34"/>
    </row>
    <row r="324" ht="15.75" customHeight="1">
      <c r="AH324" s="34"/>
      <c r="AI324" s="34"/>
    </row>
    <row r="325" ht="15.75" customHeight="1">
      <c r="AH325" s="34"/>
      <c r="AI325" s="34"/>
    </row>
    <row r="326" ht="15.75" customHeight="1">
      <c r="AH326" s="34"/>
      <c r="AI326" s="34"/>
    </row>
    <row r="327" ht="15.75" customHeight="1">
      <c r="AH327" s="34"/>
      <c r="AI327" s="34"/>
    </row>
    <row r="328" ht="15.75" customHeight="1">
      <c r="AH328" s="34"/>
      <c r="AI328" s="34"/>
    </row>
    <row r="329" ht="15.75" customHeight="1">
      <c r="AH329" s="34"/>
      <c r="AI329" s="34"/>
    </row>
    <row r="330" ht="15.75" customHeight="1">
      <c r="AH330" s="34"/>
      <c r="AI330" s="34"/>
    </row>
    <row r="331" ht="15.75" customHeight="1">
      <c r="AH331" s="34"/>
      <c r="AI331" s="34"/>
    </row>
    <row r="332" ht="15.75" customHeight="1">
      <c r="AH332" s="34"/>
      <c r="AI332" s="34"/>
    </row>
    <row r="333" ht="15.75" customHeight="1">
      <c r="AH333" s="34"/>
      <c r="AI333" s="34"/>
    </row>
    <row r="334" ht="15.75" customHeight="1">
      <c r="AH334" s="34"/>
      <c r="AI334" s="34"/>
    </row>
    <row r="335" ht="15.75" customHeight="1">
      <c r="AH335" s="34"/>
      <c r="AI335" s="34"/>
    </row>
    <row r="336" ht="15.75" customHeight="1">
      <c r="AH336" s="34"/>
      <c r="AI336" s="34"/>
    </row>
    <row r="337" ht="15.75" customHeight="1">
      <c r="AH337" s="34"/>
      <c r="AI337" s="34"/>
    </row>
    <row r="338" ht="15.75" customHeight="1">
      <c r="AH338" s="34"/>
      <c r="AI338" s="34"/>
    </row>
    <row r="339" ht="15.75" customHeight="1">
      <c r="AH339" s="34"/>
      <c r="AI339" s="34"/>
    </row>
    <row r="340" ht="15.75" customHeight="1">
      <c r="AH340" s="34"/>
      <c r="AI340" s="34"/>
    </row>
    <row r="341" ht="15.75" customHeight="1">
      <c r="AH341" s="34"/>
      <c r="AI341" s="34"/>
    </row>
    <row r="342" ht="15.75" customHeight="1">
      <c r="AH342" s="34"/>
      <c r="AI342" s="34"/>
    </row>
    <row r="343" ht="15.75" customHeight="1">
      <c r="AH343" s="34"/>
      <c r="AI343" s="34"/>
    </row>
    <row r="344" ht="15.75" customHeight="1">
      <c r="AH344" s="34"/>
      <c r="AI344" s="34"/>
    </row>
    <row r="345" ht="15.75" customHeight="1">
      <c r="AH345" s="34"/>
      <c r="AI345" s="34"/>
    </row>
    <row r="346" ht="15.75" customHeight="1">
      <c r="AH346" s="34"/>
      <c r="AI346" s="34"/>
    </row>
    <row r="347" ht="15.75" customHeight="1">
      <c r="AH347" s="34"/>
      <c r="AI347" s="34"/>
    </row>
    <row r="348" ht="15.75" customHeight="1">
      <c r="AH348" s="34"/>
      <c r="AI348" s="34"/>
    </row>
    <row r="349" ht="15.75" customHeight="1">
      <c r="AH349" s="34"/>
      <c r="AI349" s="34"/>
    </row>
    <row r="350" ht="15.75" customHeight="1">
      <c r="AH350" s="34"/>
      <c r="AI350" s="34"/>
    </row>
    <row r="351" ht="15.75" customHeight="1">
      <c r="AH351" s="34"/>
      <c r="AI351" s="34"/>
    </row>
    <row r="352" ht="15.75" customHeight="1">
      <c r="AH352" s="34"/>
      <c r="AI352" s="34"/>
    </row>
    <row r="353" ht="15.75" customHeight="1">
      <c r="AH353" s="34"/>
      <c r="AI353" s="34"/>
    </row>
    <row r="354" ht="15.75" customHeight="1">
      <c r="AH354" s="34"/>
      <c r="AI354" s="34"/>
    </row>
    <row r="355" ht="15.75" customHeight="1">
      <c r="AH355" s="34"/>
      <c r="AI355" s="34"/>
    </row>
    <row r="356" ht="15.75" customHeight="1">
      <c r="AH356" s="34"/>
      <c r="AI356" s="34"/>
    </row>
    <row r="357" ht="15.75" customHeight="1">
      <c r="AH357" s="34"/>
      <c r="AI357" s="34"/>
    </row>
    <row r="358" ht="15.75" customHeight="1">
      <c r="AH358" s="34"/>
      <c r="AI358" s="34"/>
    </row>
    <row r="359" ht="15.75" customHeight="1">
      <c r="AH359" s="34"/>
      <c r="AI359" s="34"/>
    </row>
    <row r="360" ht="15.75" customHeight="1">
      <c r="AH360" s="34"/>
      <c r="AI360" s="34"/>
    </row>
    <row r="361" ht="15.75" customHeight="1">
      <c r="AH361" s="34"/>
      <c r="AI361" s="34"/>
    </row>
    <row r="362" ht="15.75" customHeight="1">
      <c r="AH362" s="34"/>
      <c r="AI362" s="34"/>
    </row>
    <row r="363" ht="15.75" customHeight="1">
      <c r="AH363" s="34"/>
      <c r="AI363" s="34"/>
    </row>
    <row r="364" ht="15.75" customHeight="1">
      <c r="AH364" s="34"/>
      <c r="AI364" s="34"/>
    </row>
    <row r="365" ht="15.75" customHeight="1">
      <c r="AH365" s="34"/>
      <c r="AI365" s="34"/>
    </row>
    <row r="366" ht="15.75" customHeight="1">
      <c r="AH366" s="34"/>
      <c r="AI366" s="34"/>
    </row>
    <row r="367" ht="15.75" customHeight="1">
      <c r="AH367" s="34"/>
      <c r="AI367" s="34"/>
    </row>
    <row r="368" ht="15.75" customHeight="1">
      <c r="AH368" s="34"/>
      <c r="AI368" s="34"/>
    </row>
    <row r="369" ht="15.75" customHeight="1">
      <c r="AH369" s="34"/>
      <c r="AI369" s="34"/>
    </row>
    <row r="370" ht="15.75" customHeight="1">
      <c r="AH370" s="34"/>
      <c r="AI370" s="34"/>
    </row>
    <row r="371" ht="15.75" customHeight="1">
      <c r="AH371" s="34"/>
      <c r="AI371" s="34"/>
    </row>
    <row r="372" ht="15.75" customHeight="1">
      <c r="AH372" s="34"/>
      <c r="AI372" s="34"/>
    </row>
    <row r="373" ht="15.75" customHeight="1">
      <c r="AH373" s="34"/>
      <c r="AI373" s="34"/>
    </row>
    <row r="374" ht="15.75" customHeight="1">
      <c r="AH374" s="34"/>
      <c r="AI374" s="34"/>
    </row>
    <row r="375" ht="15.75" customHeight="1">
      <c r="AH375" s="34"/>
      <c r="AI375" s="34"/>
    </row>
    <row r="376" ht="15.75" customHeight="1">
      <c r="AH376" s="34"/>
      <c r="AI376" s="34"/>
    </row>
    <row r="377" ht="15.75" customHeight="1">
      <c r="AH377" s="34"/>
      <c r="AI377" s="34"/>
    </row>
    <row r="378" ht="15.75" customHeight="1">
      <c r="AH378" s="34"/>
      <c r="AI378" s="34"/>
    </row>
    <row r="379" ht="15.75" customHeight="1">
      <c r="AH379" s="34"/>
      <c r="AI379" s="34"/>
    </row>
    <row r="380" ht="15.75" customHeight="1">
      <c r="AH380" s="34"/>
      <c r="AI380" s="34"/>
    </row>
    <row r="381" ht="15.75" customHeight="1">
      <c r="AH381" s="34"/>
      <c r="AI381" s="34"/>
    </row>
    <row r="382" ht="15.75" customHeight="1">
      <c r="AH382" s="34"/>
      <c r="AI382" s="34"/>
    </row>
    <row r="383" ht="15.75" customHeight="1">
      <c r="AH383" s="34"/>
      <c r="AI383" s="34"/>
    </row>
    <row r="384" ht="15.75" customHeight="1">
      <c r="AH384" s="34"/>
      <c r="AI384" s="34"/>
    </row>
    <row r="385" ht="15.75" customHeight="1">
      <c r="AH385" s="34"/>
      <c r="AI385" s="34"/>
    </row>
    <row r="386" ht="15.75" customHeight="1">
      <c r="AH386" s="34"/>
      <c r="AI386" s="34"/>
    </row>
    <row r="387" ht="15.75" customHeight="1">
      <c r="AH387" s="34"/>
      <c r="AI387" s="34"/>
    </row>
    <row r="388" ht="15.75" customHeight="1">
      <c r="AH388" s="34"/>
      <c r="AI388" s="34"/>
    </row>
    <row r="389" ht="15.75" customHeight="1">
      <c r="AH389" s="34"/>
      <c r="AI389" s="34"/>
    </row>
    <row r="390" ht="15.75" customHeight="1">
      <c r="AH390" s="34"/>
      <c r="AI390" s="34"/>
    </row>
    <row r="391" ht="15.75" customHeight="1">
      <c r="AH391" s="34"/>
      <c r="AI391" s="34"/>
    </row>
    <row r="392" ht="15.75" customHeight="1">
      <c r="AH392" s="34"/>
      <c r="AI392" s="34"/>
    </row>
    <row r="393" ht="15.75" customHeight="1">
      <c r="AH393" s="34"/>
      <c r="AI393" s="34"/>
    </row>
    <row r="394" ht="15.75" customHeight="1">
      <c r="AH394" s="34"/>
      <c r="AI394" s="34"/>
    </row>
    <row r="395" ht="15.75" customHeight="1">
      <c r="AH395" s="34"/>
      <c r="AI395" s="34"/>
    </row>
    <row r="396" ht="15.75" customHeight="1">
      <c r="AH396" s="34"/>
      <c r="AI396" s="34"/>
    </row>
    <row r="397" ht="15.75" customHeight="1">
      <c r="AH397" s="34"/>
      <c r="AI397" s="34"/>
    </row>
    <row r="398" ht="15.75" customHeight="1">
      <c r="AH398" s="34"/>
      <c r="AI398" s="34"/>
    </row>
    <row r="399" ht="15.75" customHeight="1">
      <c r="AH399" s="34"/>
      <c r="AI399" s="34"/>
    </row>
    <row r="400" ht="15.75" customHeight="1">
      <c r="AH400" s="34"/>
      <c r="AI400" s="34"/>
    </row>
    <row r="401" ht="15.75" customHeight="1">
      <c r="AH401" s="34"/>
      <c r="AI401" s="34"/>
    </row>
    <row r="402" ht="15.75" customHeight="1">
      <c r="AH402" s="34"/>
      <c r="AI402" s="34"/>
    </row>
    <row r="403" ht="15.75" customHeight="1">
      <c r="AH403" s="34"/>
      <c r="AI403" s="34"/>
    </row>
    <row r="404" ht="15.75" customHeight="1">
      <c r="AH404" s="34"/>
      <c r="AI404" s="34"/>
    </row>
    <row r="405" ht="15.75" customHeight="1">
      <c r="AH405" s="34"/>
      <c r="AI405" s="34"/>
    </row>
    <row r="406" ht="15.75" customHeight="1">
      <c r="AH406" s="34"/>
      <c r="AI406" s="34"/>
    </row>
    <row r="407" ht="15.75" customHeight="1">
      <c r="AH407" s="34"/>
      <c r="AI407" s="34"/>
    </row>
    <row r="408" ht="15.75" customHeight="1">
      <c r="AH408" s="34"/>
      <c r="AI408" s="34"/>
    </row>
    <row r="409" ht="15.75" customHeight="1">
      <c r="AH409" s="34"/>
      <c r="AI409" s="34"/>
    </row>
    <row r="410" ht="15.75" customHeight="1">
      <c r="AH410" s="34"/>
      <c r="AI410" s="34"/>
    </row>
    <row r="411" ht="15.75" customHeight="1">
      <c r="AH411" s="34"/>
      <c r="AI411" s="34"/>
    </row>
    <row r="412" ht="15.75" customHeight="1">
      <c r="AH412" s="34"/>
      <c r="AI412" s="34"/>
    </row>
    <row r="413" ht="15.75" customHeight="1">
      <c r="AH413" s="34"/>
      <c r="AI413" s="34"/>
    </row>
    <row r="414" ht="15.75" customHeight="1">
      <c r="AH414" s="34"/>
      <c r="AI414" s="34"/>
    </row>
    <row r="415" ht="15.75" customHeight="1">
      <c r="AH415" s="34"/>
      <c r="AI415" s="34"/>
    </row>
    <row r="416" ht="15.75" customHeight="1">
      <c r="AH416" s="34"/>
      <c r="AI416" s="34"/>
    </row>
    <row r="417" ht="15.75" customHeight="1">
      <c r="AH417" s="34"/>
      <c r="AI417" s="34"/>
    </row>
    <row r="418" ht="15.75" customHeight="1">
      <c r="AH418" s="34"/>
      <c r="AI418" s="34"/>
    </row>
    <row r="419" ht="15.75" customHeight="1">
      <c r="AH419" s="34"/>
      <c r="AI419" s="34"/>
    </row>
    <row r="420" ht="15.75" customHeight="1">
      <c r="AH420" s="34"/>
      <c r="AI420" s="34"/>
    </row>
    <row r="421" ht="15.75" customHeight="1">
      <c r="AH421" s="34"/>
      <c r="AI421" s="34"/>
    </row>
    <row r="422" ht="15.75" customHeight="1">
      <c r="AH422" s="34"/>
      <c r="AI422" s="34"/>
    </row>
    <row r="423" ht="15.75" customHeight="1">
      <c r="AH423" s="34"/>
      <c r="AI423" s="34"/>
    </row>
    <row r="424" ht="15.75" customHeight="1">
      <c r="AH424" s="34"/>
      <c r="AI424" s="34"/>
    </row>
    <row r="425" ht="15.75" customHeight="1">
      <c r="AH425" s="34"/>
      <c r="AI425" s="34"/>
    </row>
    <row r="426" ht="15.75" customHeight="1">
      <c r="AH426" s="34"/>
      <c r="AI426" s="34"/>
    </row>
    <row r="427" ht="15.75" customHeight="1">
      <c r="AH427" s="34"/>
      <c r="AI427" s="34"/>
    </row>
    <row r="428" ht="15.75" customHeight="1">
      <c r="AH428" s="34"/>
      <c r="AI428" s="34"/>
    </row>
    <row r="429" ht="15.75" customHeight="1">
      <c r="AH429" s="34"/>
      <c r="AI429" s="34"/>
    </row>
    <row r="430" ht="15.75" customHeight="1">
      <c r="AH430" s="34"/>
      <c r="AI430" s="34"/>
    </row>
    <row r="431" ht="15.75" customHeight="1">
      <c r="AH431" s="34"/>
      <c r="AI431" s="34"/>
    </row>
    <row r="432" ht="15.75" customHeight="1">
      <c r="AH432" s="34"/>
      <c r="AI432" s="34"/>
    </row>
    <row r="433" ht="15.75" customHeight="1">
      <c r="AH433" s="34"/>
      <c r="AI433" s="34"/>
    </row>
    <row r="434" ht="15.75" customHeight="1">
      <c r="AH434" s="34"/>
      <c r="AI434" s="34"/>
    </row>
    <row r="435" ht="15.75" customHeight="1">
      <c r="AH435" s="34"/>
      <c r="AI435" s="34"/>
    </row>
    <row r="436" ht="15.75" customHeight="1">
      <c r="AH436" s="34"/>
      <c r="AI436" s="34"/>
    </row>
    <row r="437" ht="15.75" customHeight="1">
      <c r="AH437" s="34"/>
      <c r="AI437" s="34"/>
    </row>
    <row r="438" ht="15.75" customHeight="1">
      <c r="AH438" s="34"/>
      <c r="AI438" s="34"/>
    </row>
    <row r="439" ht="15.75" customHeight="1">
      <c r="AH439" s="34"/>
      <c r="AI439" s="34"/>
    </row>
    <row r="440" ht="15.75" customHeight="1">
      <c r="AH440" s="34"/>
      <c r="AI440" s="34"/>
    </row>
    <row r="441" ht="15.75" customHeight="1">
      <c r="AH441" s="34"/>
      <c r="AI441" s="34"/>
    </row>
    <row r="442" ht="15.75" customHeight="1">
      <c r="AH442" s="34"/>
      <c r="AI442" s="34"/>
    </row>
    <row r="443" ht="15.75" customHeight="1">
      <c r="AH443" s="34"/>
      <c r="AI443" s="34"/>
    </row>
    <row r="444" ht="15.75" customHeight="1">
      <c r="AH444" s="34"/>
      <c r="AI444" s="34"/>
    </row>
    <row r="445" ht="15.75" customHeight="1">
      <c r="AH445" s="34"/>
      <c r="AI445" s="34"/>
    </row>
    <row r="446" ht="15.75" customHeight="1">
      <c r="AH446" s="34"/>
      <c r="AI446" s="34"/>
    </row>
    <row r="447" ht="15.75" customHeight="1">
      <c r="AH447" s="34"/>
      <c r="AI447" s="34"/>
    </row>
    <row r="448" ht="15.75" customHeight="1">
      <c r="AH448" s="34"/>
      <c r="AI448" s="34"/>
    </row>
    <row r="449" ht="15.75" customHeight="1">
      <c r="AH449" s="34"/>
      <c r="AI449" s="34"/>
    </row>
    <row r="450" ht="15.75" customHeight="1">
      <c r="AH450" s="34"/>
      <c r="AI450" s="34"/>
    </row>
    <row r="451" ht="15.75" customHeight="1">
      <c r="AH451" s="34"/>
      <c r="AI451" s="34"/>
    </row>
    <row r="452" ht="15.75" customHeight="1">
      <c r="AH452" s="34"/>
      <c r="AI452" s="34"/>
    </row>
    <row r="453" ht="15.75" customHeight="1">
      <c r="AH453" s="34"/>
      <c r="AI453" s="34"/>
    </row>
    <row r="454" ht="15.75" customHeight="1">
      <c r="AH454" s="34"/>
      <c r="AI454" s="34"/>
    </row>
    <row r="455" ht="15.75" customHeight="1">
      <c r="AH455" s="34"/>
      <c r="AI455" s="34"/>
    </row>
    <row r="456" ht="15.75" customHeight="1">
      <c r="AH456" s="34"/>
      <c r="AI456" s="34"/>
    </row>
    <row r="457" ht="15.75" customHeight="1">
      <c r="AH457" s="34"/>
      <c r="AI457" s="34"/>
    </row>
    <row r="458" ht="15.75" customHeight="1">
      <c r="AH458" s="34"/>
      <c r="AI458" s="34"/>
    </row>
    <row r="459" ht="15.75" customHeight="1">
      <c r="AH459" s="34"/>
      <c r="AI459" s="34"/>
    </row>
    <row r="460" ht="15.75" customHeight="1">
      <c r="AH460" s="34"/>
      <c r="AI460" s="34"/>
    </row>
    <row r="461" ht="15.75" customHeight="1">
      <c r="AH461" s="34"/>
      <c r="AI461" s="34"/>
    </row>
    <row r="462" ht="15.75" customHeight="1">
      <c r="AH462" s="34"/>
      <c r="AI462" s="34"/>
    </row>
    <row r="463" ht="15.75" customHeight="1">
      <c r="AH463" s="34"/>
      <c r="AI463" s="34"/>
    </row>
    <row r="464" ht="15.75" customHeight="1">
      <c r="AH464" s="34"/>
      <c r="AI464" s="34"/>
    </row>
    <row r="465" ht="15.75" customHeight="1">
      <c r="AH465" s="34"/>
      <c r="AI465" s="34"/>
    </row>
    <row r="466" ht="15.75" customHeight="1">
      <c r="AH466" s="34"/>
      <c r="AI466" s="34"/>
    </row>
    <row r="467" ht="15.75" customHeight="1">
      <c r="AH467" s="34"/>
      <c r="AI467" s="34"/>
    </row>
    <row r="468" ht="15.75" customHeight="1">
      <c r="AH468" s="34"/>
      <c r="AI468" s="34"/>
    </row>
    <row r="469" ht="15.75" customHeight="1">
      <c r="AH469" s="34"/>
      <c r="AI469" s="34"/>
    </row>
    <row r="470" ht="15.75" customHeight="1">
      <c r="AH470" s="34"/>
      <c r="AI470" s="34"/>
    </row>
    <row r="471" ht="15.75" customHeight="1">
      <c r="AH471" s="34"/>
      <c r="AI471" s="34"/>
    </row>
    <row r="472" ht="15.75" customHeight="1">
      <c r="AH472" s="34"/>
      <c r="AI472" s="34"/>
    </row>
    <row r="473" ht="15.75" customHeight="1">
      <c r="AH473" s="34"/>
      <c r="AI473" s="34"/>
    </row>
    <row r="474" ht="15.75" customHeight="1">
      <c r="AH474" s="34"/>
      <c r="AI474" s="34"/>
    </row>
    <row r="475" ht="15.75" customHeight="1">
      <c r="AH475" s="34"/>
      <c r="AI475" s="34"/>
    </row>
    <row r="476" ht="15.75" customHeight="1">
      <c r="AH476" s="34"/>
      <c r="AI476" s="34"/>
    </row>
    <row r="477" ht="15.75" customHeight="1">
      <c r="AH477" s="34"/>
      <c r="AI477" s="34"/>
    </row>
    <row r="478" ht="15.75" customHeight="1">
      <c r="AH478" s="34"/>
      <c r="AI478" s="34"/>
    </row>
    <row r="479" ht="15.75" customHeight="1">
      <c r="AH479" s="34"/>
      <c r="AI479" s="34"/>
    </row>
    <row r="480" ht="15.75" customHeight="1">
      <c r="AH480" s="34"/>
      <c r="AI480" s="34"/>
    </row>
    <row r="481" ht="15.75" customHeight="1">
      <c r="AH481" s="34"/>
      <c r="AI481" s="34"/>
    </row>
    <row r="482" ht="15.75" customHeight="1">
      <c r="AH482" s="34"/>
      <c r="AI482" s="34"/>
    </row>
    <row r="483" ht="15.75" customHeight="1">
      <c r="AH483" s="34"/>
      <c r="AI483" s="34"/>
    </row>
    <row r="484" ht="15.75" customHeight="1">
      <c r="AH484" s="34"/>
      <c r="AI484" s="34"/>
    </row>
    <row r="485" ht="15.75" customHeight="1">
      <c r="AH485" s="34"/>
      <c r="AI485" s="34"/>
    </row>
    <row r="486" ht="15.75" customHeight="1">
      <c r="AH486" s="34"/>
      <c r="AI486" s="34"/>
    </row>
    <row r="487" ht="15.75" customHeight="1">
      <c r="AH487" s="34"/>
      <c r="AI487" s="34"/>
    </row>
    <row r="488" ht="15.75" customHeight="1">
      <c r="AH488" s="34"/>
      <c r="AI488" s="34"/>
    </row>
    <row r="489" ht="15.75" customHeight="1">
      <c r="AH489" s="34"/>
      <c r="AI489" s="34"/>
    </row>
    <row r="490" ht="15.75" customHeight="1">
      <c r="AH490" s="34"/>
      <c r="AI490" s="34"/>
    </row>
    <row r="491" ht="15.75" customHeight="1">
      <c r="AH491" s="34"/>
      <c r="AI491" s="34"/>
    </row>
    <row r="492" ht="15.75" customHeight="1">
      <c r="AH492" s="34"/>
      <c r="AI492" s="34"/>
    </row>
    <row r="493" ht="15.75" customHeight="1">
      <c r="AH493" s="34"/>
      <c r="AI493" s="34"/>
    </row>
    <row r="494" ht="15.75" customHeight="1">
      <c r="AH494" s="34"/>
      <c r="AI494" s="34"/>
    </row>
    <row r="495" ht="15.75" customHeight="1">
      <c r="AH495" s="34"/>
      <c r="AI495" s="34"/>
    </row>
    <row r="496" ht="15.75" customHeight="1">
      <c r="AH496" s="34"/>
      <c r="AI496" s="34"/>
    </row>
    <row r="497" ht="15.75" customHeight="1">
      <c r="AH497" s="34"/>
      <c r="AI497" s="34"/>
    </row>
    <row r="498" ht="15.75" customHeight="1">
      <c r="AH498" s="34"/>
      <c r="AI498" s="34"/>
    </row>
    <row r="499" ht="15.75" customHeight="1">
      <c r="AH499" s="34"/>
      <c r="AI499" s="34"/>
    </row>
    <row r="500" ht="15.75" customHeight="1">
      <c r="AH500" s="34"/>
      <c r="AI500" s="34"/>
    </row>
    <row r="501" ht="15.75" customHeight="1">
      <c r="AH501" s="34"/>
      <c r="AI501" s="34"/>
    </row>
    <row r="502" ht="15.75" customHeight="1">
      <c r="AH502" s="34"/>
      <c r="AI502" s="34"/>
    </row>
    <row r="503" ht="15.75" customHeight="1">
      <c r="AH503" s="34"/>
      <c r="AI503" s="34"/>
    </row>
    <row r="504" ht="15.75" customHeight="1">
      <c r="AH504" s="34"/>
      <c r="AI504" s="34"/>
    </row>
    <row r="505" ht="15.75" customHeight="1">
      <c r="AH505" s="34"/>
      <c r="AI505" s="34"/>
    </row>
    <row r="506" ht="15.75" customHeight="1">
      <c r="AH506" s="34"/>
      <c r="AI506" s="34"/>
    </row>
    <row r="507" ht="15.75" customHeight="1">
      <c r="AH507" s="34"/>
      <c r="AI507" s="34"/>
    </row>
    <row r="508" ht="15.75" customHeight="1">
      <c r="AH508" s="34"/>
      <c r="AI508" s="34"/>
    </row>
    <row r="509" ht="15.75" customHeight="1">
      <c r="AH509" s="34"/>
      <c r="AI509" s="34"/>
    </row>
    <row r="510" ht="15.75" customHeight="1">
      <c r="AH510" s="34"/>
      <c r="AI510" s="34"/>
    </row>
    <row r="511" ht="15.75" customHeight="1">
      <c r="AH511" s="34"/>
      <c r="AI511" s="34"/>
    </row>
    <row r="512" ht="15.75" customHeight="1">
      <c r="AH512" s="34"/>
      <c r="AI512" s="34"/>
    </row>
    <row r="513" ht="15.75" customHeight="1">
      <c r="AH513" s="34"/>
      <c r="AI513" s="34"/>
    </row>
    <row r="514" ht="15.75" customHeight="1">
      <c r="AH514" s="34"/>
      <c r="AI514" s="34"/>
    </row>
    <row r="515" ht="15.75" customHeight="1">
      <c r="AH515" s="34"/>
      <c r="AI515" s="34"/>
    </row>
    <row r="516" ht="15.75" customHeight="1">
      <c r="AH516" s="34"/>
      <c r="AI516" s="34"/>
    </row>
    <row r="517" ht="15.75" customHeight="1">
      <c r="AH517" s="34"/>
      <c r="AI517" s="34"/>
    </row>
    <row r="518" ht="15.75" customHeight="1">
      <c r="AH518" s="34"/>
      <c r="AI518" s="34"/>
    </row>
    <row r="519" ht="15.75" customHeight="1">
      <c r="AH519" s="34"/>
      <c r="AI519" s="34"/>
    </row>
    <row r="520" ht="15.75" customHeight="1">
      <c r="AH520" s="34"/>
      <c r="AI520" s="34"/>
    </row>
    <row r="521" ht="15.75" customHeight="1">
      <c r="AH521" s="34"/>
      <c r="AI521" s="34"/>
    </row>
    <row r="522" ht="15.75" customHeight="1">
      <c r="AH522" s="34"/>
      <c r="AI522" s="34"/>
    </row>
    <row r="523" ht="15.75" customHeight="1">
      <c r="AH523" s="34"/>
      <c r="AI523" s="34"/>
    </row>
    <row r="524" ht="15.75" customHeight="1">
      <c r="AH524" s="34"/>
      <c r="AI524" s="34"/>
    </row>
    <row r="525" ht="15.75" customHeight="1">
      <c r="AH525" s="34"/>
      <c r="AI525" s="34"/>
    </row>
    <row r="526" ht="15.75" customHeight="1">
      <c r="AH526" s="34"/>
      <c r="AI526" s="34"/>
    </row>
    <row r="527" ht="15.75" customHeight="1">
      <c r="AH527" s="34"/>
      <c r="AI527" s="34"/>
    </row>
    <row r="528" ht="15.75" customHeight="1">
      <c r="AH528" s="34"/>
      <c r="AI528" s="34"/>
    </row>
    <row r="529" ht="15.75" customHeight="1">
      <c r="AH529" s="34"/>
      <c r="AI529" s="34"/>
    </row>
    <row r="530" ht="15.75" customHeight="1">
      <c r="AH530" s="34"/>
      <c r="AI530" s="34"/>
    </row>
    <row r="531" ht="15.75" customHeight="1">
      <c r="AH531" s="34"/>
      <c r="AI531" s="34"/>
    </row>
    <row r="532" ht="15.75" customHeight="1">
      <c r="AH532" s="34"/>
      <c r="AI532" s="34"/>
    </row>
    <row r="533" ht="15.75" customHeight="1">
      <c r="AH533" s="34"/>
      <c r="AI533" s="34"/>
    </row>
    <row r="534" ht="15.75" customHeight="1">
      <c r="AH534" s="34"/>
      <c r="AI534" s="34"/>
    </row>
    <row r="535" ht="15.75" customHeight="1">
      <c r="AH535" s="34"/>
      <c r="AI535" s="34"/>
    </row>
    <row r="536" ht="15.75" customHeight="1">
      <c r="AH536" s="34"/>
      <c r="AI536" s="34"/>
    </row>
    <row r="537" ht="15.75" customHeight="1">
      <c r="AH537" s="34"/>
      <c r="AI537" s="34"/>
    </row>
    <row r="538" ht="15.75" customHeight="1">
      <c r="AH538" s="34"/>
      <c r="AI538" s="34"/>
    </row>
    <row r="539" ht="15.75" customHeight="1">
      <c r="AH539" s="34"/>
      <c r="AI539" s="34"/>
    </row>
    <row r="540" ht="15.75" customHeight="1">
      <c r="AH540" s="34"/>
      <c r="AI540" s="34"/>
    </row>
    <row r="541" ht="15.75" customHeight="1">
      <c r="AH541" s="34"/>
      <c r="AI541" s="34"/>
    </row>
    <row r="542" ht="15.75" customHeight="1">
      <c r="AH542" s="34"/>
      <c r="AI542" s="34"/>
    </row>
    <row r="543" ht="15.75" customHeight="1">
      <c r="AH543" s="34"/>
      <c r="AI543" s="34"/>
    </row>
    <row r="544" ht="15.75" customHeight="1">
      <c r="AH544" s="34"/>
      <c r="AI544" s="34"/>
    </row>
    <row r="545" ht="15.75" customHeight="1">
      <c r="AH545" s="34"/>
      <c r="AI545" s="34"/>
    </row>
    <row r="546" ht="15.75" customHeight="1">
      <c r="AH546" s="34"/>
      <c r="AI546" s="34"/>
    </row>
    <row r="547" ht="15.75" customHeight="1">
      <c r="AH547" s="34"/>
      <c r="AI547" s="34"/>
    </row>
    <row r="548" ht="15.75" customHeight="1">
      <c r="AH548" s="34"/>
      <c r="AI548" s="34"/>
    </row>
    <row r="549" ht="15.75" customHeight="1">
      <c r="AH549" s="34"/>
      <c r="AI549" s="34"/>
    </row>
    <row r="550" ht="15.75" customHeight="1">
      <c r="AH550" s="34"/>
      <c r="AI550" s="34"/>
    </row>
    <row r="551" ht="15.75" customHeight="1">
      <c r="AH551" s="34"/>
      <c r="AI551" s="34"/>
    </row>
    <row r="552" ht="15.75" customHeight="1">
      <c r="AH552" s="34"/>
      <c r="AI552" s="34"/>
    </row>
    <row r="553" ht="15.75" customHeight="1">
      <c r="AH553" s="34"/>
      <c r="AI553" s="34"/>
    </row>
    <row r="554" ht="15.75" customHeight="1">
      <c r="AH554" s="34"/>
      <c r="AI554" s="34"/>
    </row>
    <row r="555" ht="15.75" customHeight="1">
      <c r="AH555" s="34"/>
      <c r="AI555" s="34"/>
    </row>
    <row r="556" ht="15.75" customHeight="1">
      <c r="AH556" s="34"/>
      <c r="AI556" s="34"/>
    </row>
    <row r="557" ht="15.75" customHeight="1">
      <c r="AH557" s="34"/>
      <c r="AI557" s="34"/>
    </row>
    <row r="558" ht="15.75" customHeight="1">
      <c r="AH558" s="34"/>
      <c r="AI558" s="34"/>
    </row>
    <row r="559" ht="15.75" customHeight="1">
      <c r="AH559" s="34"/>
      <c r="AI559" s="34"/>
    </row>
    <row r="560" ht="15.75" customHeight="1">
      <c r="AH560" s="34"/>
      <c r="AI560" s="34"/>
    </row>
    <row r="561" ht="15.75" customHeight="1">
      <c r="AH561" s="34"/>
      <c r="AI561" s="34"/>
    </row>
    <row r="562" ht="15.75" customHeight="1">
      <c r="AH562" s="34"/>
      <c r="AI562" s="34"/>
    </row>
    <row r="563" ht="15.75" customHeight="1">
      <c r="AH563" s="34"/>
      <c r="AI563" s="34"/>
    </row>
    <row r="564" ht="15.75" customHeight="1">
      <c r="AH564" s="34"/>
      <c r="AI564" s="34"/>
    </row>
    <row r="565" ht="15.75" customHeight="1">
      <c r="AH565" s="34"/>
      <c r="AI565" s="34"/>
    </row>
    <row r="566" ht="15.75" customHeight="1">
      <c r="AH566" s="34"/>
      <c r="AI566" s="34"/>
    </row>
    <row r="567" ht="15.75" customHeight="1">
      <c r="AH567" s="34"/>
      <c r="AI567" s="34"/>
    </row>
    <row r="568" ht="15.75" customHeight="1">
      <c r="AH568" s="34"/>
      <c r="AI568" s="34"/>
    </row>
    <row r="569" ht="15.75" customHeight="1">
      <c r="AH569" s="34"/>
      <c r="AI569" s="34"/>
    </row>
    <row r="570" ht="15.75" customHeight="1">
      <c r="AH570" s="34"/>
      <c r="AI570" s="34"/>
    </row>
    <row r="571" ht="15.75" customHeight="1">
      <c r="AH571" s="34"/>
      <c r="AI571" s="34"/>
    </row>
    <row r="572" ht="15.75" customHeight="1">
      <c r="AH572" s="34"/>
      <c r="AI572" s="34"/>
    </row>
    <row r="573" ht="15.75" customHeight="1">
      <c r="AH573" s="34"/>
      <c r="AI573" s="34"/>
    </row>
    <row r="574" ht="15.75" customHeight="1">
      <c r="AH574" s="34"/>
      <c r="AI574" s="34"/>
    </row>
    <row r="575" ht="15.75" customHeight="1">
      <c r="AH575" s="34"/>
      <c r="AI575" s="34"/>
    </row>
    <row r="576" ht="15.75" customHeight="1">
      <c r="AH576" s="34"/>
      <c r="AI576" s="34"/>
    </row>
    <row r="577" ht="15.75" customHeight="1">
      <c r="AH577" s="34"/>
      <c r="AI577" s="34"/>
    </row>
    <row r="578" ht="15.75" customHeight="1">
      <c r="AH578" s="34"/>
      <c r="AI578" s="34"/>
    </row>
    <row r="579" ht="15.75" customHeight="1">
      <c r="AH579" s="34"/>
      <c r="AI579" s="34"/>
    </row>
    <row r="580" ht="15.75" customHeight="1">
      <c r="AH580" s="34"/>
      <c r="AI580" s="34"/>
    </row>
    <row r="581" ht="15.75" customHeight="1">
      <c r="AH581" s="34"/>
      <c r="AI581" s="34"/>
    </row>
    <row r="582" ht="15.75" customHeight="1">
      <c r="AH582" s="34"/>
      <c r="AI582" s="34"/>
    </row>
    <row r="583" ht="15.75" customHeight="1">
      <c r="AH583" s="34"/>
      <c r="AI583" s="34"/>
    </row>
    <row r="584" ht="15.75" customHeight="1">
      <c r="AH584" s="34"/>
      <c r="AI584" s="34"/>
    </row>
    <row r="585" ht="15.75" customHeight="1">
      <c r="AH585" s="34"/>
      <c r="AI585" s="34"/>
    </row>
    <row r="586" ht="15.75" customHeight="1">
      <c r="AH586" s="34"/>
      <c r="AI586" s="34"/>
    </row>
    <row r="587" ht="15.75" customHeight="1">
      <c r="AH587" s="34"/>
      <c r="AI587" s="34"/>
    </row>
    <row r="588" ht="15.75" customHeight="1">
      <c r="AH588" s="34"/>
      <c r="AI588" s="34"/>
    </row>
    <row r="589" ht="15.75" customHeight="1">
      <c r="AH589" s="34"/>
      <c r="AI589" s="34"/>
    </row>
    <row r="590" ht="15.75" customHeight="1">
      <c r="AH590" s="34"/>
      <c r="AI590" s="34"/>
    </row>
    <row r="591" ht="15.75" customHeight="1">
      <c r="AH591" s="34"/>
      <c r="AI591" s="34"/>
    </row>
    <row r="592" ht="15.75" customHeight="1">
      <c r="AH592" s="34"/>
      <c r="AI592" s="34"/>
    </row>
    <row r="593" ht="15.75" customHeight="1">
      <c r="AH593" s="34"/>
      <c r="AI593" s="34"/>
    </row>
    <row r="594" ht="15.75" customHeight="1">
      <c r="AH594" s="34"/>
      <c r="AI594" s="34"/>
    </row>
    <row r="595" ht="15.75" customHeight="1">
      <c r="AH595" s="34"/>
      <c r="AI595" s="34"/>
    </row>
    <row r="596" ht="15.75" customHeight="1">
      <c r="AH596" s="34"/>
      <c r="AI596" s="34"/>
    </row>
    <row r="597" ht="15.75" customHeight="1">
      <c r="AH597" s="34"/>
      <c r="AI597" s="34"/>
    </row>
    <row r="598" ht="15.75" customHeight="1">
      <c r="AH598" s="34"/>
      <c r="AI598" s="34"/>
    </row>
    <row r="599" ht="15.75" customHeight="1">
      <c r="AH599" s="34"/>
      <c r="AI599" s="34"/>
    </row>
    <row r="600" ht="15.75" customHeight="1">
      <c r="AH600" s="34"/>
      <c r="AI600" s="34"/>
    </row>
    <row r="601" ht="15.75" customHeight="1">
      <c r="AH601" s="34"/>
      <c r="AI601" s="34"/>
    </row>
    <row r="602" ht="15.75" customHeight="1">
      <c r="AH602" s="34"/>
      <c r="AI602" s="34"/>
    </row>
    <row r="603" ht="15.75" customHeight="1">
      <c r="AH603" s="34"/>
      <c r="AI603" s="34"/>
    </row>
    <row r="604" ht="15.75" customHeight="1">
      <c r="AH604" s="34"/>
      <c r="AI604" s="34"/>
    </row>
    <row r="605" ht="15.75" customHeight="1">
      <c r="AH605" s="34"/>
      <c r="AI605" s="34"/>
    </row>
    <row r="606" ht="15.75" customHeight="1">
      <c r="AH606" s="34"/>
      <c r="AI606" s="34"/>
    </row>
    <row r="607" ht="15.75" customHeight="1">
      <c r="AH607" s="34"/>
      <c r="AI607" s="34"/>
    </row>
    <row r="608" ht="15.75" customHeight="1">
      <c r="AH608" s="34"/>
      <c r="AI608" s="34"/>
    </row>
    <row r="609" ht="15.75" customHeight="1">
      <c r="AH609" s="34"/>
      <c r="AI609" s="34"/>
    </row>
    <row r="610" ht="15.75" customHeight="1">
      <c r="AH610" s="34"/>
      <c r="AI610" s="34"/>
    </row>
    <row r="611" ht="15.75" customHeight="1">
      <c r="AH611" s="34"/>
      <c r="AI611" s="34"/>
    </row>
    <row r="612" ht="15.75" customHeight="1">
      <c r="AH612" s="34"/>
      <c r="AI612" s="34"/>
    </row>
    <row r="613" ht="15.75" customHeight="1">
      <c r="AH613" s="34"/>
      <c r="AI613" s="34"/>
    </row>
    <row r="614" ht="15.75" customHeight="1">
      <c r="AH614" s="34"/>
      <c r="AI614" s="34"/>
    </row>
    <row r="615" ht="15.75" customHeight="1">
      <c r="AH615" s="34"/>
      <c r="AI615" s="34"/>
    </row>
    <row r="616" ht="15.75" customHeight="1">
      <c r="AH616" s="34"/>
      <c r="AI616" s="34"/>
    </row>
    <row r="617" ht="15.75" customHeight="1">
      <c r="AH617" s="34"/>
      <c r="AI617" s="34"/>
    </row>
    <row r="618" ht="15.75" customHeight="1">
      <c r="AH618" s="34"/>
      <c r="AI618" s="34"/>
    </row>
    <row r="619" ht="15.75" customHeight="1">
      <c r="AH619" s="34"/>
      <c r="AI619" s="34"/>
    </row>
    <row r="620" ht="15.75" customHeight="1">
      <c r="AH620" s="34"/>
      <c r="AI620" s="34"/>
    </row>
    <row r="621" ht="15.75" customHeight="1">
      <c r="AH621" s="34"/>
      <c r="AI621" s="34"/>
    </row>
    <row r="622" ht="15.75" customHeight="1">
      <c r="AH622" s="34"/>
      <c r="AI622" s="34"/>
    </row>
    <row r="623" ht="15.75" customHeight="1">
      <c r="AH623" s="34"/>
      <c r="AI623" s="34"/>
    </row>
    <row r="624" ht="15.75" customHeight="1">
      <c r="AH624" s="34"/>
      <c r="AI624" s="34"/>
    </row>
    <row r="625" ht="15.75" customHeight="1">
      <c r="AH625" s="34"/>
      <c r="AI625" s="34"/>
    </row>
    <row r="626" ht="15.75" customHeight="1">
      <c r="AH626" s="34"/>
      <c r="AI626" s="34"/>
    </row>
    <row r="627" ht="15.75" customHeight="1">
      <c r="AH627" s="34"/>
      <c r="AI627" s="34"/>
    </row>
    <row r="628" ht="15.75" customHeight="1">
      <c r="AH628" s="34"/>
      <c r="AI628" s="34"/>
    </row>
    <row r="629" ht="15.75" customHeight="1">
      <c r="AH629" s="34"/>
      <c r="AI629" s="34"/>
    </row>
    <row r="630" ht="15.75" customHeight="1">
      <c r="AH630" s="34"/>
      <c r="AI630" s="34"/>
    </row>
    <row r="631" ht="15.75" customHeight="1">
      <c r="AH631" s="34"/>
      <c r="AI631" s="34"/>
    </row>
    <row r="632" ht="15.75" customHeight="1">
      <c r="AH632" s="34"/>
      <c r="AI632" s="34"/>
    </row>
    <row r="633" ht="15.75" customHeight="1">
      <c r="AH633" s="34"/>
      <c r="AI633" s="34"/>
    </row>
    <row r="634" ht="15.75" customHeight="1">
      <c r="AH634" s="34"/>
      <c r="AI634" s="34"/>
    </row>
    <row r="635" ht="15.75" customHeight="1">
      <c r="AH635" s="34"/>
      <c r="AI635" s="34"/>
    </row>
    <row r="636" ht="15.75" customHeight="1">
      <c r="AH636" s="34"/>
      <c r="AI636" s="34"/>
    </row>
    <row r="637" ht="15.75" customHeight="1">
      <c r="AH637" s="34"/>
      <c r="AI637" s="34"/>
    </row>
    <row r="638" ht="15.75" customHeight="1">
      <c r="AH638" s="34"/>
      <c r="AI638" s="34"/>
    </row>
    <row r="639" ht="15.75" customHeight="1">
      <c r="AH639" s="34"/>
      <c r="AI639" s="34"/>
    </row>
    <row r="640" ht="15.75" customHeight="1">
      <c r="AH640" s="34"/>
      <c r="AI640" s="34"/>
    </row>
    <row r="641" ht="15.75" customHeight="1">
      <c r="AH641" s="34"/>
      <c r="AI641" s="34"/>
    </row>
    <row r="642" ht="15.75" customHeight="1">
      <c r="AH642" s="34"/>
      <c r="AI642" s="34"/>
    </row>
    <row r="643" ht="15.75" customHeight="1">
      <c r="AH643" s="34"/>
      <c r="AI643" s="34"/>
    </row>
    <row r="644" ht="15.75" customHeight="1">
      <c r="AH644" s="34"/>
      <c r="AI644" s="34"/>
    </row>
    <row r="645" ht="15.75" customHeight="1">
      <c r="AH645" s="34"/>
      <c r="AI645" s="34"/>
    </row>
    <row r="646" ht="15.75" customHeight="1">
      <c r="AH646" s="34"/>
      <c r="AI646" s="34"/>
    </row>
    <row r="647" ht="15.75" customHeight="1">
      <c r="AH647" s="34"/>
      <c r="AI647" s="34"/>
    </row>
    <row r="648" ht="15.75" customHeight="1">
      <c r="AH648" s="34"/>
      <c r="AI648" s="34"/>
    </row>
    <row r="649" ht="15.75" customHeight="1">
      <c r="AH649" s="34"/>
      <c r="AI649" s="34"/>
    </row>
    <row r="650" ht="15.75" customHeight="1">
      <c r="AH650" s="34"/>
      <c r="AI650" s="34"/>
    </row>
    <row r="651" ht="15.75" customHeight="1">
      <c r="AH651" s="34"/>
      <c r="AI651" s="34"/>
    </row>
    <row r="652" ht="15.75" customHeight="1">
      <c r="AH652" s="34"/>
      <c r="AI652" s="34"/>
    </row>
    <row r="653" ht="15.75" customHeight="1">
      <c r="AH653" s="34"/>
      <c r="AI653" s="34"/>
    </row>
    <row r="654" ht="15.75" customHeight="1">
      <c r="AH654" s="34"/>
      <c r="AI654" s="34"/>
    </row>
    <row r="655" ht="15.75" customHeight="1">
      <c r="AH655" s="34"/>
      <c r="AI655" s="34"/>
    </row>
    <row r="656" ht="15.75" customHeight="1">
      <c r="AH656" s="34"/>
      <c r="AI656" s="34"/>
    </row>
    <row r="657" ht="15.75" customHeight="1">
      <c r="AH657" s="34"/>
      <c r="AI657" s="34"/>
    </row>
    <row r="658" ht="15.75" customHeight="1">
      <c r="AH658" s="34"/>
      <c r="AI658" s="34"/>
    </row>
    <row r="659" ht="15.75" customHeight="1">
      <c r="AH659" s="34"/>
      <c r="AI659" s="34"/>
    </row>
    <row r="660" ht="15.75" customHeight="1">
      <c r="AH660" s="34"/>
      <c r="AI660" s="34"/>
    </row>
    <row r="661" ht="15.75" customHeight="1">
      <c r="AH661" s="34"/>
      <c r="AI661" s="34"/>
    </row>
    <row r="662" ht="15.75" customHeight="1">
      <c r="AH662" s="34"/>
      <c r="AI662" s="34"/>
    </row>
    <row r="663" ht="15.75" customHeight="1">
      <c r="AH663" s="34"/>
      <c r="AI663" s="34"/>
    </row>
    <row r="664" ht="15.75" customHeight="1">
      <c r="AH664" s="34"/>
      <c r="AI664" s="34"/>
    </row>
    <row r="665" ht="15.75" customHeight="1">
      <c r="AH665" s="34"/>
      <c r="AI665" s="34"/>
    </row>
    <row r="666" ht="15.75" customHeight="1">
      <c r="AH666" s="34"/>
      <c r="AI666" s="34"/>
    </row>
    <row r="667" ht="15.75" customHeight="1">
      <c r="AH667" s="34"/>
      <c r="AI667" s="34"/>
    </row>
    <row r="668" ht="15.75" customHeight="1">
      <c r="AH668" s="34"/>
      <c r="AI668" s="34"/>
    </row>
    <row r="669" ht="15.75" customHeight="1">
      <c r="AH669" s="34"/>
      <c r="AI669" s="34"/>
    </row>
    <row r="670" ht="15.75" customHeight="1">
      <c r="AH670" s="34"/>
      <c r="AI670" s="34"/>
    </row>
    <row r="671" ht="15.75" customHeight="1">
      <c r="AH671" s="34"/>
      <c r="AI671" s="34"/>
    </row>
    <row r="672" ht="15.75" customHeight="1">
      <c r="AH672" s="34"/>
      <c r="AI672" s="34"/>
    </row>
    <row r="673" ht="15.75" customHeight="1">
      <c r="AH673" s="34"/>
      <c r="AI673" s="34"/>
    </row>
    <row r="674" ht="15.75" customHeight="1">
      <c r="AH674" s="34"/>
      <c r="AI674" s="34"/>
    </row>
    <row r="675" ht="15.75" customHeight="1">
      <c r="AH675" s="34"/>
      <c r="AI675" s="34"/>
    </row>
    <row r="676" ht="15.75" customHeight="1">
      <c r="AH676" s="34"/>
      <c r="AI676" s="34"/>
    </row>
    <row r="677" ht="15.75" customHeight="1">
      <c r="AH677" s="34"/>
      <c r="AI677" s="34"/>
    </row>
    <row r="678" ht="15.75" customHeight="1">
      <c r="AH678" s="34"/>
      <c r="AI678" s="34"/>
    </row>
    <row r="679" ht="15.75" customHeight="1">
      <c r="AH679" s="34"/>
      <c r="AI679" s="34"/>
    </row>
    <row r="680" ht="15.75" customHeight="1">
      <c r="AH680" s="34"/>
      <c r="AI680" s="34"/>
    </row>
    <row r="681" ht="15.75" customHeight="1">
      <c r="AH681" s="34"/>
      <c r="AI681" s="34"/>
    </row>
    <row r="682" ht="15.75" customHeight="1">
      <c r="AH682" s="34"/>
      <c r="AI682" s="34"/>
    </row>
    <row r="683" ht="15.75" customHeight="1">
      <c r="AH683" s="34"/>
      <c r="AI683" s="34"/>
    </row>
    <row r="684" ht="15.75" customHeight="1">
      <c r="AH684" s="34"/>
      <c r="AI684" s="34"/>
    </row>
    <row r="685" ht="15.75" customHeight="1">
      <c r="AH685" s="34"/>
      <c r="AI685" s="34"/>
    </row>
    <row r="686" ht="15.75" customHeight="1">
      <c r="AH686" s="34"/>
      <c r="AI686" s="34"/>
    </row>
    <row r="687" ht="15.75" customHeight="1">
      <c r="AH687" s="34"/>
      <c r="AI687" s="34"/>
    </row>
    <row r="688" ht="15.75" customHeight="1">
      <c r="AH688" s="34"/>
      <c r="AI688" s="34"/>
    </row>
    <row r="689" ht="15.75" customHeight="1">
      <c r="AH689" s="34"/>
      <c r="AI689" s="34"/>
    </row>
    <row r="690" ht="15.75" customHeight="1">
      <c r="AH690" s="34"/>
      <c r="AI690" s="34"/>
    </row>
    <row r="691" ht="15.75" customHeight="1">
      <c r="AH691" s="34"/>
      <c r="AI691" s="34"/>
    </row>
    <row r="692" ht="15.75" customHeight="1">
      <c r="AH692" s="34"/>
      <c r="AI692" s="34"/>
    </row>
    <row r="693" ht="15.75" customHeight="1">
      <c r="AH693" s="34"/>
      <c r="AI693" s="34"/>
    </row>
    <row r="694" ht="15.75" customHeight="1">
      <c r="AH694" s="34"/>
      <c r="AI694" s="34"/>
    </row>
    <row r="695" ht="15.75" customHeight="1">
      <c r="AH695" s="34"/>
      <c r="AI695" s="34"/>
    </row>
    <row r="696" ht="15.75" customHeight="1">
      <c r="AH696" s="34"/>
      <c r="AI696" s="34"/>
    </row>
    <row r="697" ht="15.75" customHeight="1">
      <c r="AH697" s="34"/>
      <c r="AI697" s="34"/>
    </row>
    <row r="698" ht="15.75" customHeight="1">
      <c r="AH698" s="34"/>
      <c r="AI698" s="34"/>
    </row>
    <row r="699" ht="15.75" customHeight="1">
      <c r="AH699" s="34"/>
      <c r="AI699" s="34"/>
    </row>
    <row r="700" ht="15.75" customHeight="1">
      <c r="AH700" s="34"/>
      <c r="AI700" s="34"/>
    </row>
    <row r="701" ht="15.75" customHeight="1">
      <c r="AH701" s="34"/>
      <c r="AI701" s="34"/>
    </row>
    <row r="702" ht="15.75" customHeight="1">
      <c r="AH702" s="34"/>
      <c r="AI702" s="34"/>
    </row>
    <row r="703" ht="15.75" customHeight="1">
      <c r="AH703" s="34"/>
      <c r="AI703" s="34"/>
    </row>
    <row r="704" ht="15.75" customHeight="1">
      <c r="AH704" s="34"/>
      <c r="AI704" s="34"/>
    </row>
    <row r="705" ht="15.75" customHeight="1">
      <c r="AH705" s="34"/>
      <c r="AI705" s="34"/>
    </row>
    <row r="706" ht="15.75" customHeight="1">
      <c r="AH706" s="34"/>
      <c r="AI706" s="34"/>
    </row>
    <row r="707" ht="15.75" customHeight="1">
      <c r="AH707" s="34"/>
      <c r="AI707" s="34"/>
    </row>
    <row r="708" ht="15.75" customHeight="1">
      <c r="AH708" s="34"/>
      <c r="AI708" s="34"/>
    </row>
    <row r="709" ht="15.75" customHeight="1">
      <c r="AH709" s="34"/>
      <c r="AI709" s="34"/>
    </row>
    <row r="710" ht="15.75" customHeight="1">
      <c r="AH710" s="34"/>
      <c r="AI710" s="34"/>
    </row>
    <row r="711" ht="15.75" customHeight="1">
      <c r="AH711" s="34"/>
      <c r="AI711" s="34"/>
    </row>
    <row r="712" ht="15.75" customHeight="1">
      <c r="AH712" s="34"/>
      <c r="AI712" s="34"/>
    </row>
    <row r="713" ht="15.75" customHeight="1">
      <c r="AH713" s="34"/>
      <c r="AI713" s="34"/>
    </row>
    <row r="714" ht="15.75" customHeight="1">
      <c r="AH714" s="34"/>
      <c r="AI714" s="34"/>
    </row>
    <row r="715" ht="15.75" customHeight="1">
      <c r="AH715" s="34"/>
      <c r="AI715" s="34"/>
    </row>
    <row r="716" ht="15.75" customHeight="1">
      <c r="AH716" s="34"/>
      <c r="AI716" s="34"/>
    </row>
    <row r="717" ht="15.75" customHeight="1">
      <c r="AH717" s="34"/>
      <c r="AI717" s="34"/>
    </row>
    <row r="718" ht="15.75" customHeight="1">
      <c r="AH718" s="34"/>
      <c r="AI718" s="34"/>
    </row>
    <row r="719" ht="15.75" customHeight="1">
      <c r="AH719" s="34"/>
      <c r="AI719" s="34"/>
    </row>
    <row r="720" ht="15.75" customHeight="1">
      <c r="AH720" s="34"/>
      <c r="AI720" s="34"/>
    </row>
    <row r="721" ht="15.75" customHeight="1">
      <c r="AH721" s="34"/>
      <c r="AI721" s="34"/>
    </row>
    <row r="722" ht="15.75" customHeight="1">
      <c r="AH722" s="34"/>
      <c r="AI722" s="34"/>
    </row>
    <row r="723" ht="15.75" customHeight="1">
      <c r="AH723" s="34"/>
      <c r="AI723" s="34"/>
    </row>
    <row r="724" ht="15.75" customHeight="1">
      <c r="AH724" s="34"/>
      <c r="AI724" s="34"/>
    </row>
    <row r="725" ht="15.75" customHeight="1">
      <c r="AH725" s="34"/>
      <c r="AI725" s="34"/>
    </row>
    <row r="726" ht="15.75" customHeight="1">
      <c r="AH726" s="34"/>
      <c r="AI726" s="34"/>
    </row>
    <row r="727" ht="15.75" customHeight="1">
      <c r="AH727" s="34"/>
      <c r="AI727" s="34"/>
    </row>
    <row r="728" ht="15.75" customHeight="1">
      <c r="AH728" s="34"/>
      <c r="AI728" s="34"/>
    </row>
    <row r="729" ht="15.75" customHeight="1">
      <c r="AH729" s="34"/>
      <c r="AI729" s="34"/>
    </row>
    <row r="730" ht="15.75" customHeight="1">
      <c r="AH730" s="34"/>
      <c r="AI730" s="34"/>
    </row>
    <row r="731" ht="15.75" customHeight="1">
      <c r="AH731" s="34"/>
      <c r="AI731" s="34"/>
    </row>
    <row r="732" ht="15.75" customHeight="1">
      <c r="AH732" s="34"/>
      <c r="AI732" s="34"/>
    </row>
    <row r="733" ht="15.75" customHeight="1">
      <c r="AH733" s="34"/>
      <c r="AI733" s="34"/>
    </row>
    <row r="734" ht="15.75" customHeight="1">
      <c r="AH734" s="34"/>
      <c r="AI734" s="34"/>
    </row>
    <row r="735" ht="15.75" customHeight="1">
      <c r="AH735" s="34"/>
      <c r="AI735" s="34"/>
    </row>
    <row r="736" ht="15.75" customHeight="1">
      <c r="AH736" s="34"/>
      <c r="AI736" s="34"/>
    </row>
    <row r="737" ht="15.75" customHeight="1">
      <c r="AH737" s="34"/>
      <c r="AI737" s="34"/>
    </row>
    <row r="738" ht="15.75" customHeight="1">
      <c r="AH738" s="34"/>
      <c r="AI738" s="34"/>
    </row>
    <row r="739" ht="15.75" customHeight="1">
      <c r="AH739" s="34"/>
      <c r="AI739" s="34"/>
    </row>
    <row r="740" ht="15.75" customHeight="1">
      <c r="AH740" s="34"/>
      <c r="AI740" s="34"/>
    </row>
    <row r="741" ht="15.75" customHeight="1">
      <c r="AH741" s="34"/>
      <c r="AI741" s="34"/>
    </row>
    <row r="742" ht="15.75" customHeight="1">
      <c r="AH742" s="34"/>
      <c r="AI742" s="34"/>
    </row>
    <row r="743" ht="15.75" customHeight="1">
      <c r="AH743" s="34"/>
      <c r="AI743" s="34"/>
    </row>
    <row r="744" ht="15.75" customHeight="1">
      <c r="AH744" s="34"/>
      <c r="AI744" s="34"/>
    </row>
    <row r="745" ht="15.75" customHeight="1">
      <c r="AH745" s="34"/>
      <c r="AI745" s="34"/>
    </row>
    <row r="746" ht="15.75" customHeight="1">
      <c r="AH746" s="34"/>
      <c r="AI746" s="34"/>
    </row>
    <row r="747" ht="15.75" customHeight="1">
      <c r="AH747" s="34"/>
      <c r="AI747" s="34"/>
    </row>
    <row r="748" ht="15.75" customHeight="1">
      <c r="AH748" s="34"/>
      <c r="AI748" s="34"/>
    </row>
    <row r="749" ht="15.75" customHeight="1">
      <c r="AH749" s="34"/>
      <c r="AI749" s="34"/>
    </row>
    <row r="750" ht="15.75" customHeight="1">
      <c r="AH750" s="34"/>
      <c r="AI750" s="34"/>
    </row>
    <row r="751" ht="15.75" customHeight="1">
      <c r="AH751" s="34"/>
      <c r="AI751" s="34"/>
    </row>
    <row r="752" ht="15.75" customHeight="1">
      <c r="AH752" s="34"/>
      <c r="AI752" s="34"/>
    </row>
    <row r="753" ht="15.75" customHeight="1">
      <c r="AH753" s="34"/>
      <c r="AI753" s="34"/>
    </row>
    <row r="754" ht="15.75" customHeight="1">
      <c r="AH754" s="34"/>
      <c r="AI754" s="34"/>
    </row>
    <row r="755" ht="15.75" customHeight="1">
      <c r="AH755" s="34"/>
      <c r="AI755" s="34"/>
    </row>
    <row r="756" ht="15.75" customHeight="1">
      <c r="AH756" s="34"/>
      <c r="AI756" s="34"/>
    </row>
    <row r="757" ht="15.75" customHeight="1">
      <c r="AH757" s="34"/>
      <c r="AI757" s="34"/>
    </row>
    <row r="758" ht="15.75" customHeight="1">
      <c r="AH758" s="34"/>
      <c r="AI758" s="34"/>
    </row>
    <row r="759" ht="15.75" customHeight="1">
      <c r="AH759" s="34"/>
      <c r="AI759" s="34"/>
    </row>
    <row r="760" ht="15.75" customHeight="1">
      <c r="AH760" s="34"/>
      <c r="AI760" s="34"/>
    </row>
    <row r="761" ht="15.75" customHeight="1">
      <c r="AH761" s="34"/>
      <c r="AI761" s="34"/>
    </row>
    <row r="762" ht="15.75" customHeight="1">
      <c r="AH762" s="34"/>
      <c r="AI762" s="34"/>
    </row>
    <row r="763" ht="15.75" customHeight="1">
      <c r="AH763" s="34"/>
      <c r="AI763" s="34"/>
    </row>
    <row r="764" ht="15.75" customHeight="1">
      <c r="AH764" s="34"/>
      <c r="AI764" s="34"/>
    </row>
    <row r="765" ht="15.75" customHeight="1">
      <c r="AH765" s="34"/>
      <c r="AI765" s="34"/>
    </row>
    <row r="766" ht="15.75" customHeight="1">
      <c r="AH766" s="34"/>
      <c r="AI766" s="34"/>
    </row>
    <row r="767" ht="15.75" customHeight="1">
      <c r="AH767" s="34"/>
      <c r="AI767" s="34"/>
    </row>
    <row r="768" ht="15.75" customHeight="1">
      <c r="AH768" s="34"/>
      <c r="AI768" s="34"/>
    </row>
    <row r="769" ht="15.75" customHeight="1">
      <c r="AH769" s="34"/>
      <c r="AI769" s="34"/>
    </row>
    <row r="770" ht="15.75" customHeight="1">
      <c r="AH770" s="34"/>
      <c r="AI770" s="34"/>
    </row>
    <row r="771" ht="15.75" customHeight="1">
      <c r="AH771" s="34"/>
      <c r="AI771" s="34"/>
    </row>
    <row r="772" ht="15.75" customHeight="1">
      <c r="AH772" s="34"/>
      <c r="AI772" s="34"/>
    </row>
    <row r="773" ht="15.75" customHeight="1">
      <c r="AH773" s="34"/>
      <c r="AI773" s="34"/>
    </row>
    <row r="774" ht="15.75" customHeight="1">
      <c r="AH774" s="34"/>
      <c r="AI774" s="34"/>
    </row>
    <row r="775" ht="15.75" customHeight="1">
      <c r="AH775" s="34"/>
      <c r="AI775" s="34"/>
    </row>
    <row r="776" ht="15.75" customHeight="1">
      <c r="AH776" s="34"/>
      <c r="AI776" s="34"/>
    </row>
    <row r="777" ht="15.75" customHeight="1">
      <c r="AH777" s="34"/>
      <c r="AI777" s="34"/>
    </row>
    <row r="778" ht="15.75" customHeight="1">
      <c r="AH778" s="34"/>
      <c r="AI778" s="34"/>
    </row>
    <row r="779" ht="15.75" customHeight="1">
      <c r="AH779" s="34"/>
      <c r="AI779" s="34"/>
    </row>
    <row r="780" ht="15.75" customHeight="1">
      <c r="AH780" s="34"/>
      <c r="AI780" s="34"/>
    </row>
    <row r="781" ht="15.75" customHeight="1">
      <c r="AH781" s="34"/>
      <c r="AI781" s="34"/>
    </row>
    <row r="782" ht="15.75" customHeight="1">
      <c r="AH782" s="34"/>
      <c r="AI782" s="34"/>
    </row>
    <row r="783" ht="15.75" customHeight="1">
      <c r="AH783" s="34"/>
      <c r="AI783" s="34"/>
    </row>
    <row r="784" ht="15.75" customHeight="1">
      <c r="AH784" s="34"/>
      <c r="AI784" s="34"/>
    </row>
    <row r="785" ht="15.75" customHeight="1">
      <c r="AH785" s="34"/>
      <c r="AI785" s="34"/>
    </row>
    <row r="786" ht="15.75" customHeight="1">
      <c r="AH786" s="34"/>
      <c r="AI786" s="34"/>
    </row>
    <row r="787" ht="15.75" customHeight="1">
      <c r="AH787" s="34"/>
      <c r="AI787" s="34"/>
    </row>
    <row r="788" ht="15.75" customHeight="1">
      <c r="AH788" s="34"/>
      <c r="AI788" s="34"/>
    </row>
    <row r="789" ht="15.75" customHeight="1">
      <c r="AH789" s="34"/>
      <c r="AI789" s="34"/>
    </row>
    <row r="790" ht="15.75" customHeight="1">
      <c r="AH790" s="34"/>
      <c r="AI790" s="34"/>
    </row>
    <row r="791" ht="15.75" customHeight="1">
      <c r="AH791" s="34"/>
      <c r="AI791" s="34"/>
    </row>
    <row r="792" ht="15.75" customHeight="1">
      <c r="AH792" s="34"/>
      <c r="AI792" s="34"/>
    </row>
    <row r="793" ht="15.75" customHeight="1">
      <c r="AH793" s="34"/>
      <c r="AI793" s="34"/>
    </row>
    <row r="794" ht="15.75" customHeight="1">
      <c r="AH794" s="34"/>
      <c r="AI794" s="34"/>
    </row>
    <row r="795" ht="15.75" customHeight="1">
      <c r="AH795" s="34"/>
      <c r="AI795" s="34"/>
    </row>
    <row r="796" ht="15.75" customHeight="1">
      <c r="AH796" s="34"/>
      <c r="AI796" s="34"/>
    </row>
    <row r="797" ht="15.75" customHeight="1">
      <c r="AH797" s="34"/>
      <c r="AI797" s="34"/>
    </row>
    <row r="798" ht="15.75" customHeight="1">
      <c r="AH798" s="34"/>
      <c r="AI798" s="34"/>
    </row>
    <row r="799" ht="15.75" customHeight="1">
      <c r="AH799" s="34"/>
      <c r="AI799" s="34"/>
    </row>
    <row r="800" ht="15.75" customHeight="1">
      <c r="AH800" s="34"/>
      <c r="AI800" s="34"/>
    </row>
    <row r="801" ht="15.75" customHeight="1">
      <c r="AH801" s="34"/>
      <c r="AI801" s="34"/>
    </row>
    <row r="802" ht="15.75" customHeight="1">
      <c r="AH802" s="34"/>
      <c r="AI802" s="34"/>
    </row>
    <row r="803" ht="15.75" customHeight="1">
      <c r="AH803" s="34"/>
      <c r="AI803" s="34"/>
    </row>
    <row r="804" ht="15.75" customHeight="1">
      <c r="AH804" s="34"/>
      <c r="AI804" s="34"/>
    </row>
    <row r="805" ht="15.75" customHeight="1">
      <c r="AH805" s="34"/>
      <c r="AI805" s="34"/>
    </row>
    <row r="806" ht="15.75" customHeight="1">
      <c r="AH806" s="34"/>
      <c r="AI806" s="34"/>
    </row>
    <row r="807" ht="15.75" customHeight="1">
      <c r="AH807" s="34"/>
      <c r="AI807" s="34"/>
    </row>
    <row r="808" ht="15.75" customHeight="1">
      <c r="AH808" s="34"/>
      <c r="AI808" s="34"/>
    </row>
    <row r="809" ht="15.75" customHeight="1">
      <c r="AH809" s="34"/>
      <c r="AI809" s="34"/>
    </row>
    <row r="810" ht="15.75" customHeight="1">
      <c r="AH810" s="34"/>
      <c r="AI810" s="34"/>
    </row>
    <row r="811" ht="15.75" customHeight="1">
      <c r="AH811" s="34"/>
      <c r="AI811" s="34"/>
    </row>
    <row r="812" ht="15.75" customHeight="1">
      <c r="AH812" s="34"/>
      <c r="AI812" s="34"/>
    </row>
    <row r="813" ht="15.75" customHeight="1">
      <c r="AH813" s="34"/>
      <c r="AI813" s="34"/>
    </row>
    <row r="814" ht="15.75" customHeight="1">
      <c r="AH814" s="34"/>
      <c r="AI814" s="34"/>
    </row>
    <row r="815" ht="15.75" customHeight="1">
      <c r="AH815" s="34"/>
      <c r="AI815" s="34"/>
    </row>
    <row r="816" ht="15.75" customHeight="1">
      <c r="AH816" s="34"/>
      <c r="AI816" s="34"/>
    </row>
    <row r="817" ht="15.75" customHeight="1">
      <c r="AH817" s="34"/>
      <c r="AI817" s="34"/>
    </row>
    <row r="818" ht="15.75" customHeight="1">
      <c r="AH818" s="34"/>
      <c r="AI818" s="34"/>
    </row>
    <row r="819" ht="15.75" customHeight="1">
      <c r="AH819" s="34"/>
      <c r="AI819" s="34"/>
    </row>
    <row r="820" ht="15.75" customHeight="1">
      <c r="AH820" s="34"/>
      <c r="AI820" s="34"/>
    </row>
    <row r="821" ht="15.75" customHeight="1">
      <c r="AH821" s="34"/>
      <c r="AI821" s="34"/>
    </row>
    <row r="822" ht="15.75" customHeight="1">
      <c r="AH822" s="34"/>
      <c r="AI822" s="34"/>
    </row>
    <row r="823" ht="15.75" customHeight="1">
      <c r="AH823" s="34"/>
      <c r="AI823" s="34"/>
    </row>
    <row r="824" ht="15.75" customHeight="1">
      <c r="AH824" s="34"/>
      <c r="AI824" s="34"/>
    </row>
    <row r="825" ht="15.75" customHeight="1">
      <c r="AH825" s="34"/>
      <c r="AI825" s="34"/>
    </row>
    <row r="826" ht="15.75" customHeight="1">
      <c r="AH826" s="34"/>
      <c r="AI826" s="34"/>
    </row>
    <row r="827" ht="15.75" customHeight="1">
      <c r="AH827" s="34"/>
      <c r="AI827" s="34"/>
    </row>
    <row r="828" ht="15.75" customHeight="1">
      <c r="AH828" s="34"/>
      <c r="AI828" s="34"/>
    </row>
    <row r="829" ht="15.75" customHeight="1">
      <c r="AH829" s="34"/>
      <c r="AI829" s="34"/>
    </row>
    <row r="830" ht="15.75" customHeight="1">
      <c r="AH830" s="34"/>
      <c r="AI830" s="34"/>
    </row>
    <row r="831" ht="15.75" customHeight="1">
      <c r="AH831" s="34"/>
      <c r="AI831" s="34"/>
    </row>
    <row r="832" ht="15.75" customHeight="1">
      <c r="AH832" s="34"/>
      <c r="AI832" s="34"/>
    </row>
    <row r="833" ht="15.75" customHeight="1">
      <c r="AH833" s="34"/>
      <c r="AI833" s="34"/>
    </row>
    <row r="834" ht="15.75" customHeight="1">
      <c r="AH834" s="34"/>
      <c r="AI834" s="34"/>
    </row>
    <row r="835" ht="15.75" customHeight="1">
      <c r="AH835" s="34"/>
      <c r="AI835" s="34"/>
    </row>
    <row r="836" ht="15.75" customHeight="1">
      <c r="AH836" s="34"/>
      <c r="AI836" s="34"/>
    </row>
    <row r="837" ht="15.75" customHeight="1">
      <c r="AH837" s="34"/>
      <c r="AI837" s="34"/>
    </row>
    <row r="838" ht="15.75" customHeight="1">
      <c r="AH838" s="34"/>
      <c r="AI838" s="34"/>
    </row>
    <row r="839" ht="15.75" customHeight="1">
      <c r="AH839" s="34"/>
      <c r="AI839" s="34"/>
    </row>
    <row r="840" ht="15.75" customHeight="1">
      <c r="AH840" s="34"/>
      <c r="AI840" s="34"/>
    </row>
    <row r="841" ht="15.75" customHeight="1">
      <c r="AH841" s="34"/>
      <c r="AI841" s="34"/>
    </row>
    <row r="842" ht="15.75" customHeight="1">
      <c r="AH842" s="34"/>
      <c r="AI842" s="34"/>
    </row>
    <row r="843" ht="15.75" customHeight="1">
      <c r="AH843" s="34"/>
      <c r="AI843" s="34"/>
    </row>
    <row r="844" ht="15.75" customHeight="1">
      <c r="AH844" s="34"/>
      <c r="AI844" s="34"/>
    </row>
    <row r="845" ht="15.75" customHeight="1">
      <c r="AH845" s="34"/>
      <c r="AI845" s="34"/>
    </row>
    <row r="846" ht="15.75" customHeight="1">
      <c r="AH846" s="34"/>
      <c r="AI846" s="34"/>
    </row>
    <row r="847" ht="15.75" customHeight="1">
      <c r="AH847" s="34"/>
      <c r="AI847" s="34"/>
    </row>
    <row r="848" ht="15.75" customHeight="1">
      <c r="AH848" s="34"/>
      <c r="AI848" s="34"/>
    </row>
    <row r="849" ht="15.75" customHeight="1">
      <c r="AH849" s="34"/>
      <c r="AI849" s="34"/>
    </row>
    <row r="850" ht="15.75" customHeight="1">
      <c r="AH850" s="34"/>
      <c r="AI850" s="34"/>
    </row>
    <row r="851" ht="15.75" customHeight="1">
      <c r="AH851" s="34"/>
      <c r="AI851" s="34"/>
    </row>
    <row r="852" ht="15.75" customHeight="1">
      <c r="AH852" s="34"/>
      <c r="AI852" s="34"/>
    </row>
    <row r="853" ht="15.75" customHeight="1">
      <c r="AH853" s="34"/>
      <c r="AI853" s="34"/>
    </row>
    <row r="854" ht="15.75" customHeight="1">
      <c r="AH854" s="34"/>
      <c r="AI854" s="34"/>
    </row>
    <row r="855" ht="15.75" customHeight="1">
      <c r="AH855" s="34"/>
      <c r="AI855" s="34"/>
    </row>
    <row r="856" ht="15.75" customHeight="1">
      <c r="AH856" s="34"/>
      <c r="AI856" s="34"/>
    </row>
    <row r="857" ht="15.75" customHeight="1">
      <c r="AH857" s="34"/>
      <c r="AI857" s="34"/>
    </row>
    <row r="858" ht="15.75" customHeight="1">
      <c r="AH858" s="34"/>
      <c r="AI858" s="34"/>
    </row>
    <row r="859" ht="15.75" customHeight="1">
      <c r="AH859" s="34"/>
      <c r="AI859" s="34"/>
    </row>
    <row r="860" ht="15.75" customHeight="1">
      <c r="AH860" s="34"/>
      <c r="AI860" s="34"/>
    </row>
    <row r="861" ht="15.75" customHeight="1">
      <c r="AH861" s="34"/>
      <c r="AI861" s="34"/>
    </row>
    <row r="862" ht="15.75" customHeight="1">
      <c r="AH862" s="34"/>
      <c r="AI862" s="34"/>
    </row>
    <row r="863" ht="15.75" customHeight="1">
      <c r="AH863" s="34"/>
      <c r="AI863" s="34"/>
    </row>
    <row r="864" ht="15.75" customHeight="1">
      <c r="AH864" s="34"/>
      <c r="AI864" s="34"/>
    </row>
    <row r="865" ht="15.75" customHeight="1">
      <c r="AH865" s="34"/>
      <c r="AI865" s="34"/>
    </row>
    <row r="866" ht="15.75" customHeight="1">
      <c r="AH866" s="34"/>
      <c r="AI866" s="34"/>
    </row>
    <row r="867" ht="15.75" customHeight="1">
      <c r="AH867" s="34"/>
      <c r="AI867" s="34"/>
    </row>
    <row r="868" ht="15.75" customHeight="1">
      <c r="AH868" s="34"/>
      <c r="AI868" s="34"/>
    </row>
    <row r="869" ht="15.75" customHeight="1">
      <c r="AH869" s="34"/>
      <c r="AI869" s="34"/>
    </row>
    <row r="870" ht="15.75" customHeight="1">
      <c r="AH870" s="34"/>
      <c r="AI870" s="34"/>
    </row>
    <row r="871" ht="15.75" customHeight="1">
      <c r="AH871" s="34"/>
      <c r="AI871" s="34"/>
    </row>
    <row r="872" ht="15.75" customHeight="1">
      <c r="AH872" s="34"/>
      <c r="AI872" s="34"/>
    </row>
    <row r="873" ht="15.75" customHeight="1">
      <c r="AH873" s="34"/>
      <c r="AI873" s="34"/>
    </row>
    <row r="874" ht="15.75" customHeight="1">
      <c r="AH874" s="34"/>
      <c r="AI874" s="34"/>
    </row>
    <row r="875" ht="15.75" customHeight="1">
      <c r="AH875" s="34"/>
      <c r="AI875" s="34"/>
    </row>
    <row r="876" ht="15.75" customHeight="1">
      <c r="AH876" s="34"/>
      <c r="AI876" s="34"/>
    </row>
    <row r="877" ht="15.75" customHeight="1">
      <c r="AH877" s="34"/>
      <c r="AI877" s="34"/>
    </row>
    <row r="878" ht="15.75" customHeight="1">
      <c r="AH878" s="34"/>
      <c r="AI878" s="34"/>
    </row>
    <row r="879" ht="15.75" customHeight="1">
      <c r="AH879" s="34"/>
      <c r="AI879" s="34"/>
    </row>
    <row r="880" ht="15.75" customHeight="1">
      <c r="AH880" s="34"/>
      <c r="AI880" s="34"/>
    </row>
    <row r="881" ht="15.75" customHeight="1">
      <c r="AH881" s="34"/>
      <c r="AI881" s="34"/>
    </row>
    <row r="882" ht="15.75" customHeight="1">
      <c r="AH882" s="34"/>
      <c r="AI882" s="34"/>
    </row>
    <row r="883" ht="15.75" customHeight="1">
      <c r="AH883" s="34"/>
      <c r="AI883" s="34"/>
    </row>
    <row r="884" ht="15.75" customHeight="1">
      <c r="AH884" s="34"/>
      <c r="AI884" s="34"/>
    </row>
    <row r="885" ht="15.75" customHeight="1">
      <c r="AH885" s="34"/>
      <c r="AI885" s="34"/>
    </row>
    <row r="886" ht="15.75" customHeight="1">
      <c r="AH886" s="34"/>
      <c r="AI886" s="34"/>
    </row>
    <row r="887" ht="15.75" customHeight="1">
      <c r="AH887" s="34"/>
      <c r="AI887" s="34"/>
    </row>
    <row r="888" ht="15.75" customHeight="1">
      <c r="AH888" s="34"/>
      <c r="AI888" s="34"/>
    </row>
    <row r="889" ht="15.75" customHeight="1">
      <c r="AH889" s="34"/>
      <c r="AI889" s="34"/>
    </row>
    <row r="890" ht="15.75" customHeight="1">
      <c r="AH890" s="34"/>
      <c r="AI890" s="34"/>
    </row>
    <row r="891" ht="15.75" customHeight="1">
      <c r="AH891" s="34"/>
      <c r="AI891" s="34"/>
    </row>
    <row r="892" ht="15.75" customHeight="1">
      <c r="AH892" s="34"/>
      <c r="AI892" s="34"/>
    </row>
    <row r="893" ht="15.75" customHeight="1">
      <c r="AH893" s="34"/>
      <c r="AI893" s="34"/>
    </row>
    <row r="894" ht="15.75" customHeight="1">
      <c r="AH894" s="34"/>
      <c r="AI894" s="34"/>
    </row>
    <row r="895" ht="15.75" customHeight="1">
      <c r="AH895" s="34"/>
      <c r="AI895" s="34"/>
    </row>
    <row r="896" ht="15.75" customHeight="1">
      <c r="AH896" s="34"/>
      <c r="AI896" s="34"/>
    </row>
    <row r="897" ht="15.75" customHeight="1">
      <c r="AH897" s="34"/>
      <c r="AI897" s="34"/>
    </row>
    <row r="898" ht="15.75" customHeight="1">
      <c r="AH898" s="34"/>
      <c r="AI898" s="34"/>
    </row>
    <row r="899" ht="15.75" customHeight="1">
      <c r="AH899" s="34"/>
      <c r="AI899" s="34"/>
    </row>
    <row r="900" ht="15.75" customHeight="1">
      <c r="AH900" s="34"/>
      <c r="AI900" s="34"/>
    </row>
    <row r="901" ht="15.75" customHeight="1">
      <c r="AH901" s="34"/>
      <c r="AI901" s="34"/>
    </row>
    <row r="902" ht="15.75" customHeight="1">
      <c r="AH902" s="34"/>
      <c r="AI902" s="34"/>
    </row>
    <row r="903" ht="15.75" customHeight="1">
      <c r="AH903" s="34"/>
      <c r="AI903" s="34"/>
    </row>
    <row r="904" ht="15.75" customHeight="1">
      <c r="AH904" s="34"/>
      <c r="AI904" s="34"/>
    </row>
    <row r="905" ht="15.75" customHeight="1">
      <c r="AH905" s="34"/>
      <c r="AI905" s="34"/>
    </row>
    <row r="906" ht="15.75" customHeight="1">
      <c r="AH906" s="34"/>
      <c r="AI906" s="34"/>
    </row>
    <row r="907" ht="15.75" customHeight="1">
      <c r="AH907" s="34"/>
      <c r="AI907" s="34"/>
    </row>
    <row r="908" ht="15.75" customHeight="1">
      <c r="AH908" s="34"/>
      <c r="AI908" s="34"/>
    </row>
    <row r="909" ht="15.75" customHeight="1">
      <c r="AH909" s="34"/>
      <c r="AI909" s="34"/>
    </row>
    <row r="910" ht="15.75" customHeight="1">
      <c r="AH910" s="34"/>
      <c r="AI910" s="34"/>
    </row>
    <row r="911" ht="15.75" customHeight="1">
      <c r="AH911" s="34"/>
      <c r="AI911" s="34"/>
    </row>
    <row r="912" ht="15.75" customHeight="1">
      <c r="AH912" s="34"/>
      <c r="AI912" s="34"/>
    </row>
    <row r="913" ht="15.75" customHeight="1">
      <c r="AH913" s="34"/>
      <c r="AI913" s="34"/>
    </row>
    <row r="914" ht="15.75" customHeight="1">
      <c r="AH914" s="34"/>
      <c r="AI914" s="34"/>
    </row>
    <row r="915" ht="15.75" customHeight="1">
      <c r="AH915" s="34"/>
      <c r="AI915" s="34"/>
    </row>
    <row r="916" ht="15.75" customHeight="1">
      <c r="AH916" s="34"/>
      <c r="AI916" s="34"/>
    </row>
    <row r="917" ht="15.75" customHeight="1">
      <c r="AH917" s="34"/>
      <c r="AI917" s="34"/>
    </row>
    <row r="918" ht="15.75" customHeight="1">
      <c r="AH918" s="34"/>
      <c r="AI918" s="34"/>
    </row>
    <row r="919" ht="15.75" customHeight="1">
      <c r="AH919" s="34"/>
      <c r="AI919" s="34"/>
    </row>
    <row r="920" ht="15.75" customHeight="1">
      <c r="AH920" s="34"/>
      <c r="AI920" s="34"/>
    </row>
    <row r="921" ht="15.75" customHeight="1">
      <c r="AH921" s="34"/>
      <c r="AI921" s="34"/>
    </row>
    <row r="922" ht="15.75" customHeight="1">
      <c r="AH922" s="34"/>
      <c r="AI922" s="34"/>
    </row>
    <row r="923" ht="15.75" customHeight="1">
      <c r="AH923" s="34"/>
      <c r="AI923" s="34"/>
    </row>
    <row r="924" ht="15.75" customHeight="1">
      <c r="AH924" s="34"/>
      <c r="AI924" s="34"/>
    </row>
    <row r="925" ht="15.75" customHeight="1">
      <c r="AH925" s="34"/>
      <c r="AI925" s="34"/>
    </row>
    <row r="926" ht="15.75" customHeight="1">
      <c r="AH926" s="34"/>
      <c r="AI926" s="34"/>
    </row>
    <row r="927" ht="15.75" customHeight="1">
      <c r="AH927" s="34"/>
      <c r="AI927" s="34"/>
    </row>
    <row r="928" ht="15.75" customHeight="1">
      <c r="AH928" s="34"/>
      <c r="AI928" s="34"/>
    </row>
    <row r="929" ht="15.75" customHeight="1">
      <c r="AH929" s="34"/>
      <c r="AI929" s="34"/>
    </row>
    <row r="930" ht="15.75" customHeight="1">
      <c r="AH930" s="34"/>
      <c r="AI930" s="34"/>
    </row>
    <row r="931" ht="15.75" customHeight="1">
      <c r="AH931" s="34"/>
      <c r="AI931" s="34"/>
    </row>
    <row r="932" ht="15.75" customHeight="1">
      <c r="AH932" s="34"/>
      <c r="AI932" s="34"/>
    </row>
    <row r="933" ht="15.75" customHeight="1">
      <c r="AH933" s="34"/>
      <c r="AI933" s="34"/>
    </row>
    <row r="934" ht="15.75" customHeight="1">
      <c r="AH934" s="34"/>
      <c r="AI934" s="34"/>
    </row>
    <row r="935" ht="15.75" customHeight="1">
      <c r="AH935" s="34"/>
      <c r="AI935" s="34"/>
    </row>
    <row r="936" ht="15.75" customHeight="1">
      <c r="AH936" s="34"/>
      <c r="AI936" s="34"/>
    </row>
    <row r="937" ht="15.75" customHeight="1">
      <c r="AH937" s="34"/>
      <c r="AI937" s="34"/>
    </row>
    <row r="938" ht="15.75" customHeight="1">
      <c r="AH938" s="34"/>
      <c r="AI938" s="34"/>
    </row>
    <row r="939" ht="15.75" customHeight="1">
      <c r="AH939" s="34"/>
      <c r="AI939" s="34"/>
    </row>
    <row r="940" ht="15.75" customHeight="1">
      <c r="AH940" s="34"/>
      <c r="AI940" s="34"/>
    </row>
    <row r="941" ht="15.75" customHeight="1">
      <c r="AH941" s="34"/>
      <c r="AI941" s="34"/>
    </row>
    <row r="942" ht="15.75" customHeight="1">
      <c r="AH942" s="34"/>
      <c r="AI942" s="34"/>
    </row>
    <row r="943" ht="15.75" customHeight="1">
      <c r="AH943" s="34"/>
      <c r="AI943" s="34"/>
    </row>
    <row r="944" ht="15.75" customHeight="1">
      <c r="AH944" s="34"/>
      <c r="AI944" s="34"/>
    </row>
    <row r="945" ht="15.75" customHeight="1">
      <c r="AH945" s="34"/>
      <c r="AI945" s="34"/>
    </row>
    <row r="946" ht="15.75" customHeight="1">
      <c r="AH946" s="34"/>
      <c r="AI946" s="34"/>
    </row>
    <row r="947" ht="15.75" customHeight="1">
      <c r="AH947" s="34"/>
      <c r="AI947" s="34"/>
    </row>
    <row r="948" ht="15.75" customHeight="1">
      <c r="AH948" s="34"/>
      <c r="AI948" s="34"/>
    </row>
    <row r="949" ht="15.75" customHeight="1">
      <c r="AH949" s="34"/>
      <c r="AI949" s="34"/>
    </row>
    <row r="950" ht="15.75" customHeight="1">
      <c r="AH950" s="34"/>
      <c r="AI950" s="34"/>
    </row>
    <row r="951" ht="15.75" customHeight="1">
      <c r="AH951" s="34"/>
      <c r="AI951" s="34"/>
    </row>
    <row r="952" ht="15.75" customHeight="1">
      <c r="AH952" s="34"/>
      <c r="AI952" s="34"/>
    </row>
    <row r="953" ht="15.75" customHeight="1">
      <c r="AH953" s="34"/>
      <c r="AI953" s="34"/>
    </row>
    <row r="954" ht="15.75" customHeight="1">
      <c r="AH954" s="34"/>
      <c r="AI954" s="34"/>
    </row>
    <row r="955" ht="15.75" customHeight="1">
      <c r="AH955" s="34"/>
      <c r="AI955" s="34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1428</v>
      </c>
      <c r="D1" s="2" t="s">
        <v>1429</v>
      </c>
      <c r="E1" s="2" t="s">
        <v>7</v>
      </c>
    </row>
    <row r="2" ht="15.75" customHeight="1">
      <c r="A2" s="8">
        <v>1509.0</v>
      </c>
      <c r="B2" s="74" t="s">
        <v>50</v>
      </c>
      <c r="C2" s="89" t="s">
        <v>1430</v>
      </c>
      <c r="D2" s="90" t="s">
        <v>1431</v>
      </c>
      <c r="E2" s="8">
        <v>0.0</v>
      </c>
    </row>
    <row r="3" ht="15.75" customHeight="1">
      <c r="A3" s="8">
        <v>1509.0</v>
      </c>
      <c r="B3" s="74" t="s">
        <v>50</v>
      </c>
      <c r="C3" s="91" t="s">
        <v>1432</v>
      </c>
      <c r="D3" s="90" t="s">
        <v>1433</v>
      </c>
      <c r="E3" s="8">
        <v>0.0</v>
      </c>
    </row>
    <row r="4" ht="15.75" customHeight="1">
      <c r="A4" s="8">
        <v>1509.0</v>
      </c>
      <c r="B4" s="74" t="s">
        <v>50</v>
      </c>
      <c r="C4" s="91" t="s">
        <v>1434</v>
      </c>
      <c r="D4" s="92" t="s">
        <v>1435</v>
      </c>
      <c r="E4" s="8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85" t="s">
        <v>1436</v>
      </c>
      <c r="D1" s="85" t="s">
        <v>1437</v>
      </c>
      <c r="E1" s="85" t="s">
        <v>1438</v>
      </c>
      <c r="F1" s="85" t="s">
        <v>981</v>
      </c>
      <c r="G1" s="85" t="s">
        <v>7</v>
      </c>
      <c r="H1" s="85" t="s">
        <v>983</v>
      </c>
      <c r="I1" s="85" t="s">
        <v>7</v>
      </c>
      <c r="J1" s="5" t="s">
        <v>1439</v>
      </c>
      <c r="K1" s="5" t="s">
        <v>7</v>
      </c>
      <c r="L1" s="63" t="s">
        <v>1440</v>
      </c>
      <c r="M1" s="63" t="s">
        <v>7</v>
      </c>
    </row>
    <row r="2" ht="15.75" customHeight="1">
      <c r="A2" s="8">
        <v>1509.0</v>
      </c>
      <c r="B2" s="9" t="s">
        <v>50</v>
      </c>
      <c r="C2" s="93" t="s">
        <v>1441</v>
      </c>
      <c r="D2" s="13" t="s">
        <v>1442</v>
      </c>
      <c r="E2" s="8">
        <v>0.0</v>
      </c>
      <c r="F2" s="13" t="s">
        <v>1006</v>
      </c>
      <c r="G2" s="8">
        <v>0.0</v>
      </c>
      <c r="H2" s="13" t="s">
        <v>1007</v>
      </c>
      <c r="I2" s="8">
        <v>0.0</v>
      </c>
      <c r="J2" s="63"/>
      <c r="K2" s="63"/>
      <c r="L2" s="13" t="s">
        <v>1012</v>
      </c>
      <c r="M2" s="8">
        <v>0.0</v>
      </c>
    </row>
    <row r="3" ht="15.75" customHeight="1">
      <c r="A3" s="8">
        <v>1509.0</v>
      </c>
      <c r="B3" s="9" t="s">
        <v>50</v>
      </c>
      <c r="C3" s="94" t="s">
        <v>1443</v>
      </c>
      <c r="D3" s="13" t="s">
        <v>1444</v>
      </c>
      <c r="E3" s="8">
        <v>0.0</v>
      </c>
      <c r="F3" s="13" t="s">
        <v>1006</v>
      </c>
      <c r="G3" s="8">
        <v>0.0</v>
      </c>
      <c r="H3" s="13" t="s">
        <v>1007</v>
      </c>
      <c r="I3" s="8">
        <v>0.0</v>
      </c>
      <c r="J3" s="63"/>
      <c r="K3" s="63"/>
      <c r="L3" s="13" t="s">
        <v>1012</v>
      </c>
      <c r="M3" s="8">
        <v>0.0</v>
      </c>
    </row>
    <row r="4" ht="15.75" customHeight="1">
      <c r="A4" s="8">
        <v>1509.0</v>
      </c>
      <c r="B4" s="9" t="s">
        <v>50</v>
      </c>
      <c r="C4" s="94" t="s">
        <v>1445</v>
      </c>
      <c r="D4" s="90" t="s">
        <v>1446</v>
      </c>
      <c r="E4" s="8">
        <v>0.0</v>
      </c>
      <c r="F4" s="13" t="s">
        <v>1006</v>
      </c>
      <c r="G4" s="8">
        <v>0.0</v>
      </c>
      <c r="H4" s="13" t="s">
        <v>1007</v>
      </c>
      <c r="I4" s="8">
        <v>0.0</v>
      </c>
      <c r="J4" s="63"/>
      <c r="K4" s="63"/>
      <c r="L4" s="13" t="s">
        <v>1012</v>
      </c>
      <c r="M4" s="8">
        <v>0.0</v>
      </c>
    </row>
    <row r="5" ht="15.75" customHeight="1">
      <c r="A5" s="8">
        <v>1509.0</v>
      </c>
      <c r="B5" s="9" t="s">
        <v>50</v>
      </c>
      <c r="C5" s="63" t="s">
        <v>1447</v>
      </c>
      <c r="D5" s="63"/>
      <c r="E5" s="63"/>
      <c r="F5" s="13" t="s">
        <v>1006</v>
      </c>
      <c r="G5" s="8">
        <v>0.0</v>
      </c>
      <c r="H5" s="10"/>
      <c r="I5" s="10"/>
      <c r="J5" s="63"/>
      <c r="K5" s="63"/>
      <c r="L5" s="63"/>
      <c r="M5" s="63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1448</v>
      </c>
      <c r="D1" s="95" t="s">
        <v>1449</v>
      </c>
      <c r="E1" s="95" t="s">
        <v>1450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1451</v>
      </c>
      <c r="D1" s="5" t="s">
        <v>1452</v>
      </c>
      <c r="E1" s="5" t="s">
        <v>7</v>
      </c>
    </row>
    <row r="2" ht="15.75" customHeight="1">
      <c r="A2" s="8">
        <v>1509.0</v>
      </c>
      <c r="B2" s="74" t="s">
        <v>50</v>
      </c>
      <c r="C2" s="5" t="s">
        <v>1453</v>
      </c>
      <c r="D2" s="90" t="s">
        <v>1454</v>
      </c>
      <c r="E2" s="96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16.88"/>
    <col customWidth="1" min="26" max="26" width="28.0"/>
    <col customWidth="1" min="28" max="28" width="16.88"/>
  </cols>
  <sheetData>
    <row r="1" ht="15.75" customHeight="1">
      <c r="A1" s="2" t="s">
        <v>0</v>
      </c>
      <c r="B1" s="2" t="s">
        <v>1</v>
      </c>
      <c r="C1" s="5" t="s">
        <v>1455</v>
      </c>
      <c r="D1" s="5" t="s">
        <v>1456</v>
      </c>
      <c r="E1" s="5" t="s">
        <v>13</v>
      </c>
      <c r="F1" s="5" t="s">
        <v>1457</v>
      </c>
      <c r="G1" s="5" t="s">
        <v>13</v>
      </c>
      <c r="H1" s="5" t="s">
        <v>1458</v>
      </c>
      <c r="I1" s="5" t="s">
        <v>13</v>
      </c>
      <c r="J1" s="5" t="s">
        <v>1459</v>
      </c>
      <c r="K1" s="5" t="s">
        <v>13</v>
      </c>
      <c r="L1" s="5" t="s">
        <v>1460</v>
      </c>
      <c r="M1" s="5" t="s">
        <v>13</v>
      </c>
      <c r="N1" s="10" t="s">
        <v>1461</v>
      </c>
      <c r="O1" s="10" t="s">
        <v>7</v>
      </c>
      <c r="P1" s="10" t="s">
        <v>1462</v>
      </c>
      <c r="Q1" s="10" t="s">
        <v>7</v>
      </c>
      <c r="R1" s="5" t="s">
        <v>1463</v>
      </c>
      <c r="S1" s="10" t="s">
        <v>7</v>
      </c>
      <c r="T1" s="10" t="s">
        <v>1464</v>
      </c>
      <c r="U1" s="10" t="s">
        <v>7</v>
      </c>
      <c r="V1" s="63" t="s">
        <v>1465</v>
      </c>
      <c r="W1" s="63" t="s">
        <v>7</v>
      </c>
      <c r="X1" s="63" t="s">
        <v>1466</v>
      </c>
      <c r="Y1" s="63" t="s">
        <v>7</v>
      </c>
      <c r="Z1" s="63" t="s">
        <v>1467</v>
      </c>
      <c r="AA1" s="63" t="s">
        <v>7</v>
      </c>
      <c r="AB1" s="63" t="s">
        <v>1468</v>
      </c>
      <c r="AC1" s="63" t="s">
        <v>7</v>
      </c>
    </row>
    <row r="2" ht="15.75" customHeight="1">
      <c r="A2" s="8">
        <v>1509.0</v>
      </c>
      <c r="B2" s="9" t="s">
        <v>50</v>
      </c>
      <c r="C2" s="5" t="s">
        <v>1469</v>
      </c>
      <c r="D2" s="74" t="s">
        <v>674</v>
      </c>
      <c r="E2" s="8">
        <v>0.0</v>
      </c>
      <c r="F2" s="74" t="s">
        <v>683</v>
      </c>
      <c r="G2" s="8">
        <v>0.0</v>
      </c>
      <c r="H2" s="74" t="s">
        <v>692</v>
      </c>
      <c r="I2" s="8">
        <v>0.0</v>
      </c>
      <c r="J2" s="74" t="s">
        <v>701</v>
      </c>
      <c r="K2" s="8">
        <v>0.0</v>
      </c>
      <c r="L2" s="74" t="s">
        <v>708</v>
      </c>
      <c r="M2" s="8">
        <v>0.0</v>
      </c>
      <c r="N2" s="90" t="s">
        <v>1470</v>
      </c>
      <c r="O2" s="5"/>
      <c r="P2" s="90" t="s">
        <v>1471</v>
      </c>
      <c r="Q2" s="5"/>
      <c r="R2" s="90" t="s">
        <v>1472</v>
      </c>
      <c r="S2" s="5"/>
      <c r="T2" s="90" t="s">
        <v>1446</v>
      </c>
      <c r="U2" s="97">
        <v>0.0</v>
      </c>
      <c r="V2" s="74" t="s">
        <v>702</v>
      </c>
      <c r="W2" s="97">
        <v>1.0</v>
      </c>
      <c r="X2" s="30" t="s">
        <v>1473</v>
      </c>
      <c r="Y2" s="97">
        <v>1.0</v>
      </c>
      <c r="Z2" s="74" t="s">
        <v>709</v>
      </c>
      <c r="AA2" s="97">
        <v>1.0</v>
      </c>
      <c r="AB2" s="30" t="s">
        <v>1474</v>
      </c>
      <c r="AC2" s="97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F10" s="70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